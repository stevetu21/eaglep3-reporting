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Enforcements!$A$6:$AC$60</definedName>
    <definedName name="_xlnm._FilterDatabase" localSheetId="2" hidden="1">'Missing Trips'!$A$2:$J$76</definedName>
    <definedName name="_xlnm._FilterDatabase" localSheetId="0" hidden="1">'Train Runs'!$A$12:$AG$263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P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R57" i="3" s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P42" i="1" s="1"/>
  <c r="V42" i="1"/>
  <c r="S21" i="3" s="1"/>
  <c r="Y42" i="1"/>
  <c r="Z42" i="1"/>
  <c r="AA42" i="1" s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V43" i="1"/>
  <c r="Y43" i="1"/>
  <c r="Z43" i="1"/>
  <c r="AA43" i="1" s="1"/>
  <c r="AB43" i="1"/>
  <c r="AC43" i="1"/>
  <c r="AD43" i="1"/>
  <c r="T43" i="1" s="1"/>
  <c r="AE43" i="1"/>
  <c r="R21" i="3" s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G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R48" i="3" s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R49" i="3" s="1"/>
  <c r="AF67" i="1"/>
  <c r="AH67" i="1"/>
  <c r="AM67" i="1"/>
  <c r="AN67" i="1"/>
  <c r="K68" i="1"/>
  <c r="L68" i="1"/>
  <c r="M68" i="1"/>
  <c r="N68" i="1" s="1"/>
  <c r="V68" i="1"/>
  <c r="S36" i="3" s="1"/>
  <c r="Y68" i="1"/>
  <c r="Z68" i="1"/>
  <c r="AB68" i="1"/>
  <c r="AC68" i="1"/>
  <c r="AD68" i="1"/>
  <c r="AG68" i="1" s="1"/>
  <c r="AE68" i="1"/>
  <c r="R9" i="3" s="1"/>
  <c r="AF68" i="1"/>
  <c r="AH68" i="1"/>
  <c r="AM68" i="1"/>
  <c r="AN68" i="1"/>
  <c r="K69" i="1"/>
  <c r="L69" i="1"/>
  <c r="M69" i="1"/>
  <c r="N69" i="1" s="1"/>
  <c r="V69" i="1"/>
  <c r="S8" i="3" s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S51" i="3" s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S23" i="3" s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R14" i="3" s="1"/>
  <c r="AF80" i="1"/>
  <c r="AH80" i="1"/>
  <c r="AM80" i="1"/>
  <c r="AN80" i="1"/>
  <c r="K81" i="1"/>
  <c r="L81" i="1"/>
  <c r="M81" i="1"/>
  <c r="N81" i="1" s="1"/>
  <c r="V81" i="1"/>
  <c r="S24" i="3" s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V92" i="1"/>
  <c r="S37" i="3" s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V93" i="1"/>
  <c r="Y93" i="1"/>
  <c r="Z93" i="1"/>
  <c r="AB93" i="1"/>
  <c r="AC93" i="1"/>
  <c r="AD93" i="1"/>
  <c r="T93" i="1" s="1"/>
  <c r="AE93" i="1"/>
  <c r="R37" i="3" s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162" i="1"/>
  <c r="L162" i="1"/>
  <c r="M162" i="1"/>
  <c r="N162" i="1" s="1"/>
  <c r="V162" i="1"/>
  <c r="S68" i="3" s="1"/>
  <c r="Y162" i="1"/>
  <c r="Z162" i="1"/>
  <c r="AB162" i="1"/>
  <c r="AC162" i="1"/>
  <c r="AD162" i="1"/>
  <c r="AG162" i="1" s="1"/>
  <c r="AE162" i="1"/>
  <c r="AF162" i="1"/>
  <c r="AH95" i="1"/>
  <c r="AM95" i="1"/>
  <c r="AN95" i="1"/>
  <c r="K163" i="1"/>
  <c r="L163" i="1"/>
  <c r="M163" i="1"/>
  <c r="N163" i="1" s="1"/>
  <c r="V163" i="1"/>
  <c r="Y163" i="1"/>
  <c r="Z163" i="1"/>
  <c r="AB163" i="1"/>
  <c r="AC163" i="1"/>
  <c r="AD163" i="1"/>
  <c r="X163" i="1" s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96" i="1"/>
  <c r="AM96" i="1"/>
  <c r="AN96" i="1"/>
  <c r="K165" i="1"/>
  <c r="L165" i="1"/>
  <c r="M165" i="1"/>
  <c r="N165" i="1" s="1"/>
  <c r="V165" i="1"/>
  <c r="S71" i="3" s="1"/>
  <c r="Y165" i="1"/>
  <c r="Z165" i="1"/>
  <c r="AB165" i="1"/>
  <c r="AC165" i="1"/>
  <c r="AD165" i="1"/>
  <c r="T165" i="1" s="1"/>
  <c r="AE165" i="1"/>
  <c r="AF165" i="1"/>
  <c r="AH97" i="1"/>
  <c r="AM97" i="1"/>
  <c r="AN97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98" i="1"/>
  <c r="AM98" i="1"/>
  <c r="AN98" i="1"/>
  <c r="AH99" i="1"/>
  <c r="AM99" i="1"/>
  <c r="AN99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0" i="1"/>
  <c r="AM100" i="1"/>
  <c r="AN100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01" i="1"/>
  <c r="AM101" i="1"/>
  <c r="AN101" i="1"/>
  <c r="K169" i="1"/>
  <c r="L169" i="1"/>
  <c r="M169" i="1"/>
  <c r="N169" i="1" s="1"/>
  <c r="V169" i="1"/>
  <c r="S73" i="3" s="1"/>
  <c r="Y169" i="1"/>
  <c r="Z169" i="1"/>
  <c r="AB169" i="1"/>
  <c r="AC169" i="1"/>
  <c r="AD169" i="1"/>
  <c r="AG169" i="1" s="1"/>
  <c r="AE169" i="1"/>
  <c r="R73" i="3" s="1"/>
  <c r="AF169" i="1"/>
  <c r="AH102" i="1"/>
  <c r="AM102" i="1"/>
  <c r="AN102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3" i="1"/>
  <c r="AM103" i="1"/>
  <c r="AN103" i="1"/>
  <c r="K171" i="1"/>
  <c r="L171" i="1"/>
  <c r="M171" i="1"/>
  <c r="N171" i="1" s="1"/>
  <c r="V171" i="1"/>
  <c r="S66" i="3" s="1"/>
  <c r="Y171" i="1"/>
  <c r="Z171" i="1"/>
  <c r="AB171" i="1"/>
  <c r="AC171" i="1"/>
  <c r="AD171" i="1"/>
  <c r="T171" i="1" s="1"/>
  <c r="AE171" i="1"/>
  <c r="R66" i="3" s="1"/>
  <c r="AF171" i="1"/>
  <c r="AH104" i="1"/>
  <c r="AM104" i="1"/>
  <c r="AN10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05" i="1"/>
  <c r="AM105" i="1"/>
  <c r="AN105" i="1"/>
  <c r="AH106" i="1"/>
  <c r="AM106" i="1"/>
  <c r="AN106" i="1"/>
  <c r="K172" i="1"/>
  <c r="L172" i="1"/>
  <c r="M172" i="1"/>
  <c r="N172" i="1" s="1"/>
  <c r="V172" i="1"/>
  <c r="Y172" i="1"/>
  <c r="Z172" i="1"/>
  <c r="AB172" i="1"/>
  <c r="AC172" i="1"/>
  <c r="AD172" i="1"/>
  <c r="X172" i="1" s="1"/>
  <c r="AE172" i="1"/>
  <c r="AF172" i="1"/>
  <c r="AH107" i="1"/>
  <c r="AM107" i="1"/>
  <c r="AN107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8" i="1"/>
  <c r="AM108" i="1"/>
  <c r="AN108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09" i="1"/>
  <c r="AM109" i="1"/>
  <c r="AN109" i="1"/>
  <c r="K175" i="1"/>
  <c r="L175" i="1"/>
  <c r="M175" i="1"/>
  <c r="N175" i="1" s="1"/>
  <c r="V175" i="1"/>
  <c r="Y175" i="1"/>
  <c r="Z175" i="1"/>
  <c r="AB175" i="1"/>
  <c r="AC175" i="1"/>
  <c r="AD175" i="1"/>
  <c r="AG175" i="1" s="1"/>
  <c r="AI175" i="1" s="1"/>
  <c r="AE175" i="1"/>
  <c r="AF175" i="1"/>
  <c r="AH110" i="1"/>
  <c r="AM110" i="1"/>
  <c r="AN110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1" i="1"/>
  <c r="AM111" i="1"/>
  <c r="AN111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2" i="1"/>
  <c r="AM112" i="1"/>
  <c r="AN112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3" i="1"/>
  <c r="AM113" i="1"/>
  <c r="AN113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4" i="1"/>
  <c r="AM114" i="1"/>
  <c r="AN114" i="1"/>
  <c r="K180" i="1"/>
  <c r="L180" i="1"/>
  <c r="M180" i="1"/>
  <c r="N180" i="1" s="1"/>
  <c r="V180" i="1"/>
  <c r="Y180" i="1"/>
  <c r="Z180" i="1"/>
  <c r="AB180" i="1"/>
  <c r="AC180" i="1"/>
  <c r="AD180" i="1"/>
  <c r="X180" i="1" s="1"/>
  <c r="AE180" i="1"/>
  <c r="R67" i="3" s="1"/>
  <c r="AF180" i="1"/>
  <c r="AH115" i="1"/>
  <c r="AM115" i="1"/>
  <c r="AN115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116" i="1"/>
  <c r="AM116" i="1"/>
  <c r="AN116" i="1"/>
  <c r="K96" i="1"/>
  <c r="L96" i="1"/>
  <c r="M96" i="1"/>
  <c r="N96" i="1" s="1"/>
  <c r="V96" i="1"/>
  <c r="Y96" i="1"/>
  <c r="Z96" i="1"/>
  <c r="AB96" i="1"/>
  <c r="AC96" i="1"/>
  <c r="AD96" i="1"/>
  <c r="X96" i="1" s="1"/>
  <c r="AE96" i="1"/>
  <c r="AF96" i="1"/>
  <c r="AH117" i="1"/>
  <c r="AM117" i="1"/>
  <c r="AN117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18" i="1"/>
  <c r="AM118" i="1"/>
  <c r="AN118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19" i="1"/>
  <c r="AM119" i="1"/>
  <c r="AN119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120" i="1"/>
  <c r="AM120" i="1"/>
  <c r="AN120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21" i="1"/>
  <c r="AM121" i="1"/>
  <c r="AN121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2" i="1"/>
  <c r="AM122" i="1"/>
  <c r="AN122" i="1"/>
  <c r="K187" i="1"/>
  <c r="L187" i="1"/>
  <c r="M187" i="1"/>
  <c r="N187" i="1" s="1"/>
  <c r="V187" i="1"/>
  <c r="S65" i="3" s="1"/>
  <c r="Y187" i="1"/>
  <c r="Z187" i="1"/>
  <c r="AB187" i="1"/>
  <c r="AC187" i="1"/>
  <c r="AD187" i="1"/>
  <c r="T187" i="1" s="1"/>
  <c r="AE187" i="1"/>
  <c r="AF187" i="1"/>
  <c r="AH123" i="1"/>
  <c r="AM123" i="1"/>
  <c r="AN123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124" i="1"/>
  <c r="AM124" i="1"/>
  <c r="AN124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125" i="1"/>
  <c r="AM125" i="1"/>
  <c r="AN125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6" i="1"/>
  <c r="AM126" i="1"/>
  <c r="AN126" i="1"/>
  <c r="K191" i="1"/>
  <c r="L191" i="1"/>
  <c r="M191" i="1"/>
  <c r="N191" i="1" s="1"/>
  <c r="V191" i="1"/>
  <c r="S70" i="3" s="1"/>
  <c r="Y191" i="1"/>
  <c r="Z191" i="1"/>
  <c r="AB191" i="1"/>
  <c r="AC191" i="1"/>
  <c r="AD191" i="1"/>
  <c r="T191" i="1" s="1"/>
  <c r="AE191" i="1"/>
  <c r="AF191" i="1"/>
  <c r="AH127" i="1"/>
  <c r="AM127" i="1"/>
  <c r="AN127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128" i="1"/>
  <c r="AM128" i="1"/>
  <c r="AN128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29" i="1"/>
  <c r="AM129" i="1"/>
  <c r="AN129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30" i="1"/>
  <c r="AM130" i="1"/>
  <c r="AN130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31" i="1"/>
  <c r="AM131" i="1"/>
  <c r="AN131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132" i="1"/>
  <c r="AM132" i="1"/>
  <c r="AN132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3" i="1"/>
  <c r="AM133" i="1"/>
  <c r="AN133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134" i="1"/>
  <c r="AM134" i="1"/>
  <c r="AN134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35" i="1"/>
  <c r="AM135" i="1"/>
  <c r="AN135" i="1"/>
  <c r="K101" i="1"/>
  <c r="L101" i="1"/>
  <c r="M101" i="1"/>
  <c r="N101" i="1" s="1"/>
  <c r="V101" i="1"/>
  <c r="S38" i="3" s="1"/>
  <c r="Y101" i="1"/>
  <c r="Z101" i="1"/>
  <c r="AB101" i="1"/>
  <c r="AC101" i="1"/>
  <c r="AD101" i="1"/>
  <c r="AG101" i="1" s="1"/>
  <c r="AE101" i="1"/>
  <c r="AF101" i="1"/>
  <c r="AH136" i="1"/>
  <c r="AM136" i="1"/>
  <c r="AN136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37" i="1"/>
  <c r="AM137" i="1"/>
  <c r="AN137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8" i="1"/>
  <c r="AM138" i="1"/>
  <c r="AN138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39" i="1"/>
  <c r="AM139" i="1"/>
  <c r="AN13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40" i="1"/>
  <c r="AM140" i="1"/>
  <c r="AN140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41" i="1"/>
  <c r="AM141" i="1"/>
  <c r="AN141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2" i="1"/>
  <c r="AM142" i="1"/>
  <c r="AN142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3" i="1"/>
  <c r="AM143" i="1"/>
  <c r="AN143" i="1"/>
  <c r="K107" i="1"/>
  <c r="L107" i="1"/>
  <c r="M107" i="1"/>
  <c r="P107" i="1" s="1"/>
  <c r="V107" i="1"/>
  <c r="Y107" i="1"/>
  <c r="Z107" i="1"/>
  <c r="AB107" i="1"/>
  <c r="AC107" i="1"/>
  <c r="AD107" i="1"/>
  <c r="AG107" i="1" s="1"/>
  <c r="AE107" i="1"/>
  <c r="AF107" i="1"/>
  <c r="AH144" i="1"/>
  <c r="AM144" i="1"/>
  <c r="AN144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45" i="1"/>
  <c r="AM145" i="1"/>
  <c r="AN145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6" i="1"/>
  <c r="AM146" i="1"/>
  <c r="AN146" i="1"/>
  <c r="K110" i="1"/>
  <c r="L110" i="1"/>
  <c r="M110" i="1"/>
  <c r="N110" i="1" s="1"/>
  <c r="V110" i="1"/>
  <c r="S20" i="3" s="1"/>
  <c r="Y110" i="1"/>
  <c r="Z110" i="1"/>
  <c r="AB110" i="1"/>
  <c r="AC110" i="1"/>
  <c r="AD110" i="1"/>
  <c r="T110" i="1" s="1"/>
  <c r="AE110" i="1"/>
  <c r="AF110" i="1"/>
  <c r="AH147" i="1"/>
  <c r="AM147" i="1"/>
  <c r="AN147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48" i="1"/>
  <c r="AM148" i="1"/>
  <c r="AN148" i="1"/>
  <c r="K112" i="1"/>
  <c r="L112" i="1"/>
  <c r="M112" i="1"/>
  <c r="N112" i="1" s="1"/>
  <c r="V112" i="1"/>
  <c r="S55" i="3" s="1"/>
  <c r="Y112" i="1"/>
  <c r="Z112" i="1"/>
  <c r="AB112" i="1"/>
  <c r="AC112" i="1"/>
  <c r="AD112" i="1"/>
  <c r="AG112" i="1" s="1"/>
  <c r="AE112" i="1"/>
  <c r="AF112" i="1"/>
  <c r="AH149" i="1"/>
  <c r="AM149" i="1"/>
  <c r="AN149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50" i="1"/>
  <c r="AM150" i="1"/>
  <c r="AN150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1" i="1"/>
  <c r="AM151" i="1"/>
  <c r="AN151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52" i="1"/>
  <c r="AM152" i="1"/>
  <c r="AN152" i="1"/>
  <c r="K116" i="1"/>
  <c r="L116" i="1"/>
  <c r="M116" i="1"/>
  <c r="N116" i="1" s="1"/>
  <c r="V116" i="1"/>
  <c r="S15" i="3" s="1"/>
  <c r="Y116" i="1"/>
  <c r="Z116" i="1"/>
  <c r="AB116" i="1"/>
  <c r="AC116" i="1"/>
  <c r="AD116" i="1"/>
  <c r="AG116" i="1" s="1"/>
  <c r="AE116" i="1"/>
  <c r="AF116" i="1"/>
  <c r="AH153" i="1"/>
  <c r="AM153" i="1"/>
  <c r="AN153" i="1"/>
  <c r="K117" i="1"/>
  <c r="L117" i="1"/>
  <c r="M117" i="1"/>
  <c r="N117" i="1" s="1"/>
  <c r="V117" i="1"/>
  <c r="S39" i="3" s="1"/>
  <c r="Y117" i="1"/>
  <c r="Z117" i="1"/>
  <c r="AB117" i="1"/>
  <c r="AC117" i="1"/>
  <c r="AD117" i="1"/>
  <c r="T117" i="1" s="1"/>
  <c r="AE117" i="1"/>
  <c r="AF117" i="1"/>
  <c r="AH154" i="1"/>
  <c r="AM154" i="1"/>
  <c r="AN154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55" i="1"/>
  <c r="AM155" i="1"/>
  <c r="AN155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6" i="1"/>
  <c r="AM156" i="1"/>
  <c r="AN156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57" i="1"/>
  <c r="AM157" i="1"/>
  <c r="AN157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8" i="1"/>
  <c r="AM158" i="1"/>
  <c r="AN158" i="1"/>
  <c r="K123" i="1"/>
  <c r="L123" i="1"/>
  <c r="M123" i="1"/>
  <c r="N123" i="1" s="1"/>
  <c r="V123" i="1"/>
  <c r="S40" i="3" s="1"/>
  <c r="Y123" i="1"/>
  <c r="Z123" i="1"/>
  <c r="AB123" i="1"/>
  <c r="AC123" i="1"/>
  <c r="AD123" i="1"/>
  <c r="AE123" i="1"/>
  <c r="AF123" i="1"/>
  <c r="AH159" i="1"/>
  <c r="AM159" i="1"/>
  <c r="AN159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60" i="1"/>
  <c r="AM160" i="1"/>
  <c r="AN160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1" i="1"/>
  <c r="AM161" i="1"/>
  <c r="AN161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62" i="1"/>
  <c r="AM162" i="1"/>
  <c r="AN162" i="1"/>
  <c r="K128" i="1"/>
  <c r="L128" i="1"/>
  <c r="M128" i="1"/>
  <c r="N128" i="1" s="1"/>
  <c r="V128" i="1"/>
  <c r="S27" i="3" s="1"/>
  <c r="Y128" i="1"/>
  <c r="Z128" i="1"/>
  <c r="AB128" i="1"/>
  <c r="AC128" i="1"/>
  <c r="AD128" i="1"/>
  <c r="T128" i="1" s="1"/>
  <c r="AE128" i="1"/>
  <c r="AF128" i="1"/>
  <c r="AH163" i="1"/>
  <c r="AM163" i="1"/>
  <c r="AN163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4" i="1"/>
  <c r="AM164" i="1"/>
  <c r="AN164" i="1"/>
  <c r="K130" i="1"/>
  <c r="L130" i="1"/>
  <c r="M130" i="1"/>
  <c r="N130" i="1" s="1"/>
  <c r="V130" i="1"/>
  <c r="S19" i="3" s="1"/>
  <c r="Y130" i="1"/>
  <c r="Z130" i="1"/>
  <c r="AB130" i="1"/>
  <c r="AC130" i="1"/>
  <c r="AD130" i="1"/>
  <c r="AE130" i="1"/>
  <c r="AF130" i="1"/>
  <c r="AH165" i="1"/>
  <c r="AM165" i="1"/>
  <c r="AN165" i="1"/>
  <c r="K131" i="1"/>
  <c r="L131" i="1"/>
  <c r="M131" i="1"/>
  <c r="N131" i="1" s="1"/>
  <c r="V131" i="1"/>
  <c r="S11" i="3" s="1"/>
  <c r="Y131" i="1"/>
  <c r="Z131" i="1"/>
  <c r="AB131" i="1"/>
  <c r="AC131" i="1"/>
  <c r="AD131" i="1"/>
  <c r="T131" i="1" s="1"/>
  <c r="AE131" i="1"/>
  <c r="AF131" i="1"/>
  <c r="AH166" i="1"/>
  <c r="AM166" i="1"/>
  <c r="AN166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K133" i="1"/>
  <c r="L133" i="1"/>
  <c r="M133" i="1"/>
  <c r="N133" i="1" s="1"/>
  <c r="V133" i="1"/>
  <c r="S59" i="3" s="1"/>
  <c r="Y133" i="1"/>
  <c r="Z133" i="1"/>
  <c r="AB133" i="1"/>
  <c r="AC133" i="1"/>
  <c r="AD133" i="1"/>
  <c r="AG133" i="1" s="1"/>
  <c r="AE133" i="1"/>
  <c r="AF133" i="1"/>
  <c r="AH167" i="1"/>
  <c r="AM167" i="1"/>
  <c r="AN167" i="1"/>
  <c r="K134" i="1"/>
  <c r="L134" i="1"/>
  <c r="M134" i="1"/>
  <c r="N134" i="1" s="1"/>
  <c r="V134" i="1"/>
  <c r="S28" i="3" s="1"/>
  <c r="Y134" i="1"/>
  <c r="Z134" i="1"/>
  <c r="AB134" i="1"/>
  <c r="AC134" i="1"/>
  <c r="AD134" i="1"/>
  <c r="T134" i="1" s="1"/>
  <c r="AE134" i="1"/>
  <c r="AF134" i="1"/>
  <c r="AH168" i="1"/>
  <c r="AM168" i="1"/>
  <c r="AN168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69" i="1"/>
  <c r="AI169" i="1"/>
  <c r="AM169" i="1"/>
  <c r="AN169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0" i="1"/>
  <c r="AM170" i="1"/>
  <c r="AN170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71" i="1"/>
  <c r="AM171" i="1"/>
  <c r="AN171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2" i="1"/>
  <c r="AM172" i="1"/>
  <c r="AN172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3" i="1"/>
  <c r="AM173" i="1"/>
  <c r="AN173" i="1"/>
  <c r="K140" i="1"/>
  <c r="L140" i="1"/>
  <c r="M140" i="1"/>
  <c r="N140" i="1" s="1"/>
  <c r="V140" i="1"/>
  <c r="S30" i="3" s="1"/>
  <c r="Y140" i="1"/>
  <c r="Z140" i="1"/>
  <c r="AB140" i="1"/>
  <c r="AC140" i="1"/>
  <c r="AD140" i="1"/>
  <c r="T140" i="1" s="1"/>
  <c r="AE140" i="1"/>
  <c r="AF140" i="1"/>
  <c r="AH174" i="1"/>
  <c r="AM174" i="1"/>
  <c r="AN174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75" i="1"/>
  <c r="AM175" i="1"/>
  <c r="AN175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6" i="1"/>
  <c r="AM176" i="1"/>
  <c r="AN176" i="1"/>
  <c r="K143" i="1"/>
  <c r="L143" i="1"/>
  <c r="M143" i="1"/>
  <c r="N143" i="1" s="1"/>
  <c r="V143" i="1"/>
  <c r="S44" i="3" s="1"/>
  <c r="Y143" i="1"/>
  <c r="Z143" i="1"/>
  <c r="AB143" i="1"/>
  <c r="AC143" i="1"/>
  <c r="AD143" i="1"/>
  <c r="AG143" i="1" s="1"/>
  <c r="AE143" i="1"/>
  <c r="AF143" i="1"/>
  <c r="AH177" i="1"/>
  <c r="AM177" i="1"/>
  <c r="AN177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8" i="1"/>
  <c r="AM178" i="1"/>
  <c r="AN178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79" i="1"/>
  <c r="AM179" i="1"/>
  <c r="AN179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80" i="1"/>
  <c r="AM180" i="1"/>
  <c r="AN180" i="1"/>
  <c r="K147" i="1"/>
  <c r="L147" i="1"/>
  <c r="M147" i="1"/>
  <c r="N147" i="1" s="1"/>
  <c r="V147" i="1"/>
  <c r="S62" i="3" s="1"/>
  <c r="Y147" i="1"/>
  <c r="Z147" i="1"/>
  <c r="AB147" i="1"/>
  <c r="AC147" i="1"/>
  <c r="AD147" i="1"/>
  <c r="T147" i="1" s="1"/>
  <c r="AE147" i="1"/>
  <c r="AF147" i="1"/>
  <c r="AH181" i="1"/>
  <c r="AM181" i="1"/>
  <c r="AN181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2" i="1"/>
  <c r="AM182" i="1"/>
  <c r="AN182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3" i="1"/>
  <c r="AM183" i="1"/>
  <c r="AN183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4" i="1"/>
  <c r="AM184" i="1"/>
  <c r="AN184" i="1"/>
  <c r="K151" i="1"/>
  <c r="L151" i="1"/>
  <c r="M151" i="1"/>
  <c r="P151" i="1" s="1"/>
  <c r="V151" i="1"/>
  <c r="S45" i="3" s="1"/>
  <c r="Y151" i="1"/>
  <c r="Z151" i="1"/>
  <c r="AB151" i="1"/>
  <c r="AC151" i="1"/>
  <c r="AD151" i="1"/>
  <c r="AG151" i="1" s="1"/>
  <c r="AE151" i="1"/>
  <c r="AF151" i="1"/>
  <c r="AH185" i="1"/>
  <c r="AM185" i="1"/>
  <c r="AN185" i="1"/>
  <c r="K152" i="1"/>
  <c r="L152" i="1"/>
  <c r="M152" i="1"/>
  <c r="P152" i="1" s="1"/>
  <c r="V152" i="1"/>
  <c r="S31" i="3" s="1"/>
  <c r="Y152" i="1"/>
  <c r="Z152" i="1"/>
  <c r="AB152" i="1"/>
  <c r="AC152" i="1"/>
  <c r="AD152" i="1"/>
  <c r="T152" i="1" s="1"/>
  <c r="AE152" i="1"/>
  <c r="AF152" i="1"/>
  <c r="AH186" i="1"/>
  <c r="AM186" i="1"/>
  <c r="AN186" i="1"/>
  <c r="K153" i="1"/>
  <c r="L153" i="1"/>
  <c r="M153" i="1"/>
  <c r="V153" i="1"/>
  <c r="Y153" i="1"/>
  <c r="Z153" i="1"/>
  <c r="AB153" i="1"/>
  <c r="AC153" i="1"/>
  <c r="AD153" i="1"/>
  <c r="T153" i="1" s="1"/>
  <c r="AE153" i="1"/>
  <c r="AF153" i="1"/>
  <c r="AH187" i="1"/>
  <c r="AM187" i="1"/>
  <c r="AN187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88" i="1"/>
  <c r="AM188" i="1"/>
  <c r="AN188" i="1"/>
  <c r="AH189" i="1"/>
  <c r="AM189" i="1"/>
  <c r="AN189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0" i="1"/>
  <c r="AM190" i="1"/>
  <c r="AN190" i="1"/>
  <c r="K156" i="1"/>
  <c r="L156" i="1"/>
  <c r="M156" i="1"/>
  <c r="N156" i="1" s="1"/>
  <c r="V156" i="1"/>
  <c r="S10" i="3" s="1"/>
  <c r="Y156" i="1"/>
  <c r="Z156" i="1"/>
  <c r="AB156" i="1"/>
  <c r="AC156" i="1"/>
  <c r="AD156" i="1"/>
  <c r="AE156" i="1"/>
  <c r="AF156" i="1"/>
  <c r="AH191" i="1"/>
  <c r="AM191" i="1"/>
  <c r="AN191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2" i="1"/>
  <c r="AM192" i="1"/>
  <c r="AN192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3" i="1"/>
  <c r="AM193" i="1"/>
  <c r="AN193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94" i="1"/>
  <c r="AM194" i="1"/>
  <c r="AN194" i="1"/>
  <c r="K160" i="1"/>
  <c r="L160" i="1"/>
  <c r="M160" i="1"/>
  <c r="N160" i="1" s="1"/>
  <c r="V160" i="1"/>
  <c r="S46" i="3" s="1"/>
  <c r="Y160" i="1"/>
  <c r="Z160" i="1"/>
  <c r="AB160" i="1"/>
  <c r="AC160" i="1"/>
  <c r="AD160" i="1"/>
  <c r="AG160" i="1" s="1"/>
  <c r="AE160" i="1"/>
  <c r="AF160" i="1"/>
  <c r="AH195" i="1"/>
  <c r="AM195" i="1"/>
  <c r="AN195" i="1"/>
  <c r="AH196" i="1"/>
  <c r="AM196" i="1"/>
  <c r="AN196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6" i="1"/>
  <c r="AM206" i="1"/>
  <c r="AN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9" i="1"/>
  <c r="AM209" i="1"/>
  <c r="AN20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10" i="1"/>
  <c r="AM210" i="1"/>
  <c r="AN21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K215" i="1"/>
  <c r="L215" i="1"/>
  <c r="M215" i="1"/>
  <c r="N215" i="1" s="1"/>
  <c r="V215" i="1"/>
  <c r="S74" i="3" s="1"/>
  <c r="Y215" i="1"/>
  <c r="Z215" i="1"/>
  <c r="AB215" i="1"/>
  <c r="AC215" i="1"/>
  <c r="AD215" i="1"/>
  <c r="T215" i="1" s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R74" i="3" s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K219" i="1"/>
  <c r="L219" i="1"/>
  <c r="M219" i="1"/>
  <c r="N219" i="1" s="1"/>
  <c r="V219" i="1"/>
  <c r="S77" i="3" s="1"/>
  <c r="Y219" i="1"/>
  <c r="Z219" i="1"/>
  <c r="AB219" i="1"/>
  <c r="AC219" i="1"/>
  <c r="AD219" i="1"/>
  <c r="T219" i="1" s="1"/>
  <c r="AE219" i="1"/>
  <c r="AF219" i="1"/>
  <c r="AH219" i="1"/>
  <c r="AM219" i="1"/>
  <c r="AN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R77" i="3" s="1"/>
  <c r="AF221" i="1"/>
  <c r="AH221" i="1"/>
  <c r="AM221" i="1"/>
  <c r="AN221" i="1"/>
  <c r="K222" i="1"/>
  <c r="L222" i="1"/>
  <c r="M222" i="1"/>
  <c r="N222" i="1" s="1"/>
  <c r="V222" i="1"/>
  <c r="S78" i="3" s="1"/>
  <c r="Y222" i="1"/>
  <c r="Z222" i="1"/>
  <c r="AB222" i="1"/>
  <c r="AC222" i="1"/>
  <c r="AD222" i="1"/>
  <c r="T222" i="1" s="1"/>
  <c r="AE222" i="1"/>
  <c r="R78" i="3" s="1"/>
  <c r="AF222" i="1"/>
  <c r="AH222" i="1"/>
  <c r="AM222" i="1"/>
  <c r="AN222" i="1"/>
  <c r="K223" i="1"/>
  <c r="L223" i="1"/>
  <c r="M223" i="1"/>
  <c r="N223" i="1" s="1"/>
  <c r="V223" i="1"/>
  <c r="S79" i="3" s="1"/>
  <c r="Y223" i="1"/>
  <c r="Z223" i="1"/>
  <c r="AB223" i="1"/>
  <c r="AC223" i="1"/>
  <c r="AD223" i="1"/>
  <c r="T223" i="1" s="1"/>
  <c r="AE223" i="1"/>
  <c r="AF223" i="1"/>
  <c r="AH223" i="1"/>
  <c r="AM223" i="1"/>
  <c r="AN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R79" i="3" s="1"/>
  <c r="AF224" i="1"/>
  <c r="AH224" i="1"/>
  <c r="AM224" i="1"/>
  <c r="AN224" i="1"/>
  <c r="K225" i="1"/>
  <c r="L225" i="1"/>
  <c r="M225" i="1"/>
  <c r="N225" i="1" s="1"/>
  <c r="V225" i="1"/>
  <c r="S75" i="3" s="1"/>
  <c r="Y225" i="1"/>
  <c r="Z225" i="1"/>
  <c r="AB225" i="1"/>
  <c r="AC225" i="1"/>
  <c r="AD225" i="1"/>
  <c r="AG225" i="1" s="1"/>
  <c r="AE225" i="1"/>
  <c r="AF225" i="1"/>
  <c r="AH225" i="1"/>
  <c r="AM225" i="1"/>
  <c r="AN225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26" i="1"/>
  <c r="AM226" i="1"/>
  <c r="AN226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227" i="1"/>
  <c r="AM227" i="1"/>
  <c r="AN227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R75" i="3" s="1"/>
  <c r="AF228" i="1"/>
  <c r="AH228" i="1"/>
  <c r="AM228" i="1"/>
  <c r="AN228" i="1"/>
  <c r="K229" i="1"/>
  <c r="L229" i="1"/>
  <c r="M229" i="1"/>
  <c r="N229" i="1" s="1"/>
  <c r="V229" i="1"/>
  <c r="S76" i="3" s="1"/>
  <c r="Y229" i="1"/>
  <c r="Z229" i="1"/>
  <c r="AB229" i="1"/>
  <c r="AC229" i="1"/>
  <c r="AD229" i="1"/>
  <c r="T229" i="1" s="1"/>
  <c r="AE229" i="1"/>
  <c r="AF229" i="1"/>
  <c r="AH229" i="1"/>
  <c r="AM229" i="1"/>
  <c r="AN229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230" i="1"/>
  <c r="AM230" i="1"/>
  <c r="AN230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231" i="1"/>
  <c r="AM231" i="1"/>
  <c r="AN231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R76" i="3" s="1"/>
  <c r="AF232" i="1"/>
  <c r="AH232" i="1"/>
  <c r="AM232" i="1"/>
  <c r="AN232" i="1"/>
  <c r="M68" i="3"/>
  <c r="R68" i="3"/>
  <c r="U68" i="3"/>
  <c r="T68" i="3" s="1"/>
  <c r="V68" i="3"/>
  <c r="W68" i="3"/>
  <c r="X68" i="3"/>
  <c r="M13" i="3"/>
  <c r="R13" i="3"/>
  <c r="S13" i="3"/>
  <c r="U13" i="3"/>
  <c r="T13" i="3" s="1"/>
  <c r="V13" i="3"/>
  <c r="W13" i="3"/>
  <c r="X13" i="3"/>
  <c r="AC13" i="3"/>
  <c r="M57" i="3"/>
  <c r="S57" i="3"/>
  <c r="U57" i="3"/>
  <c r="AC57" i="3" s="1"/>
  <c r="V57" i="3"/>
  <c r="W57" i="3"/>
  <c r="X57" i="3"/>
  <c r="M71" i="3"/>
  <c r="R71" i="3"/>
  <c r="U71" i="3"/>
  <c r="AC71" i="3" s="1"/>
  <c r="V71" i="3"/>
  <c r="W71" i="3"/>
  <c r="X71" i="3"/>
  <c r="M12" i="3"/>
  <c r="R12" i="3"/>
  <c r="S12" i="3"/>
  <c r="U12" i="3"/>
  <c r="AC12" i="3" s="1"/>
  <c r="V12" i="3"/>
  <c r="W12" i="3"/>
  <c r="X12" i="3"/>
  <c r="AD12" i="3"/>
  <c r="M74" i="3"/>
  <c r="U74" i="3"/>
  <c r="T74" i="3" s="1"/>
  <c r="V74" i="3"/>
  <c r="W74" i="3"/>
  <c r="X74" i="3"/>
  <c r="M21" i="3"/>
  <c r="U21" i="3"/>
  <c r="AC21" i="3" s="1"/>
  <c r="V21" i="3"/>
  <c r="W21" i="3"/>
  <c r="X21" i="3"/>
  <c r="M72" i="3"/>
  <c r="R72" i="3"/>
  <c r="S72" i="3"/>
  <c r="U72" i="3"/>
  <c r="AC72" i="3" s="1"/>
  <c r="V72" i="3"/>
  <c r="W72" i="3"/>
  <c r="X72" i="3"/>
  <c r="M16" i="3"/>
  <c r="R16" i="3"/>
  <c r="S16" i="3"/>
  <c r="U16" i="3"/>
  <c r="AC16" i="3" s="1"/>
  <c r="V16" i="3"/>
  <c r="W16" i="3"/>
  <c r="X16" i="3"/>
  <c r="AD16" i="3"/>
  <c r="M22" i="3"/>
  <c r="R22" i="3"/>
  <c r="S22" i="3"/>
  <c r="U22" i="3"/>
  <c r="T22" i="3" s="1"/>
  <c r="V22" i="3"/>
  <c r="W22" i="3"/>
  <c r="X22" i="3"/>
  <c r="AC22" i="3"/>
  <c r="M73" i="3"/>
  <c r="U73" i="3"/>
  <c r="AC73" i="3" s="1"/>
  <c r="V73" i="3"/>
  <c r="W73" i="3"/>
  <c r="X73" i="3"/>
  <c r="Y73" i="3"/>
  <c r="M35" i="3"/>
  <c r="R35" i="3"/>
  <c r="S35" i="3"/>
  <c r="U35" i="3"/>
  <c r="AC35" i="3" s="1"/>
  <c r="V35" i="3"/>
  <c r="W35" i="3"/>
  <c r="X35" i="3"/>
  <c r="M66" i="3"/>
  <c r="U66" i="3"/>
  <c r="T66" i="3" s="1"/>
  <c r="V66" i="3"/>
  <c r="W66" i="3"/>
  <c r="X66" i="3"/>
  <c r="AC66" i="3"/>
  <c r="M64" i="3"/>
  <c r="R64" i="3"/>
  <c r="U64" i="3"/>
  <c r="T64" i="3" s="1"/>
  <c r="V64" i="3"/>
  <c r="W64" i="3"/>
  <c r="X64" i="3"/>
  <c r="M9" i="3"/>
  <c r="U9" i="3"/>
  <c r="AD9" i="3" s="1"/>
  <c r="V9" i="3"/>
  <c r="W9" i="3"/>
  <c r="X9" i="3"/>
  <c r="M36" i="3"/>
  <c r="U36" i="3"/>
  <c r="AC36" i="3" s="1"/>
  <c r="V36" i="3"/>
  <c r="W36" i="3"/>
  <c r="X36" i="3"/>
  <c r="M48" i="3"/>
  <c r="S48" i="3"/>
  <c r="U48" i="3"/>
  <c r="AD48" i="3" s="1"/>
  <c r="V48" i="3"/>
  <c r="W48" i="3"/>
  <c r="X48" i="3"/>
  <c r="M49" i="3"/>
  <c r="S49" i="3"/>
  <c r="U49" i="3"/>
  <c r="T49" i="3" s="1"/>
  <c r="V49" i="3"/>
  <c r="W49" i="3"/>
  <c r="X49" i="3"/>
  <c r="AC49" i="3"/>
  <c r="M50" i="3"/>
  <c r="S50" i="3"/>
  <c r="U50" i="3"/>
  <c r="AC50" i="3" s="1"/>
  <c r="V50" i="3"/>
  <c r="W50" i="3"/>
  <c r="X50" i="3"/>
  <c r="M8" i="3"/>
  <c r="R8" i="3"/>
  <c r="U8" i="3"/>
  <c r="AD8" i="3" s="1"/>
  <c r="V8" i="3"/>
  <c r="W8" i="3"/>
  <c r="X8" i="3"/>
  <c r="M14" i="3"/>
  <c r="S14" i="3"/>
  <c r="U14" i="3"/>
  <c r="T14" i="3" s="1"/>
  <c r="V14" i="3"/>
  <c r="W14" i="3"/>
  <c r="X14" i="3"/>
  <c r="AC14" i="3"/>
  <c r="M23" i="3"/>
  <c r="R23" i="3"/>
  <c r="U23" i="3"/>
  <c r="T23" i="3" s="1"/>
  <c r="V23" i="3"/>
  <c r="W23" i="3"/>
  <c r="X23" i="3"/>
  <c r="AC23" i="3"/>
  <c r="M51" i="3"/>
  <c r="R51" i="3"/>
  <c r="U51" i="3"/>
  <c r="V51" i="3"/>
  <c r="W51" i="3"/>
  <c r="X51" i="3"/>
  <c r="AC51" i="3"/>
  <c r="M58" i="3"/>
  <c r="S58" i="3"/>
  <c r="U58" i="3"/>
  <c r="V58" i="3"/>
  <c r="W58" i="3"/>
  <c r="X58" i="3"/>
  <c r="M24" i="3"/>
  <c r="R24" i="3"/>
  <c r="U24" i="3"/>
  <c r="T24" i="3" s="1"/>
  <c r="V24" i="3"/>
  <c r="W24" i="3"/>
  <c r="X24" i="3"/>
  <c r="AC24" i="3"/>
  <c r="M52" i="3"/>
  <c r="R52" i="3"/>
  <c r="S52" i="3"/>
  <c r="U52" i="3"/>
  <c r="T52" i="3" s="1"/>
  <c r="V52" i="3"/>
  <c r="W52" i="3"/>
  <c r="X52" i="3"/>
  <c r="AC52" i="3"/>
  <c r="M53" i="3"/>
  <c r="R53" i="3"/>
  <c r="S53" i="3"/>
  <c r="U53" i="3"/>
  <c r="V53" i="3"/>
  <c r="W53" i="3"/>
  <c r="Y53" i="3" s="1"/>
  <c r="X53" i="3"/>
  <c r="M54" i="3"/>
  <c r="R54" i="3"/>
  <c r="S54" i="3"/>
  <c r="U54" i="3"/>
  <c r="T54" i="3" s="1"/>
  <c r="V54" i="3"/>
  <c r="W54" i="3"/>
  <c r="X54" i="3"/>
  <c r="M37" i="3"/>
  <c r="U37" i="3"/>
  <c r="V37" i="3"/>
  <c r="W37" i="3"/>
  <c r="X37" i="3"/>
  <c r="M34" i="3"/>
  <c r="U34" i="3"/>
  <c r="T34" i="3" s="1"/>
  <c r="V34" i="3"/>
  <c r="W34" i="3"/>
  <c r="X34" i="3"/>
  <c r="AC34" i="3"/>
  <c r="M77" i="3"/>
  <c r="U77" i="3"/>
  <c r="AC77" i="3" s="1"/>
  <c r="V77" i="3"/>
  <c r="W77" i="3"/>
  <c r="X77" i="3"/>
  <c r="M69" i="3"/>
  <c r="S69" i="3"/>
  <c r="U69" i="3"/>
  <c r="V69" i="3"/>
  <c r="W69" i="3"/>
  <c r="X69" i="3"/>
  <c r="M67" i="3"/>
  <c r="S67" i="3"/>
  <c r="U67" i="3"/>
  <c r="T67" i="3" s="1"/>
  <c r="V67" i="3"/>
  <c r="W67" i="3"/>
  <c r="Y67" i="3" s="1"/>
  <c r="X67" i="3"/>
  <c r="AC67" i="3"/>
  <c r="M38" i="3"/>
  <c r="R38" i="3"/>
  <c r="U38" i="3"/>
  <c r="T38" i="3" s="1"/>
  <c r="V38" i="3"/>
  <c r="W38" i="3"/>
  <c r="X38" i="3"/>
  <c r="AC38" i="3"/>
  <c r="M25" i="3"/>
  <c r="R25" i="3"/>
  <c r="S25" i="3"/>
  <c r="U25" i="3"/>
  <c r="AC25" i="3" s="1"/>
  <c r="V25" i="3"/>
  <c r="W25" i="3"/>
  <c r="Y25" i="3" s="1"/>
  <c r="X25" i="3"/>
  <c r="M32" i="3"/>
  <c r="R32" i="3"/>
  <c r="S32" i="3"/>
  <c r="U32" i="3"/>
  <c r="AD32" i="3" s="1"/>
  <c r="V32" i="3"/>
  <c r="W32" i="3"/>
  <c r="X32" i="3"/>
  <c r="M20" i="3"/>
  <c r="R20" i="3"/>
  <c r="U20" i="3"/>
  <c r="V20" i="3"/>
  <c r="W20" i="3"/>
  <c r="X20" i="3"/>
  <c r="AC20" i="3"/>
  <c r="M7" i="3"/>
  <c r="R7" i="3"/>
  <c r="U7" i="3"/>
  <c r="T7" i="3" s="1"/>
  <c r="V7" i="3"/>
  <c r="W7" i="3"/>
  <c r="Y7" i="3" s="1"/>
  <c r="X7" i="3"/>
  <c r="AC7" i="3"/>
  <c r="M39" i="3"/>
  <c r="R39" i="3"/>
  <c r="U39" i="3"/>
  <c r="AC39" i="3" s="1"/>
  <c r="V39" i="3"/>
  <c r="W39" i="3"/>
  <c r="X39" i="3"/>
  <c r="M55" i="3"/>
  <c r="R55" i="3"/>
  <c r="U55" i="3"/>
  <c r="V55" i="3"/>
  <c r="W55" i="3"/>
  <c r="X55" i="3"/>
  <c r="M15" i="3"/>
  <c r="R15" i="3"/>
  <c r="U15" i="3"/>
  <c r="T15" i="3" s="1"/>
  <c r="V15" i="3"/>
  <c r="W15" i="3"/>
  <c r="X15" i="3"/>
  <c r="AC15" i="3"/>
  <c r="M78" i="3"/>
  <c r="U78" i="3"/>
  <c r="T78" i="3" s="1"/>
  <c r="V78" i="3"/>
  <c r="W78" i="3"/>
  <c r="X78" i="3"/>
  <c r="AC78" i="3"/>
  <c r="M40" i="3"/>
  <c r="R40" i="3"/>
  <c r="U40" i="3"/>
  <c r="V40" i="3"/>
  <c r="W40" i="3"/>
  <c r="X40" i="3"/>
  <c r="M18" i="3"/>
  <c r="R18" i="3"/>
  <c r="S18" i="3"/>
  <c r="U18" i="3"/>
  <c r="V18" i="3"/>
  <c r="W18" i="3"/>
  <c r="X18" i="3"/>
  <c r="M65" i="3"/>
  <c r="R65" i="3"/>
  <c r="U65" i="3"/>
  <c r="T65" i="3" s="1"/>
  <c r="V65" i="3"/>
  <c r="W65" i="3"/>
  <c r="X65" i="3"/>
  <c r="AC65" i="3"/>
  <c r="M11" i="3"/>
  <c r="R11" i="3"/>
  <c r="U11" i="3"/>
  <c r="V11" i="3"/>
  <c r="W11" i="3"/>
  <c r="X11" i="3"/>
  <c r="M26" i="3"/>
  <c r="R26" i="3"/>
  <c r="S26" i="3"/>
  <c r="U26" i="3"/>
  <c r="V26" i="3"/>
  <c r="W26" i="3"/>
  <c r="X26" i="3"/>
  <c r="M41" i="3"/>
  <c r="R41" i="3"/>
  <c r="S41" i="3"/>
  <c r="U41" i="3"/>
  <c r="AC41" i="3" s="1"/>
  <c r="V41" i="3"/>
  <c r="W41" i="3"/>
  <c r="X41" i="3"/>
  <c r="M47" i="3"/>
  <c r="R47" i="3"/>
  <c r="S47" i="3"/>
  <c r="U47" i="3"/>
  <c r="T47" i="3" s="1"/>
  <c r="V47" i="3"/>
  <c r="W47" i="3"/>
  <c r="X47" i="3"/>
  <c r="AC47" i="3"/>
  <c r="M42" i="3"/>
  <c r="R42" i="3"/>
  <c r="S42" i="3"/>
  <c r="U42" i="3"/>
  <c r="V42" i="3"/>
  <c r="W42" i="3"/>
  <c r="X42" i="3"/>
  <c r="M27" i="3"/>
  <c r="R27" i="3"/>
  <c r="U27" i="3"/>
  <c r="V27" i="3"/>
  <c r="W27" i="3"/>
  <c r="X27" i="3"/>
  <c r="M43" i="3"/>
  <c r="R43" i="3"/>
  <c r="U43" i="3"/>
  <c r="AC43" i="3" s="1"/>
  <c r="V43" i="3"/>
  <c r="W43" i="3"/>
  <c r="X43" i="3"/>
  <c r="M19" i="3"/>
  <c r="R19" i="3"/>
  <c r="U19" i="3"/>
  <c r="T19" i="3" s="1"/>
  <c r="V19" i="3"/>
  <c r="W19" i="3"/>
  <c r="X19" i="3"/>
  <c r="M59" i="3"/>
  <c r="R59" i="3"/>
  <c r="U59" i="3"/>
  <c r="AC59" i="3" s="1"/>
  <c r="V59" i="3"/>
  <c r="W59" i="3"/>
  <c r="X59" i="3"/>
  <c r="M28" i="3"/>
  <c r="R28" i="3"/>
  <c r="U28" i="3"/>
  <c r="V28" i="3"/>
  <c r="W28" i="3"/>
  <c r="X28" i="3"/>
  <c r="M79" i="3"/>
  <c r="U79" i="3"/>
  <c r="AC79" i="3" s="1"/>
  <c r="V79" i="3"/>
  <c r="W79" i="3"/>
  <c r="X79" i="3"/>
  <c r="M29" i="3"/>
  <c r="R29" i="3"/>
  <c r="S29" i="3"/>
  <c r="U29" i="3"/>
  <c r="T29" i="3" s="1"/>
  <c r="V29" i="3"/>
  <c r="W29" i="3"/>
  <c r="X29" i="3"/>
  <c r="AC29" i="3"/>
  <c r="M70" i="3"/>
  <c r="R70" i="3"/>
  <c r="U70" i="3"/>
  <c r="AC70" i="3" s="1"/>
  <c r="V70" i="3"/>
  <c r="W70" i="3"/>
  <c r="X70" i="3"/>
  <c r="M30" i="3"/>
  <c r="R30" i="3"/>
  <c r="U30" i="3"/>
  <c r="V30" i="3"/>
  <c r="W30" i="3"/>
  <c r="X30" i="3"/>
  <c r="M60" i="3"/>
  <c r="R60" i="3"/>
  <c r="S60" i="3"/>
  <c r="U60" i="3"/>
  <c r="AC60" i="3" s="1"/>
  <c r="V60" i="3"/>
  <c r="W60" i="3"/>
  <c r="X60" i="3"/>
  <c r="M44" i="3"/>
  <c r="R44" i="3"/>
  <c r="U44" i="3"/>
  <c r="AD68" i="3" s="1"/>
  <c r="V44" i="3"/>
  <c r="W44" i="3"/>
  <c r="X44" i="3"/>
  <c r="AC44" i="3"/>
  <c r="M56" i="3"/>
  <c r="R56" i="3"/>
  <c r="S56" i="3"/>
  <c r="U56" i="3"/>
  <c r="AD56" i="3" s="1"/>
  <c r="V56" i="3"/>
  <c r="W56" i="3"/>
  <c r="X56" i="3"/>
  <c r="AC56" i="3"/>
  <c r="M61" i="3"/>
  <c r="R61" i="3"/>
  <c r="U61" i="3"/>
  <c r="V61" i="3"/>
  <c r="W61" i="3"/>
  <c r="X61" i="3"/>
  <c r="M62" i="3"/>
  <c r="R62" i="3"/>
  <c r="U62" i="3"/>
  <c r="AC62" i="3" s="1"/>
  <c r="V62" i="3"/>
  <c r="W62" i="3"/>
  <c r="X62" i="3"/>
  <c r="M45" i="3"/>
  <c r="R45" i="3"/>
  <c r="U45" i="3"/>
  <c r="AC45" i="3" s="1"/>
  <c r="V45" i="3"/>
  <c r="W45" i="3"/>
  <c r="X45" i="3"/>
  <c r="M33" i="3"/>
  <c r="R33" i="3"/>
  <c r="U33" i="3"/>
  <c r="V33" i="3"/>
  <c r="W33" i="3"/>
  <c r="X33" i="3"/>
  <c r="AC33" i="3"/>
  <c r="M75" i="3"/>
  <c r="U75" i="3"/>
  <c r="V75" i="3"/>
  <c r="W75" i="3"/>
  <c r="X75" i="3"/>
  <c r="M31" i="3"/>
  <c r="R31" i="3"/>
  <c r="U31" i="3"/>
  <c r="AC31" i="3" s="1"/>
  <c r="V31" i="3"/>
  <c r="W31" i="3"/>
  <c r="X31" i="3"/>
  <c r="M10" i="3"/>
  <c r="R10" i="3"/>
  <c r="U10" i="3"/>
  <c r="T10" i="3" s="1"/>
  <c r="V10" i="3"/>
  <c r="W10" i="3"/>
  <c r="X10" i="3"/>
  <c r="AC10" i="3"/>
  <c r="M76" i="3"/>
  <c r="U76" i="3"/>
  <c r="V76" i="3"/>
  <c r="W76" i="3"/>
  <c r="X76" i="3"/>
  <c r="M46" i="3"/>
  <c r="R46" i="3"/>
  <c r="U46" i="3"/>
  <c r="AC46" i="3" s="1"/>
  <c r="V46" i="3"/>
  <c r="W46" i="3"/>
  <c r="Y46" i="3" s="1"/>
  <c r="X46" i="3"/>
  <c r="M63" i="3"/>
  <c r="R63" i="3"/>
  <c r="S63" i="3"/>
  <c r="U63" i="3"/>
  <c r="AD63" i="3" s="1"/>
  <c r="V63" i="3"/>
  <c r="W63" i="3"/>
  <c r="X63" i="3"/>
  <c r="X170" i="1" l="1"/>
  <c r="S61" i="3"/>
  <c r="AA94" i="1"/>
  <c r="AA82" i="1"/>
  <c r="T82" i="1"/>
  <c r="X169" i="1"/>
  <c r="X168" i="1"/>
  <c r="AI189" i="1"/>
  <c r="X82" i="1"/>
  <c r="X171" i="1"/>
  <c r="X167" i="1"/>
  <c r="T127" i="1"/>
  <c r="X166" i="1"/>
  <c r="AC63" i="3"/>
  <c r="X162" i="1"/>
  <c r="AC74" i="3"/>
  <c r="Y58" i="3"/>
  <c r="AA221" i="1"/>
  <c r="X154" i="1"/>
  <c r="AG139" i="1"/>
  <c r="U139" i="1" s="1"/>
  <c r="S139" i="1" s="1"/>
  <c r="X161" i="1"/>
  <c r="AC48" i="3"/>
  <c r="X156" i="1"/>
  <c r="X164" i="1"/>
  <c r="X160" i="1"/>
  <c r="AD77" i="3"/>
  <c r="AA231" i="1"/>
  <c r="X228" i="1"/>
  <c r="AI211" i="1"/>
  <c r="X159" i="1"/>
  <c r="AA226" i="1"/>
  <c r="AA224" i="1"/>
  <c r="AA156" i="1"/>
  <c r="AA112" i="1"/>
  <c r="AA67" i="1"/>
  <c r="AA65" i="1"/>
  <c r="AA57" i="1"/>
  <c r="W57" i="1" s="1"/>
  <c r="AI51" i="1"/>
  <c r="X24" i="1"/>
  <c r="AA18" i="1"/>
  <c r="X157" i="1"/>
  <c r="AC64" i="3"/>
  <c r="AI195" i="1"/>
  <c r="AA68" i="1"/>
  <c r="AA19" i="1"/>
  <c r="X155" i="1"/>
  <c r="AD57" i="3"/>
  <c r="AA215" i="1"/>
  <c r="AG131" i="1"/>
  <c r="AI131" i="1" s="1"/>
  <c r="X114" i="1"/>
  <c r="AG113" i="1"/>
  <c r="X113" i="1"/>
  <c r="X105" i="1"/>
  <c r="X66" i="1"/>
  <c r="X158" i="1"/>
  <c r="Y30" i="3"/>
  <c r="Y39" i="3"/>
  <c r="Y32" i="3"/>
  <c r="Y57" i="3"/>
  <c r="AD79" i="3"/>
  <c r="Y31" i="3"/>
  <c r="AD71" i="3"/>
  <c r="Y26" i="3"/>
  <c r="AD52" i="3"/>
  <c r="AE52" i="3"/>
  <c r="Y21" i="3"/>
  <c r="AA228" i="1"/>
  <c r="AA227" i="1"/>
  <c r="AG217" i="1"/>
  <c r="U217" i="1" s="1"/>
  <c r="S217" i="1" s="1"/>
  <c r="AI199" i="1"/>
  <c r="AA199" i="1"/>
  <c r="W199" i="1" s="1"/>
  <c r="T143" i="1"/>
  <c r="U143" i="1" s="1"/>
  <c r="S143" i="1" s="1"/>
  <c r="T211" i="1"/>
  <c r="U211" i="1" s="1"/>
  <c r="S211" i="1" s="1"/>
  <c r="T99" i="1"/>
  <c r="AA98" i="1"/>
  <c r="AA174" i="1"/>
  <c r="AA52" i="1"/>
  <c r="W52" i="1" s="1"/>
  <c r="AA30" i="1"/>
  <c r="X99" i="1"/>
  <c r="X95" i="1"/>
  <c r="AA159" i="1"/>
  <c r="AA153" i="1"/>
  <c r="AA128" i="1"/>
  <c r="AA121" i="1"/>
  <c r="W121" i="1" s="1"/>
  <c r="AA99" i="1"/>
  <c r="W99" i="1" s="1"/>
  <c r="T180" i="1"/>
  <c r="X98" i="1"/>
  <c r="P92" i="1"/>
  <c r="AG77" i="1"/>
  <c r="U77" i="1" s="1"/>
  <c r="S77" i="1" s="1"/>
  <c r="X37" i="1"/>
  <c r="X97" i="1"/>
  <c r="T79" i="3"/>
  <c r="Y28" i="3"/>
  <c r="Y11" i="3"/>
  <c r="T8" i="3"/>
  <c r="Y50" i="3"/>
  <c r="Y36" i="3"/>
  <c r="Y13" i="3"/>
  <c r="T137" i="1"/>
  <c r="U137" i="1" s="1"/>
  <c r="S137" i="1" s="1"/>
  <c r="T112" i="1"/>
  <c r="U112" i="1" s="1"/>
  <c r="S112" i="1" s="1"/>
  <c r="AI181" i="1"/>
  <c r="AG180" i="1"/>
  <c r="X100" i="1"/>
  <c r="X70" i="1"/>
  <c r="AD72" i="3"/>
  <c r="Y79" i="3"/>
  <c r="AE59" i="3"/>
  <c r="Y41" i="3"/>
  <c r="AD53" i="3"/>
  <c r="Y40" i="3"/>
  <c r="Y55" i="3"/>
  <c r="S9" i="3"/>
  <c r="Y72" i="3"/>
  <c r="AG203" i="1"/>
  <c r="AI203" i="1" s="1"/>
  <c r="AA145" i="1"/>
  <c r="W145" i="1" s="1"/>
  <c r="AA137" i="1"/>
  <c r="AA129" i="1"/>
  <c r="AA127" i="1"/>
  <c r="W127" i="1" s="1"/>
  <c r="AG117" i="1"/>
  <c r="U117" i="1" s="1"/>
  <c r="S117" i="1" s="1"/>
  <c r="T105" i="1"/>
  <c r="AG104" i="1"/>
  <c r="X186" i="1"/>
  <c r="AA182" i="1"/>
  <c r="AA173" i="1"/>
  <c r="AI166" i="1"/>
  <c r="X92" i="1"/>
  <c r="AA88" i="1"/>
  <c r="AG83" i="1"/>
  <c r="AI83" i="1" s="1"/>
  <c r="X74" i="1"/>
  <c r="AA72" i="1"/>
  <c r="AA53" i="1"/>
  <c r="W53" i="1" s="1"/>
  <c r="AA38" i="1"/>
  <c r="AA36" i="1"/>
  <c r="AA23" i="1"/>
  <c r="X69" i="1"/>
  <c r="X65" i="1"/>
  <c r="Y76" i="3"/>
  <c r="AD73" i="3"/>
  <c r="Y70" i="3"/>
  <c r="Y71" i="3"/>
  <c r="AI162" i="1"/>
  <c r="X32" i="1"/>
  <c r="X72" i="1"/>
  <c r="X68" i="1"/>
  <c r="AC19" i="3"/>
  <c r="AD54" i="3"/>
  <c r="Y18" i="3"/>
  <c r="AD58" i="3"/>
  <c r="T32" i="3"/>
  <c r="AE36" i="3"/>
  <c r="AD24" i="3"/>
  <c r="AG213" i="1"/>
  <c r="AI213" i="1" s="1"/>
  <c r="X202" i="1"/>
  <c r="AG201" i="1"/>
  <c r="AI201" i="1" s="1"/>
  <c r="AA198" i="1"/>
  <c r="AG147" i="1"/>
  <c r="AI147" i="1" s="1"/>
  <c r="AA136" i="1"/>
  <c r="AA135" i="1"/>
  <c r="AA126" i="1"/>
  <c r="AG105" i="1"/>
  <c r="U105" i="1" s="1"/>
  <c r="S105" i="1" s="1"/>
  <c r="AA104" i="1"/>
  <c r="W104" i="1" s="1"/>
  <c r="AG182" i="1"/>
  <c r="U182" i="1" s="1"/>
  <c r="S182" i="1" s="1"/>
  <c r="AA165" i="1"/>
  <c r="AA71" i="1"/>
  <c r="AA69" i="1"/>
  <c r="AA56" i="1"/>
  <c r="W56" i="1" s="1"/>
  <c r="AA22" i="1"/>
  <c r="AA20" i="1"/>
  <c r="X71" i="1"/>
  <c r="X67" i="1"/>
  <c r="S34" i="3"/>
  <c r="AC37" i="3"/>
  <c r="Y45" i="3"/>
  <c r="AD66" i="3"/>
  <c r="S43" i="3"/>
  <c r="AE51" i="3"/>
  <c r="R69" i="3"/>
  <c r="Y51" i="3"/>
  <c r="Y49" i="3"/>
  <c r="R36" i="3"/>
  <c r="Y66" i="3"/>
  <c r="AD69" i="3"/>
  <c r="AE68" i="3"/>
  <c r="T26" i="3"/>
  <c r="AD36" i="3"/>
  <c r="AD21" i="3"/>
  <c r="AI225" i="1"/>
  <c r="AA225" i="1"/>
  <c r="W225" i="1" s="1"/>
  <c r="AG209" i="1"/>
  <c r="AI209" i="1" s="1"/>
  <c r="AA205" i="1"/>
  <c r="AA201" i="1"/>
  <c r="AG161" i="1"/>
  <c r="U161" i="1" s="1"/>
  <c r="S161" i="1" s="1"/>
  <c r="AA160" i="1"/>
  <c r="W160" i="1" s="1"/>
  <c r="AA151" i="1"/>
  <c r="W151" i="1" s="1"/>
  <c r="AA142" i="1"/>
  <c r="AA141" i="1"/>
  <c r="AA120" i="1"/>
  <c r="AA117" i="1"/>
  <c r="W117" i="1" s="1"/>
  <c r="AA115" i="1"/>
  <c r="T102" i="1"/>
  <c r="AA101" i="1"/>
  <c r="W101" i="1" s="1"/>
  <c r="AA97" i="1"/>
  <c r="W97" i="1" s="1"/>
  <c r="AA188" i="1"/>
  <c r="W188" i="1" s="1"/>
  <c r="AA96" i="1"/>
  <c r="AA169" i="1"/>
  <c r="W169" i="1" s="1"/>
  <c r="T169" i="1"/>
  <c r="U169" i="1" s="1"/>
  <c r="S169" i="1" s="1"/>
  <c r="AA163" i="1"/>
  <c r="T92" i="1"/>
  <c r="AA85" i="1"/>
  <c r="W85" i="1" s="1"/>
  <c r="AA81" i="1"/>
  <c r="AG75" i="1"/>
  <c r="AA62" i="1"/>
  <c r="AA50" i="1"/>
  <c r="AA48" i="1"/>
  <c r="X45" i="1"/>
  <c r="AA39" i="1"/>
  <c r="X36" i="1"/>
  <c r="AA34" i="1"/>
  <c r="X29" i="1"/>
  <c r="AA27" i="1"/>
  <c r="X16" i="1"/>
  <c r="AA14" i="1"/>
  <c r="AD76" i="3"/>
  <c r="AE74" i="3"/>
  <c r="AD74" i="3"/>
  <c r="S33" i="3"/>
  <c r="Y61" i="3"/>
  <c r="Y56" i="3"/>
  <c r="Y60" i="3"/>
  <c r="AE60" i="3"/>
  <c r="AC26" i="3"/>
  <c r="AE40" i="3"/>
  <c r="AE48" i="3"/>
  <c r="AE20" i="3"/>
  <c r="Y77" i="3"/>
  <c r="R34" i="3"/>
  <c r="Y54" i="3"/>
  <c r="Y24" i="3"/>
  <c r="Y8" i="3"/>
  <c r="Y9" i="3"/>
  <c r="S64" i="3"/>
  <c r="Y35" i="3"/>
  <c r="Y22" i="3"/>
  <c r="AG231" i="1"/>
  <c r="AI231" i="1" s="1"/>
  <c r="X213" i="1"/>
  <c r="AA209" i="1"/>
  <c r="X206" i="1"/>
  <c r="AG205" i="1"/>
  <c r="AI205" i="1" s="1"/>
  <c r="AA200" i="1"/>
  <c r="AG158" i="1"/>
  <c r="AI158" i="1" s="1"/>
  <c r="AA143" i="1"/>
  <c r="X131" i="1"/>
  <c r="AG129" i="1"/>
  <c r="U129" i="1" s="1"/>
  <c r="S129" i="1" s="1"/>
  <c r="AA119" i="1"/>
  <c r="W119" i="1" s="1"/>
  <c r="AA109" i="1"/>
  <c r="AA107" i="1"/>
  <c r="W107" i="1" s="1"/>
  <c r="AA102" i="1"/>
  <c r="W102" i="1" s="1"/>
  <c r="AA192" i="1"/>
  <c r="AA179" i="1"/>
  <c r="AA175" i="1"/>
  <c r="W175" i="1" s="1"/>
  <c r="AG92" i="1"/>
  <c r="AI92" i="1" s="1"/>
  <c r="AA90" i="1"/>
  <c r="AA86" i="1"/>
  <c r="AA75" i="1"/>
  <c r="W75" i="1" s="1"/>
  <c r="AA73" i="1"/>
  <c r="AA35" i="1"/>
  <c r="AA15" i="1"/>
  <c r="AE79" i="3"/>
  <c r="AC76" i="3"/>
  <c r="Y27" i="3"/>
  <c r="S7" i="3"/>
  <c r="Y69" i="3"/>
  <c r="R58" i="3"/>
  <c r="Y14" i="3"/>
  <c r="R50" i="3"/>
  <c r="Y68" i="3"/>
  <c r="T199" i="1"/>
  <c r="AI77" i="1"/>
  <c r="AA31" i="1"/>
  <c r="AA16" i="1"/>
  <c r="T225" i="1"/>
  <c r="AI217" i="1"/>
  <c r="T160" i="1"/>
  <c r="U160" i="1" s="1"/>
  <c r="S160" i="1" s="1"/>
  <c r="X125" i="1"/>
  <c r="X121" i="1"/>
  <c r="X109" i="1"/>
  <c r="X185" i="1"/>
  <c r="X182" i="1"/>
  <c r="AI75" i="1"/>
  <c r="AA64" i="1"/>
  <c r="W64" i="1" s="1"/>
  <c r="AA60" i="1"/>
  <c r="W60" i="1" s="1"/>
  <c r="AG58" i="1"/>
  <c r="AI58" i="1" s="1"/>
  <c r="X58" i="1"/>
  <c r="X48" i="1"/>
  <c r="AA46" i="1"/>
  <c r="W46" i="1" s="1"/>
  <c r="AA44" i="1"/>
  <c r="AG42" i="1"/>
  <c r="AI42" i="1" s="1"/>
  <c r="X28" i="1"/>
  <c r="AA26" i="1"/>
  <c r="AA24" i="1"/>
  <c r="X21" i="1"/>
  <c r="AG17" i="1"/>
  <c r="U17" i="1" s="1"/>
  <c r="S17" i="1" s="1"/>
  <c r="X17" i="1"/>
  <c r="X232" i="1"/>
  <c r="AA219" i="1"/>
  <c r="AA216" i="1"/>
  <c r="AA197" i="1"/>
  <c r="AA158" i="1"/>
  <c r="AG153" i="1"/>
  <c r="W153" i="1" s="1"/>
  <c r="X150" i="1"/>
  <c r="T145" i="1"/>
  <c r="U145" i="1" s="1"/>
  <c r="S145" i="1" s="1"/>
  <c r="AA144" i="1"/>
  <c r="X134" i="1"/>
  <c r="AA125" i="1"/>
  <c r="AI119" i="1"/>
  <c r="AG118" i="1"/>
  <c r="U118" i="1" s="1"/>
  <c r="X118" i="1"/>
  <c r="AA114" i="1"/>
  <c r="T114" i="1"/>
  <c r="AA108" i="1"/>
  <c r="AG106" i="1"/>
  <c r="U106" i="1" s="1"/>
  <c r="S106" i="1" s="1"/>
  <c r="AA210" i="1"/>
  <c r="W210" i="1" s="1"/>
  <c r="AG103" i="1"/>
  <c r="AI103" i="1" s="1"/>
  <c r="X103" i="1"/>
  <c r="AA100" i="1"/>
  <c r="X192" i="1"/>
  <c r="AA191" i="1"/>
  <c r="AA189" i="1"/>
  <c r="W189" i="1" s="1"/>
  <c r="AG187" i="1"/>
  <c r="AI187" i="1" s="1"/>
  <c r="AA184" i="1"/>
  <c r="W184" i="1" s="1"/>
  <c r="AA181" i="1"/>
  <c r="W181" i="1" s="1"/>
  <c r="AA176" i="1"/>
  <c r="AA170" i="1"/>
  <c r="AA167" i="1"/>
  <c r="AA166" i="1"/>
  <c r="W166" i="1" s="1"/>
  <c r="AA162" i="1"/>
  <c r="X87" i="1"/>
  <c r="AG81" i="1"/>
  <c r="X78" i="1"/>
  <c r="AA77" i="1"/>
  <c r="AA47" i="1"/>
  <c r="AA32" i="1"/>
  <c r="AA61" i="1"/>
  <c r="W61" i="1" s="1"/>
  <c r="AA59" i="1"/>
  <c r="X54" i="1"/>
  <c r="AA54" i="1"/>
  <c r="X44" i="1"/>
  <c r="AA40" i="1"/>
  <c r="AA28" i="1"/>
  <c r="AA229" i="1"/>
  <c r="AA223" i="1"/>
  <c r="X220" i="1"/>
  <c r="AG219" i="1"/>
  <c r="AI219" i="1" s="1"/>
  <c r="AA218" i="1"/>
  <c r="AA217" i="1"/>
  <c r="W217" i="1" s="1"/>
  <c r="AA207" i="1"/>
  <c r="AA203" i="1"/>
  <c r="AA157" i="1"/>
  <c r="AA152" i="1"/>
  <c r="AA150" i="1"/>
  <c r="AA149" i="1"/>
  <c r="AA134" i="1"/>
  <c r="AA133" i="1"/>
  <c r="W133" i="1" s="1"/>
  <c r="AA124" i="1"/>
  <c r="AA118" i="1"/>
  <c r="AA116" i="1"/>
  <c r="W116" i="1" s="1"/>
  <c r="AG114" i="1"/>
  <c r="AI114" i="1" s="1"/>
  <c r="AA106" i="1"/>
  <c r="W106" i="1" s="1"/>
  <c r="AA211" i="1"/>
  <c r="W211" i="1" s="1"/>
  <c r="AG100" i="1"/>
  <c r="U100" i="1" s="1"/>
  <c r="S100" i="1" s="1"/>
  <c r="AG98" i="1"/>
  <c r="U98" i="1" s="1"/>
  <c r="S98" i="1" s="1"/>
  <c r="X193" i="1"/>
  <c r="AG191" i="1"/>
  <c r="AI191" i="1" s="1"/>
  <c r="X189" i="1"/>
  <c r="AA187" i="1"/>
  <c r="AA185" i="1"/>
  <c r="AG179" i="1"/>
  <c r="AI179" i="1" s="1"/>
  <c r="AA178" i="1"/>
  <c r="AA172" i="1"/>
  <c r="AA168" i="1"/>
  <c r="AA93" i="1"/>
  <c r="AA91" i="1"/>
  <c r="W91" i="1" s="1"/>
  <c r="AA87" i="1"/>
  <c r="W87" i="1" s="1"/>
  <c r="T87" i="1"/>
  <c r="AG79" i="1"/>
  <c r="AI79" i="1" s="1"/>
  <c r="AA78" i="1"/>
  <c r="W78" i="1" s="1"/>
  <c r="T78" i="1"/>
  <c r="U78" i="1" s="1"/>
  <c r="S78" i="1" s="1"/>
  <c r="X63" i="1"/>
  <c r="X40" i="1"/>
  <c r="X20" i="1"/>
  <c r="T154" i="1"/>
  <c r="AA232" i="1"/>
  <c r="W232" i="1" s="1"/>
  <c r="T232" i="1"/>
  <c r="U232" i="1" s="1"/>
  <c r="S232" i="1" s="1"/>
  <c r="AG229" i="1"/>
  <c r="AI229" i="1" s="1"/>
  <c r="X225" i="1"/>
  <c r="AG223" i="1"/>
  <c r="AI223" i="1" s="1"/>
  <c r="AG221" i="1"/>
  <c r="AI221" i="1" s="1"/>
  <c r="X217" i="1"/>
  <c r="AG215" i="1"/>
  <c r="AA213" i="1"/>
  <c r="X212" i="1"/>
  <c r="AG207" i="1"/>
  <c r="AI207" i="1" s="1"/>
  <c r="AA204" i="1"/>
  <c r="AA202" i="1"/>
  <c r="X199" i="1"/>
  <c r="AG197" i="1"/>
  <c r="AA161" i="1"/>
  <c r="W161" i="1" s="1"/>
  <c r="T151" i="1"/>
  <c r="U151" i="1" s="1"/>
  <c r="S151" i="1" s="1"/>
  <c r="T141" i="1"/>
  <c r="X142" i="1"/>
  <c r="AG141" i="1"/>
  <c r="AI141" i="1" s="1"/>
  <c r="T135" i="1"/>
  <c r="AG135" i="1"/>
  <c r="X224" i="1"/>
  <c r="AA222" i="1"/>
  <c r="AA220" i="1"/>
  <c r="X216" i="1"/>
  <c r="AA208" i="1"/>
  <c r="AA206" i="1"/>
  <c r="X203" i="1"/>
  <c r="X198" i="1"/>
  <c r="T156" i="1"/>
  <c r="AG156" i="1"/>
  <c r="AG149" i="1"/>
  <c r="AI149" i="1" s="1"/>
  <c r="T149" i="1"/>
  <c r="W143" i="1"/>
  <c r="T125" i="1"/>
  <c r="X126" i="1"/>
  <c r="AG125" i="1"/>
  <c r="AA230" i="1"/>
  <c r="X229" i="1"/>
  <c r="AG227" i="1"/>
  <c r="AI227" i="1" s="1"/>
  <c r="X221" i="1"/>
  <c r="AA214" i="1"/>
  <c r="AA212" i="1"/>
  <c r="T212" i="1"/>
  <c r="X207" i="1"/>
  <c r="AA196" i="1"/>
  <c r="X147" i="1"/>
  <c r="X146" i="1"/>
  <c r="T146" i="1"/>
  <c r="X139" i="1"/>
  <c r="T138" i="1"/>
  <c r="X138" i="1"/>
  <c r="W137" i="1"/>
  <c r="AI133" i="1"/>
  <c r="AI121" i="1"/>
  <c r="T192" i="1"/>
  <c r="T185" i="1"/>
  <c r="T175" i="1"/>
  <c r="U175" i="1" s="1"/>
  <c r="S175" i="1" s="1"/>
  <c r="AG172" i="1"/>
  <c r="AI85" i="1"/>
  <c r="AA148" i="1"/>
  <c r="AA146" i="1"/>
  <c r="X143" i="1"/>
  <c r="AA139" i="1"/>
  <c r="T133" i="1"/>
  <c r="U133" i="1" s="1"/>
  <c r="S133" i="1" s="1"/>
  <c r="AA132" i="1"/>
  <c r="AA130" i="1"/>
  <c r="T130" i="1"/>
  <c r="X127" i="1"/>
  <c r="AG122" i="1"/>
  <c r="U122" i="1" s="1"/>
  <c r="S122" i="1" s="1"/>
  <c r="X122" i="1"/>
  <c r="T116" i="1"/>
  <c r="AA113" i="1"/>
  <c r="W113" i="1" s="1"/>
  <c r="AA111" i="1"/>
  <c r="AA110" i="1"/>
  <c r="T109" i="1"/>
  <c r="T108" i="1"/>
  <c r="U108" i="1" s="1"/>
  <c r="S108" i="1" s="1"/>
  <c r="AA195" i="1"/>
  <c r="W195" i="1" s="1"/>
  <c r="AA194" i="1"/>
  <c r="AA193" i="1"/>
  <c r="T193" i="1"/>
  <c r="U193" i="1" s="1"/>
  <c r="S193" i="1" s="1"/>
  <c r="AG192" i="1"/>
  <c r="AG190" i="1"/>
  <c r="U190" i="1" s="1"/>
  <c r="S190" i="1" s="1"/>
  <c r="X190" i="1"/>
  <c r="AA186" i="1"/>
  <c r="T186" i="1"/>
  <c r="AG185" i="1"/>
  <c r="W185" i="1" s="1"/>
  <c r="AA183" i="1"/>
  <c r="X179" i="1"/>
  <c r="AG176" i="1"/>
  <c r="X176" i="1"/>
  <c r="T170" i="1"/>
  <c r="AG170" i="1"/>
  <c r="X85" i="1"/>
  <c r="AG84" i="1"/>
  <c r="AI84" i="1" s="1"/>
  <c r="T84" i="1"/>
  <c r="X84" i="1"/>
  <c r="T121" i="1"/>
  <c r="U121" i="1" s="1"/>
  <c r="S121" i="1" s="1"/>
  <c r="T189" i="1"/>
  <c r="U189" i="1" s="1"/>
  <c r="S189" i="1" s="1"/>
  <c r="U180" i="1"/>
  <c r="S180" i="1" s="1"/>
  <c r="X175" i="1"/>
  <c r="T172" i="1"/>
  <c r="AG163" i="1"/>
  <c r="W163" i="1" s="1"/>
  <c r="T163" i="1"/>
  <c r="T90" i="1"/>
  <c r="X91" i="1"/>
  <c r="AG80" i="1"/>
  <c r="AI80" i="1" s="1"/>
  <c r="T80" i="1"/>
  <c r="X80" i="1"/>
  <c r="X81" i="1"/>
  <c r="AA155" i="1"/>
  <c r="AA154" i="1"/>
  <c r="X151" i="1"/>
  <c r="AA147" i="1"/>
  <c r="AA140" i="1"/>
  <c r="AA138" i="1"/>
  <c r="X135" i="1"/>
  <c r="AA131" i="1"/>
  <c r="W131" i="1" s="1"/>
  <c r="X130" i="1"/>
  <c r="AA123" i="1"/>
  <c r="AA122" i="1"/>
  <c r="X117" i="1"/>
  <c r="AG110" i="1"/>
  <c r="U110" i="1" s="1"/>
  <c r="S110" i="1" s="1"/>
  <c r="AG109" i="1"/>
  <c r="W109" i="1" s="1"/>
  <c r="AA105" i="1"/>
  <c r="W105" i="1" s="1"/>
  <c r="AA103" i="1"/>
  <c r="AG194" i="1"/>
  <c r="U194" i="1" s="1"/>
  <c r="AG193" i="1"/>
  <c r="AI193" i="1" s="1"/>
  <c r="AA190" i="1"/>
  <c r="AG186" i="1"/>
  <c r="AG183" i="1"/>
  <c r="AI183" i="1" s="1"/>
  <c r="AA177" i="1"/>
  <c r="AA95" i="1"/>
  <c r="W162" i="1"/>
  <c r="T162" i="1"/>
  <c r="U162" i="1" s="1"/>
  <c r="S162" i="1" s="1"/>
  <c r="T88" i="1"/>
  <c r="X88" i="1"/>
  <c r="AG88" i="1"/>
  <c r="W88" i="1" s="1"/>
  <c r="T85" i="1"/>
  <c r="U85" i="1" s="1"/>
  <c r="S85" i="1" s="1"/>
  <c r="T166" i="1"/>
  <c r="U166" i="1" s="1"/>
  <c r="S166" i="1" s="1"/>
  <c r="AA164" i="1"/>
  <c r="X86" i="1"/>
  <c r="X77" i="1"/>
  <c r="X76" i="1"/>
  <c r="AA74" i="1"/>
  <c r="T74" i="1"/>
  <c r="AG73" i="1"/>
  <c r="T72" i="1"/>
  <c r="U72" i="1" s="1"/>
  <c r="S72" i="1" s="1"/>
  <c r="AA70" i="1"/>
  <c r="T70" i="1"/>
  <c r="AG69" i="1"/>
  <c r="T68" i="1"/>
  <c r="U68" i="1" s="1"/>
  <c r="S68" i="1" s="1"/>
  <c r="AA66" i="1"/>
  <c r="T66" i="1"/>
  <c r="T65" i="1"/>
  <c r="U65" i="1" s="1"/>
  <c r="S65" i="1" s="1"/>
  <c r="AA63" i="1"/>
  <c r="T63" i="1"/>
  <c r="AG62" i="1"/>
  <c r="AI62" i="1" s="1"/>
  <c r="X62" i="1"/>
  <c r="AA58" i="1"/>
  <c r="T57" i="1"/>
  <c r="U57" i="1" s="1"/>
  <c r="S57" i="1" s="1"/>
  <c r="AA55" i="1"/>
  <c r="T54" i="1"/>
  <c r="AG49" i="1"/>
  <c r="U49" i="1" s="1"/>
  <c r="S49" i="1" s="1"/>
  <c r="X49" i="1"/>
  <c r="AA45" i="1"/>
  <c r="T45" i="1"/>
  <c r="AG44" i="1"/>
  <c r="AG41" i="1"/>
  <c r="U41" i="1" s="1"/>
  <c r="S41" i="1" s="1"/>
  <c r="X41" i="1"/>
  <c r="AA37" i="1"/>
  <c r="T37" i="1"/>
  <c r="AG36" i="1"/>
  <c r="AG33" i="1"/>
  <c r="U33" i="1" s="1"/>
  <c r="S33" i="1" s="1"/>
  <c r="X33" i="1"/>
  <c r="AA29" i="1"/>
  <c r="T29" i="1"/>
  <c r="AG28" i="1"/>
  <c r="AG25" i="1"/>
  <c r="U25" i="1" s="1"/>
  <c r="S25" i="1" s="1"/>
  <c r="X25" i="1"/>
  <c r="AA21" i="1"/>
  <c r="T21" i="1"/>
  <c r="AG20" i="1"/>
  <c r="X73" i="1"/>
  <c r="X61" i="1"/>
  <c r="T53" i="1"/>
  <c r="U53" i="1" s="1"/>
  <c r="S53" i="1" s="1"/>
  <c r="T48" i="1"/>
  <c r="T40" i="1"/>
  <c r="T32" i="1"/>
  <c r="T24" i="1"/>
  <c r="T16" i="1"/>
  <c r="AA171" i="1"/>
  <c r="AA92" i="1"/>
  <c r="T91" i="1"/>
  <c r="U91" i="1" s="1"/>
  <c r="S91" i="1" s="1"/>
  <c r="AA89" i="1"/>
  <c r="AA84" i="1"/>
  <c r="AA83" i="1"/>
  <c r="W83" i="1" s="1"/>
  <c r="AA80" i="1"/>
  <c r="AA79" i="1"/>
  <c r="AA76" i="1"/>
  <c r="W76" i="1" s="1"/>
  <c r="T76" i="1"/>
  <c r="U76" i="1" s="1"/>
  <c r="S76" i="1" s="1"/>
  <c r="AG74" i="1"/>
  <c r="AG70" i="1"/>
  <c r="U70" i="1" s="1"/>
  <c r="S70" i="1" s="1"/>
  <c r="AG66" i="1"/>
  <c r="AG63" i="1"/>
  <c r="X57" i="1"/>
  <c r="AG54" i="1"/>
  <c r="AI54" i="1" s="1"/>
  <c r="AA51" i="1"/>
  <c r="W51" i="1" s="1"/>
  <c r="AG48" i="1"/>
  <c r="AG45" i="1"/>
  <c r="AA41" i="1"/>
  <c r="AG40" i="1"/>
  <c r="AG37" i="1"/>
  <c r="AA33" i="1"/>
  <c r="AG32" i="1"/>
  <c r="AG29" i="1"/>
  <c r="AA25" i="1"/>
  <c r="AG24" i="1"/>
  <c r="AG21" i="1"/>
  <c r="AI21" i="1" s="1"/>
  <c r="AA17" i="1"/>
  <c r="AG16" i="1"/>
  <c r="T61" i="1"/>
  <c r="U61" i="1" s="1"/>
  <c r="S61" i="1" s="1"/>
  <c r="X53" i="1"/>
  <c r="W42" i="1"/>
  <c r="AI232" i="1"/>
  <c r="U219" i="1"/>
  <c r="S219" i="1" s="1"/>
  <c r="U223" i="1"/>
  <c r="S223" i="1" s="1"/>
  <c r="X231" i="1"/>
  <c r="AG228" i="1"/>
  <c r="X227" i="1"/>
  <c r="AG224" i="1"/>
  <c r="X223" i="1"/>
  <c r="AG220" i="1"/>
  <c r="X219" i="1"/>
  <c r="AG216" i="1"/>
  <c r="X215" i="1"/>
  <c r="AG212" i="1"/>
  <c r="X209" i="1"/>
  <c r="AG206" i="1"/>
  <c r="X205" i="1"/>
  <c r="AG202" i="1"/>
  <c r="X201" i="1"/>
  <c r="AG198" i="1"/>
  <c r="X197" i="1"/>
  <c r="AG157" i="1"/>
  <c r="AI157" i="1" s="1"/>
  <c r="AG154" i="1"/>
  <c r="AI154" i="1" s="1"/>
  <c r="X153" i="1"/>
  <c r="AG150" i="1"/>
  <c r="AI150" i="1" s="1"/>
  <c r="X149" i="1"/>
  <c r="AG146" i="1"/>
  <c r="AI146" i="1" s="1"/>
  <c r="X145" i="1"/>
  <c r="AG142" i="1"/>
  <c r="X141" i="1"/>
  <c r="AG138" i="1"/>
  <c r="AI138" i="1" s="1"/>
  <c r="X137" i="1"/>
  <c r="AG134" i="1"/>
  <c r="X133" i="1"/>
  <c r="AG130" i="1"/>
  <c r="AI130" i="1" s="1"/>
  <c r="X129" i="1"/>
  <c r="AG126" i="1"/>
  <c r="W126" i="1" s="1"/>
  <c r="AG123" i="1"/>
  <c r="AI123" i="1" s="1"/>
  <c r="T123" i="1"/>
  <c r="X123" i="1"/>
  <c r="W112" i="1"/>
  <c r="U104" i="1"/>
  <c r="S104" i="1" s="1"/>
  <c r="U225" i="1"/>
  <c r="S225" i="1" s="1"/>
  <c r="U199" i="1"/>
  <c r="S199" i="1" s="1"/>
  <c r="U147" i="1"/>
  <c r="S147" i="1" s="1"/>
  <c r="U131" i="1"/>
  <c r="S131" i="1" s="1"/>
  <c r="U127" i="1"/>
  <c r="S127" i="1" s="1"/>
  <c r="W111" i="1"/>
  <c r="W108" i="1"/>
  <c r="AG230" i="1"/>
  <c r="AG226" i="1"/>
  <c r="W226" i="1" s="1"/>
  <c r="AG222" i="1"/>
  <c r="AG218" i="1"/>
  <c r="AG214" i="1"/>
  <c r="AG208" i="1"/>
  <c r="AG204" i="1"/>
  <c r="AG200" i="1"/>
  <c r="AG196" i="1"/>
  <c r="AG159" i="1"/>
  <c r="AG155" i="1"/>
  <c r="AI155" i="1" s="1"/>
  <c r="AG152" i="1"/>
  <c r="AG148" i="1"/>
  <c r="AG144" i="1"/>
  <c r="AI144" i="1" s="1"/>
  <c r="AG140" i="1"/>
  <c r="AI140" i="1" s="1"/>
  <c r="AG136" i="1"/>
  <c r="AG132" i="1"/>
  <c r="AI132" i="1" s="1"/>
  <c r="AG128" i="1"/>
  <c r="AI128" i="1" s="1"/>
  <c r="T124" i="1"/>
  <c r="X124" i="1"/>
  <c r="AG124" i="1"/>
  <c r="AI124" i="1" s="1"/>
  <c r="AI153" i="1"/>
  <c r="U116" i="1"/>
  <c r="S116" i="1" s="1"/>
  <c r="W115" i="1"/>
  <c r="AI145" i="1"/>
  <c r="X230" i="1"/>
  <c r="X226" i="1"/>
  <c r="X222" i="1"/>
  <c r="X218" i="1"/>
  <c r="X214" i="1"/>
  <c r="X208" i="1"/>
  <c r="X204" i="1"/>
  <c r="X200" i="1"/>
  <c r="X196" i="1"/>
  <c r="X152" i="1"/>
  <c r="X148" i="1"/>
  <c r="X144" i="1"/>
  <c r="X140" i="1"/>
  <c r="X136" i="1"/>
  <c r="X132" i="1"/>
  <c r="X128" i="1"/>
  <c r="AI137" i="1"/>
  <c r="U102" i="1"/>
  <c r="S102" i="1" s="1"/>
  <c r="AG120" i="1"/>
  <c r="AI120" i="1" s="1"/>
  <c r="X119" i="1"/>
  <c r="T119" i="1"/>
  <c r="U119" i="1" s="1"/>
  <c r="S119" i="1" s="1"/>
  <c r="S118" i="1"/>
  <c r="X115" i="1"/>
  <c r="T115" i="1"/>
  <c r="U115" i="1" s="1"/>
  <c r="S115" i="1" s="1"/>
  <c r="AI151" i="1"/>
  <c r="X111" i="1"/>
  <c r="T111" i="1"/>
  <c r="U111" i="1" s="1"/>
  <c r="S111" i="1" s="1"/>
  <c r="X107" i="1"/>
  <c r="T107" i="1"/>
  <c r="U107" i="1" s="1"/>
  <c r="S107" i="1" s="1"/>
  <c r="AI143" i="1"/>
  <c r="X210" i="1"/>
  <c r="T210" i="1"/>
  <c r="U210" i="1" s="1"/>
  <c r="S210" i="1" s="1"/>
  <c r="AI139" i="1"/>
  <c r="X101" i="1"/>
  <c r="T101" i="1"/>
  <c r="U101" i="1" s="1"/>
  <c r="S101" i="1" s="1"/>
  <c r="AI135" i="1"/>
  <c r="X195" i="1"/>
  <c r="T195" i="1"/>
  <c r="U195" i="1" s="1"/>
  <c r="S195" i="1" s="1"/>
  <c r="S194" i="1"/>
  <c r="T97" i="1"/>
  <c r="U97" i="1" s="1"/>
  <c r="S97" i="1" s="1"/>
  <c r="AI127" i="1"/>
  <c r="X188" i="1"/>
  <c r="T188" i="1"/>
  <c r="U188" i="1" s="1"/>
  <c r="S188" i="1" s="1"/>
  <c r="X184" i="1"/>
  <c r="T184" i="1"/>
  <c r="U184" i="1" s="1"/>
  <c r="S184" i="1" s="1"/>
  <c r="T181" i="1"/>
  <c r="U181" i="1" s="1"/>
  <c r="S181" i="1" s="1"/>
  <c r="X181" i="1"/>
  <c r="AA180" i="1"/>
  <c r="T177" i="1"/>
  <c r="X177" i="1"/>
  <c r="AG177" i="1"/>
  <c r="AI177" i="1" s="1"/>
  <c r="X120" i="1"/>
  <c r="X116" i="1"/>
  <c r="U113" i="1"/>
  <c r="S113" i="1" s="1"/>
  <c r="X112" i="1"/>
  <c r="X108" i="1"/>
  <c r="X211" i="1"/>
  <c r="X102" i="1"/>
  <c r="U99" i="1"/>
  <c r="S99" i="1" s="1"/>
  <c r="T96" i="1"/>
  <c r="AG96" i="1"/>
  <c r="AI116" i="1"/>
  <c r="AI111" i="1"/>
  <c r="T173" i="1"/>
  <c r="X173" i="1"/>
  <c r="AG173" i="1"/>
  <c r="AI173" i="1" s="1"/>
  <c r="AI115" i="1"/>
  <c r="AI91" i="1"/>
  <c r="X110" i="1"/>
  <c r="X106" i="1"/>
  <c r="X104" i="1"/>
  <c r="X194" i="1"/>
  <c r="X191" i="1"/>
  <c r="AI126" i="1"/>
  <c r="X187" i="1"/>
  <c r="X183" i="1"/>
  <c r="AI118" i="1"/>
  <c r="AI102" i="1"/>
  <c r="U87" i="1"/>
  <c r="S87" i="1" s="1"/>
  <c r="AI87" i="1"/>
  <c r="U82" i="1"/>
  <c r="S82" i="1" s="1"/>
  <c r="AI82" i="1"/>
  <c r="AI78" i="1"/>
  <c r="AI72" i="1"/>
  <c r="AI68" i="1"/>
  <c r="AI65" i="1"/>
  <c r="AI57" i="1"/>
  <c r="AG171" i="1"/>
  <c r="AG167" i="1"/>
  <c r="AI167" i="1" s="1"/>
  <c r="AG164" i="1"/>
  <c r="AI164" i="1" s="1"/>
  <c r="AG93" i="1"/>
  <c r="AG89" i="1"/>
  <c r="W71" i="1"/>
  <c r="W67" i="1"/>
  <c r="AI60" i="1"/>
  <c r="AI56" i="1"/>
  <c r="AI53" i="1"/>
  <c r="AG178" i="1"/>
  <c r="AG174" i="1"/>
  <c r="W174" i="1" s="1"/>
  <c r="AI107" i="1"/>
  <c r="AG95" i="1"/>
  <c r="AI95" i="1" s="1"/>
  <c r="AG168" i="1"/>
  <c r="AI99" i="1"/>
  <c r="AG165" i="1"/>
  <c r="W165" i="1" s="1"/>
  <c r="AG94" i="1"/>
  <c r="X93" i="1"/>
  <c r="AG90" i="1"/>
  <c r="X89" i="1"/>
  <c r="AG86" i="1"/>
  <c r="W86" i="1" s="1"/>
  <c r="T86" i="1"/>
  <c r="AI71" i="1"/>
  <c r="AI67" i="1"/>
  <c r="AI64" i="1"/>
  <c r="AI52" i="1"/>
  <c r="X178" i="1"/>
  <c r="X174" i="1"/>
  <c r="X165" i="1"/>
  <c r="X94" i="1"/>
  <c r="X90" i="1"/>
  <c r="W82" i="1"/>
  <c r="U79" i="1"/>
  <c r="S79" i="1" s="1"/>
  <c r="AI76" i="1"/>
  <c r="U75" i="1"/>
  <c r="S75" i="1" s="1"/>
  <c r="W72" i="1"/>
  <c r="W68" i="1"/>
  <c r="W65" i="1"/>
  <c r="AI61" i="1"/>
  <c r="X83" i="1"/>
  <c r="X79" i="1"/>
  <c r="X75" i="1"/>
  <c r="T71" i="1"/>
  <c r="U71" i="1" s="1"/>
  <c r="S71" i="1" s="1"/>
  <c r="T67" i="1"/>
  <c r="U67" i="1" s="1"/>
  <c r="S67" i="1" s="1"/>
  <c r="AI66" i="1"/>
  <c r="X64" i="1"/>
  <c r="T64" i="1"/>
  <c r="U64" i="1" s="1"/>
  <c r="S64" i="1" s="1"/>
  <c r="X60" i="1"/>
  <c r="T60" i="1"/>
  <c r="U60" i="1" s="1"/>
  <c r="S60" i="1" s="1"/>
  <c r="X56" i="1"/>
  <c r="T56" i="1"/>
  <c r="U56" i="1" s="1"/>
  <c r="S56" i="1" s="1"/>
  <c r="X52" i="1"/>
  <c r="T52" i="1"/>
  <c r="U52" i="1" s="1"/>
  <c r="S52" i="1" s="1"/>
  <c r="T51" i="1"/>
  <c r="U51" i="1" s="1"/>
  <c r="S51" i="1" s="1"/>
  <c r="AA49" i="1"/>
  <c r="AG59" i="1"/>
  <c r="AG55" i="1"/>
  <c r="X51" i="1"/>
  <c r="T50" i="1"/>
  <c r="X50" i="1"/>
  <c r="X59" i="1"/>
  <c r="X55" i="1"/>
  <c r="AG50" i="1"/>
  <c r="U21" i="1"/>
  <c r="S21" i="1" s="1"/>
  <c r="U46" i="1"/>
  <c r="S46" i="1" s="1"/>
  <c r="AG38" i="1"/>
  <c r="W38" i="1" s="1"/>
  <c r="AG34" i="1"/>
  <c r="AG30" i="1"/>
  <c r="AG26" i="1"/>
  <c r="AG22" i="1"/>
  <c r="W22" i="1" s="1"/>
  <c r="AG18" i="1"/>
  <c r="AG14" i="1"/>
  <c r="AG47" i="1"/>
  <c r="X46" i="1"/>
  <c r="AG43" i="1"/>
  <c r="W43" i="1" s="1"/>
  <c r="X42" i="1"/>
  <c r="AG39" i="1"/>
  <c r="W39" i="1" s="1"/>
  <c r="X38" i="1"/>
  <c r="AG35" i="1"/>
  <c r="W35" i="1" s="1"/>
  <c r="X34" i="1"/>
  <c r="AG31" i="1"/>
  <c r="X30" i="1"/>
  <c r="AI29" i="1"/>
  <c r="AG27" i="1"/>
  <c r="X26" i="1"/>
  <c r="AI25" i="1"/>
  <c r="AG23" i="1"/>
  <c r="W23" i="1" s="1"/>
  <c r="X22" i="1"/>
  <c r="AG19" i="1"/>
  <c r="X18" i="1"/>
  <c r="AG15" i="1"/>
  <c r="X47" i="1"/>
  <c r="AI46" i="1"/>
  <c r="X43" i="1"/>
  <c r="X39" i="1"/>
  <c r="X35" i="1"/>
  <c r="X31" i="1"/>
  <c r="X27" i="1"/>
  <c r="X23" i="1"/>
  <c r="X19" i="1"/>
  <c r="X15" i="1"/>
  <c r="Y63" i="3"/>
  <c r="Y75" i="3"/>
  <c r="AD70" i="3"/>
  <c r="AE63" i="3"/>
  <c r="AD61" i="3"/>
  <c r="Y65" i="3"/>
  <c r="AE32" i="3"/>
  <c r="AD25" i="3"/>
  <c r="T63" i="3"/>
  <c r="AE75" i="3"/>
  <c r="AD75" i="3"/>
  <c r="Y44" i="3"/>
  <c r="Y29" i="3"/>
  <c r="Y19" i="3"/>
  <c r="Y47" i="3"/>
  <c r="AD44" i="3"/>
  <c r="AD41" i="3"/>
  <c r="AE39" i="3"/>
  <c r="T37" i="3"/>
  <c r="Y52" i="3"/>
  <c r="AD29" i="3"/>
  <c r="AE27" i="3"/>
  <c r="T36" i="3"/>
  <c r="T16" i="3"/>
  <c r="Y74" i="3"/>
  <c r="AE11" i="3"/>
  <c r="Y62" i="3"/>
  <c r="AE56" i="3"/>
  <c r="AE43" i="3"/>
  <c r="AE19" i="3"/>
  <c r="T62" i="3"/>
  <c r="AD62" i="3"/>
  <c r="AD45" i="3"/>
  <c r="AE28" i="3"/>
  <c r="AE23" i="3"/>
  <c r="T35" i="3"/>
  <c r="AE16" i="3"/>
  <c r="T71" i="3"/>
  <c r="Y10" i="3"/>
  <c r="T45" i="3"/>
  <c r="AC61" i="3"/>
  <c r="T44" i="3"/>
  <c r="AD64" i="3"/>
  <c r="AE64" i="3"/>
  <c r="T28" i="3"/>
  <c r="Y59" i="3"/>
  <c r="AD60" i="3"/>
  <c r="AE58" i="3"/>
  <c r="Y42" i="3"/>
  <c r="T41" i="3"/>
  <c r="AC11" i="3"/>
  <c r="T18" i="3"/>
  <c r="Y15" i="3"/>
  <c r="T20" i="3"/>
  <c r="Y38" i="3"/>
  <c r="AD40" i="3"/>
  <c r="Y37" i="3"/>
  <c r="AE35" i="3"/>
  <c r="AD33" i="3"/>
  <c r="Y23" i="3"/>
  <c r="AD28" i="3"/>
  <c r="T48" i="3"/>
  <c r="Y64" i="3"/>
  <c r="AD20" i="3"/>
  <c r="Y16" i="3"/>
  <c r="AE15" i="3"/>
  <c r="AD13" i="3"/>
  <c r="T12" i="3"/>
  <c r="Y43" i="3"/>
  <c r="Y78" i="3"/>
  <c r="AE44" i="3"/>
  <c r="Y20" i="3"/>
  <c r="Y34" i="3"/>
  <c r="AE24" i="3"/>
  <c r="Y48" i="3"/>
  <c r="Y12" i="3"/>
  <c r="AC75" i="3"/>
  <c r="AE72" i="3"/>
  <c r="T61" i="3"/>
  <c r="AC28" i="3"/>
  <c r="AE62" i="3"/>
  <c r="AD55" i="3"/>
  <c r="AD49" i="3"/>
  <c r="AD37" i="3"/>
  <c r="T72" i="3"/>
  <c r="AE12" i="3"/>
  <c r="Y33" i="3"/>
  <c r="AD78" i="3"/>
  <c r="T33" i="3"/>
  <c r="AE73" i="3"/>
  <c r="T42" i="3"/>
  <c r="AE57" i="3"/>
  <c r="AD50" i="3"/>
  <c r="T40" i="3"/>
  <c r="AE50" i="3"/>
  <c r="AC55" i="3"/>
  <c r="AD47" i="3"/>
  <c r="AD34" i="3"/>
  <c r="T53" i="3"/>
  <c r="AE34" i="3"/>
  <c r="AC58" i="3"/>
  <c r="AD31" i="3"/>
  <c r="AC9" i="3"/>
  <c r="AD22" i="3"/>
  <c r="T9" i="3"/>
  <c r="AE22" i="3"/>
  <c r="AE78" i="3"/>
  <c r="T46" i="3"/>
  <c r="AE77" i="3"/>
  <c r="T76" i="3"/>
  <c r="AE67" i="3"/>
  <c r="AE66" i="3"/>
  <c r="AD65" i="3"/>
  <c r="AE76" i="3"/>
  <c r="T31" i="3"/>
  <c r="T75" i="3"/>
  <c r="AE71" i="3"/>
  <c r="AE70" i="3"/>
  <c r="AD67" i="3"/>
  <c r="AC30" i="3"/>
  <c r="T59" i="3"/>
  <c r="AE61" i="3"/>
  <c r="T43" i="3"/>
  <c r="T27" i="3"/>
  <c r="AE55" i="3"/>
  <c r="AE54" i="3"/>
  <c r="AC18" i="3"/>
  <c r="AD51" i="3"/>
  <c r="T55" i="3"/>
  <c r="AD38" i="3"/>
  <c r="T77" i="3"/>
  <c r="AE38" i="3"/>
  <c r="AC54" i="3"/>
  <c r="AD35" i="3"/>
  <c r="T58" i="3"/>
  <c r="AD42" i="3"/>
  <c r="T25" i="3"/>
  <c r="AE42" i="3"/>
  <c r="AC69" i="3"/>
  <c r="AD39" i="3"/>
  <c r="AD26" i="3"/>
  <c r="T50" i="3"/>
  <c r="AE26" i="3"/>
  <c r="T70" i="3"/>
  <c r="AE65" i="3"/>
  <c r="T56" i="3"/>
  <c r="AE69" i="3"/>
  <c r="T60" i="3"/>
  <c r="T30" i="3"/>
  <c r="AD59" i="3"/>
  <c r="AC27" i="3"/>
  <c r="AC42" i="3"/>
  <c r="T11" i="3"/>
  <c r="AE53" i="3"/>
  <c r="AC40" i="3"/>
  <c r="AE47" i="3"/>
  <c r="AD46" i="3"/>
  <c r="T39" i="3"/>
  <c r="AE46" i="3"/>
  <c r="AC32" i="3"/>
  <c r="AD43" i="3"/>
  <c r="T69" i="3"/>
  <c r="AC53" i="3"/>
  <c r="AE31" i="3"/>
  <c r="AD30" i="3"/>
  <c r="T51" i="3"/>
  <c r="AE30" i="3"/>
  <c r="AC8" i="3"/>
  <c r="AD27" i="3"/>
  <c r="AD23" i="3"/>
  <c r="AD19" i="3"/>
  <c r="AE18" i="3"/>
  <c r="T73" i="3"/>
  <c r="AD15" i="3"/>
  <c r="AE14" i="3"/>
  <c r="T21" i="3"/>
  <c r="AD11" i="3"/>
  <c r="AE10" i="3"/>
  <c r="T57" i="3"/>
  <c r="AC68" i="3"/>
  <c r="AE49" i="3"/>
  <c r="AE45" i="3"/>
  <c r="AE41" i="3"/>
  <c r="AE37" i="3"/>
  <c r="AE33" i="3"/>
  <c r="AE29" i="3"/>
  <c r="AE25" i="3"/>
  <c r="AE21" i="3"/>
  <c r="AD18" i="3"/>
  <c r="AD14" i="3"/>
  <c r="AE13" i="3"/>
  <c r="AD10" i="3"/>
  <c r="AE9" i="3"/>
  <c r="AE8" i="3"/>
  <c r="R17" i="3"/>
  <c r="M17" i="3"/>
  <c r="S17" i="3"/>
  <c r="U17" i="3"/>
  <c r="V17" i="3"/>
  <c r="W17" i="3"/>
  <c r="X17" i="3"/>
  <c r="U83" i="1" l="1"/>
  <c r="S83" i="1" s="1"/>
  <c r="AI98" i="1"/>
  <c r="W152" i="1"/>
  <c r="W84" i="1"/>
  <c r="W139" i="1"/>
  <c r="W118" i="1"/>
  <c r="U231" i="1"/>
  <c r="S231" i="1" s="1"/>
  <c r="W147" i="1"/>
  <c r="W205" i="1"/>
  <c r="U37" i="1"/>
  <c r="S37" i="1" s="1"/>
  <c r="U170" i="1"/>
  <c r="S170" i="1" s="1"/>
  <c r="W114" i="1"/>
  <c r="W129" i="1"/>
  <c r="U172" i="1"/>
  <c r="S172" i="1" s="1"/>
  <c r="W55" i="1"/>
  <c r="U54" i="1"/>
  <c r="S54" i="1" s="1"/>
  <c r="W89" i="1"/>
  <c r="W159" i="1"/>
  <c r="U207" i="1"/>
  <c r="S207" i="1" s="1"/>
  <c r="U45" i="1"/>
  <c r="S45" i="1" s="1"/>
  <c r="U74" i="1"/>
  <c r="S74" i="1" s="1"/>
  <c r="W80" i="1"/>
  <c r="U29" i="1"/>
  <c r="S29" i="1" s="1"/>
  <c r="W156" i="1"/>
  <c r="AI17" i="1"/>
  <c r="AI33" i="1"/>
  <c r="U62" i="1"/>
  <c r="S62" i="1" s="1"/>
  <c r="W207" i="1"/>
  <c r="W17" i="1"/>
  <c r="W136" i="1"/>
  <c r="U135" i="1"/>
  <c r="S135" i="1" s="1"/>
  <c r="U42" i="1"/>
  <c r="S42" i="1" s="1"/>
  <c r="AI106" i="1"/>
  <c r="U187" i="1"/>
  <c r="S187" i="1" s="1"/>
  <c r="U209" i="1"/>
  <c r="S209" i="1" s="1"/>
  <c r="W209" i="1"/>
  <c r="W135" i="1"/>
  <c r="AI37" i="1"/>
  <c r="W180" i="1"/>
  <c r="U66" i="1"/>
  <c r="S66" i="1" s="1"/>
  <c r="W69" i="1"/>
  <c r="AI129" i="1"/>
  <c r="W187" i="1"/>
  <c r="W62" i="1"/>
  <c r="AI152" i="1"/>
  <c r="U203" i="1"/>
  <c r="S203" i="1" s="1"/>
  <c r="U221" i="1"/>
  <c r="S221" i="1" s="1"/>
  <c r="U227" i="1"/>
  <c r="S227" i="1" s="1"/>
  <c r="W58" i="1"/>
  <c r="W170" i="1"/>
  <c r="U205" i="1"/>
  <c r="S205" i="1" s="1"/>
  <c r="W203" i="1"/>
  <c r="W81" i="1"/>
  <c r="U58" i="1"/>
  <c r="S58" i="1" s="1"/>
  <c r="W148" i="1"/>
  <c r="W196" i="1"/>
  <c r="W230" i="1"/>
  <c r="U213" i="1"/>
  <c r="S213" i="1" s="1"/>
  <c r="U229" i="1"/>
  <c r="S229" i="1" s="1"/>
  <c r="W216" i="1"/>
  <c r="U153" i="1"/>
  <c r="W213" i="1"/>
  <c r="W98" i="1"/>
  <c r="W77" i="1"/>
  <c r="W182" i="1"/>
  <c r="AI45" i="1"/>
  <c r="U92" i="1"/>
  <c r="U158" i="1"/>
  <c r="S158" i="1" s="1"/>
  <c r="W48" i="1"/>
  <c r="U63" i="1"/>
  <c r="S63" i="1" s="1"/>
  <c r="W92" i="1"/>
  <c r="W176" i="1"/>
  <c r="U186" i="1"/>
  <c r="S186" i="1" s="1"/>
  <c r="U192" i="1"/>
  <c r="S192" i="1" s="1"/>
  <c r="W149" i="1"/>
  <c r="AI41" i="1"/>
  <c r="U163" i="1"/>
  <c r="S163" i="1" s="1"/>
  <c r="W73" i="1"/>
  <c r="AI81" i="1"/>
  <c r="U179" i="1"/>
  <c r="S179" i="1" s="1"/>
  <c r="AI74" i="1"/>
  <c r="AI110" i="1"/>
  <c r="U191" i="1"/>
  <c r="S191" i="1" s="1"/>
  <c r="W41" i="1"/>
  <c r="W79" i="1"/>
  <c r="U80" i="1"/>
  <c r="S80" i="1" s="1"/>
  <c r="U81" i="1"/>
  <c r="S81" i="1" s="1"/>
  <c r="W172" i="1"/>
  <c r="U201" i="1"/>
  <c r="S201" i="1" s="1"/>
  <c r="W229" i="1"/>
  <c r="W158" i="1"/>
  <c r="W201" i="1"/>
  <c r="AI63" i="1"/>
  <c r="AI70" i="1"/>
  <c r="U84" i="1"/>
  <c r="S84" i="1" s="1"/>
  <c r="U103" i="1"/>
  <c r="S103" i="1" s="1"/>
  <c r="U109" i="1"/>
  <c r="S109" i="1" s="1"/>
  <c r="W173" i="1"/>
  <c r="W218" i="1"/>
  <c r="W212" i="1"/>
  <c r="W33" i="1"/>
  <c r="W100" i="1"/>
  <c r="U141" i="1"/>
  <c r="S141" i="1" s="1"/>
  <c r="W49" i="1"/>
  <c r="AI88" i="1"/>
  <c r="U176" i="1"/>
  <c r="S176" i="1" s="1"/>
  <c r="AI49" i="1"/>
  <c r="U88" i="1"/>
  <c r="S88" i="1" s="1"/>
  <c r="W177" i="1"/>
  <c r="AI122" i="1"/>
  <c r="U183" i="1"/>
  <c r="S183" i="1" s="1"/>
  <c r="W103" i="1"/>
  <c r="W231" i="1"/>
  <c r="W191" i="1"/>
  <c r="AI136" i="1"/>
  <c r="W25" i="1"/>
  <c r="W223" i="1"/>
  <c r="AI148" i="1"/>
  <c r="W120" i="1"/>
  <c r="W29" i="1"/>
  <c r="W63" i="1"/>
  <c r="W70" i="1"/>
  <c r="W190" i="1"/>
  <c r="U114" i="1"/>
  <c r="S114" i="1" s="1"/>
  <c r="W179" i="1"/>
  <c r="W219" i="1"/>
  <c r="W171" i="1"/>
  <c r="AI171" i="1"/>
  <c r="U32" i="1"/>
  <c r="S32" i="1" s="1"/>
  <c r="AI32" i="1"/>
  <c r="U44" i="1"/>
  <c r="S44" i="1" s="1"/>
  <c r="AI44" i="1"/>
  <c r="W66" i="1"/>
  <c r="W74" i="1"/>
  <c r="W32" i="1"/>
  <c r="W183" i="1"/>
  <c r="W193" i="1"/>
  <c r="W44" i="1"/>
  <c r="U125" i="1"/>
  <c r="S125" i="1" s="1"/>
  <c r="AI125" i="1"/>
  <c r="W125" i="1"/>
  <c r="U215" i="1"/>
  <c r="S215" i="1" s="1"/>
  <c r="AI215" i="1"/>
  <c r="W141" i="1"/>
  <c r="U24" i="1"/>
  <c r="S24" i="1" s="1"/>
  <c r="AI24" i="1"/>
  <c r="U20" i="1"/>
  <c r="S20" i="1" s="1"/>
  <c r="AI20" i="1"/>
  <c r="W37" i="1"/>
  <c r="U185" i="1"/>
  <c r="S185" i="1" s="1"/>
  <c r="AI185" i="1"/>
  <c r="W194" i="1"/>
  <c r="W110" i="1"/>
  <c r="U149" i="1"/>
  <c r="S149" i="1" s="1"/>
  <c r="U197" i="1"/>
  <c r="S197" i="1" s="1"/>
  <c r="AI197" i="1"/>
  <c r="W197" i="1"/>
  <c r="U16" i="1"/>
  <c r="S16" i="1" s="1"/>
  <c r="AI16" i="1"/>
  <c r="U48" i="1"/>
  <c r="S48" i="1" s="1"/>
  <c r="AI48" i="1"/>
  <c r="U28" i="1"/>
  <c r="S28" i="1" s="1"/>
  <c r="AI28" i="1"/>
  <c r="W45" i="1"/>
  <c r="U69" i="1"/>
  <c r="S69" i="1" s="1"/>
  <c r="AI69" i="1"/>
  <c r="U73" i="1"/>
  <c r="S73" i="1" s="1"/>
  <c r="AI73" i="1"/>
  <c r="W28" i="1"/>
  <c r="W16" i="1"/>
  <c r="W221" i="1"/>
  <c r="W227" i="1"/>
  <c r="W167" i="1"/>
  <c r="W134" i="1"/>
  <c r="AI134" i="1"/>
  <c r="W142" i="1"/>
  <c r="AI142" i="1"/>
  <c r="U40" i="1"/>
  <c r="S40" i="1" s="1"/>
  <c r="AI40" i="1"/>
  <c r="W54" i="1"/>
  <c r="W21" i="1"/>
  <c r="U36" i="1"/>
  <c r="S36" i="1" s="1"/>
  <c r="AI36" i="1"/>
  <c r="W36" i="1"/>
  <c r="W122" i="1"/>
  <c r="W40" i="1"/>
  <c r="W20" i="1"/>
  <c r="W186" i="1"/>
  <c r="W24" i="1"/>
  <c r="U156" i="1"/>
  <c r="S156" i="1" s="1"/>
  <c r="W192" i="1"/>
  <c r="W215" i="1"/>
  <c r="U94" i="1"/>
  <c r="S94" i="1" s="1"/>
  <c r="AI94" i="1"/>
  <c r="U178" i="1"/>
  <c r="S178" i="1" s="1"/>
  <c r="AI113" i="1"/>
  <c r="AI93" i="1"/>
  <c r="U93" i="1"/>
  <c r="U96" i="1"/>
  <c r="S96" i="1" s="1"/>
  <c r="AI117" i="1"/>
  <c r="U140" i="1"/>
  <c r="S140" i="1" s="1"/>
  <c r="AI174" i="1"/>
  <c r="U155" i="1"/>
  <c r="S155" i="1" s="1"/>
  <c r="AI190" i="1"/>
  <c r="U204" i="1"/>
  <c r="S204" i="1" s="1"/>
  <c r="AI206" i="1"/>
  <c r="U222" i="1"/>
  <c r="S222" i="1" s="1"/>
  <c r="AI222" i="1"/>
  <c r="U123" i="1"/>
  <c r="S123" i="1" s="1"/>
  <c r="AI159" i="1"/>
  <c r="AI165" i="1"/>
  <c r="U130" i="1"/>
  <c r="S130" i="1" s="1"/>
  <c r="AI172" i="1"/>
  <c r="U138" i="1"/>
  <c r="S138" i="1" s="1"/>
  <c r="AI180" i="1"/>
  <c r="U146" i="1"/>
  <c r="S146" i="1" s="1"/>
  <c r="AI188" i="1"/>
  <c r="U154" i="1"/>
  <c r="S154" i="1" s="1"/>
  <c r="AI196" i="1"/>
  <c r="AI204" i="1"/>
  <c r="U202" i="1"/>
  <c r="S202" i="1" s="1"/>
  <c r="AI212" i="1"/>
  <c r="U212" i="1"/>
  <c r="S212" i="1" s="1"/>
  <c r="AI220" i="1"/>
  <c r="U220" i="1"/>
  <c r="S220" i="1" s="1"/>
  <c r="AI228" i="1"/>
  <c r="U228" i="1"/>
  <c r="S228" i="1" s="1"/>
  <c r="W154" i="1"/>
  <c r="W204" i="1"/>
  <c r="W146" i="1"/>
  <c r="U55" i="1"/>
  <c r="S55" i="1" s="1"/>
  <c r="AI55" i="1"/>
  <c r="U31" i="1"/>
  <c r="S31" i="1" s="1"/>
  <c r="AI31" i="1"/>
  <c r="U47" i="1"/>
  <c r="S47" i="1" s="1"/>
  <c r="AI47" i="1"/>
  <c r="AI26" i="1"/>
  <c r="U26" i="1"/>
  <c r="S26" i="1" s="1"/>
  <c r="U50" i="1"/>
  <c r="S50" i="1" s="1"/>
  <c r="AI50" i="1"/>
  <c r="W50" i="1"/>
  <c r="U90" i="1"/>
  <c r="S90" i="1" s="1"/>
  <c r="AI90" i="1"/>
  <c r="U95" i="1"/>
  <c r="S95" i="1" s="1"/>
  <c r="AI105" i="1"/>
  <c r="AI96" i="1"/>
  <c r="U164" i="1"/>
  <c r="S164" i="1" s="1"/>
  <c r="W90" i="1"/>
  <c r="W93" i="1"/>
  <c r="U128" i="1"/>
  <c r="S128" i="1" s="1"/>
  <c r="AI163" i="1"/>
  <c r="U144" i="1"/>
  <c r="S144" i="1" s="1"/>
  <c r="AI178" i="1"/>
  <c r="U159" i="1"/>
  <c r="S159" i="1" s="1"/>
  <c r="AI194" i="1"/>
  <c r="U208" i="1"/>
  <c r="S208" i="1" s="1"/>
  <c r="AI210" i="1"/>
  <c r="U226" i="1"/>
  <c r="S226" i="1" s="1"/>
  <c r="AI226" i="1"/>
  <c r="W138" i="1"/>
  <c r="W155" i="1"/>
  <c r="W130" i="1"/>
  <c r="W144" i="1"/>
  <c r="W220" i="1"/>
  <c r="AI22" i="1"/>
  <c r="U22" i="1"/>
  <c r="S22" i="1" s="1"/>
  <c r="AI38" i="1"/>
  <c r="U38" i="1"/>
  <c r="S38" i="1" s="1"/>
  <c r="W26" i="1"/>
  <c r="U59" i="1"/>
  <c r="S59" i="1" s="1"/>
  <c r="AI59" i="1"/>
  <c r="W59" i="1"/>
  <c r="U27" i="1"/>
  <c r="S27" i="1" s="1"/>
  <c r="AI27" i="1"/>
  <c r="U43" i="1"/>
  <c r="AI43" i="1"/>
  <c r="AI14" i="1"/>
  <c r="U14" i="1"/>
  <c r="S14" i="1" s="1"/>
  <c r="AI30" i="1"/>
  <c r="U30" i="1"/>
  <c r="S30" i="1" s="1"/>
  <c r="W27" i="1"/>
  <c r="W14" i="1"/>
  <c r="W30" i="1"/>
  <c r="U86" i="1"/>
  <c r="S86" i="1" s="1"/>
  <c r="AI86" i="1"/>
  <c r="U168" i="1"/>
  <c r="S168" i="1" s="1"/>
  <c r="AI101" i="1"/>
  <c r="AI100" i="1"/>
  <c r="U167" i="1"/>
  <c r="S167" i="1" s="1"/>
  <c r="W168" i="1"/>
  <c r="W94" i="1"/>
  <c r="AI108" i="1"/>
  <c r="U173" i="1"/>
  <c r="S173" i="1" s="1"/>
  <c r="AI112" i="1"/>
  <c r="U177" i="1"/>
  <c r="S177" i="1" s="1"/>
  <c r="W178" i="1"/>
  <c r="U124" i="1"/>
  <c r="S124" i="1" s="1"/>
  <c r="AI160" i="1"/>
  <c r="U132" i="1"/>
  <c r="S132" i="1" s="1"/>
  <c r="U148" i="1"/>
  <c r="S148" i="1" s="1"/>
  <c r="AI182" i="1"/>
  <c r="U196" i="1"/>
  <c r="S196" i="1" s="1"/>
  <c r="AI198" i="1"/>
  <c r="U214" i="1"/>
  <c r="S214" i="1" s="1"/>
  <c r="AI214" i="1"/>
  <c r="U230" i="1"/>
  <c r="S230" i="1" s="1"/>
  <c r="AI230" i="1"/>
  <c r="AI161" i="1"/>
  <c r="U126" i="1"/>
  <c r="S126" i="1" s="1"/>
  <c r="AI168" i="1"/>
  <c r="U134" i="1"/>
  <c r="S134" i="1" s="1"/>
  <c r="AI176" i="1"/>
  <c r="U142" i="1"/>
  <c r="S142" i="1" s="1"/>
  <c r="AI184" i="1"/>
  <c r="U150" i="1"/>
  <c r="S150" i="1" s="1"/>
  <c r="AI192" i="1"/>
  <c r="U157" i="1"/>
  <c r="S157" i="1" s="1"/>
  <c r="AI200" i="1"/>
  <c r="U198" i="1"/>
  <c r="S198" i="1" s="1"/>
  <c r="AI208" i="1"/>
  <c r="U206" i="1"/>
  <c r="S206" i="1" s="1"/>
  <c r="AI216" i="1"/>
  <c r="U216" i="1"/>
  <c r="S216" i="1" s="1"/>
  <c r="AI224" i="1"/>
  <c r="U224" i="1"/>
  <c r="S224" i="1" s="1"/>
  <c r="W140" i="1"/>
  <c r="W198" i="1"/>
  <c r="W132" i="1"/>
  <c r="W128" i="1"/>
  <c r="W206" i="1"/>
  <c r="W222" i="1"/>
  <c r="U19" i="1"/>
  <c r="S19" i="1" s="1"/>
  <c r="AI19" i="1"/>
  <c r="U35" i="1"/>
  <c r="S35" i="1" s="1"/>
  <c r="AI35" i="1"/>
  <c r="W19" i="1"/>
  <c r="U15" i="1"/>
  <c r="S15" i="1" s="1"/>
  <c r="AI15" i="1"/>
  <c r="U23" i="1"/>
  <c r="S23" i="1" s="1"/>
  <c r="AI23" i="1"/>
  <c r="U39" i="1"/>
  <c r="S39" i="1" s="1"/>
  <c r="AI39" i="1"/>
  <c r="AI18" i="1"/>
  <c r="U18" i="1"/>
  <c r="S18" i="1" s="1"/>
  <c r="AI34" i="1"/>
  <c r="U34" i="1"/>
  <c r="S34" i="1" s="1"/>
  <c r="W18" i="1"/>
  <c r="W34" i="1"/>
  <c r="W15" i="1"/>
  <c r="W31" i="1"/>
  <c r="W47" i="1"/>
  <c r="U165" i="1"/>
  <c r="S165" i="1" s="1"/>
  <c r="AI97" i="1"/>
  <c r="U174" i="1"/>
  <c r="S174" i="1" s="1"/>
  <c r="AI109" i="1"/>
  <c r="AI89" i="1"/>
  <c r="U89" i="1"/>
  <c r="S89" i="1" s="1"/>
  <c r="AI104" i="1"/>
  <c r="U171" i="1"/>
  <c r="S171" i="1" s="1"/>
  <c r="W95" i="1"/>
  <c r="W164" i="1"/>
  <c r="AI156" i="1"/>
  <c r="U120" i="1"/>
  <c r="S120" i="1" s="1"/>
  <c r="W123" i="1"/>
  <c r="U136" i="1"/>
  <c r="S136" i="1" s="1"/>
  <c r="AI170" i="1"/>
  <c r="U152" i="1"/>
  <c r="S152" i="1" s="1"/>
  <c r="AI186" i="1"/>
  <c r="U200" i="1"/>
  <c r="S200" i="1" s="1"/>
  <c r="AI202" i="1"/>
  <c r="U218" i="1"/>
  <c r="S218" i="1" s="1"/>
  <c r="AI218" i="1"/>
  <c r="W96" i="1"/>
  <c r="W124" i="1"/>
  <c r="W202" i="1"/>
  <c r="W150" i="1"/>
  <c r="W200" i="1"/>
  <c r="W224" i="1"/>
  <c r="W214" i="1"/>
  <c r="W157" i="1"/>
  <c r="W208" i="1"/>
  <c r="W228" i="1"/>
  <c r="AC17" i="3"/>
  <c r="AD17" i="3"/>
  <c r="AE17" i="3"/>
  <c r="Y17" i="3"/>
  <c r="T17" i="3"/>
  <c r="S92" i="1" l="1"/>
  <c r="B6" i="6"/>
  <c r="J6" i="6" s="1"/>
  <c r="B7" i="6" l="1"/>
  <c r="F6" i="6"/>
  <c r="I6" i="6"/>
  <c r="G6" i="6"/>
  <c r="G7" i="6" l="1"/>
  <c r="I7" i="6"/>
  <c r="J7" i="6"/>
  <c r="F7" i="6"/>
  <c r="B8" i="6"/>
  <c r="F8" i="6" l="1"/>
  <c r="G8" i="6"/>
  <c r="I8" i="6"/>
  <c r="J8" i="6"/>
  <c r="B9" i="6"/>
  <c r="O2" i="3"/>
  <c r="G9" i="6" l="1"/>
  <c r="I9" i="6"/>
  <c r="J9" i="6"/>
  <c r="F9" i="6"/>
  <c r="B10" i="6"/>
  <c r="M28" i="5"/>
  <c r="B11" i="6" l="1"/>
  <c r="F10" i="6"/>
  <c r="I10" i="6"/>
  <c r="G10" i="6"/>
  <c r="J10" i="6"/>
  <c r="M23" i="5"/>
  <c r="B12" i="6" l="1"/>
  <c r="G11" i="6"/>
  <c r="I11" i="6"/>
  <c r="J11" i="6"/>
  <c r="F11" i="6"/>
  <c r="AD7" i="3"/>
  <c r="AN13" i="1"/>
  <c r="F12" i="6" l="1"/>
  <c r="I12" i="6"/>
  <c r="G12" i="6"/>
  <c r="J12" i="6"/>
  <c r="B13" i="6"/>
  <c r="AE7" i="3"/>
  <c r="G13" i="6" l="1"/>
  <c r="I13" i="6"/>
  <c r="F13" i="6"/>
  <c r="J13" i="6"/>
  <c r="B14" i="6"/>
  <c r="K13" i="1"/>
  <c r="M13" i="1"/>
  <c r="N13" i="1" s="1"/>
  <c r="Y13" i="1"/>
  <c r="Z13" i="1"/>
  <c r="AB13" i="1"/>
  <c r="AC13" i="1"/>
  <c r="AD13" i="1"/>
  <c r="X14" i="1" s="1"/>
  <c r="AE13" i="1"/>
  <c r="AM13" i="1"/>
  <c r="F14" i="6" l="1"/>
  <c r="I14" i="6"/>
  <c r="G14" i="6"/>
  <c r="J14" i="6"/>
  <c r="B15" i="6"/>
  <c r="AG13" i="1"/>
  <c r="AI13" i="1" s="1"/>
  <c r="X13" i="1"/>
  <c r="AA13" i="1"/>
  <c r="T13" i="1"/>
  <c r="G15" i="6" l="1"/>
  <c r="I15" i="6"/>
  <c r="J15" i="6"/>
  <c r="F15" i="6"/>
  <c r="B16" i="6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B17" i="6" l="1"/>
  <c r="F16" i="6"/>
  <c r="G16" i="6"/>
  <c r="I16" i="6"/>
  <c r="J16" i="6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G17" i="6" l="1"/>
  <c r="I17" i="6"/>
  <c r="J17" i="6"/>
  <c r="F17" i="6"/>
  <c r="B18" i="6"/>
  <c r="B87" i="9"/>
  <c r="B88" i="9"/>
  <c r="B89" i="9"/>
  <c r="B90" i="9"/>
  <c r="B91" i="9"/>
  <c r="B92" i="9"/>
  <c r="B19" i="6" l="1"/>
  <c r="F18" i="6"/>
  <c r="G18" i="6"/>
  <c r="I18" i="6"/>
  <c r="J18" i="6"/>
  <c r="C88" i="9"/>
  <c r="C92" i="9"/>
  <c r="C93" i="9"/>
  <c r="C90" i="9"/>
  <c r="C89" i="9"/>
  <c r="C91" i="9"/>
  <c r="B20" i="6" l="1"/>
  <c r="G19" i="6"/>
  <c r="I19" i="6"/>
  <c r="J19" i="6"/>
  <c r="F19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20" i="6" l="1"/>
  <c r="G20" i="6"/>
  <c r="I20" i="6"/>
  <c r="J20" i="6"/>
  <c r="B21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21" i="6" l="1"/>
  <c r="F21" i="6"/>
  <c r="G21" i="6"/>
  <c r="J21" i="6"/>
  <c r="B22" i="6"/>
  <c r="B55" i="9"/>
  <c r="B56" i="9"/>
  <c r="B57" i="9"/>
  <c r="B58" i="9"/>
  <c r="B59" i="9"/>
  <c r="B60" i="9"/>
  <c r="B61" i="9"/>
  <c r="B62" i="9"/>
  <c r="C63" i="9" s="1"/>
  <c r="F22" i="6" l="1"/>
  <c r="I22" i="6"/>
  <c r="G22" i="6"/>
  <c r="J22" i="6"/>
  <c r="B23" i="6"/>
  <c r="C61" i="9"/>
  <c r="C57" i="9"/>
  <c r="C59" i="9"/>
  <c r="C62" i="9"/>
  <c r="C60" i="9"/>
  <c r="C58" i="9"/>
  <c r="C56" i="9"/>
  <c r="G23" i="6" l="1"/>
  <c r="I23" i="6"/>
  <c r="J23" i="6"/>
  <c r="F23" i="6"/>
  <c r="B24" i="6"/>
  <c r="B50" i="9"/>
  <c r="B51" i="9"/>
  <c r="B52" i="9"/>
  <c r="B53" i="9"/>
  <c r="B54" i="9"/>
  <c r="F24" i="6" l="1"/>
  <c r="G24" i="6"/>
  <c r="I24" i="6"/>
  <c r="J24" i="6"/>
  <c r="B25" i="6"/>
  <c r="C52" i="9"/>
  <c r="C54" i="9"/>
  <c r="C55" i="9"/>
  <c r="C53" i="9"/>
  <c r="C51" i="9"/>
  <c r="G25" i="6" l="1"/>
  <c r="I25" i="6"/>
  <c r="J25" i="6"/>
  <c r="F25" i="6"/>
  <c r="B26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27" i="6" l="1"/>
  <c r="F26" i="6"/>
  <c r="G26" i="6"/>
  <c r="I26" i="6"/>
  <c r="J26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27" i="6" l="1"/>
  <c r="I27" i="6"/>
  <c r="J27" i="6"/>
  <c r="F27" i="6"/>
  <c r="B28" i="6"/>
  <c r="V13" i="1"/>
  <c r="B31" i="9"/>
  <c r="B32" i="9"/>
  <c r="C33" i="9" s="1"/>
  <c r="F28" i="6" l="1"/>
  <c r="G28" i="6"/>
  <c r="I28" i="6"/>
  <c r="J28" i="6"/>
  <c r="B29" i="6"/>
  <c r="C32" i="9"/>
  <c r="G29" i="6" l="1"/>
  <c r="I29" i="6"/>
  <c r="F29" i="6"/>
  <c r="H29" i="6"/>
  <c r="J29" i="6"/>
  <c r="B30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N13" i="3" s="1"/>
  <c r="G26" i="4"/>
  <c r="G27" i="4"/>
  <c r="G28" i="4"/>
  <c r="G29" i="4"/>
  <c r="G30" i="4"/>
  <c r="N68" i="3" s="1"/>
  <c r="G31" i="4"/>
  <c r="G32" i="4"/>
  <c r="N57" i="3" s="1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N71" i="3" s="1"/>
  <c r="G48" i="4"/>
  <c r="N12" i="3" s="1"/>
  <c r="G49" i="4"/>
  <c r="G50" i="4"/>
  <c r="G51" i="4"/>
  <c r="G52" i="4"/>
  <c r="G53" i="4"/>
  <c r="G54" i="4"/>
  <c r="G55" i="4"/>
  <c r="G56" i="4"/>
  <c r="N74" i="3" s="1"/>
  <c r="G57" i="4"/>
  <c r="G58" i="4"/>
  <c r="N72" i="3" s="1"/>
  <c r="G59" i="4"/>
  <c r="N21" i="3" s="1"/>
  <c r="G60" i="4"/>
  <c r="G61" i="4"/>
  <c r="G62" i="4"/>
  <c r="G63" i="4"/>
  <c r="G64" i="4"/>
  <c r="G65" i="4"/>
  <c r="G66" i="4"/>
  <c r="G67" i="4"/>
  <c r="G68" i="4"/>
  <c r="G69" i="4"/>
  <c r="N16" i="3" s="1"/>
  <c r="G70" i="4"/>
  <c r="N22" i="3" s="1"/>
  <c r="G71" i="4"/>
  <c r="G72" i="4"/>
  <c r="N17" i="3" s="1"/>
  <c r="G73" i="4"/>
  <c r="N35" i="3" s="1"/>
  <c r="G74" i="4"/>
  <c r="N73" i="3" s="1"/>
  <c r="G75" i="4"/>
  <c r="G76" i="4"/>
  <c r="G77" i="4"/>
  <c r="G78" i="4"/>
  <c r="G79" i="4"/>
  <c r="G80" i="4"/>
  <c r="G81" i="4"/>
  <c r="G82" i="4"/>
  <c r="G83" i="4"/>
  <c r="G84" i="4"/>
  <c r="G85" i="4"/>
  <c r="G86" i="4"/>
  <c r="H7" i="6" s="1"/>
  <c r="G87" i="4"/>
  <c r="G88" i="4"/>
  <c r="G89" i="4"/>
  <c r="G90" i="4"/>
  <c r="N48" i="3" s="1"/>
  <c r="G91" i="4"/>
  <c r="G92" i="4"/>
  <c r="G93" i="4"/>
  <c r="G94" i="4"/>
  <c r="G95" i="4"/>
  <c r="G96" i="4"/>
  <c r="G97" i="4"/>
  <c r="G98" i="4"/>
  <c r="N8" i="3" s="1"/>
  <c r="G99" i="4"/>
  <c r="G100" i="4"/>
  <c r="G101" i="4"/>
  <c r="G102" i="4"/>
  <c r="G103" i="4"/>
  <c r="N51" i="3" s="1"/>
  <c r="G104" i="4"/>
  <c r="G105" i="4"/>
  <c r="N23" i="3" s="1"/>
  <c r="G106" i="4"/>
  <c r="G107" i="4"/>
  <c r="G108" i="4"/>
  <c r="G109" i="4"/>
  <c r="G110" i="4"/>
  <c r="H10" i="6" s="1"/>
  <c r="G111" i="4"/>
  <c r="G112" i="4"/>
  <c r="G113" i="4"/>
  <c r="G114" i="4"/>
  <c r="H11" i="6" s="1"/>
  <c r="G115" i="4"/>
  <c r="G116" i="4"/>
  <c r="H12" i="6" s="1"/>
  <c r="G117" i="4"/>
  <c r="G118" i="4"/>
  <c r="G119" i="4"/>
  <c r="G120" i="4"/>
  <c r="G121" i="4"/>
  <c r="G122" i="4"/>
  <c r="G123" i="4"/>
  <c r="G124" i="4"/>
  <c r="G125" i="4"/>
  <c r="G126" i="4"/>
  <c r="N77" i="3" s="1"/>
  <c r="G127" i="4"/>
  <c r="G128" i="4"/>
  <c r="H20" i="6" s="1"/>
  <c r="G129" i="4"/>
  <c r="G130" i="4"/>
  <c r="G131" i="4"/>
  <c r="G132" i="4"/>
  <c r="N38" i="3" s="1"/>
  <c r="G133" i="4"/>
  <c r="G134" i="4"/>
  <c r="G135" i="4"/>
  <c r="G136" i="4"/>
  <c r="G137" i="4"/>
  <c r="G138" i="4"/>
  <c r="N25" i="3" s="1"/>
  <c r="G139" i="4"/>
  <c r="G140" i="4"/>
  <c r="N32" i="3" s="1"/>
  <c r="G141" i="4"/>
  <c r="G142" i="4"/>
  <c r="H26" i="6" s="1"/>
  <c r="G143" i="4"/>
  <c r="G144" i="4"/>
  <c r="G145" i="4"/>
  <c r="G146" i="4"/>
  <c r="G147" i="4"/>
  <c r="G148" i="4"/>
  <c r="H28" i="6" s="1"/>
  <c r="G149" i="4"/>
  <c r="G150" i="4"/>
  <c r="G151" i="4"/>
  <c r="G152" i="4"/>
  <c r="G153" i="4"/>
  <c r="N55" i="3" s="1"/>
  <c r="G154" i="4"/>
  <c r="N39" i="3" s="1"/>
  <c r="G155" i="4"/>
  <c r="G156" i="4"/>
  <c r="G157" i="4"/>
  <c r="G158" i="4"/>
  <c r="G159" i="4"/>
  <c r="G160" i="4"/>
  <c r="G161" i="4"/>
  <c r="G162" i="4"/>
  <c r="G163" i="4"/>
  <c r="G164" i="4"/>
  <c r="N15" i="3" s="1"/>
  <c r="G165" i="4"/>
  <c r="N40" i="3" s="1"/>
  <c r="G166" i="4"/>
  <c r="G167" i="4"/>
  <c r="G168" i="4"/>
  <c r="G169" i="4"/>
  <c r="G170" i="4"/>
  <c r="N78" i="3" s="1"/>
  <c r="G171" i="4"/>
  <c r="G172" i="4"/>
  <c r="G173" i="4"/>
  <c r="G174" i="4"/>
  <c r="G175" i="4"/>
  <c r="G176" i="4"/>
  <c r="N18" i="3" s="1"/>
  <c r="G177" i="4"/>
  <c r="G178" i="4"/>
  <c r="N65" i="3" s="1"/>
  <c r="G179" i="4"/>
  <c r="N26" i="3" s="1"/>
  <c r="G180" i="4"/>
  <c r="N59" i="3" s="1"/>
  <c r="G181" i="4"/>
  <c r="N27" i="3" s="1"/>
  <c r="G182" i="4"/>
  <c r="G183" i="4"/>
  <c r="G184" i="4"/>
  <c r="N19" i="3" s="1"/>
  <c r="G185" i="4"/>
  <c r="G186" i="4"/>
  <c r="G187" i="4"/>
  <c r="G188" i="4"/>
  <c r="G189" i="4"/>
  <c r="N28" i="3" s="1"/>
  <c r="G190" i="4"/>
  <c r="G191" i="4"/>
  <c r="N79" i="3" s="1"/>
  <c r="G192" i="4"/>
  <c r="G193" i="4"/>
  <c r="G194" i="4"/>
  <c r="G195" i="4"/>
  <c r="G196" i="4"/>
  <c r="N29" i="3" s="1"/>
  <c r="G197" i="4"/>
  <c r="N75" i="3" s="1"/>
  <c r="G198" i="4"/>
  <c r="G199" i="4"/>
  <c r="N70" i="3" s="1"/>
  <c r="G200" i="4"/>
  <c r="N60" i="3" s="1"/>
  <c r="G201" i="4"/>
  <c r="N76" i="3" s="1"/>
  <c r="G202" i="4"/>
  <c r="G203" i="4"/>
  <c r="G204" i="4"/>
  <c r="N44" i="3" s="1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N10" i="3" s="1"/>
  <c r="G223" i="4"/>
  <c r="N31" i="3" s="1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58" i="3" l="1"/>
  <c r="N14" i="3"/>
  <c r="N66" i="3"/>
  <c r="N64" i="3"/>
  <c r="N30" i="3"/>
  <c r="N56" i="3"/>
  <c r="N41" i="3"/>
  <c r="N47" i="3"/>
  <c r="N42" i="3"/>
  <c r="N37" i="3"/>
  <c r="N34" i="3"/>
  <c r="N50" i="3"/>
  <c r="N49" i="3"/>
  <c r="N33" i="3"/>
  <c r="N45" i="3"/>
  <c r="N61" i="3"/>
  <c r="N62" i="3"/>
  <c r="N20" i="3"/>
  <c r="N7" i="3"/>
  <c r="N69" i="3"/>
  <c r="N67" i="3"/>
  <c r="N46" i="3"/>
  <c r="N63" i="3"/>
  <c r="N43" i="3"/>
  <c r="N11" i="3"/>
  <c r="N53" i="3"/>
  <c r="N52" i="3"/>
  <c r="N24" i="3"/>
  <c r="N54" i="3"/>
  <c r="N9" i="3"/>
  <c r="N36" i="3"/>
  <c r="H23" i="6"/>
  <c r="H14" i="6"/>
  <c r="H27" i="6"/>
  <c r="H21" i="6"/>
  <c r="H8" i="6"/>
  <c r="H18" i="6"/>
  <c r="H13" i="6"/>
  <c r="H6" i="6"/>
  <c r="H17" i="6"/>
  <c r="H19" i="6"/>
  <c r="H9" i="6"/>
  <c r="H16" i="6"/>
  <c r="H24" i="6"/>
  <c r="H25" i="6"/>
  <c r="H22" i="6"/>
  <c r="H15" i="6"/>
  <c r="F30" i="6"/>
  <c r="I30" i="6"/>
  <c r="G30" i="6"/>
  <c r="H30" i="6"/>
  <c r="J30" i="6"/>
  <c r="B31" i="6"/>
  <c r="L13" i="1"/>
  <c r="G31" i="6" l="1"/>
  <c r="I31" i="6"/>
  <c r="J31" i="6"/>
  <c r="F31" i="6"/>
  <c r="H31" i="6"/>
  <c r="B32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32" i="6" l="1"/>
  <c r="G32" i="6"/>
  <c r="I32" i="6"/>
  <c r="J32" i="6"/>
  <c r="H32" i="6"/>
  <c r="B33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33" i="6" l="1"/>
  <c r="H33" i="6"/>
  <c r="J33" i="6"/>
  <c r="I33" i="6"/>
  <c r="F33" i="6"/>
  <c r="B34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35" i="6" l="1"/>
  <c r="F34" i="6"/>
  <c r="G34" i="6"/>
  <c r="I34" i="6"/>
  <c r="H34" i="6"/>
  <c r="J34" i="6"/>
  <c r="M30" i="5"/>
  <c r="M29" i="5"/>
  <c r="M27" i="5"/>
  <c r="G35" i="6" l="1"/>
  <c r="I35" i="6"/>
  <c r="J35" i="6"/>
  <c r="H35" i="6"/>
  <c r="F35" i="6"/>
  <c r="B36" i="6"/>
  <c r="M26" i="5"/>
  <c r="B37" i="6" l="1"/>
  <c r="F36" i="6"/>
  <c r="G36" i="6"/>
  <c r="H36" i="6"/>
  <c r="J36" i="6"/>
  <c r="I36" i="6"/>
  <c r="AH13" i="1"/>
  <c r="J7" i="1"/>
  <c r="G37" i="6" l="1"/>
  <c r="F37" i="6"/>
  <c r="H37" i="6"/>
  <c r="J37" i="6"/>
  <c r="I37" i="6"/>
  <c r="B38" i="6"/>
  <c r="X6" i="1"/>
  <c r="W6" i="1"/>
  <c r="V6" i="1"/>
  <c r="S6" i="1"/>
  <c r="R2" i="1"/>
  <c r="I2" i="1"/>
  <c r="O6" i="1"/>
  <c r="N6" i="1"/>
  <c r="M6" i="1"/>
  <c r="J6" i="1"/>
  <c r="B39" i="6" l="1"/>
  <c r="I38" i="6"/>
  <c r="G38" i="6"/>
  <c r="H38" i="6"/>
  <c r="J38" i="6"/>
  <c r="F38" i="6"/>
  <c r="P3" i="5"/>
  <c r="G39" i="6" l="1"/>
  <c r="I39" i="6"/>
  <c r="J39" i="6"/>
  <c r="F39" i="6"/>
  <c r="H39" i="6"/>
  <c r="B40" i="6"/>
  <c r="M18" i="5"/>
  <c r="B41" i="6" l="1"/>
  <c r="F40" i="6"/>
  <c r="G40" i="6"/>
  <c r="I40" i="6"/>
  <c r="J40" i="6"/>
  <c r="H40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41" i="6" l="1"/>
  <c r="I41" i="6"/>
  <c r="J41" i="6"/>
  <c r="F41" i="6"/>
  <c r="H41" i="6"/>
  <c r="B42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43" i="6" l="1"/>
  <c r="F42" i="6"/>
  <c r="G42" i="6"/>
  <c r="I42" i="6"/>
  <c r="H42" i="6"/>
  <c r="J42" i="6"/>
  <c r="G259" i="4"/>
  <c r="G260" i="4"/>
  <c r="G261" i="4"/>
  <c r="G262" i="4"/>
  <c r="G263" i="4"/>
  <c r="G264" i="4"/>
  <c r="G265" i="4"/>
  <c r="B44" i="6" l="1"/>
  <c r="G43" i="6"/>
  <c r="I43" i="6"/>
  <c r="H43" i="6"/>
  <c r="J43" i="6"/>
  <c r="F43" i="6"/>
  <c r="M14" i="5"/>
  <c r="M13" i="5"/>
  <c r="M12" i="5"/>
  <c r="M11" i="5"/>
  <c r="M10" i="5"/>
  <c r="M9" i="5"/>
  <c r="M8" i="5"/>
  <c r="M7" i="5"/>
  <c r="M6" i="5"/>
  <c r="M5" i="5"/>
  <c r="M4" i="5"/>
  <c r="M3" i="5"/>
  <c r="F44" i="6" l="1"/>
  <c r="G44" i="6"/>
  <c r="I44" i="6"/>
  <c r="J44" i="6"/>
  <c r="H44" i="6"/>
  <c r="B45" i="6"/>
  <c r="U13" i="1"/>
  <c r="S13" i="1" s="1"/>
  <c r="O3" i="3"/>
  <c r="H45" i="6" l="1"/>
  <c r="I45" i="6"/>
  <c r="F45" i="6"/>
  <c r="G45" i="6"/>
  <c r="J45" i="6"/>
  <c r="B46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7" i="6" l="1"/>
  <c r="F47" i="6" s="1"/>
  <c r="F46" i="6"/>
  <c r="G46" i="6"/>
  <c r="I46" i="6"/>
  <c r="H46" i="6"/>
  <c r="J46" i="6"/>
  <c r="J8" i="1"/>
  <c r="J4" i="1"/>
  <c r="S8" i="1"/>
  <c r="S4" i="1"/>
  <c r="J47" i="6" l="1"/>
  <c r="I47" i="6"/>
  <c r="G47" i="6"/>
  <c r="H47" i="6"/>
  <c r="B48" i="6"/>
  <c r="S9" i="1"/>
  <c r="J9" i="1"/>
  <c r="B49" i="6" l="1"/>
  <c r="H48" i="6"/>
  <c r="J48" i="6"/>
  <c r="F48" i="6"/>
  <c r="G48" i="6"/>
  <c r="I48" i="6"/>
  <c r="S11" i="1"/>
  <c r="A11" i="1"/>
  <c r="B50" i="6" l="1"/>
  <c r="F49" i="6"/>
  <c r="I49" i="6"/>
  <c r="J49" i="6"/>
  <c r="G49" i="6"/>
  <c r="H49" i="6"/>
  <c r="B1" i="6"/>
  <c r="A5" i="3"/>
  <c r="B51" i="6" l="1"/>
  <c r="G50" i="6"/>
  <c r="H50" i="6"/>
  <c r="F50" i="6"/>
  <c r="I50" i="6"/>
  <c r="J50" i="6"/>
  <c r="G51" i="6" l="1"/>
  <c r="H51" i="6"/>
  <c r="I51" i="6"/>
  <c r="J51" i="6"/>
  <c r="F51" i="6"/>
  <c r="B52" i="6"/>
  <c r="H52" i="6" l="1"/>
  <c r="F52" i="6"/>
  <c r="G52" i="6"/>
  <c r="I52" i="6"/>
  <c r="J52" i="6"/>
  <c r="B53" i="6"/>
  <c r="B54" i="6" l="1"/>
  <c r="G53" i="6"/>
  <c r="H53" i="6"/>
  <c r="I53" i="6"/>
  <c r="J53" i="6"/>
  <c r="F53" i="6"/>
  <c r="B55" i="6" l="1"/>
  <c r="I54" i="6"/>
  <c r="G54" i="6"/>
  <c r="F54" i="6"/>
  <c r="H54" i="6"/>
  <c r="J54" i="6"/>
  <c r="B3" i="6"/>
  <c r="G55" i="6" l="1"/>
  <c r="F55" i="6"/>
  <c r="H55" i="6"/>
  <c r="I55" i="6"/>
  <c r="J55" i="6"/>
  <c r="B56" i="6"/>
  <c r="I3" i="6"/>
  <c r="F3" i="6"/>
  <c r="J3" i="6"/>
  <c r="G3" i="6"/>
  <c r="H3" i="6"/>
  <c r="B4" i="6"/>
  <c r="H56" i="6" l="1"/>
  <c r="J56" i="6"/>
  <c r="F56" i="6"/>
  <c r="G56" i="6"/>
  <c r="I56" i="6"/>
  <c r="B57" i="6"/>
  <c r="I4" i="6"/>
  <c r="F4" i="6"/>
  <c r="B5" i="6"/>
  <c r="G4" i="6"/>
  <c r="J4" i="6"/>
  <c r="H4" i="6"/>
  <c r="B58" i="6" l="1"/>
  <c r="F57" i="6"/>
  <c r="G57" i="6"/>
  <c r="I57" i="6"/>
  <c r="H57" i="6"/>
  <c r="J57" i="6"/>
  <c r="I5" i="6"/>
  <c r="F5" i="6"/>
  <c r="G5" i="6"/>
  <c r="J5" i="6"/>
  <c r="H5" i="6"/>
  <c r="F58" i="6" l="1"/>
  <c r="G58" i="6"/>
  <c r="J58" i="6"/>
  <c r="H58" i="6"/>
  <c r="I58" i="6"/>
  <c r="B59" i="6"/>
  <c r="G59" i="6" l="1"/>
  <c r="J59" i="6"/>
  <c r="F59" i="6"/>
  <c r="H59" i="6"/>
  <c r="I59" i="6"/>
  <c r="B60" i="6"/>
  <c r="B61" i="6" l="1"/>
  <c r="F60" i="6"/>
  <c r="G60" i="6"/>
  <c r="H60" i="6"/>
  <c r="I60" i="6"/>
  <c r="J60" i="6"/>
  <c r="B62" i="6" l="1"/>
  <c r="J61" i="6"/>
  <c r="F61" i="6"/>
  <c r="I61" i="6"/>
  <c r="G61" i="6"/>
  <c r="H61" i="6"/>
  <c r="B63" i="6" l="1"/>
  <c r="G62" i="6"/>
  <c r="H62" i="6"/>
  <c r="F62" i="6"/>
  <c r="I62" i="6"/>
  <c r="J62" i="6"/>
  <c r="G63" i="6" l="1"/>
  <c r="I63" i="6"/>
  <c r="J63" i="6"/>
  <c r="F63" i="6"/>
  <c r="H63" i="6"/>
  <c r="B64" i="6"/>
  <c r="B65" i="6" l="1"/>
  <c r="J64" i="6"/>
  <c r="F64" i="6"/>
  <c r="H64" i="6"/>
  <c r="G64" i="6"/>
  <c r="I64" i="6"/>
  <c r="B66" i="6" l="1"/>
  <c r="H65" i="6"/>
  <c r="F65" i="6"/>
  <c r="I65" i="6"/>
  <c r="J65" i="6"/>
  <c r="G65" i="6"/>
  <c r="B68" i="6" l="1"/>
  <c r="B67" i="6"/>
  <c r="G66" i="6"/>
  <c r="H66" i="6"/>
  <c r="F66" i="6"/>
  <c r="I66" i="6"/>
  <c r="J66" i="6"/>
  <c r="G67" i="6" l="1"/>
  <c r="H67" i="6"/>
  <c r="I67" i="6"/>
  <c r="J67" i="6"/>
  <c r="F67" i="6"/>
  <c r="H68" i="6"/>
  <c r="J68" i="6"/>
  <c r="G68" i="6"/>
  <c r="I68" i="6"/>
  <c r="F6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<sst xmlns="http://schemas.openxmlformats.org/spreadsheetml/2006/main" count="3131" uniqueCount="1038">
  <si>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</si>
  <si>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</si>
  <si>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</si>
  <si>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</si>
  <si>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</si>
  <si>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</si>
  <si>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</si>
  <si>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</si>
  <si>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</si>
  <si>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</si>
  <si>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</si>
  <si>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</si>
  <si>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</si>
  <si>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</si>
  <si>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</si>
  <si>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</si>
  <si>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</si>
  <si>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</si>
  <si>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</si>
  <si>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</si>
  <si>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</si>
  <si>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</si>
  <si>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</si>
  <si>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</si>
  <si>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</si>
  <si>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</si>
  <si>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</si>
  <si>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</si>
  <si>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</si>
  <si>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</si>
  <si>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</si>
  <si>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</si>
  <si>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</si>
  <si>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</si>
  <si>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</si>
  <si>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</si>
  <si>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</si>
  <si>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</si>
  <si>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</si>
  <si>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</si>
  <si>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</si>
  <si>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</si>
  <si>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</si>
  <si>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</si>
  <si>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</si>
  <si>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</si>
  <si>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</si>
  <si>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</si>
  <si>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</si>
  <si>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</si>
  <si>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</si>
  <si>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</si>
  <si>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</si>
  <si>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</si>
  <si>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</si>
  <si>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</si>
  <si>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</si>
  <si>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</si>
  <si>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</si>
  <si>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</si>
  <si>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</si>
  <si>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</si>
  <si>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</si>
  <si>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</si>
  <si>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</si>
  <si>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</si>
  <si>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</si>
  <si>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</si>
  <si>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</si>
  <si>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</si>
  <si>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</si>
  <si>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</si>
  <si>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</si>
  <si>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</si>
  <si>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</si>
  <si>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</si>
  <si>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</si>
  <si>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</si>
  <si>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</si>
  <si>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</si>
  <si>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</si>
  <si>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</si>
  <si>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</si>
  <si>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</si>
  <si>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</si>
  <si>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</si>
  <si>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</si>
  <si>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</si>
  <si>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</si>
  <si>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</si>
  <si>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</si>
  <si>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</si>
  <si>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</si>
  <si>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</si>
  <si>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</si>
  <si>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</si>
  <si>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</si>
  <si>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</si>
  <si>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</si>
  <si>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</si>
  <si>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</si>
  <si>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</si>
  <si>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</si>
  <si>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</si>
  <si>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</si>
  <si>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</si>
  <si>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</si>
  <si>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</si>
  <si>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</si>
  <si>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</si>
  <si>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</si>
  <si>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</si>
  <si>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</si>
  <si>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</si>
  <si>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</si>
  <si>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</si>
  <si>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</si>
  <si>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</si>
  <si>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</si>
  <si>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</si>
  <si>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</si>
  <si>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</si>
  <si>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</si>
  <si>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</si>
  <si>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</si>
  <si>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</si>
  <si>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</si>
  <si>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</si>
  <si>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</si>
  <si>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</si>
  <si>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</si>
  <si>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</si>
  <si>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</si>
  <si>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</si>
  <si>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</si>
  <si>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</si>
  <si>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</si>
  <si>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</si>
  <si>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</si>
  <si>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</si>
  <si>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</si>
  <si>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</si>
  <si>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</si>
  <si>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</si>
  <si>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</si>
  <si>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</si>
  <si>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</si>
  <si>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</si>
  <si>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</si>
  <si>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</si>
  <si>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</si>
  <si>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</si>
  <si>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</si>
  <si>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</si>
  <si>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</si>
  <si>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</si>
  <si>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</si>
  <si>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</si>
  <si>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</si>
  <si>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</si>
  <si>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</si>
  <si>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</si>
  <si>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</si>
  <si>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</si>
  <si>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</si>
  <si>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</si>
  <si>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</si>
  <si>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</si>
  <si>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</si>
  <si>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</si>
  <si>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</si>
  <si>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</si>
  <si>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</si>
  <si>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</si>
  <si>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</si>
  <si>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</si>
  <si>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</si>
  <si>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</si>
  <si>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</si>
  <si>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</si>
  <si>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</si>
  <si>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</si>
  <si>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</si>
  <si>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</si>
  <si>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</si>
  <si>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</si>
  <si>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</si>
  <si>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</si>
  <si>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</si>
  <si>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</si>
  <si>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</si>
  <si>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</si>
  <si>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</si>
  <si>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</si>
  <si>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</si>
  <si>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</si>
  <si>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</si>
  <si>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</si>
  <si>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</si>
  <si>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</si>
  <si>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</si>
  <si>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</si>
  <si>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</si>
  <si>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</si>
  <si>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</si>
  <si>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</si>
  <si>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</si>
  <si>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</si>
  <si>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</si>
  <si>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</si>
  <si>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</si>
  <si>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</si>
  <si>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</si>
  <si>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</si>
  <si>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</si>
  <si>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</si>
  <si>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</si>
  <si>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</si>
  <si>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</si>
  <si>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</si>
  <si>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</si>
  <si>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</si>
  <si>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</si>
  <si>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</si>
  <si>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</si>
  <si>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</si>
  <si>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</si>
  <si>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</si>
  <si>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</si>
  <si>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</si>
  <si>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</si>
  <si>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</si>
  <si>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</si>
  <si>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</si>
  <si>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</si>
  <si>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</si>
  <si>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</si>
  <si>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</si>
  <si>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</si>
  <si>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</si>
  <si>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</si>
  <si>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</si>
  <si>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</si>
  <si>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</si>
  <si>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</si>
  <si>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</si>
  <si>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</si>
  <si>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</si>
  <si>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</si>
  <si>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</si>
  <si>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</si>
  <si>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</si>
  <si>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</si>
  <si>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</si>
  <si>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</si>
  <si>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</si>
  <si>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</si>
  <si>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</si>
  <si>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</si>
  <si>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</si>
  <si>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</si>
  <si>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</si>
  <si>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</si>
  <si>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</si>
  <si>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</si>
  <si>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</si>
  <si>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</si>
  <si>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</si>
  <si>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</si>
  <si>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</si>
  <si>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</si>
  <si>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</si>
  <si>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</si>
  <si>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</si>
  <si>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</si>
  <si>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</si>
  <si>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</si>
  <si>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</si>
  <si>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</si>
  <si>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</si>
  <si>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</si>
  <si>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</si>
  <si>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</si>
  <si>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</si>
  <si>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</si>
  <si>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</si>
  <si>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</si>
  <si>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</si>
  <si>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</si>
  <si>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</si>
  <si>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</si>
  <si>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</si>
  <si>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</si>
  <si>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</si>
  <si>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</si>
  <si>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</si>
  <si>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</si>
  <si>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</si>
  <si>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</si>
  <si>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</si>
  <si>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</si>
  <si>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</si>
  <si>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</si>
  <si>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</si>
  <si>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</si>
  <si>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</si>
  <si>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</si>
  <si>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</si>
  <si>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</si>
  <si>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</si>
  <si>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</si>
  <si>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</si>
  <si>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</si>
  <si>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</si>
  <si>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</si>
  <si>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</si>
  <si>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</si>
  <si>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</si>
  <si>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</si>
  <si>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</si>
  <si>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</si>
  <si>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</si>
  <si>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</si>
  <si>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</si>
  <si>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</si>
  <si>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</si>
  <si>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</si>
  <si>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</si>
  <si>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</si>
  <si>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</si>
  <si>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</si>
  <si>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</si>
  <si>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</si>
  <si>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</si>
  <si>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</si>
  <si>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</si>
  <si>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</si>
  <si>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</si>
  <si>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</si>
  <si>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</si>
  <si>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</si>
  <si>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</si>
  <si>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</si>
  <si>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</si>
  <si>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</si>
  <si>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</si>
  <si>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</si>
  <si>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</si>
  <si>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204:138</t>
  </si>
  <si>
    <t>WCR Redmine cURL</t>
  </si>
  <si>
    <t>27f4683f8c668ceb395ce0223286e38dfe180cf8</t>
  </si>
  <si>
    <t>https://ptcsupport.wabtec.com/issues.json</t>
  </si>
  <si>
    <t>204:446</t>
  </si>
  <si>
    <t>204:145</t>
  </si>
  <si>
    <t>204:160</t>
  </si>
  <si>
    <t>204:458</t>
  </si>
  <si>
    <t>204:150</t>
  </si>
  <si>
    <t>204:149</t>
  </si>
  <si>
    <t>204:143</t>
  </si>
  <si>
    <t>204:466</t>
  </si>
  <si>
    <t>204:451</t>
  </si>
  <si>
    <t>300:23346</t>
  </si>
  <si>
    <t>204:464</t>
  </si>
  <si>
    <t>204:156</t>
  </si>
  <si>
    <t>204:453</t>
  </si>
  <si>
    <t>204:444</t>
  </si>
  <si>
    <t>204:447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</si>
  <si>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</si>
  <si>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</si>
  <si>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</si>
  <si>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</si>
  <si>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</si>
  <si>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</si>
  <si>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</si>
  <si>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</si>
  <si>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204:136</t>
  </si>
  <si>
    <t>rtdc.l.rtdc.4021:itc</t>
  </si>
  <si>
    <t>THOMAS</t>
  </si>
  <si>
    <t>NEWELL</t>
  </si>
  <si>
    <t>precipType</t>
  </si>
  <si>
    <t>rain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</si>
  <si>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</si>
  <si>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</si>
  <si>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</si>
  <si>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</si>
  <si>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</si>
  <si>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</si>
  <si>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</si>
  <si>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</si>
  <si>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</si>
  <si>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</si>
  <si>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</si>
  <si>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</si>
  <si>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</si>
  <si>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</si>
  <si>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</si>
  <si>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</si>
  <si>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</si>
  <si>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</si>
  <si>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</si>
  <si>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</si>
  <si>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</si>
  <si>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</si>
  <si>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</si>
  <si>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</si>
  <si>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</si>
  <si>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rtdc.l.rtdc.4006:itc</t>
  </si>
  <si>
    <t>SWANSON</t>
  </si>
  <si>
    <t>BRYCE</t>
  </si>
  <si>
    <t>FORTUNATO</t>
  </si>
  <si>
    <t>FRANK</t>
  </si>
  <si>
    <t>rtdc.l.rtdc.4001:itc</t>
  </si>
  <si>
    <t>BROWN</t>
  </si>
  <si>
    <t>JACOB</t>
  </si>
  <si>
    <t>SULLIVAN</t>
  </si>
  <si>
    <t>BRANDON</t>
  </si>
  <si>
    <t>rtdc.l.rtdc.4002:itc</t>
  </si>
  <si>
    <t>204:154</t>
  </si>
  <si>
    <t>Early arrival</t>
  </si>
  <si>
    <t>204:233295</t>
  </si>
  <si>
    <t>204:232975</t>
  </si>
  <si>
    <t>204:232982</t>
  </si>
  <si>
    <t>204:233011</t>
  </si>
  <si>
    <t>204:473</t>
  </si>
  <si>
    <t>204:132</t>
  </si>
  <si>
    <t>rtdc.l.rtdc.4049:itc</t>
  </si>
  <si>
    <t>rtdc.l.rtdc.4050:itc</t>
  </si>
  <si>
    <t>SPECTOR</t>
  </si>
  <si>
    <t>THOMPSON</t>
  </si>
  <si>
    <t>LESTER</t>
  </si>
  <si>
    <t>204:469</t>
  </si>
  <si>
    <t>204:233303</t>
  </si>
  <si>
    <t>204:232993</t>
  </si>
  <si>
    <t>204:121</t>
  </si>
  <si>
    <t>rtdc.l.rtdc.4005:itc</t>
  </si>
  <si>
    <t>rtdc.l.rtdc.4008:itc</t>
  </si>
  <si>
    <t>rtdc.l.rtdc.4007:itc</t>
  </si>
  <si>
    <t>rtdc.l.rtdc.4018:itc</t>
  </si>
  <si>
    <t>rtdc.l.rtdc.4053:itc</t>
  </si>
  <si>
    <t>rtdc.l.rtdc.4054:itc</t>
  </si>
  <si>
    <t>rtdc.l.rtdc.4059:itc</t>
  </si>
  <si>
    <t>59-16</t>
  </si>
  <si>
    <t>243-16</t>
  </si>
  <si>
    <t>LOZA</t>
  </si>
  <si>
    <t>FIDEL</t>
  </si>
  <si>
    <t>rtdc.l.rtdc.4012:itc</t>
  </si>
  <si>
    <t>rtdc.l.rtdc.4011:itc</t>
  </si>
  <si>
    <t>66-16</t>
  </si>
  <si>
    <t>rtdc.l.rtdc.4060:itc</t>
  </si>
  <si>
    <t>60-16</t>
  </si>
  <si>
    <t>65-16</t>
  </si>
  <si>
    <t>908-16</t>
  </si>
  <si>
    <t>234-16</t>
  </si>
  <si>
    <t>237-16</t>
  </si>
  <si>
    <t>236-16</t>
  </si>
  <si>
    <t>239-16</t>
  </si>
  <si>
    <t>241-16</t>
  </si>
  <si>
    <t>238-16</t>
  </si>
  <si>
    <t>240-16</t>
  </si>
  <si>
    <t>315-16</t>
  </si>
  <si>
    <t>242-16</t>
  </si>
  <si>
    <t>309-16</t>
  </si>
  <si>
    <t>244-16</t>
  </si>
  <si>
    <t>311-16</t>
  </si>
  <si>
    <t>313-16</t>
  </si>
  <si>
    <t>204:233289</t>
  </si>
  <si>
    <t>204:471</t>
  </si>
  <si>
    <t>204:233314</t>
  </si>
  <si>
    <t>204:232992</t>
  </si>
  <si>
    <t>204:233312</t>
  </si>
  <si>
    <t>204:233000</t>
  </si>
  <si>
    <t>204:442</t>
  </si>
  <si>
    <t>204:233351</t>
  </si>
  <si>
    <t>204:233301</t>
  </si>
  <si>
    <t>204:478</t>
  </si>
  <si>
    <t>300:58619</t>
  </si>
  <si>
    <t>300:58632</t>
  </si>
  <si>
    <t>300:58624</t>
  </si>
  <si>
    <t>Onboard in-route failure</t>
  </si>
  <si>
    <t>rtdc.l.rtdc.4056:itc</t>
  </si>
  <si>
    <t>rtdc.l.rtdc.4055:itc</t>
  </si>
  <si>
    <t>Y</t>
  </si>
  <si>
    <t>BADERTSCHER</t>
  </si>
  <si>
    <t>DIANE</t>
  </si>
  <si>
    <t>GEBRETEKLE</t>
  </si>
  <si>
    <t>DAGNEW</t>
  </si>
  <si>
    <t>HELVIE</t>
  </si>
  <si>
    <t>ADAM</t>
  </si>
  <si>
    <t>DELGADO</t>
  </si>
  <si>
    <t>DIANAH</t>
  </si>
  <si>
    <t>204:724</t>
  </si>
  <si>
    <t>204:233299</t>
  </si>
  <si>
    <t>204:233325</t>
  </si>
  <si>
    <t>204:129</t>
  </si>
  <si>
    <t>204:431</t>
  </si>
  <si>
    <t>204:233025</t>
  </si>
  <si>
    <t>204:232987</t>
  </si>
  <si>
    <t>204:233306</t>
  </si>
  <si>
    <t>204:233355</t>
  </si>
  <si>
    <t>204:438</t>
  </si>
  <si>
    <t>204:233021</t>
  </si>
  <si>
    <t>204:429</t>
  </si>
  <si>
    <t>204:232979</t>
  </si>
  <si>
    <t>204:170</t>
  </si>
  <si>
    <t>204:233008</t>
  </si>
  <si>
    <t>204:233326</t>
  </si>
  <si>
    <t>300:23306</t>
  </si>
  <si>
    <t>300:23301</t>
  </si>
  <si>
    <t>204:979</t>
  </si>
  <si>
    <t>300:58937</t>
  </si>
  <si>
    <t>300:58944</t>
  </si>
  <si>
    <t>204:974</t>
  </si>
  <si>
    <t>Wi-MAX data drop</t>
  </si>
  <si>
    <t>Track device (7)</t>
  </si>
  <si>
    <t>rtdc.l.rtdc.4009:itc</t>
  </si>
  <si>
    <t>rtdc.l.rtdc.4010:itc</t>
  </si>
  <si>
    <t>rtdc.l.rtdc.4025:itc</t>
  </si>
  <si>
    <t>241-18</t>
  </si>
  <si>
    <t>rtdc.l.rtdc.4062:itc</t>
  </si>
  <si>
    <t>238-18</t>
  </si>
  <si>
    <t>ROBINSON</t>
  </si>
  <si>
    <t>KADDIBA</t>
  </si>
  <si>
    <t>MACDONALD</t>
  </si>
  <si>
    <t>rtdc.l.rtdc.4026:itc</t>
  </si>
  <si>
    <t>LOPES</t>
  </si>
  <si>
    <t>KIMBERLY</t>
  </si>
  <si>
    <t>MOSES</t>
  </si>
  <si>
    <t>BRADLEY</t>
  </si>
  <si>
    <t>WHITED</t>
  </si>
  <si>
    <t>DUSTIN</t>
  </si>
  <si>
    <t>YANG</t>
  </si>
  <si>
    <t>JAN</t>
  </si>
  <si>
    <t>PERKINS</t>
  </si>
  <si>
    <t>DARREN</t>
  </si>
  <si>
    <t>rtdc.l.rtdc.4061:itc</t>
  </si>
  <si>
    <t>908-18</t>
  </si>
  <si>
    <t>234-18</t>
  </si>
  <si>
    <t>237-18</t>
  </si>
  <si>
    <t>236-18</t>
  </si>
  <si>
    <t>239-18</t>
  </si>
  <si>
    <t>243-18</t>
  </si>
  <si>
    <t>240-18</t>
  </si>
  <si>
    <t>4061-18</t>
  </si>
  <si>
    <t>315-18</t>
  </si>
  <si>
    <t>242-18</t>
  </si>
  <si>
    <t>309-18</t>
  </si>
  <si>
    <t>244-18</t>
  </si>
  <si>
    <t>4062-18</t>
  </si>
  <si>
    <t>311-18</t>
  </si>
  <si>
    <t>51-19</t>
  </si>
  <si>
    <t>204:165</t>
  </si>
  <si>
    <t>204:233023</t>
  </si>
  <si>
    <t>204:233288</t>
  </si>
  <si>
    <t>204:233366</t>
  </si>
  <si>
    <t>204:233302</t>
  </si>
  <si>
    <t>204:233318</t>
  </si>
  <si>
    <t>204:232988</t>
  </si>
  <si>
    <t>204:232983</t>
  </si>
  <si>
    <t>204:232978</t>
  </si>
  <si>
    <t>204:163</t>
  </si>
  <si>
    <t>204:233259</t>
  </si>
  <si>
    <t>204:187</t>
  </si>
  <si>
    <t>204:440</t>
  </si>
  <si>
    <t>204:486</t>
  </si>
  <si>
    <t>204:233357</t>
  </si>
  <si>
    <t>204:233038</t>
  </si>
  <si>
    <t>204:233359</t>
  </si>
  <si>
    <t>204:233270</t>
  </si>
  <si>
    <t>204:232994</t>
  </si>
  <si>
    <t>204:233015</t>
  </si>
  <si>
    <t>204:233144</t>
  </si>
  <si>
    <t>204:232985</t>
  </si>
  <si>
    <t>204:504</t>
  </si>
  <si>
    <t>300:23295</t>
  </si>
  <si>
    <t>204:971</t>
  </si>
  <si>
    <t>300:58965</t>
  </si>
  <si>
    <t>300:58653</t>
  </si>
  <si>
    <t>204:708</t>
  </si>
  <si>
    <t>300:58946</t>
  </si>
  <si>
    <t>300:58630</t>
  </si>
  <si>
    <t>204:703</t>
  </si>
  <si>
    <t>204:699</t>
  </si>
  <si>
    <t>204:650</t>
  </si>
  <si>
    <t>204:990</t>
  </si>
  <si>
    <t>300:58649</t>
  </si>
  <si>
    <t>204:999</t>
  </si>
  <si>
    <t>204:1190</t>
  </si>
  <si>
    <t>102-20</t>
  </si>
  <si>
    <t>1800-20</t>
  </si>
  <si>
    <t>108-20</t>
  </si>
  <si>
    <t>119-20</t>
  </si>
  <si>
    <t>1803-20</t>
  </si>
  <si>
    <t>122-20</t>
  </si>
  <si>
    <t>53-20</t>
  </si>
  <si>
    <t>130-20</t>
  </si>
  <si>
    <t>1805-20</t>
  </si>
  <si>
    <t>136-20</t>
  </si>
  <si>
    <t>138-20</t>
  </si>
  <si>
    <t>1807-20</t>
  </si>
  <si>
    <t>145-20</t>
  </si>
  <si>
    <t>SWITCH UNKNOWN</t>
  </si>
  <si>
    <t>1809-20</t>
  </si>
  <si>
    <t>155-20</t>
  </si>
  <si>
    <t>152-20</t>
  </si>
  <si>
    <t>154-20</t>
  </si>
  <si>
    <t>156-20</t>
  </si>
  <si>
    <t>167-20</t>
  </si>
  <si>
    <t>162-20</t>
  </si>
  <si>
    <t>160-20</t>
  </si>
  <si>
    <t>168-20</t>
  </si>
  <si>
    <t>179-20</t>
  </si>
  <si>
    <t>61-20</t>
  </si>
  <si>
    <t>1818-20</t>
  </si>
  <si>
    <t>187-20</t>
  </si>
  <si>
    <t>186-20</t>
  </si>
  <si>
    <t>193-20</t>
  </si>
  <si>
    <t>196-20</t>
  </si>
  <si>
    <t>203-20</t>
  </si>
  <si>
    <t>198-20</t>
  </si>
  <si>
    <t>202-20</t>
  </si>
  <si>
    <t>rtdc.l.rtdc.4017:itc</t>
  </si>
  <si>
    <t>72-20</t>
  </si>
  <si>
    <t>209-20</t>
  </si>
  <si>
    <t>210-20</t>
  </si>
  <si>
    <t>1825-20</t>
  </si>
  <si>
    <t>217-20</t>
  </si>
  <si>
    <t>212-20</t>
  </si>
  <si>
    <t>215-20</t>
  </si>
  <si>
    <t>214-20</t>
  </si>
  <si>
    <t>216-20</t>
  </si>
  <si>
    <t>219-20</t>
  </si>
  <si>
    <t>220-20</t>
  </si>
  <si>
    <t>73-20</t>
  </si>
  <si>
    <t>222-20</t>
  </si>
  <si>
    <t>1829-20</t>
  </si>
  <si>
    <t>226-20</t>
  </si>
  <si>
    <t>227-20</t>
  </si>
  <si>
    <t>229-20</t>
  </si>
  <si>
    <t>233-20</t>
  </si>
  <si>
    <t>237-20</t>
  </si>
  <si>
    <t>80-20</t>
  </si>
  <si>
    <t>238-20</t>
  </si>
  <si>
    <t>241-20</t>
  </si>
  <si>
    <t>81-20</t>
  </si>
  <si>
    <t>245-20</t>
  </si>
  <si>
    <t>242-19</t>
  </si>
  <si>
    <t>245-19</t>
  </si>
  <si>
    <t>309-19</t>
  </si>
  <si>
    <t>SAFIEF</t>
  </si>
  <si>
    <t>AEIMEN</t>
  </si>
  <si>
    <t>rtdc.l.rtdc.4015:itc</t>
  </si>
  <si>
    <t>244-19</t>
  </si>
  <si>
    <t>311-19</t>
  </si>
  <si>
    <t>246-19</t>
  </si>
  <si>
    <t>rtdc.l.rtdc.4016:itc</t>
  </si>
  <si>
    <t>313-19</t>
  </si>
  <si>
    <t>302-20</t>
  </si>
  <si>
    <t>101-20</t>
  </si>
  <si>
    <t>304-20</t>
  </si>
  <si>
    <t>103-20</t>
  </si>
  <si>
    <t>306-20</t>
  </si>
  <si>
    <t>MAELZER</t>
  </si>
  <si>
    <t>KURT</t>
  </si>
  <si>
    <t>107-20</t>
  </si>
  <si>
    <t>DAVIS</t>
  </si>
  <si>
    <t>WENDY</t>
  </si>
  <si>
    <t>105-20</t>
  </si>
  <si>
    <t>308-20</t>
  </si>
  <si>
    <t>310-20</t>
  </si>
  <si>
    <t>SANTIZO</t>
  </si>
  <si>
    <t>D. EDY</t>
  </si>
  <si>
    <t>104-20</t>
  </si>
  <si>
    <t>109-20</t>
  </si>
  <si>
    <t>111-20</t>
  </si>
  <si>
    <t>106-20</t>
  </si>
  <si>
    <t>113-20</t>
  </si>
  <si>
    <t>1901-20</t>
  </si>
  <si>
    <t>110-20</t>
  </si>
  <si>
    <t>115-20</t>
  </si>
  <si>
    <t>117-20</t>
  </si>
  <si>
    <t>112-20</t>
  </si>
  <si>
    <t>51-20</t>
  </si>
  <si>
    <t>BEAM</t>
  </si>
  <si>
    <t>ROSS</t>
  </si>
  <si>
    <t>114-20</t>
  </si>
  <si>
    <t>121-20</t>
  </si>
  <si>
    <t>1801-20</t>
  </si>
  <si>
    <t>116-20</t>
  </si>
  <si>
    <t>123-20</t>
  </si>
  <si>
    <t>DE LA ROSA</t>
  </si>
  <si>
    <t>ALEX</t>
  </si>
  <si>
    <t>118-20</t>
  </si>
  <si>
    <t>1802-20</t>
  </si>
  <si>
    <t>125-20</t>
  </si>
  <si>
    <t>120-20</t>
  </si>
  <si>
    <t>127-20</t>
  </si>
  <si>
    <t>124-20</t>
  </si>
  <si>
    <t>129-20</t>
  </si>
  <si>
    <t>131-20</t>
  </si>
  <si>
    <t>1804-20</t>
  </si>
  <si>
    <t>126-20</t>
  </si>
  <si>
    <t>133-20</t>
  </si>
  <si>
    <t>128-20</t>
  </si>
  <si>
    <t>135-20</t>
  </si>
  <si>
    <t>137-20</t>
  </si>
  <si>
    <t>ARNOLD</t>
  </si>
  <si>
    <t>PAUL</t>
  </si>
  <si>
    <t>132-20</t>
  </si>
  <si>
    <t>139-20</t>
  </si>
  <si>
    <t>134-20</t>
  </si>
  <si>
    <t>141-20</t>
  </si>
  <si>
    <t>1806-20</t>
  </si>
  <si>
    <t>143-20</t>
  </si>
  <si>
    <t>55-20</t>
  </si>
  <si>
    <t>140-20</t>
  </si>
  <si>
    <t>147-20</t>
  </si>
  <si>
    <t>50-20</t>
  </si>
  <si>
    <t>142-20</t>
  </si>
  <si>
    <t>1808-20</t>
  </si>
  <si>
    <t>149-20</t>
  </si>
  <si>
    <t>144-20</t>
  </si>
  <si>
    <t>151-20</t>
  </si>
  <si>
    <t>153-20</t>
  </si>
  <si>
    <t>146-20</t>
  </si>
  <si>
    <t>148-20</t>
  </si>
  <si>
    <t>COOPER</t>
  </si>
  <si>
    <t>AARON</t>
  </si>
  <si>
    <t>ROMERO</t>
  </si>
  <si>
    <t>CHAD</t>
  </si>
  <si>
    <t>150-20</t>
  </si>
  <si>
    <t>157-20</t>
  </si>
  <si>
    <t>1810-20</t>
  </si>
  <si>
    <t>159-20</t>
  </si>
  <si>
    <t>STEWART</t>
  </si>
  <si>
    <t>1811-20</t>
  </si>
  <si>
    <t>161-20</t>
  </si>
  <si>
    <t>MCREYNOLDS</t>
  </si>
  <si>
    <t>KYLE</t>
  </si>
  <si>
    <t>163-20</t>
  </si>
  <si>
    <t>BRUDER</t>
  </si>
  <si>
    <t>RICHARD</t>
  </si>
  <si>
    <t>158-20</t>
  </si>
  <si>
    <t>1812-20</t>
  </si>
  <si>
    <t>165-20</t>
  </si>
  <si>
    <t>DAVIDSON</t>
  </si>
  <si>
    <t>DAVID</t>
  </si>
  <si>
    <t>169-20</t>
  </si>
  <si>
    <t>1813-20</t>
  </si>
  <si>
    <t>164-20</t>
  </si>
  <si>
    <t>171-20</t>
  </si>
  <si>
    <t>166-20</t>
  </si>
  <si>
    <t>1814-20</t>
  </si>
  <si>
    <t>173-20</t>
  </si>
  <si>
    <t>175-20</t>
  </si>
  <si>
    <t>1815-20</t>
  </si>
  <si>
    <t>170-20</t>
  </si>
  <si>
    <t>177-20</t>
  </si>
  <si>
    <t>172-20</t>
  </si>
  <si>
    <t>1816-20</t>
  </si>
  <si>
    <t>174-20</t>
  </si>
  <si>
    <t>181-20</t>
  </si>
  <si>
    <t>176-20</t>
  </si>
  <si>
    <t>183-20</t>
  </si>
  <si>
    <t>178-20</t>
  </si>
  <si>
    <t>185-20</t>
  </si>
  <si>
    <t>180-20</t>
  </si>
  <si>
    <t>1817-20</t>
  </si>
  <si>
    <t>182-20</t>
  </si>
  <si>
    <t>189-20</t>
  </si>
  <si>
    <t>184-20</t>
  </si>
  <si>
    <t>191-20</t>
  </si>
  <si>
    <t>1819-20</t>
  </si>
  <si>
    <t>188-20</t>
  </si>
  <si>
    <t>195-20</t>
  </si>
  <si>
    <t>190-20</t>
  </si>
  <si>
    <t>197-20</t>
  </si>
  <si>
    <t>1820-20</t>
  </si>
  <si>
    <t>192-20</t>
  </si>
  <si>
    <t>199-20</t>
  </si>
  <si>
    <t>194-20</t>
  </si>
  <si>
    <t>201-20</t>
  </si>
  <si>
    <t>1821-20</t>
  </si>
  <si>
    <t>1822-20</t>
  </si>
  <si>
    <t>205-20</t>
  </si>
  <si>
    <t>200-20</t>
  </si>
  <si>
    <t>57-20</t>
  </si>
  <si>
    <t>207-20</t>
  </si>
  <si>
    <t>204-20</t>
  </si>
  <si>
    <t>1823-20</t>
  </si>
  <si>
    <t>211-20</t>
  </si>
  <si>
    <t>206-20</t>
  </si>
  <si>
    <t>1824-20</t>
  </si>
  <si>
    <t>213-20</t>
  </si>
  <si>
    <t>208-20</t>
  </si>
  <si>
    <t>STAMBAUGH</t>
  </si>
  <si>
    <t>1826-20</t>
  </si>
  <si>
    <t>303-20</t>
  </si>
  <si>
    <t>221-20</t>
  </si>
  <si>
    <t>218-20</t>
  </si>
  <si>
    <t>305-20</t>
  </si>
  <si>
    <t>1827-20</t>
  </si>
  <si>
    <t>223-20</t>
  </si>
  <si>
    <t>1828-20</t>
  </si>
  <si>
    <t>307-20</t>
  </si>
  <si>
    <t>225-20</t>
  </si>
  <si>
    <t>224-20</t>
  </si>
  <si>
    <t>1830-20</t>
  </si>
  <si>
    <t>231-20</t>
  </si>
  <si>
    <t>1831-20</t>
  </si>
  <si>
    <t>228-20</t>
  </si>
  <si>
    <t>1832-20</t>
  </si>
  <si>
    <t>230-20</t>
  </si>
  <si>
    <t>232-20</t>
  </si>
  <si>
    <t>1833-20</t>
  </si>
  <si>
    <t>235-20</t>
  </si>
  <si>
    <t>1902-20</t>
  </si>
  <si>
    <t>234-20</t>
  </si>
  <si>
    <t>239-20</t>
  </si>
  <si>
    <t>236-20</t>
  </si>
  <si>
    <t>240-20</t>
  </si>
  <si>
    <t>243-20</t>
  </si>
  <si>
    <t>242-20</t>
  </si>
  <si>
    <t>309-20</t>
  </si>
  <si>
    <t>244-20</t>
  </si>
  <si>
    <t>311-20</t>
  </si>
  <si>
    <t>246-20</t>
  </si>
  <si>
    <t>313-20</t>
  </si>
  <si>
    <t>315-20</t>
  </si>
  <si>
    <t>partly-cloudy-night</t>
  </si>
  <si>
    <t>Mostly Cloudy</t>
  </si>
  <si>
    <t>Partly Cloudy</t>
  </si>
  <si>
    <t>partly-cloudy-day</t>
  </si>
  <si>
    <t>clear-day</t>
  </si>
  <si>
    <t>Clear</t>
  </si>
  <si>
    <t>clear-night</t>
  </si>
  <si>
    <t>204:734</t>
  </si>
  <si>
    <t>204:232679</t>
  </si>
  <si>
    <t>204:761</t>
  </si>
  <si>
    <t>204:233395</t>
  </si>
  <si>
    <t>204:232749</t>
  </si>
  <si>
    <t>204:728</t>
  </si>
  <si>
    <t>204:232681</t>
  </si>
  <si>
    <t>204:233331</t>
  </si>
  <si>
    <t>204:801</t>
  </si>
  <si>
    <t>204:233327</t>
  </si>
  <si>
    <t>204:233004</t>
  </si>
  <si>
    <t>204:233360</t>
  </si>
  <si>
    <t>204:233036</t>
  </si>
  <si>
    <t>204:757</t>
  </si>
  <si>
    <t>204:233374</t>
  </si>
  <si>
    <t>204:127854</t>
  </si>
  <si>
    <t>204:233311</t>
  </si>
  <si>
    <t>204:721</t>
  </si>
  <si>
    <t>204:233361</t>
  </si>
  <si>
    <t>204:233005</t>
  </si>
  <si>
    <t>204:233310</t>
  </si>
  <si>
    <t>204:467</t>
  </si>
  <si>
    <t>204:233427</t>
  </si>
  <si>
    <t>204:233070</t>
  </si>
  <si>
    <t>204:127860</t>
  </si>
  <si>
    <t>204:130852</t>
  </si>
  <si>
    <t>204:233040</t>
  </si>
  <si>
    <t>204:233328</t>
  </si>
  <si>
    <t>204:233010</t>
  </si>
  <si>
    <t>204:232998</t>
  </si>
  <si>
    <t>204:233345</t>
  </si>
  <si>
    <t>204:130</t>
  </si>
  <si>
    <t>204:167</t>
  </si>
  <si>
    <t>204:475</t>
  </si>
  <si>
    <t>204:232977</t>
  </si>
  <si>
    <t>204:233323</t>
  </si>
  <si>
    <t>204:233002</t>
  </si>
  <si>
    <t>204:232980</t>
  </si>
  <si>
    <t>204:233017</t>
  </si>
  <si>
    <t>204:232984</t>
  </si>
  <si>
    <t>204:207</t>
  </si>
  <si>
    <t>204:127</t>
  </si>
  <si>
    <t>204:232981</t>
  </si>
  <si>
    <t>204:233341</t>
  </si>
  <si>
    <t>204:535</t>
  </si>
  <si>
    <t>204:233210</t>
  </si>
  <si>
    <t>204:232885</t>
  </si>
  <si>
    <t>204:316</t>
  </si>
  <si>
    <t>204:233019</t>
  </si>
  <si>
    <t>204:488</t>
  </si>
  <si>
    <t>204:1113</t>
  </si>
  <si>
    <t>204:233317</t>
  </si>
  <si>
    <t>204:219050</t>
  </si>
  <si>
    <t>204:228034</t>
  </si>
  <si>
    <t>300:58626</t>
  </si>
  <si>
    <t>204:685</t>
  </si>
  <si>
    <t>204:976</t>
  </si>
  <si>
    <t>300:58638</t>
  </si>
  <si>
    <t>300:58935</t>
  </si>
  <si>
    <t>204:677</t>
  </si>
  <si>
    <t>204:960</t>
  </si>
  <si>
    <t>300:58967</t>
  </si>
  <si>
    <t>300:58952</t>
  </si>
  <si>
    <t>204:664</t>
  </si>
  <si>
    <t>204:955</t>
  </si>
  <si>
    <t>300:58990</t>
  </si>
  <si>
    <t>204:1500</t>
  </si>
  <si>
    <t>300:58668</t>
  </si>
  <si>
    <t>204:680</t>
  </si>
  <si>
    <t>300:58931</t>
  </si>
  <si>
    <t>300:58608</t>
  </si>
  <si>
    <t>204:943</t>
  </si>
  <si>
    <t>300:58636</t>
  </si>
  <si>
    <t>204:666</t>
  </si>
  <si>
    <t>204:946</t>
  </si>
  <si>
    <t>300:58926</t>
  </si>
  <si>
    <t>300:58611</t>
  </si>
  <si>
    <t>204:671</t>
  </si>
  <si>
    <t>204:957</t>
  </si>
  <si>
    <t>204:1014</t>
  </si>
  <si>
    <t>300:58948</t>
  </si>
  <si>
    <t>300:58615</t>
  </si>
  <si>
    <t>204:642</t>
  </si>
  <si>
    <t>204:950</t>
  </si>
  <si>
    <t>300:58621</t>
  </si>
  <si>
    <t>204:729</t>
  </si>
  <si>
    <t>204:1025</t>
  </si>
  <si>
    <t>204:717</t>
  </si>
  <si>
    <t>204:754</t>
  </si>
  <si>
    <t>204:1037</t>
  </si>
  <si>
    <t>300:58933</t>
  </si>
  <si>
    <t>204:489</t>
  </si>
  <si>
    <t>204:233453</t>
  </si>
  <si>
    <t>204:752</t>
  </si>
  <si>
    <t>204:1018</t>
  </si>
  <si>
    <t>204:768</t>
  </si>
  <si>
    <t>204:1074</t>
  </si>
  <si>
    <t>300:58924</t>
  </si>
  <si>
    <t>204:233155</t>
  </si>
  <si>
    <t>204:498</t>
  </si>
  <si>
    <t>204:233322</t>
  </si>
  <si>
    <t>204:201</t>
  </si>
  <si>
    <t>204:232959</t>
  </si>
  <si>
    <t>300:29844</t>
  </si>
  <si>
    <t>300:21771</t>
  </si>
  <si>
    <t>204:232991</t>
  </si>
  <si>
    <t>204:214774</t>
  </si>
  <si>
    <t>204:232973</t>
  </si>
  <si>
    <t>204:233337</t>
  </si>
  <si>
    <t>204:1144</t>
  </si>
  <si>
    <t>204:233251</t>
  </si>
  <si>
    <t>204:232947</t>
  </si>
  <si>
    <t>204:233308</t>
  </si>
  <si>
    <t>204:148</t>
  </si>
  <si>
    <t>204:233385</t>
  </si>
  <si>
    <t>204:233062</t>
  </si>
  <si>
    <t>204:232971</t>
  </si>
  <si>
    <t>204:232989</t>
  </si>
  <si>
    <t>204:140</t>
  </si>
  <si>
    <t>204:233437</t>
  </si>
  <si>
    <t>204:233130</t>
  </si>
  <si>
    <t>204:103</t>
  </si>
  <si>
    <t>204:233003</t>
  </si>
  <si>
    <t>204:433</t>
  </si>
  <si>
    <t>204:233456</t>
  </si>
  <si>
    <t>204:233122</t>
  </si>
  <si>
    <t>204:233412</t>
  </si>
  <si>
    <t>204:233149</t>
  </si>
  <si>
    <t>204:99</t>
  </si>
  <si>
    <t>204:233336</t>
  </si>
  <si>
    <t>204:233280</t>
  </si>
  <si>
    <t>204:161</t>
  </si>
  <si>
    <t>204:356</t>
  </si>
  <si>
    <t>204:233132</t>
  </si>
  <si>
    <t>204:219172</t>
  </si>
  <si>
    <t>204:127864</t>
  </si>
  <si>
    <t>204:206427</t>
  </si>
  <si>
    <t>204:233444</t>
  </si>
  <si>
    <t>204:233142</t>
  </si>
  <si>
    <t>204:233340</t>
  </si>
  <si>
    <t>300:23014</t>
  </si>
  <si>
    <t>204:448</t>
  </si>
  <si>
    <t>300:23302</t>
  </si>
  <si>
    <t>300:23247</t>
  </si>
  <si>
    <t>300:22009</t>
  </si>
  <si>
    <t>300:23222</t>
  </si>
  <si>
    <t>204:437</t>
  </si>
  <si>
    <t>300:22066</t>
  </si>
  <si>
    <t>300:19511</t>
  </si>
  <si>
    <t>204:380</t>
  </si>
  <si>
    <t>300:30892</t>
  </si>
  <si>
    <t>204:1175</t>
  </si>
  <si>
    <t>204:3043</t>
  </si>
  <si>
    <t>204:1179</t>
  </si>
  <si>
    <t>204:3361</t>
  </si>
  <si>
    <t>204:2999</t>
  </si>
  <si>
    <t>204:2765</t>
  </si>
  <si>
    <t>204:1494</t>
  </si>
  <si>
    <t>204:3335</t>
  </si>
  <si>
    <t>204:1498</t>
  </si>
  <si>
    <t>204:1184</t>
  </si>
  <si>
    <t>204:4071</t>
  </si>
  <si>
    <t>204:872</t>
  </si>
  <si>
    <t>204:1145</t>
  </si>
  <si>
    <t>204:635</t>
  </si>
  <si>
    <t>300:5384</t>
  </si>
  <si>
    <t>300:23453</t>
  </si>
  <si>
    <t>204:908</t>
  </si>
  <si>
    <t>300:4987</t>
  </si>
  <si>
    <t>204:1218</t>
  </si>
  <si>
    <t>300:5329</t>
  </si>
  <si>
    <t>300:23561</t>
  </si>
  <si>
    <t>204:884</t>
  </si>
  <si>
    <t>204:1203</t>
  </si>
  <si>
    <t>start /low /b %USERPROFILE%\Documents\GitHub\eaglep3\Utilities\DownloadLogsFromS3.py --loco 4025 --day 2017-05-20</t>
  </si>
  <si>
    <t>start /low /b %USERPROFILE%\Documents\GitHub\eaglep3\Utilities\DownloadLogsFromS3.py --loco 4056 --day 2017-05-20</t>
  </si>
  <si>
    <t>start /low /b %USERPROFILE%\Documents\GitHub\eaglep3\Utilities\DownloadLogsFromS3.py --loco 4002 --day 1969-12-31</t>
  </si>
  <si>
    <t>start /low /b %USERPROFILE%\Documents\GitHub\eaglep3\Utilities\DownloadLogsFromS3.py --loco 4002 --day 2017-05-20</t>
  </si>
  <si>
    <t>start /low /b %USERPROFILE%\Documents\GitHub\eaglep3\Utilities\DownloadLogsFromS3.py --loco 4014 --day 2017-05-20</t>
  </si>
  <si>
    <t>start /low /b %USERPROFILE%\Documents\GitHub\eaglep3\Utilities\DownloadLogsFromS3.py --loco 4013 --day 2017-05-21</t>
  </si>
  <si>
    <t>start /low /b %USERPROFILE%\Documents\GitHub\eaglep3\Utilities\DownloadLogsFromS3.py --loco 4006 --day 2017-05-20</t>
  </si>
  <si>
    <t>start /low /b %USERPROFILE%\Documents\GitHub\eaglep3\Utilities\DownloadLogsFromS3.py --loco 4013 --day 2017-05-20</t>
  </si>
  <si>
    <t>start /low /b %USERPROFILE%\Documents\GitHub\eaglep3\Utilities\DownloadLogsFromS3.py --loco 4007 --day 2017-05-20</t>
  </si>
  <si>
    <t>start /low /b %USERPROFILE%\Documents\GitHub\eaglep3\Utilities\DownloadLogsFromS3.py --loco 4008 --day 2017-05-20</t>
  </si>
  <si>
    <t>start /low /b %USERPROFILE%\Documents\GitHub\eaglep3\Utilities\DownloadLogsFromS3.py --loco 4012 --day 2017-05-21</t>
  </si>
  <si>
    <t>start /low /b %USERPROFILE%\Documents\GitHub\eaglep3\Utilities\DownloadLogsFromS3.py --loco 4021 --day 2017-05-20</t>
  </si>
  <si>
    <t>start /low /b %USERPROFILE%\Documents\GitHub\eaglep3\Utilities\DownloadLogsFromS3.py --loco 4009 --day 2017-05-20</t>
  </si>
  <si>
    <t>start /low /b %USERPROFILE%\Documents\GitHub\eaglep3\Utilities\DownloadLogsFromS3.py --loco 4009 --day 2017-05-21</t>
  </si>
  <si>
    <t>start /low /b %USERPROFILE%\Documents\GitHub\eaglep3\Utilities\DownloadLogsFromS3.py --loco 4001 --day 2017-05-20</t>
  </si>
  <si>
    <t>start /low /b %USERPROFILE%\Documents\GitHub\eaglep3\Utilities\DownloadLogsFromS3.py --loco 4011 --day 2017-05-20</t>
  </si>
  <si>
    <t>start /low /b %USERPROFILE%\Documents\GitHub\eaglep3\Utilities\DownloadLogsFromS3.py --loco 4055 --day 2017-05-20</t>
  </si>
  <si>
    <t>start /low /b %USERPROFILE%\Documents\GitHub\eaglep3\Utilities\DownloadLogsFromS3.py --loco 4007 --day 2017-05-21</t>
  </si>
  <si>
    <t>start /low /b %USERPROFILE%\Documents\GitHub\eaglep3\Utilities\DownloadLogsFromS3.py --loco 4025 --day 2017-05-21</t>
  </si>
  <si>
    <t>start /low /b %USERPROFILE%\Documents\GitHub\eaglep3\Utilities\DownloadLogsFromS3.py --loco 4021 --day 2017-05-21</t>
  </si>
  <si>
    <t>start /low /b %USERPROFILE%\Documents\GitHub\eaglep3\Utilities\DownloadLogsFromS3.py --loco 4011 --day 2017-05-21</t>
  </si>
  <si>
    <t>start /low /b %USERPROFILE%\Documents\GitHub\eaglep3\Utilities\DownloadLogsFromS3.py --loco 4014 --day 2017-05-21</t>
  </si>
  <si>
    <t>start /low /b %USERPROFILE%\Documents\GitHub\eaglep3\Utilities\DownloadLogsFromS3.py --loco 4010 --day 2017-05-20</t>
  </si>
  <si>
    <t>start /low /b %USERPROFILE%\Documents\GitHub\eaglep3\Utilities\DownloadLogsFromS3.py --loco 4012 --day 2017-05-20</t>
  </si>
  <si>
    <t>start /low /b %USERPROFILE%\Documents\GitHub\eaglep3\Utilities\DownloadLogsFromS3.py --loco 4010 --day 2017-05-21</t>
  </si>
  <si>
    <t>start /low /b %USERPROFILE%\Documents\GitHub\eaglep3\Utilities\DownloadLogsFromS3.py --loco 4022 --day 2017-05-21</t>
  </si>
  <si>
    <t>start /low /b %USERPROFILE%\Documents\GitHub\eaglep3\Utilities\DownloadLogsFromS3.py --loco 4006 --day 2017-05-21</t>
  </si>
  <si>
    <t>start /low /b %USERPROFILE%\Documents\GitHub\eaglep3\Utilities\DownloadLogsFromS3.py --loco 4005 --day 2017-05-20</t>
  </si>
  <si>
    <t>Wi-MAX data drop (78th radio down)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</si>
</sst>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5" fontId="0" fillId="0" borderId="0" xfId="2" applyNumberFormat="1" applyFo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3"/>
  <sheetViews>
    <sheetView topLeftCell="A85" zoomScaleNormal="100" workbookViewId="0">
      <selection activeCell="R91" sqref="R91:R108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.85546875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42875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42875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34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COUNTIFS($N$13:$N$9311,"&gt;0",$AG$13:$AG$9311,I1)</f>
        <v>140</v>
      </c>
      <c r="K5" s="39"/>
      <c r="L5" s="39"/>
      <c r="M5" s="40">
        <f>AVERAGEIFS($N$13:$N$9311,$AG$13:$AG$9311,I1)</f>
        <v>38.05797619101525</v>
      </c>
      <c r="N5" s="38">
        <f t="array" ref="N5">MIN(IF($AG$13:$AG$9311=I1,IF(ISNUMBER($N$13:$N$9311),IF($N$13:$N$9311&gt;0,$N$13:$N$9311))))</f>
        <v>34.149999999208376</v>
      </c>
      <c r="O5" s="3">
        <f t="array" ref="O5">MAX(IF($AG$13:$AG$9311=I1,IF(ISNUMBER($N$13:$N$9311),IF($N$13:$N$9311&gt;0,$N$13:$N$9311))))</f>
        <v>46.699999999254942</v>
      </c>
      <c r="P5" s="2"/>
      <c r="R5" s="177" t="s">
        <v>17</v>
      </c>
      <c r="S5" s="199">
        <f>COUNTIFS($N$13:$N$9311,"&gt;0",$AG$13:$AG$9311,R1)</f>
        <v>34</v>
      </c>
      <c r="T5" s="179"/>
      <c r="U5" s="179"/>
      <c r="V5" s="176">
        <f>AVERAGEIFS($N$13:$N$9311,$AG$13:$AG$9311,R1)</f>
        <v>14.793137254207121</v>
      </c>
      <c r="W5" s="177">
        <f t="array" ref="W5">MIN(IF($AG$13:$AG$9311=R1,IF(ISNUMBER($N$13:$N$9311),IF($N$13:$N$9311&gt;0,$N$13:$N$9311))))</f>
        <v>12.899999998044223</v>
      </c>
      <c r="X5" s="178">
        <f t="array" ref="X5">MAX(IF($AG$13:$AG$9311=R1,IF(ISNUMBER($N$13:$N$9311),IF($N$13:$N$9311&gt;0,$N$13:$N$9311))))</f>
        <v>18.549999998649582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COUNT($O$13:$O$112)</f>
        <v>0</v>
      </c>
      <c r="K6" s="39"/>
      <c r="L6" s="39"/>
      <c r="M6" s="40">
        <f>IFERROR(AVERAGE($O$13:$O$112),0)</f>
        <v>0</v>
      </c>
      <c r="N6" s="38">
        <f>MIN($O$13:$O$112)</f>
        <v>0</v>
      </c>
      <c r="O6" s="3">
        <f>MAX($O$13:$O$112)</f>
        <v>0</v>
      </c>
      <c r="P6" s="2"/>
      <c r="R6" s="180" t="s">
        <v>43</v>
      </c>
      <c r="S6" s="199">
        <f>COUNT($O$13:$O$112)</f>
        <v>0</v>
      </c>
      <c r="T6" s="179"/>
      <c r="U6" s="179"/>
      <c r="V6" s="176">
        <f>IFERROR(AVERAGE($O$13:$O$112),0)</f>
        <v>0</v>
      </c>
      <c r="W6" s="177">
        <f>MIN($O$13:$O$112)</f>
        <v>0</v>
      </c>
      <c r="X6" s="178">
        <f>MAX($O$13:$O$112)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COUNTIFS($P$13:$P$9311,"&gt;0",$AG$13:$AG$9311,I1)</f>
        <v>6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COUNTIFS($P$13:$P$9311,"&gt;0",$AG$13:$AG$9311,R1)</f>
        <v>0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140</v>
      </c>
      <c r="K8" s="39"/>
      <c r="L8" s="39"/>
      <c r="M8" s="40">
        <f>M5</f>
        <v>38.05797619101525</v>
      </c>
      <c r="N8" s="38">
        <f>N5</f>
        <v>34.149999999208376</v>
      </c>
      <c r="O8" s="3">
        <f>O5</f>
        <v>46.699999999254942</v>
      </c>
      <c r="P8" s="2"/>
      <c r="R8" s="177" t="s">
        <v>16</v>
      </c>
      <c r="S8" s="199">
        <f>S5</f>
        <v>34</v>
      </c>
      <c r="T8" s="179"/>
      <c r="U8" s="179"/>
      <c r="V8" s="176">
        <f>V5</f>
        <v>14.793137254207121</v>
      </c>
      <c r="W8" s="177">
        <f>W5</f>
        <v>12.899999998044223</v>
      </c>
      <c r="X8" s="178">
        <f>X5</f>
        <v>18.549999998649582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0.95890410958904104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1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9" t="str">
        <f>"Eagle P3 System Performance - "&amp;TEXT(Variables!A2,"yyyy-mm-dd")</f>
        <v>Eagle P3 System Performance - 2017-05-20</v>
      </c>
      <c r="B11" s="209"/>
      <c r="C11" s="209"/>
      <c r="D11" s="209"/>
      <c r="E11" s="209"/>
      <c r="F11" s="209"/>
      <c r="G11" s="209"/>
      <c r="H11" s="209"/>
      <c r="I11" s="209"/>
      <c r="J11" s="209"/>
      <c r="K11" s="209"/>
      <c r="L11" s="209"/>
      <c r="M11" s="209"/>
      <c r="N11" s="209"/>
      <c r="O11" s="209"/>
      <c r="P11" s="209"/>
      <c r="S11" s="208">
        <f>AVERAGE(S13:S89)</f>
        <v>1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199</v>
      </c>
      <c r="AN12" s="46" t="s">
        <v>349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657</v>
      </c>
      <c r="B13" s="7">
        <v>4028</v>
      </c>
      <c r="C13" s="21" t="s">
        <v>206</v>
      </c>
      <c r="D13" s="21" t="s">
        <v>835</v>
      </c>
      <c r="E13" s="13">
        <v>42875.133842592593</v>
      </c>
      <c r="F13" s="13">
        <v>42875.135937500003</v>
      </c>
      <c r="G13" s="7">
        <v>1</v>
      </c>
      <c r="H13" s="21" t="s">
        <v>467</v>
      </c>
      <c r="I13" s="13">
        <v>42875.161319444444</v>
      </c>
      <c r="J13" s="7">
        <v>0</v>
      </c>
      <c r="K13" s="92" t="str">
        <f t="shared" ref="K13:K76" si="0">IF(ISEVEN(B13),(B13-1)&amp;"/"&amp;B13,B13&amp;"/"&amp;(B13+1))</f>
        <v>4027/4028</v>
      </c>
      <c r="L13" s="21" t="str">
        <f>VLOOKUP(A13,'Trips&amp;Operators'!$C$1:$G$99999,5,FALSE)</f>
        <v>BADERTSCHER DIANE</v>
      </c>
      <c r="M13" s="6">
        <f t="shared" ref="M13:M76" si="1">I13-F13</f>
        <v>2.5381944440596271E-2</v>
      </c>
      <c r="N13" s="7">
        <f t="shared" ref="N13:N27" si="2">24*60*SUM($M13:$M13)</f>
        <v>36.549999994458631</v>
      </c>
      <c r="O13" s="7"/>
      <c r="P13" s="7"/>
      <c r="Q13" s="22"/>
      <c r="R13" s="190"/>
      <c r="S13" s="196">
        <f t="shared" ref="S13:S42" si="3">SUM(U13:U13)/IF(AG13="EC",12,1)</f>
        <v>1</v>
      </c>
      <c r="T13" s="190" t="str">
        <f t="shared" ref="T13:T76" si="4"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-20T02:12:44-0600',mode:absolute,to:'2017-05-20T04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" s="192" t="str">
        <f t="shared" ref="W13:W76" si="6">IF(AA13&lt;IF(AG13="EC",23,5.65),"Y","N")</f>
        <v>N</v>
      </c>
      <c r="X13" s="192" t="e">
        <f t="shared" ref="X13:X44" si="7">VALUE(LEFT(AD13,4))-VALUE(LEFT(AD12,4))</f>
        <v>#VALUE!</v>
      </c>
      <c r="Y13" s="192">
        <f t="shared" ref="Y13:Y76" si="8">RIGHT(D13,LEN(D13)-4)/10000</f>
        <v>7.3400000000000007E-2</v>
      </c>
      <c r="Z13" s="192">
        <f t="shared" ref="Z13:Z76" si="9">RIGHT(H13,LEN(H13)-4)/10000</f>
        <v>23.331399999999999</v>
      </c>
      <c r="AA13" s="192">
        <f t="shared" ref="AA13:AA76" si="10">ABS(Z13-Y13)</f>
        <v>23.257999999999999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1">IF(LEN(A13)=6,"0"&amp;A13,A13)</f>
        <v>0101-20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s3://rtdc.mdm.uploadarchive.raw/RTDC4028/ "%USERPROFILE%\AppData\Local\Temp\OnboardLogs"\RTDC4028\2017-05-20 --exclude "*" --recursive --include "*20170520*" &amp; "%USERPROFILE%\Documents\GitHub\mrs-test-scripts\Headless Mode &amp; Sideloading\WalkAndUnGZ.bat" "%USERPROFILE%\AppData\Local\Temp\OnboardLogs"\RTDC4028\2017-05-20 &amp; aws s3 cp s3://rtdc.mdm.uploadarchive.raw/RTDC4028/ "%USERPROFILE%\AppData\Local\Temp\OnboardLogs"\RTDC4028\2017-05-21 --exclude "*" --recursive --include "*20170521*" &amp; "%USERPROFILE%\Documents\GitHub\mrs-test-scripts\Headless Mode &amp; Sideloading\WalkAndUnGZ.bat" "%USERPROFILE%\AppData\Local\Temp\OnboardLogs"\RTDC4028\2017-05-21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/stypes="app*4028*20170520*"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101-20 --locoid 4028 --swversion DE.1.0.9.0 --startMP 204:734 --initTime 2017-05-20T03:12:44 --startdatetime 2017-05-20T03:15:45 --delay 1 --endMP 204:233314 --enddatetime 2017-05-20T03:52:18 --enforcementcount 0 &gt;&gt;C:\Users\stu\Documents\GitHub\eaglep3-reporting\EC\2017-05-20-refined-times.txt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{"issue":{"subject":"","project_id":79,"tracker_id":40,"status_id":1,"priority_id":2,"assigned_to_id":23,"start_date":"2017-05-20","description":"","custom_fields":[{"id":1,"name":"Subdivision","value":"EC"},{"id":4,"name":"Milepost","value":"23.3314"},{"id":17,"name":"Train ID","value":"101-20"},{"id":16,"name":"Locomotive ID","value":"4028"},{"id":130,"name":"Impact","value":""},{"id":150,"name":"Time of Event (Mountain Time)","value":"03:52:18"},{"id":151,"name":"Denver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4028 --day 2017-05-20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09:52:18"},{"id":29,"name":"Sharepoint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587</v>
      </c>
      <c r="B14" s="7">
        <v>4007</v>
      </c>
      <c r="C14" s="21" t="s">
        <v>206</v>
      </c>
      <c r="D14" s="21" t="s">
        <v>836</v>
      </c>
      <c r="E14" s="13">
        <v>42875.169074074074</v>
      </c>
      <c r="F14" s="13">
        <v>42875.174502314818</v>
      </c>
      <c r="G14" s="7">
        <v>1</v>
      </c>
      <c r="H14" s="21" t="s">
        <v>433</v>
      </c>
      <c r="I14" s="13">
        <v>42875.205601851849</v>
      </c>
      <c r="J14" s="7">
        <v>0</v>
      </c>
      <c r="K14" s="92" t="str">
        <f t="shared" si="0"/>
        <v>4007/4008</v>
      </c>
      <c r="L14" s="21" t="str">
        <f>VLOOKUP(A14,'Trips&amp;Operators'!$C$1:$G$99999,5,FALSE)</f>
        <v>BADERTSCHER DIANE</v>
      </c>
      <c r="M14" s="6">
        <f t="shared" si="1"/>
        <v>3.1099537030968349E-2</v>
      </c>
      <c r="N14" s="7">
        <f t="shared" si="2"/>
        <v>44.783333324594423</v>
      </c>
      <c r="O14" s="7"/>
      <c r="P14" s="7"/>
      <c r="Q14" s="22"/>
      <c r="R14" s="190"/>
      <c r="S14" s="196">
        <f t="shared" si="3"/>
        <v>1</v>
      </c>
      <c r="T14" s="190" t="str">
        <f t="shared" si="4"/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 t="shared" si="5"/>
        <v>https://d0f6bd738d7f1b3e5a7ca70fe4ff75f0.us-east-1.aws.found.io/app/kibana#/discover/Steve-Slow-Train-Analysis-(2080s-and-2083s)?_g=(refreshInterval:(display:Off,pause:!f,section:0,value:0),time:(from:'2017-05-20T03:03:28-0600',mode:absolute,to:'2017-05-20T05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" s="192" t="str">
        <f t="shared" si="6"/>
        <v>N</v>
      </c>
      <c r="X14" s="192">
        <f t="shared" si="7"/>
        <v>1</v>
      </c>
      <c r="Y14" s="192">
        <f t="shared" si="8"/>
        <v>23.267900000000001</v>
      </c>
      <c r="Z14" s="192">
        <f t="shared" si="9"/>
        <v>1.21E-2</v>
      </c>
      <c r="AA14" s="192">
        <f t="shared" si="10"/>
        <v>23.255800000000001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0102-20</v>
      </c>
      <c r="AE14" s="80" t="str">
        <f t="shared" si="12"/>
        <v>aws s3 cp s3://rtdc.mdm.uploadarchive.raw/RTDC4007/ "%USERPROFILE%\AppData\Local\Temp\OnboardLogs"\RTDC4007\2017-05-20 --exclude "*" --recursive --include "*20170520*" &amp; "%USERPROFILE%\Documents\GitHub\mrs-test-scripts\Headless Mode &amp; Sideloading\WalkAndUnGZ.bat" "%USERPROFILE%\AppData\Local\Temp\OnboardLogs"\RTDC4007\2017-05-20 &amp; aws s3 cp s3://rtdc.mdm.uploadarchive.raw/RTDC4007/ "%USERPROFILE%\AppData\Local\Temp\OnboardLogs"\RTDC4007\2017-05-21 --exclude "*" --recursive --include "*20170521*" &amp; "%USERPROFILE%\Documents\GitHub\mrs-test-scripts\Headless Mode &amp; Sideloading\WalkAndUnGZ.bat" "%USERPROFILE%\AppData\Local\Temp\OnboardLogs"\RTDC4007\2017-05-21</v>
      </c>
      <c r="AF14" s="77" t="str">
        <f t="shared" si="13"/>
        <v>"C:\Program Files (x86)\AstroGrep\AstroGrep.exe" /e /r /s /spath="%USERPROFILE%\AppData\Local\Temp\OnboardLogs" /stypes="app*4007*20170520*" /stext=" 10:.+((SYSTEM_STATE.+slice.+state.+changed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76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102-20 --locoid 4007 --swversion DE.1.0.9.0 --startMP 204:232679 --initTime 2017-05-20T04:03:28 --startdatetime 2017-05-20T04:11:17 --delay 1 --endMP 204:121 --enddatetime 2017-05-20T04:56:04 --enforcementcount 0 &gt;&gt;C:\Users\stu\Documents\GitHub\eaglep3-reporting\EC\2017-05-20-refined-times.txt</v>
      </c>
      <c r="AI14" s="99" t="str">
        <f t="shared" ref="AI14:AI76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{"issue":{"subject":"","project_id":79,"tracker_id":40,"status_id":1,"priority_id":2,"assigned_to_id":23,"start_date":"2017-05-20","description":"","custom_fields":[{"id":1,"name":"Subdivision","value":"EC"},{"id":4,"name":"Milepost","value":"0.0121"},{"id":17,"name":"Train ID","value":"102-20"},{"id":16,"name":"Locomotive ID","value":"4007"},{"id":130,"name":"Impact","value":""},{"id":150,"name":"Time of Event (Mountain Time)","value":"04:56:04"},{"id":151,"name":"Denver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6" si="21">"start /low /b "&amp;dls3logs&amp;" --loco "&amp;B14&amp;" --day "&amp;TEXT(F14,"YYYY-MM-DD")</f>
        <v>start /low /b %USERPROFILE%\Documents\GitHub\eaglep3\Utilities\DownloadLogsFromS3.py --loco 4007 --day 2017-05-20</v>
      </c>
      <c r="AN14" s="154" t="str">
        <f t="shared" ref="AN14:AN76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10:56:04"},{"id":29,"name":"Sharepoint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659</v>
      </c>
      <c r="B15" s="7">
        <v>4026</v>
      </c>
      <c r="C15" s="21" t="s">
        <v>206</v>
      </c>
      <c r="D15" s="21" t="s">
        <v>837</v>
      </c>
      <c r="E15" s="13">
        <v>42875.151493055557</v>
      </c>
      <c r="F15" s="13">
        <v>42875.156793981485</v>
      </c>
      <c r="G15" s="7">
        <v>1</v>
      </c>
      <c r="H15" s="21" t="s">
        <v>838</v>
      </c>
      <c r="I15" s="13">
        <v>42875.181759259256</v>
      </c>
      <c r="J15" s="7">
        <v>0</v>
      </c>
      <c r="K15" s="92" t="str">
        <f t="shared" si="0"/>
        <v>4025/4026</v>
      </c>
      <c r="L15" s="21" t="str">
        <f>VLOOKUP(A15,'Trips&amp;Operators'!$C$1:$G$99999,5,FALSE)</f>
        <v>ROBINSON KADDIBA</v>
      </c>
      <c r="M15" s="6">
        <f t="shared" si="1"/>
        <v>2.4965277771116234E-2</v>
      </c>
      <c r="N15" s="7">
        <f t="shared" si="2"/>
        <v>35.949999990407377</v>
      </c>
      <c r="O15" s="7"/>
      <c r="P15" s="7"/>
      <c r="Q15" s="22"/>
      <c r="R15" s="190"/>
      <c r="S15" s="196">
        <f t="shared" si="3"/>
        <v>1</v>
      </c>
      <c r="T15" s="190" t="str">
        <f t="shared" si="4"/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 t="shared" si="5"/>
        <v>https://d0f6bd738d7f1b3e5a7ca70fe4ff75f0.us-east-1.aws.found.io/app/kibana#/discover/Steve-Slow-Train-Analysis-(2080s-and-2083s)?_g=(refreshInterval:(display:Off,pause:!f,section:0,value:0),time:(from:'2017-05-20T02:38:09-0600',mode:absolute,to:'2017-05-20T05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" s="192" t="str">
        <f t="shared" si="6"/>
        <v>N</v>
      </c>
      <c r="X15" s="192">
        <f t="shared" si="7"/>
        <v>1</v>
      </c>
      <c r="Y15" s="192">
        <f t="shared" si="8"/>
        <v>7.6100000000000001E-2</v>
      </c>
      <c r="Z15" s="192">
        <f t="shared" si="9"/>
        <v>23.339500000000001</v>
      </c>
      <c r="AA15" s="192">
        <f t="shared" si="10"/>
        <v>23.263400000000001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0103-20</v>
      </c>
      <c r="AE15" s="80" t="str">
        <f t="shared" si="12"/>
        <v>aws s3 cp s3://rtdc.mdm.uploadarchive.raw/RTDC4026/ "%USERPROFILE%\AppData\Local\Temp\OnboardLogs"\RTDC4026\2017-05-20 --exclude "*" --recursive --include "*20170520*" &amp; "%USERPROFILE%\Documents\GitHub\mrs-test-scripts\Headless Mode &amp; Sideloading\WalkAndUnGZ.bat" "%USERPROFILE%\AppData\Local\Temp\OnboardLogs"\RTDC4026\2017-05-20 &amp; aws s3 cp s3://rtdc.mdm.uploadarchive.raw/RTDC4026/ "%USERPROFILE%\AppData\Local\Temp\OnboardLogs"\RTDC4026\2017-05-21 --exclude "*" --recursive --include "*20170521*" &amp; "%USERPROFILE%\Documents\GitHub\mrs-test-scripts\Headless Mode &amp; Sideloading\WalkAndUnGZ.bat" "%USERPROFILE%\AppData\Local\Temp\OnboardLogs"\RTDC4026\2017-05-21</v>
      </c>
      <c r="AF15" s="77" t="str">
        <f t="shared" si="13"/>
        <v>"C:\Program Files (x86)\AstroGrep\AstroGrep.exe" /e /r /s /spath="%USERPROFILE%\AppData\Local\Temp\OnboardLogs" /stypes="app*4026*20170520*" /stext=" 10:.+((SYSTEM_STATE.+slice.+state.+changed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103-20 --locoid 4026 --swversion DE.1.0.9.0 --startMP 204:761 --initTime 2017-05-20T03:38:09 --startdatetime 2017-05-20T03:45:47 --delay 1 --endMP 204:233395 --enddatetime 2017-05-20T04:21:44 --enforcementcount 0 &gt;&gt;C:\Users\stu\Documents\GitHub\eaglep3-reporting\EC\2017-05-20-refined-times.txt</v>
      </c>
      <c r="AI15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{"issue":{"subject":"","project_id":79,"tracker_id":40,"status_id":1,"priority_id":2,"assigned_to_id":23,"start_date":"2017-05-20","description":"","custom_fields":[{"id":1,"name":"Subdivision","value":"EC"},{"id":4,"name":"Milepost","value":"23.3395"},{"id":17,"name":"Train ID","value":"103-20"},{"id":16,"name":"Locomotive ID","value":"4026"},{"id":130,"name":"Impact","value":""},{"id":150,"name":"Time of Event (Mountain Time)","value":"04:21:44"},{"id":151,"name":"Denver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4026 --day 2017-05-20</v>
      </c>
      <c r="AN15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10:21:44"},{"id":29,"name":"Sharepoint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671</v>
      </c>
      <c r="B16" s="7">
        <v>4009</v>
      </c>
      <c r="C16" s="21" t="s">
        <v>206</v>
      </c>
      <c r="D16" s="21" t="s">
        <v>839</v>
      </c>
      <c r="E16" s="13">
        <v>42875.188657407409</v>
      </c>
      <c r="F16" s="13">
        <v>42875.1953125</v>
      </c>
      <c r="G16" s="7">
        <v>1</v>
      </c>
      <c r="H16" s="21" t="s">
        <v>368</v>
      </c>
      <c r="I16" s="13">
        <v>42875.222604166665</v>
      </c>
      <c r="J16" s="7">
        <v>0</v>
      </c>
      <c r="K16" s="92" t="str">
        <f t="shared" si="0"/>
        <v>4009/4010</v>
      </c>
      <c r="L16" s="21" t="str">
        <f>VLOOKUP(A16,'Trips&amp;Operators'!$C$1:$G$99999,5,FALSE)</f>
        <v>ROBINSON KADDIBA</v>
      </c>
      <c r="M16" s="6">
        <f t="shared" si="1"/>
        <v>2.7291666665405501E-2</v>
      </c>
      <c r="N16" s="7">
        <f t="shared" si="2"/>
        <v>39.299999998183921</v>
      </c>
      <c r="O16" s="7"/>
      <c r="P16" s="7"/>
      <c r="Q16" s="22"/>
      <c r="R16" s="190"/>
      <c r="S16" s="196">
        <f t="shared" si="3"/>
        <v>1</v>
      </c>
      <c r="T16" s="190" t="str">
        <f t="shared" si="4"/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 t="shared" si="5"/>
        <v>https://d0f6bd738d7f1b3e5a7ca70fe4ff75f0.us-east-1.aws.found.io/app/kibana#/discover/Steve-Slow-Train-Analysis-(2080s-and-2083s)?_g=(refreshInterval:(display:Off,pause:!f,section:0,value:0),time:(from:'2017-05-20T03:31:40-0600',mode:absolute,to:'2017-05-20T06:20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" s="192" t="str">
        <f t="shared" si="6"/>
        <v>N</v>
      </c>
      <c r="X16" s="192">
        <f t="shared" si="7"/>
        <v>1</v>
      </c>
      <c r="Y16" s="192">
        <f t="shared" si="8"/>
        <v>23.274899999999999</v>
      </c>
      <c r="Z16" s="192">
        <f t="shared" si="9"/>
        <v>1.41E-2</v>
      </c>
      <c r="AA16" s="192">
        <f t="shared" si="10"/>
        <v>23.2608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0104-20</v>
      </c>
      <c r="AE16" s="80" t="str">
        <f t="shared" si="12"/>
        <v>aws s3 cp s3://rtdc.mdm.uploadarchive.raw/RTDC4009/ "%USERPROFILE%\AppData\Local\Temp\OnboardLogs"\RTDC4009\2017-05-20 --exclude "*" --recursive --include "*20170520*" &amp; "%USERPROFILE%\Documents\GitHub\mrs-test-scripts\Headless Mode &amp; Sideloading\WalkAndUnGZ.bat" "%USERPROFILE%\AppData\Local\Temp\OnboardLogs"\RTDC4009\2017-05-20 &amp; aws s3 cp s3://rtdc.mdm.uploadarchive.raw/RTDC4009/ "%USERPROFILE%\AppData\Local\Temp\OnboardLogs"\RTDC4009\2017-05-21 --exclude "*" --recursive --include "*20170521*" &amp; "%USERPROFILE%\Documents\GitHub\mrs-test-scripts\Headless Mode &amp; Sideloading\WalkAndUnGZ.bat" "%USERPROFILE%\AppData\Local\Temp\OnboardLogs"\RTDC4009\2017-05-21</v>
      </c>
      <c r="AF16" s="77" t="str">
        <f t="shared" si="13"/>
        <v>"C:\Program Files (x86)\AstroGrep\AstroGrep.exe" /e /r /s /spath="%USERPROFILE%\AppData\Local\Temp\OnboardLogs" /stypes="app*4009*20170520*"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104-20 --locoid 4009 --swversion DE.1.0.9.0 --startMP 204:232749 --initTime 2017-05-20T04:31:40 --startdatetime 2017-05-20T04:41:15 --delay 1 --endMP 204:141 --enddatetime 2017-05-20T05:20:33 --enforcementcount 0 &gt;&gt;C:\Users\stu\Documents\GitHub\eaglep3-reporting\EC\2017-05-20-refined-times.txt</v>
      </c>
      <c r="AI16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{"issue":{"subject":"","project_id":79,"tracker_id":40,"status_id":1,"priority_id":2,"assigned_to_id":23,"start_date":"2017-05-20","description":"","custom_fields":[{"id":1,"name":"Subdivision","value":"EC"},{"id":4,"name":"Milepost","value":"0.0141"},{"id":17,"name":"Train ID","value":"104-20"},{"id":16,"name":"Locomotive ID","value":"4009"},{"id":130,"name":"Impact","value":""},{"id":150,"name":"Time of Event (Mountain Time)","value":"05:20:33"},{"id":151,"name":"Denver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4009 --day 2017-05-20</v>
      </c>
      <c r="AN16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11:20:33"},{"id":29,"name":"Sharepoint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666</v>
      </c>
      <c r="B17" s="7">
        <v>4012</v>
      </c>
      <c r="C17" s="21" t="s">
        <v>206</v>
      </c>
      <c r="D17" s="21" t="s">
        <v>840</v>
      </c>
      <c r="E17" s="13">
        <v>42875.173692129632</v>
      </c>
      <c r="F17" s="13">
        <v>42875.17732638889</v>
      </c>
      <c r="G17" s="7">
        <v>1</v>
      </c>
      <c r="H17" s="21" t="s">
        <v>469</v>
      </c>
      <c r="I17" s="13">
        <v>42875.202152777776</v>
      </c>
      <c r="J17" s="7">
        <v>0</v>
      </c>
      <c r="K17" s="92" t="str">
        <f t="shared" si="0"/>
        <v>4011/4012</v>
      </c>
      <c r="L17" s="21" t="str">
        <f>VLOOKUP(A17,'Trips&amp;Operators'!$C$1:$G$99999,5,FALSE)</f>
        <v>MAELZER KURT</v>
      </c>
      <c r="M17" s="6">
        <f t="shared" si="1"/>
        <v>2.4826388886140194E-2</v>
      </c>
      <c r="N17" s="7">
        <f t="shared" si="2"/>
        <v>35.749999996041879</v>
      </c>
      <c r="O17" s="7"/>
      <c r="P17" s="7"/>
      <c r="Q17" s="22"/>
      <c r="R17" s="190"/>
      <c r="S17" s="196">
        <f t="shared" si="3"/>
        <v>1</v>
      </c>
      <c r="T17" s="190" t="str">
        <f t="shared" si="4"/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 t="shared" si="5"/>
        <v>https://d0f6bd738d7f1b3e5a7ca70fe4ff75f0.us-east-1.aws.found.io/app/kibana#/discover/Steve-Slow-Train-Analysis-(2080s-and-2083s)?_g=(refreshInterval:(display:Off,pause:!f,section:0,value:0),time:(from:'2017-05-20T03:10:07-0600',mode:absolute,to:'2017-05-20T05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" s="192" t="str">
        <f t="shared" si="6"/>
        <v>N</v>
      </c>
      <c r="X17" s="192">
        <f t="shared" si="7"/>
        <v>1</v>
      </c>
      <c r="Y17" s="192">
        <f t="shared" si="8"/>
        <v>7.2800000000000004E-2</v>
      </c>
      <c r="Z17" s="192">
        <f t="shared" si="9"/>
        <v>23.331199999999999</v>
      </c>
      <c r="AA17" s="192">
        <f t="shared" si="10"/>
        <v>23.258399999999998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0105-20</v>
      </c>
      <c r="AE17" s="80" t="str">
        <f t="shared" si="12"/>
        <v>aws s3 cp s3://rtdc.mdm.uploadarchive.raw/RTDC4012/ "%USERPROFILE%\AppData\Local\Temp\OnboardLogs"\RTDC4012\2017-05-20 --exclude "*" --recursive --include "*20170520*" &amp; "%USERPROFILE%\Documents\GitHub\mrs-test-scripts\Headless Mode &amp; Sideloading\WalkAndUnGZ.bat" "%USERPROFILE%\AppData\Local\Temp\OnboardLogs"\RTDC4012\2017-05-20 &amp; aws s3 cp s3://rtdc.mdm.uploadarchive.raw/RTDC4012/ "%USERPROFILE%\AppData\Local\Temp\OnboardLogs"\RTDC4012\2017-05-21 --exclude "*" --recursive --include "*20170521*" &amp; "%USERPROFILE%\Documents\GitHub\mrs-test-scripts\Headless Mode &amp; Sideloading\WalkAndUnGZ.bat" "%USERPROFILE%\AppData\Local\Temp\OnboardLogs"\RTDC4012\2017-05-21</v>
      </c>
      <c r="AF17" s="77" t="str">
        <f t="shared" si="13"/>
        <v>"C:\Program Files (x86)\AstroGrep\AstroGrep.exe" /e /r /s /spath="%USERPROFILE%\AppData\Local\Temp\OnboardLogs" /stypes="app*4012*20170520*" /stext=" 10:.+((SYSTEM_STATE.+slice.+state.+changed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105-20 --locoid 4012 --swversion DE.1.0.9.0 --startMP 204:728 --initTime 2017-05-20T04:10:07 --startdatetime 2017-05-20T04:15:21 --delay 1 --endMP 204:233312 --enddatetime 2017-05-20T04:51:06 --enforcementcount 0 &gt;&gt;C:\Users\stu\Documents\GitHub\eaglep3-reporting\EC\2017-05-20-refined-times.txt</v>
      </c>
      <c r="AI17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{"issue":{"subject":"","project_id":79,"tracker_id":40,"status_id":1,"priority_id":2,"assigned_to_id":23,"start_date":"2017-05-20","description":"","custom_fields":[{"id":1,"name":"Subdivision","value":"EC"},{"id":4,"name":"Milepost","value":"23.3312"},{"id":17,"name":"Train ID","value":"105-20"},{"id":16,"name":"Locomotive ID","value":"4012"},{"id":130,"name":"Impact","value":""},{"id":150,"name":"Time of Event (Mountain Time)","value":"04:51:06"},{"id":151,"name":"Denver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4012 --day 2017-05-20</v>
      </c>
      <c r="AN17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10:51:06"},{"id":29,"name":"Sharepoint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674</v>
      </c>
      <c r="B18" s="7">
        <v>4055</v>
      </c>
      <c r="C18" s="21" t="s">
        <v>206</v>
      </c>
      <c r="D18" s="21" t="s">
        <v>841</v>
      </c>
      <c r="E18" s="13">
        <v>42875.210798611108</v>
      </c>
      <c r="F18" s="13">
        <v>42875.216226851851</v>
      </c>
      <c r="G18" s="7">
        <v>0</v>
      </c>
      <c r="H18" s="21" t="s">
        <v>424</v>
      </c>
      <c r="I18" s="13">
        <v>42875.243287037039</v>
      </c>
      <c r="J18" s="7">
        <v>0</v>
      </c>
      <c r="K18" s="92" t="str">
        <f t="shared" si="0"/>
        <v>4055/4056</v>
      </c>
      <c r="L18" s="21" t="str">
        <f>VLOOKUP(A18,'Trips&amp;Operators'!$C$1:$G$99999,5,FALSE)</f>
        <v>MAELZER KURT</v>
      </c>
      <c r="M18" s="6">
        <f t="shared" si="1"/>
        <v>2.7060185188020114E-2</v>
      </c>
      <c r="N18" s="7">
        <f t="shared" si="2"/>
        <v>38.966666670748964</v>
      </c>
      <c r="O18" s="7"/>
      <c r="P18" s="7"/>
      <c r="Q18" s="22"/>
      <c r="R18" s="190"/>
      <c r="S18" s="196">
        <f t="shared" si="3"/>
        <v>1</v>
      </c>
      <c r="T18" s="190" t="str">
        <f t="shared" si="4"/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 t="shared" si="5"/>
        <v>https://d0f6bd738d7f1b3e5a7ca70fe4ff75f0.us-east-1.aws.found.io/app/kibana#/discover/Steve-Slow-Train-Analysis-(2080s-and-2083s)?_g=(refreshInterval:(display:Off,pause:!f,section:0,value:0),time:(from:'2017-05-20T04:03:33-0600',mode:absolute,to:'2017-05-20T06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" s="192" t="str">
        <f t="shared" si="6"/>
        <v>N</v>
      </c>
      <c r="X18" s="192">
        <f t="shared" si="7"/>
        <v>1</v>
      </c>
      <c r="Y18" s="192">
        <f t="shared" si="8"/>
        <v>23.2681</v>
      </c>
      <c r="Z18" s="192">
        <f t="shared" si="9"/>
        <v>1.32E-2</v>
      </c>
      <c r="AA18" s="192">
        <f t="shared" si="10"/>
        <v>23.254899999999999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1"/>
        <v>0106-20</v>
      </c>
      <c r="AE18" s="80" t="str">
        <f t="shared" si="12"/>
        <v>aws s3 cp s3://rtdc.mdm.uploadarchive.raw/RTDC4055/ "%USERPROFILE%\AppData\Local\Temp\OnboardLogs"\RTDC4055\2017-05-20 --exclude "*" --recursive --include "*20170520*" &amp; "%USERPROFILE%\Documents\GitHub\mrs-test-scripts\Headless Mode &amp; Sideloading\WalkAndUnGZ.bat" "%USERPROFILE%\AppData\Local\Temp\OnboardLogs"\RTDC4055\2017-05-20 &amp; aws s3 cp s3://rtdc.mdm.uploadarchive.raw/RTDC4055/ "%USERPROFILE%\AppData\Local\Temp\OnboardLogs"\RTDC4055\2017-05-21 --exclude "*" --recursive --include "*20170521*" &amp; "%USERPROFILE%\Documents\GitHub\mrs-test-scripts\Headless Mode &amp; Sideloading\WalkAndUnGZ.bat" "%USERPROFILE%\AppData\Local\Temp\OnboardLogs"\RTDC4055\2017-05-21</v>
      </c>
      <c r="AF18" s="77" t="str">
        <f t="shared" si="13"/>
        <v>"C:\Program Files (x86)\AstroGrep\AstroGrep.exe" /e /r /s /spath="%USERPROFILE%\AppData\Local\Temp\OnboardLogs" /stypes="app*4055*20170520*" /stext=" 11:.+((SYSTEM_STATE.+slice.+state.+changed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106-20 --locoid 4055 --swversion DE.1.0.9.0 --startMP 204:232681 --initTime 2017-05-20T05:03:33 --startdatetime 2017-05-20T05:11:22 --delay 0 --endMP 204:132 --enddatetime 2017-05-20T05:50:20 --enforcementcount 0 &gt;&gt;C:\Users\stu\Documents\GitHub\eaglep3-reporting\EC\2017-05-20-refined-times.txt</v>
      </c>
      <c r="AI18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{"issue":{"subject":"","project_id":79,"tracker_id":40,"status_id":1,"priority_id":2,"assigned_to_id":23,"start_date":"2017-05-20","description":"","custom_fields":[{"id":1,"name":"Subdivision","value":"EC"},{"id":4,"name":"Milepost","value":"0.0132"},{"id":17,"name":"Train ID","value":"106-20"},{"id":16,"name":"Locomotive ID","value":"4055"},{"id":130,"name":"Impact","value":""},{"id":150,"name":"Time of Event (Mountain Time)","value":"05:50:20"},{"id":151,"name":"Denver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4055 --day 2017-05-20</v>
      </c>
      <c r="AN18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11:50:20"},{"id":29,"name":"Sharepoint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663</v>
      </c>
      <c r="B19" s="7">
        <v>4022</v>
      </c>
      <c r="C19" s="21" t="s">
        <v>206</v>
      </c>
      <c r="D19" s="21" t="s">
        <v>423</v>
      </c>
      <c r="E19" s="13">
        <v>42875.184548611112</v>
      </c>
      <c r="F19" s="13">
        <v>42875.187662037039</v>
      </c>
      <c r="G19" s="7">
        <v>1</v>
      </c>
      <c r="H19" s="21" t="s">
        <v>842</v>
      </c>
      <c r="I19" s="13">
        <v>42875.21365740741</v>
      </c>
      <c r="J19" s="7">
        <v>0</v>
      </c>
      <c r="K19" s="92" t="str">
        <f t="shared" si="0"/>
        <v>4021/4022</v>
      </c>
      <c r="L19" s="21" t="str">
        <f>VLOOKUP(A19,'Trips&amp;Operators'!$C$1:$G$99999,5,FALSE)</f>
        <v>DAVIS WENDY</v>
      </c>
      <c r="M19" s="6">
        <f t="shared" si="1"/>
        <v>2.5995370371674653E-2</v>
      </c>
      <c r="N19" s="7">
        <f t="shared" si="2"/>
        <v>37.433333335211501</v>
      </c>
      <c r="O19" s="7"/>
      <c r="P19" s="7"/>
      <c r="Q19" s="22"/>
      <c r="R19" s="190"/>
      <c r="S19" s="196">
        <f t="shared" si="3"/>
        <v>1</v>
      </c>
      <c r="T19" s="190" t="str">
        <f t="shared" si="4"/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 t="shared" si="5"/>
        <v>https://d0f6bd738d7f1b3e5a7ca70fe4ff75f0.us-east-1.aws.found.io/app/kibana#/discover/Steve-Slow-Train-Analysis-(2080s-and-2083s)?_g=(refreshInterval:(display:Off,pause:!f,section:0,value:0),time:(from:'2017-05-20T03:25:45-0600',mode:absolute,to:'2017-05-20T06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" s="192" t="str">
        <f t="shared" si="6"/>
        <v>N</v>
      </c>
      <c r="X19" s="192">
        <f t="shared" si="7"/>
        <v>1</v>
      </c>
      <c r="Y19" s="192">
        <f t="shared" si="8"/>
        <v>4.7300000000000002E-2</v>
      </c>
      <c r="Z19" s="192">
        <f t="shared" si="9"/>
        <v>23.333100000000002</v>
      </c>
      <c r="AA19" s="192">
        <f t="shared" si="10"/>
        <v>23.285800000000002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0107-20</v>
      </c>
      <c r="AE19" s="80" t="str">
        <f t="shared" si="12"/>
        <v>aws s3 cp s3://rtdc.mdm.uploadarchive.raw/RTDC4022/ "%USERPROFILE%\AppData\Local\Temp\OnboardLogs"\RTDC4022\2017-05-20 --exclude "*" --recursive --include "*20170520*" &amp; "%USERPROFILE%\Documents\GitHub\mrs-test-scripts\Headless Mode &amp; Sideloading\WalkAndUnGZ.bat" "%USERPROFILE%\AppData\Local\Temp\OnboardLogs"\RTDC4022\2017-05-20 &amp; aws s3 cp s3://rtdc.mdm.uploadarchive.raw/RTDC4022/ "%USERPROFILE%\AppData\Local\Temp\OnboardLogs"\RTDC4022\2017-05-21 --exclude "*" --recursive --include "*20170521*" &amp; "%USERPROFILE%\Documents\GitHub\mrs-test-scripts\Headless Mode &amp; Sideloading\WalkAndUnGZ.bat" "%USERPROFILE%\AppData\Local\Temp\OnboardLogs"\RTDC4022\2017-05-21</v>
      </c>
      <c r="AF19" s="77" t="str">
        <f t="shared" si="13"/>
        <v>"C:\Program Files (x86)\AstroGrep\AstroGrep.exe" /e /r /s /spath="%USERPROFILE%\AppData\Local\Temp\OnboardLogs" /stypes="app*4022*20170520*"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107-20 --locoid 4022 --swversion DE.1.0.9.0 --startMP 204:473 --initTime 2017-05-20T04:25:45 --startdatetime 2017-05-20T04:30:14 --delay 1 --endMP 204:233331 --enddatetime 2017-05-20T05:07:40 --enforcementcount 0 &gt;&gt;C:\Users\stu\Documents\GitHub\eaglep3-reporting\EC\2017-05-20-refined-times.txt</v>
      </c>
      <c r="AI19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{"issue":{"subject":"","project_id":79,"tracker_id":40,"status_id":1,"priority_id":2,"assigned_to_id":23,"start_date":"2017-05-20","description":"","custom_fields":[{"id":1,"name":"Subdivision","value":"EC"},{"id":4,"name":"Milepost","value":"23.3331"},{"id":17,"name":"Train ID","value":"107-20"},{"id":16,"name":"Locomotive ID","value":"4022"},{"id":130,"name":"Impact","value":""},{"id":150,"name":"Time of Event (Mountain Time)","value":"05:07:40"},{"id":151,"name":"Denver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4022 --day 2017-05-20</v>
      </c>
      <c r="AN19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11:07:40"},{"id":29,"name":"Sharepoint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589</v>
      </c>
      <c r="B20" s="7">
        <v>4021</v>
      </c>
      <c r="C20" s="21" t="s">
        <v>206</v>
      </c>
      <c r="D20" s="21" t="s">
        <v>422</v>
      </c>
      <c r="E20" s="13">
        <v>42875.222870370373</v>
      </c>
      <c r="F20" s="13">
        <v>42875.226550925923</v>
      </c>
      <c r="G20" s="7">
        <v>1</v>
      </c>
      <c r="H20" s="21" t="s">
        <v>197</v>
      </c>
      <c r="I20" s="13">
        <v>42875.255370370367</v>
      </c>
      <c r="J20" s="7">
        <v>0</v>
      </c>
      <c r="K20" s="92" t="str">
        <f t="shared" si="0"/>
        <v>4021/4022</v>
      </c>
      <c r="L20" s="21" t="str">
        <f>VLOOKUP(A20,'Trips&amp;Operators'!$C$1:$G$99999,5,FALSE)</f>
        <v>DAVIS WENDY</v>
      </c>
      <c r="M20" s="6">
        <f t="shared" si="1"/>
        <v>2.8819444443797693E-2</v>
      </c>
      <c r="N20" s="7">
        <f t="shared" si="2"/>
        <v>41.499999999068677</v>
      </c>
      <c r="O20" s="7"/>
      <c r="P20" s="7"/>
      <c r="Q20" s="22"/>
      <c r="R20" s="190"/>
      <c r="S20" s="196">
        <f t="shared" si="3"/>
        <v>1</v>
      </c>
      <c r="T20" s="190" t="str">
        <f t="shared" si="4"/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 t="shared" si="5"/>
        <v>https://d0f6bd738d7f1b3e5a7ca70fe4ff75f0.us-east-1.aws.found.io/app/kibana#/discover/Steve-Slow-Train-Analysis-(2080s-and-2083s)?_g=(refreshInterval:(display:Off,pause:!f,section:0,value:0),time:(from:'2017-05-20T04:20:56-0600',mode:absolute,to:'2017-05-20T07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" s="192" t="str">
        <f t="shared" si="6"/>
        <v>N</v>
      </c>
      <c r="X20" s="192">
        <f t="shared" si="7"/>
        <v>1</v>
      </c>
      <c r="Y20" s="192">
        <f t="shared" si="8"/>
        <v>23.301100000000002</v>
      </c>
      <c r="Z20" s="192">
        <f t="shared" si="9"/>
        <v>1.52E-2</v>
      </c>
      <c r="AA20" s="192">
        <f t="shared" si="10"/>
        <v>23.285900000000002</v>
      </c>
      <c r="AB20" s="57" t="str">
        <f>VLOOKUP(A20,Enforcements!$C$7:$K$13,8,0)</f>
        <v>Bulletin (2)</v>
      </c>
      <c r="AC20" s="53" t="str">
        <f>VLOOKUP(A20,Enforcements!$C$7:$E$13,3,0)</f>
        <v>GRADE CROSSING</v>
      </c>
      <c r="AD20" s="54" t="str">
        <f t="shared" si="11"/>
        <v>0108-20</v>
      </c>
      <c r="AE20" s="80" t="str">
        <f t="shared" si="12"/>
        <v>aws s3 cp s3://rtdc.mdm.uploadarchive.raw/RTDC4021/ "%USERPROFILE%\AppData\Local\Temp\OnboardLogs"\RTDC4021\2017-05-20 --exclude "*" --recursive --include "*20170520*" &amp; "%USERPROFILE%\Documents\GitHub\mrs-test-scripts\Headless Mode &amp; Sideloading\WalkAndUnGZ.bat" "%USERPROFILE%\AppData\Local\Temp\OnboardLogs"\RTDC4021\2017-05-20 &amp; aws s3 cp s3://rtdc.mdm.uploadarchive.raw/RTDC4021/ "%USERPROFILE%\AppData\Local\Temp\OnboardLogs"\RTDC4021\2017-05-21 --exclude "*" --recursive --include "*20170521*" &amp; "%USERPROFILE%\Documents\GitHub\mrs-test-scripts\Headless Mode &amp; Sideloading\WalkAndUnGZ.bat" "%USERPROFILE%\AppData\Local\Temp\OnboardLogs"\RTDC4021\2017-05-21</v>
      </c>
      <c r="AF20" s="77" t="str">
        <f t="shared" si="13"/>
        <v>"C:\Program Files (x86)\AstroGrep\AstroGrep.exe" /e /r /s /spath="%USERPROFILE%\AppData\Local\Temp\OnboardLogs" /stypes="app*4021*20170520*"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108-20 --locoid 4021 --swversion DE.1.0.9.0 --startMP 204:233011 --initTime 2017-05-20T05:20:56 --startdatetime 2017-05-20T05:26:14 --delay 1 --endMP 204:152 --enddatetime 2017-05-20T06:07:44 --enforcementcount 0 &gt;&gt;C:\Users\stu\Documents\GitHub\eaglep3-reporting\EC\2017-05-20-refined-times.txt</v>
      </c>
      <c r="AI20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{"issue":{"subject":"","project_id":79,"tracker_id":40,"status_id":1,"priority_id":2,"assigned_to_id":23,"start_date":"2017-05-20","description":"","custom_fields":[{"id":1,"name":"Subdivision","value":"EC"},{"id":4,"name":"Milepost","value":"0.0152"},{"id":17,"name":"Train ID","value":"108-20"},{"id":16,"name":"Locomotive ID","value":"4021"},{"id":130,"name":"Impact","value":""},{"id":150,"name":"Time of Event (Mountain Time)","value":"06:07:44"},{"id":151,"name":"Denver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4021 --day 2017-05-20</v>
      </c>
      <c r="AN20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12:07:44"},{"id":29,"name":"Sharepoint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672</v>
      </c>
      <c r="B21" s="7">
        <v>4002</v>
      </c>
      <c r="C21" s="21" t="s">
        <v>206</v>
      </c>
      <c r="D21" s="21" t="s">
        <v>404</v>
      </c>
      <c r="E21" s="13">
        <v>42875.18891203704</v>
      </c>
      <c r="F21" s="13">
        <v>42875.198113425926</v>
      </c>
      <c r="G21" s="7">
        <v>2</v>
      </c>
      <c r="H21" s="21" t="s">
        <v>469</v>
      </c>
      <c r="I21" s="13">
        <v>42875.222858796296</v>
      </c>
      <c r="J21" s="7">
        <v>0</v>
      </c>
      <c r="K21" s="92" t="str">
        <f t="shared" si="0"/>
        <v>4001/4002</v>
      </c>
      <c r="L21" s="21" t="str">
        <f>VLOOKUP(A21,'Trips&amp;Operators'!$C$1:$G$99999,5,FALSE)</f>
        <v>SANTIZO D. EDY</v>
      </c>
      <c r="M21" s="6">
        <f t="shared" si="1"/>
        <v>2.47453703705105E-2</v>
      </c>
      <c r="N21" s="7">
        <f t="shared" si="2"/>
        <v>35.63333333353512</v>
      </c>
      <c r="O21" s="7"/>
      <c r="P21" s="7"/>
      <c r="Q21" s="22"/>
      <c r="R21" s="190"/>
      <c r="S21" s="196">
        <f t="shared" si="3"/>
        <v>1</v>
      </c>
      <c r="T21" s="190" t="str">
        <f t="shared" si="4"/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 t="shared" si="5"/>
        <v>https://d0f6bd738d7f1b3e5a7ca70fe4ff75f0.us-east-1.aws.found.io/app/kibana#/discover/Steve-Slow-Train-Analysis-(2080s-and-2083s)?_g=(refreshInterval:(display:Off,pause:!f,section:0,value:0),time:(from:'2017-05-20T03:32:02-0600',mode:absolute,to:'2017-05-20T06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" s="192" t="str">
        <f t="shared" si="6"/>
        <v>N</v>
      </c>
      <c r="X21" s="192">
        <f t="shared" si="7"/>
        <v>1</v>
      </c>
      <c r="Y21" s="192">
        <f t="shared" si="8"/>
        <v>4.6199999999999998E-2</v>
      </c>
      <c r="Z21" s="192">
        <f t="shared" si="9"/>
        <v>23.331199999999999</v>
      </c>
      <c r="AA21" s="192">
        <f t="shared" si="10"/>
        <v>23.285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0109-20</v>
      </c>
      <c r="AE21" s="80" t="str">
        <f t="shared" si="12"/>
        <v>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 &amp; aws s3 cp s3://rtdc.mdm.uploadarchive.raw/RTDC4002/ "%USERPROFILE%\AppData\Local\Temp\OnboardLogs"\RTDC4002\2017-05-21 --exclude "*" --recursive --include "*20170521*" &amp; "%USERPROFILE%\Documents\GitHub\mrs-test-scripts\Headless Mode &amp; Sideloading\WalkAndUnGZ.bat" "%USERPROFILE%\AppData\Local\Temp\OnboardLogs"\RTDC4002\2017-05-21</v>
      </c>
      <c r="AF21" s="77" t="str">
        <f t="shared" si="13"/>
        <v>"C:\Program Files (x86)\AstroGrep\AstroGrep.exe" /e /r /s /spath="%USERPROFILE%\AppData\Local\Temp\OnboardLogs" /stypes="app*4002*20170520*" /stext=" 11:.+((SYSTEM_STATE.+slice.+state.+changed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109-20 --locoid 4002 --swversion DE.1.0.9.0 --startMP 204:462 --initTime 2017-05-20T04:32:02 --startdatetime 2017-05-20T04:45:17 --delay 2 --endMP 204:233312 --enddatetime 2017-05-20T05:20:55 --enforcementcount 0 &gt;&gt;C:\Users\stu\Documents\GitHub\eaglep3-reporting\EC\2017-05-20-refined-times.txt</v>
      </c>
      <c r="AI21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{"issue":{"subject":"","project_id":79,"tracker_id":40,"status_id":1,"priority_id":2,"assigned_to_id":23,"start_date":"2017-05-20","description":"","custom_fields":[{"id":1,"name":"Subdivision","value":"EC"},{"id":4,"name":"Milepost","value":"23.3312"},{"id":17,"name":"Train ID","value":"109-20"},{"id":16,"name":"Locomotive ID","value":"4002"},{"id":130,"name":"Impact","value":""},{"id":150,"name":"Time of Event (Mountain Time)","value":"05:20:55"},{"id":151,"name":"Denver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4002 --day 2017-05-20</v>
      </c>
      <c r="AN21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11:20:55"},{"id":29,"name":"Sharepoint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677</v>
      </c>
      <c r="B22" s="7">
        <v>4001</v>
      </c>
      <c r="C22" s="21" t="s">
        <v>206</v>
      </c>
      <c r="D22" s="21" t="s">
        <v>568</v>
      </c>
      <c r="E22" s="13">
        <v>42875.224074074074</v>
      </c>
      <c r="F22" s="13">
        <v>42875.236967592595</v>
      </c>
      <c r="G22" s="7">
        <v>1</v>
      </c>
      <c r="H22" s="21" t="s">
        <v>375</v>
      </c>
      <c r="I22" s="13">
        <v>42875.262939814813</v>
      </c>
      <c r="J22" s="7">
        <v>0</v>
      </c>
      <c r="K22" s="92" t="str">
        <f t="shared" si="0"/>
        <v>4001/4002</v>
      </c>
      <c r="L22" s="21" t="str">
        <f>VLOOKUP(A22,'Trips&amp;Operators'!$C$1:$G$99999,5,FALSE)</f>
        <v>SANTIZO D. EDY</v>
      </c>
      <c r="M22" s="6">
        <f t="shared" si="1"/>
        <v>2.5972222218115348E-2</v>
      </c>
      <c r="N22" s="7">
        <f t="shared" si="2"/>
        <v>37.399999994086102</v>
      </c>
      <c r="O22" s="7"/>
      <c r="P22" s="7"/>
      <c r="Q22" s="22"/>
      <c r="R22" s="190"/>
      <c r="S22" s="196">
        <f t="shared" si="3"/>
        <v>1</v>
      </c>
      <c r="T22" s="190" t="str">
        <f t="shared" si="4"/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 t="shared" si="5"/>
        <v>https://d0f6bd738d7f1b3e5a7ca70fe4ff75f0.us-east-1.aws.found.io/app/kibana#/discover/Steve-Slow-Train-Analysis-(2080s-and-2083s)?_g=(refreshInterval:(display:Off,pause:!f,section:0,value:0),time:(from:'2017-05-20T04:22:40-0600',mode:absolute,to:'2017-05-20T07:18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" s="192" t="str">
        <f t="shared" si="6"/>
        <v>N</v>
      </c>
      <c r="X22" s="192">
        <f t="shared" si="7"/>
        <v>1</v>
      </c>
      <c r="Y22" s="192">
        <f t="shared" si="8"/>
        <v>23.299399999999999</v>
      </c>
      <c r="Z22" s="192">
        <f t="shared" si="9"/>
        <v>1.3599999999999999E-2</v>
      </c>
      <c r="AA22" s="192">
        <f t="shared" si="10"/>
        <v>23.285799999999998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0110-20</v>
      </c>
      <c r="AE22" s="80" t="str">
        <f t="shared" si="12"/>
        <v>aws s3 cp s3://rtdc.mdm.uploadarchive.raw/RTDC4001/ "%USERPROFILE%\AppData\Local\Temp\OnboardLogs"\RTDC4001\2017-05-20 --exclude "*" --recursive --include "*20170520*" &amp; "%USERPROFILE%\Documents\GitHub\mrs-test-scripts\Headless Mode &amp; Sideloading\WalkAndUnGZ.bat" "%USERPROFILE%\AppData\Local\Temp\OnboardLogs"\RTDC4001\2017-05-20 &amp; aws s3 cp s3://rtdc.mdm.uploadarchive.raw/RTDC4001/ "%USERPROFILE%\AppData\Local\Temp\OnboardLogs"\RTDC4001\2017-05-21 --exclude "*" --recursive --include "*20170521*" &amp; "%USERPROFILE%\Documents\GitHub\mrs-test-scripts\Headless Mode &amp; Sideloading\WalkAndUnGZ.bat" "%USERPROFILE%\AppData\Local\Temp\OnboardLogs"\RTDC4001\2017-05-21</v>
      </c>
      <c r="AF22" s="77" t="str">
        <f t="shared" si="13"/>
        <v>"C:\Program Files (x86)\AstroGrep\AstroGrep.exe" /e /r /s /spath="%USERPROFILE%\AppData\Local\Temp\OnboardLogs" /stypes="app*4001*20170520*" /stext=" 12:.+((SYSTEM_STATE.+slice.+state.+changed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110-20 --locoid 4001 --swversion DE.1.0.9.0 --startMP 204:232994 --initTime 2017-05-20T05:22:40 --startdatetime 2017-05-20T05:41:14 --delay 1 --endMP 204:136 --enddatetime 2017-05-20T06:18:38 --enforcementcount 0 &gt;&gt;C:\Users\stu\Documents\GitHub\eaglep3-reporting\EC\2017-05-20-refined-times.txt</v>
      </c>
      <c r="AI22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{"issue":{"subject":"","project_id":79,"tracker_id":40,"status_id":1,"priority_id":2,"assigned_to_id":23,"start_date":"2017-05-20","description":"","custom_fields":[{"id":1,"name":"Subdivision","value":"EC"},{"id":4,"name":"Milepost","value":"0.0136"},{"id":17,"name":"Train ID","value":"110-20"},{"id":16,"name":"Locomotive ID","value":"4001"},{"id":130,"name":"Impact","value":""},{"id":150,"name":"Time of Event (Mountain Time)","value":"06:18:38"},{"id":151,"name":"Denver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4001 --day 2017-05-20</v>
      </c>
      <c r="AN22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12:18:38"},{"id":29,"name":"Sharepoint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673</v>
      </c>
      <c r="B23" s="7">
        <v>4028</v>
      </c>
      <c r="C23" s="21" t="s">
        <v>206</v>
      </c>
      <c r="D23" s="21" t="s">
        <v>843</v>
      </c>
      <c r="E23" s="13">
        <v>42875.208865740744</v>
      </c>
      <c r="F23" s="13">
        <v>42875.2109375</v>
      </c>
      <c r="G23" s="7">
        <v>2</v>
      </c>
      <c r="H23" s="21" t="s">
        <v>844</v>
      </c>
      <c r="I23" s="13">
        <v>42875.234918981485</v>
      </c>
      <c r="J23" s="7">
        <v>0</v>
      </c>
      <c r="K23" s="92" t="str">
        <f t="shared" si="0"/>
        <v>4027/4028</v>
      </c>
      <c r="L23" s="21" t="str">
        <f>VLOOKUP(A23,'Trips&amp;Operators'!$C$1:$G$99999,5,FALSE)</f>
        <v>LOZA FIDEL</v>
      </c>
      <c r="M23" s="6">
        <f t="shared" si="1"/>
        <v>2.3981481484952383E-2</v>
      </c>
      <c r="N23" s="7">
        <f t="shared" si="2"/>
        <v>34.533333338331431</v>
      </c>
      <c r="O23" s="7"/>
      <c r="P23" s="7"/>
      <c r="Q23" s="22"/>
      <c r="R23" s="190"/>
      <c r="S23" s="196">
        <f t="shared" si="3"/>
        <v>1</v>
      </c>
      <c r="T23" s="190" t="str">
        <f t="shared" si="4"/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 t="shared" si="5"/>
        <v>https://d0f6bd738d7f1b3e5a7ca70fe4ff75f0.us-east-1.aws.found.io/app/kibana#/discover/Steve-Slow-Train-Analysis-(2080s-and-2083s)?_g=(refreshInterval:(display:Off,pause:!f,section:0,value:0),time:(from:'2017-05-20T04:00:46-0600',mode:absolute,to:'2017-05-20T06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" s="192" t="str">
        <f t="shared" si="6"/>
        <v>N</v>
      </c>
      <c r="X23" s="192">
        <f t="shared" si="7"/>
        <v>1</v>
      </c>
      <c r="Y23" s="192">
        <f t="shared" si="8"/>
        <v>8.0100000000000005E-2</v>
      </c>
      <c r="Z23" s="192">
        <f t="shared" si="9"/>
        <v>23.332699999999999</v>
      </c>
      <c r="AA23" s="192">
        <f t="shared" si="10"/>
        <v>23.252599999999997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0111-20</v>
      </c>
      <c r="AE23" s="80" t="str">
        <f t="shared" si="12"/>
        <v>aws s3 cp s3://rtdc.mdm.uploadarchive.raw/RTDC4028/ "%USERPROFILE%\AppData\Local\Temp\OnboardLogs"\RTDC4028\2017-05-20 --exclude "*" --recursive --include "*20170520*" &amp; "%USERPROFILE%\Documents\GitHub\mrs-test-scripts\Headless Mode &amp; Sideloading\WalkAndUnGZ.bat" "%USERPROFILE%\AppData\Local\Temp\OnboardLogs"\RTDC4028\2017-05-20 &amp; aws s3 cp s3://rtdc.mdm.uploadarchive.raw/RTDC4028/ "%USERPROFILE%\AppData\Local\Temp\OnboardLogs"\RTDC4028\2017-05-21 --exclude "*" --recursive --include "*20170521*" &amp; "%USERPROFILE%\Documents\GitHub\mrs-test-scripts\Headless Mode &amp; Sideloading\WalkAndUnGZ.bat" "%USERPROFILE%\AppData\Local\Temp\OnboardLogs"\RTDC4028\2017-05-21</v>
      </c>
      <c r="AF23" s="77" t="str">
        <f t="shared" si="13"/>
        <v>"C:\Program Files (x86)\AstroGrep\AstroGrep.exe" /e /r /s /spath="%USERPROFILE%\AppData\Local\Temp\OnboardLogs" /stypes="app*4028*20170520*" /stext=" 11:.+((SYSTEM_STATE.+slice.+state.+changed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111-20 --locoid 4028 --swversion DE.1.0.9.0 --startMP 204:801 --initTime 2017-05-20T05:00:46 --startdatetime 2017-05-20T05:03:45 --delay 2 --endMP 204:233327 --enddatetime 2017-05-20T05:38:17 --enforcementcount 0 &gt;&gt;C:\Users\stu\Documents\GitHub\eaglep3-reporting\EC\2017-05-20-refined-times.txt</v>
      </c>
      <c r="AI23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{"issue":{"subject":"","project_id":79,"tracker_id":40,"status_id":1,"priority_id":2,"assigned_to_id":23,"start_date":"2017-05-20","description":"","custom_fields":[{"id":1,"name":"Subdivision","value":"EC"},{"id":4,"name":"Milepost","value":"23.3327"},{"id":17,"name":"Train ID","value":"111-20"},{"id":16,"name":"Locomotive ID","value":"4028"},{"id":130,"name":"Impact","value":""},{"id":150,"name":"Time of Event (Mountain Time)","value":"05:38:17"},{"id":151,"name":"Denver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4028 --day 2017-05-20</v>
      </c>
      <c r="AN23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11:38:17"},{"id":29,"name":"Sharepoint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680</v>
      </c>
      <c r="B24" s="7">
        <v>4027</v>
      </c>
      <c r="C24" s="21" t="s">
        <v>206</v>
      </c>
      <c r="D24" s="21" t="s">
        <v>845</v>
      </c>
      <c r="E24" s="13">
        <v>42875.245555555557</v>
      </c>
      <c r="F24" s="13">
        <v>42875.24763888889</v>
      </c>
      <c r="G24" s="7">
        <v>1</v>
      </c>
      <c r="H24" s="21" t="s">
        <v>417</v>
      </c>
      <c r="I24" s="13">
        <v>42875.2734375</v>
      </c>
      <c r="J24" s="7">
        <v>0</v>
      </c>
      <c r="K24" s="92" t="str">
        <f t="shared" si="0"/>
        <v>4027/4028</v>
      </c>
      <c r="L24" s="21" t="str">
        <f>VLOOKUP(A24,'Trips&amp;Operators'!$C$1:$G$99999,5,FALSE)</f>
        <v>LOZA FIDEL</v>
      </c>
      <c r="M24" s="6">
        <f t="shared" si="1"/>
        <v>2.5798611110076308E-2</v>
      </c>
      <c r="N24" s="7">
        <f t="shared" si="2"/>
        <v>37.149999998509884</v>
      </c>
      <c r="O24" s="7"/>
      <c r="P24" s="7"/>
      <c r="Q24" s="22"/>
      <c r="R24" s="190"/>
      <c r="S24" s="196">
        <f t="shared" si="3"/>
        <v>1</v>
      </c>
      <c r="T24" s="190" t="str">
        <f t="shared" si="4"/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 t="shared" si="5"/>
        <v>https://d0f6bd738d7f1b3e5a7ca70fe4ff75f0.us-east-1.aws.found.io/app/kibana#/discover/Steve-Slow-Train-Analysis-(2080s-and-2083s)?_g=(refreshInterval:(display:Off,pause:!f,section:0,value:0),time:(from:'2017-05-20T04:53:36-0600',mode:absolute,to:'2017-05-20T07:33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4" s="192" t="str">
        <f t="shared" si="6"/>
        <v>N</v>
      </c>
      <c r="X24" s="192">
        <f t="shared" si="7"/>
        <v>1</v>
      </c>
      <c r="Y24" s="192">
        <f t="shared" si="8"/>
        <v>23.3004</v>
      </c>
      <c r="Z24" s="192">
        <f t="shared" si="9"/>
        <v>1.54E-2</v>
      </c>
      <c r="AA24" s="192">
        <f t="shared" si="10"/>
        <v>23.285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0112-20</v>
      </c>
      <c r="AE24" s="80" t="str">
        <f t="shared" si="12"/>
        <v>aws s3 cp s3://rtdc.mdm.uploadarchive.raw/RTDC4027/ "%USERPROFILE%\AppData\Local\Temp\OnboardLogs"\RTDC4027\2017-05-20 --exclude "*" --recursive --include "*20170520*" &amp; "%USERPROFILE%\Documents\GitHub\mrs-test-scripts\Headless Mode &amp; Sideloading\WalkAndUnGZ.bat" "%USERPROFILE%\AppData\Local\Temp\OnboardLogs"\RTDC4027\2017-05-20 &amp; aws s3 cp s3://rtdc.mdm.uploadarchive.raw/RTDC4027/ "%USERPROFILE%\AppData\Local\Temp\OnboardLogs"\RTDC4027\2017-05-21 --exclude "*" --recursive --include "*20170521*" &amp; "%USERPROFILE%\Documents\GitHub\mrs-test-scripts\Headless Mode &amp; Sideloading\WalkAndUnGZ.bat" "%USERPROFILE%\AppData\Local\Temp\OnboardLogs"\RTDC4027\2017-05-21</v>
      </c>
      <c r="AF24" s="77" t="str">
        <f t="shared" si="13"/>
        <v>"C:\Program Files (x86)\AstroGrep\AstroGrep.exe" /e /r /s /spath="%USERPROFILE%\AppData\Local\Temp\OnboardLogs" /stypes="app*4027*20170520*" /stext=" 12:.+((SYSTEM_STATE.+slice.+state.+changed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112-20 --locoid 4027 --swversion DE.1.0.9.0 --startMP 204:233004 --initTime 2017-05-20T05:53:36 --startdatetime 2017-05-20T05:56:36 --delay 1 --endMP 204:154 --enddatetime 2017-05-20T06:33:45 --enforcementcount 0 &gt;&gt;C:\Users\stu\Documents\GitHub\eaglep3-reporting\EC\2017-05-20-refined-times.txt</v>
      </c>
      <c r="AI24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{"issue":{"subject":"","project_id":79,"tracker_id":40,"status_id":1,"priority_id":2,"assigned_to_id":23,"start_date":"2017-05-20","description":"","custom_fields":[{"id":1,"name":"Subdivision","value":"EC"},{"id":4,"name":"Milepost","value":"0.0154"},{"id":17,"name":"Train ID","value":"112-20"},{"id":16,"name":"Locomotive ID","value":"4027"},{"id":130,"name":"Impact","value":""},{"id":150,"name":"Time of Event (Mountain Time)","value":"06:33:45"},{"id":151,"name":"Denver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4027 --day 2017-05-20</v>
      </c>
      <c r="AN24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12:33:45"},{"id":29,"name":"Sharepoint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675</v>
      </c>
      <c r="B25" s="7">
        <v>4008</v>
      </c>
      <c r="C25" s="21" t="s">
        <v>206</v>
      </c>
      <c r="D25" s="21" t="s">
        <v>471</v>
      </c>
      <c r="E25" s="13">
        <v>42875.212164351855</v>
      </c>
      <c r="F25" s="13">
        <v>42875.219421296293</v>
      </c>
      <c r="G25" s="7">
        <v>1</v>
      </c>
      <c r="H25" s="21" t="s">
        <v>846</v>
      </c>
      <c r="I25" s="13">
        <v>42875.243402777778</v>
      </c>
      <c r="J25" s="7">
        <v>0</v>
      </c>
      <c r="K25" s="92" t="str">
        <f t="shared" si="0"/>
        <v>4007/4008</v>
      </c>
      <c r="L25" s="21" t="str">
        <f>VLOOKUP(A25,'Trips&amp;Operators'!$C$1:$G$99999,5,FALSE)</f>
        <v>DELGADO DIANAH</v>
      </c>
      <c r="M25" s="6">
        <f t="shared" si="1"/>
        <v>2.3981481484952383E-2</v>
      </c>
      <c r="N25" s="7">
        <f t="shared" si="2"/>
        <v>34.533333338331431</v>
      </c>
      <c r="O25" s="7"/>
      <c r="P25" s="7"/>
      <c r="Q25" s="22"/>
      <c r="R25" s="190"/>
      <c r="S25" s="196">
        <f t="shared" si="3"/>
        <v>1</v>
      </c>
      <c r="T25" s="190" t="str">
        <f t="shared" si="4"/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 t="shared" si="5"/>
        <v>https://d0f6bd738d7f1b3e5a7ca70fe4ff75f0.us-east-1.aws.found.io/app/kibana#/discover/Steve-Slow-Train-Analysis-(2080s-and-2083s)?_g=(refreshInterval:(display:Off,pause:!f,section:0,value:0),time:(from:'2017-05-20T04:05:31-0600',mode:absolute,to:'2017-05-20T06:50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5" s="192" t="str">
        <f t="shared" si="6"/>
        <v>N</v>
      </c>
      <c r="X25" s="192">
        <f t="shared" si="7"/>
        <v>1</v>
      </c>
      <c r="Y25" s="192">
        <f t="shared" si="8"/>
        <v>4.4200000000000003E-2</v>
      </c>
      <c r="Z25" s="192">
        <f t="shared" si="9"/>
        <v>23.335999999999999</v>
      </c>
      <c r="AA25" s="192">
        <f t="shared" si="10"/>
        <v>23.291799999999999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0113-20</v>
      </c>
      <c r="AE25" s="80" t="str">
        <f t="shared" si="12"/>
        <v>aws s3 cp s3://rtdc.mdm.uploadarchive.raw/RTDC4008/ "%USERPROFILE%\AppData\Local\Temp\OnboardLogs"\RTDC4008\2017-05-20 --exclude "*" --recursive --include "*20170520*" &amp; "%USERPROFILE%\Documents\GitHub\mrs-test-scripts\Headless Mode &amp; Sideloading\WalkAndUnGZ.bat" "%USERPROFILE%\AppData\Local\Temp\OnboardLogs"\RTDC4008\2017-05-20 &amp; aws s3 cp s3://rtdc.mdm.uploadarchive.raw/RTDC4008/ "%USERPROFILE%\AppData\Local\Temp\OnboardLogs"\RTDC4008\2017-05-21 --exclude "*" --recursive --include "*20170521*" &amp; "%USERPROFILE%\Documents\GitHub\mrs-test-scripts\Headless Mode &amp; Sideloading\WalkAndUnGZ.bat" "%USERPROFILE%\AppData\Local\Temp\OnboardLogs"\RTDC4008\2017-05-21</v>
      </c>
      <c r="AF25" s="77" t="str">
        <f t="shared" si="13"/>
        <v>"C:\Program Files (x86)\AstroGrep\AstroGrep.exe" /e /r /s /spath="%USERPROFILE%\AppData\Local\Temp\OnboardLogs" /stypes="app*4008*20170520*" /stext=" 11:.+((SYSTEM_STATE.+slice.+state.+changed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113-20 --locoid 4008 --swversion DE.1.0.9.0 --startMP 204:442 --initTime 2017-05-20T05:05:31 --startdatetime 2017-05-20T05:15:58 --delay 1 --endMP 204:233360 --enddatetime 2017-05-20T05:50:30 --enforcementcount 0 &gt;&gt;C:\Users\stu\Documents\GitHub\eaglep3-reporting\EC\2017-05-20-refined-times.txt</v>
      </c>
      <c r="AI25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{"issue":{"subject":"","project_id":79,"tracker_id":40,"status_id":1,"priority_id":2,"assigned_to_id":23,"start_date":"2017-05-20","description":"","custom_fields":[{"id":1,"name":"Subdivision","value":"EC"},{"id":4,"name":"Milepost","value":"23.336"},{"id":17,"name":"Train ID","value":"113-20"},{"id":16,"name":"Locomotive ID","value":"4008"},{"id":130,"name":"Impact","value":""},{"id":150,"name":"Time of Event (Mountain Time)","value":"05:50:30"},{"id":151,"name":"Denver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4008 --day 2017-05-20</v>
      </c>
      <c r="AN25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11:50:30"},{"id":29,"name":"Sharepoint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684</v>
      </c>
      <c r="B26" s="7">
        <v>4007</v>
      </c>
      <c r="C26" s="21" t="s">
        <v>206</v>
      </c>
      <c r="D26" s="21" t="s">
        <v>847</v>
      </c>
      <c r="E26" s="13">
        <v>42875.25409722222</v>
      </c>
      <c r="F26" s="13">
        <v>42875.257800925923</v>
      </c>
      <c r="G26" s="7">
        <v>1</v>
      </c>
      <c r="H26" s="21" t="s">
        <v>358</v>
      </c>
      <c r="I26" s="13">
        <v>42875.283599537041</v>
      </c>
      <c r="J26" s="7">
        <v>0</v>
      </c>
      <c r="K26" s="92" t="str">
        <f t="shared" si="0"/>
        <v>4007/4008</v>
      </c>
      <c r="L26" s="21" t="str">
        <f>VLOOKUP(A26,'Trips&amp;Operators'!$C$1:$G$99999,5,FALSE)</f>
        <v>DELGADO DIANAH</v>
      </c>
      <c r="M26" s="6">
        <f t="shared" si="1"/>
        <v>2.5798611117352266E-2</v>
      </c>
      <c r="N26" s="7">
        <f t="shared" si="2"/>
        <v>37.150000008987263</v>
      </c>
      <c r="O26" s="7"/>
      <c r="P26" s="7"/>
      <c r="Q26" s="22"/>
      <c r="R26" s="190"/>
      <c r="S26" s="196">
        <f t="shared" si="3"/>
        <v>1</v>
      </c>
      <c r="T26" s="190" t="str">
        <f t="shared" si="4"/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 t="shared" si="5"/>
        <v>https://d0f6bd738d7f1b3e5a7ca70fe4ff75f0.us-east-1.aws.found.io/app/kibana#/discover/Steve-Slow-Train-Analysis-(2080s-and-2083s)?_g=(refreshInterval:(display:Off,pause:!f,section:0,value:0),time:(from:'2017-05-20T05:05:54-0600',mode:absolute,to:'2017-05-20T07:48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6" s="192" t="str">
        <f t="shared" si="6"/>
        <v>N</v>
      </c>
      <c r="X26" s="192">
        <f t="shared" si="7"/>
        <v>1</v>
      </c>
      <c r="Y26" s="192">
        <f t="shared" si="8"/>
        <v>23.303599999999999</v>
      </c>
      <c r="Z26" s="192">
        <f t="shared" si="9"/>
        <v>1.43E-2</v>
      </c>
      <c r="AA26" s="192">
        <f t="shared" si="10"/>
        <v>23.289300000000001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1"/>
        <v>0114-20</v>
      </c>
      <c r="AE26" s="80" t="str">
        <f t="shared" si="12"/>
        <v>aws s3 cp s3://rtdc.mdm.uploadarchive.raw/RTDC4007/ "%USERPROFILE%\AppData\Local\Temp\OnboardLogs"\RTDC4007\2017-05-20 --exclude "*" --recursive --include "*20170520*" &amp; "%USERPROFILE%\Documents\GitHub\mrs-test-scripts\Headless Mode &amp; Sideloading\WalkAndUnGZ.bat" "%USERPROFILE%\AppData\Local\Temp\OnboardLogs"\RTDC4007\2017-05-20 &amp; aws s3 cp s3://rtdc.mdm.uploadarchive.raw/RTDC4007/ "%USERPROFILE%\AppData\Local\Temp\OnboardLogs"\RTDC4007\2017-05-21 --exclude "*" --recursive --include "*20170521*" &amp; "%USERPROFILE%\Documents\GitHub\mrs-test-scripts\Headless Mode &amp; Sideloading\WalkAndUnGZ.bat" "%USERPROFILE%\AppData\Local\Temp\OnboardLogs"\RTDC4007\2017-05-21</v>
      </c>
      <c r="AF26" s="77" t="str">
        <f t="shared" si="13"/>
        <v>"C:\Program Files (x86)\AstroGrep\AstroGrep.exe" /e /r /s /spath="%USERPROFILE%\AppData\Local\Temp\OnboardLogs" /stypes="app*4007*20170520*" /stext=" 12:.+((SYSTEM_STATE.+slice.+state.+changed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114-20 --locoid 4007 --swversion DE.1.0.9.0 --startMP 204:233036 --initTime 2017-05-20T06:05:54 --startdatetime 2017-05-20T06:11:14 --delay 1 --endMP 204:143 --enddatetime 2017-05-20T06:48:23 --enforcementcount 0 &gt;&gt;C:\Users\stu\Documents\GitHub\eaglep3-reporting\EC\2017-05-20-refined-times.txt</v>
      </c>
      <c r="AI26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{"issue":{"subject":"","project_id":79,"tracker_id":40,"status_id":1,"priority_id":2,"assigned_to_id":23,"start_date":"2017-05-20","description":"","custom_fields":[{"id":1,"name":"Subdivision","value":"EC"},{"id":4,"name":"Milepost","value":"0.0143"},{"id":17,"name":"Train ID","value":"114-20"},{"id":16,"name":"Locomotive ID","value":"4007"},{"id":130,"name":"Impact","value":""},{"id":150,"name":"Time of Event (Mountain Time)","value":"06:48:23"},{"id":151,"name":"Denver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4007 --day 2017-05-20</v>
      </c>
      <c r="AN26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12:48:23"},{"id":29,"name":"Sharepoint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678</v>
      </c>
      <c r="B27" s="7">
        <v>4026</v>
      </c>
      <c r="C27" s="21" t="s">
        <v>206</v>
      </c>
      <c r="D27" s="21" t="s">
        <v>848</v>
      </c>
      <c r="E27" s="13">
        <v>42875.22519675926</v>
      </c>
      <c r="F27" s="13">
        <v>42875.229351851849</v>
      </c>
      <c r="G27" s="7">
        <v>1</v>
      </c>
      <c r="H27" s="21" t="s">
        <v>849</v>
      </c>
      <c r="I27" s="13">
        <v>42875.254120370373</v>
      </c>
      <c r="J27" s="7">
        <v>0</v>
      </c>
      <c r="K27" s="92" t="str">
        <f t="shared" si="0"/>
        <v>4025/4026</v>
      </c>
      <c r="L27" s="21" t="str">
        <f>VLOOKUP(A27,'Trips&amp;Operators'!$C$1:$G$99999,5,FALSE)</f>
        <v>GEBRETEKLE DAGNEW</v>
      </c>
      <c r="M27" s="6">
        <f t="shared" si="1"/>
        <v>2.4768518524069805E-2</v>
      </c>
      <c r="N27" s="7">
        <f t="shared" si="2"/>
        <v>35.666666674660519</v>
      </c>
      <c r="O27" s="7"/>
      <c r="P27" s="7"/>
      <c r="Q27" s="22"/>
      <c r="R27" s="190"/>
      <c r="S27" s="196">
        <f t="shared" si="3"/>
        <v>1</v>
      </c>
      <c r="T27" s="190" t="str">
        <f t="shared" si="4"/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 t="shared" si="5"/>
        <v>https://d0f6bd738d7f1b3e5a7ca70fe4ff75f0.us-east-1.aws.found.io/app/kibana#/discover/Steve-Slow-Train-Analysis-(2080s-and-2083s)?_g=(refreshInterval:(display:Off,pause:!f,section:0,value:0),time:(from:'2017-05-20T04:24:17-0600',mode:absolute,to:'2017-05-20T07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7" s="192" t="str">
        <f t="shared" si="6"/>
        <v>N</v>
      </c>
      <c r="X27" s="192">
        <f t="shared" si="7"/>
        <v>1</v>
      </c>
      <c r="Y27" s="192">
        <f t="shared" si="8"/>
        <v>7.5700000000000003E-2</v>
      </c>
      <c r="Z27" s="192">
        <f t="shared" si="9"/>
        <v>23.337399999999999</v>
      </c>
      <c r="AA27" s="192">
        <f t="shared" si="10"/>
        <v>23.261699999999998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0115-20</v>
      </c>
      <c r="AE27" s="80" t="str">
        <f t="shared" si="12"/>
        <v>aws s3 cp s3://rtdc.mdm.uploadarchive.raw/RTDC4026/ "%USERPROFILE%\AppData\Local\Temp\OnboardLogs"\RTDC4026\2017-05-20 --exclude "*" --recursive --include "*20170520*" &amp; "%USERPROFILE%\Documents\GitHub\mrs-test-scripts\Headless Mode &amp; Sideloading\WalkAndUnGZ.bat" "%USERPROFILE%\AppData\Local\Temp\OnboardLogs"\RTDC4026\2017-05-20 &amp; aws s3 cp s3://rtdc.mdm.uploadarchive.raw/RTDC4026/ "%USERPROFILE%\AppData\Local\Temp\OnboardLogs"\RTDC4026\2017-05-21 --exclude "*" --recursive --include "*20170521*" &amp; "%USERPROFILE%\Documents\GitHub\mrs-test-scripts\Headless Mode &amp; Sideloading\WalkAndUnGZ.bat" "%USERPROFILE%\AppData\Local\Temp\OnboardLogs"\RTDC4026\2017-05-21</v>
      </c>
      <c r="AF27" s="77" t="str">
        <f t="shared" si="13"/>
        <v>"C:\Program Files (x86)\AstroGrep\AstroGrep.exe" /e /r /s /spath="%USERPROFILE%\AppData\Local\Temp\OnboardLogs" /stypes="app*4026*20170520*" /stext=" 12:.+((SYSTEM_STATE.+slice.+state.+changed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115-20 --locoid 4026 --swversion DE.1.0.9.0 --startMP 204:757 --initTime 2017-05-20T05:24:17 --startdatetime 2017-05-20T05:30:16 --delay 1 --endMP 204:233374 --enddatetime 2017-05-20T06:05:56 --enforcementcount 0 &gt;&gt;C:\Users\stu\Documents\GitHub\eaglep3-reporting\EC\2017-05-20-refined-times.txt</v>
      </c>
      <c r="AI27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{"issue":{"subject":"","project_id":79,"tracker_id":40,"status_id":1,"priority_id":2,"assigned_to_id":23,"start_date":"2017-05-20","description":"","custom_fields":[{"id":1,"name":"Subdivision","value":"EC"},{"id":4,"name":"Milepost","value":"23.3374"},{"id":17,"name":"Train ID","value":"115-20"},{"id":16,"name":"Locomotive ID","value":"4026"},{"id":130,"name":"Impact","value":""},{"id":150,"name":"Time of Event (Mountain Time)","value":"06:05:56"},{"id":151,"name":"Denver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4026 --day 2017-05-20</v>
      </c>
      <c r="AN27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12:05:56"},{"id":29,"name":"Sharepoint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687</v>
      </c>
      <c r="B28" s="7">
        <v>4025</v>
      </c>
      <c r="C28" s="21" t="s">
        <v>206</v>
      </c>
      <c r="D28" s="21" t="s">
        <v>850</v>
      </c>
      <c r="E28" s="13">
        <v>42875.26489583333</v>
      </c>
      <c r="F28" s="13">
        <v>42875.27884259259</v>
      </c>
      <c r="G28" s="7">
        <v>19</v>
      </c>
      <c r="H28" s="21" t="s">
        <v>198</v>
      </c>
      <c r="I28" s="13">
        <v>42875.295127314814</v>
      </c>
      <c r="J28" s="7">
        <v>0</v>
      </c>
      <c r="K28" s="92" t="str">
        <f t="shared" si="0"/>
        <v>4025/4026</v>
      </c>
      <c r="L28" s="21" t="str">
        <f>VLOOKUP(A28,'Trips&amp;Operators'!$C$1:$G$99999,5,FALSE)</f>
        <v>GEBRETEKLE DAGNEW</v>
      </c>
      <c r="M28" s="6">
        <f t="shared" si="1"/>
        <v>1.6284722223645076E-2</v>
      </c>
      <c r="N28" s="7"/>
      <c r="O28" s="7"/>
      <c r="P28" s="7">
        <f>24*60*SUM($M28:$M28)</f>
        <v>23.45000000204891</v>
      </c>
      <c r="Q28" s="22"/>
      <c r="R28" s="190" t="s">
        <v>478</v>
      </c>
      <c r="S28" s="196">
        <f t="shared" si="3"/>
        <v>1</v>
      </c>
      <c r="T28" s="190" t="str">
        <f t="shared" si="4"/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 t="shared" si="5"/>
        <v>https://d0f6bd738d7f1b3e5a7ca70fe4ff75f0.us-east-1.aws.found.io/app/kibana#/discover/Steve-Slow-Train-Analysis-(2080s-and-2083s)?_g=(refreshInterval:(display:Off,pause:!f,section:0,value:0),time:(from:'2017-05-20T05:21:27-0600',mode:absolute,to:'2017-05-20T08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8" s="192" t="str">
        <f t="shared" si="6"/>
        <v>Y</v>
      </c>
      <c r="X28" s="192">
        <f t="shared" si="7"/>
        <v>1</v>
      </c>
      <c r="Y28" s="192">
        <f t="shared" si="8"/>
        <v>12.785399999999999</v>
      </c>
      <c r="Z28" s="192">
        <f t="shared" si="9"/>
        <v>1.5800000000000002E-2</v>
      </c>
      <c r="AA28" s="192">
        <f t="shared" si="10"/>
        <v>12.769599999999999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1"/>
        <v>0116-20</v>
      </c>
      <c r="AE28" s="80" t="str">
        <f t="shared" si="12"/>
        <v>aws s3 cp s3://rtdc.mdm.uploadarchive.raw/RTDC4025/ "%USERPROFILE%\AppData\Local\Temp\OnboardLogs"\RTDC4025\2017-05-20 --exclude "*" --recursive --include "*20170520*" &amp; "%USERPROFILE%\Documents\GitHub\mrs-test-scripts\Headless Mode &amp; Sideloading\WalkAndUnGZ.bat" "%USERPROFILE%\AppData\Local\Temp\OnboardLogs"\RTDC4025\2017-05-20 &amp; aws s3 cp s3://rtdc.mdm.uploadarchive.raw/RTDC4025/ "%USERPROFILE%\AppData\Local\Temp\OnboardLogs"\RTDC4025\2017-05-21 --exclude "*" --recursive --include "*20170521*" &amp; "%USERPROFILE%\Documents\GitHub\mrs-test-scripts\Headless Mode &amp; Sideloading\WalkAndUnGZ.bat" "%USERPROFILE%\AppData\Local\Temp\OnboardLogs"\RTDC4025\2017-05-21</v>
      </c>
      <c r="AF28" s="77" t="str">
        <f t="shared" si="13"/>
        <v>"C:\Program Files (x86)\AstroGrep\AstroGrep.exe" /e /r /s /spath="%USERPROFILE%\AppData\Local\Temp\OnboardLogs" /stypes="app*4025*20170520*" /stext=" 13:.+((SYSTEM_STATE.+slice.+state.+changed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116-20 --locoid 4025 --swversion DE.1.0.9.0 --startMP 204:127854 --initTime 2017-05-20T06:21:27 --startdatetime 2017-05-20T06:41:32 --delay 19 --endMP 204:158 --enddatetime 2017-05-20T07:04:59 --enforcementcount 0 &gt;&gt;C:\Users\stu\Documents\GitHub\eaglep3-reporting\EC\2017-05-20-refined-times.txt</v>
      </c>
      <c r="AI28" s="99" t="str">
        <f t="shared" si="20"/>
        <v>echo {"issue":{"subject":"Onboard in-route failure","project_id":79,"tracker_id":40,"status_id":1,"priority_id":2,"assigned_to_id":23,"start_date":"2017-05-20","description":"","custom_fields":[{"id":1,"name":"Subdivision","value":"EC"},{"id":4,"name":"Milepost","value":"0.0158"},{"id":17,"name":"Train ID","value":"116-20"},{"id":16,"name":"Locomotive ID","value":"4025"},{"id":130,"name":"Impact","value":""},{"id":150,"name":"Time of Event (Mountain Time)","value":"07:04:59"},{"id":151,"name":"Denver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4025 --day 2017-05-20</v>
      </c>
      <c r="AN28" s="154" t="str">
        <f t="shared" si="22"/>
        <v>echo {"issue":{"subject":"Onboard in-route failure","project_id":30,"tracker_id":4,"status_id":1,"priority_id":1,"assigned_to_id":10,"start_date":"2017-05-20","description":"","custom_fields":[{"id":30,"name":"Category","value":"Issue"},{"id":3,"name":"Functional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13:04:59"},{"id":29,"name":"Sharepoint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679</v>
      </c>
      <c r="B29" s="7">
        <v>4010</v>
      </c>
      <c r="C29" s="21" t="s">
        <v>206</v>
      </c>
      <c r="D29" s="21" t="s">
        <v>404</v>
      </c>
      <c r="E29" s="13">
        <v>42875.232060185182</v>
      </c>
      <c r="F29" s="13">
        <v>42875.239733796298</v>
      </c>
      <c r="G29" s="7">
        <v>1</v>
      </c>
      <c r="H29" s="21" t="s">
        <v>851</v>
      </c>
      <c r="I29" s="13">
        <v>42875.264178240737</v>
      </c>
      <c r="J29" s="7">
        <v>0</v>
      </c>
      <c r="K29" s="92" t="str">
        <f t="shared" si="0"/>
        <v>4009/4010</v>
      </c>
      <c r="L29" s="21" t="str">
        <f>VLOOKUP(A29,'Trips&amp;Operators'!$C$1:$G$99999,5,FALSE)</f>
        <v>ROBINSON KADDIBA</v>
      </c>
      <c r="M29" s="6">
        <f t="shared" si="1"/>
        <v>2.4444444439723156E-2</v>
      </c>
      <c r="N29" s="7">
        <f t="shared" ref="N29:N41" si="23">24*60*SUM($M29:$M29)</f>
        <v>35.199999993201345</v>
      </c>
      <c r="O29" s="7"/>
      <c r="P29" s="7"/>
      <c r="Q29" s="22"/>
      <c r="R29" s="190"/>
      <c r="S29" s="196">
        <f t="shared" si="3"/>
        <v>1</v>
      </c>
      <c r="T29" s="190" t="str">
        <f t="shared" si="4"/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 t="shared" si="5"/>
        <v>https://d0f6bd738d7f1b3e5a7ca70fe4ff75f0.us-east-1.aws.found.io/app/kibana#/discover/Steve-Slow-Train-Analysis-(2080s-and-2083s)?_g=(refreshInterval:(display:Off,pause:!f,section:0,value:0),time:(from:'2017-05-20T04:34:10-0600',mode:absolute,to:'2017-05-20T07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9" s="192" t="str">
        <f t="shared" si="6"/>
        <v>N</v>
      </c>
      <c r="X29" s="192">
        <f t="shared" si="7"/>
        <v>1</v>
      </c>
      <c r="Y29" s="192">
        <f t="shared" si="8"/>
        <v>4.6199999999999998E-2</v>
      </c>
      <c r="Z29" s="192">
        <f t="shared" si="9"/>
        <v>23.331099999999999</v>
      </c>
      <c r="AA29" s="192">
        <f t="shared" si="10"/>
        <v>23.2849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0117-20</v>
      </c>
      <c r="AE29" s="80" t="str">
        <f t="shared" si="12"/>
        <v>aws s3 cp s3://rtdc.mdm.uploadarchive.raw/RTDC4010/ "%USERPROFILE%\AppData\Local\Temp\OnboardLogs"\RTDC4010\2017-05-20 --exclude "*" --recursive --include "*20170520*" &amp; "%USERPROFILE%\Documents\GitHub\mrs-test-scripts\Headless Mode &amp; Sideloading\WalkAndUnGZ.bat" "%USERPROFILE%\AppData\Local\Temp\OnboardLogs"\RTDC4010\2017-05-20 &amp; aws s3 cp s3://rtdc.mdm.uploadarchive.raw/RTDC4010/ "%USERPROFILE%\AppData\Local\Temp\OnboardLogs"\RTDC4010\2017-05-21 --exclude "*" --recursive --include "*20170521*" &amp; "%USERPROFILE%\Documents\GitHub\mrs-test-scripts\Headless Mode &amp; Sideloading\WalkAndUnGZ.bat" "%USERPROFILE%\AppData\Local\Temp\OnboardLogs"\RTDC4010\2017-05-21</v>
      </c>
      <c r="AF29" s="77" t="str">
        <f t="shared" si="13"/>
        <v>"C:\Program Files (x86)\AstroGrep\AstroGrep.exe" /e /r /s /spath="%USERPROFILE%\AppData\Local\Temp\OnboardLogs" /stypes="app*4010*20170520*" /stext=" 12:.+((SYSTEM_STATE.+slice.+state.+changed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117-20 --locoid 4010 --swversion DE.1.0.9.0 --startMP 204:462 --initTime 2017-05-20T05:34:10 --startdatetime 2017-05-20T05:45:13 --delay 1 --endMP 204:233311 --enddatetime 2017-05-20T06:20:25 --enforcementcount 0 &gt;&gt;C:\Users\stu\Documents\GitHub\eaglep3-reporting\EC\2017-05-20-refined-times.txt</v>
      </c>
      <c r="AI29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{"issue":{"subject":"","project_id":79,"tracker_id":40,"status_id":1,"priority_id":2,"assigned_to_id":23,"start_date":"2017-05-20","description":"","custom_fields":[{"id":1,"name":"Subdivision","value":"EC"},{"id":4,"name":"Milepost","value":"23.3311"},{"id":17,"name":"Train ID","value":"117-20"},{"id":16,"name":"Locomotive ID","value":"4010"},{"id":130,"name":"Impact","value":""},{"id":150,"name":"Time of Event (Mountain Time)","value":"06:20:25"},{"id":151,"name":"Denver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4010 --day 2017-05-20</v>
      </c>
      <c r="AN29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12:20:25"},{"id":29,"name":"Sharepoint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691</v>
      </c>
      <c r="B30" s="7">
        <v>4009</v>
      </c>
      <c r="C30" s="21" t="s">
        <v>206</v>
      </c>
      <c r="D30" s="21" t="s">
        <v>470</v>
      </c>
      <c r="E30" s="13">
        <v>42875.271921296298</v>
      </c>
      <c r="F30" s="13">
        <v>42875.278715277775</v>
      </c>
      <c r="G30" s="7">
        <v>1</v>
      </c>
      <c r="H30" s="21" t="s">
        <v>197</v>
      </c>
      <c r="I30" s="13">
        <v>42875.305196759262</v>
      </c>
      <c r="J30" s="7">
        <v>0</v>
      </c>
      <c r="K30" s="92" t="str">
        <f t="shared" si="0"/>
        <v>4009/4010</v>
      </c>
      <c r="L30" s="21" t="str">
        <f>VLOOKUP(A30,'Trips&amp;Operators'!$C$1:$G$99999,5,FALSE)</f>
        <v>ROBINSON KADDIBA</v>
      </c>
      <c r="M30" s="6">
        <f t="shared" si="1"/>
        <v>2.6481481487280689E-2</v>
      </c>
      <c r="N30" s="7">
        <f t="shared" si="23"/>
        <v>38.133333341684192</v>
      </c>
      <c r="O30" s="7"/>
      <c r="P30" s="7"/>
      <c r="Q30" s="22"/>
      <c r="R30" s="190"/>
      <c r="S30" s="196">
        <f t="shared" si="3"/>
        <v>1</v>
      </c>
      <c r="T30" s="190" t="str">
        <f t="shared" si="4"/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 t="shared" si="5"/>
        <v>https://d0f6bd738d7f1b3e5a7ca70fe4ff75f0.us-east-1.aws.found.io/app/kibana#/discover/Steve-Slow-Train-Analysis-(2080s-and-2083s)?_g=(refreshInterval:(display:Off,pause:!f,section:0,value:0),time:(from:'2017-05-20T05:31:34-0600',mode:absolute,to:'2017-05-20T08:19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0" s="192" t="str">
        <f t="shared" si="6"/>
        <v>N</v>
      </c>
      <c r="X30" s="192">
        <f t="shared" si="7"/>
        <v>1</v>
      </c>
      <c r="Y30" s="192">
        <f t="shared" si="8"/>
        <v>23.3</v>
      </c>
      <c r="Z30" s="192">
        <f t="shared" si="9"/>
        <v>1.52E-2</v>
      </c>
      <c r="AA30" s="192">
        <f t="shared" si="10"/>
        <v>23.284800000000001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0118-20</v>
      </c>
      <c r="AE30" s="80" t="str">
        <f t="shared" si="12"/>
        <v>aws s3 cp s3://rtdc.mdm.uploadarchive.raw/RTDC4009/ "%USERPROFILE%\AppData\Local\Temp\OnboardLogs"\RTDC4009\2017-05-20 --exclude "*" --recursive --include "*20170520*" &amp; "%USERPROFILE%\Documents\GitHub\mrs-test-scripts\Headless Mode &amp; Sideloading\WalkAndUnGZ.bat" "%USERPROFILE%\AppData\Local\Temp\OnboardLogs"\RTDC4009\2017-05-20 &amp; aws s3 cp s3://rtdc.mdm.uploadarchive.raw/RTDC4009/ "%USERPROFILE%\AppData\Local\Temp\OnboardLogs"\RTDC4009\2017-05-21 --exclude "*" --recursive --include "*20170521*" &amp; "%USERPROFILE%\Documents\GitHub\mrs-test-scripts\Headless Mode &amp; Sideloading\WalkAndUnGZ.bat" "%USERPROFILE%\AppData\Local\Temp\OnboardLogs"\RTDC4009\2017-05-21</v>
      </c>
      <c r="AF30" s="77" t="str">
        <f t="shared" si="13"/>
        <v>"C:\Program Files (x86)\AstroGrep\AstroGrep.exe" /e /r /s /spath="%USERPROFILE%\AppData\Local\Temp\OnboardLogs" /stypes="app*4009*20170520*" /stext=" 13:.+((SYSTEM_STATE.+slice.+state.+changed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118-20 --locoid 4009 --swversion DE.1.0.9.0 --startMP 204:233000 --initTime 2017-05-20T06:31:34 --startdatetime 2017-05-20T06:41:21 --delay 1 --endMP 204:152 --enddatetime 2017-05-20T07:19:29 --enforcementcount 0 &gt;&gt;C:\Users\stu\Documents\GitHub\eaglep3-reporting\EC\2017-05-20-refined-times.txt</v>
      </c>
      <c r="AI30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{"issue":{"subject":"","project_id":79,"tracker_id":40,"status_id":1,"priority_id":2,"assigned_to_id":23,"start_date":"2017-05-20","description":"","custom_fields":[{"id":1,"name":"Subdivision","value":"EC"},{"id":4,"name":"Milepost","value":"0.0152"},{"id":17,"name":"Train ID","value":"118-20"},{"id":16,"name":"Locomotive ID","value":"4009"},{"id":130,"name":"Impact","value":""},{"id":150,"name":"Time of Event (Mountain Time)","value":"07:19:29"},{"id":151,"name":"Denver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4009 --day 2017-05-20</v>
      </c>
      <c r="AN30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13:19:29"},{"id":29,"name":"Sharepoint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590</v>
      </c>
      <c r="B31" s="7">
        <v>4012</v>
      </c>
      <c r="C31" s="21" t="s">
        <v>206</v>
      </c>
      <c r="D31" s="21" t="s">
        <v>852</v>
      </c>
      <c r="E31" s="13">
        <v>42875.247129629628</v>
      </c>
      <c r="F31" s="13">
        <v>42875.250486111108</v>
      </c>
      <c r="G31" s="7">
        <v>1</v>
      </c>
      <c r="H31" s="21" t="s">
        <v>853</v>
      </c>
      <c r="I31" s="13">
        <v>42875.275127314817</v>
      </c>
      <c r="J31" s="7">
        <v>0</v>
      </c>
      <c r="K31" s="92" t="str">
        <f t="shared" si="0"/>
        <v>4011/4012</v>
      </c>
      <c r="L31" s="21" t="str">
        <f>VLOOKUP(A31,'Trips&amp;Operators'!$C$1:$G$99999,5,FALSE)</f>
        <v>MAELZER KURT</v>
      </c>
      <c r="M31" s="6">
        <f t="shared" si="1"/>
        <v>2.4641203708597459E-2</v>
      </c>
      <c r="N31" s="7">
        <f t="shared" si="23"/>
        <v>35.483333340380341</v>
      </c>
      <c r="O31" s="7"/>
      <c r="P31" s="7"/>
      <c r="Q31" s="22"/>
      <c r="R31" s="190"/>
      <c r="S31" s="196">
        <f t="shared" si="3"/>
        <v>1</v>
      </c>
      <c r="T31" s="190" t="str">
        <f t="shared" si="4"/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 t="shared" si="5"/>
        <v>https://d0f6bd738d7f1b3e5a7ca70fe4ff75f0.us-east-1.aws.found.io/app/kibana#/discover/Steve-Slow-Train-Analysis-(2080s-and-2083s)?_g=(refreshInterval:(display:Off,pause:!f,section:0,value:0),time:(from:'2017-05-20T04:55:52-0600',mode:absolute,to:'2017-05-20T07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1" s="192" t="str">
        <f t="shared" si="6"/>
        <v>N</v>
      </c>
      <c r="X31" s="192">
        <f t="shared" si="7"/>
        <v>1</v>
      </c>
      <c r="Y31" s="192">
        <f t="shared" si="8"/>
        <v>7.2099999999999997E-2</v>
      </c>
      <c r="Z31" s="192">
        <f t="shared" si="9"/>
        <v>23.336099999999998</v>
      </c>
      <c r="AA31" s="192">
        <f t="shared" si="10"/>
        <v>23.263999999999999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1"/>
        <v>0119-20</v>
      </c>
      <c r="AE31" s="80" t="str">
        <f t="shared" si="12"/>
        <v>aws s3 cp s3://rtdc.mdm.uploadarchive.raw/RTDC4012/ "%USERPROFILE%\AppData\Local\Temp\OnboardLogs"\RTDC4012\2017-05-20 --exclude "*" --recursive --include "*20170520*" &amp; "%USERPROFILE%\Documents\GitHub\mrs-test-scripts\Headless Mode &amp; Sideloading\WalkAndUnGZ.bat" "%USERPROFILE%\AppData\Local\Temp\OnboardLogs"\RTDC4012\2017-05-20 &amp; aws s3 cp s3://rtdc.mdm.uploadarchive.raw/RTDC4012/ "%USERPROFILE%\AppData\Local\Temp\OnboardLogs"\RTDC4012\2017-05-21 --exclude "*" --recursive --include "*20170521*" &amp; "%USERPROFILE%\Documents\GitHub\mrs-test-scripts\Headless Mode &amp; Sideloading\WalkAndUnGZ.bat" "%USERPROFILE%\AppData\Local\Temp\OnboardLogs"\RTDC4012\2017-05-21</v>
      </c>
      <c r="AF31" s="77" t="str">
        <f t="shared" si="13"/>
        <v>"C:\Program Files (x86)\AstroGrep\AstroGrep.exe" /e /r /s /spath="%USERPROFILE%\AppData\Local\Temp\OnboardLogs" /stypes="app*4012*20170520*" /stext=" 12:.+((SYSTEM_STATE.+slice.+state.+changed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119-20 --locoid 4012 --swversion DE.1.0.9.0 --startMP 204:721 --initTime 2017-05-20T05:55:52 --startdatetime 2017-05-20T06:00:42 --delay 1 --endMP 204:233361 --enddatetime 2017-05-20T06:36:11 --enforcementcount 0 &gt;&gt;C:\Users\stu\Documents\GitHub\eaglep3-reporting\EC\2017-05-20-refined-times.txt</v>
      </c>
      <c r="AI31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{"issue":{"subject":"","project_id":79,"tracker_id":40,"status_id":1,"priority_id":2,"assigned_to_id":23,"start_date":"2017-05-20","description":"","custom_fields":[{"id":1,"name":"Subdivision","value":"EC"},{"id":4,"name":"Milepost","value":"23.3361"},{"id":17,"name":"Train ID","value":"119-20"},{"id":16,"name":"Locomotive ID","value":"4012"},{"id":130,"name":"Impact","value":""},{"id":150,"name":"Time of Event (Mountain Time)","value":"06:36:11"},{"id":151,"name":"Denver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4012 --day 2017-05-20</v>
      </c>
      <c r="AN31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12:36:11"},{"id":29,"name":"Sharepoint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694</v>
      </c>
      <c r="B32" s="7">
        <v>4011</v>
      </c>
      <c r="C32" s="21" t="s">
        <v>206</v>
      </c>
      <c r="D32" s="21" t="s">
        <v>495</v>
      </c>
      <c r="E32" s="13">
        <v>42875.282997685186</v>
      </c>
      <c r="F32" s="13">
        <v>42875.289120370369</v>
      </c>
      <c r="G32" s="7">
        <v>3</v>
      </c>
      <c r="H32" s="21" t="s">
        <v>357</v>
      </c>
      <c r="I32" s="13">
        <v>42875.315196759257</v>
      </c>
      <c r="J32" s="7">
        <v>0</v>
      </c>
      <c r="K32" s="92" t="str">
        <f t="shared" si="0"/>
        <v>4011/4012</v>
      </c>
      <c r="L32" s="21" t="str">
        <f>VLOOKUP(A32,'Trips&amp;Operators'!$C$1:$G$99999,5,FALSE)</f>
        <v>MAELZER KURT</v>
      </c>
      <c r="M32" s="6">
        <f t="shared" si="1"/>
        <v>2.6076388887304347E-2</v>
      </c>
      <c r="N32" s="7">
        <f t="shared" si="23"/>
        <v>37.54999999771826</v>
      </c>
      <c r="O32" s="7"/>
      <c r="P32" s="7"/>
      <c r="Q32" s="22"/>
      <c r="R32" s="190"/>
      <c r="S32" s="196">
        <f t="shared" si="3"/>
        <v>1</v>
      </c>
      <c r="T32" s="190" t="str">
        <f t="shared" si="4"/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 t="shared" si="5"/>
        <v>https://d0f6bd738d7f1b3e5a7ca70fe4ff75f0.us-east-1.aws.found.io/app/kibana#/discover/Steve-Slow-Train-Analysis-(2080s-and-2083s)?_g=(refreshInterval:(display:Off,pause:!f,section:0,value:0),time:(from:'2017-05-20T05:47:31-0600',mode:absolute,to:'2017-05-20T08:33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2" s="192" t="str">
        <f t="shared" si="6"/>
        <v>N</v>
      </c>
      <c r="X32" s="192">
        <f t="shared" si="7"/>
        <v>1</v>
      </c>
      <c r="Y32" s="192">
        <f t="shared" si="8"/>
        <v>23.302499999999998</v>
      </c>
      <c r="Z32" s="192">
        <f t="shared" si="9"/>
        <v>1.49E-2</v>
      </c>
      <c r="AA32" s="192">
        <f t="shared" si="10"/>
        <v>23.287599999999998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0120-20</v>
      </c>
      <c r="AE32" s="80" t="str">
        <f t="shared" si="12"/>
        <v>aws s3 cp s3://rtdc.mdm.uploadarchive.raw/RTDC4011/ "%USERPROFILE%\AppData\Local\Temp\OnboardLogs"\RTDC4011\2017-05-20 --exclude "*" --recursive --include "*20170520*" &amp; "%USERPROFILE%\Documents\GitHub\mrs-test-scripts\Headless Mode &amp; Sideloading\WalkAndUnGZ.bat" "%USERPROFILE%\AppData\Local\Temp\OnboardLogs"\RTDC4011\2017-05-20 &amp; aws s3 cp s3://rtdc.mdm.uploadarchive.raw/RTDC4011/ "%USERPROFILE%\AppData\Local\Temp\OnboardLogs"\RTDC4011\2017-05-21 --exclude "*" --recursive --include "*20170521*" &amp; "%USERPROFILE%\Documents\GitHub\mrs-test-scripts\Headless Mode &amp; Sideloading\WalkAndUnGZ.bat" "%USERPROFILE%\AppData\Local\Temp\OnboardLogs"\RTDC4011\2017-05-21</v>
      </c>
      <c r="AF32" s="77" t="str">
        <f t="shared" si="13"/>
        <v>"C:\Program Files (x86)\AstroGrep\AstroGrep.exe" /e /r /s /spath="%USERPROFILE%\AppData\Local\Temp\OnboardLogs" /stypes="app*4011*20170520*" /stext=" 13:.+((SYSTEM_STATE.+slice.+state.+changed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120-20 --locoid 4011 --swversion DE.1.0.9.0 --startMP 204:233025 --initTime 2017-05-20T06:47:31 --startdatetime 2017-05-20T06:56:20 --delay 3 --endMP 204:149 --enddatetime 2017-05-20T07:33:53 --enforcementcount 0 &gt;&gt;C:\Users\stu\Documents\GitHub\eaglep3-reporting\EC\2017-05-20-refined-times.txt</v>
      </c>
      <c r="AI32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{"issue":{"subject":"","project_id":79,"tracker_id":40,"status_id":1,"priority_id":2,"assigned_to_id":23,"start_date":"2017-05-20","description":"","custom_fields":[{"id":1,"name":"Subdivision","value":"EC"},{"id":4,"name":"Milepost","value":"0.0149"},{"id":17,"name":"Train ID","value":"120-20"},{"id":16,"name":"Locomotive ID","value":"4011"},{"id":130,"name":"Impact","value":""},{"id":150,"name":"Time of Event (Mountain Time)","value":"07:33:53"},{"id":151,"name":"Denver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4011 --day 2017-05-20</v>
      </c>
      <c r="AN32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13:33:53"},{"id":29,"name":"Sharepoint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685</v>
      </c>
      <c r="B33" s="7">
        <v>4022</v>
      </c>
      <c r="C33" s="21" t="s">
        <v>206</v>
      </c>
      <c r="D33" s="21" t="s">
        <v>404</v>
      </c>
      <c r="E33" s="13">
        <v>42875.256840277776</v>
      </c>
      <c r="F33" s="13">
        <v>42875.260578703703</v>
      </c>
      <c r="G33" s="7">
        <v>1</v>
      </c>
      <c r="H33" s="21" t="s">
        <v>505</v>
      </c>
      <c r="I33" s="13">
        <v>42875.285775462966</v>
      </c>
      <c r="J33" s="7">
        <v>0</v>
      </c>
      <c r="K33" s="92" t="str">
        <f t="shared" si="0"/>
        <v>4021/4022</v>
      </c>
      <c r="L33" s="21" t="str">
        <f>VLOOKUP(A33,'Trips&amp;Operators'!$C$1:$G$99999,5,FALSE)</f>
        <v>DAVIS WENDY</v>
      </c>
      <c r="M33" s="6">
        <f t="shared" si="1"/>
        <v>2.5196759263053536E-2</v>
      </c>
      <c r="N33" s="7">
        <f t="shared" si="23"/>
        <v>36.283333338797092</v>
      </c>
      <c r="O33" s="7"/>
      <c r="P33" s="7"/>
      <c r="Q33" s="22"/>
      <c r="R33" s="190"/>
      <c r="S33" s="196">
        <f t="shared" si="3"/>
        <v>1</v>
      </c>
      <c r="T33" s="190" t="str">
        <f t="shared" si="4"/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 t="shared" si="5"/>
        <v>https://d0f6bd738d7f1b3e5a7ca70fe4ff75f0.us-east-1.aws.found.io/app/kibana#/discover/Steve-Slow-Train-Analysis-(2080s-and-2083s)?_g=(refreshInterval:(display:Off,pause:!f,section:0,value:0),time:(from:'2017-05-20T05:09:51-0600',mode:absolute,to:'2017-05-20T07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3" s="192" t="str">
        <f t="shared" si="6"/>
        <v>N</v>
      </c>
      <c r="X33" s="192">
        <f t="shared" si="7"/>
        <v>1</v>
      </c>
      <c r="Y33" s="192">
        <f t="shared" si="8"/>
        <v>4.6199999999999998E-2</v>
      </c>
      <c r="Z33" s="192">
        <f t="shared" si="9"/>
        <v>23.332599999999999</v>
      </c>
      <c r="AA33" s="192">
        <f t="shared" si="10"/>
        <v>23.2864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0121-20</v>
      </c>
      <c r="AE33" s="80" t="str">
        <f t="shared" si="12"/>
        <v>aws s3 cp s3://rtdc.mdm.uploadarchive.raw/RTDC4022/ "%USERPROFILE%\AppData\Local\Temp\OnboardLogs"\RTDC4022\2017-05-20 --exclude "*" --recursive --include "*20170520*" &amp; "%USERPROFILE%\Documents\GitHub\mrs-test-scripts\Headless Mode &amp; Sideloading\WalkAndUnGZ.bat" "%USERPROFILE%\AppData\Local\Temp\OnboardLogs"\RTDC4022\2017-05-20 &amp; aws s3 cp s3://rtdc.mdm.uploadarchive.raw/RTDC4022/ "%USERPROFILE%\AppData\Local\Temp\OnboardLogs"\RTDC4022\2017-05-21 --exclude "*" --recursive --include "*20170521*" &amp; "%USERPROFILE%\Documents\GitHub\mrs-test-scripts\Headless Mode &amp; Sideloading\WalkAndUnGZ.bat" "%USERPROFILE%\AppData\Local\Temp\OnboardLogs"\RTDC4022\2017-05-21</v>
      </c>
      <c r="AF33" s="77" t="str">
        <f t="shared" si="13"/>
        <v>"C:\Program Files (x86)\AstroGrep\AstroGrep.exe" /e /r /s /spath="%USERPROFILE%\AppData\Local\Temp\OnboardLogs" /stypes="app*4022*20170520*" /stext=" 12:.+((SYSTEM_STATE.+slice.+state.+changed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121-20 --locoid 4022 --swversion DE.1.0.9.0 --startMP 204:462 --initTime 2017-05-20T06:09:51 --startdatetime 2017-05-20T06:15:14 --delay 1 --endMP 204:233326 --enddatetime 2017-05-20T06:51:31 --enforcementcount 0 &gt;&gt;C:\Users\stu\Documents\GitHub\eaglep3-reporting\EC\2017-05-20-refined-times.txt</v>
      </c>
      <c r="AI33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{"issue":{"subject":"","project_id":79,"tracker_id":40,"status_id":1,"priority_id":2,"assigned_to_id":23,"start_date":"2017-05-20","description":"","custom_fields":[{"id":1,"name":"Subdivision","value":"EC"},{"id":4,"name":"Milepost","value":"23.3326"},{"id":17,"name":"Train ID","value":"121-20"},{"id":16,"name":"Locomotive ID","value":"4022"},{"id":130,"name":"Impact","value":""},{"id":150,"name":"Time of Event (Mountain Time)","value":"06:51:31"},{"id":151,"name":"Denver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4022 --day 2017-05-20</v>
      </c>
      <c r="AN33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12:51:31"},{"id":29,"name":"Sharepoint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592</v>
      </c>
      <c r="B34" s="7">
        <v>4021</v>
      </c>
      <c r="C34" s="21" t="s">
        <v>206</v>
      </c>
      <c r="D34" s="21" t="s">
        <v>854</v>
      </c>
      <c r="E34" s="13">
        <v>42875.296655092592</v>
      </c>
      <c r="F34" s="13">
        <v>42875.299467592595</v>
      </c>
      <c r="G34" s="7">
        <v>1</v>
      </c>
      <c r="H34" s="21" t="s">
        <v>417</v>
      </c>
      <c r="I34" s="13">
        <v>42875.327326388891</v>
      </c>
      <c r="J34" s="7">
        <v>0</v>
      </c>
      <c r="K34" s="92" t="str">
        <f t="shared" si="0"/>
        <v>4021/4022</v>
      </c>
      <c r="L34" s="21" t="str">
        <f>VLOOKUP(A34,'Trips&amp;Operators'!$C$1:$G$99999,5,FALSE)</f>
        <v>DAVIS WENDY</v>
      </c>
      <c r="M34" s="6">
        <f t="shared" si="1"/>
        <v>2.7858796296641231E-2</v>
      </c>
      <c r="N34" s="7">
        <f t="shared" si="23"/>
        <v>40.116666667163372</v>
      </c>
      <c r="O34" s="7"/>
      <c r="P34" s="7"/>
      <c r="Q34" s="22"/>
      <c r="R34" s="190"/>
      <c r="S34" s="196">
        <f t="shared" si="3"/>
        <v>1</v>
      </c>
      <c r="T34" s="190" t="str">
        <f t="shared" si="4"/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 t="shared" si="5"/>
        <v>https://d0f6bd738d7f1b3e5a7ca70fe4ff75f0.us-east-1.aws.found.io/app/kibana#/discover/Steve-Slow-Train-Analysis-(2080s-and-2083s)?_g=(refreshInterval:(display:Off,pause:!f,section:0,value:0),time:(from:'2017-05-20T06:07:11-0600',mode:absolute,to:'2017-05-20T08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4" s="192" t="str">
        <f t="shared" si="6"/>
        <v>N</v>
      </c>
      <c r="X34" s="192">
        <f t="shared" si="7"/>
        <v>1</v>
      </c>
      <c r="Y34" s="192">
        <f t="shared" si="8"/>
        <v>23.3005</v>
      </c>
      <c r="Z34" s="192">
        <f t="shared" si="9"/>
        <v>1.54E-2</v>
      </c>
      <c r="AA34" s="192">
        <f t="shared" si="10"/>
        <v>23.2851</v>
      </c>
      <c r="AB34" s="57" t="str">
        <f>VLOOKUP(A34,Enforcements!$C$7:$K$13,8,0)</f>
        <v>Bulletin (2)</v>
      </c>
      <c r="AC34" s="53" t="str">
        <f>VLOOKUP(A34,Enforcements!$C$7:$E$13,3,0)</f>
        <v>GRADE CROSSING</v>
      </c>
      <c r="AD34" s="54" t="str">
        <f t="shared" si="11"/>
        <v>0122-20</v>
      </c>
      <c r="AE34" s="80" t="str">
        <f t="shared" si="12"/>
        <v>aws s3 cp s3://rtdc.mdm.uploadarchive.raw/RTDC4021/ "%USERPROFILE%\AppData\Local\Temp\OnboardLogs"\RTDC4021\2017-05-20 --exclude "*" --recursive --include "*20170520*" &amp; "%USERPROFILE%\Documents\GitHub\mrs-test-scripts\Headless Mode &amp; Sideloading\WalkAndUnGZ.bat" "%USERPROFILE%\AppData\Local\Temp\OnboardLogs"\RTDC4021\2017-05-20 &amp; aws s3 cp s3://rtdc.mdm.uploadarchive.raw/RTDC4021/ "%USERPROFILE%\AppData\Local\Temp\OnboardLogs"\RTDC4021\2017-05-21 --exclude "*" --recursive --include "*20170521*" &amp; "%USERPROFILE%\Documents\GitHub\mrs-test-scripts\Headless Mode &amp; Sideloading\WalkAndUnGZ.bat" "%USERPROFILE%\AppData\Local\Temp\OnboardLogs"\RTDC4021\2017-05-21</v>
      </c>
      <c r="AF34" s="77" t="str">
        <f t="shared" si="13"/>
        <v>"C:\Program Files (x86)\AstroGrep\AstroGrep.exe" /e /r /s /spath="%USERPROFILE%\AppData\Local\Temp\OnboardLogs" /stypes="app*4021*20170520*" /stext=" 13:.+((SYSTEM_STATE.+slice.+state.+changed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122-20 --locoid 4021 --swversion DE.1.0.9.0 --startMP 204:233005 --initTime 2017-05-20T07:07:11 --startdatetime 2017-05-20T07:11:14 --delay 1 --endMP 204:154 --enddatetime 2017-05-20T07:51:21 --enforcementcount 0 &gt;&gt;C:\Users\stu\Documents\GitHub\eaglep3-reporting\EC\2017-05-20-refined-times.txt</v>
      </c>
      <c r="AI34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{"issue":{"subject":"","project_id":79,"tracker_id":40,"status_id":1,"priority_id":2,"assigned_to_id":23,"start_date":"2017-05-20","description":"","custom_fields":[{"id":1,"name":"Subdivision","value":"EC"},{"id":4,"name":"Milepost","value":"0.0154"},{"id":17,"name":"Train ID","value":"122-20"},{"id":16,"name":"Locomotive ID","value":"4021"},{"id":130,"name":"Impact","value":""},{"id":150,"name":"Time of Event (Mountain Time)","value":"07:51:21"},{"id":151,"name":"Denver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4021 --day 2017-05-20</v>
      </c>
      <c r="AN34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13:51:21"},{"id":29,"name":"Sharepoint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688</v>
      </c>
      <c r="B35" s="7">
        <v>4002</v>
      </c>
      <c r="C35" s="21" t="s">
        <v>206</v>
      </c>
      <c r="D35" s="21" t="s">
        <v>494</v>
      </c>
      <c r="E35" s="13">
        <v>42875.266342592593</v>
      </c>
      <c r="F35" s="13">
        <v>42875.270995370367</v>
      </c>
      <c r="G35" s="7">
        <v>1</v>
      </c>
      <c r="H35" s="21" t="s">
        <v>855</v>
      </c>
      <c r="I35" s="13">
        <v>42875.29582175926</v>
      </c>
      <c r="J35" s="7">
        <v>0</v>
      </c>
      <c r="K35" s="92" t="str">
        <f t="shared" si="0"/>
        <v>4001/4002</v>
      </c>
      <c r="L35" s="21" t="str">
        <f>VLOOKUP(A35,'Trips&amp;Operators'!$C$1:$G$99999,5,FALSE)</f>
        <v>DE LA ROSA ALEX</v>
      </c>
      <c r="M35" s="6">
        <f t="shared" si="1"/>
        <v>2.4826388893416151E-2</v>
      </c>
      <c r="N35" s="7">
        <f t="shared" si="23"/>
        <v>35.750000006519258</v>
      </c>
      <c r="O35" s="7"/>
      <c r="P35" s="7"/>
      <c r="Q35" s="22"/>
      <c r="R35" s="190"/>
      <c r="S35" s="196">
        <f t="shared" si="3"/>
        <v>1</v>
      </c>
      <c r="T35" s="190" t="str">
        <f t="shared" si="4"/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 t="shared" si="5"/>
        <v>https://d0f6bd738d7f1b3e5a7ca70fe4ff75f0.us-east-1.aws.found.io/app/kibana#/discover/Steve-Slow-Train-Analysis-(2080s-and-2083s)?_g=(refreshInterval:(display:Off,pause:!f,section:0,value:0),time:(from:'2017-05-20T05:23:32-0600',mode:absolute,to:'2017-05-20T08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5" s="192" t="str">
        <f t="shared" si="6"/>
        <v>N</v>
      </c>
      <c r="X35" s="192">
        <f t="shared" si="7"/>
        <v>1</v>
      </c>
      <c r="Y35" s="192">
        <f t="shared" si="8"/>
        <v>4.3099999999999999E-2</v>
      </c>
      <c r="Z35" s="192">
        <f t="shared" si="9"/>
        <v>23.331</v>
      </c>
      <c r="AA35" s="192">
        <f t="shared" si="10"/>
        <v>23.2879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1"/>
        <v>0123-20</v>
      </c>
      <c r="AE35" s="80" t="str">
        <f t="shared" si="12"/>
        <v>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 &amp; aws s3 cp s3://rtdc.mdm.uploadarchive.raw/RTDC4002/ "%USERPROFILE%\AppData\Local\Temp\OnboardLogs"\RTDC4002\2017-05-21 --exclude "*" --recursive --include "*20170521*" &amp; "%USERPROFILE%\Documents\GitHub\mrs-test-scripts\Headless Mode &amp; Sideloading\WalkAndUnGZ.bat" "%USERPROFILE%\AppData\Local\Temp\OnboardLogs"\RTDC4002\2017-05-21</v>
      </c>
      <c r="AF35" s="77" t="str">
        <f t="shared" si="13"/>
        <v>"C:\Program Files (x86)\AstroGrep\AstroGrep.exe" /e /r /s /spath="%USERPROFILE%\AppData\Local\Temp\OnboardLogs" /stypes="app*4002*20170520*" /stext=" 13:.+((SYSTEM_STATE.+slice.+state.+changed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123-20 --locoid 4002 --swversion DE.1.0.9.0 --startMP 204:431 --initTime 2017-05-20T06:23:32 --startdatetime 2017-05-20T06:30:14 --delay 1 --endMP 204:233310 --enddatetime 2017-05-20T07:05:59 --enforcementcount 0 &gt;&gt;C:\Users\stu\Documents\GitHub\eaglep3-reporting\EC\2017-05-20-refined-times.txt</v>
      </c>
      <c r="AI35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{"issue":{"subject":"","project_id":79,"tracker_id":40,"status_id":1,"priority_id":2,"assigned_to_id":23,"start_date":"2017-05-20","description":"","custom_fields":[{"id":1,"name":"Subdivision","value":"EC"},{"id":4,"name":"Milepost","value":"23.331"},{"id":17,"name":"Train ID","value":"123-20"},{"id":16,"name":"Locomotive ID","value":"4002"},{"id":130,"name":"Impact","value":""},{"id":150,"name":"Time of Event (Mountain Time)","value":"07:05:59"},{"id":151,"name":"Denver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4002 --day 2017-05-20</v>
      </c>
      <c r="AN35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13:05:59"},{"id":29,"name":"Sharepoint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696</v>
      </c>
      <c r="B36" s="7">
        <v>4001</v>
      </c>
      <c r="C36" s="21" t="s">
        <v>206</v>
      </c>
      <c r="D36" s="21" t="s">
        <v>504</v>
      </c>
      <c r="E36" s="13">
        <v>42875.297858796293</v>
      </c>
      <c r="F36" s="13">
        <v>42875.309953703705</v>
      </c>
      <c r="G36" s="7">
        <v>1</v>
      </c>
      <c r="H36" s="21" t="s">
        <v>358</v>
      </c>
      <c r="I36" s="13">
        <v>42875.336458333331</v>
      </c>
      <c r="J36" s="7">
        <v>0</v>
      </c>
      <c r="K36" s="92" t="str">
        <f t="shared" si="0"/>
        <v>4001/4002</v>
      </c>
      <c r="L36" s="21" t="str">
        <f>VLOOKUP(A36,'Trips&amp;Operators'!$C$1:$G$99999,5,FALSE)</f>
        <v>DE LA ROSA ALEX</v>
      </c>
      <c r="M36" s="6">
        <f t="shared" si="1"/>
        <v>2.6504629626288079E-2</v>
      </c>
      <c r="N36" s="7">
        <f t="shared" si="23"/>
        <v>38.166666661854833</v>
      </c>
      <c r="O36" s="7"/>
      <c r="P36" s="7"/>
      <c r="Q36" s="22"/>
      <c r="R36" s="190"/>
      <c r="S36" s="196">
        <f t="shared" si="3"/>
        <v>1</v>
      </c>
      <c r="T36" s="190" t="str">
        <f t="shared" si="4"/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 t="shared" si="5"/>
        <v>https://d0f6bd738d7f1b3e5a7ca70fe4ff75f0.us-east-1.aws.found.io/app/kibana#/discover/Steve-Slow-Train-Analysis-(2080s-and-2083s)?_g=(refreshInterval:(display:Off,pause:!f,section:0,value:0),time:(from:'2017-05-20T06:08:55-0600',mode:absolute,to:'2017-05-20T09:04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6" s="192" t="str">
        <f t="shared" si="6"/>
        <v>N</v>
      </c>
      <c r="X36" s="192">
        <f t="shared" si="7"/>
        <v>1</v>
      </c>
      <c r="Y36" s="192">
        <f t="shared" si="8"/>
        <v>23.300799999999999</v>
      </c>
      <c r="Z36" s="192">
        <f t="shared" si="9"/>
        <v>1.43E-2</v>
      </c>
      <c r="AA36" s="192">
        <f t="shared" si="10"/>
        <v>23.2865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0124-20</v>
      </c>
      <c r="AE36" s="80" t="str">
        <f t="shared" si="12"/>
        <v>aws s3 cp s3://rtdc.mdm.uploadarchive.raw/RTDC4001/ "%USERPROFILE%\AppData\Local\Temp\OnboardLogs"\RTDC4001\2017-05-20 --exclude "*" --recursive --include "*20170520*" &amp; "%USERPROFILE%\Documents\GitHub\mrs-test-scripts\Headless Mode &amp; Sideloading\WalkAndUnGZ.bat" "%USERPROFILE%\AppData\Local\Temp\OnboardLogs"\RTDC4001\2017-05-20 &amp; aws s3 cp s3://rtdc.mdm.uploadarchive.raw/RTDC4001/ "%USERPROFILE%\AppData\Local\Temp\OnboardLogs"\RTDC4001\2017-05-21 --exclude "*" --recursive --include "*20170521*" &amp; "%USERPROFILE%\Documents\GitHub\mrs-test-scripts\Headless Mode &amp; Sideloading\WalkAndUnGZ.bat" "%USERPROFILE%\AppData\Local\Temp\OnboardLogs"\RTDC4001\2017-05-21</v>
      </c>
      <c r="AF36" s="77" t="str">
        <f t="shared" si="13"/>
        <v>"C:\Program Files (x86)\AstroGrep\AstroGrep.exe" /e /r /s /spath="%USERPROFILE%\AppData\Local\Temp\OnboardLogs" /stypes="app*4001*20170520*" /stext=" 14:.+((SYSTEM_STATE.+slice.+state.+changed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124-20 --locoid 4001 --swversion DE.1.0.9.0 --startMP 204:233008 --initTime 2017-05-20T07:08:55 --startdatetime 2017-05-20T07:26:20 --delay 1 --endMP 204:143 --enddatetime 2017-05-20T08:04:30 --enforcementcount 0 &gt;&gt;C:\Users\stu\Documents\GitHub\eaglep3-reporting\EC\2017-05-20-refined-times.txt</v>
      </c>
      <c r="AI36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{"issue":{"subject":"","project_id":79,"tracker_id":40,"status_id":1,"priority_id":2,"assigned_to_id":23,"start_date":"2017-05-20","description":"","custom_fields":[{"id":1,"name":"Subdivision","value":"EC"},{"id":4,"name":"Milepost","value":"0.0143"},{"id":17,"name":"Train ID","value":"124-20"},{"id":16,"name":"Locomotive ID","value":"4001"},{"id":130,"name":"Impact","value":""},{"id":150,"name":"Time of Event (Mountain Time)","value":"08:04:30"},{"id":151,"name":"Denver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4001 --day 2017-05-20</v>
      </c>
      <c r="AN36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14:04:30"},{"id":29,"name":"Sharepoint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693</v>
      </c>
      <c r="B37" s="7">
        <v>4028</v>
      </c>
      <c r="C37" s="21" t="s">
        <v>206</v>
      </c>
      <c r="D37" s="21" t="s">
        <v>203</v>
      </c>
      <c r="E37" s="13">
        <v>42875.27957175926</v>
      </c>
      <c r="F37" s="13">
        <v>42875.281527777777</v>
      </c>
      <c r="G37" s="7">
        <v>1</v>
      </c>
      <c r="H37" s="21" t="s">
        <v>419</v>
      </c>
      <c r="I37" s="13">
        <v>42875.305821759262</v>
      </c>
      <c r="J37" s="7">
        <v>0</v>
      </c>
      <c r="K37" s="92" t="str">
        <f t="shared" si="0"/>
        <v>4027/4028</v>
      </c>
      <c r="L37" s="21" t="str">
        <f>VLOOKUP(A37,'Trips&amp;Operators'!$C$1:$G$99999,5,FALSE)</f>
        <v>LOZA FIDEL</v>
      </c>
      <c r="M37" s="6">
        <f t="shared" si="1"/>
        <v>2.4293981485243421E-2</v>
      </c>
      <c r="N37" s="7">
        <f t="shared" si="23"/>
        <v>34.983333338750526</v>
      </c>
      <c r="O37" s="7"/>
      <c r="P37" s="7"/>
      <c r="Q37" s="22"/>
      <c r="R37" s="190"/>
      <c r="S37" s="196">
        <f t="shared" si="3"/>
        <v>1</v>
      </c>
      <c r="T37" s="190" t="str">
        <f t="shared" si="4"/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 t="shared" si="5"/>
        <v>https://d0f6bd738d7f1b3e5a7ca70fe4ff75f0.us-east-1.aws.found.io/app/kibana#/discover/Steve-Slow-Train-Analysis-(2080s-and-2083s)?_g=(refreshInterval:(display:Off,pause:!f,section:0,value:0),time:(from:'2017-05-20T05:42:35-0600',mode:absolute,to:'2017-05-20T08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7" s="192" t="str">
        <f t="shared" si="6"/>
        <v>N</v>
      </c>
      <c r="X37" s="192">
        <f t="shared" si="7"/>
        <v>1</v>
      </c>
      <c r="Y37" s="192">
        <f t="shared" si="8"/>
        <v>4.5999999999999999E-2</v>
      </c>
      <c r="Z37" s="192">
        <f t="shared" si="9"/>
        <v>23.329499999999999</v>
      </c>
      <c r="AA37" s="192">
        <f t="shared" si="10"/>
        <v>23.2835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0125-20</v>
      </c>
      <c r="AE37" s="80" t="str">
        <f t="shared" si="12"/>
        <v>aws s3 cp s3://rtdc.mdm.uploadarchive.raw/RTDC4028/ "%USERPROFILE%\AppData\Local\Temp\OnboardLogs"\RTDC4028\2017-05-20 --exclude "*" --recursive --include "*20170520*" &amp; "%USERPROFILE%\Documents\GitHub\mrs-test-scripts\Headless Mode &amp; Sideloading\WalkAndUnGZ.bat" "%USERPROFILE%\AppData\Local\Temp\OnboardLogs"\RTDC4028\2017-05-20 &amp; aws s3 cp s3://rtdc.mdm.uploadarchive.raw/RTDC4028/ "%USERPROFILE%\AppData\Local\Temp\OnboardLogs"\RTDC4028\2017-05-21 --exclude "*" --recursive --include "*20170521*" &amp; "%USERPROFILE%\Documents\GitHub\mrs-test-scripts\Headless Mode &amp; Sideloading\WalkAndUnGZ.bat" "%USERPROFILE%\AppData\Local\Temp\OnboardLogs"\RTDC4028\2017-05-21</v>
      </c>
      <c r="AF37" s="77" t="str">
        <f t="shared" si="13"/>
        <v>"C:\Program Files (x86)\AstroGrep\AstroGrep.exe" /e /r /s /spath="%USERPROFILE%\AppData\Local\Temp\OnboardLogs" /stypes="app*4028*20170520*" /stext=" 13:.+((SYSTEM_STATE.+slice.+state.+changed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125-20 --locoid 4028 --swversion DE.1.0.9.0 --startMP 204:460 --initTime 2017-05-20T06:42:35 --startdatetime 2017-05-20T06:45:24 --delay 1 --endMP 204:233295 --enddatetime 2017-05-20T07:20:23 --enforcementcount 0 &gt;&gt;C:\Users\stu\Documents\GitHub\eaglep3-reporting\EC\2017-05-20-refined-times.txt</v>
      </c>
      <c r="AI37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{"issue":{"subject":"","project_id":79,"tracker_id":40,"status_id":1,"priority_id":2,"assigned_to_id":23,"start_date":"2017-05-20","description":"","custom_fields":[{"id":1,"name":"Subdivision","value":"EC"},{"id":4,"name":"Milepost","value":"23.3295"},{"id":17,"name":"Train ID","value":"125-20"},{"id":16,"name":"Locomotive ID","value":"4028"},{"id":130,"name":"Impact","value":""},{"id":150,"name":"Time of Event (Mountain Time)","value":"07:20:23"},{"id":151,"name":"Denver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4028 --day 2017-05-20</v>
      </c>
      <c r="AN37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13:20:23"},{"id":29,"name":"Sharepoint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700</v>
      </c>
      <c r="B38" s="7">
        <v>4027</v>
      </c>
      <c r="C38" s="21" t="s">
        <v>206</v>
      </c>
      <c r="D38" s="21" t="s">
        <v>470</v>
      </c>
      <c r="E38" s="13">
        <v>42875.316712962966</v>
      </c>
      <c r="F38" s="13">
        <v>42875.320439814815</v>
      </c>
      <c r="G38" s="7">
        <v>1</v>
      </c>
      <c r="H38" s="21" t="s">
        <v>586</v>
      </c>
      <c r="I38" s="13">
        <v>42875.346388888887</v>
      </c>
      <c r="J38" s="7">
        <v>0</v>
      </c>
      <c r="K38" s="92" t="str">
        <f t="shared" si="0"/>
        <v>4027/4028</v>
      </c>
      <c r="L38" s="21" t="str">
        <f>VLOOKUP(A38,'Trips&amp;Operators'!$C$1:$G$99999,5,FALSE)</f>
        <v>LOZA FIDEL</v>
      </c>
      <c r="M38" s="6">
        <f t="shared" si="1"/>
        <v>2.5949074071832001E-2</v>
      </c>
      <c r="N38" s="7">
        <f t="shared" si="23"/>
        <v>37.366666663438082</v>
      </c>
      <c r="O38" s="7"/>
      <c r="P38" s="7"/>
      <c r="Q38" s="22"/>
      <c r="R38" s="190"/>
      <c r="S38" s="196">
        <f t="shared" si="3"/>
        <v>1</v>
      </c>
      <c r="T38" s="190" t="str">
        <f t="shared" si="4"/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 t="shared" si="5"/>
        <v>https://d0f6bd738d7f1b3e5a7ca70fe4ff75f0.us-east-1.aws.found.io/app/kibana#/discover/Steve-Slow-Train-Analysis-(2080s-and-2083s)?_g=(refreshInterval:(display:Off,pause:!f,section:0,value:0),time:(from:'2017-05-20T06:36:04-0600',mode:absolute,to:'2017-05-20T09:18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8" s="192" t="str">
        <f t="shared" si="6"/>
        <v>N</v>
      </c>
      <c r="X38" s="192">
        <f t="shared" si="7"/>
        <v>1</v>
      </c>
      <c r="Y38" s="192">
        <f t="shared" si="8"/>
        <v>23.3</v>
      </c>
      <c r="Z38" s="192">
        <f t="shared" si="9"/>
        <v>0.11899999999999999</v>
      </c>
      <c r="AA38" s="192">
        <f t="shared" si="10"/>
        <v>23.181000000000001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0126-20</v>
      </c>
      <c r="AE38" s="80" t="str">
        <f t="shared" si="12"/>
        <v>aws s3 cp s3://rtdc.mdm.uploadarchive.raw/RTDC4027/ "%USERPROFILE%\AppData\Local\Temp\OnboardLogs"\RTDC4027\2017-05-20 --exclude "*" --recursive --include "*20170520*" &amp; "%USERPROFILE%\Documents\GitHub\mrs-test-scripts\Headless Mode &amp; Sideloading\WalkAndUnGZ.bat" "%USERPROFILE%\AppData\Local\Temp\OnboardLogs"\RTDC4027\2017-05-20 &amp; aws s3 cp s3://rtdc.mdm.uploadarchive.raw/RTDC4027/ "%USERPROFILE%\AppData\Local\Temp\OnboardLogs"\RTDC4027\2017-05-21 --exclude "*" --recursive --include "*20170521*" &amp; "%USERPROFILE%\Documents\GitHub\mrs-test-scripts\Headless Mode &amp; Sideloading\WalkAndUnGZ.bat" "%USERPROFILE%\AppData\Local\Temp\OnboardLogs"\RTDC4027\2017-05-21</v>
      </c>
      <c r="AF38" s="77" t="str">
        <f t="shared" si="13"/>
        <v>"C:\Program Files (x86)\AstroGrep\AstroGrep.exe" /e /r /s /spath="%USERPROFILE%\AppData\Local\Temp\OnboardLogs" /stypes="app*4027*20170520*" /stext=" 14:.+((SYSTEM_STATE.+slice.+state.+changed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126-20 --locoid 4027 --swversion DE.1.0.9.0 --startMP 204:233000 --initTime 2017-05-20T07:36:04 --startdatetime 2017-05-20T07:41:26 --delay 1 --endMP 204:1190 --enddatetime 2017-05-20T08:18:48 --enforcementcount 0 &gt;&gt;C:\Users\stu\Documents\GitHub\eaglep3-reporting\EC\2017-05-20-refined-times.txt</v>
      </c>
      <c r="AI38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{"issue":{"subject":"","project_id":79,"tracker_id":40,"status_id":1,"priority_id":2,"assigned_to_id":23,"start_date":"2017-05-20","description":"","custom_fields":[{"id":1,"name":"Subdivision","value":"EC"},{"id":4,"name":"Milepost","value":"0.119"},{"id":17,"name":"Train ID","value":"126-20"},{"id":16,"name":"Locomotive ID","value":"4027"},{"id":130,"name":"Impact","value":""},{"id":150,"name":"Time of Event (Mountain Time)","value":"08:18:48"},{"id":151,"name":"Denver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4027 --day 2017-05-20</v>
      </c>
      <c r="AN38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14:18:48"},{"id":29,"name":"Sharepoint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695</v>
      </c>
      <c r="B39" s="7">
        <v>4008</v>
      </c>
      <c r="C39" s="21" t="s">
        <v>206</v>
      </c>
      <c r="D39" s="21" t="s">
        <v>856</v>
      </c>
      <c r="E39" s="13">
        <v>42875.287199074075</v>
      </c>
      <c r="F39" s="13">
        <v>42875.291828703703</v>
      </c>
      <c r="G39" s="7">
        <v>1</v>
      </c>
      <c r="H39" s="21" t="s">
        <v>857</v>
      </c>
      <c r="I39" s="13">
        <v>42875.316643518519</v>
      </c>
      <c r="J39" s="7">
        <v>0</v>
      </c>
      <c r="K39" s="92" t="str">
        <f t="shared" si="0"/>
        <v>4007/4008</v>
      </c>
      <c r="L39" s="21" t="str">
        <f>VLOOKUP(A39,'Trips&amp;Operators'!$C$1:$G$99999,5,FALSE)</f>
        <v>DELGADO DIANAH</v>
      </c>
      <c r="M39" s="6">
        <f t="shared" si="1"/>
        <v>2.4814814816636499E-2</v>
      </c>
      <c r="N39" s="7">
        <f t="shared" si="23"/>
        <v>35.733333335956559</v>
      </c>
      <c r="O39" s="7"/>
      <c r="P39" s="7"/>
      <c r="Q39" s="22"/>
      <c r="R39" s="190"/>
      <c r="S39" s="196">
        <f t="shared" si="3"/>
        <v>1</v>
      </c>
      <c r="T39" s="190" t="str">
        <f t="shared" si="4"/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 t="shared" si="5"/>
        <v>https://d0f6bd738d7f1b3e5a7ca70fe4ff75f0.us-east-1.aws.found.io/app/kibana#/discover/Steve-Slow-Train-Analysis-(2080s-and-2083s)?_g=(refreshInterval:(display:Off,pause:!f,section:0,value:0),time:(from:'2017-05-20T05:53:34-0600',mode:absolute,to:'2017-05-20T08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9" s="192" t="str">
        <f t="shared" si="6"/>
        <v>N</v>
      </c>
      <c r="X39" s="192">
        <f t="shared" si="7"/>
        <v>1</v>
      </c>
      <c r="Y39" s="192">
        <f t="shared" si="8"/>
        <v>4.6699999999999998E-2</v>
      </c>
      <c r="Z39" s="192">
        <f t="shared" si="9"/>
        <v>23.342700000000001</v>
      </c>
      <c r="AA39" s="192">
        <f t="shared" si="10"/>
        <v>23.295999999999999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0127-20</v>
      </c>
      <c r="AE39" s="80" t="str">
        <f t="shared" si="12"/>
        <v>aws s3 cp s3://rtdc.mdm.uploadarchive.raw/RTDC4008/ "%USERPROFILE%\AppData\Local\Temp\OnboardLogs"\RTDC4008\2017-05-20 --exclude "*" --recursive --include "*20170520*" &amp; "%USERPROFILE%\Documents\GitHub\mrs-test-scripts\Headless Mode &amp; Sideloading\WalkAndUnGZ.bat" "%USERPROFILE%\AppData\Local\Temp\OnboardLogs"\RTDC4008\2017-05-20 &amp; aws s3 cp s3://rtdc.mdm.uploadarchive.raw/RTDC4008/ "%USERPROFILE%\AppData\Local\Temp\OnboardLogs"\RTDC4008\2017-05-21 --exclude "*" --recursive --include "*20170521*" &amp; "%USERPROFILE%\Documents\GitHub\mrs-test-scripts\Headless Mode &amp; Sideloading\WalkAndUnGZ.bat" "%USERPROFILE%\AppData\Local\Temp\OnboardLogs"\RTDC4008\2017-05-21</v>
      </c>
      <c r="AF39" s="77" t="str">
        <f t="shared" si="13"/>
        <v>"C:\Program Files (x86)\AstroGrep\AstroGrep.exe" /e /r /s /spath="%USERPROFILE%\AppData\Local\Temp\OnboardLogs" /stypes="app*4008*20170520*" /stext=" 13:.+((SYSTEM_STATE.+slice.+state.+changed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127-20 --locoid 4008 --swversion DE.1.0.9.0 --startMP 204:467 --initTime 2017-05-20T06:53:34 --startdatetime 2017-05-20T07:00:14 --delay 1 --endMP 204:233427 --enddatetime 2017-05-20T07:35:58 --enforcementcount 0 &gt;&gt;C:\Users\stu\Documents\GitHub\eaglep3-reporting\EC\2017-05-20-refined-times.txt</v>
      </c>
      <c r="AI39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{"issue":{"subject":"","project_id":79,"tracker_id":40,"status_id":1,"priority_id":2,"assigned_to_id":23,"start_date":"2017-05-20","description":"","custom_fields":[{"id":1,"name":"Subdivision","value":"EC"},{"id":4,"name":"Milepost","value":"23.3427"},{"id":17,"name":"Train ID","value":"127-20"},{"id":16,"name":"Locomotive ID","value":"4008"},{"id":130,"name":"Impact","value":""},{"id":150,"name":"Time of Event (Mountain Time)","value":"07:35:58"},{"id":151,"name":"Denver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4008 --day 2017-05-20</v>
      </c>
      <c r="AN39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13:35:58"},{"id":29,"name":"Sharepoint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702</v>
      </c>
      <c r="B40" s="7">
        <v>4007</v>
      </c>
      <c r="C40" s="21" t="s">
        <v>206</v>
      </c>
      <c r="D40" s="21" t="s">
        <v>858</v>
      </c>
      <c r="E40" s="13">
        <v>42875.327361111114</v>
      </c>
      <c r="F40" s="13">
        <v>42875.330879629626</v>
      </c>
      <c r="G40" s="7">
        <v>1</v>
      </c>
      <c r="H40" s="21" t="s">
        <v>357</v>
      </c>
      <c r="I40" s="13">
        <v>42875.357592592591</v>
      </c>
      <c r="J40" s="7">
        <v>0</v>
      </c>
      <c r="K40" s="92" t="str">
        <f t="shared" si="0"/>
        <v>4007/4008</v>
      </c>
      <c r="L40" s="21" t="str">
        <f>VLOOKUP(A40,'Trips&amp;Operators'!$C$1:$G$99999,5,FALSE)</f>
        <v>DELGADO DIANAH</v>
      </c>
      <c r="M40" s="6">
        <f t="shared" si="1"/>
        <v>2.6712962964666076E-2</v>
      </c>
      <c r="N40" s="7">
        <f t="shared" si="23"/>
        <v>38.466666669119149</v>
      </c>
      <c r="O40" s="7"/>
      <c r="P40" s="7"/>
      <c r="Q40" s="22"/>
      <c r="R40" s="190"/>
      <c r="S40" s="196">
        <f t="shared" si="3"/>
        <v>1</v>
      </c>
      <c r="T40" s="190" t="str">
        <f t="shared" si="4"/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 t="shared" si="5"/>
        <v>https://d0f6bd738d7f1b3e5a7ca70fe4ff75f0.us-east-1.aws.found.io/app/kibana#/discover/Steve-Slow-Train-Analysis-(2080s-and-2083s)?_g=(refreshInterval:(display:Off,pause:!f,section:0,value:0),time:(from:'2017-05-20T06:51:24-0600',mode:absolute,to:'2017-05-20T09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0" s="192" t="str">
        <f t="shared" si="6"/>
        <v>N</v>
      </c>
      <c r="X40" s="192">
        <f t="shared" si="7"/>
        <v>1</v>
      </c>
      <c r="Y40" s="192">
        <f t="shared" si="8"/>
        <v>23.306999999999999</v>
      </c>
      <c r="Z40" s="192">
        <f t="shared" si="9"/>
        <v>1.49E-2</v>
      </c>
      <c r="AA40" s="192">
        <f t="shared" si="10"/>
        <v>23.292099999999998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1"/>
        <v>0128-20</v>
      </c>
      <c r="AE40" s="80" t="str">
        <f t="shared" si="12"/>
        <v>aws s3 cp s3://rtdc.mdm.uploadarchive.raw/RTDC4007/ "%USERPROFILE%\AppData\Local\Temp\OnboardLogs"\RTDC4007\2017-05-20 --exclude "*" --recursive --include "*20170520*" &amp; "%USERPROFILE%\Documents\GitHub\mrs-test-scripts\Headless Mode &amp; Sideloading\WalkAndUnGZ.bat" "%USERPROFILE%\AppData\Local\Temp\OnboardLogs"\RTDC4007\2017-05-20 &amp; aws s3 cp s3://rtdc.mdm.uploadarchive.raw/RTDC4007/ "%USERPROFILE%\AppData\Local\Temp\OnboardLogs"\RTDC4007\2017-05-21 --exclude "*" --recursive --include "*20170521*" &amp; "%USERPROFILE%\Documents\GitHub\mrs-test-scripts\Headless Mode &amp; Sideloading\WalkAndUnGZ.bat" "%USERPROFILE%\AppData\Local\Temp\OnboardLogs"\RTDC4007\2017-05-21</v>
      </c>
      <c r="AF40" s="77" t="str">
        <f t="shared" si="13"/>
        <v>"C:\Program Files (x86)\AstroGrep\AstroGrep.exe" /e /r /s /spath="%USERPROFILE%\AppData\Local\Temp\OnboardLogs" /stypes="app*4007*20170520*" /stext=" 14:.+((SYSTEM_STATE.+slice.+state.+changed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128-20 --locoid 4007 --swversion DE.1.0.9.0 --startMP 204:233070 --initTime 2017-05-20T07:51:24 --startdatetime 2017-05-20T07:56:28 --delay 1 --endMP 204:149 --enddatetime 2017-05-20T08:34:56 --enforcementcount 0 &gt;&gt;C:\Users\stu\Documents\GitHub\eaglep3-reporting\EC\2017-05-20-refined-times.txt</v>
      </c>
      <c r="AI40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{"issue":{"subject":"","project_id":79,"tracker_id":40,"status_id":1,"priority_id":2,"assigned_to_id":23,"start_date":"2017-05-20","description":"","custom_fields":[{"id":1,"name":"Subdivision","value":"EC"},{"id":4,"name":"Milepost","value":"0.0149"},{"id":17,"name":"Train ID","value":"128-20"},{"id":16,"name":"Locomotive ID","value":"4007"},{"id":130,"name":"Impact","value":""},{"id":150,"name":"Time of Event (Mountain Time)","value":"08:34:56"},{"id":151,"name":"Denver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4007 --day 2017-05-20</v>
      </c>
      <c r="AN40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14:34:56"},{"id":29,"name":"Sharepoint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697</v>
      </c>
      <c r="B41" s="7">
        <v>4026</v>
      </c>
      <c r="C41" s="21" t="s">
        <v>206</v>
      </c>
      <c r="D41" s="21" t="s">
        <v>362</v>
      </c>
      <c r="E41" s="13">
        <v>42875.299259259256</v>
      </c>
      <c r="F41" s="13">
        <v>42875.302245370367</v>
      </c>
      <c r="G41" s="7">
        <v>1</v>
      </c>
      <c r="H41" s="21" t="s">
        <v>498</v>
      </c>
      <c r="I41" s="13">
        <v>42875.326736111114</v>
      </c>
      <c r="J41" s="7">
        <v>0</v>
      </c>
      <c r="K41" s="92" t="str">
        <f t="shared" si="0"/>
        <v>4025/4026</v>
      </c>
      <c r="L41" s="21" t="str">
        <f>VLOOKUP(A41,'Trips&amp;Operators'!$C$1:$G$99999,5,FALSE)</f>
        <v>GEBRETEKLE DAGNEW</v>
      </c>
      <c r="M41" s="6">
        <f t="shared" si="1"/>
        <v>2.4490740746841766E-2</v>
      </c>
      <c r="N41" s="7">
        <f t="shared" si="23"/>
        <v>35.266666675452143</v>
      </c>
      <c r="O41" s="7"/>
      <c r="P41" s="7"/>
      <c r="Q41" s="22"/>
      <c r="R41" s="190"/>
      <c r="S41" s="196">
        <f t="shared" si="3"/>
        <v>1</v>
      </c>
      <c r="T41" s="190" t="str">
        <f t="shared" si="4"/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 t="shared" si="5"/>
        <v>https://d0f6bd738d7f1b3e5a7ca70fe4ff75f0.us-east-1.aws.found.io/app/kibana#/discover/Steve-Slow-Train-Analysis-(2080s-and-2083s)?_g=(refreshInterval:(display:Off,pause:!f,section:0,value:0),time:(from:'2017-05-20T06:10:56-0600',mode:absolute,to:'2017-05-20T08:50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1" s="192" t="str">
        <f t="shared" si="6"/>
        <v>N</v>
      </c>
      <c r="X41" s="192">
        <f t="shared" si="7"/>
        <v>1</v>
      </c>
      <c r="Y41" s="192">
        <f t="shared" si="8"/>
        <v>4.6399999999999997E-2</v>
      </c>
      <c r="Z41" s="192">
        <f t="shared" si="9"/>
        <v>23.3355</v>
      </c>
      <c r="AA41" s="192">
        <f t="shared" si="10"/>
        <v>23.289100000000001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0129-20</v>
      </c>
      <c r="AE41" s="80" t="str">
        <f t="shared" si="12"/>
        <v>aws s3 cp s3://rtdc.mdm.uploadarchive.raw/RTDC4026/ "%USERPROFILE%\AppData\Local\Temp\OnboardLogs"\RTDC4026\2017-05-20 --exclude "*" --recursive --include "*20170520*" &amp; "%USERPROFILE%\Documents\GitHub\mrs-test-scripts\Headless Mode &amp; Sideloading\WalkAndUnGZ.bat" "%USERPROFILE%\AppData\Local\Temp\OnboardLogs"\RTDC4026\2017-05-20 &amp; aws s3 cp s3://rtdc.mdm.uploadarchive.raw/RTDC4026/ "%USERPROFILE%\AppData\Local\Temp\OnboardLogs"\RTDC4026\2017-05-21 --exclude "*" --recursive --include "*20170521*" &amp; "%USERPROFILE%\Documents\GitHub\mrs-test-scripts\Headless Mode &amp; Sideloading\WalkAndUnGZ.bat" "%USERPROFILE%\AppData\Local\Temp\OnboardLogs"\RTDC4026\2017-05-21</v>
      </c>
      <c r="AF41" s="77" t="str">
        <f t="shared" si="13"/>
        <v>"C:\Program Files (x86)\AstroGrep\AstroGrep.exe" /e /r /s /spath="%USERPROFILE%\AppData\Local\Temp\OnboardLogs" /stypes="app*4026*20170520*" /stext=" 13:.+((SYSTEM_STATE.+slice.+state.+changed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129-20 --locoid 4026 --swversion DE.1.0.9.0 --startMP 204:464 --initTime 2017-05-20T07:10:56 --startdatetime 2017-05-20T07:15:14 --delay 1 --endMP 204:233355 --enddatetime 2017-05-20T07:50:30 --enforcementcount 0 &gt;&gt;C:\Users\stu\Documents\GitHub\eaglep3-reporting\EC\2017-05-20-refined-times.txt</v>
      </c>
      <c r="AI41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{"issue":{"subject":"","project_id":79,"tracker_id":40,"status_id":1,"priority_id":2,"assigned_to_id":23,"start_date":"2017-05-20","description":"","custom_fields":[{"id":1,"name":"Subdivision","value":"EC"},{"id":4,"name":"Milepost","value":"23.3355"},{"id":17,"name":"Train ID","value":"129-20"},{"id":16,"name":"Locomotive ID","value":"4026"},{"id":130,"name":"Impact","value":""},{"id":150,"name":"Time of Event (Mountain Time)","value":"07:50:30"},{"id":151,"name":"Denver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4026 --day 2017-05-20</v>
      </c>
      <c r="AN41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13:50:30"},{"id":29,"name":"Sharepoint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594</v>
      </c>
      <c r="B42" s="7">
        <v>4025</v>
      </c>
      <c r="C42" s="21" t="s">
        <v>206</v>
      </c>
      <c r="D42" s="21" t="s">
        <v>859</v>
      </c>
      <c r="E42" s="13">
        <v>42875.351736111108</v>
      </c>
      <c r="F42" s="13">
        <v>42875.352627314816</v>
      </c>
      <c r="G42" s="7">
        <v>1</v>
      </c>
      <c r="H42" s="21" t="s">
        <v>559</v>
      </c>
      <c r="I42" s="13">
        <v>42875.369120370371</v>
      </c>
      <c r="J42" s="7">
        <v>0</v>
      </c>
      <c r="K42" s="92" t="str">
        <f t="shared" si="0"/>
        <v>4025/4026</v>
      </c>
      <c r="L42" s="21" t="str">
        <f>VLOOKUP(A42,'Trips&amp;Operators'!$C$1:$G$99999,5,FALSE)</f>
        <v>GEBRETEKLE DAGNEW</v>
      </c>
      <c r="M42" s="6">
        <f t="shared" si="1"/>
        <v>1.6493055554747116E-2</v>
      </c>
      <c r="N42" s="7"/>
      <c r="O42" s="7"/>
      <c r="P42" s="7">
        <f>24*60*SUM($M42:$M42)</f>
        <v>23.749999998835847</v>
      </c>
      <c r="Q42" s="22"/>
      <c r="R42" s="190" t="s">
        <v>512</v>
      </c>
      <c r="S42" s="196">
        <f t="shared" si="3"/>
        <v>1</v>
      </c>
      <c r="T42" s="190" t="str">
        <f t="shared" si="4"/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 t="shared" si="5"/>
        <v>https://d0f6bd738d7f1b3e5a7ca70fe4ff75f0.us-east-1.aws.found.io/app/kibana#/discover/Steve-Slow-Train-Analysis-(2080s-and-2083s)?_g=(refreshInterval:(display:Off,pause:!f,section:0,value:0),time:(from:'2017-05-20T07:26:30-0600',mode:absolute,to:'2017-05-20T09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2" s="192" t="str">
        <f t="shared" si="6"/>
        <v>Y</v>
      </c>
      <c r="X42" s="192">
        <f t="shared" si="7"/>
        <v>1</v>
      </c>
      <c r="Y42" s="192">
        <f t="shared" si="8"/>
        <v>12.786</v>
      </c>
      <c r="Z42" s="192">
        <f t="shared" si="9"/>
        <v>1.6299999999999999E-2</v>
      </c>
      <c r="AA42" s="192">
        <f t="shared" si="10"/>
        <v>12.7697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0130-20</v>
      </c>
      <c r="AE42" s="80" t="str">
        <f t="shared" si="12"/>
        <v>aws s3 cp s3://rtdc.mdm.uploadarchive.raw/RTDC4025/ "%USERPROFILE%\AppData\Local\Temp\OnboardLogs"\RTDC4025\2017-05-20 --exclude "*" --recursive --include "*20170520*" &amp; "%USERPROFILE%\Documents\GitHub\mrs-test-scripts\Headless Mode &amp; Sideloading\WalkAndUnGZ.bat" "%USERPROFILE%\AppData\Local\Temp\OnboardLogs"\RTDC4025\2017-05-20 &amp; aws s3 cp s3://rtdc.mdm.uploadarchive.raw/RTDC4025/ "%USERPROFILE%\AppData\Local\Temp\OnboardLogs"\RTDC4025\2017-05-21 --exclude "*" --recursive --include "*20170521*" &amp; "%USERPROFILE%\Documents\GitHub\mrs-test-scripts\Headless Mode &amp; Sideloading\WalkAndUnGZ.bat" "%USERPROFILE%\AppData\Local\Temp\OnboardLogs"\RTDC4025\2017-05-21</v>
      </c>
      <c r="AF42" s="77" t="str">
        <f t="shared" si="13"/>
        <v>"C:\Program Files (x86)\AstroGrep\AstroGrep.exe" /e /r /s /spath="%USERPROFILE%\AppData\Local\Temp\OnboardLogs" /stypes="app*4025*20170520*" /stext=" 14:.+((SYSTEM_STATE.+slice.+state.+changed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130-20 --locoid 4025 --swversion DE.1.0.9.0 --startMP 204:127860 --initTime 2017-05-20T08:26:30 --startdatetime 2017-05-20T08:27:47 --delay 1 --endMP 204:163 --enddatetime 2017-05-20T08:51:32 --enforcementcount 0 &gt;&gt;C:\Users\stu\Documents\GitHub\eaglep3-reporting\EC\2017-05-20-refined-times.txt</v>
      </c>
      <c r="AI42" s="99" t="str">
        <f t="shared" si="20"/>
        <v>echo {"issue":{"subject":"Wi-MAX data drop","project_id":79,"tracker_id":40,"status_id":1,"priority_id":2,"assigned_to_id":23,"start_date":"2017-05-20","description":"","custom_fields":[{"id":1,"name":"Subdivision","value":"EC"},{"id":4,"name":"Milepost","value":"0.0163"},{"id":17,"name":"Train ID","value":"130-20"},{"id":16,"name":"Locomotive ID","value":"4025"},{"id":130,"name":"Impact","value":""},{"id":150,"name":"Time of Event (Mountain Time)","value":"08:51:32"},{"id":151,"name":"Denver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4025 --day 2017-05-20</v>
      </c>
      <c r="AN42" s="154" t="str">
        <f t="shared" si="22"/>
        <v>echo {"issue":{"subject":"Wi-MAX data drop","project_id":30,"tracker_id":4,"status_id":1,"priority_id":1,"assigned_to_id":10,"start_date":"2017-05-20","description":"","custom_fields":[{"id":30,"name":"Category","value":"Issue"},{"id":3,"name":"Functional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14:51:32"},{"id":29,"name":"Sharepoint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594</v>
      </c>
      <c r="B43" s="7">
        <v>4025</v>
      </c>
      <c r="C43" s="21" t="s">
        <v>206</v>
      </c>
      <c r="D43" s="21" t="s">
        <v>551</v>
      </c>
      <c r="E43" s="13">
        <v>42875.336157407408</v>
      </c>
      <c r="F43" s="13">
        <v>42875.352627314816</v>
      </c>
      <c r="G43" s="7">
        <v>3</v>
      </c>
      <c r="H43" s="21" t="s">
        <v>860</v>
      </c>
      <c r="I43" s="13">
        <v>42875.369120370371</v>
      </c>
      <c r="J43" s="7">
        <v>0</v>
      </c>
      <c r="K43" s="92" t="str">
        <f t="shared" si="0"/>
        <v>4025/4026</v>
      </c>
      <c r="L43" s="21" t="str">
        <f>VLOOKUP(A43,'Trips&amp;Operators'!$C$1:$G$99999,5,FALSE)</f>
        <v>GEBRETEKLE DAGNEW</v>
      </c>
      <c r="M43" s="6">
        <f t="shared" si="1"/>
        <v>1.6493055554747116E-2</v>
      </c>
      <c r="N43" s="7"/>
      <c r="O43" s="7"/>
      <c r="P43" s="7"/>
      <c r="Q43" s="22"/>
      <c r="R43" s="190"/>
      <c r="S43" s="196"/>
      <c r="T43" s="190" t="str">
        <f t="shared" si="4"/>
        <v>Southbound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0</v>
      </c>
      <c r="V43" s="191" t="str">
        <f t="shared" si="5"/>
        <v>https://d0f6bd738d7f1b3e5a7ca70fe4ff75f0.us-east-1.aws.found.io/app/kibana#/discover/Steve-Slow-Train-Analysis-(2080s-and-2083s)?_g=(refreshInterval:(display:Off,pause:!f,section:0,value:0),time:(from:'2017-05-20T07:04:04-0600',mode:absolute,to:'2017-05-20T09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3" s="192" t="str">
        <f t="shared" si="6"/>
        <v>Y</v>
      </c>
      <c r="X43" s="192">
        <f t="shared" si="7"/>
        <v>0</v>
      </c>
      <c r="Y43" s="192">
        <f t="shared" si="8"/>
        <v>23.302299999999999</v>
      </c>
      <c r="Z43" s="192">
        <f t="shared" si="9"/>
        <v>13.0852</v>
      </c>
      <c r="AA43" s="192">
        <f t="shared" si="10"/>
        <v>10.217099999999999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0130-20</v>
      </c>
      <c r="AE43" s="80" t="str">
        <f t="shared" si="12"/>
        <v>aws s3 cp s3://rtdc.mdm.uploadarchive.raw/RTDC4025/ "%USERPROFILE%\AppData\Local\Temp\OnboardLogs"\RTDC4025\2017-05-20 --exclude "*" --recursive --include "*20170520*" &amp; "%USERPROFILE%\Documents\GitHub\mrs-test-scripts\Headless Mode &amp; Sideloading\WalkAndUnGZ.bat" "%USERPROFILE%\AppData\Local\Temp\OnboardLogs"\RTDC4025\2017-05-20 &amp; aws s3 cp s3://rtdc.mdm.uploadarchive.raw/RTDC4025/ "%USERPROFILE%\AppData\Local\Temp\OnboardLogs"\RTDC4025\2017-05-21 --exclude "*" --recursive --include "*20170521*" &amp; "%USERPROFILE%\Documents\GitHub\mrs-test-scripts\Headless Mode &amp; Sideloading\WalkAndUnGZ.bat" "%USERPROFILE%\AppData\Local\Temp\OnboardLogs"\RTDC4025\2017-05-21</v>
      </c>
      <c r="AF43" s="77" t="str">
        <f t="shared" si="13"/>
        <v>"C:\Program Files (x86)\AstroGrep\AstroGrep.exe" /e /r /s /spath="%USERPROFILE%\AppData\Local\Temp\OnboardLogs" /stypes="app*4025*20170520*" /stext=" 14:.+((SYSTEM_STATE.+slice.+state.+changed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130-20 --locoid 4025 --swversion DE.1.0.9.0 --startMP 204:233023 --initTime 2017-05-20T08:04:04 --startdatetime 2017-05-20T08:27:47 --delay 3 --endMP 204:130852 --enddatetime 2017-05-20T08:51:32 --enforcementcount 0 &gt;&gt;C:\Users\stu\Documents\GitHub\eaglep3-reporting\EC\2017-05-20-refined-times.txt</v>
      </c>
      <c r="AI43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{"issue":{"subject":"","project_id":79,"tracker_id":40,"status_id":1,"priority_id":2,"assigned_to_id":23,"start_date":"2017-05-20","description":"","custom_fields":[{"id":1,"name":"Subdivision","value":"EC"},{"id":4,"name":"Milepost","value":"13.0852"},{"id":17,"name":"Train ID","value":"130-20"},{"id":16,"name":"Locomotive ID","value":"4025"},{"id":130,"name":"Impact","value":""},{"id":150,"name":"Time of Event (Mountain Time)","value":"08:51:32"},{"id":151,"name":"Denver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4025 --day 2017-05-20</v>
      </c>
      <c r="AN43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14:51:32"},{"id":29,"name":"Sharepoint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698</v>
      </c>
      <c r="B44" s="7">
        <v>4010</v>
      </c>
      <c r="C44" s="21" t="s">
        <v>206</v>
      </c>
      <c r="D44" s="21" t="s">
        <v>203</v>
      </c>
      <c r="E44" s="13">
        <v>42875.307199074072</v>
      </c>
      <c r="F44" s="13">
        <v>42875.312997685185</v>
      </c>
      <c r="G44" s="7">
        <v>1</v>
      </c>
      <c r="H44" s="21" t="s">
        <v>498</v>
      </c>
      <c r="I44" s="13">
        <v>42875.337858796294</v>
      </c>
      <c r="J44" s="7">
        <v>0</v>
      </c>
      <c r="K44" s="92" t="str">
        <f t="shared" si="0"/>
        <v>4009/4010</v>
      </c>
      <c r="L44" s="21" t="str">
        <f>VLOOKUP(A44,'Trips&amp;Operators'!$C$1:$G$99999,5,FALSE)</f>
        <v>ROBINSON KADDIBA</v>
      </c>
      <c r="M44" s="6">
        <f t="shared" si="1"/>
        <v>2.4861111109203193E-2</v>
      </c>
      <c r="N44" s="7">
        <f t="shared" ref="N44:N91" si="24">24*60*SUM($M44:$M44)</f>
        <v>35.799999997252598</v>
      </c>
      <c r="O44" s="7"/>
      <c r="P44" s="7"/>
      <c r="Q44" s="22"/>
      <c r="R44" s="190"/>
      <c r="S44" s="196">
        <f t="shared" ref="S44:S91" si="25">SUM(U44:U44)/IF(AG44="EC",12,1)</f>
        <v>1</v>
      </c>
      <c r="T44" s="190" t="str">
        <f t="shared" si="4"/>
        <v>NorthBound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 t="shared" si="5"/>
        <v>https://d0f6bd738d7f1b3e5a7ca70fe4ff75f0.us-east-1.aws.found.io/app/kibana#/discover/Steve-Slow-Train-Analysis-(2080s-and-2083s)?_g=(refreshInterval:(display:Off,pause:!f,section:0,value:0),time:(from:'2017-05-20T06:22:22-0600',mode:absolute,to:'2017-05-20T09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4" s="192" t="str">
        <f t="shared" si="6"/>
        <v>N</v>
      </c>
      <c r="X44" s="192">
        <f t="shared" si="7"/>
        <v>1</v>
      </c>
      <c r="Y44" s="192">
        <f t="shared" si="8"/>
        <v>4.5999999999999999E-2</v>
      </c>
      <c r="Z44" s="192">
        <f t="shared" si="9"/>
        <v>23.3355</v>
      </c>
      <c r="AA44" s="192">
        <f t="shared" si="10"/>
        <v>23.2895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0131-20</v>
      </c>
      <c r="AE44" s="80" t="str">
        <f t="shared" si="12"/>
        <v>aws s3 cp s3://rtdc.mdm.uploadarchive.raw/RTDC4010/ "%USERPROFILE%\AppData\Local\Temp\OnboardLogs"\RTDC4010\2017-05-20 --exclude "*" --recursive --include "*20170520*" &amp; "%USERPROFILE%\Documents\GitHub\mrs-test-scripts\Headless Mode &amp; Sideloading\WalkAndUnGZ.bat" "%USERPROFILE%\AppData\Local\Temp\OnboardLogs"\RTDC4010\2017-05-20 &amp; aws s3 cp s3://rtdc.mdm.uploadarchive.raw/RTDC4010/ "%USERPROFILE%\AppData\Local\Temp\OnboardLogs"\RTDC4010\2017-05-21 --exclude "*" --recursive --include "*20170521*" &amp; "%USERPROFILE%\Documents\GitHub\mrs-test-scripts\Headless Mode &amp; Sideloading\WalkAndUnGZ.bat" "%USERPROFILE%\AppData\Local\Temp\OnboardLogs"\RTDC4010\2017-05-21</v>
      </c>
      <c r="AF44" s="77" t="str">
        <f t="shared" si="13"/>
        <v>"C:\Program Files (x86)\AstroGrep\AstroGrep.exe" /e /r /s /spath="%USERPROFILE%\AppData\Local\Temp\OnboardLogs" /stypes="app*4010*20170520*" /stext=" 14:.+((SYSTEM_STATE.+slice.+state.+changed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131-20 --locoid 4010 --swversion DE.1.0.9.0 --startMP 204:460 --initTime 2017-05-20T07:22:22 --startdatetime 2017-05-20T07:30:43 --delay 1 --endMP 204:233355 --enddatetime 2017-05-20T08:06:31 --enforcementcount 0 &gt;&gt;C:\Users\stu\Documents\GitHub\eaglep3-reporting\EC\2017-05-20-refined-times.txt</v>
      </c>
      <c r="AI44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{"issue":{"subject":"","project_id":79,"tracker_id":40,"status_id":1,"priority_id":2,"assigned_to_id":23,"start_date":"2017-05-20","description":"","custom_fields":[{"id":1,"name":"Subdivision","value":"EC"},{"id":4,"name":"Milepost","value":"23.3355"},{"id":17,"name":"Train ID","value":"131-20"},{"id":16,"name":"Locomotive ID","value":"4010"},{"id":130,"name":"Impact","value":""},{"id":150,"name":"Time of Event (Mountain Time)","value":"08:06:31"},{"id":151,"name":"Denver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4010 --day 2017-05-20</v>
      </c>
      <c r="AN44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14:06:31"},{"id":29,"name":"Sharepoint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707</v>
      </c>
      <c r="B45" s="7">
        <v>4009</v>
      </c>
      <c r="C45" s="21" t="s">
        <v>206</v>
      </c>
      <c r="D45" s="21" t="s">
        <v>861</v>
      </c>
      <c r="E45" s="13">
        <v>42875.34878472222</v>
      </c>
      <c r="F45" s="13">
        <v>42875.351550925923</v>
      </c>
      <c r="G45" s="7">
        <v>1</v>
      </c>
      <c r="H45" s="21" t="s">
        <v>353</v>
      </c>
      <c r="I45" s="13">
        <v>42875.377604166664</v>
      </c>
      <c r="J45" s="7">
        <v>0</v>
      </c>
      <c r="K45" s="92" t="str">
        <f t="shared" si="0"/>
        <v>4009/4010</v>
      </c>
      <c r="L45" s="21" t="str">
        <f>VLOOKUP(A45,'Trips&amp;Operators'!$C$1:$G$99999,5,FALSE)</f>
        <v>ROBINSON KADDIBA</v>
      </c>
      <c r="M45" s="6">
        <f t="shared" si="1"/>
        <v>2.6053240741021E-2</v>
      </c>
      <c r="N45" s="7">
        <f t="shared" si="24"/>
        <v>37.51666666707024</v>
      </c>
      <c r="O45" s="7"/>
      <c r="P45" s="7"/>
      <c r="Q45" s="22"/>
      <c r="R45" s="190"/>
      <c r="S45" s="196">
        <f t="shared" si="25"/>
        <v>1</v>
      </c>
      <c r="T45" s="190" t="str">
        <f t="shared" si="4"/>
        <v>Southbound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 t="shared" si="5"/>
        <v>https://d0f6bd738d7f1b3e5a7ca70fe4ff75f0.us-east-1.aws.found.io/app/kibana#/discover/Steve-Slow-Train-Analysis-(2080s-and-2083s)?_g=(refreshInterval:(display:Off,pause:!f,section:0,value:0),time:(from:'2017-05-20T07:22:15-0600',mode:absolute,to:'2017-05-20T10:03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5" s="192" t="str">
        <f t="shared" si="6"/>
        <v>N</v>
      </c>
      <c r="X45" s="192">
        <f t="shared" ref="X45:X64" si="26">VALUE(LEFT(AD45,4))-VALUE(LEFT(AD44,4))</f>
        <v>1</v>
      </c>
      <c r="Y45" s="192">
        <f t="shared" si="8"/>
        <v>23.303999999999998</v>
      </c>
      <c r="Z45" s="192">
        <f t="shared" si="9"/>
        <v>1.4500000000000001E-2</v>
      </c>
      <c r="AA45" s="192">
        <f t="shared" si="10"/>
        <v>23.289499999999997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1"/>
        <v>0132-20</v>
      </c>
      <c r="AE45" s="80" t="str">
        <f t="shared" si="12"/>
        <v>aws s3 cp s3://rtdc.mdm.uploadarchive.raw/RTDC4009/ "%USERPROFILE%\AppData\Local\Temp\OnboardLogs"\RTDC4009\2017-05-20 --exclude "*" --recursive --include "*20170520*" &amp; "%USERPROFILE%\Documents\GitHub\mrs-test-scripts\Headless Mode &amp; Sideloading\WalkAndUnGZ.bat" "%USERPROFILE%\AppData\Local\Temp\OnboardLogs"\RTDC4009\2017-05-20 &amp; aws s3 cp s3://rtdc.mdm.uploadarchive.raw/RTDC4009/ "%USERPROFILE%\AppData\Local\Temp\OnboardLogs"\RTDC4009\2017-05-21 --exclude "*" --recursive --include "*20170521*" &amp; "%USERPROFILE%\Documents\GitHub\mrs-test-scripts\Headless Mode &amp; Sideloading\WalkAndUnGZ.bat" "%USERPROFILE%\AppData\Local\Temp\OnboardLogs"\RTDC4009\2017-05-21</v>
      </c>
      <c r="AF45" s="77" t="str">
        <f t="shared" si="13"/>
        <v>"C:\Program Files (x86)\AstroGrep\AstroGrep.exe" /e /r /s /spath="%USERPROFILE%\AppData\Local\Temp\OnboardLogs" /stypes="app*4009*20170520*" /stext=" 15:.+((SYSTEM_STATE.+slice.+state.+changed )|(ment ac)|(multiple cpu faults)|(system.+state.+changed )|(\[timeout)|(PRM\|1\|D)|(kpr)|(kdp)|(train st.+moving)|(\|lc)|(penalty))"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132-20 --locoid 4009 --swversion DE.1.0.9.0 --startMP 204:233040 --initTime 2017-05-20T08:22:15 --startdatetime 2017-05-20T08:26:14 --delay 1 --endMP 204:145 --enddatetime 2017-05-20T09:03:45 --enforcementcount 0 &gt;&gt;C:\Users\stu\Documents\GitHub\eaglep3-reporting\EC\2017-05-20-refined-times.txt</v>
      </c>
      <c r="AI45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{"issue":{"subject":"","project_id":79,"tracker_id":40,"status_id":1,"priority_id":2,"assigned_to_id":23,"start_date":"2017-05-20","description":"","custom_fields":[{"id":1,"name":"Subdivision","value":"EC"},{"id":4,"name":"Milepost","value":"0.0145"},{"id":17,"name":"Train ID","value":"132-20"},{"id":16,"name":"Locomotive ID","value":"4009"},{"id":130,"name":"Impact","value":""},{"id":150,"name":"Time of Event (Mountain Time)","value":"09:03:45"},{"id":151,"name":"Denver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4009 --day 2017-05-20</v>
      </c>
      <c r="AN45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15:03:45"},{"id":29,"name":"Sharepoint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701</v>
      </c>
      <c r="B46" s="7">
        <v>4012</v>
      </c>
      <c r="C46" s="21" t="s">
        <v>206</v>
      </c>
      <c r="D46" s="21" t="s">
        <v>362</v>
      </c>
      <c r="E46" s="13">
        <v>42875.320601851854</v>
      </c>
      <c r="F46" s="13">
        <v>42875.323136574072</v>
      </c>
      <c r="G46" s="7">
        <v>1</v>
      </c>
      <c r="H46" s="21" t="s">
        <v>862</v>
      </c>
      <c r="I46" s="13">
        <v>42875.347650462965</v>
      </c>
      <c r="J46" s="7">
        <v>0</v>
      </c>
      <c r="K46" s="92" t="str">
        <f t="shared" si="0"/>
        <v>4011/4012</v>
      </c>
      <c r="L46" s="21" t="str">
        <f>VLOOKUP(A46,'Trips&amp;Operators'!$C$1:$G$99999,5,FALSE)</f>
        <v>MAELZER KURT</v>
      </c>
      <c r="M46" s="6">
        <f t="shared" si="1"/>
        <v>2.4513888893125113E-2</v>
      </c>
      <c r="N46" s="7">
        <f t="shared" si="24"/>
        <v>35.300000006100163</v>
      </c>
      <c r="O46" s="7"/>
      <c r="P46" s="7"/>
      <c r="Q46" s="22"/>
      <c r="R46" s="190"/>
      <c r="S46" s="196">
        <f t="shared" si="25"/>
        <v>1</v>
      </c>
      <c r="T46" s="190" t="str">
        <f t="shared" si="4"/>
        <v>NorthBound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 t="shared" si="5"/>
        <v>https://d0f6bd738d7f1b3e5a7ca70fe4ff75f0.us-east-1.aws.found.io/app/kibana#/discover/Steve-Slow-Train-Analysis-(2080s-and-2083s)?_g=(refreshInterval:(display:Off,pause:!f,section:0,value:0),time:(from:'2017-05-20T06:41:40-0600',mode:absolute,to:'2017-05-20T09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6" s="192" t="str">
        <f t="shared" si="6"/>
        <v>N</v>
      </c>
      <c r="X46" s="192">
        <f t="shared" si="26"/>
        <v>1</v>
      </c>
      <c r="Y46" s="192">
        <f t="shared" si="8"/>
        <v>4.6399999999999997E-2</v>
      </c>
      <c r="Z46" s="192">
        <f t="shared" si="9"/>
        <v>23.332799999999999</v>
      </c>
      <c r="AA46" s="192">
        <f t="shared" si="10"/>
        <v>23.2864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1"/>
        <v>0133-20</v>
      </c>
      <c r="AE46" s="80" t="str">
        <f t="shared" si="12"/>
        <v>aws s3 cp s3://rtdc.mdm.uploadarchive.raw/RTDC4012/ "%USERPROFILE%\AppData\Local\Temp\OnboardLogs"\RTDC4012\2017-05-20 --exclude "*" --recursive --include "*20170520*" &amp; "%USERPROFILE%\Documents\GitHub\mrs-test-scripts\Headless Mode &amp; Sideloading\WalkAndUnGZ.bat" "%USERPROFILE%\AppData\Local\Temp\OnboardLogs"\RTDC4012\2017-05-20 &amp; aws s3 cp s3://rtdc.mdm.uploadarchive.raw/RTDC4012/ "%USERPROFILE%\AppData\Local\Temp\OnboardLogs"\RTDC4012\2017-05-21 --exclude "*" --recursive --include "*20170521*" &amp; "%USERPROFILE%\Documents\GitHub\mrs-test-scripts\Headless Mode &amp; Sideloading\WalkAndUnGZ.bat" "%USERPROFILE%\AppData\Local\Temp\OnboardLogs"\RTDC4012\2017-05-21</v>
      </c>
      <c r="AF46" s="77" t="str">
        <f t="shared" si="13"/>
        <v>"C:\Program Files (x86)\AstroGrep\AstroGrep.exe" /e /r /s /spath="%USERPROFILE%\AppData\Local\Temp\OnboardLogs" /stypes="app*4012*20170520*" /stext=" 14:.+((SYSTEM_STATE.+slice.+state.+changed )|(ment ac)|(multiple cpu faults)|(system.+state.+changed )|(\[timeout)|(PRM\|1\|D)|(kpr)|(kdp)|(train st.+moving)|(\|lc)|(penalty))"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133-20 --locoid 4012 --swversion DE.1.0.9.0 --startMP 204:464 --initTime 2017-05-20T07:41:40 --startdatetime 2017-05-20T07:45:19 --delay 1 --endMP 204:233328 --enddatetime 2017-05-20T08:20:37 --enforcementcount 0 &gt;&gt;C:\Users\stu\Documents\GitHub\eaglep3-reporting\EC\2017-05-20-refined-times.txt</v>
      </c>
      <c r="AI46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{"issue":{"subject":"","project_id":79,"tracker_id":40,"status_id":1,"priority_id":2,"assigned_to_id":23,"start_date":"2017-05-20","description":"","custom_fields":[{"id":1,"name":"Subdivision","value":"EC"},{"id":4,"name":"Milepost","value":"23.3328"},{"id":17,"name":"Train ID","value":"133-20"},{"id":16,"name":"Locomotive ID","value":"4012"},{"id":130,"name":"Impact","value":""},{"id":150,"name":"Time of Event (Mountain Time)","value":"08:20:37"},{"id":151,"name":"Denver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4012 --day 2017-05-20</v>
      </c>
      <c r="AN46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14:20:37"},{"id":29,"name":"Sharepoint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709</v>
      </c>
      <c r="B47" s="7">
        <v>4011</v>
      </c>
      <c r="C47" s="21" t="s">
        <v>206</v>
      </c>
      <c r="D47" s="21" t="s">
        <v>422</v>
      </c>
      <c r="E47" s="13">
        <v>42875.352777777778</v>
      </c>
      <c r="F47" s="13">
        <v>42875.362199074072</v>
      </c>
      <c r="G47" s="7">
        <v>0</v>
      </c>
      <c r="H47" s="21" t="s">
        <v>363</v>
      </c>
      <c r="I47" s="13">
        <v>42875.388645833336</v>
      </c>
      <c r="J47" s="7">
        <v>0</v>
      </c>
      <c r="K47" s="92" t="str">
        <f t="shared" si="0"/>
        <v>4011/4012</v>
      </c>
      <c r="L47" s="21" t="str">
        <f>VLOOKUP(A47,'Trips&amp;Operators'!$C$1:$G$99999,5,FALSE)</f>
        <v>MAELZER KURT</v>
      </c>
      <c r="M47" s="6">
        <f t="shared" si="1"/>
        <v>2.644675926421769E-2</v>
      </c>
      <c r="N47" s="7">
        <f t="shared" si="24"/>
        <v>38.083333340473473</v>
      </c>
      <c r="O47" s="7"/>
      <c r="P47" s="7"/>
      <c r="Q47" s="22"/>
      <c r="R47" s="190"/>
      <c r="S47" s="196">
        <f t="shared" si="25"/>
        <v>1</v>
      </c>
      <c r="T47" s="190" t="str">
        <f t="shared" si="4"/>
        <v>Southbound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 t="shared" si="5"/>
        <v>https://d0f6bd738d7f1b3e5a7ca70fe4ff75f0.us-east-1.aws.found.io/app/kibana#/discover/Steve-Slow-Train-Analysis-(2080s-and-2083s)?_g=(refreshInterval:(display:Off,pause:!f,section:0,value:0),time:(from:'2017-05-20T07:28:00-0600',mode:absolute,to:'2017-05-20T10:19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7" s="192" t="str">
        <f t="shared" si="6"/>
        <v>N</v>
      </c>
      <c r="X47" s="192">
        <f t="shared" si="26"/>
        <v>1</v>
      </c>
      <c r="Y47" s="192">
        <f t="shared" si="8"/>
        <v>23.301100000000002</v>
      </c>
      <c r="Z47" s="192">
        <f t="shared" si="9"/>
        <v>1.5599999999999999E-2</v>
      </c>
      <c r="AA47" s="192">
        <f t="shared" si="10"/>
        <v>23.285500000000003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0134-20</v>
      </c>
      <c r="AE47" s="80" t="str">
        <f t="shared" si="12"/>
        <v>aws s3 cp s3://rtdc.mdm.uploadarchive.raw/RTDC4011/ "%USERPROFILE%\AppData\Local\Temp\OnboardLogs"\RTDC4011\2017-05-20 --exclude "*" --recursive --include "*20170520*" &amp; "%USERPROFILE%\Documents\GitHub\mrs-test-scripts\Headless Mode &amp; Sideloading\WalkAndUnGZ.bat" "%USERPROFILE%\AppData\Local\Temp\OnboardLogs"\RTDC4011\2017-05-20 &amp; aws s3 cp s3://rtdc.mdm.uploadarchive.raw/RTDC4011/ "%USERPROFILE%\AppData\Local\Temp\OnboardLogs"\RTDC4011\2017-05-21 --exclude "*" --recursive --include "*20170521*" &amp; "%USERPROFILE%\Documents\GitHub\mrs-test-scripts\Headless Mode &amp; Sideloading\WalkAndUnGZ.bat" "%USERPROFILE%\AppData\Local\Temp\OnboardLogs"\RTDC4011\2017-05-21</v>
      </c>
      <c r="AF47" s="77" t="str">
        <f t="shared" si="13"/>
        <v>"C:\Program Files (x86)\AstroGrep\AstroGrep.exe" /e /r /s /spath="%USERPROFILE%\AppData\Local\Temp\OnboardLogs" /stypes="app*4011*20170520*" /stext=" 15:.+((SYSTEM_STATE.+slice.+state.+changed )|(ment ac)|(multiple cpu faults)|(system.+state.+changed )|(\[timeout)|(PRM\|1\|D)|(kpr)|(kdp)|(train st.+moving)|(\|lc)|(penalty))"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134-20 --locoid 4011 --swversion DE.1.0.9.0 --startMP 204:233011 --initTime 2017-05-20T08:28:00 --startdatetime 2017-05-20T08:41:34 --delay 0 --endMP 204:156 --enddatetime 2017-05-20T09:19:39 --enforcementcount 0 &gt;&gt;C:\Users\stu\Documents\GitHub\eaglep3-reporting\EC\2017-05-20-refined-times.txt</v>
      </c>
      <c r="AI47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{"issue":{"subject":"","project_id":79,"tracker_id":40,"status_id":1,"priority_id":2,"assigned_to_id":23,"start_date":"2017-05-20","description":"","custom_fields":[{"id":1,"name":"Subdivision","value":"EC"},{"id":4,"name":"Milepost","value":"0.0156"},{"id":17,"name":"Train ID","value":"134-20"},{"id":16,"name":"Locomotive ID","value":"4011"},{"id":130,"name":"Impact","value":""},{"id":150,"name":"Time of Event (Mountain Time)","value":"09:19:39"},{"id":151,"name":"Denver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4011 --day 2017-05-20</v>
      </c>
      <c r="AN47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15:19:39"},{"id":29,"name":"Sharepoint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703</v>
      </c>
      <c r="B48" s="7">
        <v>4022</v>
      </c>
      <c r="C48" s="21" t="s">
        <v>206</v>
      </c>
      <c r="D48" s="21" t="s">
        <v>466</v>
      </c>
      <c r="E48" s="13">
        <v>42875.329826388886</v>
      </c>
      <c r="F48" s="13">
        <v>42875.333472222221</v>
      </c>
      <c r="G48" s="7">
        <v>1</v>
      </c>
      <c r="H48" s="21" t="s">
        <v>492</v>
      </c>
      <c r="I48" s="13">
        <v>42875.359201388892</v>
      </c>
      <c r="J48" s="7">
        <v>0</v>
      </c>
      <c r="K48" s="92" t="str">
        <f t="shared" si="0"/>
        <v>4021/4022</v>
      </c>
      <c r="L48" s="21" t="str">
        <f>VLOOKUP(A48,'Trips&amp;Operators'!$C$1:$G$99999,5,FALSE)</f>
        <v>DAVIS WENDY</v>
      </c>
      <c r="M48" s="6">
        <f t="shared" si="1"/>
        <v>2.5729166671226267E-2</v>
      </c>
      <c r="N48" s="7">
        <f t="shared" si="24"/>
        <v>37.050000006565824</v>
      </c>
      <c r="O48" s="7"/>
      <c r="P48" s="7"/>
      <c r="Q48" s="22"/>
      <c r="R48" s="190"/>
      <c r="S48" s="196">
        <f t="shared" si="25"/>
        <v>1</v>
      </c>
      <c r="T48" s="190" t="str">
        <f t="shared" si="4"/>
        <v>NorthBound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 t="shared" si="5"/>
        <v>https://d0f6bd738d7f1b3e5a7ca70fe4ff75f0.us-east-1.aws.found.io/app/kibana#/discover/Steve-Slow-Train-Analysis-(2080s-and-2083s)?_g=(refreshInterval:(display:Off,pause:!f,section:0,value:0),time:(from:'2017-05-20T06:54:57-0600',mode:absolute,to:'2017-05-20T09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8" s="192" t="str">
        <f t="shared" si="6"/>
        <v>N</v>
      </c>
      <c r="X48" s="192">
        <f t="shared" si="26"/>
        <v>1</v>
      </c>
      <c r="Y48" s="192">
        <f t="shared" si="8"/>
        <v>4.7100000000000003E-2</v>
      </c>
      <c r="Z48" s="192">
        <f t="shared" si="9"/>
        <v>23.3325</v>
      </c>
      <c r="AA48" s="192">
        <f t="shared" si="10"/>
        <v>23.285399999999999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1"/>
        <v>0135-20</v>
      </c>
      <c r="AE48" s="80" t="str">
        <f t="shared" si="12"/>
        <v>aws s3 cp s3://rtdc.mdm.uploadarchive.raw/RTDC4022/ "%USERPROFILE%\AppData\Local\Temp\OnboardLogs"\RTDC4022\2017-05-20 --exclude "*" --recursive --include "*20170520*" &amp; "%USERPROFILE%\Documents\GitHub\mrs-test-scripts\Headless Mode &amp; Sideloading\WalkAndUnGZ.bat" "%USERPROFILE%\AppData\Local\Temp\OnboardLogs"\RTDC4022\2017-05-20 &amp; aws s3 cp s3://rtdc.mdm.uploadarchive.raw/RTDC4022/ "%USERPROFILE%\AppData\Local\Temp\OnboardLogs"\RTDC4022\2017-05-21 --exclude "*" --recursive --include "*20170521*" &amp; "%USERPROFILE%\Documents\GitHub\mrs-test-scripts\Headless Mode &amp; Sideloading\WalkAndUnGZ.bat" "%USERPROFILE%\AppData\Local\Temp\OnboardLogs"\RTDC4022\2017-05-21</v>
      </c>
      <c r="AF48" s="77" t="str">
        <f t="shared" si="13"/>
        <v>"C:\Program Files (x86)\AstroGrep\AstroGrep.exe" /e /r /s /spath="%USERPROFILE%\AppData\Local\Temp\OnboardLogs" /stypes="app*4022*20170520*" /stext=" 14:.+((SYSTEM_STATE.+slice.+state.+changed )|(ment ac)|(multiple cpu faults)|(system.+state.+changed )|(\[timeout)|(PRM\|1\|D)|(kpr)|(kdp)|(train st.+moving)|(\|lc)|(penalty))"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135-20 --locoid 4022 --swversion DE.1.0.9.0 --startMP 204:471 --initTime 2017-05-20T07:54:57 --startdatetime 2017-05-20T08:00:12 --delay 1 --endMP 204:233325 --enddatetime 2017-05-20T08:37:15 --enforcementcount 0 &gt;&gt;C:\Users\stu\Documents\GitHub\eaglep3-reporting\EC\2017-05-20-refined-times.txt</v>
      </c>
      <c r="AI48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{"issue":{"subject":"","project_id":79,"tracker_id":40,"status_id":1,"priority_id":2,"assigned_to_id":23,"start_date":"2017-05-20","description":"","custom_fields":[{"id":1,"name":"Subdivision","value":"EC"},{"id":4,"name":"Milepost","value":"23.3325"},{"id":17,"name":"Train ID","value":"135-20"},{"id":16,"name":"Locomotive ID","value":"4022"},{"id":130,"name":"Impact","value":""},{"id":150,"name":"Time of Event (Mountain Time)","value":"08:37:15"},{"id":151,"name":"Denver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4022 --day 2017-05-20</v>
      </c>
      <c r="AN48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14:37:15"},{"id":29,"name":"Sharepoint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596</v>
      </c>
      <c r="B49" s="7">
        <v>4021</v>
      </c>
      <c r="C49" s="21" t="s">
        <v>206</v>
      </c>
      <c r="D49" s="21" t="s">
        <v>863</v>
      </c>
      <c r="E49" s="13">
        <v>42875.369409722225</v>
      </c>
      <c r="F49" s="13">
        <v>42875.372384259259</v>
      </c>
      <c r="G49" s="7">
        <v>1</v>
      </c>
      <c r="H49" s="21" t="s">
        <v>358</v>
      </c>
      <c r="I49" s="13">
        <v>42875.40042824074</v>
      </c>
      <c r="J49" s="7">
        <v>0</v>
      </c>
      <c r="K49" s="92" t="str">
        <f t="shared" si="0"/>
        <v>4021/4022</v>
      </c>
      <c r="L49" s="21" t="str">
        <f>VLOOKUP(A49,'Trips&amp;Operators'!$C$1:$G$99999,5,FALSE)</f>
        <v>DAVIS WENDY</v>
      </c>
      <c r="M49" s="6">
        <f t="shared" si="1"/>
        <v>2.8043981481459923E-2</v>
      </c>
      <c r="N49" s="7">
        <f t="shared" si="24"/>
        <v>40.383333333302289</v>
      </c>
      <c r="O49" s="7"/>
      <c r="P49" s="7"/>
      <c r="Q49" s="22"/>
      <c r="R49" s="190"/>
      <c r="S49" s="196">
        <f t="shared" si="25"/>
        <v>1</v>
      </c>
      <c r="T49" s="190" t="str">
        <f t="shared" si="4"/>
        <v>Southbound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 t="shared" si="5"/>
        <v>https://d0f6bd738d7f1b3e5a7ca70fe4ff75f0.us-east-1.aws.found.io/app/kibana#/discover/Steve-Slow-Train-Analysis-(2080s-and-2083s)?_g=(refreshInterval:(display:Off,pause:!f,section:0,value:0),time:(from:'2017-05-20T07:51:57-0600',mode:absolute,to:'2017-05-20T10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9" s="192" t="str">
        <f t="shared" si="6"/>
        <v>N</v>
      </c>
      <c r="X49" s="192">
        <f t="shared" si="26"/>
        <v>1</v>
      </c>
      <c r="Y49" s="192">
        <f t="shared" si="8"/>
        <v>23.300999999999998</v>
      </c>
      <c r="Z49" s="192">
        <f t="shared" si="9"/>
        <v>1.43E-2</v>
      </c>
      <c r="AA49" s="192">
        <f t="shared" si="10"/>
        <v>23.2867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0136-20</v>
      </c>
      <c r="AE49" s="80" t="str">
        <f t="shared" si="12"/>
        <v>aws s3 cp s3://rtdc.mdm.uploadarchive.raw/RTDC4021/ "%USERPROFILE%\AppData\Local\Temp\OnboardLogs"\RTDC4021\2017-05-20 --exclude "*" --recursive --include "*20170520*" &amp; "%USERPROFILE%\Documents\GitHub\mrs-test-scripts\Headless Mode &amp; Sideloading\WalkAndUnGZ.bat" "%USERPROFILE%\AppData\Local\Temp\OnboardLogs"\RTDC4021\2017-05-20 &amp; aws s3 cp s3://rtdc.mdm.uploadarchive.raw/RTDC4021/ "%USERPROFILE%\AppData\Local\Temp\OnboardLogs"\RTDC4021\2017-05-21 --exclude "*" --recursive --include "*20170521*" &amp; "%USERPROFILE%\Documents\GitHub\mrs-test-scripts\Headless Mode &amp; Sideloading\WalkAndUnGZ.bat" "%USERPROFILE%\AppData\Local\Temp\OnboardLogs"\RTDC4021\2017-05-21</v>
      </c>
      <c r="AF49" s="77" t="str">
        <f t="shared" si="13"/>
        <v>"C:\Program Files (x86)\AstroGrep\AstroGrep.exe" /e /r /s /spath="%USERPROFILE%\AppData\Local\Temp\OnboardLogs" /stypes="app*4021*20170520*" /stext=" 15:.+((SYSTEM_STATE.+slice.+state.+changed )|(ment ac)|(multiple cpu faults)|(system.+state.+changed )|(\[timeout)|(PRM\|1\|D)|(kpr)|(kdp)|(train st.+moving)|(\|lc)|(penalty))"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136-20 --locoid 4021 --swversion DE.1.0.9.0 --startMP 204:233010 --initTime 2017-05-20T08:51:57 --startdatetime 2017-05-20T08:56:14 --delay 1 --endMP 204:143 --enddatetime 2017-05-20T09:36:37 --enforcementcount 0 &gt;&gt;C:\Users\stu\Documents\GitHub\eaglep3-reporting\EC\2017-05-20-refined-times.txt</v>
      </c>
      <c r="AI49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{"issue":{"subject":"","project_id":79,"tracker_id":40,"status_id":1,"priority_id":2,"assigned_to_id":23,"start_date":"2017-05-20","description":"","custom_fields":[{"id":1,"name":"Subdivision","value":"EC"},{"id":4,"name":"Milepost","value":"0.0143"},{"id":17,"name":"Train ID","value":"136-20"},{"id":16,"name":"Locomotive ID","value":"4021"},{"id":130,"name":"Impact","value":""},{"id":150,"name":"Time of Event (Mountain Time)","value":"09:36:37"},{"id":151,"name":"Denver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4021 --day 2017-05-20</v>
      </c>
      <c r="AN49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15:36:37"},{"id":29,"name":"Sharepoint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704</v>
      </c>
      <c r="B50" s="7">
        <v>4002</v>
      </c>
      <c r="C50" s="21" t="s">
        <v>206</v>
      </c>
      <c r="D50" s="21" t="s">
        <v>362</v>
      </c>
      <c r="E50" s="13">
        <v>42875.33965277778</v>
      </c>
      <c r="F50" s="13">
        <v>42875.344108796293</v>
      </c>
      <c r="G50" s="7">
        <v>1</v>
      </c>
      <c r="H50" s="21" t="s">
        <v>491</v>
      </c>
      <c r="I50" s="13">
        <v>42875.368449074071</v>
      </c>
      <c r="J50" s="7">
        <v>0</v>
      </c>
      <c r="K50" s="92" t="str">
        <f t="shared" si="0"/>
        <v>4001/4002</v>
      </c>
      <c r="L50" s="21" t="str">
        <f>VLOOKUP(A50,'Trips&amp;Operators'!$C$1:$G$99999,5,FALSE)</f>
        <v>SANTIZO D. EDY</v>
      </c>
      <c r="M50" s="6">
        <f t="shared" si="1"/>
        <v>2.4340277777810115E-2</v>
      </c>
      <c r="N50" s="7">
        <f t="shared" si="24"/>
        <v>35.050000000046566</v>
      </c>
      <c r="O50" s="7"/>
      <c r="P50" s="7"/>
      <c r="Q50" s="22"/>
      <c r="R50" s="190"/>
      <c r="S50" s="196">
        <f t="shared" si="25"/>
        <v>1</v>
      </c>
      <c r="T50" s="190" t="str">
        <f t="shared" si="4"/>
        <v>NorthBound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 t="shared" si="5"/>
        <v>https://d0f6bd738d7f1b3e5a7ca70fe4ff75f0.us-east-1.aws.found.io/app/kibana#/discover/Steve-Slow-Train-Analysis-(2080s-and-2083s)?_g=(refreshInterval:(display:Off,pause:!f,section:0,value:0),time:(from:'2017-05-20T07:09:06-0600',mode:absolute,to:'2017-05-20T09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0" s="192" t="str">
        <f t="shared" si="6"/>
        <v>N</v>
      </c>
      <c r="X50" s="192">
        <f t="shared" si="26"/>
        <v>1</v>
      </c>
      <c r="Y50" s="192">
        <f t="shared" si="8"/>
        <v>4.6399999999999997E-2</v>
      </c>
      <c r="Z50" s="192">
        <f t="shared" si="9"/>
        <v>23.329899999999999</v>
      </c>
      <c r="AA50" s="192">
        <f t="shared" si="10"/>
        <v>23.2835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0137-20</v>
      </c>
      <c r="AE50" s="80" t="str">
        <f t="shared" si="12"/>
        <v>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 &amp; aws s3 cp s3://rtdc.mdm.uploadarchive.raw/RTDC4002/ "%USERPROFILE%\AppData\Local\Temp\OnboardLogs"\RTDC4002\2017-05-21 --exclude "*" --recursive --include "*20170521*" &amp; "%USERPROFILE%\Documents\GitHub\mrs-test-scripts\Headless Mode &amp; Sideloading\WalkAndUnGZ.bat" "%USERPROFILE%\AppData\Local\Temp\OnboardLogs"\RTDC4002\2017-05-21</v>
      </c>
      <c r="AF50" s="77" t="str">
        <f t="shared" si="13"/>
        <v>"C:\Program Files (x86)\AstroGrep\AstroGrep.exe" /e /r /s /spath="%USERPROFILE%\AppData\Local\Temp\OnboardLogs" /stypes="app*4002*20170520*" /stext=" 14:.+((SYSTEM_STATE.+slice.+state.+changed )|(ment ac)|(multiple cpu faults)|(system.+state.+changed )|(\[timeout)|(PRM\|1\|D)|(kpr)|(kdp)|(train st.+moving)|(\|lc)|(penalty))"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137-20 --locoid 4002 --swversion DE.1.0.9.0 --startMP 204:464 --initTime 2017-05-20T08:09:06 --startdatetime 2017-05-20T08:15:31 --delay 1 --endMP 204:233299 --enddatetime 2017-05-20T08:50:34 --enforcementcount 0 &gt;&gt;C:\Users\stu\Documents\GitHub\eaglep3-reporting\EC\2017-05-20-refined-times.txt</v>
      </c>
      <c r="AI50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{"issue":{"subject":"","project_id":79,"tracker_id":40,"status_id":1,"priority_id":2,"assigned_to_id":23,"start_date":"2017-05-20","description":"","custom_fields":[{"id":1,"name":"Subdivision","value":"EC"},{"id":4,"name":"Milepost","value":"23.3299"},{"id":17,"name":"Train ID","value":"137-20"},{"id":16,"name":"Locomotive ID","value":"4002"},{"id":130,"name":"Impact","value":""},{"id":150,"name":"Time of Event (Mountain Time)","value":"08:50:34"},{"id":151,"name":"Denver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4002 --day 2017-05-20</v>
      </c>
      <c r="AN50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14:50:34"},{"id":29,"name":"Sharepoint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597</v>
      </c>
      <c r="B51" s="7">
        <v>4001</v>
      </c>
      <c r="C51" s="21" t="s">
        <v>206</v>
      </c>
      <c r="D51" s="21" t="s">
        <v>864</v>
      </c>
      <c r="E51" s="13">
        <v>42875.369375000002</v>
      </c>
      <c r="F51" s="13">
        <v>42875.382800925923</v>
      </c>
      <c r="G51" s="7">
        <v>1</v>
      </c>
      <c r="H51" s="21" t="s">
        <v>198</v>
      </c>
      <c r="I51" s="13">
        <v>42875.410312499997</v>
      </c>
      <c r="J51" s="7">
        <v>0</v>
      </c>
      <c r="K51" s="92" t="str">
        <f t="shared" si="0"/>
        <v>4001/4002</v>
      </c>
      <c r="L51" s="21" t="str">
        <f>VLOOKUP(A51,'Trips&amp;Operators'!$C$1:$G$99999,5,FALSE)</f>
        <v>SANTIZO D. EDY</v>
      </c>
      <c r="M51" s="6">
        <f t="shared" si="1"/>
        <v>2.7511574073287193E-2</v>
      </c>
      <c r="N51" s="7">
        <f t="shared" si="24"/>
        <v>39.616666665533558</v>
      </c>
      <c r="O51" s="7"/>
      <c r="P51" s="7"/>
      <c r="Q51" s="22"/>
      <c r="R51" s="190"/>
      <c r="S51" s="196">
        <f t="shared" si="25"/>
        <v>1</v>
      </c>
      <c r="T51" s="190" t="str">
        <f t="shared" si="4"/>
        <v>Southbound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 t="shared" si="5"/>
        <v>https://d0f6bd738d7f1b3e5a7ca70fe4ff75f0.us-east-1.aws.found.io/app/kibana#/discover/Steve-Slow-Train-Analysis-(2080s-and-2083s)?_g=(refreshInterval:(display:Off,pause:!f,section:0,value:0),time:(from:'2017-05-20T07:51:54-0600',mode:absolute,to:'2017-05-20T10:50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1" s="192" t="str">
        <f t="shared" si="6"/>
        <v>N</v>
      </c>
      <c r="X51" s="192">
        <f t="shared" si="26"/>
        <v>1</v>
      </c>
      <c r="Y51" s="192">
        <f t="shared" si="8"/>
        <v>23.299800000000001</v>
      </c>
      <c r="Z51" s="192">
        <f t="shared" si="9"/>
        <v>1.5800000000000002E-2</v>
      </c>
      <c r="AA51" s="192">
        <f t="shared" si="10"/>
        <v>23.284000000000002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0138-20</v>
      </c>
      <c r="AE51" s="80" t="str">
        <f t="shared" si="12"/>
        <v>aws s3 cp s3://rtdc.mdm.uploadarchive.raw/RTDC4001/ "%USERPROFILE%\AppData\Local\Temp\OnboardLogs"\RTDC4001\2017-05-20 --exclude "*" --recursive --include "*20170520*" &amp; "%USERPROFILE%\Documents\GitHub\mrs-test-scripts\Headless Mode &amp; Sideloading\WalkAndUnGZ.bat" "%USERPROFILE%\AppData\Local\Temp\OnboardLogs"\RTDC4001\2017-05-20 &amp; aws s3 cp s3://rtdc.mdm.uploadarchive.raw/RTDC4001/ "%USERPROFILE%\AppData\Local\Temp\OnboardLogs"\RTDC4001\2017-05-21 --exclude "*" --recursive --include "*20170521*" &amp; "%USERPROFILE%\Documents\GitHub\mrs-test-scripts\Headless Mode &amp; Sideloading\WalkAndUnGZ.bat" "%USERPROFILE%\AppData\Local\Temp\OnboardLogs"\RTDC4001\2017-05-21</v>
      </c>
      <c r="AF51" s="77" t="str">
        <f t="shared" si="13"/>
        <v>"C:\Program Files (x86)\AstroGrep\AstroGrep.exe" /e /r /s /spath="%USERPROFILE%\AppData\Local\Temp\OnboardLogs" /stypes="app*4001*20170520*" /stext=" 15:.+((SYSTEM_STATE.+slice.+state.+changed )|(ment ac)|(multiple cpu faults)|(system.+state.+changed )|(\[timeout)|(PRM\|1\|D)|(kpr)|(kdp)|(train st.+moving)|(\|lc)|(penalty))"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138-20 --locoid 4001 --swversion DE.1.0.9.0 --startMP 204:232998 --initTime 2017-05-20T08:51:54 --startdatetime 2017-05-20T09:11:14 --delay 1 --endMP 204:158 --enddatetime 2017-05-20T09:50:51 --enforcementcount 0 &gt;&gt;C:\Users\stu\Documents\GitHub\eaglep3-reporting\EC\2017-05-20-refined-times.txt</v>
      </c>
      <c r="AI51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{"issue":{"subject":"","project_id":79,"tracker_id":40,"status_id":1,"priority_id":2,"assigned_to_id":23,"start_date":"2017-05-20","description":"","custom_fields":[{"id":1,"name":"Subdivision","value":"EC"},{"id":4,"name":"Milepost","value":"0.0158"},{"id":17,"name":"Train ID","value":"138-20"},{"id":16,"name":"Locomotive ID","value":"4001"},{"id":130,"name":"Impact","value":""},{"id":150,"name":"Time of Event (Mountain Time)","value":"09:50:51"},{"id":151,"name":"Denver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4001 --day 2017-05-20</v>
      </c>
      <c r="AN51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15:50:51"},{"id":29,"name":"Sharepoint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708</v>
      </c>
      <c r="B52" s="7">
        <v>4056</v>
      </c>
      <c r="C52" s="21" t="s">
        <v>206</v>
      </c>
      <c r="D52" s="21" t="s">
        <v>365</v>
      </c>
      <c r="E52" s="13">
        <v>42875.350763888891</v>
      </c>
      <c r="F52" s="13">
        <v>42875.354548611111</v>
      </c>
      <c r="G52" s="7">
        <v>1</v>
      </c>
      <c r="H52" s="21" t="s">
        <v>467</v>
      </c>
      <c r="I52" s="13">
        <v>42875.37903935185</v>
      </c>
      <c r="J52" s="7">
        <v>0</v>
      </c>
      <c r="K52" s="92" t="str">
        <f t="shared" si="0"/>
        <v>4055/4056</v>
      </c>
      <c r="L52" s="21" t="str">
        <f>VLOOKUP(A52,'Trips&amp;Operators'!$C$1:$G$99999,5,FALSE)</f>
        <v>LOZA FIDEL</v>
      </c>
      <c r="M52" s="6">
        <f t="shared" si="1"/>
        <v>2.4490740739565808E-2</v>
      </c>
      <c r="N52" s="7">
        <f t="shared" si="24"/>
        <v>35.266666664974764</v>
      </c>
      <c r="O52" s="7"/>
      <c r="P52" s="7"/>
      <c r="Q52" s="22"/>
      <c r="R52" s="190"/>
      <c r="S52" s="196">
        <f t="shared" si="25"/>
        <v>1</v>
      </c>
      <c r="T52" s="190" t="str">
        <f t="shared" si="4"/>
        <v>NorthBound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 t="shared" si="5"/>
        <v>https://d0f6bd738d7f1b3e5a7ca70fe4ff75f0.us-east-1.aws.found.io/app/kibana#/discover/Steve-Slow-Train-Analysis-(2080s-and-2083s)?_g=(refreshInterval:(display:Off,pause:!f,section:0,value:0),time:(from:'2017-05-20T07:25:06-0600',mode:absolute,to:'2017-05-20T10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2" s="192" t="str">
        <f t="shared" si="6"/>
        <v>N</v>
      </c>
      <c r="X52" s="192">
        <f t="shared" si="26"/>
        <v>1</v>
      </c>
      <c r="Y52" s="192">
        <f t="shared" si="8"/>
        <v>4.4400000000000002E-2</v>
      </c>
      <c r="Z52" s="192">
        <f t="shared" si="9"/>
        <v>23.331399999999999</v>
      </c>
      <c r="AA52" s="192">
        <f t="shared" si="10"/>
        <v>23.286999999999999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1"/>
        <v>0139-20</v>
      </c>
      <c r="AE52" s="80" t="str">
        <f t="shared" si="12"/>
        <v>aws s3 cp s3://rtdc.mdm.uploadarchive.raw/RTDC4056/ "%USERPROFILE%\AppData\Local\Temp\OnboardLogs"\RTDC4056\2017-05-20 --exclude "*" --recursive --include "*20170520*" &amp; "%USERPROFILE%\Documents\GitHub\mrs-test-scripts\Headless Mode &amp; Sideloading\WalkAndUnGZ.bat" "%USERPROFILE%\AppData\Local\Temp\OnboardLogs"\RTDC4056\2017-05-20 &amp; aws s3 cp s3://rtdc.mdm.uploadarchive.raw/RTDC4056/ "%USERPROFILE%\AppData\Local\Temp\OnboardLogs"\RTDC4056\2017-05-21 --exclude "*" --recursive --include "*20170521*" &amp; "%USERPROFILE%\Documents\GitHub\mrs-test-scripts\Headless Mode &amp; Sideloading\WalkAndUnGZ.bat" "%USERPROFILE%\AppData\Local\Temp\OnboardLogs"\RTDC4056\2017-05-21</v>
      </c>
      <c r="AF52" s="77" t="str">
        <f t="shared" si="13"/>
        <v>"C:\Program Files (x86)\AstroGrep\AstroGrep.exe" /e /r /s /spath="%USERPROFILE%\AppData\Local\Temp\OnboardLogs" /stypes="app*4056*20170520*" /stext=" 15:.+((SYSTEM_STATE.+slice.+state.+changed )|(ment ac)|(multiple cpu faults)|(system.+state.+changed )|(\[timeout)|(PRM\|1\|D)|(kpr)|(kdp)|(train st.+moving)|(\|lc)|(penalty))"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139-20 --locoid 4056 --swversion DE.1.0.9.0 --startMP 204:444 --initTime 2017-05-20T08:25:06 --startdatetime 2017-05-20T08:30:33 --delay 1 --endMP 204:233314 --enddatetime 2017-05-20T09:05:49 --enforcementcount 0 &gt;&gt;C:\Users\stu\Documents\GitHub\eaglep3-reporting\EC\2017-05-20-refined-times.txt</v>
      </c>
      <c r="AI52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{"issue":{"subject":"","project_id":79,"tracker_id":40,"status_id":1,"priority_id":2,"assigned_to_id":23,"start_date":"2017-05-20","description":"","custom_fields":[{"id":1,"name":"Subdivision","value":"EC"},{"id":4,"name":"Milepost","value":"23.3314"},{"id":17,"name":"Train ID","value":"139-20"},{"id":16,"name":"Locomotive ID","value":"4056"},{"id":130,"name":"Impact","value":""},{"id":150,"name":"Time of Event (Mountain Time)","value":"09:05:49"},{"id":151,"name":"Denver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4056 --day 2017-05-20</v>
      </c>
      <c r="AN52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15:05:49"},{"id":29,"name":"Sharepoint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714</v>
      </c>
      <c r="B53" s="7">
        <v>4055</v>
      </c>
      <c r="C53" s="21" t="s">
        <v>206</v>
      </c>
      <c r="D53" s="21" t="s">
        <v>470</v>
      </c>
      <c r="E53" s="13">
        <v>42875.381793981483</v>
      </c>
      <c r="F53" s="13">
        <v>42875.39334490741</v>
      </c>
      <c r="G53" s="7">
        <v>1</v>
      </c>
      <c r="H53" s="21" t="s">
        <v>197</v>
      </c>
      <c r="I53" s="13">
        <v>42875.419618055559</v>
      </c>
      <c r="J53" s="7">
        <v>0</v>
      </c>
      <c r="K53" s="92" t="str">
        <f t="shared" si="0"/>
        <v>4055/4056</v>
      </c>
      <c r="L53" s="21" t="str">
        <f>VLOOKUP(A53,'Trips&amp;Operators'!$C$1:$G$99999,5,FALSE)</f>
        <v>LOZA FIDEL</v>
      </c>
      <c r="M53" s="6">
        <f t="shared" si="1"/>
        <v>2.6273148148902692E-2</v>
      </c>
      <c r="N53" s="7">
        <f t="shared" si="24"/>
        <v>37.833333334419876</v>
      </c>
      <c r="O53" s="7"/>
      <c r="P53" s="7"/>
      <c r="Q53" s="22"/>
      <c r="R53" s="190"/>
      <c r="S53" s="196">
        <f t="shared" si="25"/>
        <v>1</v>
      </c>
      <c r="T53" s="190" t="str">
        <f t="shared" si="4"/>
        <v>Southbound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 t="shared" si="5"/>
        <v>https://d0f6bd738d7f1b3e5a7ca70fe4ff75f0.us-east-1.aws.found.io/app/kibana#/discover/Steve-Slow-Train-Analysis-(2080s-and-2083s)?_g=(refreshInterval:(display:Off,pause:!f,section:0,value:0),time:(from:'2017-05-20T08:09:47-0600',mode:absolute,to:'2017-05-20T11:04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3" s="192" t="str">
        <f t="shared" si="6"/>
        <v>N</v>
      </c>
      <c r="X53" s="192">
        <f t="shared" si="26"/>
        <v>1</v>
      </c>
      <c r="Y53" s="192">
        <f t="shared" si="8"/>
        <v>23.3</v>
      </c>
      <c r="Z53" s="192">
        <f t="shared" si="9"/>
        <v>1.52E-2</v>
      </c>
      <c r="AA53" s="192">
        <f t="shared" si="10"/>
        <v>23.284800000000001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1"/>
        <v>0140-20</v>
      </c>
      <c r="AE53" s="80" t="str">
        <f t="shared" si="12"/>
        <v>aws s3 cp s3://rtdc.mdm.uploadarchive.raw/RTDC4055/ "%USERPROFILE%\AppData\Local\Temp\OnboardLogs"\RTDC4055\2017-05-20 --exclude "*" --recursive --include "*20170520*" &amp; "%USERPROFILE%\Documents\GitHub\mrs-test-scripts\Headless Mode &amp; Sideloading\WalkAndUnGZ.bat" "%USERPROFILE%\AppData\Local\Temp\OnboardLogs"\RTDC4055\2017-05-20 &amp; aws s3 cp s3://rtdc.mdm.uploadarchive.raw/RTDC4055/ "%USERPROFILE%\AppData\Local\Temp\OnboardLogs"\RTDC4055\2017-05-21 --exclude "*" --recursive --include "*20170521*" &amp; "%USERPROFILE%\Documents\GitHub\mrs-test-scripts\Headless Mode &amp; Sideloading\WalkAndUnGZ.bat" "%USERPROFILE%\AppData\Local\Temp\OnboardLogs"\RTDC4055\2017-05-21</v>
      </c>
      <c r="AF53" s="77" t="str">
        <f t="shared" si="13"/>
        <v>"C:\Program Files (x86)\AstroGrep\AstroGrep.exe" /e /r /s /spath="%USERPROFILE%\AppData\Local\Temp\OnboardLogs" /stypes="app*4055*20170520*" /stext=" 16:.+((SYSTEM_STATE.+slice.+state.+changed )|(ment ac)|(multiple cpu faults)|(system.+state.+changed )|(\[timeout)|(PRM\|1\|D)|(kpr)|(kdp)|(train st.+moving)|(\|lc)|(penalty))"</v>
      </c>
      <c r="AG53" s="1" t="str">
        <f t="shared" si="14"/>
        <v>EC</v>
      </c>
      <c r="AH53" s="81" t="str">
        <f t="shared" si="19"/>
        <v>"%USERPROFILE%\Documents\GitHub\eaglep3\Utilities\RefineRTDCRunTimes.py" --tripid 140-20 --locoid 4055 --swversion DE.1.0.9.0 --startMP 204:233000 --initTime 2017-05-20T09:09:47 --startdatetime 2017-05-20T09:26:25 --delay 1 --endMP 204:152 --enddatetime 2017-05-20T10:04:15 --enforcementcount 0 &gt;&gt;C:\Users\stu\Documents\GitHub\eaglep3-reporting\EC\2017-05-20-refined-times.txt</v>
      </c>
      <c r="AI53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{"issue":{"subject":"","project_id":79,"tracker_id":40,"status_id":1,"priority_id":2,"assigned_to_id":23,"start_date":"2017-05-20","description":"","custom_fields":[{"id":1,"name":"Subdivision","value":"EC"},{"id":4,"name":"Milepost","value":"0.0152"},{"id":17,"name":"Train ID","value":"140-20"},{"id":16,"name":"Locomotive ID","value":"4055"},{"id":130,"name":"Impact","value":""},{"id":150,"name":"Time of Event (Mountain Time)","value":"10:04:15"},{"id":151,"name":"Denver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4055 --day 2017-05-20</v>
      </c>
      <c r="AN53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16:04:15"},{"id":29,"name":"Sharepoint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710</v>
      </c>
      <c r="B54" s="7">
        <v>4008</v>
      </c>
      <c r="C54" s="21" t="s">
        <v>206</v>
      </c>
      <c r="D54" s="21" t="s">
        <v>355</v>
      </c>
      <c r="E54" s="13">
        <v>42875.359444444446</v>
      </c>
      <c r="F54" s="13">
        <v>42875.364803240744</v>
      </c>
      <c r="G54" s="7">
        <v>2</v>
      </c>
      <c r="H54" s="21" t="s">
        <v>865</v>
      </c>
      <c r="I54" s="13">
        <v>42875.389421296299</v>
      </c>
      <c r="J54" s="7">
        <v>0</v>
      </c>
      <c r="K54" s="92" t="str">
        <f t="shared" si="0"/>
        <v>4007/4008</v>
      </c>
      <c r="L54" s="21" t="str">
        <f>VLOOKUP(A54,'Trips&amp;Operators'!$C$1:$G$99999,5,FALSE)</f>
        <v>BADERTSCHER DIANE</v>
      </c>
      <c r="M54" s="6">
        <f t="shared" si="1"/>
        <v>2.4618055555038154E-2</v>
      </c>
      <c r="N54" s="7">
        <f t="shared" si="24"/>
        <v>35.449999999254942</v>
      </c>
      <c r="O54" s="7"/>
      <c r="P54" s="7"/>
      <c r="Q54" s="22"/>
      <c r="R54" s="190"/>
      <c r="S54" s="196">
        <f t="shared" si="25"/>
        <v>1</v>
      </c>
      <c r="T54" s="190" t="str">
        <f t="shared" si="4"/>
        <v>NorthBound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 t="shared" si="5"/>
        <v>https://d0f6bd738d7f1b3e5a7ca70fe4ff75f0.us-east-1.aws.found.io/app/kibana#/discover/Steve-Slow-Train-Analysis-(2080s-and-2083s)?_g=(refreshInterval:(display:Off,pause:!f,section:0,value:0),time:(from:'2017-05-20T07:37:36-0600',mode:absolute,to:'2017-05-20T10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4" s="192" t="str">
        <f t="shared" si="6"/>
        <v>N</v>
      </c>
      <c r="X54" s="192">
        <f t="shared" si="26"/>
        <v>1</v>
      </c>
      <c r="Y54" s="192">
        <f t="shared" si="8"/>
        <v>4.58E-2</v>
      </c>
      <c r="Z54" s="192">
        <f t="shared" si="9"/>
        <v>23.334499999999998</v>
      </c>
      <c r="AA54" s="192">
        <f t="shared" si="10"/>
        <v>23.288699999999999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0141-20</v>
      </c>
      <c r="AE54" s="80" t="str">
        <f t="shared" si="12"/>
        <v>aws s3 cp s3://rtdc.mdm.uploadarchive.raw/RTDC4008/ "%USERPROFILE%\AppData\Local\Temp\OnboardLogs"\RTDC4008\2017-05-20 --exclude "*" --recursive --include "*20170520*" &amp; "%USERPROFILE%\Documents\GitHub\mrs-test-scripts\Headless Mode &amp; Sideloading\WalkAndUnGZ.bat" "%USERPROFILE%\AppData\Local\Temp\OnboardLogs"\RTDC4008\2017-05-20 &amp; aws s3 cp s3://rtdc.mdm.uploadarchive.raw/RTDC4008/ "%USERPROFILE%\AppData\Local\Temp\OnboardLogs"\RTDC4008\2017-05-21 --exclude "*" --recursive --include "*20170521*" &amp; "%USERPROFILE%\Documents\GitHub\mrs-test-scripts\Headless Mode &amp; Sideloading\WalkAndUnGZ.bat" "%USERPROFILE%\AppData\Local\Temp\OnboardLogs"\RTDC4008\2017-05-21</v>
      </c>
      <c r="AF54" s="77" t="str">
        <f t="shared" si="13"/>
        <v>"C:\Program Files (x86)\AstroGrep\AstroGrep.exe" /e /r /s /spath="%USERPROFILE%\AppData\Local\Temp\OnboardLogs" /stypes="app*4008*20170520*" /stext=" 15:.+((SYSTEM_STATE.+slice.+state.+changed )|(ment ac)|(multiple cpu faults)|(system.+state.+changed )|(\[timeout)|(PRM\|1\|D)|(kpr)|(kdp)|(train st.+moving)|(\|lc)|(penalty))"</v>
      </c>
      <c r="AG54" s="1" t="str">
        <f t="shared" si="14"/>
        <v>EC</v>
      </c>
      <c r="AH54" s="81" t="str">
        <f t="shared" si="19"/>
        <v>"%USERPROFILE%\Documents\GitHub\eaglep3\Utilities\RefineRTDCRunTimes.py" --tripid 141-20 --locoid 4008 --swversion DE.1.0.9.0 --startMP 204:458 --initTime 2017-05-20T08:37:36 --startdatetime 2017-05-20T08:45:19 --delay 2 --endMP 204:233345 --enddatetime 2017-05-20T09:20:46 --enforcementcount 0 &gt;&gt;C:\Users\stu\Documents\GitHub\eaglep3-reporting\EC\2017-05-20-refined-times.txt</v>
      </c>
      <c r="AI54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{"issue":{"subject":"","project_id":79,"tracker_id":40,"status_id":1,"priority_id":2,"assigned_to_id":23,"start_date":"2017-05-20","description":"","custom_fields":[{"id":1,"name":"Subdivision","value":"EC"},{"id":4,"name":"Milepost","value":"23.3345"},{"id":17,"name":"Train ID","value":"141-20"},{"id":16,"name":"Locomotive ID","value":"4008"},{"id":130,"name":"Impact","value":""},{"id":150,"name":"Time of Event (Mountain Time)","value":"09:20:46"},{"id":151,"name":"Denver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4008 --day 2017-05-20</v>
      </c>
      <c r="AN54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15:20:46"},{"id":29,"name":"Sharepoint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717</v>
      </c>
      <c r="B55" s="7">
        <v>4007</v>
      </c>
      <c r="C55" s="21" t="s">
        <v>206</v>
      </c>
      <c r="D55" s="21" t="s">
        <v>468</v>
      </c>
      <c r="E55" s="13">
        <v>42875.396203703705</v>
      </c>
      <c r="F55" s="13">
        <v>42875.403807870367</v>
      </c>
      <c r="G55" s="7">
        <v>2</v>
      </c>
      <c r="H55" s="21" t="s">
        <v>866</v>
      </c>
      <c r="I55" s="13">
        <v>42875.431284722225</v>
      </c>
      <c r="J55" s="7">
        <v>0</v>
      </c>
      <c r="K55" s="92" t="str">
        <f t="shared" si="0"/>
        <v>4007/4008</v>
      </c>
      <c r="L55" s="21" t="str">
        <f>VLOOKUP(A55,'Trips&amp;Operators'!$C$1:$G$99999,5,FALSE)</f>
        <v>BADERTSCHER DIANE</v>
      </c>
      <c r="M55" s="6">
        <f t="shared" si="1"/>
        <v>2.7476851857500151E-2</v>
      </c>
      <c r="N55" s="7">
        <f t="shared" si="24"/>
        <v>39.566666674800217</v>
      </c>
      <c r="O55" s="7"/>
      <c r="P55" s="7"/>
      <c r="Q55" s="22"/>
      <c r="R55" s="190"/>
      <c r="S55" s="196">
        <f t="shared" si="25"/>
        <v>1</v>
      </c>
      <c r="T55" s="190" t="str">
        <f t="shared" si="4"/>
        <v>Southbound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 t="shared" si="5"/>
        <v>https://d0f6bd738d7f1b3e5a7ca70fe4ff75f0.us-east-1.aws.found.io/app/kibana#/discover/Steve-Slow-Train-Analysis-(2080s-and-2083s)?_g=(refreshInterval:(display:Off,pause:!f,section:0,value:0),time:(from:'2017-05-20T08:30:32-0600',mode:absolute,to:'2017-05-20T11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5" s="192" t="str">
        <f t="shared" si="6"/>
        <v>N</v>
      </c>
      <c r="X55" s="192">
        <f t="shared" si="26"/>
        <v>1</v>
      </c>
      <c r="Y55" s="192">
        <f t="shared" si="8"/>
        <v>23.299199999999999</v>
      </c>
      <c r="Z55" s="192">
        <f t="shared" si="9"/>
        <v>1.2999999999999999E-2</v>
      </c>
      <c r="AA55" s="192">
        <f t="shared" si="10"/>
        <v>23.286199999999997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1"/>
        <v>0142-20</v>
      </c>
      <c r="AE55" s="80" t="str">
        <f t="shared" si="12"/>
        <v>aws s3 cp s3://rtdc.mdm.uploadarchive.raw/RTDC4007/ "%USERPROFILE%\AppData\Local\Temp\OnboardLogs"\RTDC4007\2017-05-20 --exclude "*" --recursive --include "*20170520*" &amp; "%USERPROFILE%\Documents\GitHub\mrs-test-scripts\Headless Mode &amp; Sideloading\WalkAndUnGZ.bat" "%USERPROFILE%\AppData\Local\Temp\OnboardLogs"\RTDC4007\2017-05-20 &amp; aws s3 cp s3://rtdc.mdm.uploadarchive.raw/RTDC4007/ "%USERPROFILE%\AppData\Local\Temp\OnboardLogs"\RTDC4007\2017-05-21 --exclude "*" --recursive --include "*20170521*" &amp; "%USERPROFILE%\Documents\GitHub\mrs-test-scripts\Headless Mode &amp; Sideloading\WalkAndUnGZ.bat" "%USERPROFILE%\AppData\Local\Temp\OnboardLogs"\RTDC4007\2017-05-21</v>
      </c>
      <c r="AF55" s="77" t="str">
        <f t="shared" si="13"/>
        <v>"C:\Program Files (x86)\AstroGrep\AstroGrep.exe" /e /r /s /spath="%USERPROFILE%\AppData\Local\Temp\OnboardLogs" /stypes="app*4007*20170520*" /stext=" 16:.+((SYSTEM_STATE.+slice.+state.+changed )|(ment ac)|(multiple cpu faults)|(system.+state.+changed )|(\[timeout)|(PRM\|1\|D)|(kpr)|(kdp)|(train st.+moving)|(\|lc)|(penalty))"</v>
      </c>
      <c r="AG55" s="1" t="str">
        <f t="shared" si="14"/>
        <v>EC</v>
      </c>
      <c r="AH55" s="81" t="str">
        <f t="shared" si="19"/>
        <v>"%USERPROFILE%\Documents\GitHub\eaglep3\Utilities\RefineRTDCRunTimes.py" --tripid 142-20 --locoid 4007 --swversion DE.1.0.9.0 --startMP 204:232992 --initTime 2017-05-20T09:30:32 --startdatetime 2017-05-20T09:41:29 --delay 2 --endMP 204:130 --enddatetime 2017-05-20T10:21:03 --enforcementcount 0 &gt;&gt;C:\Users\stu\Documents\GitHub\eaglep3-reporting\EC\2017-05-20-refined-times.txt</v>
      </c>
      <c r="AI55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{"issue":{"subject":"","project_id":79,"tracker_id":40,"status_id":1,"priority_id":2,"assigned_to_id":23,"start_date":"2017-05-20","description":"","custom_fields":[{"id":1,"name":"Subdivision","value":"EC"},{"id":4,"name":"Milepost","value":"0.013"},{"id":17,"name":"Train ID","value":"142-20"},{"id":16,"name":"Locomotive ID","value":"4007"},{"id":130,"name":"Impact","value":""},{"id":150,"name":"Time of Event (Mountain Time)","value":"10:21:03"},{"id":151,"name":"Denver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4007 --day 2017-05-20</v>
      </c>
      <c r="AN55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16:21:03"},{"id":29,"name":"Sharepoint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712</v>
      </c>
      <c r="B56" s="7">
        <v>4026</v>
      </c>
      <c r="C56" s="21" t="s">
        <v>206</v>
      </c>
      <c r="D56" s="21" t="s">
        <v>423</v>
      </c>
      <c r="E56" s="13">
        <v>42875.371319444443</v>
      </c>
      <c r="F56" s="13">
        <v>42875.375162037039</v>
      </c>
      <c r="G56" s="7">
        <v>2</v>
      </c>
      <c r="H56" s="21" t="s">
        <v>492</v>
      </c>
      <c r="I56" s="13">
        <v>42875.400034722225</v>
      </c>
      <c r="J56" s="7">
        <v>0</v>
      </c>
      <c r="K56" s="92" t="str">
        <f t="shared" si="0"/>
        <v>4025/4026</v>
      </c>
      <c r="L56" s="21" t="str">
        <f>VLOOKUP(A56,'Trips&amp;Operators'!$C$1:$G$99999,5,FALSE)</f>
        <v>GEBRETEKLE DAGNEW</v>
      </c>
      <c r="M56" s="6">
        <f t="shared" si="1"/>
        <v>2.4872685185982846E-2</v>
      </c>
      <c r="N56" s="7">
        <f t="shared" si="24"/>
        <v>35.816666667815298</v>
      </c>
      <c r="O56" s="7"/>
      <c r="P56" s="7"/>
      <c r="Q56" s="22"/>
      <c r="R56" s="190"/>
      <c r="S56" s="196">
        <f t="shared" si="25"/>
        <v>1</v>
      </c>
      <c r="T56" s="190" t="str">
        <f t="shared" si="4"/>
        <v>NorthBound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 t="shared" si="5"/>
        <v>https://d0f6bd738d7f1b3e5a7ca70fe4ff75f0.us-east-1.aws.found.io/app/kibana#/discover/Steve-Slow-Train-Analysis-(2080s-and-2083s)?_g=(refreshInterval:(display:Off,pause:!f,section:0,value:0),time:(from:'2017-05-20T07:54:42-0600',mode:absolute,to:'2017-05-20T10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6" s="192" t="str">
        <f t="shared" si="6"/>
        <v>N</v>
      </c>
      <c r="X56" s="192">
        <f t="shared" si="26"/>
        <v>1</v>
      </c>
      <c r="Y56" s="192">
        <f t="shared" si="8"/>
        <v>4.7300000000000002E-2</v>
      </c>
      <c r="Z56" s="192">
        <f t="shared" si="9"/>
        <v>23.3325</v>
      </c>
      <c r="AA56" s="192">
        <f t="shared" si="10"/>
        <v>23.2852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1"/>
        <v>0143-20</v>
      </c>
      <c r="AE56" s="80" t="str">
        <f t="shared" si="12"/>
        <v>aws s3 cp s3://rtdc.mdm.uploadarchive.raw/RTDC4026/ "%USERPROFILE%\AppData\Local\Temp\OnboardLogs"\RTDC4026\2017-05-20 --exclude "*" --recursive --include "*20170520*" &amp; "%USERPROFILE%\Documents\GitHub\mrs-test-scripts\Headless Mode &amp; Sideloading\WalkAndUnGZ.bat" "%USERPROFILE%\AppData\Local\Temp\OnboardLogs"\RTDC4026\2017-05-20 &amp; aws s3 cp s3://rtdc.mdm.uploadarchive.raw/RTDC4026/ "%USERPROFILE%\AppData\Local\Temp\OnboardLogs"\RTDC4026\2017-05-21 --exclude "*" --recursive --include "*20170521*" &amp; "%USERPROFILE%\Documents\GitHub\mrs-test-scripts\Headless Mode &amp; Sideloading\WalkAndUnGZ.bat" "%USERPROFILE%\AppData\Local\Temp\OnboardLogs"\RTDC4026\2017-05-21</v>
      </c>
      <c r="AF56" s="77" t="str">
        <f t="shared" si="13"/>
        <v>"C:\Program Files (x86)\AstroGrep\AstroGrep.exe" /e /r /s /spath="%USERPROFILE%\AppData\Local\Temp\OnboardLogs" /stypes="app*4026*20170520*" /stext=" 15:.+((SYSTEM_STATE.+slice.+state.+changed )|(ment ac)|(multiple cpu faults)|(system.+state.+changed )|(\[timeout)|(PRM\|1\|D)|(kpr)|(kdp)|(train st.+moving)|(\|lc)|(penalty))"</v>
      </c>
      <c r="AG56" s="1" t="str">
        <f t="shared" si="14"/>
        <v>EC</v>
      </c>
      <c r="AH56" s="81" t="str">
        <f t="shared" si="19"/>
        <v>"%USERPROFILE%\Documents\GitHub\eaglep3\Utilities\RefineRTDCRunTimes.py" --tripid 143-20 --locoid 4026 --swversion DE.1.0.9.0 --startMP 204:473 --initTime 2017-05-20T08:54:42 --startdatetime 2017-05-20T09:00:14 --delay 2 --endMP 204:233325 --enddatetime 2017-05-20T09:36:03 --enforcementcount 0 &gt;&gt;C:\Users\stu\Documents\GitHub\eaglep3-reporting\EC\2017-05-20-refined-times.txt</v>
      </c>
      <c r="AI56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{"issue":{"subject":"","project_id":79,"tracker_id":40,"status_id":1,"priority_id":2,"assigned_to_id":23,"start_date":"2017-05-20","description":"","custom_fields":[{"id":1,"name":"Subdivision","value":"EC"},{"id":4,"name":"Milepost","value":"23.3325"},{"id":17,"name":"Train ID","value":"143-20"},{"id":16,"name":"Locomotive ID","value":"4026"},{"id":130,"name":"Impact","value":""},{"id":150,"name":"Time of Event (Mountain Time)","value":"09:36:03"},{"id":151,"name":"Denver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4026 --day 2017-05-20</v>
      </c>
      <c r="AN56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15:36:03"},{"id":29,"name":"Sharepoint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720</v>
      </c>
      <c r="B57" s="7">
        <v>4025</v>
      </c>
      <c r="C57" s="21" t="s">
        <v>206</v>
      </c>
      <c r="D57" s="21" t="s">
        <v>504</v>
      </c>
      <c r="E57" s="13">
        <v>42875.410729166666</v>
      </c>
      <c r="F57" s="13">
        <v>42875.414085648146</v>
      </c>
      <c r="G57" s="7">
        <v>1</v>
      </c>
      <c r="H57" s="21" t="s">
        <v>867</v>
      </c>
      <c r="I57" s="13">
        <v>42875.441990740743</v>
      </c>
      <c r="J57" s="7">
        <v>0</v>
      </c>
      <c r="K57" s="92" t="str">
        <f t="shared" si="0"/>
        <v>4025/4026</v>
      </c>
      <c r="L57" s="21" t="str">
        <f>VLOOKUP(A57,'Trips&amp;Operators'!$C$1:$G$99999,5,FALSE)</f>
        <v>GEBRETEKLE DAGNEW</v>
      </c>
      <c r="M57" s="6">
        <f t="shared" si="1"/>
        <v>2.7905092596483883E-2</v>
      </c>
      <c r="N57" s="7">
        <f t="shared" si="24"/>
        <v>40.183333338936791</v>
      </c>
      <c r="O57" s="7"/>
      <c r="P57" s="7"/>
      <c r="Q57" s="22"/>
      <c r="R57" s="190"/>
      <c r="S57" s="196">
        <f t="shared" si="25"/>
        <v>1</v>
      </c>
      <c r="T57" s="190" t="str">
        <f t="shared" si="4"/>
        <v>Southbound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1" t="str">
        <f t="shared" si="5"/>
        <v>https://d0f6bd738d7f1b3e5a7ca70fe4ff75f0.us-east-1.aws.found.io/app/kibana#/discover/Steve-Slow-Train-Analysis-(2080s-and-2083s)?_g=(refreshInterval:(display:Off,pause:!f,section:0,value:0),time:(from:'2017-05-20T08:51:27-0600',mode:absolute,to:'2017-05-20T11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7" s="192" t="str">
        <f t="shared" si="6"/>
        <v>N</v>
      </c>
      <c r="X57" s="192">
        <f t="shared" si="26"/>
        <v>1</v>
      </c>
      <c r="Y57" s="192">
        <f t="shared" si="8"/>
        <v>23.300799999999999</v>
      </c>
      <c r="Z57" s="192">
        <f t="shared" si="9"/>
        <v>1.67E-2</v>
      </c>
      <c r="AA57" s="192">
        <f t="shared" si="10"/>
        <v>23.284099999999999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1"/>
        <v>0144-20</v>
      </c>
      <c r="AE57" s="80" t="str">
        <f t="shared" si="12"/>
        <v>aws s3 cp s3://rtdc.mdm.uploadarchive.raw/RTDC4025/ "%USERPROFILE%\AppData\Local\Temp\OnboardLogs"\RTDC4025\2017-05-20 --exclude "*" --recursive --include "*20170520*" &amp; "%USERPROFILE%\Documents\GitHub\mrs-test-scripts\Headless Mode &amp; Sideloading\WalkAndUnGZ.bat" "%USERPROFILE%\AppData\Local\Temp\OnboardLogs"\RTDC4025\2017-05-20 &amp; aws s3 cp s3://rtdc.mdm.uploadarchive.raw/RTDC4025/ "%USERPROFILE%\AppData\Local\Temp\OnboardLogs"\RTDC4025\2017-05-21 --exclude "*" --recursive --include "*20170521*" &amp; "%USERPROFILE%\Documents\GitHub\mrs-test-scripts\Headless Mode &amp; Sideloading\WalkAndUnGZ.bat" "%USERPROFILE%\AppData\Local\Temp\OnboardLogs"\RTDC4025\2017-05-21</v>
      </c>
      <c r="AF57" s="77" t="str">
        <f t="shared" si="13"/>
        <v>"C:\Program Files (x86)\AstroGrep\AstroGrep.exe" /e /r /s /spath="%USERPROFILE%\AppData\Local\Temp\OnboardLogs" /stypes="app*4025*20170520*" /stext=" 16:.+((SYSTEM_STATE.+slice.+state.+changed )|(ment ac)|(multiple cpu faults)|(system.+state.+changed )|(\[timeout)|(PRM\|1\|D)|(kpr)|(kdp)|(train st.+moving)|(\|lc)|(penalty))"</v>
      </c>
      <c r="AG57" s="1" t="str">
        <f t="shared" si="14"/>
        <v>EC</v>
      </c>
      <c r="AH57" s="81" t="str">
        <f t="shared" si="19"/>
        <v>"%USERPROFILE%\Documents\GitHub\eaglep3\Utilities\RefineRTDCRunTimes.py" --tripid 144-20 --locoid 4025 --swversion DE.1.0.9.0 --startMP 204:233008 --initTime 2017-05-20T09:51:27 --startdatetime 2017-05-20T09:56:17 --delay 1 --endMP 204:167 --enddatetime 2017-05-20T10:36:28 --enforcementcount 0 &gt;&gt;C:\Users\stu\Documents\GitHub\eaglep3-reporting\EC\2017-05-20-refined-times.txt</v>
      </c>
      <c r="AI57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{"issue":{"subject":"","project_id":79,"tracker_id":40,"status_id":1,"priority_id":2,"assigned_to_id":23,"start_date":"2017-05-20","description":"","custom_fields":[{"id":1,"name":"Subdivision","value":"EC"},{"id":4,"name":"Milepost","value":"0.0167"},{"id":17,"name":"Train ID","value":"144-20"},{"id":16,"name":"Locomotive ID","value":"4025"},{"id":130,"name":"Impact","value":""},{"id":150,"name":"Time of Event (Mountain Time)","value":"10:36:28"},{"id":151,"name":"Denver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4025 --day 2017-05-20</v>
      </c>
      <c r="AN57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16:36:28"},{"id":29,"name":"Sharepoint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599</v>
      </c>
      <c r="B58" s="7">
        <v>4010</v>
      </c>
      <c r="C58" s="21" t="s">
        <v>206</v>
      </c>
      <c r="D58" s="21" t="s">
        <v>868</v>
      </c>
      <c r="E58" s="13">
        <v>42875.380057870374</v>
      </c>
      <c r="F58" s="13">
        <v>42875.385567129626</v>
      </c>
      <c r="G58" s="7">
        <v>1</v>
      </c>
      <c r="H58" s="21" t="s">
        <v>491</v>
      </c>
      <c r="I58" s="13">
        <v>42875.41065972222</v>
      </c>
      <c r="J58" s="7">
        <v>0</v>
      </c>
      <c r="K58" s="92" t="str">
        <f t="shared" si="0"/>
        <v>4009/4010</v>
      </c>
      <c r="L58" s="21" t="str">
        <f>VLOOKUP(A58,'Trips&amp;Operators'!$C$1:$G$99999,5,FALSE)</f>
        <v>ROBINSON KADDIBA</v>
      </c>
      <c r="M58" s="6">
        <f t="shared" si="1"/>
        <v>2.5092592593864538E-2</v>
      </c>
      <c r="N58" s="7">
        <f t="shared" si="24"/>
        <v>36.133333335164934</v>
      </c>
      <c r="O58" s="7"/>
      <c r="P58" s="7"/>
      <c r="Q58" s="22"/>
      <c r="R58" s="190"/>
      <c r="S58" s="196">
        <f t="shared" si="25"/>
        <v>1</v>
      </c>
      <c r="T58" s="190" t="str">
        <f t="shared" si="4"/>
        <v>NorthBound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 t="shared" si="5"/>
        <v>https://d0f6bd738d7f1b3e5a7ca70fe4ff75f0.us-east-1.aws.found.io/app/kibana#/discover/Steve-Slow-Train-Analysis-(2080s-and-2083s)?_g=(refreshInterval:(display:Off,pause:!f,section:0,value:0),time:(from:'2017-05-20T08:07:17-0600',mode:absolute,to:'2017-05-20T10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8" s="192" t="str">
        <f t="shared" si="6"/>
        <v>N</v>
      </c>
      <c r="X58" s="192">
        <f t="shared" si="26"/>
        <v>1</v>
      </c>
      <c r="Y58" s="192">
        <f t="shared" si="8"/>
        <v>4.7500000000000001E-2</v>
      </c>
      <c r="Z58" s="192">
        <f t="shared" si="9"/>
        <v>23.329899999999999</v>
      </c>
      <c r="AA58" s="192">
        <f t="shared" si="10"/>
        <v>23.282399999999999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1"/>
        <v>0145-20</v>
      </c>
      <c r="AE58" s="80" t="str">
        <f t="shared" si="12"/>
        <v>aws s3 cp s3://rtdc.mdm.uploadarchive.raw/RTDC4010/ "%USERPROFILE%\AppData\Local\Temp\OnboardLogs"\RTDC4010\2017-05-20 --exclude "*" --recursive --include "*20170520*" &amp; "%USERPROFILE%\Documents\GitHub\mrs-test-scripts\Headless Mode &amp; Sideloading\WalkAndUnGZ.bat" "%USERPROFILE%\AppData\Local\Temp\OnboardLogs"\RTDC4010\2017-05-20 &amp; aws s3 cp s3://rtdc.mdm.uploadarchive.raw/RTDC4010/ "%USERPROFILE%\AppData\Local\Temp\OnboardLogs"\RTDC4010\2017-05-21 --exclude "*" --recursive --include "*20170521*" &amp; "%USERPROFILE%\Documents\GitHub\mrs-test-scripts\Headless Mode &amp; Sideloading\WalkAndUnGZ.bat" "%USERPROFILE%\AppData\Local\Temp\OnboardLogs"\RTDC4010\2017-05-21</v>
      </c>
      <c r="AF58" s="77" t="str">
        <f t="shared" si="13"/>
        <v>"C:\Program Files (x86)\AstroGrep\AstroGrep.exe" /e /r /s /spath="%USERPROFILE%\AppData\Local\Temp\OnboardLogs" /stypes="app*4010*20170520*" /stext=" 15:.+((SYSTEM_STATE.+slice.+state.+changed )|(ment ac)|(multiple cpu faults)|(system.+state.+changed )|(\[timeout)|(PRM\|1\|D)|(kpr)|(kdp)|(train st.+moving)|(\|lc)|(penalty))"</v>
      </c>
      <c r="AG58" s="1" t="str">
        <f t="shared" si="14"/>
        <v>EC</v>
      </c>
      <c r="AH58" s="81" t="str">
        <f t="shared" si="19"/>
        <v>"%USERPROFILE%\Documents\GitHub\eaglep3\Utilities\RefineRTDCRunTimes.py" --tripid 145-20 --locoid 4010 --swversion DE.1.0.9.0 --startMP 204:475 --initTime 2017-05-20T09:07:17 --startdatetime 2017-05-20T09:15:13 --delay 1 --endMP 204:233299 --enddatetime 2017-05-20T09:51:21 --enforcementcount 0 &gt;&gt;C:\Users\stu\Documents\GitHub\eaglep3-reporting\EC\2017-05-20-refined-times.txt</v>
      </c>
      <c r="AI58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{"issue":{"subject":"","project_id":79,"tracker_id":40,"status_id":1,"priority_id":2,"assigned_to_id":23,"start_date":"2017-05-20","description":"","custom_fields":[{"id":1,"name":"Subdivision","value":"EC"},{"id":4,"name":"Milepost","value":"23.3299"},{"id":17,"name":"Train ID","value":"145-20"},{"id":16,"name":"Locomotive ID","value":"4010"},{"id":130,"name":"Impact","value":""},{"id":150,"name":"Time of Event (Mountain Time)","value":"09:51:21"},{"id":151,"name":"Denver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4010 --day 2017-05-20</v>
      </c>
      <c r="AN58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15:51:21"},{"id":29,"name":"Sharepoint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723</v>
      </c>
      <c r="B59" s="7">
        <v>4009</v>
      </c>
      <c r="C59" s="21" t="s">
        <v>206</v>
      </c>
      <c r="D59" s="21" t="s">
        <v>869</v>
      </c>
      <c r="E59" s="13">
        <v>42875.422777777778</v>
      </c>
      <c r="F59" s="13">
        <v>42875.424571759257</v>
      </c>
      <c r="G59" s="7">
        <v>1</v>
      </c>
      <c r="H59" s="21" t="s">
        <v>197</v>
      </c>
      <c r="I59" s="13">
        <v>42875.451608796298</v>
      </c>
      <c r="J59" s="7">
        <v>0</v>
      </c>
      <c r="K59" s="92" t="str">
        <f t="shared" si="0"/>
        <v>4009/4010</v>
      </c>
      <c r="L59" s="21" t="str">
        <f>VLOOKUP(A59,'Trips&amp;Operators'!$C$1:$G$99999,5,FALSE)</f>
        <v>ROBINSON KADDIBA</v>
      </c>
      <c r="M59" s="6">
        <f t="shared" si="1"/>
        <v>2.7037037041736767E-2</v>
      </c>
      <c r="N59" s="7">
        <f t="shared" si="24"/>
        <v>38.933333340100944</v>
      </c>
      <c r="O59" s="7"/>
      <c r="P59" s="7"/>
      <c r="Q59" s="22"/>
      <c r="R59" s="190"/>
      <c r="S59" s="196">
        <f t="shared" si="25"/>
        <v>1</v>
      </c>
      <c r="T59" s="190" t="str">
        <f t="shared" si="4"/>
        <v>Southbound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 t="shared" si="5"/>
        <v>https://d0f6bd738d7f1b3e5a7ca70fe4ff75f0.us-east-1.aws.found.io/app/kibana#/discover/Steve-Slow-Train-Analysis-(2080s-and-2083s)?_g=(refreshInterval:(display:Off,pause:!f,section:0,value:0),time:(from:'2017-05-20T09:08:48-0600',mode:absolute,to:'2017-05-20T11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9" s="192" t="str">
        <f t="shared" si="6"/>
        <v>N</v>
      </c>
      <c r="X59" s="192">
        <f t="shared" si="26"/>
        <v>1</v>
      </c>
      <c r="Y59" s="192">
        <f t="shared" si="8"/>
        <v>23.297699999999999</v>
      </c>
      <c r="Z59" s="192">
        <f t="shared" si="9"/>
        <v>1.52E-2</v>
      </c>
      <c r="AA59" s="192">
        <f t="shared" si="10"/>
        <v>23.282499999999999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1"/>
        <v>0146-20</v>
      </c>
      <c r="AE59" s="80" t="str">
        <f t="shared" si="12"/>
        <v>aws s3 cp s3://rtdc.mdm.uploadarchive.raw/RTDC4009/ "%USERPROFILE%\AppData\Local\Temp\OnboardLogs"\RTDC4009\2017-05-20 --exclude "*" --recursive --include "*20170520*" &amp; "%USERPROFILE%\Documents\GitHub\mrs-test-scripts\Headless Mode &amp; Sideloading\WalkAndUnGZ.bat" "%USERPROFILE%\AppData\Local\Temp\OnboardLogs"\RTDC4009\2017-05-20 &amp; aws s3 cp s3://rtdc.mdm.uploadarchive.raw/RTDC4009/ "%USERPROFILE%\AppData\Local\Temp\OnboardLogs"\RTDC4009\2017-05-21 --exclude "*" --recursive --include "*20170521*" &amp; "%USERPROFILE%\Documents\GitHub\mrs-test-scripts\Headless Mode &amp; Sideloading\WalkAndUnGZ.bat" "%USERPROFILE%\AppData\Local\Temp\OnboardLogs"\RTDC4009\2017-05-21</v>
      </c>
      <c r="AF59" s="77" t="str">
        <f t="shared" si="13"/>
        <v>"C:\Program Files (x86)\AstroGrep\AstroGrep.exe" /e /r /s /spath="%USERPROFILE%\AppData\Local\Temp\OnboardLogs" /stypes="app*4009*20170520*" /stext=" 16:.+((SYSTEM_STATE.+slice.+state.+changed )|(ment ac)|(multiple cpu faults)|(system.+state.+changed )|(\[timeout)|(PRM\|1\|D)|(kpr)|(kdp)|(train st.+moving)|(\|lc)|(penalty))"</v>
      </c>
      <c r="AG59" s="1" t="str">
        <f t="shared" si="14"/>
        <v>EC</v>
      </c>
      <c r="AH59" s="81" t="str">
        <f t="shared" si="19"/>
        <v>"%USERPROFILE%\Documents\GitHub\eaglep3\Utilities\RefineRTDCRunTimes.py" --tripid 146-20 --locoid 4009 --swversion DE.1.0.9.0 --startMP 204:232977 --initTime 2017-05-20T10:08:48 --startdatetime 2017-05-20T10:11:23 --delay 1 --endMP 204:152 --enddatetime 2017-05-20T10:50:19 --enforcementcount 0 &gt;&gt;C:\Users\stu\Documents\GitHub\eaglep3-reporting\EC\2017-05-20-refined-times.txt</v>
      </c>
      <c r="AI59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{"issue":{"subject":"","project_id":79,"tracker_id":40,"status_id":1,"priority_id":2,"assigned_to_id":23,"start_date":"2017-05-20","description":"","custom_fields":[{"id":1,"name":"Subdivision","value":"EC"},{"id":4,"name":"Milepost","value":"0.0152"},{"id":17,"name":"Train ID","value":"146-20"},{"id":16,"name":"Locomotive ID","value":"4009"},{"id":130,"name":"Impact","value":""},{"id":150,"name":"Time of Event (Mountain Time)","value":"10:50:19"},{"id":151,"name":"Denver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4009 --day 2017-05-20</v>
      </c>
      <c r="AN59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16:50:19"},{"id":29,"name":"Sharepoint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715</v>
      </c>
      <c r="B60" s="7">
        <v>4012</v>
      </c>
      <c r="C60" s="21" t="s">
        <v>206</v>
      </c>
      <c r="D60" s="21" t="s">
        <v>202</v>
      </c>
      <c r="E60" s="13">
        <v>42875.392557870371</v>
      </c>
      <c r="F60" s="13">
        <v>42875.396099537036</v>
      </c>
      <c r="G60" s="7">
        <v>1</v>
      </c>
      <c r="H60" s="21" t="s">
        <v>870</v>
      </c>
      <c r="I60" s="13">
        <v>42875.420844907407</v>
      </c>
      <c r="J60" s="7">
        <v>0</v>
      </c>
      <c r="K60" s="92" t="str">
        <f t="shared" si="0"/>
        <v>4011/4012</v>
      </c>
      <c r="L60" s="21" t="str">
        <f>VLOOKUP(A60,'Trips&amp;Operators'!$C$1:$G$99999,5,FALSE)</f>
        <v>MAELZER KURT</v>
      </c>
      <c r="M60" s="6">
        <f t="shared" si="1"/>
        <v>2.47453703705105E-2</v>
      </c>
      <c r="N60" s="7">
        <f t="shared" si="24"/>
        <v>35.63333333353512</v>
      </c>
      <c r="O60" s="7"/>
      <c r="P60" s="7"/>
      <c r="Q60" s="22"/>
      <c r="R60" s="190"/>
      <c r="S60" s="196">
        <f t="shared" si="25"/>
        <v>1</v>
      </c>
      <c r="T60" s="190" t="str">
        <f t="shared" si="4"/>
        <v>NorthBound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 t="shared" si="5"/>
        <v>https://d0f6bd738d7f1b3e5a7ca70fe4ff75f0.us-east-1.aws.found.io/app/kibana#/discover/Steve-Slow-Train-Analysis-(2080s-and-2083s)?_g=(refreshInterval:(display:Off,pause:!f,section:0,value:0),time:(from:'2017-05-20T08:25:17-0600',mode:absolute,to:'2017-05-20T11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0" s="192" t="str">
        <f t="shared" si="6"/>
        <v>N</v>
      </c>
      <c r="X60" s="192">
        <f t="shared" si="26"/>
        <v>1</v>
      </c>
      <c r="Y60" s="192">
        <f t="shared" si="8"/>
        <v>4.5699999999999998E-2</v>
      </c>
      <c r="Z60" s="192">
        <f t="shared" si="9"/>
        <v>23.3323</v>
      </c>
      <c r="AA60" s="192">
        <f t="shared" si="10"/>
        <v>23.2866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1"/>
        <v>0147-20</v>
      </c>
      <c r="AE60" s="80" t="str">
        <f t="shared" si="12"/>
        <v>aws s3 cp s3://rtdc.mdm.uploadarchive.raw/RTDC4012/ "%USERPROFILE%\AppData\Local\Temp\OnboardLogs"\RTDC4012\2017-05-20 --exclude "*" --recursive --include "*20170520*" &amp; "%USERPROFILE%\Documents\GitHub\mrs-test-scripts\Headless Mode &amp; Sideloading\WalkAndUnGZ.bat" "%USERPROFILE%\AppData\Local\Temp\OnboardLogs"\RTDC4012\2017-05-20 &amp; aws s3 cp s3://rtdc.mdm.uploadarchive.raw/RTDC4012/ "%USERPROFILE%\AppData\Local\Temp\OnboardLogs"\RTDC4012\2017-05-21 --exclude "*" --recursive --include "*20170521*" &amp; "%USERPROFILE%\Documents\GitHub\mrs-test-scripts\Headless Mode &amp; Sideloading\WalkAndUnGZ.bat" "%USERPROFILE%\AppData\Local\Temp\OnboardLogs"\RTDC4012\2017-05-21</v>
      </c>
      <c r="AF60" s="77" t="str">
        <f t="shared" si="13"/>
        <v>"C:\Program Files (x86)\AstroGrep\AstroGrep.exe" /e /r /s /spath="%USERPROFILE%\AppData\Local\Temp\OnboardLogs" /stypes="app*4012*20170520*" /stext=" 16:.+((SYSTEM_STATE.+slice.+state.+changed )|(ment ac)|(multiple cpu faults)|(system.+state.+changed )|(\[timeout)|(PRM\|1\|D)|(kpr)|(kdp)|(train st.+moving)|(\|lc)|(penalty))"</v>
      </c>
      <c r="AG60" s="1" t="str">
        <f t="shared" si="14"/>
        <v>EC</v>
      </c>
      <c r="AH60" s="81" t="str">
        <f t="shared" si="19"/>
        <v>"%USERPROFILE%\Documents\GitHub\eaglep3\Utilities\RefineRTDCRunTimes.py" --tripid 147-20 --locoid 4012 --swversion DE.1.0.9.0 --startMP 204:457 --initTime 2017-05-20T09:25:17 --startdatetime 2017-05-20T09:30:23 --delay 1 --endMP 204:233323 --enddatetime 2017-05-20T10:06:01 --enforcementcount 0 &gt;&gt;C:\Users\stu\Documents\GitHub\eaglep3-reporting\EC\2017-05-20-refined-times.txt</v>
      </c>
      <c r="AI60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{"issue":{"subject":"","project_id":79,"tracker_id":40,"status_id":1,"priority_id":2,"assigned_to_id":23,"start_date":"2017-05-20","description":"","custom_fields":[{"id":1,"name":"Subdivision","value":"EC"},{"id":4,"name":"Milepost","value":"23.3323"},{"id":17,"name":"Train ID","value":"147-20"},{"id":16,"name":"Locomotive ID","value":"4012"},{"id":130,"name":"Impact","value":""},{"id":150,"name":"Time of Event (Mountain Time)","value":"10:06:01"},{"id":151,"name":"Denver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4012 --day 2017-05-20</v>
      </c>
      <c r="AN60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16:06:01"},{"id":29,"name":"Sharepoint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724</v>
      </c>
      <c r="B61" s="7">
        <v>4011</v>
      </c>
      <c r="C61" s="21" t="s">
        <v>206</v>
      </c>
      <c r="D61" s="21" t="s">
        <v>871</v>
      </c>
      <c r="E61" s="13">
        <v>42875.424780092595</v>
      </c>
      <c r="F61" s="13">
        <v>42875.434942129628</v>
      </c>
      <c r="G61" s="7">
        <v>1</v>
      </c>
      <c r="H61" s="21" t="s">
        <v>368</v>
      </c>
      <c r="I61" s="13">
        <v>42875.460763888892</v>
      </c>
      <c r="J61" s="7">
        <v>0</v>
      </c>
      <c r="K61" s="92" t="str">
        <f t="shared" si="0"/>
        <v>4011/4012</v>
      </c>
      <c r="L61" s="21" t="str">
        <f>VLOOKUP(A61,'Trips&amp;Operators'!$C$1:$G$99999,5,FALSE)</f>
        <v>MAELZER KURT</v>
      </c>
      <c r="M61" s="6">
        <f t="shared" si="1"/>
        <v>2.5821759263635613E-2</v>
      </c>
      <c r="N61" s="7">
        <f t="shared" si="24"/>
        <v>37.183333339635283</v>
      </c>
      <c r="O61" s="7"/>
      <c r="P61" s="7"/>
      <c r="Q61" s="22"/>
      <c r="R61" s="190"/>
      <c r="S61" s="196">
        <f t="shared" si="25"/>
        <v>1</v>
      </c>
      <c r="T61" s="190" t="str">
        <f t="shared" si="4"/>
        <v>Southbound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 t="shared" si="5"/>
        <v>https://d0f6bd738d7f1b3e5a7ca70fe4ff75f0.us-east-1.aws.found.io/app/kibana#/discover/Steve-Slow-Train-Analysis-(2080s-and-2083s)?_g=(refreshInterval:(display:Off,pause:!f,section:0,value:0),time:(from:'2017-05-20T09:11:41-0600',mode:absolute,to:'2017-05-20T12:03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1" s="192" t="str">
        <f t="shared" si="6"/>
        <v>N</v>
      </c>
      <c r="X61" s="192">
        <f t="shared" si="26"/>
        <v>1</v>
      </c>
      <c r="Y61" s="192">
        <f t="shared" si="8"/>
        <v>23.3002</v>
      </c>
      <c r="Z61" s="192">
        <f t="shared" si="9"/>
        <v>1.41E-2</v>
      </c>
      <c r="AA61" s="192">
        <f t="shared" si="10"/>
        <v>23.286100000000001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1"/>
        <v>0148-20</v>
      </c>
      <c r="AE61" s="80" t="str">
        <f t="shared" si="12"/>
        <v>aws s3 cp s3://rtdc.mdm.uploadarchive.raw/RTDC4011/ "%USERPROFILE%\AppData\Local\Temp\OnboardLogs"\RTDC4011\2017-05-20 --exclude "*" --recursive --include "*20170520*" &amp; "%USERPROFILE%\Documents\GitHub\mrs-test-scripts\Headless Mode &amp; Sideloading\WalkAndUnGZ.bat" "%USERPROFILE%\AppData\Local\Temp\OnboardLogs"\RTDC4011\2017-05-20 &amp; aws s3 cp s3://rtdc.mdm.uploadarchive.raw/RTDC4011/ "%USERPROFILE%\AppData\Local\Temp\OnboardLogs"\RTDC4011\2017-05-21 --exclude "*" --recursive --include "*20170521*" &amp; "%USERPROFILE%\Documents\GitHub\mrs-test-scripts\Headless Mode &amp; Sideloading\WalkAndUnGZ.bat" "%USERPROFILE%\AppData\Local\Temp\OnboardLogs"\RTDC4011\2017-05-21</v>
      </c>
      <c r="AF61" s="77" t="str">
        <f t="shared" si="13"/>
        <v>"C:\Program Files (x86)\AstroGrep\AstroGrep.exe" /e /r /s /spath="%USERPROFILE%\AppData\Local\Temp\OnboardLogs" /stypes="app*4011*20170520*" /stext=" 17:.+((SYSTEM_STATE.+slice.+state.+changed )|(ment ac)|(multiple cpu faults)|(system.+state.+changed )|(\[timeout)|(PRM\|1\|D)|(kpr)|(kdp)|(train st.+moving)|(\|lc)|(penalty))"</v>
      </c>
      <c r="AG61" s="1" t="str">
        <f t="shared" si="14"/>
        <v>EC</v>
      </c>
      <c r="AH61" s="81" t="str">
        <f t="shared" si="19"/>
        <v>"%USERPROFILE%\Documents\GitHub\eaglep3\Utilities\RefineRTDCRunTimes.py" --tripid 148-20 --locoid 4011 --swversion DE.1.0.9.0 --startMP 204:233002 --initTime 2017-05-20T10:11:41 --startdatetime 2017-05-20T10:26:19 --delay 1 --endMP 204:141 --enddatetime 2017-05-20T11:03:30 --enforcementcount 0 &gt;&gt;C:\Users\stu\Documents\GitHub\eaglep3-reporting\EC\2017-05-20-refined-times.txt</v>
      </c>
      <c r="AI61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{"issue":{"subject":"","project_id":79,"tracker_id":40,"status_id":1,"priority_id":2,"assigned_to_id":23,"start_date":"2017-05-20","description":"","custom_fields":[{"id":1,"name":"Subdivision","value":"EC"},{"id":4,"name":"Milepost","value":"0.0141"},{"id":17,"name":"Train ID","value":"148-20"},{"id":16,"name":"Locomotive ID","value":"4011"},{"id":130,"name":"Impact","value":""},{"id":150,"name":"Time of Event (Mountain Time)","value":"11:03:30"},{"id":151,"name":"Denver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4011 --day 2017-05-20</v>
      </c>
      <c r="AN61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17:03:30"},{"id":29,"name":"Sharepoint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719</v>
      </c>
      <c r="B62" s="7">
        <v>4022</v>
      </c>
      <c r="C62" s="21" t="s">
        <v>206</v>
      </c>
      <c r="D62" s="21" t="s">
        <v>203</v>
      </c>
      <c r="E62" s="13">
        <v>42875.401701388888</v>
      </c>
      <c r="F62" s="13">
        <v>42875.406388888892</v>
      </c>
      <c r="G62" s="7">
        <v>1</v>
      </c>
      <c r="H62" s="21" t="s">
        <v>555</v>
      </c>
      <c r="I62" s="13">
        <v>42875.431909722225</v>
      </c>
      <c r="J62" s="7">
        <v>0</v>
      </c>
      <c r="K62" s="92" t="str">
        <f t="shared" si="0"/>
        <v>4021/4022</v>
      </c>
      <c r="L62" s="21" t="str">
        <f>VLOOKUP(A62,'Trips&amp;Operators'!$C$1:$G$99999,5,FALSE)</f>
        <v>DAVIS WENDY</v>
      </c>
      <c r="M62" s="6">
        <f t="shared" si="1"/>
        <v>2.5520833332848269E-2</v>
      </c>
      <c r="N62" s="7">
        <f t="shared" si="24"/>
        <v>36.749999999301508</v>
      </c>
      <c r="O62" s="7"/>
      <c r="P62" s="7"/>
      <c r="Q62" s="22"/>
      <c r="R62" s="190"/>
      <c r="S62" s="196">
        <f t="shared" si="25"/>
        <v>1</v>
      </c>
      <c r="T62" s="190" t="str">
        <f t="shared" si="4"/>
        <v>NorthBound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 t="shared" si="5"/>
        <v>https://d0f6bd738d7f1b3e5a7ca70fe4ff75f0.us-east-1.aws.found.io/app/kibana#/discover/Steve-Slow-Train-Analysis-(2080s-and-2083s)?_g=(refreshInterval:(display:Off,pause:!f,section:0,value:0),time:(from:'2017-05-20T08:38:27-0600',mode:absolute,to:'2017-05-20T11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2" s="192" t="str">
        <f t="shared" si="6"/>
        <v>N</v>
      </c>
      <c r="X62" s="192">
        <f t="shared" si="26"/>
        <v>1</v>
      </c>
      <c r="Y62" s="192">
        <f t="shared" si="8"/>
        <v>4.5999999999999999E-2</v>
      </c>
      <c r="Z62" s="192">
        <f t="shared" si="9"/>
        <v>23.331800000000001</v>
      </c>
      <c r="AA62" s="192">
        <f t="shared" si="10"/>
        <v>23.285800000000002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1"/>
        <v>0149-20</v>
      </c>
      <c r="AE62" s="80" t="str">
        <f t="shared" si="12"/>
        <v>aws s3 cp s3://rtdc.mdm.uploadarchive.raw/RTDC4022/ "%USERPROFILE%\AppData\Local\Temp\OnboardLogs"\RTDC4022\2017-05-20 --exclude "*" --recursive --include "*20170520*" &amp; "%USERPROFILE%\Documents\GitHub\mrs-test-scripts\Headless Mode &amp; Sideloading\WalkAndUnGZ.bat" "%USERPROFILE%\AppData\Local\Temp\OnboardLogs"\RTDC4022\2017-05-20 &amp; aws s3 cp s3://rtdc.mdm.uploadarchive.raw/RTDC4022/ "%USERPROFILE%\AppData\Local\Temp\OnboardLogs"\RTDC4022\2017-05-21 --exclude "*" --recursive --include "*20170521*" &amp; "%USERPROFILE%\Documents\GitHub\mrs-test-scripts\Headless Mode &amp; Sideloading\WalkAndUnGZ.bat" "%USERPROFILE%\AppData\Local\Temp\OnboardLogs"\RTDC4022\2017-05-21</v>
      </c>
      <c r="AF62" s="77" t="str">
        <f t="shared" si="13"/>
        <v>"C:\Program Files (x86)\AstroGrep\AstroGrep.exe" /e /r /s /spath="%USERPROFILE%\AppData\Local\Temp\OnboardLogs" /stypes="app*4022*20170520*" /stext=" 16:.+((SYSTEM_STATE.+slice.+state.+changed )|(ment ac)|(multiple cpu faults)|(system.+state.+changed )|(\[timeout)|(PRM\|1\|D)|(kpr)|(kdp)|(train st.+moving)|(\|lc)|(penalty))"</v>
      </c>
      <c r="AG62" s="1" t="str">
        <f t="shared" si="14"/>
        <v>EC</v>
      </c>
      <c r="AH62" s="81" t="str">
        <f t="shared" si="19"/>
        <v>"%USERPROFILE%\Documents\GitHub\eaglep3\Utilities\RefineRTDCRunTimes.py" --tripid 149-20 --locoid 4022 --swversion DE.1.0.9.0 --startMP 204:460 --initTime 2017-05-20T09:38:27 --startdatetime 2017-05-20T09:45:12 --delay 1 --endMP 204:233318 --enddatetime 2017-05-20T10:21:57 --enforcementcount 0 &gt;&gt;C:\Users\stu\Documents\GitHub\eaglep3-reporting\EC\2017-05-20-refined-times.txt</v>
      </c>
      <c r="AI62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{"issue":{"subject":"","project_id":79,"tracker_id":40,"status_id":1,"priority_id":2,"assigned_to_id":23,"start_date":"2017-05-20","description":"","custom_fields":[{"id":1,"name":"Subdivision","value":"EC"},{"id":4,"name":"Milepost","value":"23.3318"},{"id":17,"name":"Train ID","value":"149-20"},{"id":16,"name":"Locomotive ID","value":"4022"},{"id":130,"name":"Impact","value":""},{"id":150,"name":"Time of Event (Mountain Time)","value":"10:21:57"},{"id":151,"name":"Denver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4022 --day 2017-05-20</v>
      </c>
      <c r="AN62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16:21:57"},{"id":29,"name":"Sharepoint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729</v>
      </c>
      <c r="B63" s="7">
        <v>4021</v>
      </c>
      <c r="C63" s="21" t="s">
        <v>206</v>
      </c>
      <c r="D63" s="21" t="s">
        <v>872</v>
      </c>
      <c r="E63" s="13">
        <v>42875.443541666667</v>
      </c>
      <c r="F63" s="13">
        <v>42875.4453125</v>
      </c>
      <c r="G63" s="7">
        <v>1</v>
      </c>
      <c r="H63" s="21" t="s">
        <v>369</v>
      </c>
      <c r="I63" s="13">
        <v>42875.472719907404</v>
      </c>
      <c r="J63" s="7">
        <v>0</v>
      </c>
      <c r="K63" s="92" t="str">
        <f t="shared" si="0"/>
        <v>4021/4022</v>
      </c>
      <c r="L63" s="21" t="str">
        <f>VLOOKUP(A63,'Trips&amp;Operators'!$C$1:$G$99999,5,FALSE)</f>
        <v>DAVIS WENDY</v>
      </c>
      <c r="M63" s="6">
        <f t="shared" si="1"/>
        <v>2.7407407404098194E-2</v>
      </c>
      <c r="N63" s="7">
        <f t="shared" si="24"/>
        <v>39.466666661901399</v>
      </c>
      <c r="O63" s="7"/>
      <c r="P63" s="7"/>
      <c r="Q63" s="22"/>
      <c r="R63" s="190"/>
      <c r="S63" s="196">
        <f t="shared" si="25"/>
        <v>1</v>
      </c>
      <c r="T63" s="190" t="str">
        <f t="shared" si="4"/>
        <v>Southbound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 t="shared" si="5"/>
        <v>https://d0f6bd738d7f1b3e5a7ca70fe4ff75f0.us-east-1.aws.found.io/app/kibana#/discover/Steve-Slow-Train-Analysis-(2080s-and-2083s)?_g=(refreshInterval:(display:Off,pause:!f,section:0,value:0),time:(from:'2017-05-20T09:38:42-0600',mode:absolute,to:'2017-05-20T12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3" s="192" t="str">
        <f t="shared" si="6"/>
        <v>N</v>
      </c>
      <c r="X63" s="192">
        <f t="shared" si="26"/>
        <v>1</v>
      </c>
      <c r="Y63" s="192">
        <f t="shared" si="8"/>
        <v>23.297999999999998</v>
      </c>
      <c r="Z63" s="192">
        <f t="shared" si="9"/>
        <v>1.47E-2</v>
      </c>
      <c r="AA63" s="192">
        <f t="shared" si="10"/>
        <v>23.283299999999997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0150-20</v>
      </c>
      <c r="AE63" s="80" t="str">
        <f t="shared" si="12"/>
        <v>aws s3 cp s3://rtdc.mdm.uploadarchive.raw/RTDC4021/ "%USERPROFILE%\AppData\Local\Temp\OnboardLogs"\RTDC4021\2017-05-20 --exclude "*" --recursive --include "*20170520*" &amp; "%USERPROFILE%\Documents\GitHub\mrs-test-scripts\Headless Mode &amp; Sideloading\WalkAndUnGZ.bat" "%USERPROFILE%\AppData\Local\Temp\OnboardLogs"\RTDC4021\2017-05-20 &amp; aws s3 cp s3://rtdc.mdm.uploadarchive.raw/RTDC4021/ "%USERPROFILE%\AppData\Local\Temp\OnboardLogs"\RTDC4021\2017-05-21 --exclude "*" --recursive --include "*20170521*" &amp; "%USERPROFILE%\Documents\GitHub\mrs-test-scripts\Headless Mode &amp; Sideloading\WalkAndUnGZ.bat" "%USERPROFILE%\AppData\Local\Temp\OnboardLogs"\RTDC4021\2017-05-21</v>
      </c>
      <c r="AF63" s="77" t="str">
        <f t="shared" si="13"/>
        <v>"C:\Program Files (x86)\AstroGrep\AstroGrep.exe" /e /r /s /spath="%USERPROFILE%\AppData\Local\Temp\OnboardLogs" /stypes="app*4021*20170520*" /stext=" 17:.+((SYSTEM_STATE.+slice.+state.+changed )|(ment ac)|(multiple cpu faults)|(system.+state.+changed )|(\[timeout)|(PRM\|1\|D)|(kpr)|(kdp)|(train st.+moving)|(\|lc)|(penalty))"</v>
      </c>
      <c r="AG63" s="1" t="str">
        <f t="shared" si="14"/>
        <v>EC</v>
      </c>
      <c r="AH63" s="81" t="str">
        <f t="shared" si="19"/>
        <v>"%USERPROFILE%\Documents\GitHub\eaglep3\Utilities\RefineRTDCRunTimes.py" --tripid 150-20 --locoid 4021 --swversion DE.1.0.9.0 --startMP 204:232980 --initTime 2017-05-20T10:38:42 --startdatetime 2017-05-20T10:41:15 --delay 1 --endMP 204:147 --enddatetime 2017-05-20T11:20:43 --enforcementcount 0 &gt;&gt;C:\Users\stu\Documents\GitHub\eaglep3-reporting\EC\2017-05-20-refined-times.txt</v>
      </c>
      <c r="AI63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{"issue":{"subject":"","project_id":79,"tracker_id":40,"status_id":1,"priority_id":2,"assigned_to_id":23,"start_date":"2017-05-20","description":"","custom_fields":[{"id":1,"name":"Subdivision","value":"EC"},{"id":4,"name":"Milepost","value":"0.0147"},{"id":17,"name":"Train ID","value":"150-20"},{"id":16,"name":"Locomotive ID","value":"4021"},{"id":130,"name":"Impact","value":""},{"id":150,"name":"Time of Event (Mountain Time)","value":"11:20:43"},{"id":151,"name":"Denver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4021 --day 2017-05-20</v>
      </c>
      <c r="AN63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17:20:43"},{"id":29,"name":"Sharepoint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721</v>
      </c>
      <c r="B64" s="7">
        <v>4002</v>
      </c>
      <c r="C64" s="21" t="s">
        <v>206</v>
      </c>
      <c r="D64" s="21" t="s">
        <v>563</v>
      </c>
      <c r="E64" s="13">
        <v>42875.41138888889</v>
      </c>
      <c r="F64" s="13">
        <v>42875.41710648148</v>
      </c>
      <c r="G64" s="7">
        <v>1</v>
      </c>
      <c r="H64" s="21" t="s">
        <v>842</v>
      </c>
      <c r="I64" s="13">
        <v>42875.441967592589</v>
      </c>
      <c r="J64" s="7">
        <v>0</v>
      </c>
      <c r="K64" s="92" t="str">
        <f t="shared" si="0"/>
        <v>4001/4002</v>
      </c>
      <c r="L64" s="21" t="str">
        <f>VLOOKUP(A64,'Trips&amp;Operators'!$C$1:$G$99999,5,FALSE)</f>
        <v>SANTIZO D. EDY</v>
      </c>
      <c r="M64" s="6">
        <f t="shared" si="1"/>
        <v>2.4861111109203193E-2</v>
      </c>
      <c r="N64" s="7">
        <f t="shared" si="24"/>
        <v>35.799999997252598</v>
      </c>
      <c r="O64" s="7"/>
      <c r="P64" s="7"/>
      <c r="Q64" s="22"/>
      <c r="R64" s="190"/>
      <c r="S64" s="196">
        <f t="shared" si="25"/>
        <v>1</v>
      </c>
      <c r="T64" s="190" t="str">
        <f t="shared" si="4"/>
        <v>NorthBound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 t="shared" si="5"/>
        <v>https://d0f6bd738d7f1b3e5a7ca70fe4ff75f0.us-east-1.aws.found.io/app/kibana#/discover/Steve-Slow-Train-Analysis-(2080s-and-2083s)?_g=(refreshInterval:(display:Off,pause:!f,section:0,value:0),time:(from:'2017-05-20T08:52:24-0600',mode:absolute,to:'2017-05-20T11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4" s="192" t="str">
        <f t="shared" si="6"/>
        <v>N</v>
      </c>
      <c r="X64" s="192">
        <f t="shared" si="26"/>
        <v>1</v>
      </c>
      <c r="Y64" s="192">
        <f t="shared" si="8"/>
        <v>4.8599999999999997E-2</v>
      </c>
      <c r="Z64" s="192">
        <f t="shared" si="9"/>
        <v>23.333100000000002</v>
      </c>
      <c r="AA64" s="192">
        <f t="shared" si="10"/>
        <v>23.284500000000001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1"/>
        <v>0151-20</v>
      </c>
      <c r="AE64" s="80" t="str">
        <f t="shared" si="12"/>
        <v>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 &amp; aws s3 cp s3://rtdc.mdm.uploadarchive.raw/RTDC4002/ "%USERPROFILE%\AppData\Local\Temp\OnboardLogs"\RTDC4002\2017-05-21 --exclude "*" --recursive --include "*20170521*" &amp; "%USERPROFILE%\Documents\GitHub\mrs-test-scripts\Headless Mode &amp; Sideloading\WalkAndUnGZ.bat" "%USERPROFILE%\AppData\Local\Temp\OnboardLogs"\RTDC4002\2017-05-21</v>
      </c>
      <c r="AF64" s="77" t="str">
        <f t="shared" si="13"/>
        <v>"C:\Program Files (x86)\AstroGrep\AstroGrep.exe" /e /r /s /spath="%USERPROFILE%\AppData\Local\Temp\OnboardLogs" /stypes="app*4002*20170520*" /stext=" 16:.+((SYSTEM_STATE.+slice.+state.+changed )|(ment ac)|(multiple cpu faults)|(system.+state.+changed )|(\[timeout)|(PRM\|1\|D)|(kpr)|(kdp)|(train st.+moving)|(\|lc)|(penalty))"</v>
      </c>
      <c r="AG64" s="1" t="str">
        <f t="shared" si="14"/>
        <v>EC</v>
      </c>
      <c r="AH64" s="81" t="str">
        <f t="shared" si="19"/>
        <v>"%USERPROFILE%\Documents\GitHub\eaglep3\Utilities\RefineRTDCRunTimes.py" --tripid 151-20 --locoid 4002 --swversion DE.1.0.9.0 --startMP 204:486 --initTime 2017-05-20T09:52:24 --startdatetime 2017-05-20T10:00:38 --delay 1 --endMP 204:233331 --enddatetime 2017-05-20T10:36:26 --enforcementcount 0 &gt;&gt;C:\Users\stu\Documents\GitHub\eaglep3-reporting\EC\2017-05-20-refined-times.txt</v>
      </c>
      <c r="AI64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{"issue":{"subject":"","project_id":79,"tracker_id":40,"status_id":1,"priority_id":2,"assigned_to_id":23,"start_date":"2017-05-20","description":"","custom_fields":[{"id":1,"name":"Subdivision","value":"EC"},{"id":4,"name":"Milepost","value":"23.3331"},{"id":17,"name":"Train ID","value":"151-20"},{"id":16,"name":"Locomotive ID","value":"4002"},{"id":130,"name":"Impact","value":""},{"id":150,"name":"Time of Event (Mountain Time)","value":"10:36:26"},{"id":151,"name":"Denver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4002 --day 2017-05-20</v>
      </c>
      <c r="AN64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16:36:26"},{"id":29,"name":"Sharepoint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603</v>
      </c>
      <c r="B65" s="7">
        <v>4001</v>
      </c>
      <c r="C65" s="21" t="s">
        <v>206</v>
      </c>
      <c r="D65" s="21" t="s">
        <v>873</v>
      </c>
      <c r="E65" s="13">
        <v>42875.442893518521</v>
      </c>
      <c r="F65" s="13">
        <v>42875.455729166664</v>
      </c>
      <c r="G65" s="7">
        <v>1</v>
      </c>
      <c r="H65" s="21" t="s">
        <v>867</v>
      </c>
      <c r="I65" s="13">
        <v>42875.48165509259</v>
      </c>
      <c r="J65" s="7">
        <v>0</v>
      </c>
      <c r="K65" s="92" t="str">
        <f t="shared" si="0"/>
        <v>4001/4002</v>
      </c>
      <c r="L65" s="21" t="str">
        <f>VLOOKUP(A65,'Trips&amp;Operators'!$C$1:$G$99999,5,FALSE)</f>
        <v>SANTIZO D. EDY</v>
      </c>
      <c r="M65" s="6">
        <f t="shared" si="1"/>
        <v>2.5925925925548654E-2</v>
      </c>
      <c r="N65" s="7">
        <f t="shared" si="24"/>
        <v>37.333333332790062</v>
      </c>
      <c r="O65" s="7"/>
      <c r="P65" s="7"/>
      <c r="Q65" s="22"/>
      <c r="R65" s="190"/>
      <c r="S65" s="196">
        <f t="shared" si="25"/>
        <v>1</v>
      </c>
      <c r="T65" s="190" t="str">
        <f t="shared" si="4"/>
        <v>Southbound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 t="shared" si="5"/>
        <v>https://d0f6bd738d7f1b3e5a7ca70fe4ff75f0.us-east-1.aws.found.io/app/kibana#/discover/Steve-Slow-Train-Analysis-(2080s-and-2083s)?_g=(refreshInterval:(display:Off,pause:!f,section:0,value:0),time:(from:'2017-05-20T09:37:46-0600',mode:absolute,to:'2017-05-20T12:33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5" s="192" t="str">
        <f t="shared" si="6"/>
        <v>N</v>
      </c>
      <c r="X65" s="192">
        <f t="shared" ref="X65:X72" si="27">VALUE(LEFT(AD65,4))-VALUE(LEFT(AD64,4))</f>
        <v>1</v>
      </c>
      <c r="Y65" s="192">
        <f t="shared" si="8"/>
        <v>23.3017</v>
      </c>
      <c r="Z65" s="192">
        <f t="shared" si="9"/>
        <v>1.67E-2</v>
      </c>
      <c r="AA65" s="192">
        <f t="shared" si="10"/>
        <v>23.285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1"/>
        <v>0152-20</v>
      </c>
      <c r="AE65" s="80" t="str">
        <f t="shared" si="12"/>
        <v>aws s3 cp s3://rtdc.mdm.uploadarchive.raw/RTDC4001/ "%USERPROFILE%\AppData\Local\Temp\OnboardLogs"\RTDC4001\2017-05-20 --exclude "*" --recursive --include "*20170520*" &amp; "%USERPROFILE%\Documents\GitHub\mrs-test-scripts\Headless Mode &amp; Sideloading\WalkAndUnGZ.bat" "%USERPROFILE%\AppData\Local\Temp\OnboardLogs"\RTDC4001\2017-05-20 &amp; aws s3 cp s3://rtdc.mdm.uploadarchive.raw/RTDC4001/ "%USERPROFILE%\AppData\Local\Temp\OnboardLogs"\RTDC4001\2017-05-21 --exclude "*" --recursive --include "*20170521*" &amp; "%USERPROFILE%\Documents\GitHub\mrs-test-scripts\Headless Mode &amp; Sideloading\WalkAndUnGZ.bat" "%USERPROFILE%\AppData\Local\Temp\OnboardLogs"\RTDC4001\2017-05-21</v>
      </c>
      <c r="AF65" s="77" t="str">
        <f t="shared" si="13"/>
        <v>"C:\Program Files (x86)\AstroGrep\AstroGrep.exe" /e /r /s /spath="%USERPROFILE%\AppData\Local\Temp\OnboardLogs" /stypes="app*4001*20170520*" /stext=" 17:.+((SYSTEM_STATE.+slice.+state.+changed )|(ment ac)|(multiple cpu faults)|(system.+state.+changed )|(\[timeout)|(PRM\|1\|D)|(kpr)|(kdp)|(train st.+moving)|(\|lc)|(penalty))"</v>
      </c>
      <c r="AG65" s="1" t="str">
        <f t="shared" si="14"/>
        <v>EC</v>
      </c>
      <c r="AH65" s="81" t="str">
        <f t="shared" si="19"/>
        <v>"%USERPROFILE%\Documents\GitHub\eaglep3\Utilities\RefineRTDCRunTimes.py" --tripid 152-20 --locoid 4001 --swversion DE.1.0.9.0 --startMP 204:233017 --initTime 2017-05-20T10:37:46 --startdatetime 2017-05-20T10:56:15 --delay 1 --endMP 204:167 --enddatetime 2017-05-20T11:33:35 --enforcementcount 0 &gt;&gt;C:\Users\stu\Documents\GitHub\eaglep3-reporting\EC\2017-05-20-refined-times.txt</v>
      </c>
      <c r="AI65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{"issue":{"subject":"","project_id":79,"tracker_id":40,"status_id":1,"priority_id":2,"assigned_to_id":23,"start_date":"2017-05-20","description":"","custom_fields":[{"id":1,"name":"Subdivision","value":"EC"},{"id":4,"name":"Milepost","value":"0.0167"},{"id":17,"name":"Train ID","value":"152-20"},{"id":16,"name":"Locomotive ID","value":"4001"},{"id":130,"name":"Impact","value":""},{"id":150,"name":"Time of Event (Mountain Time)","value":"11:33:35"},{"id":151,"name":"Denver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4001 --day 2017-05-20</v>
      </c>
      <c r="AN65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17:33:35"},{"id":29,"name":"Sharepoint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722</v>
      </c>
      <c r="B66" s="7">
        <v>4056</v>
      </c>
      <c r="C66" s="21" t="s">
        <v>206</v>
      </c>
      <c r="D66" s="21" t="s">
        <v>355</v>
      </c>
      <c r="E66" s="13">
        <v>42875.425219907411</v>
      </c>
      <c r="F66" s="13">
        <v>42875.427303240744</v>
      </c>
      <c r="G66" s="7">
        <v>1</v>
      </c>
      <c r="H66" s="21" t="s">
        <v>467</v>
      </c>
      <c r="I66" s="13">
        <v>42875.451550925929</v>
      </c>
      <c r="J66" s="7">
        <v>0</v>
      </c>
      <c r="K66" s="92" t="str">
        <f t="shared" si="0"/>
        <v>4055/4056</v>
      </c>
      <c r="L66" s="21" t="str">
        <f>VLOOKUP(A66,'Trips&amp;Operators'!$C$1:$G$99999,5,FALSE)</f>
        <v>LOZA FIDEL</v>
      </c>
      <c r="M66" s="6">
        <f t="shared" si="1"/>
        <v>2.4247685185400769E-2</v>
      </c>
      <c r="N66" s="7">
        <f t="shared" si="24"/>
        <v>34.916666666977108</v>
      </c>
      <c r="O66" s="7"/>
      <c r="P66" s="7"/>
      <c r="Q66" s="22"/>
      <c r="R66" s="190"/>
      <c r="S66" s="196">
        <f t="shared" si="25"/>
        <v>1</v>
      </c>
      <c r="T66" s="190" t="str">
        <f t="shared" si="4"/>
        <v>NorthBound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 t="shared" si="5"/>
        <v>https://d0f6bd738d7f1b3e5a7ca70fe4ff75f0.us-east-1.aws.found.io/app/kibana#/discover/Steve-Slow-Train-Analysis-(2080s-and-2083s)?_g=(refreshInterval:(display:Off,pause:!f,section:0,value:0),time:(from:'2017-05-20T09:12:19-0600',mode:absolute,to:'2017-05-20T11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6" s="192" t="str">
        <f t="shared" si="6"/>
        <v>N</v>
      </c>
      <c r="X66" s="192">
        <f t="shared" si="27"/>
        <v>1</v>
      </c>
      <c r="Y66" s="192">
        <f t="shared" si="8"/>
        <v>4.58E-2</v>
      </c>
      <c r="Z66" s="192">
        <f t="shared" si="9"/>
        <v>23.331399999999999</v>
      </c>
      <c r="AA66" s="192">
        <f t="shared" si="10"/>
        <v>23.285599999999999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1"/>
        <v>0153-20</v>
      </c>
      <c r="AE66" s="80" t="str">
        <f t="shared" si="12"/>
        <v>aws s3 cp s3://rtdc.mdm.uploadarchive.raw/RTDC4056/ "%USERPROFILE%\AppData\Local\Temp\OnboardLogs"\RTDC4056\2017-05-20 --exclude "*" --recursive --include "*20170520*" &amp; "%USERPROFILE%\Documents\GitHub\mrs-test-scripts\Headless Mode &amp; Sideloading\WalkAndUnGZ.bat" "%USERPROFILE%\AppData\Local\Temp\OnboardLogs"\RTDC4056\2017-05-20 &amp; aws s3 cp s3://rtdc.mdm.uploadarchive.raw/RTDC4056/ "%USERPROFILE%\AppData\Local\Temp\OnboardLogs"\RTDC4056\2017-05-21 --exclude "*" --recursive --include "*20170521*" &amp; "%USERPROFILE%\Documents\GitHub\mrs-test-scripts\Headless Mode &amp; Sideloading\WalkAndUnGZ.bat" "%USERPROFILE%\AppData\Local\Temp\OnboardLogs"\RTDC4056\2017-05-21</v>
      </c>
      <c r="AF66" s="77" t="str">
        <f t="shared" si="13"/>
        <v>"C:\Program Files (x86)\AstroGrep\AstroGrep.exe" /e /r /s /spath="%USERPROFILE%\AppData\Local\Temp\OnboardLogs" /stypes="app*4056*20170520*" /stext=" 16:.+((SYSTEM_STATE.+slice.+state.+changed )|(ment ac)|(multiple cpu faults)|(system.+state.+changed )|(\[timeout)|(PRM\|1\|D)|(kpr)|(kdp)|(train st.+moving)|(\|lc)|(penalty))"</v>
      </c>
      <c r="AG66" s="1" t="str">
        <f t="shared" si="14"/>
        <v>EC</v>
      </c>
      <c r="AH66" s="81" t="str">
        <f t="shared" si="19"/>
        <v>"%USERPROFILE%\Documents\GitHub\eaglep3\Utilities\RefineRTDCRunTimes.py" --tripid 153-20 --locoid 4056 --swversion DE.1.0.9.0 --startMP 204:458 --initTime 2017-05-20T10:12:19 --startdatetime 2017-05-20T10:15:19 --delay 1 --endMP 204:233314 --enddatetime 2017-05-20T10:50:14 --enforcementcount 0 &gt;&gt;C:\Users\stu\Documents\GitHub\eaglep3-reporting\EC\2017-05-20-refined-times.txt</v>
      </c>
      <c r="AI66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{"issue":{"subject":"","project_id":79,"tracker_id":40,"status_id":1,"priority_id":2,"assigned_to_id":23,"start_date":"2017-05-20","description":"","custom_fields":[{"id":1,"name":"Subdivision","value":"EC"},{"id":4,"name":"Milepost","value":"23.3314"},{"id":17,"name":"Train ID","value":"153-20"},{"id":16,"name":"Locomotive ID","value":"4056"},{"id":130,"name":"Impact","value":""},{"id":150,"name":"Time of Event (Mountain Time)","value":"10:50:14"},{"id":151,"name":"Denver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4056 --day 2017-05-20</v>
      </c>
      <c r="AN66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16:50:14"},{"id":29,"name":"Sharepoint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604</v>
      </c>
      <c r="B67" s="7">
        <v>4055</v>
      </c>
      <c r="C67" s="21" t="s">
        <v>206</v>
      </c>
      <c r="D67" s="21" t="s">
        <v>874</v>
      </c>
      <c r="E67" s="13">
        <v>42875.457939814813</v>
      </c>
      <c r="F67" s="13">
        <v>42875.466284722221</v>
      </c>
      <c r="G67" s="7">
        <v>1</v>
      </c>
      <c r="H67" s="21" t="s">
        <v>875</v>
      </c>
      <c r="I67" s="13">
        <v>42875.493113425924</v>
      </c>
      <c r="J67" s="7">
        <v>0</v>
      </c>
      <c r="K67" s="92" t="str">
        <f t="shared" si="0"/>
        <v>4055/4056</v>
      </c>
      <c r="L67" s="21" t="str">
        <f>VLOOKUP(A67,'Trips&amp;Operators'!$C$1:$G$99999,5,FALSE)</f>
        <v>LOPES KIMBERLY</v>
      </c>
      <c r="M67" s="6">
        <f t="shared" si="1"/>
        <v>2.6828703703358769E-2</v>
      </c>
      <c r="N67" s="7">
        <f t="shared" si="24"/>
        <v>38.633333332836628</v>
      </c>
      <c r="O67" s="7"/>
      <c r="P67" s="7"/>
      <c r="Q67" s="22"/>
      <c r="R67" s="190"/>
      <c r="S67" s="196">
        <f t="shared" si="25"/>
        <v>1</v>
      </c>
      <c r="T67" s="190" t="str">
        <f t="shared" si="4"/>
        <v>Southbound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 t="shared" si="5"/>
        <v>https://d0f6bd738d7f1b3e5a7ca70fe4ff75f0.us-east-1.aws.found.io/app/kibana#/discover/Steve-Slow-Train-Analysis-(2080s-and-2083s)?_g=(refreshInterval:(display:Off,pause:!f,section:0,value:0),time:(from:'2017-05-20T09:59:26-0600',mode:absolute,to:'2017-05-20T12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7" s="192" t="str">
        <f t="shared" si="6"/>
        <v>N</v>
      </c>
      <c r="X67" s="192">
        <f t="shared" si="27"/>
        <v>1</v>
      </c>
      <c r="Y67" s="192">
        <f t="shared" si="8"/>
        <v>23.298400000000001</v>
      </c>
      <c r="Z67" s="192">
        <f t="shared" si="9"/>
        <v>2.07E-2</v>
      </c>
      <c r="AA67" s="192">
        <f t="shared" si="10"/>
        <v>23.277699999999999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0154-20</v>
      </c>
      <c r="AE67" s="80" t="str">
        <f t="shared" si="12"/>
        <v>aws s3 cp s3://rtdc.mdm.uploadarchive.raw/RTDC4055/ "%USERPROFILE%\AppData\Local\Temp\OnboardLogs"\RTDC4055\2017-05-20 --exclude "*" --recursive --include "*20170520*" &amp; "%USERPROFILE%\Documents\GitHub\mrs-test-scripts\Headless Mode &amp; Sideloading\WalkAndUnGZ.bat" "%USERPROFILE%\AppData\Local\Temp\OnboardLogs"\RTDC4055\2017-05-20 &amp; aws s3 cp s3://rtdc.mdm.uploadarchive.raw/RTDC4055/ "%USERPROFILE%\AppData\Local\Temp\OnboardLogs"\RTDC4055\2017-05-21 --exclude "*" --recursive --include "*20170521*" &amp; "%USERPROFILE%\Documents\GitHub\mrs-test-scripts\Headless Mode &amp; Sideloading\WalkAndUnGZ.bat" "%USERPROFILE%\AppData\Local\Temp\OnboardLogs"\RTDC4055\2017-05-21</v>
      </c>
      <c r="AF67" s="77" t="str">
        <f t="shared" si="13"/>
        <v>"C:\Program Files (x86)\AstroGrep\AstroGrep.exe" /e /r /s /spath="%USERPROFILE%\AppData\Local\Temp\OnboardLogs" /stypes="app*4055*20170520*" /stext=" 17:.+((SYSTEM_STATE.+slice.+state.+changed )|(ment ac)|(multiple cpu faults)|(system.+state.+changed )|(\[timeout)|(PRM\|1\|D)|(kpr)|(kdp)|(train st.+moving)|(\|lc)|(penalty))"</v>
      </c>
      <c r="AG67" s="1" t="str">
        <f t="shared" si="14"/>
        <v>EC</v>
      </c>
      <c r="AH67" s="81" t="str">
        <f t="shared" si="19"/>
        <v>"%USERPROFILE%\Documents\GitHub\eaglep3\Utilities\RefineRTDCRunTimes.py" --tripid 154-20 --locoid 4055 --swversion DE.1.0.9.0 --startMP 204:232984 --initTime 2017-05-20T10:59:26 --startdatetime 2017-05-20T11:11:27 --delay 1 --endMP 204:207 --enddatetime 2017-05-20T11:50:05 --enforcementcount 0 &gt;&gt;C:\Users\stu\Documents\GitHub\eaglep3-reporting\EC\2017-05-20-refined-times.txt</v>
      </c>
      <c r="AI67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{"issue":{"subject":"","project_id":79,"tracker_id":40,"status_id":1,"priority_id":2,"assigned_to_id":23,"start_date":"2017-05-20","description":"","custom_fields":[{"id":1,"name":"Subdivision","value":"EC"},{"id":4,"name":"Milepost","value":"0.0207"},{"id":17,"name":"Train ID","value":"154-20"},{"id":16,"name":"Locomotive ID","value":"4055"},{"id":130,"name":"Impact","value":""},{"id":150,"name":"Time of Event (Mountain Time)","value":"11:50:05"},{"id":151,"name":"Denver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4055 --day 2017-05-20</v>
      </c>
      <c r="AN67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17:50:05"},{"id":29,"name":"Sharepoint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602</v>
      </c>
      <c r="B68" s="7">
        <v>4008</v>
      </c>
      <c r="C68" s="21" t="s">
        <v>206</v>
      </c>
      <c r="D68" s="21" t="s">
        <v>359</v>
      </c>
      <c r="E68" s="13">
        <v>42875.434062499997</v>
      </c>
      <c r="F68" s="13">
        <v>42875.437650462962</v>
      </c>
      <c r="G68" s="7">
        <v>1</v>
      </c>
      <c r="H68" s="21" t="s">
        <v>553</v>
      </c>
      <c r="I68" s="13">
        <v>42875.463229166664</v>
      </c>
      <c r="J68" s="7">
        <v>0</v>
      </c>
      <c r="K68" s="92" t="str">
        <f t="shared" si="0"/>
        <v>4007/4008</v>
      </c>
      <c r="L68" s="21" t="str">
        <f>VLOOKUP(A68,'Trips&amp;Operators'!$C$1:$G$99999,5,FALSE)</f>
        <v>ROMERO CHAD</v>
      </c>
      <c r="M68" s="6">
        <f t="shared" si="1"/>
        <v>2.5578703702194616E-2</v>
      </c>
      <c r="N68" s="7">
        <f t="shared" si="24"/>
        <v>36.833333331160247</v>
      </c>
      <c r="O68" s="7"/>
      <c r="P68" s="7"/>
      <c r="Q68" s="22"/>
      <c r="R68" s="190"/>
      <c r="S68" s="196">
        <f t="shared" si="25"/>
        <v>1</v>
      </c>
      <c r="T68" s="190" t="str">
        <f t="shared" si="4"/>
        <v>NorthBound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 t="shared" si="5"/>
        <v>https://d0f6bd738d7f1b3e5a7ca70fe4ff75f0.us-east-1.aws.found.io/app/kibana#/discover/Steve-Slow-Train-Analysis-(2080s-and-2083s)?_g=(refreshInterval:(display:Off,pause:!f,section:0,value:0),time:(from:'2017-05-20T09:25:03-0600',mode:absolute,to:'2017-05-20T12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8" s="192" t="str">
        <f t="shared" si="6"/>
        <v>N</v>
      </c>
      <c r="X68" s="192">
        <f t="shared" si="27"/>
        <v>1</v>
      </c>
      <c r="Y68" s="192">
        <f t="shared" si="8"/>
        <v>4.6600000000000003E-2</v>
      </c>
      <c r="Z68" s="192">
        <f t="shared" si="9"/>
        <v>23.336600000000001</v>
      </c>
      <c r="AA68" s="192">
        <f t="shared" si="10"/>
        <v>23.29</v>
      </c>
      <c r="AB68" s="57" t="str">
        <f>VLOOKUP(A68,Enforcements!$C$7:$K$13,8,0)</f>
        <v>Bulletin (2)</v>
      </c>
      <c r="AC68" s="53" t="str">
        <f>VLOOKUP(A68,Enforcements!$C$7:$E$13,3,0)</f>
        <v>GRADE CROSSING</v>
      </c>
      <c r="AD68" s="54" t="str">
        <f t="shared" si="11"/>
        <v>0155-20</v>
      </c>
      <c r="AE68" s="80" t="str">
        <f t="shared" si="12"/>
        <v>aws s3 cp s3://rtdc.mdm.uploadarchive.raw/RTDC4008/ "%USERPROFILE%\AppData\Local\Temp\OnboardLogs"\RTDC4008\2017-05-20 --exclude "*" --recursive --include "*20170520*" &amp; "%USERPROFILE%\Documents\GitHub\mrs-test-scripts\Headless Mode &amp; Sideloading\WalkAndUnGZ.bat" "%USERPROFILE%\AppData\Local\Temp\OnboardLogs"\RTDC4008\2017-05-20 &amp; aws s3 cp s3://rtdc.mdm.uploadarchive.raw/RTDC4008/ "%USERPROFILE%\AppData\Local\Temp\OnboardLogs"\RTDC4008\2017-05-21 --exclude "*" --recursive --include "*20170521*" &amp; "%USERPROFILE%\Documents\GitHub\mrs-test-scripts\Headless Mode &amp; Sideloading\WalkAndUnGZ.bat" "%USERPROFILE%\AppData\Local\Temp\OnboardLogs"\RTDC4008\2017-05-21</v>
      </c>
      <c r="AF68" s="77" t="str">
        <f t="shared" si="13"/>
        <v>"C:\Program Files (x86)\AstroGrep\AstroGrep.exe" /e /r /s /spath="%USERPROFILE%\AppData\Local\Temp\OnboardLogs" /stypes="app*4008*20170520*" /stext=" 17:.+((SYSTEM_STATE.+slice.+state.+changed )|(ment ac)|(multiple cpu faults)|(system.+state.+changed )|(\[timeout)|(PRM\|1\|D)|(kpr)|(kdp)|(train st.+moving)|(\|lc)|(penalty))"</v>
      </c>
      <c r="AG68" s="1" t="str">
        <f t="shared" si="14"/>
        <v>EC</v>
      </c>
      <c r="AH68" s="81" t="str">
        <f t="shared" si="19"/>
        <v>"%USERPROFILE%\Documents\GitHub\eaglep3\Utilities\RefineRTDCRunTimes.py" --tripid 155-20 --locoid 4008 --swversion DE.1.0.9.0 --startMP 204:466 --initTime 2017-05-20T10:25:03 --startdatetime 2017-05-20T10:30:13 --delay 1 --endMP 204:233366 --enddatetime 2017-05-20T11:07:03 --enforcementcount 0 &gt;&gt;C:\Users\stu\Documents\GitHub\eaglep3-reporting\EC\2017-05-20-refined-times.txt</v>
      </c>
      <c r="AI68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{"issue":{"subject":"","project_id":79,"tracker_id":40,"status_id":1,"priority_id":2,"assigned_to_id":23,"start_date":"2017-05-20","description":"","custom_fields":[{"id":1,"name":"Subdivision","value":"EC"},{"id":4,"name":"Milepost","value":"23.3366"},{"id":17,"name":"Train ID","value":"155-20"},{"id":16,"name":"Locomotive ID","value":"4008"},{"id":130,"name":"Impact","value":""},{"id":150,"name":"Time of Event (Mountain Time)","value":"11:07:03"},{"id":151,"name":"Denver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4008 --day 2017-05-20</v>
      </c>
      <c r="AN68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17:07:03"},{"id":29,"name":"Sharepoint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605</v>
      </c>
      <c r="B69" s="7">
        <v>4007</v>
      </c>
      <c r="C69" s="21" t="s">
        <v>206</v>
      </c>
      <c r="D69" s="21" t="s">
        <v>861</v>
      </c>
      <c r="E69" s="13">
        <v>42875.464918981481</v>
      </c>
      <c r="F69" s="13">
        <v>42875.4765625</v>
      </c>
      <c r="G69" s="7">
        <v>2</v>
      </c>
      <c r="H69" s="21" t="s">
        <v>876</v>
      </c>
      <c r="I69" s="13">
        <v>42875.502523148149</v>
      </c>
      <c r="J69" s="7">
        <v>0</v>
      </c>
      <c r="K69" s="92" t="str">
        <f t="shared" si="0"/>
        <v>4007/4008</v>
      </c>
      <c r="L69" s="21" t="str">
        <f>VLOOKUP(A69,'Trips&amp;Operators'!$C$1:$G$99999,5,FALSE)</f>
        <v>ROMERO CHAD</v>
      </c>
      <c r="M69" s="6">
        <f t="shared" si="1"/>
        <v>2.5960648148611654E-2</v>
      </c>
      <c r="N69" s="7">
        <f t="shared" si="24"/>
        <v>37.383333334000781</v>
      </c>
      <c r="O69" s="7"/>
      <c r="P69" s="7"/>
      <c r="Q69" s="22"/>
      <c r="R69" s="190"/>
      <c r="S69" s="196">
        <f t="shared" si="25"/>
        <v>1</v>
      </c>
      <c r="T69" s="190" t="str">
        <f t="shared" si="4"/>
        <v>Southbound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 t="shared" si="5"/>
        <v>https://d0f6bd738d7f1b3e5a7ca70fe4ff75f0.us-east-1.aws.found.io/app/kibana#/discover/Steve-Slow-Train-Analysis-(2080s-and-2083s)?_g=(refreshInterval:(display:Off,pause:!f,section:0,value:0),time:(from:'2017-05-20T10:09:29-0600',mode:absolute,to:'2017-05-20T13:03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9" s="192" t="str">
        <f t="shared" si="6"/>
        <v>N</v>
      </c>
      <c r="X69" s="192">
        <f t="shared" si="27"/>
        <v>1</v>
      </c>
      <c r="Y69" s="192">
        <f t="shared" si="8"/>
        <v>23.303999999999998</v>
      </c>
      <c r="Z69" s="192">
        <f t="shared" si="9"/>
        <v>1.2699999999999999E-2</v>
      </c>
      <c r="AA69" s="192">
        <f t="shared" si="10"/>
        <v>23.2913</v>
      </c>
      <c r="AB69" s="57" t="str">
        <f>VLOOKUP(A69,Enforcements!$C$7:$K$13,8,0)</f>
        <v>Bulletin (2)</v>
      </c>
      <c r="AC69" s="53" t="str">
        <f>VLOOKUP(A69,Enforcements!$C$7:$E$13,3,0)</f>
        <v>GRADE CROSSING</v>
      </c>
      <c r="AD69" s="54" t="str">
        <f t="shared" si="11"/>
        <v>0156-20</v>
      </c>
      <c r="AE69" s="80" t="str">
        <f t="shared" si="12"/>
        <v>aws s3 cp s3://rtdc.mdm.uploadarchive.raw/RTDC4007/ "%USERPROFILE%\AppData\Local\Temp\OnboardLogs"\RTDC4007\2017-05-20 --exclude "*" --recursive --include "*20170520*" &amp; "%USERPROFILE%\Documents\GitHub\mrs-test-scripts\Headless Mode &amp; Sideloading\WalkAndUnGZ.bat" "%USERPROFILE%\AppData\Local\Temp\OnboardLogs"\RTDC4007\2017-05-20 &amp; aws s3 cp s3://rtdc.mdm.uploadarchive.raw/RTDC4007/ "%USERPROFILE%\AppData\Local\Temp\OnboardLogs"\RTDC4007\2017-05-21 --exclude "*" --recursive --include "*20170521*" &amp; "%USERPROFILE%\Documents\GitHub\mrs-test-scripts\Headless Mode &amp; Sideloading\WalkAndUnGZ.bat" "%USERPROFILE%\AppData\Local\Temp\OnboardLogs"\RTDC4007\2017-05-21</v>
      </c>
      <c r="AF69" s="77" t="str">
        <f t="shared" si="13"/>
        <v>"C:\Program Files (x86)\AstroGrep\AstroGrep.exe" /e /r /s /spath="%USERPROFILE%\AppData\Local\Temp\OnboardLogs" /stypes="app*4007*20170520*" /stext=" 18:.+((SYSTEM_STATE.+slice.+state.+changed )|(ment ac)|(multiple cpu faults)|(system.+state.+changed )|(\[timeout)|(PRM\|1\|D)|(kpr)|(kdp)|(train st.+moving)|(\|lc)|(penalty))"</v>
      </c>
      <c r="AG69" s="1" t="str">
        <f t="shared" si="14"/>
        <v>EC</v>
      </c>
      <c r="AH69" s="81" t="str">
        <f t="shared" si="19"/>
        <v>"%USERPROFILE%\Documents\GitHub\eaglep3\Utilities\RefineRTDCRunTimes.py" --tripid 156-20 --locoid 4007 --swversion DE.1.0.9.0 --startMP 204:233040 --initTime 2017-05-20T11:09:29 --startdatetime 2017-05-20T11:26:15 --delay 2 --endMP 204:127 --enddatetime 2017-05-20T12:03:38 --enforcementcount 0 &gt;&gt;C:\Users\stu\Documents\GitHub\eaglep3-reporting\EC\2017-05-20-refined-times.txt</v>
      </c>
      <c r="AI69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{"issue":{"subject":"","project_id":79,"tracker_id":40,"status_id":1,"priority_id":2,"assigned_to_id":23,"start_date":"2017-05-20","description":"","custom_fields":[{"id":1,"name":"Subdivision","value":"EC"},{"id":4,"name":"Milepost","value":"0.0127"},{"id":17,"name":"Train ID","value":"156-20"},{"id":16,"name":"Locomotive ID","value":"4007"},{"id":130,"name":"Impact","value":""},{"id":150,"name":"Time of Event (Mountain Time)","value":"12:03:38"},{"id":151,"name":"Denver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4007 --day 2017-05-20</v>
      </c>
      <c r="AN69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18:03:38"},{"id":29,"name":"Sharepoint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730</v>
      </c>
      <c r="B70" s="7">
        <v>4026</v>
      </c>
      <c r="C70" s="21" t="s">
        <v>206</v>
      </c>
      <c r="D70" s="21" t="s">
        <v>430</v>
      </c>
      <c r="E70" s="13">
        <v>42875.444791666669</v>
      </c>
      <c r="F70" s="13">
        <v>42875.448125000003</v>
      </c>
      <c r="G70" s="7">
        <v>2</v>
      </c>
      <c r="H70" s="21" t="s">
        <v>473</v>
      </c>
      <c r="I70" s="13">
        <v>42875.47247685185</v>
      </c>
      <c r="J70" s="7">
        <v>0</v>
      </c>
      <c r="K70" s="92" t="str">
        <f t="shared" si="0"/>
        <v>4025/4026</v>
      </c>
      <c r="L70" s="21" t="str">
        <f>VLOOKUP(A70,'Trips&amp;Operators'!$C$1:$G$99999,5,FALSE)</f>
        <v>GEBRETEKLE DAGNEW</v>
      </c>
      <c r="M70" s="6">
        <f t="shared" si="1"/>
        <v>2.435185184731381E-2</v>
      </c>
      <c r="N70" s="7">
        <f t="shared" si="24"/>
        <v>35.066666660131887</v>
      </c>
      <c r="O70" s="7"/>
      <c r="P70" s="7"/>
      <c r="Q70" s="22"/>
      <c r="R70" s="190"/>
      <c r="S70" s="196">
        <f t="shared" si="25"/>
        <v>1</v>
      </c>
      <c r="T70" s="190" t="str">
        <f t="shared" si="4"/>
        <v>NorthBound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 t="shared" si="5"/>
        <v>https://d0f6bd738d7f1b3e5a7ca70fe4ff75f0.us-east-1.aws.found.io/app/kibana#/discover/Steve-Slow-Train-Analysis-(2080s-and-2083s)?_g=(refreshInterval:(display:Off,pause:!f,section:0,value:0),time:(from:'2017-05-20T09:40:30-0600',mode:absolute,to:'2017-05-20T12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0" s="192" t="str">
        <f t="shared" si="6"/>
        <v>N</v>
      </c>
      <c r="X70" s="192">
        <f t="shared" si="27"/>
        <v>1</v>
      </c>
      <c r="Y70" s="192">
        <f t="shared" si="8"/>
        <v>4.6899999999999997E-2</v>
      </c>
      <c r="Z70" s="192">
        <f t="shared" si="9"/>
        <v>23.330100000000002</v>
      </c>
      <c r="AA70" s="192">
        <f t="shared" si="10"/>
        <v>23.283200000000001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0157-20</v>
      </c>
      <c r="AE70" s="80" t="str">
        <f t="shared" si="12"/>
        <v>aws s3 cp s3://rtdc.mdm.uploadarchive.raw/RTDC4026/ "%USERPROFILE%\AppData\Local\Temp\OnboardLogs"\RTDC4026\2017-05-20 --exclude "*" --recursive --include "*20170520*" &amp; "%USERPROFILE%\Documents\GitHub\mrs-test-scripts\Headless Mode &amp; Sideloading\WalkAndUnGZ.bat" "%USERPROFILE%\AppData\Local\Temp\OnboardLogs"\RTDC4026\2017-05-20 &amp; aws s3 cp s3://rtdc.mdm.uploadarchive.raw/RTDC4026/ "%USERPROFILE%\AppData\Local\Temp\OnboardLogs"\RTDC4026\2017-05-21 --exclude "*" --recursive --include "*20170521*" &amp; "%USERPROFILE%\Documents\GitHub\mrs-test-scripts\Headless Mode &amp; Sideloading\WalkAndUnGZ.bat" "%USERPROFILE%\AppData\Local\Temp\OnboardLogs"\RTDC4026\2017-05-21</v>
      </c>
      <c r="AF70" s="77" t="str">
        <f t="shared" si="13"/>
        <v>"C:\Program Files (x86)\AstroGrep\AstroGrep.exe" /e /r /s /spath="%USERPROFILE%\AppData\Local\Temp\OnboardLogs" /stypes="app*4026*20170520*" /stext=" 17:.+((SYSTEM_STATE.+slice.+state.+changed )|(ment ac)|(multiple cpu faults)|(system.+state.+changed )|(\[timeout)|(PRM\|1\|D)|(kpr)|(kdp)|(train st.+moving)|(\|lc)|(penalty))"</v>
      </c>
      <c r="AG70" s="1" t="str">
        <f t="shared" si="14"/>
        <v>EC</v>
      </c>
      <c r="AH70" s="81" t="str">
        <f t="shared" si="19"/>
        <v>"%USERPROFILE%\Documents\GitHub\eaglep3\Utilities\RefineRTDCRunTimes.py" --tripid 157-20 --locoid 4026 --swversion DE.1.0.9.0 --startMP 204:469 --initTime 2017-05-20T10:40:30 --startdatetime 2017-05-20T10:45:18 --delay 2 --endMP 204:233301 --enddatetime 2017-05-20T11:20:22 --enforcementcount 0 &gt;&gt;C:\Users\stu\Documents\GitHub\eaglep3-reporting\EC\2017-05-20-refined-times.txt</v>
      </c>
      <c r="AI70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{"issue":{"subject":"","project_id":79,"tracker_id":40,"status_id":1,"priority_id":2,"assigned_to_id":23,"start_date":"2017-05-20","description":"","custom_fields":[{"id":1,"name":"Subdivision","value":"EC"},{"id":4,"name":"Milepost","value":"23.3301"},{"id":17,"name":"Train ID","value":"157-20"},{"id":16,"name":"Locomotive ID","value":"4026"},{"id":130,"name":"Impact","value":""},{"id":150,"name":"Time of Event (Mountain Time)","value":"11:20:22"},{"id":151,"name":"Denver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4026 --day 2017-05-20</v>
      </c>
      <c r="AN70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17:20:22"},{"id":29,"name":"Sharepoint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741</v>
      </c>
      <c r="B71" s="7">
        <v>4025</v>
      </c>
      <c r="C71" s="21" t="s">
        <v>206</v>
      </c>
      <c r="D71" s="21" t="s">
        <v>874</v>
      </c>
      <c r="E71" s="13">
        <v>42875.482025462959</v>
      </c>
      <c r="F71" s="13">
        <v>42875.486979166664</v>
      </c>
      <c r="G71" s="7">
        <v>1</v>
      </c>
      <c r="H71" s="21" t="s">
        <v>369</v>
      </c>
      <c r="I71" s="13">
        <v>42875.513368055559</v>
      </c>
      <c r="J71" s="7">
        <v>0</v>
      </c>
      <c r="K71" s="92" t="str">
        <f t="shared" si="0"/>
        <v>4025/4026</v>
      </c>
      <c r="L71" s="21" t="str">
        <f>VLOOKUP(A71,'Trips&amp;Operators'!$C$1:$G$99999,5,FALSE)</f>
        <v>GEBRETEKLE DAGNEW</v>
      </c>
      <c r="M71" s="6">
        <f t="shared" si="1"/>
        <v>2.6388888894871343E-2</v>
      </c>
      <c r="N71" s="7">
        <f t="shared" si="24"/>
        <v>38.000000008614734</v>
      </c>
      <c r="O71" s="7"/>
      <c r="P71" s="7"/>
      <c r="Q71" s="22"/>
      <c r="R71" s="190"/>
      <c r="S71" s="196">
        <f t="shared" si="25"/>
        <v>1</v>
      </c>
      <c r="T71" s="190" t="str">
        <f t="shared" si="4"/>
        <v>Southbound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 t="shared" si="5"/>
        <v>https://d0f6bd738d7f1b3e5a7ca70fe4ff75f0.us-east-1.aws.found.io/app/kibana#/discover/Steve-Slow-Train-Analysis-(2080s-and-2083s)?_g=(refreshInterval:(display:Off,pause:!f,section:0,value:0),time:(from:'2017-05-20T10:34:07-0600',mode:absolute,to:'2017-05-20T13:19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1" s="192" t="str">
        <f t="shared" si="6"/>
        <v>N</v>
      </c>
      <c r="X71" s="192">
        <f t="shared" si="27"/>
        <v>1</v>
      </c>
      <c r="Y71" s="192">
        <f t="shared" si="8"/>
        <v>23.298400000000001</v>
      </c>
      <c r="Z71" s="192">
        <f t="shared" si="9"/>
        <v>1.47E-2</v>
      </c>
      <c r="AA71" s="192">
        <f t="shared" si="10"/>
        <v>23.2837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1"/>
        <v>0158-20</v>
      </c>
      <c r="AE71" s="80" t="str">
        <f t="shared" si="12"/>
        <v>aws s3 cp s3://rtdc.mdm.uploadarchive.raw/RTDC4025/ "%USERPROFILE%\AppData\Local\Temp\OnboardLogs"\RTDC4025\2017-05-20 --exclude "*" --recursive --include "*20170520*" &amp; "%USERPROFILE%\Documents\GitHub\mrs-test-scripts\Headless Mode &amp; Sideloading\WalkAndUnGZ.bat" "%USERPROFILE%\AppData\Local\Temp\OnboardLogs"\RTDC4025\2017-05-20 &amp; aws s3 cp s3://rtdc.mdm.uploadarchive.raw/RTDC4025/ "%USERPROFILE%\AppData\Local\Temp\OnboardLogs"\RTDC4025\2017-05-21 --exclude "*" --recursive --include "*20170521*" &amp; "%USERPROFILE%\Documents\GitHub\mrs-test-scripts\Headless Mode &amp; Sideloading\WalkAndUnGZ.bat" "%USERPROFILE%\AppData\Local\Temp\OnboardLogs"\RTDC4025\2017-05-21</v>
      </c>
      <c r="AF71" s="77" t="str">
        <f t="shared" si="13"/>
        <v>"C:\Program Files (x86)\AstroGrep\AstroGrep.exe" /e /r /s /spath="%USERPROFILE%\AppData\Local\Temp\OnboardLogs" /stypes="app*4025*20170520*" /stext=" 18:.+((SYSTEM_STATE.+slice.+state.+changed )|(ment ac)|(multiple cpu faults)|(system.+state.+changed )|(\[timeout)|(PRM\|1\|D)|(kpr)|(kdp)|(train st.+moving)|(\|lc)|(penalty))"</v>
      </c>
      <c r="AG71" s="1" t="str">
        <f t="shared" si="14"/>
        <v>EC</v>
      </c>
      <c r="AH71" s="81" t="str">
        <f t="shared" si="19"/>
        <v>"%USERPROFILE%\Documents\GitHub\eaglep3\Utilities\RefineRTDCRunTimes.py" --tripid 158-20 --locoid 4025 --swversion DE.1.0.9.0 --startMP 204:232984 --initTime 2017-05-20T11:34:07 --startdatetime 2017-05-20T11:41:15 --delay 1 --endMP 204:147 --enddatetime 2017-05-20T12:19:15 --enforcementcount 0 &gt;&gt;C:\Users\stu\Documents\GitHub\eaglep3-reporting\EC\2017-05-20-refined-times.txt</v>
      </c>
      <c r="AI71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{"issue":{"subject":"","project_id":79,"tracker_id":40,"status_id":1,"priority_id":2,"assigned_to_id":23,"start_date":"2017-05-20","description":"","custom_fields":[{"id":1,"name":"Subdivision","value":"EC"},{"id":4,"name":"Milepost","value":"0.0147"},{"id":17,"name":"Train ID","value":"158-20"},{"id":16,"name":"Locomotive ID","value":"4025"},{"id":130,"name":"Impact","value":""},{"id":150,"name":"Time of Event (Mountain Time)","value":"12:19:15"},{"id":151,"name":"Denver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4025 --day 2017-05-20</v>
      </c>
      <c r="AN71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18:19:15"},{"id":29,"name":"Sharepoint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732</v>
      </c>
      <c r="B72" s="7">
        <v>4010</v>
      </c>
      <c r="C72" s="21" t="s">
        <v>206</v>
      </c>
      <c r="D72" s="21" t="s">
        <v>203</v>
      </c>
      <c r="E72" s="13">
        <v>42875.453611111108</v>
      </c>
      <c r="F72" s="13">
        <v>42875.45857638889</v>
      </c>
      <c r="G72" s="7">
        <v>2</v>
      </c>
      <c r="H72" s="21" t="s">
        <v>855</v>
      </c>
      <c r="I72" s="13">
        <v>42875.483263888891</v>
      </c>
      <c r="J72" s="7">
        <v>0</v>
      </c>
      <c r="K72" s="92" t="str">
        <f t="shared" si="0"/>
        <v>4009/4010</v>
      </c>
      <c r="L72" s="21" t="str">
        <f>VLOOKUP(A72,'Trips&amp;Operators'!$C$1:$G$99999,5,FALSE)</f>
        <v>STEWART MICHAEL</v>
      </c>
      <c r="M72" s="6">
        <f t="shared" si="1"/>
        <v>2.4687500001164153E-2</v>
      </c>
      <c r="N72" s="7">
        <f t="shared" si="24"/>
        <v>35.550000001676381</v>
      </c>
      <c r="O72" s="7"/>
      <c r="P72" s="7"/>
      <c r="Q72" s="22"/>
      <c r="R72" s="190"/>
      <c r="S72" s="196">
        <f t="shared" si="25"/>
        <v>1</v>
      </c>
      <c r="T72" s="190" t="str">
        <f t="shared" si="4"/>
        <v>NorthBound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 t="shared" si="5"/>
        <v>https://d0f6bd738d7f1b3e5a7ca70fe4ff75f0.us-east-1.aws.found.io/app/kibana#/discover/Steve-Slow-Train-Analysis-(2080s-and-2083s)?_g=(refreshInterval:(display:Off,pause:!f,section:0,value:0),time:(from:'2017-05-20T09:53:12-0600',mode:absolute,to:'2017-05-20T12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2" s="192" t="str">
        <f t="shared" si="6"/>
        <v>N</v>
      </c>
      <c r="X72" s="192">
        <f t="shared" si="27"/>
        <v>1</v>
      </c>
      <c r="Y72" s="192">
        <f t="shared" si="8"/>
        <v>4.5999999999999999E-2</v>
      </c>
      <c r="Z72" s="192">
        <f t="shared" si="9"/>
        <v>23.331</v>
      </c>
      <c r="AA72" s="192">
        <f t="shared" si="10"/>
        <v>23.285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0159-20</v>
      </c>
      <c r="AE72" s="80" t="str">
        <f t="shared" si="12"/>
        <v>aws s3 cp s3://rtdc.mdm.uploadarchive.raw/RTDC4010/ "%USERPROFILE%\AppData\Local\Temp\OnboardLogs"\RTDC4010\2017-05-20 --exclude "*" --recursive --include "*20170520*" &amp; "%USERPROFILE%\Documents\GitHub\mrs-test-scripts\Headless Mode &amp; Sideloading\WalkAndUnGZ.bat" "%USERPROFILE%\AppData\Local\Temp\OnboardLogs"\RTDC4010\2017-05-20 &amp; aws s3 cp s3://rtdc.mdm.uploadarchive.raw/RTDC4010/ "%USERPROFILE%\AppData\Local\Temp\OnboardLogs"\RTDC4010\2017-05-21 --exclude "*" --recursive --include "*20170521*" &amp; "%USERPROFILE%\Documents\GitHub\mrs-test-scripts\Headless Mode &amp; Sideloading\WalkAndUnGZ.bat" "%USERPROFILE%\AppData\Local\Temp\OnboardLogs"\RTDC4010\2017-05-21</v>
      </c>
      <c r="AF72" s="77" t="str">
        <f t="shared" si="13"/>
        <v>"C:\Program Files (x86)\AstroGrep\AstroGrep.exe" /e /r /s /spath="%USERPROFILE%\AppData\Local\Temp\OnboardLogs" /stypes="app*4010*20170520*" /stext=" 17:.+((SYSTEM_STATE.+slice.+state.+changed )|(ment ac)|(multiple cpu faults)|(system.+state.+changed )|(\[timeout)|(PRM\|1\|D)|(kpr)|(kdp)|(train st.+moving)|(\|lc)|(penalty))"</v>
      </c>
      <c r="AG72" s="1" t="str">
        <f t="shared" si="14"/>
        <v>EC</v>
      </c>
      <c r="AH72" s="81" t="str">
        <f t="shared" si="19"/>
        <v>"%USERPROFILE%\Documents\GitHub\eaglep3\Utilities\RefineRTDCRunTimes.py" --tripid 159-20 --locoid 4010 --swversion DE.1.0.9.0 --startMP 204:460 --initTime 2017-05-20T10:53:12 --startdatetime 2017-05-20T11:00:21 --delay 2 --endMP 204:233310 --enddatetime 2017-05-20T11:35:54 --enforcementcount 0 &gt;&gt;C:\Users\stu\Documents\GitHub\eaglep3-reporting\EC\2017-05-20-refined-times.txt</v>
      </c>
      <c r="AI72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{"issue":{"subject":"","project_id":79,"tracker_id":40,"status_id":1,"priority_id":2,"assigned_to_id":23,"start_date":"2017-05-20","description":"","custom_fields":[{"id":1,"name":"Subdivision","value":"EC"},{"id":4,"name":"Milepost","value":"23.331"},{"id":17,"name":"Train ID","value":"159-20"},{"id":16,"name":"Locomotive ID","value":"4010"},{"id":130,"name":"Impact","value":""},{"id":150,"name":"Time of Event (Mountain Time)","value":"11:35:54"},{"id":151,"name":"Denver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4010 --day 2017-05-20</v>
      </c>
      <c r="AN72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17:35:54"},{"id":29,"name":"Sharepoint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608</v>
      </c>
      <c r="B73" s="7">
        <v>4009</v>
      </c>
      <c r="C73" s="21" t="s">
        <v>206</v>
      </c>
      <c r="D73" s="21" t="s">
        <v>877</v>
      </c>
      <c r="E73" s="13">
        <v>42875.493067129632</v>
      </c>
      <c r="F73" s="13">
        <v>42875.497430555559</v>
      </c>
      <c r="G73" s="7">
        <v>2</v>
      </c>
      <c r="H73" s="21" t="s">
        <v>563</v>
      </c>
      <c r="I73" s="13">
        <v>42875.524340277778</v>
      </c>
      <c r="J73" s="7">
        <v>0</v>
      </c>
      <c r="K73" s="92" t="str">
        <f t="shared" si="0"/>
        <v>4009/4010</v>
      </c>
      <c r="L73" s="21" t="str">
        <f>VLOOKUP(A73,'Trips&amp;Operators'!$C$1:$G$99999,5,FALSE)</f>
        <v>STEWART MICHAEL</v>
      </c>
      <c r="M73" s="6">
        <f t="shared" si="1"/>
        <v>2.6909722218988463E-2</v>
      </c>
      <c r="N73" s="7">
        <f t="shared" si="24"/>
        <v>38.749999995343387</v>
      </c>
      <c r="O73" s="7"/>
      <c r="P73" s="7"/>
      <c r="Q73" s="22"/>
      <c r="R73" s="190"/>
      <c r="S73" s="196">
        <f t="shared" si="25"/>
        <v>1</v>
      </c>
      <c r="T73" s="190" t="str">
        <f t="shared" si="4"/>
        <v>Southbound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 t="shared" si="5"/>
        <v>https://d0f6bd738d7f1b3e5a7ca70fe4ff75f0.us-east-1.aws.found.io/app/kibana#/discover/Steve-Slow-Train-Analysis-(2080s-and-2083s)?_g=(refreshInterval:(display:Off,pause:!f,section:0,value:0),time:(from:'2017-05-20T10:50:01-0600',mode:absolute,to:'2017-05-20T13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3" s="192" t="str">
        <f t="shared" si="6"/>
        <v>N</v>
      </c>
      <c r="X73" s="192">
        <f t="shared" ref="X73:X94" si="28">VALUE(LEFT(AD73,4))-VALUE(LEFT(AD72,4))</f>
        <v>1</v>
      </c>
      <c r="Y73" s="192">
        <f t="shared" si="8"/>
        <v>23.298100000000002</v>
      </c>
      <c r="Z73" s="192">
        <f t="shared" si="9"/>
        <v>4.8599999999999997E-2</v>
      </c>
      <c r="AA73" s="192">
        <f t="shared" si="10"/>
        <v>23.249500000000001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1"/>
        <v>0160-20</v>
      </c>
      <c r="AE73" s="80" t="str">
        <f t="shared" si="12"/>
        <v>aws s3 cp s3://rtdc.mdm.uploadarchive.raw/RTDC4009/ "%USERPROFILE%\AppData\Local\Temp\OnboardLogs"\RTDC4009\2017-05-20 --exclude "*" --recursive --include "*20170520*" &amp; "%USERPROFILE%\Documents\GitHub\mrs-test-scripts\Headless Mode &amp; Sideloading\WalkAndUnGZ.bat" "%USERPROFILE%\AppData\Local\Temp\OnboardLogs"\RTDC4009\2017-05-20 &amp; aws s3 cp s3://rtdc.mdm.uploadarchive.raw/RTDC4009/ "%USERPROFILE%\AppData\Local\Temp\OnboardLogs"\RTDC4009\2017-05-21 --exclude "*" --recursive --include "*20170521*" &amp; "%USERPROFILE%\Documents\GitHub\mrs-test-scripts\Headless Mode &amp; Sideloading\WalkAndUnGZ.bat" "%USERPROFILE%\AppData\Local\Temp\OnboardLogs"\RTDC4009\2017-05-21</v>
      </c>
      <c r="AF73" s="77" t="str">
        <f t="shared" si="13"/>
        <v>"C:\Program Files (x86)\AstroGrep\AstroGrep.exe" /e /r /s /spath="%USERPROFILE%\AppData\Local\Temp\OnboardLogs" /stypes="app*4009*20170520*" /stext=" 18:.+((SYSTEM_STATE.+slice.+state.+changed )|(ment ac)|(multiple cpu faults)|(system.+state.+changed )|(\[timeout)|(PRM\|1\|D)|(kpr)|(kdp)|(train st.+moving)|(\|lc)|(penalty))"</v>
      </c>
      <c r="AG73" s="1" t="str">
        <f t="shared" si="14"/>
        <v>EC</v>
      </c>
      <c r="AH73" s="81" t="str">
        <f t="shared" si="19"/>
        <v>"%USERPROFILE%\Documents\GitHub\eaglep3\Utilities\RefineRTDCRunTimes.py" --tripid 160-20 --locoid 4009 --swversion DE.1.0.9.0 --startMP 204:232981 --initTime 2017-05-20T11:50:01 --startdatetime 2017-05-20T11:56:18 --delay 2 --endMP 204:486 --enddatetime 2017-05-20T12:35:03 --enforcementcount 0 &gt;&gt;C:\Users\stu\Documents\GitHub\eaglep3-reporting\EC\2017-05-20-refined-times.txt</v>
      </c>
      <c r="AI73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{"issue":{"subject":"","project_id":79,"tracker_id":40,"status_id":1,"priority_id":2,"assigned_to_id":23,"start_date":"2017-05-20","description":"","custom_fields":[{"id":1,"name":"Subdivision","value":"EC"},{"id":4,"name":"Milepost","value":"0.0486"},{"id":17,"name":"Train ID","value":"160-20"},{"id":16,"name":"Locomotive ID","value":"4009"},{"id":130,"name":"Impact","value":""},{"id":150,"name":"Time of Event (Mountain Time)","value":"12:35:03"},{"id":151,"name":"Denver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4009 --day 2017-05-20</v>
      </c>
      <c r="AN73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18:35:03"},{"id":29,"name":"Sharepoint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735</v>
      </c>
      <c r="B74" s="7">
        <v>4012</v>
      </c>
      <c r="C74" s="21" t="s">
        <v>206</v>
      </c>
      <c r="D74" s="21" t="s">
        <v>471</v>
      </c>
      <c r="E74" s="13">
        <v>42875.463599537034</v>
      </c>
      <c r="F74" s="13">
        <v>42875.468993055554</v>
      </c>
      <c r="G74" s="7">
        <v>2</v>
      </c>
      <c r="H74" s="21" t="s">
        <v>878</v>
      </c>
      <c r="I74" s="13">
        <v>42875.493252314816</v>
      </c>
      <c r="J74" s="7">
        <v>0</v>
      </c>
      <c r="K74" s="92" t="str">
        <f t="shared" si="0"/>
        <v>4011/4012</v>
      </c>
      <c r="L74" s="21" t="str">
        <f>VLOOKUP(A74,'Trips&amp;Operators'!$C$1:$G$99999,5,FALSE)</f>
        <v>MCREYNOLDS KYLE</v>
      </c>
      <c r="M74" s="6">
        <f t="shared" si="1"/>
        <v>2.4259259262180422E-2</v>
      </c>
      <c r="N74" s="7">
        <f t="shared" si="24"/>
        <v>34.933333337539807</v>
      </c>
      <c r="O74" s="7"/>
      <c r="P74" s="7"/>
      <c r="Q74" s="22"/>
      <c r="R74" s="190"/>
      <c r="S74" s="196">
        <f t="shared" si="25"/>
        <v>1</v>
      </c>
      <c r="T74" s="190" t="str">
        <f t="shared" si="4"/>
        <v>NorthBound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 t="shared" si="5"/>
        <v>https://d0f6bd738d7f1b3e5a7ca70fe4ff75f0.us-east-1.aws.found.io/app/kibana#/discover/Steve-Slow-Train-Analysis-(2080s-and-2083s)?_g=(refreshInterval:(display:Off,pause:!f,section:0,value:0),time:(from:'2017-05-20T10:07:35-0600',mode:absolute,to:'2017-05-20T12:50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4" s="192" t="str">
        <f t="shared" si="6"/>
        <v>N</v>
      </c>
      <c r="X74" s="192">
        <f t="shared" si="28"/>
        <v>1</v>
      </c>
      <c r="Y74" s="192">
        <f t="shared" si="8"/>
        <v>4.4200000000000003E-2</v>
      </c>
      <c r="Z74" s="192">
        <f t="shared" si="9"/>
        <v>23.334099999999999</v>
      </c>
      <c r="AA74" s="192">
        <f t="shared" si="10"/>
        <v>23.289899999999999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1"/>
        <v>0161-20</v>
      </c>
      <c r="AE74" s="80" t="str">
        <f t="shared" si="12"/>
        <v>aws s3 cp s3://rtdc.mdm.uploadarchive.raw/RTDC4012/ "%USERPROFILE%\AppData\Local\Temp\OnboardLogs"\RTDC4012\2017-05-20 --exclude "*" --recursive --include "*20170520*" &amp; "%USERPROFILE%\Documents\GitHub\mrs-test-scripts\Headless Mode &amp; Sideloading\WalkAndUnGZ.bat" "%USERPROFILE%\AppData\Local\Temp\OnboardLogs"\RTDC4012\2017-05-20 &amp; aws s3 cp s3://rtdc.mdm.uploadarchive.raw/RTDC4012/ "%USERPROFILE%\AppData\Local\Temp\OnboardLogs"\RTDC4012\2017-05-21 --exclude "*" --recursive --include "*20170521*" &amp; "%USERPROFILE%\Documents\GitHub\mrs-test-scripts\Headless Mode &amp; Sideloading\WalkAndUnGZ.bat" "%USERPROFILE%\AppData\Local\Temp\OnboardLogs"\RTDC4012\2017-05-21</v>
      </c>
      <c r="AF74" s="77" t="str">
        <f t="shared" si="13"/>
        <v>"C:\Program Files (x86)\AstroGrep\AstroGrep.exe" /e /r /s /spath="%USERPROFILE%\AppData\Local\Temp\OnboardLogs" /stypes="app*4012*20170520*" /stext=" 17:.+((SYSTEM_STATE.+slice.+state.+changed )|(ment ac)|(multiple cpu faults)|(system.+state.+changed )|(\[timeout)|(PRM\|1\|D)|(kpr)|(kdp)|(train st.+moving)|(\|lc)|(penalty))"</v>
      </c>
      <c r="AG74" s="1" t="str">
        <f t="shared" si="14"/>
        <v>EC</v>
      </c>
      <c r="AH74" s="81" t="str">
        <f t="shared" si="19"/>
        <v>"%USERPROFILE%\Documents\GitHub\eaglep3\Utilities\RefineRTDCRunTimes.py" --tripid 161-20 --locoid 4012 --swversion DE.1.0.9.0 --startMP 204:442 --initTime 2017-05-20T11:07:35 --startdatetime 2017-05-20T11:15:21 --delay 2 --endMP 204:233341 --enddatetime 2017-05-20T11:50:17 --enforcementcount 0 &gt;&gt;C:\Users\stu\Documents\GitHub\eaglep3-reporting\EC\2017-05-20-refined-times.txt</v>
      </c>
      <c r="AI74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{"issue":{"subject":"","project_id":79,"tracker_id":40,"status_id":1,"priority_id":2,"assigned_to_id":23,"start_date":"2017-05-20","description":"","custom_fields":[{"id":1,"name":"Subdivision","value":"EC"},{"id":4,"name":"Milepost","value":"23.3341"},{"id":17,"name":"Train ID","value":"161-20"},{"id":16,"name":"Locomotive ID","value":"4012"},{"id":130,"name":"Impact","value":""},{"id":150,"name":"Time of Event (Mountain Time)","value":"11:50:17"},{"id":151,"name":"Denver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4012 --day 2017-05-20</v>
      </c>
      <c r="AN74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17:50:17"},{"id":29,"name":"Sharepoint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607</v>
      </c>
      <c r="B75" s="7">
        <v>4011</v>
      </c>
      <c r="C75" s="21" t="s">
        <v>206</v>
      </c>
      <c r="D75" s="21" t="s">
        <v>500</v>
      </c>
      <c r="E75" s="13">
        <v>42875.497650462959</v>
      </c>
      <c r="F75" s="13">
        <v>42875.507916666669</v>
      </c>
      <c r="G75" s="7">
        <v>1</v>
      </c>
      <c r="H75" s="21" t="s">
        <v>197</v>
      </c>
      <c r="I75" s="13">
        <v>42875.534988425927</v>
      </c>
      <c r="J75" s="7">
        <v>0</v>
      </c>
      <c r="K75" s="92" t="str">
        <f t="shared" si="0"/>
        <v>4011/4012</v>
      </c>
      <c r="L75" s="21" t="str">
        <f>VLOOKUP(A75,'Trips&amp;Operators'!$C$1:$G$99999,5,FALSE)</f>
        <v>MCREYNOLDS KYLE</v>
      </c>
      <c r="M75" s="6">
        <f t="shared" si="1"/>
        <v>2.7071759257523809E-2</v>
      </c>
      <c r="N75" s="7">
        <f t="shared" si="24"/>
        <v>38.983333330834284</v>
      </c>
      <c r="O75" s="7"/>
      <c r="P75" s="7"/>
      <c r="Q75" s="22"/>
      <c r="R75" s="190"/>
      <c r="S75" s="196">
        <f t="shared" si="25"/>
        <v>1</v>
      </c>
      <c r="T75" s="190" t="str">
        <f t="shared" si="4"/>
        <v>Southbound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 t="shared" si="5"/>
        <v>https://d0f6bd738d7f1b3e5a7ca70fe4ff75f0.us-east-1.aws.found.io/app/kibana#/discover/Steve-Slow-Train-Analysis-(2080s-and-2083s)?_g=(refreshInterval:(display:Off,pause:!f,section:0,value:0),time:(from:'2017-05-20T10:56:37-0600',mode:absolute,to:'2017-05-20T13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5" s="192" t="str">
        <f t="shared" si="6"/>
        <v>N</v>
      </c>
      <c r="X75" s="192">
        <f t="shared" si="28"/>
        <v>1</v>
      </c>
      <c r="Y75" s="192">
        <f t="shared" si="8"/>
        <v>23.302099999999999</v>
      </c>
      <c r="Z75" s="192">
        <f t="shared" si="9"/>
        <v>1.52E-2</v>
      </c>
      <c r="AA75" s="192">
        <f t="shared" si="10"/>
        <v>23.286899999999999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1"/>
        <v>0162-20</v>
      </c>
      <c r="AE75" s="80" t="str">
        <f t="shared" si="12"/>
        <v>aws s3 cp s3://rtdc.mdm.uploadarchive.raw/RTDC4011/ "%USERPROFILE%\AppData\Local\Temp\OnboardLogs"\RTDC4011\2017-05-20 --exclude "*" --recursive --include "*20170520*" &amp; "%USERPROFILE%\Documents\GitHub\mrs-test-scripts\Headless Mode &amp; Sideloading\WalkAndUnGZ.bat" "%USERPROFILE%\AppData\Local\Temp\OnboardLogs"\RTDC4011\2017-05-20 &amp; aws s3 cp s3://rtdc.mdm.uploadarchive.raw/RTDC4011/ "%USERPROFILE%\AppData\Local\Temp\OnboardLogs"\RTDC4011\2017-05-21 --exclude "*" --recursive --include "*20170521*" &amp; "%USERPROFILE%\Documents\GitHub\mrs-test-scripts\Headless Mode &amp; Sideloading\WalkAndUnGZ.bat" "%USERPROFILE%\AppData\Local\Temp\OnboardLogs"\RTDC4011\2017-05-21</v>
      </c>
      <c r="AF75" s="77" t="str">
        <f t="shared" si="13"/>
        <v>"C:\Program Files (x86)\AstroGrep\AstroGrep.exe" /e /r /s /spath="%USERPROFILE%\AppData\Local\Temp\OnboardLogs" /stypes="app*4011*20170520*" /stext=" 18:.+((SYSTEM_STATE.+slice.+state.+changed )|(ment ac)|(multiple cpu faults)|(system.+state.+changed )|(\[timeout)|(PRM\|1\|D)|(kpr)|(kdp)|(train st.+moving)|(\|lc)|(penalty))"</v>
      </c>
      <c r="AG75" s="1" t="str">
        <f t="shared" si="14"/>
        <v>EC</v>
      </c>
      <c r="AH75" s="81" t="str">
        <f t="shared" si="19"/>
        <v>"%USERPROFILE%\Documents\GitHub\eaglep3\Utilities\RefineRTDCRunTimes.py" --tripid 162-20 --locoid 4011 --swversion DE.1.0.9.0 --startMP 204:233021 --initTime 2017-05-20T11:56:37 --startdatetime 2017-05-20T12:11:24 --delay 1 --endMP 204:152 --enddatetime 2017-05-20T12:50:23 --enforcementcount 0 &gt;&gt;C:\Users\stu\Documents\GitHub\eaglep3-reporting\EC\2017-05-20-refined-times.txt</v>
      </c>
      <c r="AI75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{"issue":{"subject":"","project_id":79,"tracker_id":40,"status_id":1,"priority_id":2,"assigned_to_id":23,"start_date":"2017-05-20","description":"","custom_fields":[{"id":1,"name":"Subdivision","value":"EC"},{"id":4,"name":"Milepost","value":"0.0152"},{"id":17,"name":"Train ID","value":"162-20"},{"id":16,"name":"Locomotive ID","value":"4011"},{"id":130,"name":"Impact","value":""},{"id":150,"name":"Time of Event (Mountain Time)","value":"12:50:23"},{"id":151,"name":"Denver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4011 --day 2017-05-20</v>
      </c>
      <c r="AN75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18:50:23"},{"id":29,"name":"Sharepoint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738</v>
      </c>
      <c r="B76" s="7">
        <v>4022</v>
      </c>
      <c r="C76" s="21" t="s">
        <v>206</v>
      </c>
      <c r="D76" s="21" t="s">
        <v>359</v>
      </c>
      <c r="E76" s="13">
        <v>42875.475717592592</v>
      </c>
      <c r="F76" s="13">
        <v>42875.479375000003</v>
      </c>
      <c r="G76" s="7">
        <v>2</v>
      </c>
      <c r="H76" s="21" t="s">
        <v>554</v>
      </c>
      <c r="I76" s="13">
        <v>42875.503969907404</v>
      </c>
      <c r="J76" s="7">
        <v>0</v>
      </c>
      <c r="K76" s="92" t="str">
        <f t="shared" si="0"/>
        <v>4021/4022</v>
      </c>
      <c r="L76" s="21" t="str">
        <f>VLOOKUP(A76,'Trips&amp;Operators'!$C$1:$G$99999,5,FALSE)</f>
        <v>BRUDER RICHARD</v>
      </c>
      <c r="M76" s="6">
        <f t="shared" si="1"/>
        <v>2.4594907401478849E-2</v>
      </c>
      <c r="N76" s="7">
        <f t="shared" si="24"/>
        <v>35.416666658129543</v>
      </c>
      <c r="O76" s="7"/>
      <c r="P76" s="7"/>
      <c r="Q76" s="22"/>
      <c r="R76" s="190"/>
      <c r="S76" s="196">
        <f t="shared" si="25"/>
        <v>1</v>
      </c>
      <c r="T76" s="190" t="str">
        <f t="shared" si="4"/>
        <v>NorthBound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 t="shared" si="5"/>
        <v>https://d0f6bd738d7f1b3e5a7ca70fe4ff75f0.us-east-1.aws.found.io/app/kibana#/discover/Steve-Slow-Train-Analysis-(2080s-and-2083s)?_g=(refreshInterval:(display:Off,pause:!f,section:0,value:0),time:(from:'2017-05-20T10:25:02-0600',mode:absolute,to:'2017-05-20T13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6" s="192" t="str">
        <f t="shared" si="6"/>
        <v>N</v>
      </c>
      <c r="X76" s="192">
        <f t="shared" si="28"/>
        <v>1</v>
      </c>
      <c r="Y76" s="192">
        <f t="shared" si="8"/>
        <v>4.6600000000000003E-2</v>
      </c>
      <c r="Z76" s="192">
        <f t="shared" si="9"/>
        <v>23.330200000000001</v>
      </c>
      <c r="AA76" s="192">
        <f t="shared" si="10"/>
        <v>23.2836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1"/>
        <v>0163-20</v>
      </c>
      <c r="AE76" s="80" t="str">
        <f t="shared" si="12"/>
        <v>aws s3 cp s3://rtdc.mdm.uploadarchive.raw/RTDC4022/ "%USERPROFILE%\AppData\Local\Temp\OnboardLogs"\RTDC4022\2017-05-20 --exclude "*" --recursive --include "*20170520*" &amp; "%USERPROFILE%\Documents\GitHub\mrs-test-scripts\Headless Mode &amp; Sideloading\WalkAndUnGZ.bat" "%USERPROFILE%\AppData\Local\Temp\OnboardLogs"\RTDC4022\2017-05-20 &amp; aws s3 cp s3://rtdc.mdm.uploadarchive.raw/RTDC4022/ "%USERPROFILE%\AppData\Local\Temp\OnboardLogs"\RTDC4022\2017-05-21 --exclude "*" --recursive --include "*20170521*" &amp; "%USERPROFILE%\Documents\GitHub\mrs-test-scripts\Headless Mode &amp; Sideloading\WalkAndUnGZ.bat" "%USERPROFILE%\AppData\Local\Temp\OnboardLogs"\RTDC4022\2017-05-21</v>
      </c>
      <c r="AF76" s="77" t="str">
        <f t="shared" si="13"/>
        <v>"C:\Program Files (x86)\AstroGrep\AstroGrep.exe" /e /r /s /spath="%USERPROFILE%\AppData\Local\Temp\OnboardLogs" /stypes="app*4022*20170520*" /stext=" 18:.+((SYSTEM_STATE.+slice.+state.+changed )|(ment ac)|(multiple cpu faults)|(system.+state.+changed )|(\[timeout)|(PRM\|1\|D)|(kpr)|(kdp)|(train st.+moving)|(\|lc)|(penalty))"</v>
      </c>
      <c r="AG76" s="1" t="str">
        <f t="shared" si="14"/>
        <v>EC</v>
      </c>
      <c r="AH76" s="81" t="str">
        <f t="shared" si="19"/>
        <v>"%USERPROFILE%\Documents\GitHub\eaglep3\Utilities\RefineRTDCRunTimes.py" --tripid 163-20 --locoid 4022 --swversion DE.1.0.9.0 --startMP 204:466 --initTime 2017-05-20T11:25:02 --startdatetime 2017-05-20T11:30:18 --delay 2 --endMP 204:233302 --enddatetime 2017-05-20T12:05:43 --enforcementcount 0 &gt;&gt;C:\Users\stu\Documents\GitHub\eaglep3-reporting\EC\2017-05-20-refined-times.txt</v>
      </c>
      <c r="AI76" s="99" t="str">
        <f t="shared" si="20"/>
        <v>echo {"issue":{"subject":"","project_id":79,"tracker_id":40,"status_id":1,"priority_id":2,"assigned_to_id":23,"start_date":"2017-05-20","description":"","custom_fields":[{"id":1,"name":"Subdivision","value":"EC"},{"id":4,"name":"Milepost","value":"23.3302"},{"id":17,"name":"Train ID","value":"163-20"},{"id":16,"name":"Locomotive ID","value":"4022"},{"id":130,"name":"Impact","value":""},{"id":150,"name":"Time of Event (Mountain Time)","value":"12:05:43"},{"id":151,"name":"Denver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4022 --day 2017-05-20</v>
      </c>
      <c r="AN76" s="154" t="str">
        <f t="shared" si="22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18:05:43"},{"id":29,"name":"Sharepoint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748</v>
      </c>
      <c r="B77" s="7">
        <v>4021</v>
      </c>
      <c r="C77" s="21" t="s">
        <v>206</v>
      </c>
      <c r="D77" s="21" t="s">
        <v>571</v>
      </c>
      <c r="E77" s="13">
        <v>42875.51357638889</v>
      </c>
      <c r="F77" s="13">
        <v>42875.51840277778</v>
      </c>
      <c r="G77" s="7">
        <v>2</v>
      </c>
      <c r="H77" s="21" t="s">
        <v>503</v>
      </c>
      <c r="I77" s="13">
        <v>42875.544803240744</v>
      </c>
      <c r="J77" s="7">
        <v>0</v>
      </c>
      <c r="K77" s="92" t="str">
        <f t="shared" ref="K77:K140" si="29">IF(ISEVEN(B77),(B77-1)&amp;"/"&amp;B77,B77&amp;"/"&amp;(B77+1))</f>
        <v>4021/4022</v>
      </c>
      <c r="L77" s="21" t="str">
        <f>VLOOKUP(A77,'Trips&amp;Operators'!$C$1:$G$99999,5,FALSE)</f>
        <v>BRUDER RICHARD</v>
      </c>
      <c r="M77" s="6">
        <f t="shared" ref="M77:M140" si="30">I77-F77</f>
        <v>2.6400462964375038E-2</v>
      </c>
      <c r="N77" s="7">
        <f t="shared" si="24"/>
        <v>38.016666668700054</v>
      </c>
      <c r="O77" s="7"/>
      <c r="P77" s="7"/>
      <c r="Q77" s="22"/>
      <c r="R77" s="190"/>
      <c r="S77" s="196">
        <f t="shared" si="25"/>
        <v>1</v>
      </c>
      <c r="T77" s="190" t="str">
        <f t="shared" ref="T77:T140" si="31">IF(ISEVEN(LEFT(AD77,4)),"Southbound","NorthBound")</f>
        <v>Southbound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 t="shared" ref="V77:V140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-20T11:19:33-0600',mode:absolute,to:'2017-05-20T14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7" s="192" t="str">
        <f t="shared" ref="W77:W140" si="33">IF(AA77&lt;IF(AG77="EC",23,5.65),"Y","N")</f>
        <v>N</v>
      </c>
      <c r="X77" s="192">
        <f t="shared" si="28"/>
        <v>1</v>
      </c>
      <c r="Y77" s="192">
        <f t="shared" ref="Y77:Y140" si="34">RIGHT(D77,LEN(D77)-4)/10000</f>
        <v>23.298500000000001</v>
      </c>
      <c r="Z77" s="192">
        <f t="shared" ref="Z77:Z140" si="35">RIGHT(H77,LEN(H77)-4)/10000</f>
        <v>1.7000000000000001E-2</v>
      </c>
      <c r="AA77" s="192">
        <f t="shared" ref="AA77:AA140" si="36">ABS(Z77-Y77)</f>
        <v>23.281500000000001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37">IF(LEN(A77)=6,"0"&amp;A77,A77)</f>
        <v>0164-20</v>
      </c>
      <c r="AE77" s="80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s3://rtdc.mdm.uploadarchive.raw/RTDC4021/ "%USERPROFILE%\AppData\Local\Temp\OnboardLogs"\RTDC4021\2017-05-20 --exclude "*" --recursive --include "*20170520*" &amp; "%USERPROFILE%\Documents\GitHub\mrs-test-scripts\Headless Mode &amp; Sideloading\WalkAndUnGZ.bat" "%USERPROFILE%\AppData\Local\Temp\OnboardLogs"\RTDC4021\2017-05-20 &amp; aws s3 cp s3://rtdc.mdm.uploadarchive.raw/RTDC4021/ "%USERPROFILE%\AppData\Local\Temp\OnboardLogs"\RTDC4021\2017-05-21 --exclude "*" --recursive --include "*20170521*" &amp; "%USERPROFILE%\Documents\GitHub\mrs-test-scripts\Headless Mode &amp; Sideloading\WalkAndUnGZ.bat" "%USERPROFILE%\AppData\Local\Temp\OnboardLogs"\RTDC4021\2017-05-21</v>
      </c>
      <c r="AF77" s="77" t="str">
        <f t="shared" ref="AF77:AF140" si="3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/stypes="app*4021*20170520*" /stext=" 19:.+((SYSTEM_STATE.+slice.+state.+changed )|(ment ac)|(multiple cpu faults)|(system.+state.+changed )|(\[timeout)|(PRM\|1\|D)|(kpr)|(kdp)|(train st.+moving)|(\|lc)|(penalty))"</v>
      </c>
      <c r="AG77" s="1" t="str">
        <f t="shared" ref="AG77:AG140" si="40">IFERROR(IF(VALUE(LEFT(AD77,2))&lt;=2,"EC",IF(OR(VALUE(LEFT(AD77,2))=8,VALUE(LEFT(AD77,2))=18),"NW","Other")),"Other")</f>
        <v>EC</v>
      </c>
      <c r="AH77" s="81" t="str">
        <f t="shared" ref="AH77:AH139" si="41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164-20 --locoid 4021 --swversion DE.1.0.9.0 --startMP 204:232985 --initTime 2017-05-20T12:19:33 --startdatetime 2017-05-20T12:26:30 --delay 2 --endMP 204:170 --enddatetime 2017-05-20T13:04:31 --enforcementcount 0 &gt;&gt;C:\Users\stu\Documents\GitHub\eaglep3-reporting\EC\2017-05-20-refined-times.txt</v>
      </c>
      <c r="AI77" s="99" t="str">
        <f t="shared" ref="AI77:AI139" si="42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{"issue":{"subject":"","project_id":79,"tracker_id":40,"status_id":1,"priority_id":2,"assigned_to_id":23,"start_date":"2017-05-20","description":"","custom_fields":[{"id":1,"name":"Subdivision","value":"EC"},{"id":4,"name":"Milepost","value":"0.017"},{"id":17,"name":"Train ID","value":"164-20"},{"id":16,"name":"Locomotive ID","value":"4021"},{"id":130,"name":"Impact","value":""},{"id":150,"name":"Time of Event (Mountain Time)","value":"13:04:31"},{"id":151,"name":"Denver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ref="AM77:AM139" si="43">"start /low /b "&amp;dls3logs&amp;" --loco "&amp;B77&amp;" --day "&amp;TEXT(F77,"YYYY-MM-DD")</f>
        <v>start /low /b %USERPROFILE%\Documents\GitHub\eaglep3\Utilities\DownloadLogsFromS3.py --loco 4021 --day 2017-05-20</v>
      </c>
      <c r="AN77" s="154" t="str">
        <f t="shared" ref="AN77:AN139" si="44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19:04:31"},{"id":29,"name":"Sharepoint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743</v>
      </c>
      <c r="B78" s="7">
        <v>4002</v>
      </c>
      <c r="C78" s="21" t="s">
        <v>206</v>
      </c>
      <c r="D78" s="21" t="s">
        <v>474</v>
      </c>
      <c r="E78" s="13">
        <v>42875.487303240741</v>
      </c>
      <c r="F78" s="13">
        <v>42875.489837962959</v>
      </c>
      <c r="G78" s="7">
        <v>1</v>
      </c>
      <c r="H78" s="21" t="s">
        <v>552</v>
      </c>
      <c r="I78" s="13">
        <v>42875.515474537038</v>
      </c>
      <c r="J78" s="7">
        <v>0</v>
      </c>
      <c r="K78" s="92" t="str">
        <f t="shared" si="29"/>
        <v>4001/4002</v>
      </c>
      <c r="L78" s="21" t="str">
        <f>VLOOKUP(A78,'Trips&amp;Operators'!$C$1:$G$99999,5,FALSE)</f>
        <v>DAVIDSON DAVID</v>
      </c>
      <c r="M78" s="6">
        <f t="shared" si="30"/>
        <v>2.5636574078816921E-2</v>
      </c>
      <c r="N78" s="7">
        <f t="shared" si="24"/>
        <v>36.916666673496366</v>
      </c>
      <c r="O78" s="7"/>
      <c r="P78" s="7"/>
      <c r="Q78" s="22"/>
      <c r="R78" s="190"/>
      <c r="S78" s="196">
        <f t="shared" si="25"/>
        <v>1</v>
      </c>
      <c r="T78" s="190" t="str">
        <f t="shared" si="31"/>
        <v>NorthBound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 t="shared" si="32"/>
        <v>https://d0f6bd738d7f1b3e5a7ca70fe4ff75f0.us-east-1.aws.found.io/app/kibana#/discover/Steve-Slow-Train-Analysis-(2080s-and-2083s)?_g=(refreshInterval:(display:Off,pause:!f,section:0,value:0),time:(from:'2017-05-20T10:41:43-0600',mode:absolute,to:'2017-05-20T13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8" s="192" t="str">
        <f t="shared" si="33"/>
        <v>N</v>
      </c>
      <c r="X78" s="192">
        <f t="shared" si="28"/>
        <v>1</v>
      </c>
      <c r="Y78" s="192">
        <f t="shared" si="34"/>
        <v>4.7800000000000002E-2</v>
      </c>
      <c r="Z78" s="192">
        <f t="shared" si="35"/>
        <v>23.328800000000001</v>
      </c>
      <c r="AA78" s="192">
        <f t="shared" si="36"/>
        <v>23.281000000000002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37"/>
        <v>0165-20</v>
      </c>
      <c r="AE78" s="80" t="str">
        <f t="shared" si="38"/>
        <v>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 &amp; aws s3 cp s3://rtdc.mdm.uploadarchive.raw/RTDC4002/ "%USERPROFILE%\AppData\Local\Temp\OnboardLogs"\RTDC4002\2017-05-21 --exclude "*" --recursive --include "*20170521*" &amp; "%USERPROFILE%\Documents\GitHub\mrs-test-scripts\Headless Mode &amp; Sideloading\WalkAndUnGZ.bat" "%USERPROFILE%\AppData\Local\Temp\OnboardLogs"\RTDC4002\2017-05-21</v>
      </c>
      <c r="AF78" s="77" t="str">
        <f t="shared" si="39"/>
        <v>"C:\Program Files (x86)\AstroGrep\AstroGrep.exe" /e /r /s /spath="%USERPROFILE%\AppData\Local\Temp\OnboardLogs" /stypes="app*4002*20170520*" /stext=" 18:.+((SYSTEM_STATE.+slice.+state.+changed )|(ment ac)|(multiple cpu faults)|(system.+state.+changed )|(\[timeout)|(PRM\|1\|D)|(kpr)|(kdp)|(train st.+moving)|(\|lc)|(penalty))"</v>
      </c>
      <c r="AG78" s="1" t="str">
        <f t="shared" si="40"/>
        <v>EC</v>
      </c>
      <c r="AH78" s="81" t="str">
        <f t="shared" si="41"/>
        <v>"%USERPROFILE%\Documents\GitHub\eaglep3\Utilities\RefineRTDCRunTimes.py" --tripid 165-20 --locoid 4002 --swversion DE.1.0.9.0 --startMP 204:478 --initTime 2017-05-20T11:41:43 --startdatetime 2017-05-20T11:45:22 --delay 1 --endMP 204:233288 --enddatetime 2017-05-20T12:22:17 --enforcementcount 0 &gt;&gt;C:\Users\stu\Documents\GitHub\eaglep3-reporting\EC\2017-05-20-refined-times.txt</v>
      </c>
      <c r="AI78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{"issue":{"subject":"","project_id":79,"tracker_id":40,"status_id":1,"priority_id":2,"assigned_to_id":23,"start_date":"2017-05-20","description":"","custom_fields":[{"id":1,"name":"Subdivision","value":"EC"},{"id":4,"name":"Milepost","value":"23.3288"},{"id":17,"name":"Train ID","value":"165-20"},{"id":16,"name":"Locomotive ID","value":"4002"},{"id":130,"name":"Impact","value":""},{"id":150,"name":"Time of Event (Mountain Time)","value":"12:22:17"},{"id":151,"name":"Denver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si="43"/>
        <v>start /low /b %USERPROFILE%\Documents\GitHub\eaglep3\Utilities\DownloadLogsFromS3.py --loco 4002 --day 2017-05-20</v>
      </c>
      <c r="AN78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18:22:17"},{"id":29,"name":"Sharepoint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750</v>
      </c>
      <c r="B79" s="7">
        <v>4001</v>
      </c>
      <c r="C79" s="21" t="s">
        <v>206</v>
      </c>
      <c r="D79" s="21" t="s">
        <v>420</v>
      </c>
      <c r="E79" s="13">
        <v>42875.522685185184</v>
      </c>
      <c r="F79" s="13">
        <v>42875.528715277775</v>
      </c>
      <c r="G79" s="7">
        <v>1</v>
      </c>
      <c r="H79" s="21" t="s">
        <v>353</v>
      </c>
      <c r="I79" s="13">
        <v>42875.55678240741</v>
      </c>
      <c r="J79" s="7">
        <v>0</v>
      </c>
      <c r="K79" s="92" t="str">
        <f t="shared" si="29"/>
        <v>4001/4002</v>
      </c>
      <c r="L79" s="21" t="str">
        <f>VLOOKUP(A79,'Trips&amp;Operators'!$C$1:$G$99999,5,FALSE)</f>
        <v>DAVIDSON DAVID</v>
      </c>
      <c r="M79" s="6">
        <f t="shared" si="30"/>
        <v>2.8067129635019228E-2</v>
      </c>
      <c r="N79" s="7">
        <f t="shared" si="24"/>
        <v>40.416666674427688</v>
      </c>
      <c r="O79" s="7"/>
      <c r="P79" s="7"/>
      <c r="Q79" s="22"/>
      <c r="R79" s="190"/>
      <c r="S79" s="196">
        <f t="shared" si="25"/>
        <v>1</v>
      </c>
      <c r="T79" s="190" t="str">
        <f t="shared" si="31"/>
        <v>Southbound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 t="shared" si="32"/>
        <v>https://d0f6bd738d7f1b3e5a7ca70fe4ff75f0.us-east-1.aws.found.io/app/kibana#/discover/Steve-Slow-Train-Analysis-(2080s-and-2083s)?_g=(refreshInterval:(display:Off,pause:!f,section:0,value:0),time:(from:'2017-05-20T11:32:40-0600',mode:absolute,to:'2017-05-20T14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9" s="192" t="str">
        <f t="shared" si="33"/>
        <v>N</v>
      </c>
      <c r="X79" s="192">
        <f t="shared" si="28"/>
        <v>1</v>
      </c>
      <c r="Y79" s="192">
        <f t="shared" si="34"/>
        <v>23.297499999999999</v>
      </c>
      <c r="Z79" s="192">
        <f t="shared" si="35"/>
        <v>1.4500000000000001E-2</v>
      </c>
      <c r="AA79" s="192">
        <f t="shared" si="36"/>
        <v>23.282999999999998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37"/>
        <v>0166-20</v>
      </c>
      <c r="AE79" s="80" t="str">
        <f t="shared" si="38"/>
        <v>aws s3 cp s3://rtdc.mdm.uploadarchive.raw/RTDC4001/ "%USERPROFILE%\AppData\Local\Temp\OnboardLogs"\RTDC4001\2017-05-20 --exclude "*" --recursive --include "*20170520*" &amp; "%USERPROFILE%\Documents\GitHub\mrs-test-scripts\Headless Mode &amp; Sideloading\WalkAndUnGZ.bat" "%USERPROFILE%\AppData\Local\Temp\OnboardLogs"\RTDC4001\2017-05-20 &amp; aws s3 cp s3://rtdc.mdm.uploadarchive.raw/RTDC4001/ "%USERPROFILE%\AppData\Local\Temp\OnboardLogs"\RTDC4001\2017-05-21 --exclude "*" --recursive --include "*20170521*" &amp; "%USERPROFILE%\Documents\GitHub\mrs-test-scripts\Headless Mode &amp; Sideloading\WalkAndUnGZ.bat" "%USERPROFILE%\AppData\Local\Temp\OnboardLogs"\RTDC4001\2017-05-21</v>
      </c>
      <c r="AF79" s="77" t="str">
        <f t="shared" si="39"/>
        <v>"C:\Program Files (x86)\AstroGrep\AstroGrep.exe" /e /r /s /spath="%USERPROFILE%\AppData\Local\Temp\OnboardLogs" /stypes="app*4001*20170520*" /stext=" 19:.+((SYSTEM_STATE.+slice.+state.+changed )|(ment ac)|(multiple cpu faults)|(system.+state.+changed )|(\[timeout)|(PRM\|1\|D)|(kpr)|(kdp)|(train st.+moving)|(\|lc)|(penalty))"</v>
      </c>
      <c r="AG79" s="1" t="str">
        <f t="shared" si="40"/>
        <v>EC</v>
      </c>
      <c r="AH79" s="81" t="str">
        <f t="shared" si="41"/>
        <v>"%USERPROFILE%\Documents\GitHub\eaglep3\Utilities\RefineRTDCRunTimes.py" --tripid 166-20 --locoid 4001 --swversion DE.1.0.9.0 --startMP 204:232975 --initTime 2017-05-20T12:32:40 --startdatetime 2017-05-20T12:41:21 --delay 1 --endMP 204:145 --enddatetime 2017-05-20T13:21:46 --enforcementcount 0 &gt;&gt;C:\Users\stu\Documents\GitHub\eaglep3-reporting\EC\2017-05-20-refined-times.txt</v>
      </c>
      <c r="AI79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{"issue":{"subject":"","project_id":79,"tracker_id":40,"status_id":1,"priority_id":2,"assigned_to_id":23,"start_date":"2017-05-20","description":"","custom_fields":[{"id":1,"name":"Subdivision","value":"EC"},{"id":4,"name":"Milepost","value":"0.0145"},{"id":17,"name":"Train ID","value":"166-20"},{"id":16,"name":"Locomotive ID","value":"4001"},{"id":130,"name":"Impact","value":""},{"id":150,"name":"Time of Event (Mountain Time)","value":"13:21:46"},{"id":151,"name":"Denver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43"/>
        <v>start /low /b %USERPROFILE%\Documents\GitHub\eaglep3\Utilities\DownloadLogsFromS3.py --loco 4001 --day 2017-05-20</v>
      </c>
      <c r="AN79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19:21:46"},{"id":29,"name":"Sharepoint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606</v>
      </c>
      <c r="B80" s="7">
        <v>4056</v>
      </c>
      <c r="C80" s="21" t="s">
        <v>206</v>
      </c>
      <c r="D80" s="21" t="s">
        <v>879</v>
      </c>
      <c r="E80" s="13">
        <v>42875.495243055557</v>
      </c>
      <c r="F80" s="13">
        <v>42875.500219907408</v>
      </c>
      <c r="G80" s="7">
        <v>2</v>
      </c>
      <c r="H80" s="21" t="s">
        <v>880</v>
      </c>
      <c r="I80" s="13">
        <v>42875.526076388887</v>
      </c>
      <c r="J80" s="7">
        <v>0</v>
      </c>
      <c r="K80" s="92" t="str">
        <f t="shared" si="29"/>
        <v>4055/4056</v>
      </c>
      <c r="L80" s="21" t="str">
        <f>VLOOKUP(A80,'Trips&amp;Operators'!$C$1:$G$99999,5,FALSE)</f>
        <v>PERKINS DARREN</v>
      </c>
      <c r="M80" s="6">
        <f t="shared" si="30"/>
        <v>2.5856481479422655E-2</v>
      </c>
      <c r="N80" s="7">
        <f t="shared" si="24"/>
        <v>37.233333330368623</v>
      </c>
      <c r="O80" s="7"/>
      <c r="P80" s="7"/>
      <c r="Q80" s="22"/>
      <c r="R80" s="190"/>
      <c r="S80" s="196">
        <f t="shared" si="25"/>
        <v>1</v>
      </c>
      <c r="T80" s="190" t="str">
        <f t="shared" si="31"/>
        <v>NorthBound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 t="shared" si="32"/>
        <v>https://d0f6bd738d7f1b3e5a7ca70fe4ff75f0.us-east-1.aws.found.io/app/kibana#/discover/Steve-Slow-Train-Analysis-(2080s-and-2083s)?_g=(refreshInterval:(display:Off,pause:!f,section:0,value:0),time:(from:'2017-05-20T10:53:09-0600',mode:absolute,to:'2017-05-20T13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0" s="192" t="str">
        <f t="shared" si="33"/>
        <v>N</v>
      </c>
      <c r="X80" s="192">
        <f t="shared" si="28"/>
        <v>1</v>
      </c>
      <c r="Y80" s="192">
        <f t="shared" si="34"/>
        <v>5.3499999999999999E-2</v>
      </c>
      <c r="Z80" s="192">
        <f t="shared" si="35"/>
        <v>23.321000000000002</v>
      </c>
      <c r="AA80" s="192">
        <f t="shared" si="36"/>
        <v>23.267500000000002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37"/>
        <v>0167-20</v>
      </c>
      <c r="AE80" s="80" t="str">
        <f t="shared" si="38"/>
        <v>aws s3 cp s3://rtdc.mdm.uploadarchive.raw/RTDC4056/ "%USERPROFILE%\AppData\Local\Temp\OnboardLogs"\RTDC4056\2017-05-20 --exclude "*" --recursive --include "*20170520*" &amp; "%USERPROFILE%\Documents\GitHub\mrs-test-scripts\Headless Mode &amp; Sideloading\WalkAndUnGZ.bat" "%USERPROFILE%\AppData\Local\Temp\OnboardLogs"\RTDC4056\2017-05-20 &amp; aws s3 cp s3://rtdc.mdm.uploadarchive.raw/RTDC4056/ "%USERPROFILE%\AppData\Local\Temp\OnboardLogs"\RTDC4056\2017-05-21 --exclude "*" --recursive --include "*20170521*" &amp; "%USERPROFILE%\Documents\GitHub\mrs-test-scripts\Headless Mode &amp; Sideloading\WalkAndUnGZ.bat" "%USERPROFILE%\AppData\Local\Temp\OnboardLogs"\RTDC4056\2017-05-21</v>
      </c>
      <c r="AF80" s="77" t="str">
        <f t="shared" si="39"/>
        <v>"C:\Program Files (x86)\AstroGrep\AstroGrep.exe" /e /r /s /spath="%USERPROFILE%\AppData\Local\Temp\OnboardLogs" /stypes="app*4056*20170520*" /stext=" 18:.+((SYSTEM_STATE.+slice.+state.+changed )|(ment ac)|(multiple cpu faults)|(system.+state.+changed )|(\[timeout)|(PRM\|1\|D)|(kpr)|(kdp)|(train st.+moving)|(\|lc)|(penalty))"</v>
      </c>
      <c r="AG80" s="1" t="str">
        <f t="shared" si="40"/>
        <v>EC</v>
      </c>
      <c r="AH80" s="81" t="str">
        <f t="shared" si="41"/>
        <v>"%USERPROFILE%\Documents\GitHub\eaglep3\Utilities\RefineRTDCRunTimes.py" --tripid 167-20 --locoid 4056 --swversion DE.1.0.9.0 --startMP 204:535 --initTime 2017-05-20T11:53:09 --startdatetime 2017-05-20T12:00:19 --delay 2 --endMP 204:233210 --enddatetime 2017-05-20T12:37:33 --enforcementcount 0 &gt;&gt;C:\Users\stu\Documents\GitHub\eaglep3-reporting\EC\2017-05-20-refined-times.txt</v>
      </c>
      <c r="AI80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{"issue":{"subject":"","project_id":79,"tracker_id":40,"status_id":1,"priority_id":2,"assigned_to_id":23,"start_date":"2017-05-20","description":"","custom_fields":[{"id":1,"name":"Subdivision","value":"EC"},{"id":4,"name":"Milepost","value":"23.321"},{"id":17,"name":"Train ID","value":"167-20"},{"id":16,"name":"Locomotive ID","value":"4056"},{"id":130,"name":"Impact","value":""},{"id":150,"name":"Time of Event (Mountain Time)","value":"12:37:33"},{"id":151,"name":"Denver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43"/>
        <v>start /low /b %USERPROFILE%\Documents\GitHub\eaglep3\Utilities\DownloadLogsFromS3.py --loco 4056 --day 2017-05-20</v>
      </c>
      <c r="AN80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18:37:33"},{"id":29,"name":"Sharepoint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609</v>
      </c>
      <c r="B81" s="7">
        <v>4055</v>
      </c>
      <c r="C81" s="21" t="s">
        <v>206</v>
      </c>
      <c r="D81" s="21" t="s">
        <v>881</v>
      </c>
      <c r="E81" s="13">
        <v>42875.533252314817</v>
      </c>
      <c r="F81" s="13">
        <v>42875.539085648146</v>
      </c>
      <c r="G81" s="7">
        <v>1</v>
      </c>
      <c r="H81" s="21" t="s">
        <v>882</v>
      </c>
      <c r="I81" s="13">
        <v>42875.567777777775</v>
      </c>
      <c r="J81" s="7">
        <v>0</v>
      </c>
      <c r="K81" s="92" t="str">
        <f t="shared" si="29"/>
        <v>4055/4056</v>
      </c>
      <c r="L81" s="21" t="str">
        <f>VLOOKUP(A81,'Trips&amp;Operators'!$C$1:$G$99999,5,FALSE)</f>
        <v>PERKINS DARREN</v>
      </c>
      <c r="M81" s="6">
        <f t="shared" si="30"/>
        <v>2.8692129628325347E-2</v>
      </c>
      <c r="N81" s="7">
        <f t="shared" si="24"/>
        <v>41.316666664788499</v>
      </c>
      <c r="O81" s="7"/>
      <c r="P81" s="7"/>
      <c r="Q81" s="22"/>
      <c r="R81" s="190"/>
      <c r="S81" s="196">
        <f t="shared" si="25"/>
        <v>1</v>
      </c>
      <c r="T81" s="190" t="str">
        <f t="shared" si="31"/>
        <v>Southbound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 t="shared" si="32"/>
        <v>https://d0f6bd738d7f1b3e5a7ca70fe4ff75f0.us-east-1.aws.found.io/app/kibana#/discover/Steve-Slow-Train-Analysis-(2080s-and-2083s)?_g=(refreshInterval:(display:Off,pause:!f,section:0,value:0),time:(from:'2017-05-20T11:47:53-0600',mode:absolute,to:'2017-05-20T14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1" s="192" t="str">
        <f t="shared" si="33"/>
        <v>N</v>
      </c>
      <c r="X81" s="192">
        <f t="shared" si="28"/>
        <v>1</v>
      </c>
      <c r="Y81" s="192">
        <f t="shared" si="34"/>
        <v>23.288499999999999</v>
      </c>
      <c r="Z81" s="192">
        <f t="shared" si="35"/>
        <v>3.1600000000000003E-2</v>
      </c>
      <c r="AA81" s="192">
        <f t="shared" si="36"/>
        <v>23.256899999999998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37"/>
        <v>0168-20</v>
      </c>
      <c r="AE81" s="80" t="str">
        <f t="shared" si="38"/>
        <v>aws s3 cp s3://rtdc.mdm.uploadarchive.raw/RTDC4055/ "%USERPROFILE%\AppData\Local\Temp\OnboardLogs"\RTDC4055\2017-05-20 --exclude "*" --recursive --include "*20170520*" &amp; "%USERPROFILE%\Documents\GitHub\mrs-test-scripts\Headless Mode &amp; Sideloading\WalkAndUnGZ.bat" "%USERPROFILE%\AppData\Local\Temp\OnboardLogs"\RTDC4055\2017-05-20 &amp; aws s3 cp s3://rtdc.mdm.uploadarchive.raw/RTDC4055/ "%USERPROFILE%\AppData\Local\Temp\OnboardLogs"\RTDC4055\2017-05-21 --exclude "*" --recursive --include "*20170521*" &amp; "%USERPROFILE%\Documents\GitHub\mrs-test-scripts\Headless Mode &amp; Sideloading\WalkAndUnGZ.bat" "%USERPROFILE%\AppData\Local\Temp\OnboardLogs"\RTDC4055\2017-05-21</v>
      </c>
      <c r="AF81" s="77" t="str">
        <f t="shared" si="39"/>
        <v>"C:\Program Files (x86)\AstroGrep\AstroGrep.exe" /e /r /s /spath="%USERPROFILE%\AppData\Local\Temp\OnboardLogs" /stypes="app*4055*20170520*" /stext=" 19:.+((SYSTEM_STATE.+slice.+state.+changed )|(ment ac)|(multiple cpu faults)|(system.+state.+changed )|(\[timeout)|(PRM\|1\|D)|(kpr)|(kdp)|(train st.+moving)|(\|lc)|(penalty))"</v>
      </c>
      <c r="AG81" s="1" t="str">
        <f t="shared" si="40"/>
        <v>EC</v>
      </c>
      <c r="AH81" s="81" t="str">
        <f t="shared" si="41"/>
        <v>"%USERPROFILE%\Documents\GitHub\eaglep3\Utilities\RefineRTDCRunTimes.py" --tripid 168-20 --locoid 4055 --swversion DE.1.0.9.0 --startMP 204:232885 --initTime 2017-05-20T12:47:53 --startdatetime 2017-05-20T12:56:17 --delay 1 --endMP 204:316 --enddatetime 2017-05-20T13:37:36 --enforcementcount 0 &gt;&gt;C:\Users\stu\Documents\GitHub\eaglep3-reporting\EC\2017-05-20-refined-times.txt</v>
      </c>
      <c r="AI81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{"issue":{"subject":"","project_id":79,"tracker_id":40,"status_id":1,"priority_id":2,"assigned_to_id":23,"start_date":"2017-05-20","description":"","custom_fields":[{"id":1,"name":"Subdivision","value":"EC"},{"id":4,"name":"Milepost","value":"0.0316"},{"id":17,"name":"Train ID","value":"168-20"},{"id":16,"name":"Locomotive ID","value":"4055"},{"id":130,"name":"Impact","value":""},{"id":150,"name":"Time of Event (Mountain Time)","value":"13:37:36"},{"id":151,"name":"Denver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43"/>
        <v>start /low /b %USERPROFILE%\Documents\GitHub\eaglep3\Utilities\DownloadLogsFromS3.py --loco 4055 --day 2017-05-20</v>
      </c>
      <c r="AN81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19:37:36"},{"id":29,"name":"Sharepoint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746</v>
      </c>
      <c r="B82" s="7">
        <v>4008</v>
      </c>
      <c r="C82" s="21" t="s">
        <v>206</v>
      </c>
      <c r="D82" s="21" t="s">
        <v>501</v>
      </c>
      <c r="E82" s="13">
        <v>42875.504016203704</v>
      </c>
      <c r="F82" s="13">
        <v>42875.510567129626</v>
      </c>
      <c r="G82" s="7">
        <v>1</v>
      </c>
      <c r="H82" s="21" t="s">
        <v>465</v>
      </c>
      <c r="I82" s="13">
        <v>42875.534907407404</v>
      </c>
      <c r="J82" s="7">
        <v>0</v>
      </c>
      <c r="K82" s="92" t="str">
        <f t="shared" si="29"/>
        <v>4007/4008</v>
      </c>
      <c r="L82" s="21" t="str">
        <f>VLOOKUP(A82,'Trips&amp;Operators'!$C$1:$G$99999,5,FALSE)</f>
        <v>WHITED DUSTIN</v>
      </c>
      <c r="M82" s="6">
        <f t="shared" si="30"/>
        <v>2.4340277777810115E-2</v>
      </c>
      <c r="N82" s="7">
        <f t="shared" si="24"/>
        <v>35.050000000046566</v>
      </c>
      <c r="O82" s="7"/>
      <c r="P82" s="7"/>
      <c r="Q82" s="22"/>
      <c r="R82" s="190"/>
      <c r="S82" s="196">
        <f t="shared" si="25"/>
        <v>1</v>
      </c>
      <c r="T82" s="190" t="str">
        <f t="shared" si="31"/>
        <v>NorthBound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 t="shared" si="32"/>
        <v>https://d0f6bd738d7f1b3e5a7ca70fe4ff75f0.us-east-1.aws.found.io/app/kibana#/discover/Steve-Slow-Train-Analysis-(2080s-and-2083s)?_g=(refreshInterval:(display:Off,pause:!f,section:0,value:0),time:(from:'2017-05-20T11:05:47-0600',mode:absolute,to:'2017-05-20T13:50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2" s="192" t="str">
        <f t="shared" si="33"/>
        <v>N</v>
      </c>
      <c r="X82" s="192">
        <f t="shared" si="28"/>
        <v>1</v>
      </c>
      <c r="Y82" s="192">
        <f t="shared" si="34"/>
        <v>4.2900000000000001E-2</v>
      </c>
      <c r="Z82" s="192">
        <f t="shared" si="35"/>
        <v>23.328900000000001</v>
      </c>
      <c r="AA82" s="192">
        <f t="shared" si="36"/>
        <v>23.286000000000001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37"/>
        <v>0169-20</v>
      </c>
      <c r="AE82" s="80" t="str">
        <f t="shared" si="38"/>
        <v>aws s3 cp s3://rtdc.mdm.uploadarchive.raw/RTDC4008/ "%USERPROFILE%\AppData\Local\Temp\OnboardLogs"\RTDC4008\2017-05-20 --exclude "*" --recursive --include "*20170520*" &amp; "%USERPROFILE%\Documents\GitHub\mrs-test-scripts\Headless Mode &amp; Sideloading\WalkAndUnGZ.bat" "%USERPROFILE%\AppData\Local\Temp\OnboardLogs"\RTDC4008\2017-05-20 &amp; aws s3 cp s3://rtdc.mdm.uploadarchive.raw/RTDC4008/ "%USERPROFILE%\AppData\Local\Temp\OnboardLogs"\RTDC4008\2017-05-21 --exclude "*" --recursive --include "*20170521*" &amp; "%USERPROFILE%\Documents\GitHub\mrs-test-scripts\Headless Mode &amp; Sideloading\WalkAndUnGZ.bat" "%USERPROFILE%\AppData\Local\Temp\OnboardLogs"\RTDC4008\2017-05-21</v>
      </c>
      <c r="AF82" s="77" t="str">
        <f t="shared" si="39"/>
        <v>"C:\Program Files (x86)\AstroGrep\AstroGrep.exe" /e /r /s /spath="%USERPROFILE%\AppData\Local\Temp\OnboardLogs" /stypes="app*4008*20170520*" /stext=" 18:.+((SYSTEM_STATE.+slice.+state.+changed )|(ment ac)|(multiple cpu faults)|(system.+state.+changed )|(\[timeout)|(PRM\|1\|D)|(kpr)|(kdp)|(train st.+moving)|(\|lc)|(penalty))"</v>
      </c>
      <c r="AG82" s="1" t="str">
        <f t="shared" si="40"/>
        <v>EC</v>
      </c>
      <c r="AH82" s="81" t="str">
        <f t="shared" si="41"/>
        <v>"%USERPROFILE%\Documents\GitHub\eaglep3\Utilities\RefineRTDCRunTimes.py" --tripid 169-20 --locoid 4008 --swversion DE.1.0.9.0 --startMP 204:429 --initTime 2017-05-20T12:05:47 --startdatetime 2017-05-20T12:15:13 --delay 1 --endMP 204:233289 --enddatetime 2017-05-20T12:50:16 --enforcementcount 0 &gt;&gt;C:\Users\stu\Documents\GitHub\eaglep3-reporting\EC\2017-05-20-refined-times.txt</v>
      </c>
      <c r="AI82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{"issue":{"subject":"","project_id":79,"tracker_id":40,"status_id":1,"priority_id":2,"assigned_to_id":23,"start_date":"2017-05-20","description":"","custom_fields":[{"id":1,"name":"Subdivision","value":"EC"},{"id":4,"name":"Milepost","value":"23.3289"},{"id":17,"name":"Train ID","value":"169-20"},{"id":16,"name":"Locomotive ID","value":"4008"},{"id":130,"name":"Impact","value":""},{"id":150,"name":"Time of Event (Mountain Time)","value":"12:50:16"},{"id":151,"name":"Denver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43"/>
        <v>start /low /b %USERPROFILE%\Documents\GitHub\eaglep3\Utilities\DownloadLogsFromS3.py --loco 4008 --day 2017-05-20</v>
      </c>
      <c r="AN82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18:50:16"},{"id":29,"name":"Sharepoint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755</v>
      </c>
      <c r="B83" s="7">
        <v>4007</v>
      </c>
      <c r="C83" s="21" t="s">
        <v>206</v>
      </c>
      <c r="D83" s="21" t="s">
        <v>420</v>
      </c>
      <c r="E83" s="13">
        <v>42875.543599537035</v>
      </c>
      <c r="F83" s="13">
        <v>42875.549537037034</v>
      </c>
      <c r="G83" s="7">
        <v>1</v>
      </c>
      <c r="H83" s="21" t="s">
        <v>561</v>
      </c>
      <c r="I83" s="13">
        <v>42875.57545138889</v>
      </c>
      <c r="J83" s="7">
        <v>0</v>
      </c>
      <c r="K83" s="92" t="str">
        <f t="shared" si="29"/>
        <v>4007/4008</v>
      </c>
      <c r="L83" s="21" t="str">
        <f>VLOOKUP(A83,'Trips&amp;Operators'!$C$1:$G$99999,5,FALSE)</f>
        <v>WHITED DUSTIN</v>
      </c>
      <c r="M83" s="6">
        <f t="shared" si="30"/>
        <v>2.5914351856044959E-2</v>
      </c>
      <c r="N83" s="7">
        <f t="shared" si="24"/>
        <v>37.316666672704741</v>
      </c>
      <c r="O83" s="7"/>
      <c r="P83" s="7"/>
      <c r="Q83" s="22"/>
      <c r="R83" s="190"/>
      <c r="S83" s="196">
        <f t="shared" si="25"/>
        <v>1</v>
      </c>
      <c r="T83" s="190" t="str">
        <f t="shared" si="31"/>
        <v>Southbound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1" t="str">
        <f t="shared" si="32"/>
        <v>https://d0f6bd738d7f1b3e5a7ca70fe4ff75f0.us-east-1.aws.found.io/app/kibana#/discover/Steve-Slow-Train-Analysis-(2080s-and-2083s)?_g=(refreshInterval:(display:Off,pause:!f,section:0,value:0),time:(from:'2017-05-20T12:02:47-0600',mode:absolute,to:'2017-05-20T14:48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3" s="192" t="str">
        <f t="shared" si="33"/>
        <v>N</v>
      </c>
      <c r="X83" s="192">
        <f t="shared" si="28"/>
        <v>1</v>
      </c>
      <c r="Y83" s="192">
        <f t="shared" si="34"/>
        <v>23.297499999999999</v>
      </c>
      <c r="Z83" s="192">
        <f t="shared" si="35"/>
        <v>1.8700000000000001E-2</v>
      </c>
      <c r="AA83" s="192">
        <f t="shared" si="36"/>
        <v>23.2788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37"/>
        <v>0170-20</v>
      </c>
      <c r="AE83" s="80" t="str">
        <f t="shared" si="38"/>
        <v>aws s3 cp s3://rtdc.mdm.uploadarchive.raw/RTDC4007/ "%USERPROFILE%\AppData\Local\Temp\OnboardLogs"\RTDC4007\2017-05-20 --exclude "*" --recursive --include "*20170520*" &amp; "%USERPROFILE%\Documents\GitHub\mrs-test-scripts\Headless Mode &amp; Sideloading\WalkAndUnGZ.bat" "%USERPROFILE%\AppData\Local\Temp\OnboardLogs"\RTDC4007\2017-05-20 &amp; aws s3 cp s3://rtdc.mdm.uploadarchive.raw/RTDC4007/ "%USERPROFILE%\AppData\Local\Temp\OnboardLogs"\RTDC4007\2017-05-21 --exclude "*" --recursive --include "*20170521*" &amp; "%USERPROFILE%\Documents\GitHub\mrs-test-scripts\Headless Mode &amp; Sideloading\WalkAndUnGZ.bat" "%USERPROFILE%\AppData\Local\Temp\OnboardLogs"\RTDC4007\2017-05-21</v>
      </c>
      <c r="AF83" s="77" t="str">
        <f t="shared" si="39"/>
        <v>"C:\Program Files (x86)\AstroGrep\AstroGrep.exe" /e /r /s /spath="%USERPROFILE%\AppData\Local\Temp\OnboardLogs" /stypes="app*4007*20170520*" /stext=" 19:.+((SYSTEM_STATE.+slice.+state.+changed )|(ment ac)|(multiple cpu faults)|(system.+state.+changed )|(\[timeout)|(PRM\|1\|D)|(kpr)|(kdp)|(train st.+moving)|(\|lc)|(penalty))"</v>
      </c>
      <c r="AG83" s="1" t="str">
        <f t="shared" si="40"/>
        <v>EC</v>
      </c>
      <c r="AH83" s="81" t="str">
        <f t="shared" si="41"/>
        <v>"%USERPROFILE%\Documents\GitHub\eaglep3\Utilities\RefineRTDCRunTimes.py" --tripid 170-20 --locoid 4007 --swversion DE.1.0.9.0 --startMP 204:232975 --initTime 2017-05-20T13:02:47 --startdatetime 2017-05-20T13:11:20 --delay 1 --endMP 204:187 --enddatetime 2017-05-20T13:48:39 --enforcementcount 0 &gt;&gt;C:\Users\stu\Documents\GitHub\eaglep3-reporting\EC\2017-05-20-refined-times.txt</v>
      </c>
      <c r="AI83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{"issue":{"subject":"","project_id":79,"tracker_id":40,"status_id":1,"priority_id":2,"assigned_to_id":23,"start_date":"2017-05-20","description":"","custom_fields":[{"id":1,"name":"Subdivision","value":"EC"},{"id":4,"name":"Milepost","value":"0.0187"},{"id":17,"name":"Train ID","value":"170-20"},{"id":16,"name":"Locomotive ID","value":"4007"},{"id":130,"name":"Impact","value":""},{"id":150,"name":"Time of Event (Mountain Time)","value":"13:48:39"},{"id":151,"name":"Denver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43"/>
        <v>start /low /b %USERPROFILE%\Documents\GitHub\eaglep3\Utilities\DownloadLogsFromS3.py --loco 4007 --day 2017-05-20</v>
      </c>
      <c r="AN83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19:48:39"},{"id":29,"name":"Sharepoint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2" t="s">
        <v>749</v>
      </c>
      <c r="B84" s="7">
        <v>4026</v>
      </c>
      <c r="C84" s="21" t="s">
        <v>206</v>
      </c>
      <c r="D84" s="21" t="s">
        <v>355</v>
      </c>
      <c r="E84" s="13">
        <v>42875.517384259256</v>
      </c>
      <c r="F84" s="13">
        <v>42875.521215277775</v>
      </c>
      <c r="G84" s="7">
        <v>2</v>
      </c>
      <c r="H84" s="21" t="s">
        <v>554</v>
      </c>
      <c r="I84" s="13">
        <v>42875.545810185184</v>
      </c>
      <c r="J84" s="7">
        <v>0</v>
      </c>
      <c r="K84" s="92" t="str">
        <f t="shared" si="29"/>
        <v>4025/4026</v>
      </c>
      <c r="L84" s="21" t="str">
        <f>VLOOKUP(A84,'Trips&amp;Operators'!$C$1:$G$99999,5,FALSE)</f>
        <v>MOSES BRADLEY</v>
      </c>
      <c r="M84" s="6">
        <f t="shared" si="30"/>
        <v>2.4594907408754807E-2</v>
      </c>
      <c r="N84" s="7">
        <f t="shared" si="24"/>
        <v>35.416666668606922</v>
      </c>
      <c r="O84" s="7"/>
      <c r="P84" s="7"/>
      <c r="Q84" s="22"/>
      <c r="R84" s="190"/>
      <c r="S84" s="196">
        <f t="shared" si="25"/>
        <v>1</v>
      </c>
      <c r="T84" s="190" t="str">
        <f t="shared" si="31"/>
        <v>NorthBound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 t="shared" si="32"/>
        <v>https://d0f6bd738d7f1b3e5a7ca70fe4ff75f0.us-east-1.aws.found.io/app/kibana#/discover/Steve-Slow-Train-Analysis-(2080s-and-2083s)?_g=(refreshInterval:(display:Off,pause:!f,section:0,value:0),time:(from:'2017-05-20T11:25:02-0600',mode:absolute,to:'2017-05-20T14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4" s="192" t="str">
        <f t="shared" si="33"/>
        <v>N</v>
      </c>
      <c r="X84" s="192">
        <f t="shared" si="28"/>
        <v>1</v>
      </c>
      <c r="Y84" s="192">
        <f t="shared" si="34"/>
        <v>4.58E-2</v>
      </c>
      <c r="Z84" s="192">
        <f t="shared" si="35"/>
        <v>23.330200000000001</v>
      </c>
      <c r="AA84" s="192">
        <f t="shared" si="36"/>
        <v>23.284400000000002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37"/>
        <v>0171-20</v>
      </c>
      <c r="AE84" s="80" t="str">
        <f t="shared" si="38"/>
        <v>aws s3 cp s3://rtdc.mdm.uploadarchive.raw/RTDC4026/ "%USERPROFILE%\AppData\Local\Temp\OnboardLogs"\RTDC4026\2017-05-20 --exclude "*" --recursive --include "*20170520*" &amp; "%USERPROFILE%\Documents\GitHub\mrs-test-scripts\Headless Mode &amp; Sideloading\WalkAndUnGZ.bat" "%USERPROFILE%\AppData\Local\Temp\OnboardLogs"\RTDC4026\2017-05-20 &amp; aws s3 cp s3://rtdc.mdm.uploadarchive.raw/RTDC4026/ "%USERPROFILE%\AppData\Local\Temp\OnboardLogs"\RTDC4026\2017-05-21 --exclude "*" --recursive --include "*20170521*" &amp; "%USERPROFILE%\Documents\GitHub\mrs-test-scripts\Headless Mode &amp; Sideloading\WalkAndUnGZ.bat" "%USERPROFILE%\AppData\Local\Temp\OnboardLogs"\RTDC4026\2017-05-21</v>
      </c>
      <c r="AF84" s="77" t="str">
        <f t="shared" si="39"/>
        <v>"C:\Program Files (x86)\AstroGrep\AstroGrep.exe" /e /r /s /spath="%USERPROFILE%\AppData\Local\Temp\OnboardLogs" /stypes="app*4026*20170520*" /stext=" 19:.+((SYSTEM_STATE.+slice.+state.+changed )|(ment ac)|(multiple cpu faults)|(system.+state.+changed )|(\[timeout)|(PRM\|1\|D)|(kpr)|(kdp)|(train st.+moving)|(\|lc)|(penalty))"</v>
      </c>
      <c r="AG84" s="1" t="str">
        <f t="shared" si="40"/>
        <v>EC</v>
      </c>
      <c r="AH84" s="81" t="str">
        <f t="shared" si="41"/>
        <v>"%USERPROFILE%\Documents\GitHub\eaglep3\Utilities\RefineRTDCRunTimes.py" --tripid 171-20 --locoid 4026 --swversion DE.1.0.9.0 --startMP 204:458 --initTime 2017-05-20T12:25:02 --startdatetime 2017-05-20T12:30:33 --delay 2 --endMP 204:233302 --enddatetime 2017-05-20T13:05:58 --enforcementcount 0 &gt;&gt;C:\Users\stu\Documents\GitHub\eaglep3-reporting\EC\2017-05-20-refined-times.txt</v>
      </c>
      <c r="AI84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{"issue":{"subject":"","project_id":79,"tracker_id":40,"status_id":1,"priority_id":2,"assigned_to_id":23,"start_date":"2017-05-20","description":"","custom_fields":[{"id":1,"name":"Subdivision","value":"EC"},{"id":4,"name":"Milepost","value":"23.3302"},{"id":17,"name":"Train ID","value":"171-20"},{"id":16,"name":"Locomotive ID","value":"4026"},{"id":130,"name":"Impact","value":""},{"id":150,"name":"Time of Event (Mountain Time)","value":"13:05:58"},{"id":151,"name":"Denver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7"/>
      <c r="AL84" s="47"/>
      <c r="AM84" s="145" t="str">
        <f t="shared" si="43"/>
        <v>start /low /b %USERPROFILE%\Documents\GitHub\eaglep3\Utilities\DownloadLogsFromS3.py --loco 4026 --day 2017-05-20</v>
      </c>
      <c r="AN84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19:05:58"},{"id":29,"name":"Sharepoint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2" t="s">
        <v>757</v>
      </c>
      <c r="B85" s="7">
        <v>4025</v>
      </c>
      <c r="C85" s="21" t="s">
        <v>206</v>
      </c>
      <c r="D85" s="21" t="s">
        <v>883</v>
      </c>
      <c r="E85" s="13">
        <v>42875.556643518517</v>
      </c>
      <c r="F85" s="13">
        <v>42875.559988425928</v>
      </c>
      <c r="G85" s="7">
        <v>1</v>
      </c>
      <c r="H85" s="21" t="s">
        <v>561</v>
      </c>
      <c r="I85" s="13">
        <v>42875.588229166664</v>
      </c>
      <c r="J85" s="7">
        <v>0</v>
      </c>
      <c r="K85" s="92" t="str">
        <f t="shared" si="29"/>
        <v>4025/4026</v>
      </c>
      <c r="L85" s="21" t="str">
        <f>VLOOKUP(A85,'Trips&amp;Operators'!$C$1:$G$99999,5,FALSE)</f>
        <v>MOSES BRADLEY</v>
      </c>
      <c r="M85" s="6">
        <f t="shared" si="30"/>
        <v>2.824074073578231E-2</v>
      </c>
      <c r="N85" s="7">
        <f t="shared" si="24"/>
        <v>40.666666659526527</v>
      </c>
      <c r="O85" s="7"/>
      <c r="P85" s="7"/>
      <c r="Q85" s="22"/>
      <c r="R85" s="190"/>
      <c r="S85" s="196">
        <f t="shared" si="25"/>
        <v>1</v>
      </c>
      <c r="T85" s="190" t="str">
        <f t="shared" si="31"/>
        <v>Southbound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 t="shared" si="32"/>
        <v>https://d0f6bd738d7f1b3e5a7ca70fe4ff75f0.us-east-1.aws.found.io/app/kibana#/discover/Steve-Slow-Train-Analysis-(2080s-and-2083s)?_g=(refreshInterval:(display:Off,pause:!f,section:0,value:0),time:(from:'2017-05-20T12:21:34-0600',mode:absolute,to:'2017-05-20T15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5" s="192" t="str">
        <f t="shared" si="33"/>
        <v>N</v>
      </c>
      <c r="X85" s="192">
        <f t="shared" si="28"/>
        <v>1</v>
      </c>
      <c r="Y85" s="192">
        <f t="shared" si="34"/>
        <v>23.3019</v>
      </c>
      <c r="Z85" s="192">
        <f t="shared" si="35"/>
        <v>1.8700000000000001E-2</v>
      </c>
      <c r="AA85" s="192">
        <f t="shared" si="36"/>
        <v>23.283200000000001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37"/>
        <v>0172-20</v>
      </c>
      <c r="AE85" s="80" t="str">
        <f t="shared" si="38"/>
        <v>aws s3 cp s3://rtdc.mdm.uploadarchive.raw/RTDC4025/ "%USERPROFILE%\AppData\Local\Temp\OnboardLogs"\RTDC4025\2017-05-20 --exclude "*" --recursive --include "*20170520*" &amp; "%USERPROFILE%\Documents\GitHub\mrs-test-scripts\Headless Mode &amp; Sideloading\WalkAndUnGZ.bat" "%USERPROFILE%\AppData\Local\Temp\OnboardLogs"\RTDC4025\2017-05-20 &amp; aws s3 cp s3://rtdc.mdm.uploadarchive.raw/RTDC4025/ "%USERPROFILE%\AppData\Local\Temp\OnboardLogs"\RTDC4025\2017-05-21 --exclude "*" --recursive --include "*20170521*" &amp; "%USERPROFILE%\Documents\GitHub\mrs-test-scripts\Headless Mode &amp; Sideloading\WalkAndUnGZ.bat" "%USERPROFILE%\AppData\Local\Temp\OnboardLogs"\RTDC4025\2017-05-21</v>
      </c>
      <c r="AF85" s="77" t="str">
        <f t="shared" si="39"/>
        <v>"C:\Program Files (x86)\AstroGrep\AstroGrep.exe" /e /r /s /spath="%USERPROFILE%\AppData\Local\Temp\OnboardLogs" /stypes="app*4025*20170520*" /stext=" 20:.+((SYSTEM_STATE.+slice.+state.+changed )|(ment ac)|(multiple cpu faults)|(system.+state.+changed )|(\[timeout)|(PRM\|1\|D)|(kpr)|(kdp)|(train st.+moving)|(\|lc)|(penalty))"</v>
      </c>
      <c r="AG85" s="1" t="str">
        <f t="shared" si="40"/>
        <v>EC</v>
      </c>
      <c r="AH85" s="81" t="str">
        <f t="shared" si="41"/>
        <v>"%USERPROFILE%\Documents\GitHub\eaglep3\Utilities\RefineRTDCRunTimes.py" --tripid 172-20 --locoid 4025 --swversion DE.1.0.9.0 --startMP 204:233019 --initTime 2017-05-20T13:21:34 --startdatetime 2017-05-20T13:26:23 --delay 1 --endMP 204:187 --enddatetime 2017-05-20T14:07:03 --enforcementcount 0 &gt;&gt;C:\Users\stu\Documents\GitHub\eaglep3-reporting\EC\2017-05-20-refined-times.txt</v>
      </c>
      <c r="AI85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{"issue":{"subject":"","project_id":79,"tracker_id":40,"status_id":1,"priority_id":2,"assigned_to_id":23,"start_date":"2017-05-20","description":"","custom_fields":[{"id":1,"name":"Subdivision","value":"EC"},{"id":4,"name":"Milepost","value":"0.0187"},{"id":17,"name":"Train ID","value":"172-20"},{"id":16,"name":"Locomotive ID","value":"4025"},{"id":130,"name":"Impact","value":""},{"id":150,"name":"Time of Event (Mountain Time)","value":"14:07:03"},{"id":151,"name":"Denver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7"/>
      <c r="AL85" s="47"/>
      <c r="AM85" s="145" t="str">
        <f t="shared" si="43"/>
        <v>start /low /b %USERPROFILE%\Documents\GitHub\eaglep3\Utilities\DownloadLogsFromS3.py --loco 4025 --day 2017-05-20</v>
      </c>
      <c r="AN85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20:07:03"},{"id":29,"name":"Sharepoint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2" t="s">
        <v>752</v>
      </c>
      <c r="B86" s="7">
        <v>4010</v>
      </c>
      <c r="C86" s="21" t="s">
        <v>206</v>
      </c>
      <c r="D86" s="21" t="s">
        <v>884</v>
      </c>
      <c r="E86" s="13">
        <v>42875.527106481481</v>
      </c>
      <c r="F86" s="13">
        <v>42875.531539351854</v>
      </c>
      <c r="G86" s="7">
        <v>1</v>
      </c>
      <c r="H86" s="21" t="s">
        <v>552</v>
      </c>
      <c r="I86" s="13">
        <v>42875.555787037039</v>
      </c>
      <c r="J86" s="7">
        <v>0</v>
      </c>
      <c r="K86" s="92" t="str">
        <f t="shared" si="29"/>
        <v>4009/4010</v>
      </c>
      <c r="L86" s="21" t="str">
        <f>VLOOKUP(A86,'Trips&amp;Operators'!$C$1:$G$99999,5,FALSE)</f>
        <v>STEWART MICHAEL</v>
      </c>
      <c r="M86" s="6">
        <f t="shared" si="30"/>
        <v>2.4247685185400769E-2</v>
      </c>
      <c r="N86" s="7">
        <f t="shared" si="24"/>
        <v>34.916666666977108</v>
      </c>
      <c r="O86" s="7"/>
      <c r="P86" s="7"/>
      <c r="Q86" s="22"/>
      <c r="R86" s="190"/>
      <c r="S86" s="196">
        <f t="shared" si="25"/>
        <v>1</v>
      </c>
      <c r="T86" s="190" t="str">
        <f t="shared" si="31"/>
        <v>NorthBound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 t="shared" si="32"/>
        <v>https://d0f6bd738d7f1b3e5a7ca70fe4ff75f0.us-east-1.aws.found.io/app/kibana#/discover/Steve-Slow-Train-Analysis-(2080s-and-2083s)?_g=(refreshInterval:(display:Off,pause:!f,section:0,value:0),time:(from:'2017-05-20T11:39:02-0600',mode:absolute,to:'2017-05-20T14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6" s="192" t="str">
        <f t="shared" si="33"/>
        <v>N</v>
      </c>
      <c r="X86" s="192">
        <f t="shared" si="28"/>
        <v>1</v>
      </c>
      <c r="Y86" s="192">
        <f t="shared" si="34"/>
        <v>4.8800000000000003E-2</v>
      </c>
      <c r="Z86" s="192">
        <f t="shared" si="35"/>
        <v>23.328800000000001</v>
      </c>
      <c r="AA86" s="192">
        <f t="shared" si="36"/>
        <v>23.28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37"/>
        <v>0173-20</v>
      </c>
      <c r="AE86" s="80" t="str">
        <f t="shared" si="38"/>
        <v>aws s3 cp s3://rtdc.mdm.uploadarchive.raw/RTDC4010/ "%USERPROFILE%\AppData\Local\Temp\OnboardLogs"\RTDC4010\2017-05-20 --exclude "*" --recursive --include "*20170520*" &amp; "%USERPROFILE%\Documents\GitHub\mrs-test-scripts\Headless Mode &amp; Sideloading\WalkAndUnGZ.bat" "%USERPROFILE%\AppData\Local\Temp\OnboardLogs"\RTDC4010\2017-05-20 &amp; aws s3 cp s3://rtdc.mdm.uploadarchive.raw/RTDC4010/ "%USERPROFILE%\AppData\Local\Temp\OnboardLogs"\RTDC4010\2017-05-21 --exclude "*" --recursive --include "*20170521*" &amp; "%USERPROFILE%\Documents\GitHub\mrs-test-scripts\Headless Mode &amp; Sideloading\WalkAndUnGZ.bat" "%USERPROFILE%\AppData\Local\Temp\OnboardLogs"\RTDC4010\2017-05-21</v>
      </c>
      <c r="AF86" s="77" t="str">
        <f t="shared" si="39"/>
        <v>"C:\Program Files (x86)\AstroGrep\AstroGrep.exe" /e /r /s /spath="%USERPROFILE%\AppData\Local\Temp\OnboardLogs" /stypes="app*4010*20170520*" /stext=" 19:.+((SYSTEM_STATE.+slice.+state.+changed )|(ment ac)|(multiple cpu faults)|(system.+state.+changed )|(\[timeout)|(PRM\|1\|D)|(kpr)|(kdp)|(train st.+moving)|(\|lc)|(penalty))"</v>
      </c>
      <c r="AG86" s="1" t="str">
        <f t="shared" si="40"/>
        <v>EC</v>
      </c>
      <c r="AH86" s="81" t="str">
        <f t="shared" si="41"/>
        <v>"%USERPROFILE%\Documents\GitHub\eaglep3\Utilities\RefineRTDCRunTimes.py" --tripid 173-20 --locoid 4010 --swversion DE.1.0.9.0 --startMP 204:488 --initTime 2017-05-20T12:39:02 --startdatetime 2017-05-20T12:45:25 --delay 1 --endMP 204:233288 --enddatetime 2017-05-20T13:20:20 --enforcementcount 0 &gt;&gt;C:\Users\stu\Documents\GitHub\eaglep3-reporting\EC\2017-05-20-refined-times.txt</v>
      </c>
      <c r="AI86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{"issue":{"subject":"","project_id":79,"tracker_id":40,"status_id":1,"priority_id":2,"assigned_to_id":23,"start_date":"2017-05-20","description":"","custom_fields":[{"id":1,"name":"Subdivision","value":"EC"},{"id":4,"name":"Milepost","value":"23.3288"},{"id":17,"name":"Train ID","value":"173-20"},{"id":16,"name":"Locomotive ID","value":"4010"},{"id":130,"name":"Impact","value":""},{"id":150,"name":"Time of Event (Mountain Time)","value":"13:20:20"},{"id":151,"name":"Denver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5" t="str">
        <f t="shared" si="43"/>
        <v>start /low /b %USERPROFILE%\Documents\GitHub\eaglep3\Utilities\DownloadLogsFromS3.py --loco 4010 --day 2017-05-20</v>
      </c>
      <c r="AN86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19:20:20"},{"id":29,"name":"Sharepoint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7" spans="1:91" s="20" customFormat="1" x14ac:dyDescent="0.25">
      <c r="A87" s="32" t="s">
        <v>759</v>
      </c>
      <c r="B87" s="7">
        <v>4009</v>
      </c>
      <c r="C87" s="21" t="s">
        <v>206</v>
      </c>
      <c r="D87" s="21" t="s">
        <v>558</v>
      </c>
      <c r="E87" s="13">
        <v>42875.568182870367</v>
      </c>
      <c r="F87" s="13">
        <v>42875.5703125</v>
      </c>
      <c r="G87" s="7">
        <v>1</v>
      </c>
      <c r="H87" s="21" t="s">
        <v>885</v>
      </c>
      <c r="I87" s="13">
        <v>42875.599849537037</v>
      </c>
      <c r="J87" s="7">
        <v>0</v>
      </c>
      <c r="K87" s="92" t="str">
        <f t="shared" si="29"/>
        <v>4009/4010</v>
      </c>
      <c r="L87" s="21" t="str">
        <f>VLOOKUP(A87,'Trips&amp;Operators'!$C$1:$G$99999,5,FALSE)</f>
        <v>STEWART MICHAEL</v>
      </c>
      <c r="M87" s="6">
        <f t="shared" si="30"/>
        <v>2.9537037036789116E-2</v>
      </c>
      <c r="N87" s="7">
        <f t="shared" si="24"/>
        <v>42.533333332976326</v>
      </c>
      <c r="O87" s="7"/>
      <c r="P87" s="7"/>
      <c r="Q87" s="22"/>
      <c r="R87" s="190"/>
      <c r="S87" s="196">
        <f t="shared" si="25"/>
        <v>1</v>
      </c>
      <c r="T87" s="190" t="str">
        <f t="shared" si="31"/>
        <v>Southbound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 t="shared" si="32"/>
        <v>https://d0f6bd738d7f1b3e5a7ca70fe4ff75f0.us-east-1.aws.found.io/app/kibana#/discover/Steve-Slow-Train-Analysis-(2080s-and-2083s)?_g=(refreshInterval:(display:Off,pause:!f,section:0,value:0),time:(from:'2017-05-20T12:38:11-0600',mode:absolute,to:'2017-05-20T15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7" s="192" t="str">
        <f t="shared" si="33"/>
        <v>N</v>
      </c>
      <c r="X87" s="192">
        <f t="shared" si="28"/>
        <v>1</v>
      </c>
      <c r="Y87" s="192">
        <f t="shared" si="34"/>
        <v>23.297799999999999</v>
      </c>
      <c r="Z87" s="192">
        <f t="shared" si="35"/>
        <v>0.1113</v>
      </c>
      <c r="AA87" s="192">
        <f t="shared" si="36"/>
        <v>23.186499999999999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37"/>
        <v>0174-20</v>
      </c>
      <c r="AE87" s="80" t="str">
        <f t="shared" si="38"/>
        <v>aws s3 cp s3://rtdc.mdm.uploadarchive.raw/RTDC4009/ "%USERPROFILE%\AppData\Local\Temp\OnboardLogs"\RTDC4009\2017-05-20 --exclude "*" --recursive --include "*20170520*" &amp; "%USERPROFILE%\Documents\GitHub\mrs-test-scripts\Headless Mode &amp; Sideloading\WalkAndUnGZ.bat" "%USERPROFILE%\AppData\Local\Temp\OnboardLogs"\RTDC4009\2017-05-20 &amp; aws s3 cp s3://rtdc.mdm.uploadarchive.raw/RTDC4009/ "%USERPROFILE%\AppData\Local\Temp\OnboardLogs"\RTDC4009\2017-05-21 --exclude "*" --recursive --include "*20170521*" &amp; "%USERPROFILE%\Documents\GitHub\mrs-test-scripts\Headless Mode &amp; Sideloading\WalkAndUnGZ.bat" "%USERPROFILE%\AppData\Local\Temp\OnboardLogs"\RTDC4009\2017-05-21</v>
      </c>
      <c r="AF87" s="77" t="str">
        <f t="shared" si="39"/>
        <v>"C:\Program Files (x86)\AstroGrep\AstroGrep.exe" /e /r /s /spath="%USERPROFILE%\AppData\Local\Temp\OnboardLogs" /stypes="app*4009*20170520*" /stext=" 20:.+((SYSTEM_STATE.+slice.+state.+changed )|(ment ac)|(multiple cpu faults)|(system.+state.+changed )|(\[timeout)|(PRM\|1\|D)|(kpr)|(kdp)|(train st.+moving)|(\|lc)|(penalty))"</v>
      </c>
      <c r="AG87" s="1" t="str">
        <f t="shared" si="40"/>
        <v>EC</v>
      </c>
      <c r="AH87" s="81" t="str">
        <f t="shared" si="41"/>
        <v>"%USERPROFILE%\Documents\GitHub\eaglep3\Utilities\RefineRTDCRunTimes.py" --tripid 174-20 --locoid 4009 --swversion DE.1.0.9.0 --startMP 204:232978 --initTime 2017-05-20T13:38:11 --startdatetime 2017-05-20T13:41:15 --delay 1 --endMP 204:1113 --enddatetime 2017-05-20T14:23:47 --enforcementcount 0 &gt;&gt;C:\Users\stu\Documents\GitHub\eaglep3-reporting\EC\2017-05-20-refined-times.txt</v>
      </c>
      <c r="AI87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{"issue":{"subject":"","project_id":79,"tracker_id":40,"status_id":1,"priority_id":2,"assigned_to_id":23,"start_date":"2017-05-20","description":"","custom_fields":[{"id":1,"name":"Subdivision","value":"EC"},{"id":4,"name":"Milepost","value":"0.1113"},{"id":17,"name":"Train ID","value":"174-20"},{"id":16,"name":"Locomotive ID","value":"4009"},{"id":130,"name":"Impact","value":""},{"id":150,"name":"Time of Event (Mountain Time)","value":"14:23:47"},{"id":151,"name":"Denver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7"/>
      <c r="AL87" s="47"/>
      <c r="AM87" s="145" t="str">
        <f t="shared" si="43"/>
        <v>start /low /b %USERPROFILE%\Documents\GitHub\eaglep3\Utilities\DownloadLogsFromS3.py --loco 4009 --day 2017-05-20</v>
      </c>
      <c r="AN87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20:23:47"},{"id":29,"name":"Sharepoint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2" t="s">
        <v>753</v>
      </c>
      <c r="B88" s="7">
        <v>4012</v>
      </c>
      <c r="C88" s="21" t="s">
        <v>206</v>
      </c>
      <c r="D88" s="21" t="s">
        <v>203</v>
      </c>
      <c r="E88" s="13">
        <v>42875.536678240744</v>
      </c>
      <c r="F88" s="13">
        <v>42875.541886574072</v>
      </c>
      <c r="G88" s="7">
        <v>1</v>
      </c>
      <c r="H88" s="21" t="s">
        <v>886</v>
      </c>
      <c r="I88" s="13">
        <v>42875.56653935185</v>
      </c>
      <c r="J88" s="7">
        <v>0</v>
      </c>
      <c r="K88" s="92" t="str">
        <f t="shared" si="29"/>
        <v>4011/4012</v>
      </c>
      <c r="L88" s="21" t="str">
        <f>VLOOKUP(A88,'Trips&amp;Operators'!$C$1:$G$99999,5,FALSE)</f>
        <v>MCREYNOLDS KYLE</v>
      </c>
      <c r="M88" s="6">
        <f t="shared" si="30"/>
        <v>2.4652777778101154E-2</v>
      </c>
      <c r="N88" s="7">
        <f t="shared" si="24"/>
        <v>35.500000000465661</v>
      </c>
      <c r="O88" s="7"/>
      <c r="P88" s="7"/>
      <c r="Q88" s="22"/>
      <c r="R88" s="190"/>
      <c r="S88" s="196">
        <f t="shared" si="25"/>
        <v>1</v>
      </c>
      <c r="T88" s="190" t="str">
        <f t="shared" si="31"/>
        <v>NorthBound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 t="shared" si="32"/>
        <v>https://d0f6bd738d7f1b3e5a7ca70fe4ff75f0.us-east-1.aws.found.io/app/kibana#/discover/Steve-Slow-Train-Analysis-(2080s-and-2083s)?_g=(refreshInterval:(display:Off,pause:!f,section:0,value:0),time:(from:'2017-05-20T11:52:49-0600',mode:absolute,to:'2017-05-20T14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8" s="192" t="str">
        <f t="shared" si="33"/>
        <v>N</v>
      </c>
      <c r="X88" s="192">
        <f t="shared" si="28"/>
        <v>1</v>
      </c>
      <c r="Y88" s="192">
        <f t="shared" si="34"/>
        <v>4.5999999999999999E-2</v>
      </c>
      <c r="Z88" s="192">
        <f t="shared" si="35"/>
        <v>23.331700000000001</v>
      </c>
      <c r="AA88" s="192">
        <f t="shared" si="36"/>
        <v>23.285700000000002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37"/>
        <v>0175-20</v>
      </c>
      <c r="AE88" s="80" t="str">
        <f t="shared" si="38"/>
        <v>aws s3 cp s3://rtdc.mdm.uploadarchive.raw/RTDC4012/ "%USERPROFILE%\AppData\Local\Temp\OnboardLogs"\RTDC4012\2017-05-20 --exclude "*" --recursive --include "*20170520*" &amp; "%USERPROFILE%\Documents\GitHub\mrs-test-scripts\Headless Mode &amp; Sideloading\WalkAndUnGZ.bat" "%USERPROFILE%\AppData\Local\Temp\OnboardLogs"\RTDC4012\2017-05-20 &amp; aws s3 cp s3://rtdc.mdm.uploadarchive.raw/RTDC4012/ "%USERPROFILE%\AppData\Local\Temp\OnboardLogs"\RTDC4012\2017-05-21 --exclude "*" --recursive --include "*20170521*" &amp; "%USERPROFILE%\Documents\GitHub\mrs-test-scripts\Headless Mode &amp; Sideloading\WalkAndUnGZ.bat" "%USERPROFILE%\AppData\Local\Temp\OnboardLogs"\RTDC4012\2017-05-21</v>
      </c>
      <c r="AF88" s="77" t="str">
        <f t="shared" si="39"/>
        <v>"C:\Program Files (x86)\AstroGrep\AstroGrep.exe" /e /r /s /spath="%USERPROFILE%\AppData\Local\Temp\OnboardLogs" /stypes="app*4012*20170520*" /stext=" 19:.+((SYSTEM_STATE.+slice.+state.+changed )|(ment ac)|(multiple cpu faults)|(system.+state.+changed )|(\[timeout)|(PRM\|1\|D)|(kpr)|(kdp)|(train st.+moving)|(\|lc)|(penalty))"</v>
      </c>
      <c r="AG88" s="1" t="str">
        <f t="shared" si="40"/>
        <v>EC</v>
      </c>
      <c r="AH88" s="81" t="str">
        <f t="shared" si="41"/>
        <v>"%USERPROFILE%\Documents\GitHub\eaglep3\Utilities\RefineRTDCRunTimes.py" --tripid 175-20 --locoid 4012 --swversion DE.1.0.9.0 --startMP 204:460 --initTime 2017-05-20T12:52:49 --startdatetime 2017-05-20T13:00:19 --delay 1 --endMP 204:233317 --enddatetime 2017-05-20T13:35:49 --enforcementcount 0 &gt;&gt;C:\Users\stu\Documents\GitHub\eaglep3-reporting\EC\2017-05-20-refined-times.txt</v>
      </c>
      <c r="AI88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{"issue":{"subject":"","project_id":79,"tracker_id":40,"status_id":1,"priority_id":2,"assigned_to_id":23,"start_date":"2017-05-20","description":"","custom_fields":[{"id":1,"name":"Subdivision","value":"EC"},{"id":4,"name":"Milepost","value":"23.3317"},{"id":17,"name":"Train ID","value":"175-20"},{"id":16,"name":"Locomotive ID","value":"4012"},{"id":130,"name":"Impact","value":""},{"id":150,"name":"Time of Event (Mountain Time)","value":"13:35:49"},{"id":151,"name":"Denver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7"/>
      <c r="AL88" s="47"/>
      <c r="AM88" s="145" t="str">
        <f t="shared" si="43"/>
        <v>start /low /b %USERPROFILE%\Documents\GitHub\eaglep3\Utilities\DownloadLogsFromS3.py --loco 4012 --day 2017-05-20</v>
      </c>
      <c r="AN88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19:35:49"},{"id":29,"name":"Sharepoint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2" t="s">
        <v>761</v>
      </c>
      <c r="B89" s="7">
        <v>4011</v>
      </c>
      <c r="C89" s="21" t="s">
        <v>206</v>
      </c>
      <c r="D89" s="21" t="s">
        <v>845</v>
      </c>
      <c r="E89" s="13">
        <v>42875.57303240741</v>
      </c>
      <c r="F89" s="13">
        <v>42875.580868055556</v>
      </c>
      <c r="G89" s="7">
        <v>1</v>
      </c>
      <c r="H89" s="21" t="s">
        <v>368</v>
      </c>
      <c r="I89" s="13">
        <v>42875.609270833331</v>
      </c>
      <c r="J89" s="7">
        <v>0</v>
      </c>
      <c r="K89" s="92" t="str">
        <f t="shared" si="29"/>
        <v>4011/4012</v>
      </c>
      <c r="L89" s="21" t="str">
        <f>VLOOKUP(A89,'Trips&amp;Operators'!$C$1:$G$99999,5,FALSE)</f>
        <v>MCREYNOLDS KYLE</v>
      </c>
      <c r="M89" s="6">
        <f t="shared" si="30"/>
        <v>2.8402777774317656E-2</v>
      </c>
      <c r="N89" s="7">
        <f t="shared" si="24"/>
        <v>40.899999995017424</v>
      </c>
      <c r="O89" s="7"/>
      <c r="P89" s="7"/>
      <c r="Q89" s="22"/>
      <c r="R89" s="190"/>
      <c r="S89" s="196">
        <f t="shared" si="25"/>
        <v>1</v>
      </c>
      <c r="T89" s="190" t="str">
        <f t="shared" si="31"/>
        <v>Southbound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 t="shared" si="32"/>
        <v>https://d0f6bd738d7f1b3e5a7ca70fe4ff75f0.us-east-1.aws.found.io/app/kibana#/discover/Steve-Slow-Train-Analysis-(2080s-and-2083s)?_g=(refreshInterval:(display:Off,pause:!f,section:0,value:0),time:(from:'2017-05-20T12:45:10-0600',mode:absolute,to:'2017-05-20T15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9" s="192" t="str">
        <f t="shared" si="33"/>
        <v>N</v>
      </c>
      <c r="X89" s="192">
        <f t="shared" si="28"/>
        <v>1</v>
      </c>
      <c r="Y89" s="192">
        <f t="shared" si="34"/>
        <v>23.3004</v>
      </c>
      <c r="Z89" s="192">
        <f t="shared" si="35"/>
        <v>1.41E-2</v>
      </c>
      <c r="AA89" s="192">
        <f t="shared" si="36"/>
        <v>23.286300000000001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37"/>
        <v>0176-20</v>
      </c>
      <c r="AE89" s="80" t="str">
        <f t="shared" si="38"/>
        <v>aws s3 cp s3://rtdc.mdm.uploadarchive.raw/RTDC4011/ "%USERPROFILE%\AppData\Local\Temp\OnboardLogs"\RTDC4011\2017-05-20 --exclude "*" --recursive --include "*20170520*" &amp; "%USERPROFILE%\Documents\GitHub\mrs-test-scripts\Headless Mode &amp; Sideloading\WalkAndUnGZ.bat" "%USERPROFILE%\AppData\Local\Temp\OnboardLogs"\RTDC4011\2017-05-20 &amp; aws s3 cp s3://rtdc.mdm.uploadarchive.raw/RTDC4011/ "%USERPROFILE%\AppData\Local\Temp\OnboardLogs"\RTDC4011\2017-05-21 --exclude "*" --recursive --include "*20170521*" &amp; "%USERPROFILE%\Documents\GitHub\mrs-test-scripts\Headless Mode &amp; Sideloading\WalkAndUnGZ.bat" "%USERPROFILE%\AppData\Local\Temp\OnboardLogs"\RTDC4011\2017-05-21</v>
      </c>
      <c r="AF89" s="77" t="str">
        <f t="shared" si="39"/>
        <v>"C:\Program Files (x86)\AstroGrep\AstroGrep.exe" /e /r /s /spath="%USERPROFILE%\AppData\Local\Temp\OnboardLogs" /stypes="app*4011*20170520*" /stext=" 20:.+((SYSTEM_STATE.+slice.+state.+changed )|(ment ac)|(multiple cpu faults)|(system.+state.+changed )|(\[timeout)|(PRM\|1\|D)|(kpr)|(kdp)|(train st.+moving)|(\|lc)|(penalty))"</v>
      </c>
      <c r="AG89" s="1" t="str">
        <f t="shared" si="40"/>
        <v>EC</v>
      </c>
      <c r="AH89" s="81" t="str">
        <f t="shared" si="41"/>
        <v>"%USERPROFILE%\Documents\GitHub\eaglep3\Utilities\RefineRTDCRunTimes.py" --tripid 176-20 --locoid 4011 --swversion DE.1.0.9.0 --startMP 204:233004 --initTime 2017-05-20T13:45:10 --startdatetime 2017-05-20T13:56:27 --delay 1 --endMP 204:141 --enddatetime 2017-05-20T14:37:21 --enforcementcount 0 &gt;&gt;C:\Users\stu\Documents\GitHub\eaglep3-reporting\EC\2017-05-20-refined-times.txt</v>
      </c>
      <c r="AI89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{"issue":{"subject":"","project_id":79,"tracker_id":40,"status_id":1,"priority_id":2,"assigned_to_id":23,"start_date":"2017-05-20","description":"","custom_fields":[{"id":1,"name":"Subdivision","value":"EC"},{"id":4,"name":"Milepost","value":"0.0141"},{"id":17,"name":"Train ID","value":"176-20"},{"id":16,"name":"Locomotive ID","value":"4011"},{"id":130,"name":"Impact","value":""},{"id":150,"name":"Time of Event (Mountain Time)","value":"14:37:21"},{"id":151,"name":"Denver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43"/>
        <v>start /low /b %USERPROFILE%\Documents\GitHub\eaglep3\Utilities\DownloadLogsFromS3.py --loco 4011 --day 2017-05-20</v>
      </c>
      <c r="AN89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20:37:21"},{"id":29,"name":"Sharepoint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756</v>
      </c>
      <c r="B90" s="7">
        <v>4022</v>
      </c>
      <c r="C90" s="21" t="s">
        <v>206</v>
      </c>
      <c r="D90" s="21" t="s">
        <v>366</v>
      </c>
      <c r="E90" s="13">
        <v>42875.546712962961</v>
      </c>
      <c r="F90" s="13">
        <v>42875.552268518521</v>
      </c>
      <c r="G90" s="7">
        <v>1</v>
      </c>
      <c r="H90" s="21" t="s">
        <v>851</v>
      </c>
      <c r="I90" s="13">
        <v>42875.576504629629</v>
      </c>
      <c r="J90" s="7">
        <v>0</v>
      </c>
      <c r="K90" s="92" t="str">
        <f t="shared" si="29"/>
        <v>4021/4022</v>
      </c>
      <c r="L90" s="21" t="str">
        <f>VLOOKUP(A90,'Trips&amp;Operators'!$C$1:$G$99999,5,FALSE)</f>
        <v>BRUDER RICHARD</v>
      </c>
      <c r="M90" s="6">
        <f t="shared" si="30"/>
        <v>2.4236111108621117E-2</v>
      </c>
      <c r="N90" s="7">
        <f t="shared" si="24"/>
        <v>34.899999996414408</v>
      </c>
      <c r="O90" s="7"/>
      <c r="P90" s="7"/>
      <c r="Q90" s="22"/>
      <c r="R90" s="190"/>
      <c r="S90" s="196">
        <f t="shared" si="25"/>
        <v>1</v>
      </c>
      <c r="T90" s="190" t="str">
        <f t="shared" si="31"/>
        <v>NorthBound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 t="shared" si="32"/>
        <v>https://d0f6bd738d7f1b3e5a7ca70fe4ff75f0.us-east-1.aws.found.io/app/kibana#/discover/Steve-Slow-Train-Analysis-(2080s-and-2083s)?_g=(refreshInterval:(display:Off,pause:!f,section:0,value:0),time:(from:'2017-05-20T12:07:16-0600',mode:absolute,to:'2017-05-20T14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0" s="192" t="str">
        <f t="shared" si="33"/>
        <v>N</v>
      </c>
      <c r="X90" s="192">
        <f t="shared" si="28"/>
        <v>1</v>
      </c>
      <c r="Y90" s="192">
        <f t="shared" si="34"/>
        <v>4.4699999999999997E-2</v>
      </c>
      <c r="Z90" s="192">
        <f t="shared" si="35"/>
        <v>23.331099999999999</v>
      </c>
      <c r="AA90" s="192">
        <f t="shared" si="36"/>
        <v>23.2864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37"/>
        <v>0177-20</v>
      </c>
      <c r="AE90" s="80" t="str">
        <f t="shared" si="38"/>
        <v>aws s3 cp s3://rtdc.mdm.uploadarchive.raw/RTDC4022/ "%USERPROFILE%\AppData\Local\Temp\OnboardLogs"\RTDC4022\2017-05-20 --exclude "*" --recursive --include "*20170520*" &amp; "%USERPROFILE%\Documents\GitHub\mrs-test-scripts\Headless Mode &amp; Sideloading\WalkAndUnGZ.bat" "%USERPROFILE%\AppData\Local\Temp\OnboardLogs"\RTDC4022\2017-05-20 &amp; aws s3 cp s3://rtdc.mdm.uploadarchive.raw/RTDC4022/ "%USERPROFILE%\AppData\Local\Temp\OnboardLogs"\RTDC4022\2017-05-21 --exclude "*" --recursive --include "*20170521*" &amp; "%USERPROFILE%\Documents\GitHub\mrs-test-scripts\Headless Mode &amp; Sideloading\WalkAndUnGZ.bat" "%USERPROFILE%\AppData\Local\Temp\OnboardLogs"\RTDC4022\2017-05-21</v>
      </c>
      <c r="AF90" s="77" t="str">
        <f t="shared" si="39"/>
        <v>"C:\Program Files (x86)\AstroGrep\AstroGrep.exe" /e /r /s /spath="%USERPROFILE%\AppData\Local\Temp\OnboardLogs" /stypes="app*4022*20170520*" /stext=" 19:.+((SYSTEM_STATE.+slice.+state.+changed )|(ment ac)|(multiple cpu faults)|(system.+state.+changed )|(\[timeout)|(PRM\|1\|D)|(kpr)|(kdp)|(train st.+moving)|(\|lc)|(penalty))"</v>
      </c>
      <c r="AG90" s="1" t="str">
        <f t="shared" si="40"/>
        <v>EC</v>
      </c>
      <c r="AH90" s="81" t="str">
        <f t="shared" si="41"/>
        <v>"%USERPROFILE%\Documents\GitHub\eaglep3\Utilities\RefineRTDCRunTimes.py" --tripid 177-20 --locoid 4022 --swversion DE.1.0.9.0 --startMP 204:447 --initTime 2017-05-20T13:07:16 --startdatetime 2017-05-20T13:15:16 --delay 1 --endMP 204:233311 --enddatetime 2017-05-20T13:50:10 --enforcementcount 0 &gt;&gt;C:\Users\stu\Documents\GitHub\eaglep3-reporting\EC\2017-05-20-refined-times.txt</v>
      </c>
      <c r="AI90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{"issue":{"subject":"","project_id":79,"tracker_id":40,"status_id":1,"priority_id":2,"assigned_to_id":23,"start_date":"2017-05-20","description":"","custom_fields":[{"id":1,"name":"Subdivision","value":"EC"},{"id":4,"name":"Milepost","value":"23.3311"},{"id":17,"name":"Train ID","value":"177-20"},{"id":16,"name":"Locomotive ID","value":"4022"},{"id":130,"name":"Impact","value":""},{"id":150,"name":"Time of Event (Mountain Time)","value":"13:50:10"},{"id":151,"name":"Denver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43"/>
        <v>start /low /b %USERPROFILE%\Documents\GitHub\eaglep3\Utilities\DownloadLogsFromS3.py --loco 4022 --day 2017-05-20</v>
      </c>
      <c r="AN90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19:50:10"},{"id":29,"name":"Sharepoint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2" t="s">
        <v>763</v>
      </c>
      <c r="B91" s="7">
        <v>4021</v>
      </c>
      <c r="C91" s="21" t="s">
        <v>206</v>
      </c>
      <c r="D91" s="21" t="s">
        <v>558</v>
      </c>
      <c r="E91" s="13">
        <v>42875.587523148148</v>
      </c>
      <c r="F91" s="13">
        <v>42875.591296296298</v>
      </c>
      <c r="G91" s="7">
        <v>1</v>
      </c>
      <c r="H91" s="21" t="s">
        <v>197</v>
      </c>
      <c r="I91" s="13">
        <v>42875.619513888887</v>
      </c>
      <c r="J91" s="7">
        <v>0</v>
      </c>
      <c r="K91" s="92" t="str">
        <f t="shared" si="29"/>
        <v>4021/4022</v>
      </c>
      <c r="L91" s="21" t="str">
        <f>VLOOKUP(A91,'Trips&amp;Operators'!$C$1:$G$99999,5,FALSE)</f>
        <v>BRUDER RICHARD</v>
      </c>
      <c r="M91" s="6">
        <f t="shared" si="30"/>
        <v>2.8217592589498963E-2</v>
      </c>
      <c r="N91" s="7">
        <f t="shared" si="24"/>
        <v>40.633333328878507</v>
      </c>
      <c r="O91" s="7"/>
      <c r="P91" s="7"/>
      <c r="Q91" s="22"/>
      <c r="R91" s="190"/>
      <c r="S91" s="196">
        <f t="shared" si="25"/>
        <v>1</v>
      </c>
      <c r="T91" s="190" t="str">
        <f t="shared" si="31"/>
        <v>Southbound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 t="shared" si="32"/>
        <v>https://d0f6bd738d7f1b3e5a7ca70fe4ff75f0.us-east-1.aws.found.io/app/kibana#/discover/Steve-Slow-Train-Analysis-(2080s-and-2083s)?_g=(refreshInterval:(display:Off,pause:!f,section:0,value:0),time:(from:'2017-05-20T13:06:02-0600',mode:absolute,to:'2017-05-20T15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1" s="192" t="str">
        <f t="shared" si="33"/>
        <v>N</v>
      </c>
      <c r="X91" s="192">
        <f t="shared" si="28"/>
        <v>1</v>
      </c>
      <c r="Y91" s="192">
        <f t="shared" si="34"/>
        <v>23.297799999999999</v>
      </c>
      <c r="Z91" s="192">
        <f t="shared" si="35"/>
        <v>1.52E-2</v>
      </c>
      <c r="AA91" s="192">
        <f t="shared" si="36"/>
        <v>23.282599999999999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37"/>
        <v>0178-20</v>
      </c>
      <c r="AE91" s="80" t="str">
        <f t="shared" si="38"/>
        <v>aws s3 cp s3://rtdc.mdm.uploadarchive.raw/RTDC4021/ "%USERPROFILE%\AppData\Local\Temp\OnboardLogs"\RTDC4021\2017-05-20 --exclude "*" --recursive --include "*20170520*" &amp; "%USERPROFILE%\Documents\GitHub\mrs-test-scripts\Headless Mode &amp; Sideloading\WalkAndUnGZ.bat" "%USERPROFILE%\AppData\Local\Temp\OnboardLogs"\RTDC4021\2017-05-20 &amp; aws s3 cp s3://rtdc.mdm.uploadarchive.raw/RTDC4021/ "%USERPROFILE%\AppData\Local\Temp\OnboardLogs"\RTDC4021\2017-05-21 --exclude "*" --recursive --include "*20170521*" &amp; "%USERPROFILE%\Documents\GitHub\mrs-test-scripts\Headless Mode &amp; Sideloading\WalkAndUnGZ.bat" "%USERPROFILE%\AppData\Local\Temp\OnboardLogs"\RTDC4021\2017-05-21</v>
      </c>
      <c r="AF91" s="77" t="str">
        <f t="shared" si="39"/>
        <v>"C:\Program Files (x86)\AstroGrep\AstroGrep.exe" /e /r /s /spath="%USERPROFILE%\AppData\Local\Temp\OnboardLogs" /stypes="app*4021*20170520*" /stext=" 20:.+((SYSTEM_STATE.+slice.+state.+changed )|(ment ac)|(multiple cpu faults)|(system.+state.+changed )|(\[timeout)|(PRM\|1\|D)|(kpr)|(kdp)|(train st.+moving)|(\|lc)|(penalty))"</v>
      </c>
      <c r="AG91" s="1" t="str">
        <f t="shared" si="40"/>
        <v>EC</v>
      </c>
      <c r="AH91" s="81" t="str">
        <f t="shared" si="41"/>
        <v>"%USERPROFILE%\Documents\GitHub\eaglep3\Utilities\RefineRTDCRunTimes.py" --tripid 178-20 --locoid 4021 --swversion DE.1.0.9.0 --startMP 204:232978 --initTime 2017-05-20T14:06:02 --startdatetime 2017-05-20T14:11:28 --delay 1 --endMP 204:152 --enddatetime 2017-05-20T14:52:06 --enforcementcount 0 &gt;&gt;C:\Users\stu\Documents\GitHub\eaglep3-reporting\EC\2017-05-20-refined-times.txt</v>
      </c>
      <c r="AI91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{"issue":{"subject":"","project_id":79,"tracker_id":40,"status_id":1,"priority_id":2,"assigned_to_id":23,"start_date":"2017-05-20","description":"","custom_fields":[{"id":1,"name":"Subdivision","value":"EC"},{"id":4,"name":"Milepost","value":"0.0152"},{"id":17,"name":"Train ID","value":"178-20"},{"id":16,"name":"Locomotive ID","value":"4021"},{"id":130,"name":"Impact","value":""},{"id":150,"name":"Time of Event (Mountain Time)","value":"14:52:06"},{"id":151,"name":"Denver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5" t="str">
        <f t="shared" si="43"/>
        <v>start /low /b %USERPROFILE%\Documents\GitHub\eaglep3\Utilities\DownloadLogsFromS3.py --loco 4021 --day 2017-05-20</v>
      </c>
      <c r="AN91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20:52:06"},{"id":29,"name":"Sharepoint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2" spans="1:91" s="20" customFormat="1" x14ac:dyDescent="0.25">
      <c r="A92" s="32" t="s">
        <v>610</v>
      </c>
      <c r="B92" s="7">
        <v>4002</v>
      </c>
      <c r="C92" s="21" t="s">
        <v>206</v>
      </c>
      <c r="D92" s="21" t="s">
        <v>887</v>
      </c>
      <c r="E92" s="13">
        <v>42875.558240740742</v>
      </c>
      <c r="F92" s="13">
        <v>42875.587372685186</v>
      </c>
      <c r="G92" s="7">
        <v>41</v>
      </c>
      <c r="H92" s="21" t="s">
        <v>888</v>
      </c>
      <c r="I92" s="13">
        <v>42875.589837962965</v>
      </c>
      <c r="J92" s="7">
        <v>0</v>
      </c>
      <c r="K92" s="92" t="str">
        <f t="shared" si="29"/>
        <v>4001/4002</v>
      </c>
      <c r="L92" s="21" t="str">
        <f>VLOOKUP(A92,'Trips&amp;Operators'!$C$1:$G$99999,5,FALSE)</f>
        <v>DAVIDSON DAVID</v>
      </c>
      <c r="M92" s="6">
        <f t="shared" si="30"/>
        <v>2.4652777792653069E-3</v>
      </c>
      <c r="N92" s="7"/>
      <c r="O92" s="7"/>
      <c r="P92" s="7">
        <f>24*60*SUM($M92:$M93)</f>
        <v>38.333333336049691</v>
      </c>
      <c r="Q92" s="22"/>
      <c r="R92" s="190" t="s">
        <v>512</v>
      </c>
      <c r="S92" s="196">
        <f>SUM(U92:U93)/IF(AG92="EC",12,1)</f>
        <v>1</v>
      </c>
      <c r="T92" s="190" t="str">
        <f t="shared" si="31"/>
        <v>NorthBound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0</v>
      </c>
      <c r="V92" s="191" t="str">
        <f t="shared" si="32"/>
        <v>https://d0f6bd738d7f1b3e5a7ca70fe4ff75f0.us-east-1.aws.found.io/app/kibana#/discover/Steve-Slow-Train-Analysis-(2080s-and-2083s)?_g=(refreshInterval:(display:Off,pause:!f,section:0,value:0),time:(from:'2017-05-20T12:23:52-0600',mode:absolute,to:'2017-05-20T15:09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2" s="192" t="str">
        <f t="shared" si="33"/>
        <v>Y</v>
      </c>
      <c r="X92" s="192">
        <f t="shared" si="28"/>
        <v>1</v>
      </c>
      <c r="Y92" s="192">
        <f t="shared" si="34"/>
        <v>21.905000000000001</v>
      </c>
      <c r="Z92" s="192">
        <f t="shared" si="35"/>
        <v>22.8034</v>
      </c>
      <c r="AA92" s="192">
        <f t="shared" si="36"/>
        <v>0.89839999999999876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37"/>
        <v>0179-20</v>
      </c>
      <c r="AE92" s="80" t="str">
        <f t="shared" si="38"/>
        <v>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 &amp; aws s3 cp s3://rtdc.mdm.uploadarchive.raw/RTDC4002/ "%USERPROFILE%\AppData\Local\Temp\OnboardLogs"\RTDC4002\2017-05-21 --exclude "*" --recursive --include "*20170521*" &amp; "%USERPROFILE%\Documents\GitHub\mrs-test-scripts\Headless Mode &amp; Sideloading\WalkAndUnGZ.bat" "%USERPROFILE%\AppData\Local\Temp\OnboardLogs"\RTDC4002\2017-05-21</v>
      </c>
      <c r="AF92" s="77" t="str">
        <f t="shared" si="39"/>
        <v>"C:\Program Files (x86)\AstroGrep\AstroGrep.exe" /e /r /s /spath="%USERPROFILE%\AppData\Local\Temp\OnboardLogs" /stypes="app*4002*20170520*" /stext=" 20:.+((SYSTEM_STATE.+slice.+state.+changed )|(ment ac)|(multiple cpu faults)|(system.+state.+changed )|(\[timeout)|(PRM\|1\|D)|(kpr)|(kdp)|(train st.+moving)|(\|lc)|(penalty))"</v>
      </c>
      <c r="AG92" s="1" t="str">
        <f t="shared" si="40"/>
        <v>EC</v>
      </c>
      <c r="AH92" s="81" t="str">
        <f t="shared" si="41"/>
        <v>"%USERPROFILE%\Documents\GitHub\eaglep3\Utilities\RefineRTDCRunTimes.py" --tripid 179-20 --locoid 4002 --swversion DE.1.0.9.0 --startMP 204:219050 --initTime 2017-05-20T13:23:52 --startdatetime 2017-05-20T14:05:49 --delay 41 --endMP 204:228034 --enddatetime 2017-05-20T14:09:22 --enforcementcount 0 &gt;&gt;C:\Users\stu\Documents\GitHub\eaglep3-reporting\EC\2017-05-20-refined-times.txt</v>
      </c>
      <c r="AI92" s="99" t="str">
        <f t="shared" si="42"/>
        <v>echo {"issue":{"subject":"Wi-MAX data drop","project_id":79,"tracker_id":40,"status_id":1,"priority_id":2,"assigned_to_id":23,"start_date":"2017-05-20","description":"","custom_fields":[{"id":1,"name":"Subdivision","value":"EC"},{"id":4,"name":"Milepost","value":"22.8034"},{"id":17,"name":"Train ID","value":"179-20"},{"id":16,"name":"Locomotive ID","value":"4002"},{"id":130,"name":"Impact","value":""},{"id":150,"name":"Time of Event (Mountain Time)","value":"14:09:22"},{"id":151,"name":"Denver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5" t="str">
        <f t="shared" si="43"/>
        <v>start /low /b %USERPROFILE%\Documents\GitHub\eaglep3\Utilities\DownloadLogsFromS3.py --loco 4002 --day 2017-05-20</v>
      </c>
      <c r="AN92" s="154" t="str">
        <f t="shared" si="44"/>
        <v>echo {"issue":{"subject":"Wi-MAX data drop","project_id":30,"tracker_id":4,"status_id":1,"priority_id":1,"assigned_to_id":10,"start_date":"2017-05-20","description":"","custom_fields":[{"id":30,"name":"Category","value":"Issue"},{"id":3,"name":"Functional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20:09:22"},{"id":29,"name":"Sharepoint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610</v>
      </c>
      <c r="B93" s="7">
        <v>4002</v>
      </c>
      <c r="C93" s="21" t="s">
        <v>206</v>
      </c>
      <c r="D93" s="21" t="s">
        <v>360</v>
      </c>
      <c r="E93" s="13">
        <v>42875.558240740742</v>
      </c>
      <c r="F93" s="13">
        <v>42875.562754629631</v>
      </c>
      <c r="G93" s="7">
        <v>1</v>
      </c>
      <c r="H93" s="21" t="s">
        <v>888</v>
      </c>
      <c r="I93" s="13">
        <v>42875.586909722224</v>
      </c>
      <c r="J93" s="7">
        <v>0</v>
      </c>
      <c r="K93" s="92" t="str">
        <f t="shared" si="29"/>
        <v>4001/4002</v>
      </c>
      <c r="L93" s="21" t="str">
        <f>VLOOKUP(A93,'Trips&amp;Operators'!$C$1:$G$99999,5,FALSE)</f>
        <v>DAVIDSON DAVID</v>
      </c>
      <c r="M93" s="6">
        <f t="shared" si="30"/>
        <v>2.4155092592991423E-2</v>
      </c>
      <c r="N93" s="7"/>
      <c r="O93" s="7"/>
      <c r="P93" s="7"/>
      <c r="Q93" s="22"/>
      <c r="R93" s="190"/>
      <c r="S93" s="196"/>
      <c r="T93" s="190" t="str">
        <f t="shared" si="31"/>
        <v>NorthBound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 t="shared" si="32"/>
        <v>https://d0f6bd738d7f1b3e5a7ca70fe4ff75f0.us-east-1.aws.found.io/app/kibana#/discover/Steve-Slow-Train-Analysis-(2080s-and-2083s)?_g=(refreshInterval:(display:Off,pause:!f,section:0,value:0),time:(from:'2017-05-20T12:23:52-0600',mode:absolute,to:'2017-05-20T15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3" s="192" t="str">
        <f t="shared" si="33"/>
        <v>Y</v>
      </c>
      <c r="X93" s="192">
        <f t="shared" si="28"/>
        <v>0</v>
      </c>
      <c r="Y93" s="192">
        <f t="shared" si="34"/>
        <v>4.5100000000000001E-2</v>
      </c>
      <c r="Z93" s="192">
        <f t="shared" si="35"/>
        <v>22.8034</v>
      </c>
      <c r="AA93" s="192">
        <f t="shared" si="36"/>
        <v>22.758299999999998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37"/>
        <v>0179-20</v>
      </c>
      <c r="AE93" s="80" t="str">
        <f t="shared" si="38"/>
        <v>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 &amp; aws s3 cp s3://rtdc.mdm.uploadarchive.raw/RTDC4002/ "%USERPROFILE%\AppData\Local\Temp\OnboardLogs"\RTDC4002\2017-05-21 --exclude "*" --recursive --include "*20170521*" &amp; "%USERPROFILE%\Documents\GitHub\mrs-test-scripts\Headless Mode &amp; Sideloading\WalkAndUnGZ.bat" "%USERPROFILE%\AppData\Local\Temp\OnboardLogs"\RTDC4002\2017-05-21</v>
      </c>
      <c r="AF93" s="77" t="str">
        <f t="shared" si="39"/>
        <v>"C:\Program Files (x86)\AstroGrep\AstroGrep.exe" /e /r /s /spath="%USERPROFILE%\AppData\Local\Temp\OnboardLogs" /stypes="app*4002*20170520*" /stext=" 20:.+((SYSTEM_STATE.+slice.+state.+changed )|(ment ac)|(multiple cpu faults)|(system.+state.+changed )|(\[timeout)|(PRM\|1\|D)|(kpr)|(kdp)|(train st.+moving)|(\|lc)|(penalty))"</v>
      </c>
      <c r="AG93" s="1" t="str">
        <f t="shared" si="40"/>
        <v>EC</v>
      </c>
      <c r="AH93" s="81" t="str">
        <f t="shared" si="41"/>
        <v>"%USERPROFILE%\Documents\GitHub\eaglep3\Utilities\RefineRTDCRunTimes.py" --tripid 179-20 --locoid 4002 --swversion DE.1.0.9.0 --startMP 204:451 --initTime 2017-05-20T13:23:52 --startdatetime 2017-05-20T13:30:22 --delay 1 --endMP 204:228034 --enddatetime 2017-05-20T14:05:09 --enforcementcount 0 &gt;&gt;C:\Users\stu\Documents\GitHub\eaglep3-reporting\EC\2017-05-20-refined-times.txt</v>
      </c>
      <c r="AI93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{"issue":{"subject":"","project_id":79,"tracker_id":40,"status_id":1,"priority_id":2,"assigned_to_id":23,"start_date":"2017-05-20","description":"","custom_fields":[{"id":1,"name":"Subdivision","value":"EC"},{"id":4,"name":"Milepost","value":"22.8034"},{"id":17,"name":"Train ID","value":"179-20"},{"id":16,"name":"Locomotive ID","value":"4002"},{"id":130,"name":"Impact","value":""},{"id":150,"name":"Time of Event (Mountain Time)","value":"14:05:09"},{"id":151,"name":"Denver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5" t="str">
        <f t="shared" si="43"/>
        <v>start /low /b %USERPROFILE%\Documents\GitHub\eaglep3\Utilities\DownloadLogsFromS3.py --loco 4002 --day 2017-05-20</v>
      </c>
      <c r="AN93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20:05:09"},{"id":29,"name":"Sharepoint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765</v>
      </c>
      <c r="B94" s="7">
        <v>4001</v>
      </c>
      <c r="C94" s="21" t="s">
        <v>206</v>
      </c>
      <c r="D94" s="21" t="s">
        <v>869</v>
      </c>
      <c r="E94" s="13">
        <v>42875.59716435185</v>
      </c>
      <c r="F94" s="13">
        <v>42875.6018287037</v>
      </c>
      <c r="G94" s="7">
        <v>1</v>
      </c>
      <c r="H94" s="21" t="s">
        <v>197</v>
      </c>
      <c r="I94" s="13">
        <v>42875.631990740738</v>
      </c>
      <c r="J94" s="7">
        <v>0</v>
      </c>
      <c r="K94" s="92" t="str">
        <f t="shared" si="29"/>
        <v>4001/4002</v>
      </c>
      <c r="L94" s="21" t="str">
        <f>VLOOKUP(A94,'Trips&amp;Operators'!$C$1:$G$99999,5,FALSE)</f>
        <v>DAVIDSON DAVID</v>
      </c>
      <c r="M94" s="6">
        <f t="shared" si="30"/>
        <v>3.0162037037371192E-2</v>
      </c>
      <c r="N94" s="7">
        <f t="shared" ref="N94:N106" si="45">24*60*SUM($M94:$M94)</f>
        <v>43.433333333814517</v>
      </c>
      <c r="O94" s="7"/>
      <c r="P94" s="7"/>
      <c r="Q94" s="22"/>
      <c r="R94" s="190"/>
      <c r="S94" s="196">
        <f t="shared" ref="S94:S125" si="46">SUM(U94:U94)/IF(AG94="EC",12,1)</f>
        <v>1</v>
      </c>
      <c r="T94" s="190" t="str">
        <f t="shared" si="31"/>
        <v>Southbound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 t="shared" si="32"/>
        <v>https://d0f6bd738d7f1b3e5a7ca70fe4ff75f0.us-east-1.aws.found.io/app/kibana#/discover/Steve-Slow-Train-Analysis-(2080s-and-2083s)?_g=(refreshInterval:(display:Off,pause:!f,section:0,value:0),time:(from:'2017-05-20T13:19:55-0600',mode:absolute,to:'2017-05-20T16:10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4" s="192" t="str">
        <f t="shared" si="33"/>
        <v>N</v>
      </c>
      <c r="X94" s="192">
        <f t="shared" si="28"/>
        <v>1</v>
      </c>
      <c r="Y94" s="192">
        <f t="shared" si="34"/>
        <v>23.297699999999999</v>
      </c>
      <c r="Z94" s="192">
        <f t="shared" si="35"/>
        <v>1.52E-2</v>
      </c>
      <c r="AA94" s="192">
        <f t="shared" si="36"/>
        <v>23.282499999999999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37"/>
        <v>0180-20</v>
      </c>
      <c r="AE94" s="80" t="str">
        <f t="shared" si="38"/>
        <v>aws s3 cp s3://rtdc.mdm.uploadarchive.raw/RTDC4001/ "%USERPROFILE%\AppData\Local\Temp\OnboardLogs"\RTDC4001\2017-05-20 --exclude "*" --recursive --include "*20170520*" &amp; "%USERPROFILE%\Documents\GitHub\mrs-test-scripts\Headless Mode &amp; Sideloading\WalkAndUnGZ.bat" "%USERPROFILE%\AppData\Local\Temp\OnboardLogs"\RTDC4001\2017-05-20 &amp; aws s3 cp s3://rtdc.mdm.uploadarchive.raw/RTDC4001/ "%USERPROFILE%\AppData\Local\Temp\OnboardLogs"\RTDC4001\2017-05-21 --exclude "*" --recursive --include "*20170521*" &amp; "%USERPROFILE%\Documents\GitHub\mrs-test-scripts\Headless Mode &amp; Sideloading\WalkAndUnGZ.bat" "%USERPROFILE%\AppData\Local\Temp\OnboardLogs"\RTDC4001\2017-05-21</v>
      </c>
      <c r="AF94" s="77" t="str">
        <f t="shared" si="39"/>
        <v>"C:\Program Files (x86)\AstroGrep\AstroGrep.exe" /e /r /s /spath="%USERPROFILE%\AppData\Local\Temp\OnboardLogs" /stypes="app*4001*20170520*" /stext=" 21:.+((SYSTEM_STATE.+slice.+state.+changed )|(ment ac)|(multiple cpu faults)|(system.+state.+changed )|(\[timeout)|(PRM\|1\|D)|(kpr)|(kdp)|(train st.+moving)|(\|lc)|(penalty))"</v>
      </c>
      <c r="AG94" s="1" t="str">
        <f t="shared" si="40"/>
        <v>EC</v>
      </c>
      <c r="AH94" s="81" t="str">
        <f t="shared" si="41"/>
        <v>"%USERPROFILE%\Documents\GitHub\eaglep3\Utilities\RefineRTDCRunTimes.py" --tripid 180-20 --locoid 4001 --swversion DE.1.0.9.0 --startMP 204:232977 --initTime 2017-05-20T14:19:55 --startdatetime 2017-05-20T14:26:38 --delay 1 --endMP 204:152 --enddatetime 2017-05-20T15:10:04 --enforcementcount 0 &gt;&gt;C:\Users\stu\Documents\GitHub\eaglep3-reporting\EC\2017-05-20-refined-times.txt</v>
      </c>
      <c r="AI94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{"issue":{"subject":"","project_id":79,"tracker_id":40,"status_id":1,"priority_id":2,"assigned_to_id":23,"start_date":"2017-05-20","description":"","custom_fields":[{"id":1,"name":"Subdivision","value":"EC"},{"id":4,"name":"Milepost","value":"0.0152"},{"id":17,"name":"Train ID","value":"180-20"},{"id":16,"name":"Locomotive ID","value":"4001"},{"id":130,"name":"Impact","value":""},{"id":150,"name":"Time of Event (Mountain Time)","value":"15:10:04"},{"id":151,"name":"Denver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43"/>
        <v>start /low /b %USERPROFILE%\Documents\GitHub\eaglep3\Utilities\DownloadLogsFromS3.py --loco 4001 --day 2017-05-20</v>
      </c>
      <c r="AN94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21:10:04"},{"id":29,"name":"Sharepoint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760</v>
      </c>
      <c r="B95" s="7">
        <v>4014</v>
      </c>
      <c r="C95" s="21" t="s">
        <v>206</v>
      </c>
      <c r="D95" s="21" t="s">
        <v>901</v>
      </c>
      <c r="E95" s="13">
        <v>42875.579340277778</v>
      </c>
      <c r="F95" s="13">
        <v>42875.581018518518</v>
      </c>
      <c r="G95" s="7">
        <v>1</v>
      </c>
      <c r="H95" s="21" t="s">
        <v>469</v>
      </c>
      <c r="I95" s="13">
        <v>42875.608148148145</v>
      </c>
      <c r="J95" s="7">
        <v>0</v>
      </c>
      <c r="K95" s="92" t="str">
        <f t="shared" si="29"/>
        <v>4013/4014</v>
      </c>
      <c r="L95" s="21" t="str">
        <f>VLOOKUP(A95,'Trips&amp;Operators'!$C$1:$G$99999,5,FALSE)</f>
        <v>PERKINS DARREN</v>
      </c>
      <c r="M95" s="6">
        <f t="shared" si="30"/>
        <v>2.7129629626870155E-2</v>
      </c>
      <c r="N95" s="7">
        <f t="shared" si="45"/>
        <v>39.066666662693024</v>
      </c>
      <c r="O95" s="7"/>
      <c r="P95" s="7"/>
      <c r="Q95" s="22"/>
      <c r="R95" s="190"/>
      <c r="S95" s="196">
        <f t="shared" si="46"/>
        <v>1</v>
      </c>
      <c r="T95" s="190" t="str">
        <f t="shared" si="31"/>
        <v>NorthBound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 t="shared" si="32"/>
        <v>https://d0f6bd738d7f1b3e5a7ca70fe4ff75f0.us-east-1.aws.found.io/app/kibana#/discover/Steve-Slow-Train-Analysis-(2080s-and-2083s)?_g=(refreshInterval:(display:Off,pause:!f,section:0,value:0),time:(from:'2017-05-20T12:54:15-0600',mode:absolute,to:'2017-05-20T15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5" s="192" t="str">
        <f t="shared" si="33"/>
        <v>N</v>
      </c>
      <c r="X95" s="192">
        <f t="shared" ref="X95:X100" si="47">VALUE(LEFT(AD95,4))-VALUE(LEFT(AD94,4))</f>
        <v>1</v>
      </c>
      <c r="Y95" s="192">
        <f t="shared" si="34"/>
        <v>0.15</v>
      </c>
      <c r="Z95" s="192">
        <f t="shared" si="35"/>
        <v>23.331199999999999</v>
      </c>
      <c r="AA95" s="192">
        <f t="shared" si="36"/>
        <v>23.1812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37"/>
        <v>0181-20</v>
      </c>
      <c r="AE95" s="80" t="str">
        <f t="shared" si="38"/>
        <v>aws s3 cp s3://rtdc.mdm.uploadarchive.raw/RTDC4014/ "%USERPROFILE%\AppData\Local\Temp\OnboardLogs"\RTDC4014\2017-05-20 --exclude "*" --recursive --include "*20170520*" &amp; "%USERPROFILE%\Documents\GitHub\mrs-test-scripts\Headless Mode &amp; Sideloading\WalkAndUnGZ.bat" "%USERPROFILE%\AppData\Local\Temp\OnboardLogs"\RTDC4014\2017-05-20 &amp; aws s3 cp s3://rtdc.mdm.uploadarchive.raw/RTDC4014/ "%USERPROFILE%\AppData\Local\Temp\OnboardLogs"\RTDC4014\2017-05-21 --exclude "*" --recursive --include "*20170521*" &amp; "%USERPROFILE%\Documents\GitHub\mrs-test-scripts\Headless Mode &amp; Sideloading\WalkAndUnGZ.bat" "%USERPROFILE%\AppData\Local\Temp\OnboardLogs"\RTDC4014\2017-05-21</v>
      </c>
      <c r="AF95" s="77" t="str">
        <f t="shared" si="39"/>
        <v>"C:\Program Files (x86)\AstroGrep\AstroGrep.exe" /e /r /s /spath="%USERPROFILE%\AppData\Local\Temp\OnboardLogs" /stypes="app*4014*20170520*" /stext=" 20:.+((SYSTEM_STATE.+slice.+state.+changed )|(ment ac)|(multiple cpu faults)|(system.+state.+changed )|(\[timeout)|(PRM\|1\|D)|(kpr)|(kdp)|(train st.+moving)|(\|lc)|(penalty))"</v>
      </c>
      <c r="AG95" s="1" t="str">
        <f t="shared" si="40"/>
        <v>EC</v>
      </c>
      <c r="AH95" s="81" t="str">
        <f t="shared" si="41"/>
        <v>"%USERPROFILE%\Documents\GitHub\eaglep3\Utilities\RefineRTDCRunTimes.py" --tripid 181-20 --locoid 4014 --swversion DE.1.0.9.0 --startMP 204:1500 --initTime 2017-05-20T13:54:15 --startdatetime 2017-05-20T13:56:40 --delay 1 --endMP 204:233312 --enddatetime 2017-05-20T14:35:44 --enforcementcount 0 &gt;&gt;C:\Users\stu\Documents\GitHub\eaglep3-reporting\EC\2017-05-20-refined-times.txt</v>
      </c>
      <c r="AI95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{"issue":{"subject":"","project_id":79,"tracker_id":40,"status_id":1,"priority_id":2,"assigned_to_id":23,"start_date":"2017-05-20","description":"","custom_fields":[{"id":1,"name":"Subdivision","value":"EC"},{"id":4,"name":"Milepost","value":"23.3312"},{"id":17,"name":"Train ID","value":"181-20"},{"id":16,"name":"Locomotive ID","value":"4014"},{"id":130,"name":"Impact","value":""},{"id":150,"name":"Time of Event (Mountain Time)","value":"14:35:44"},{"id":151,"name":"Denver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43"/>
        <v>start /low /b %USERPROFILE%\Documents\GitHub\eaglep3\Utilities\DownloadLogsFromS3.py --loco 4014 --day 2017-05-20</v>
      </c>
      <c r="AN95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20:35:44"},{"id":29,"name":"Sharepoint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767</v>
      </c>
      <c r="B96" s="7">
        <v>4013</v>
      </c>
      <c r="C96" s="21" t="s">
        <v>206</v>
      </c>
      <c r="D96" s="21" t="s">
        <v>468</v>
      </c>
      <c r="E96" s="13">
        <v>42875.610115740739</v>
      </c>
      <c r="F96" s="13">
        <v>42875.61209490741</v>
      </c>
      <c r="G96" s="7">
        <v>1</v>
      </c>
      <c r="H96" s="21" t="s">
        <v>356</v>
      </c>
      <c r="I96" s="13">
        <v>42875.639444444445</v>
      </c>
      <c r="J96" s="7">
        <v>0</v>
      </c>
      <c r="K96" s="92" t="str">
        <f t="shared" si="29"/>
        <v>4013/4014</v>
      </c>
      <c r="L96" s="21" t="str">
        <f>VLOOKUP(A96,'Trips&amp;Operators'!$C$1:$G$99999,5,FALSE)</f>
        <v>PERKINS DARREN</v>
      </c>
      <c r="M96" s="6">
        <f t="shared" si="30"/>
        <v>2.7349537034751847E-2</v>
      </c>
      <c r="N96" s="7">
        <f t="shared" si="45"/>
        <v>39.38333333004266</v>
      </c>
      <c r="O96" s="7"/>
      <c r="P96" s="7"/>
      <c r="Q96" s="22"/>
      <c r="R96" s="190"/>
      <c r="S96" s="196">
        <f t="shared" si="46"/>
        <v>1</v>
      </c>
      <c r="T96" s="190" t="str">
        <f t="shared" si="31"/>
        <v>Southbound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 t="shared" si="32"/>
        <v>https://d0f6bd738d7f1b3e5a7ca70fe4ff75f0.us-east-1.aws.found.io/app/kibana#/discover/Steve-Slow-Train-Analysis-(2080s-and-2083s)?_g=(refreshInterval:(display:Off,pause:!f,section:0,value:0),time:(from:'2017-05-20T13:38:34-0600',mode:absolute,to:'2017-05-20T16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6" s="192" t="str">
        <f t="shared" si="33"/>
        <v>N</v>
      </c>
      <c r="X96" s="192">
        <f t="shared" si="47"/>
        <v>1</v>
      </c>
      <c r="Y96" s="192">
        <f t="shared" si="34"/>
        <v>23.299199999999999</v>
      </c>
      <c r="Z96" s="192">
        <f t="shared" si="35"/>
        <v>1.4999999999999999E-2</v>
      </c>
      <c r="AA96" s="192">
        <f t="shared" si="36"/>
        <v>23.284199999999998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37"/>
        <v>0182-20</v>
      </c>
      <c r="AE96" s="80" t="str">
        <f t="shared" si="38"/>
        <v>aws s3 cp s3://rtdc.mdm.uploadarchive.raw/RTDC4013/ "%USERPROFILE%\AppData\Local\Temp\OnboardLogs"\RTDC4013\2017-05-20 --exclude "*" --recursive --include "*20170520*" &amp; "%USERPROFILE%\Documents\GitHub\mrs-test-scripts\Headless Mode &amp; Sideloading\WalkAndUnGZ.bat" "%USERPROFILE%\AppData\Local\Temp\OnboardLogs"\RTDC4013\2017-05-20 &amp; aws s3 cp s3://rtdc.mdm.uploadarchive.raw/RTDC4013/ "%USERPROFILE%\AppData\Local\Temp\OnboardLogs"\RTDC4013\2017-05-21 --exclude "*" --recursive --include "*20170521*" &amp; "%USERPROFILE%\Documents\GitHub\mrs-test-scripts\Headless Mode &amp; Sideloading\WalkAndUnGZ.bat" "%USERPROFILE%\AppData\Local\Temp\OnboardLogs"\RTDC4013\2017-05-21</v>
      </c>
      <c r="AF96" s="77" t="str">
        <f t="shared" si="39"/>
        <v>"C:\Program Files (x86)\AstroGrep\AstroGrep.exe" /e /r /s /spath="%USERPROFILE%\AppData\Local\Temp\OnboardLogs" /stypes="app*4013*20170520*" /stext=" 21:.+((SYSTEM_STATE.+slice.+state.+changed )|(ment ac)|(multiple cpu faults)|(system.+state.+changed )|(\[timeout)|(PRM\|1\|D)|(kpr)|(kdp)|(train st.+moving)|(\|lc)|(penalty))"</v>
      </c>
      <c r="AG96" s="1" t="str">
        <f t="shared" si="40"/>
        <v>EC</v>
      </c>
      <c r="AH96" s="81" t="str">
        <f t="shared" si="41"/>
        <v>"%USERPROFILE%\Documents\GitHub\eaglep3\Utilities\RefineRTDCRunTimes.py" --tripid 182-20 --locoid 4013 --swversion DE.1.0.9.0 --startMP 204:232992 --initTime 2017-05-20T14:38:34 --startdatetime 2017-05-20T14:41:25 --delay 1 --endMP 204:150 --enddatetime 2017-05-20T15:20:48 --enforcementcount 0 &gt;&gt;C:\Users\stu\Documents\GitHub\eaglep3-reporting\EC\2017-05-20-refined-times.txt</v>
      </c>
      <c r="AI96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{"issue":{"subject":"","project_id":79,"tracker_id":40,"status_id":1,"priority_id":2,"assigned_to_id":23,"start_date":"2017-05-20","description":"","custom_fields":[{"id":1,"name":"Subdivision","value":"EC"},{"id":4,"name":"Milepost","value":"0.015"},{"id":17,"name":"Train ID","value":"182-20"},{"id":16,"name":"Locomotive ID","value":"4013"},{"id":130,"name":"Impact","value":""},{"id":150,"name":"Time of Event (Mountain Time)","value":"15:20:48"},{"id":151,"name":"Denver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43"/>
        <v>start /low /b %USERPROFILE%\Documents\GitHub\eaglep3\Utilities\DownloadLogsFromS3.py --loco 4013 --day 2017-05-20</v>
      </c>
      <c r="AN96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21:20:48"},{"id":29,"name":"Sharepoint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762</v>
      </c>
      <c r="B97" s="7">
        <v>4008</v>
      </c>
      <c r="C97" s="21" t="s">
        <v>206</v>
      </c>
      <c r="D97" s="21" t="s">
        <v>926</v>
      </c>
      <c r="E97" s="13">
        <v>42875.578530092593</v>
      </c>
      <c r="F97" s="13">
        <v>42875.584317129629</v>
      </c>
      <c r="G97" s="7">
        <v>2</v>
      </c>
      <c r="H97" s="21" t="s">
        <v>927</v>
      </c>
      <c r="I97" s="13">
        <v>42875.610601851855</v>
      </c>
      <c r="J97" s="7">
        <v>0</v>
      </c>
      <c r="K97" s="92" t="str">
        <f t="shared" si="29"/>
        <v>4007/4008</v>
      </c>
      <c r="L97" s="21" t="str">
        <f>VLOOKUP(A97,'Trips&amp;Operators'!$C$1:$G$99999,5,FALSE)</f>
        <v>ROMERO CHAD</v>
      </c>
      <c r="M97" s="6">
        <f t="shared" si="30"/>
        <v>2.6284722225682344E-2</v>
      </c>
      <c r="N97" s="7">
        <f t="shared" si="45"/>
        <v>37.850000004982576</v>
      </c>
      <c r="O97" s="7"/>
      <c r="P97" s="7"/>
      <c r="Q97" s="22"/>
      <c r="R97" s="190"/>
      <c r="S97" s="196">
        <f t="shared" si="46"/>
        <v>1</v>
      </c>
      <c r="T97" s="190" t="str">
        <f t="shared" si="31"/>
        <v>NorthBound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 t="shared" si="32"/>
        <v>https://d0f6bd738d7f1b3e5a7ca70fe4ff75f0.us-east-1.aws.found.io/app/kibana#/discover/Steve-Slow-Train-Analysis-(2080s-and-2083s)?_g=(refreshInterval:(display:Off,pause:!f,section:0,value:0),time:(from:'2017-05-20T12:53:05-0600',mode:absolute,to:'2017-05-20T15:39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7" s="192" t="str">
        <f t="shared" si="33"/>
        <v>N</v>
      </c>
      <c r="X97" s="192">
        <f t="shared" si="47"/>
        <v>1</v>
      </c>
      <c r="Y97" s="192">
        <f t="shared" si="34"/>
        <v>4.8899999999999999E-2</v>
      </c>
      <c r="Z97" s="192">
        <f t="shared" si="35"/>
        <v>23.345300000000002</v>
      </c>
      <c r="AA97" s="192">
        <f t="shared" si="36"/>
        <v>23.296400000000002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37"/>
        <v>0183-20</v>
      </c>
      <c r="AE97" s="80" t="str">
        <f t="shared" si="38"/>
        <v>aws s3 cp s3://rtdc.mdm.uploadarchive.raw/RTDC4008/ "%USERPROFILE%\AppData\Local\Temp\OnboardLogs"\RTDC4008\2017-05-20 --exclude "*" --recursive --include "*20170520*" &amp; "%USERPROFILE%\Documents\GitHub\mrs-test-scripts\Headless Mode &amp; Sideloading\WalkAndUnGZ.bat" "%USERPROFILE%\AppData\Local\Temp\OnboardLogs"\RTDC4008\2017-05-20 &amp; aws s3 cp s3://rtdc.mdm.uploadarchive.raw/RTDC4008/ "%USERPROFILE%\AppData\Local\Temp\OnboardLogs"\RTDC4008\2017-05-21 --exclude "*" --recursive --include "*20170521*" &amp; "%USERPROFILE%\Documents\GitHub\mrs-test-scripts\Headless Mode &amp; Sideloading\WalkAndUnGZ.bat" "%USERPROFILE%\AppData\Local\Temp\OnboardLogs"\RTDC4008\2017-05-21</v>
      </c>
      <c r="AF97" s="77" t="str">
        <f t="shared" si="39"/>
        <v>"C:\Program Files (x86)\AstroGrep\AstroGrep.exe" /e /r /s /spath="%USERPROFILE%\AppData\Local\Temp\OnboardLogs" /stypes="app*4008*20170520*" /stext=" 20:.+((SYSTEM_STATE.+slice.+state.+changed )|(ment ac)|(multiple cpu faults)|(system.+state.+changed )|(\[timeout)|(PRM\|1\|D)|(kpr)|(kdp)|(train st.+moving)|(\|lc)|(penalty))"</v>
      </c>
      <c r="AG97" s="1" t="str">
        <f t="shared" si="40"/>
        <v>EC</v>
      </c>
      <c r="AH97" s="81" t="str">
        <f t="shared" si="41"/>
        <v>"%USERPROFILE%\Documents\GitHub\eaglep3\Utilities\RefineRTDCRunTimes.py" --tripid 183-20 --locoid 4008 --swversion DE.1.0.9.0 --startMP 204:489 --initTime 2017-05-20T13:53:05 --startdatetime 2017-05-20T14:01:25 --delay 2 --endMP 204:233453 --enddatetime 2017-05-20T14:39:16 --enforcementcount 0 &gt;&gt;C:\Users\stu\Documents\GitHub\eaglep3-reporting\EC\2017-05-20-refined-times.txt</v>
      </c>
      <c r="AI97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{"issue":{"subject":"","project_id":79,"tracker_id":40,"status_id":1,"priority_id":2,"assigned_to_id":23,"start_date":"2017-05-20","description":"","custom_fields":[{"id":1,"name":"Subdivision","value":"EC"},{"id":4,"name":"Milepost","value":"23.3453"},{"id":17,"name":"Train ID","value":"183-20"},{"id":16,"name":"Locomotive ID","value":"4008"},{"id":130,"name":"Impact","value":""},{"id":150,"name":"Time of Event (Mountain Time)","value":"14:39:16"},{"id":151,"name":"Denver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43"/>
        <v>start /low /b %USERPROFILE%\Documents\GitHub\eaglep3\Utilities\DownloadLogsFromS3.py --loco 4008 --day 2017-05-20</v>
      </c>
      <c r="AN97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20:39:16"},{"id":29,"name":"Sharepoint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769</v>
      </c>
      <c r="B98" s="7">
        <v>4007</v>
      </c>
      <c r="C98" s="21" t="s">
        <v>206</v>
      </c>
      <c r="D98" s="21" t="s">
        <v>933</v>
      </c>
      <c r="E98" s="13">
        <v>42875.611921296295</v>
      </c>
      <c r="F98" s="13">
        <v>42875.622523148151</v>
      </c>
      <c r="G98" s="7">
        <v>1</v>
      </c>
      <c r="H98" s="21" t="s">
        <v>197</v>
      </c>
      <c r="I98" s="13">
        <v>42875.647928240738</v>
      </c>
      <c r="J98" s="7">
        <v>0</v>
      </c>
      <c r="K98" s="92" t="str">
        <f t="shared" si="29"/>
        <v>4007/4008</v>
      </c>
      <c r="L98" s="21" t="str">
        <f>VLOOKUP(A98,'Trips&amp;Operators'!$C$1:$G$99999,5,FALSE)</f>
        <v>ROMERO CHAD</v>
      </c>
      <c r="M98" s="6">
        <f t="shared" si="30"/>
        <v>2.5405092586879618E-2</v>
      </c>
      <c r="N98" s="7">
        <f t="shared" si="45"/>
        <v>36.583333325106651</v>
      </c>
      <c r="O98" s="7"/>
      <c r="P98" s="7"/>
      <c r="Q98" s="22"/>
      <c r="R98" s="190"/>
      <c r="S98" s="196">
        <f t="shared" si="46"/>
        <v>1</v>
      </c>
      <c r="T98" s="190" t="str">
        <f t="shared" si="31"/>
        <v>Southbound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 t="shared" si="32"/>
        <v>https://d0f6bd738d7f1b3e5a7ca70fe4ff75f0.us-east-1.aws.found.io/app/kibana#/discover/Steve-Slow-Train-Analysis-(2080s-and-2083s)?_g=(refreshInterval:(display:Off,pause:!f,section:0,value:0),time:(from:'2017-05-20T13:41:10-0600',mode:absolute,to:'2017-05-20T16:33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8" s="192" t="str">
        <f t="shared" si="33"/>
        <v>N</v>
      </c>
      <c r="X98" s="192">
        <f t="shared" si="47"/>
        <v>1</v>
      </c>
      <c r="Y98" s="192">
        <f t="shared" si="34"/>
        <v>23.3155</v>
      </c>
      <c r="Z98" s="192">
        <f t="shared" si="35"/>
        <v>1.52E-2</v>
      </c>
      <c r="AA98" s="192">
        <f t="shared" si="36"/>
        <v>23.3003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37"/>
        <v>0184-20</v>
      </c>
      <c r="AE98" s="80" t="str">
        <f t="shared" si="38"/>
        <v>aws s3 cp s3://rtdc.mdm.uploadarchive.raw/RTDC4007/ "%USERPROFILE%\AppData\Local\Temp\OnboardLogs"\RTDC4007\2017-05-20 --exclude "*" --recursive --include "*20170520*" &amp; "%USERPROFILE%\Documents\GitHub\mrs-test-scripts\Headless Mode &amp; Sideloading\WalkAndUnGZ.bat" "%USERPROFILE%\AppData\Local\Temp\OnboardLogs"\RTDC4007\2017-05-20 &amp; aws s3 cp s3://rtdc.mdm.uploadarchive.raw/RTDC4007/ "%USERPROFILE%\AppData\Local\Temp\OnboardLogs"\RTDC4007\2017-05-21 --exclude "*" --recursive --include "*20170521*" &amp; "%USERPROFILE%\Documents\GitHub\mrs-test-scripts\Headless Mode &amp; Sideloading\WalkAndUnGZ.bat" "%USERPROFILE%\AppData\Local\Temp\OnboardLogs"\RTDC4007\2017-05-21</v>
      </c>
      <c r="AF98" s="77" t="str">
        <f t="shared" si="39"/>
        <v>"C:\Program Files (x86)\AstroGrep\AstroGrep.exe" /e /r /s /spath="%USERPROFILE%\AppData\Local\Temp\OnboardLogs" /stypes="app*4007*20170520*" /stext=" 21:.+((SYSTEM_STATE.+slice.+state.+changed )|(ment ac)|(multiple cpu faults)|(system.+state.+changed )|(\[timeout)|(PRM\|1\|D)|(kpr)|(kdp)|(train st.+moving)|(\|lc)|(penalty))"</v>
      </c>
      <c r="AG98" s="1" t="str">
        <f t="shared" si="40"/>
        <v>EC</v>
      </c>
      <c r="AH98" s="81" t="str">
        <f t="shared" si="41"/>
        <v>"%USERPROFILE%\Documents\GitHub\eaglep3\Utilities\RefineRTDCRunTimes.py" --tripid 184-20 --locoid 4007 --swversion DE.1.0.9.0 --startMP 204:233155 --initTime 2017-05-20T14:41:10 --startdatetime 2017-05-20T14:56:26 --delay 1 --endMP 204:152 --enddatetime 2017-05-20T15:33:01 --enforcementcount 0 &gt;&gt;C:\Users\stu\Documents\GitHub\eaglep3-reporting\EC\2017-05-20-refined-times.txt</v>
      </c>
      <c r="AI98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{"issue":{"subject":"","project_id":79,"tracker_id":40,"status_id":1,"priority_id":2,"assigned_to_id":23,"start_date":"2017-05-20","description":"","custom_fields":[{"id":1,"name":"Subdivision","value":"EC"},{"id":4,"name":"Milepost","value":"0.0152"},{"id":17,"name":"Train ID","value":"184-20"},{"id":16,"name":"Locomotive ID","value":"4007"},{"id":130,"name":"Impact","value":""},{"id":150,"name":"Time of Event (Mountain Time)","value":"15:33:01"},{"id":151,"name":"Denver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43"/>
        <v>start /low /b %USERPROFILE%\Documents\GitHub\eaglep3\Utilities\DownloadLogsFromS3.py --loco 4007 --day 2017-05-20</v>
      </c>
      <c r="AN98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21:33:01"},{"id":29,"name":"Sharepoint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764</v>
      </c>
      <c r="B99" s="7">
        <v>4026</v>
      </c>
      <c r="C99" s="21" t="s">
        <v>206</v>
      </c>
      <c r="D99" s="21" t="s">
        <v>934</v>
      </c>
      <c r="E99" s="13">
        <v>42875.591365740744</v>
      </c>
      <c r="F99" s="13">
        <v>42875.594074074077</v>
      </c>
      <c r="G99" s="7">
        <v>1</v>
      </c>
      <c r="H99" s="21" t="s">
        <v>935</v>
      </c>
      <c r="I99" s="13">
        <v>42875.619467592594</v>
      </c>
      <c r="J99" s="7">
        <v>0</v>
      </c>
      <c r="K99" s="92" t="str">
        <f t="shared" si="29"/>
        <v>4025/4026</v>
      </c>
      <c r="L99" s="21" t="str">
        <f>VLOOKUP(A99,'Trips&amp;Operators'!$C$1:$G$99999,5,FALSE)</f>
        <v>MOSES BRADLEY</v>
      </c>
      <c r="M99" s="6">
        <f t="shared" si="30"/>
        <v>2.5393518517375924E-2</v>
      </c>
      <c r="N99" s="7">
        <f t="shared" si="45"/>
        <v>36.56666666502133</v>
      </c>
      <c r="O99" s="7"/>
      <c r="P99" s="7"/>
      <c r="Q99" s="22"/>
      <c r="R99" s="190"/>
      <c r="S99" s="196">
        <f t="shared" si="46"/>
        <v>1</v>
      </c>
      <c r="T99" s="190" t="str">
        <f t="shared" si="31"/>
        <v>NorthBound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 t="shared" si="32"/>
        <v>https://d0f6bd738d7f1b3e5a7ca70fe4ff75f0.us-east-1.aws.found.io/app/kibana#/discover/Steve-Slow-Train-Analysis-(2080s-and-2083s)?_g=(refreshInterval:(display:Off,pause:!f,section:0,value:0),time:(from:'2017-05-20T13:11:34-0600',mode:absolute,to:'2017-05-20T15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9" s="192" t="str">
        <f t="shared" si="33"/>
        <v>N</v>
      </c>
      <c r="X99" s="192">
        <f t="shared" si="47"/>
        <v>1</v>
      </c>
      <c r="Y99" s="192">
        <f t="shared" si="34"/>
        <v>4.9799999999999997E-2</v>
      </c>
      <c r="Z99" s="192">
        <f t="shared" si="35"/>
        <v>23.3322</v>
      </c>
      <c r="AA99" s="192">
        <f t="shared" si="36"/>
        <v>23.282399999999999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37"/>
        <v>0185-20</v>
      </c>
      <c r="AE99" s="80" t="str">
        <f t="shared" si="38"/>
        <v>aws s3 cp s3://rtdc.mdm.uploadarchive.raw/RTDC4026/ "%USERPROFILE%\AppData\Local\Temp\OnboardLogs"\RTDC4026\2017-05-20 --exclude "*" --recursive --include "*20170520*" &amp; "%USERPROFILE%\Documents\GitHub\mrs-test-scripts\Headless Mode &amp; Sideloading\WalkAndUnGZ.bat" "%USERPROFILE%\AppData\Local\Temp\OnboardLogs"\RTDC4026\2017-05-20 &amp; aws s3 cp s3://rtdc.mdm.uploadarchive.raw/RTDC4026/ "%USERPROFILE%\AppData\Local\Temp\OnboardLogs"\RTDC4026\2017-05-21 --exclude "*" --recursive --include "*20170521*" &amp; "%USERPROFILE%\Documents\GitHub\mrs-test-scripts\Headless Mode &amp; Sideloading\WalkAndUnGZ.bat" "%USERPROFILE%\AppData\Local\Temp\OnboardLogs"\RTDC4026\2017-05-21</v>
      </c>
      <c r="AF99" s="77" t="str">
        <f t="shared" si="39"/>
        <v>"C:\Program Files (x86)\AstroGrep\AstroGrep.exe" /e /r /s /spath="%USERPROFILE%\AppData\Local\Temp\OnboardLogs" /stypes="app*4026*20170520*" /stext=" 20:.+((SYSTEM_STATE.+slice.+state.+changed )|(ment ac)|(multiple cpu faults)|(system.+state.+changed )|(\[timeout)|(PRM\|1\|D)|(kpr)|(kdp)|(train st.+moving)|(\|lc)|(penalty))"</v>
      </c>
      <c r="AG99" s="1" t="str">
        <f t="shared" si="40"/>
        <v>EC</v>
      </c>
      <c r="AH99" s="81" t="str">
        <f t="shared" si="41"/>
        <v>"%USERPROFILE%\Documents\GitHub\eaglep3\Utilities\RefineRTDCRunTimes.py" --tripid 185-20 --locoid 4026 --swversion DE.1.0.9.0 --startMP 204:498 --initTime 2017-05-20T14:11:34 --startdatetime 2017-05-20T14:15:28 --delay 1 --endMP 204:233322 --enddatetime 2017-05-20T14:52:02 --enforcementcount 0 &gt;&gt;C:\Users\stu\Documents\GitHub\eaglep3-reporting\EC\2017-05-20-refined-times.txt</v>
      </c>
      <c r="AI99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{"issue":{"subject":"","project_id":79,"tracker_id":40,"status_id":1,"priority_id":2,"assigned_to_id":23,"start_date":"2017-05-20","description":"","custom_fields":[{"id":1,"name":"Subdivision","value":"EC"},{"id":4,"name":"Milepost","value":"23.3322"},{"id":17,"name":"Train ID","value":"185-20"},{"id":16,"name":"Locomotive ID","value":"4026"},{"id":130,"name":"Impact","value":""},{"id":150,"name":"Time of Event (Mountain Time)","value":"14:52:02"},{"id":151,"name":"Denver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43"/>
        <v>start /low /b %USERPROFILE%\Documents\GitHub\eaglep3\Utilities\DownloadLogsFromS3.py --loco 4026 --day 2017-05-20</v>
      </c>
      <c r="AN99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20:52:02"},{"id":29,"name":"Sharepoint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614</v>
      </c>
      <c r="B100" s="7">
        <v>4025</v>
      </c>
      <c r="C100" s="21" t="s">
        <v>206</v>
      </c>
      <c r="D100" s="21" t="s">
        <v>422</v>
      </c>
      <c r="E100" s="13">
        <v>42875.63</v>
      </c>
      <c r="F100" s="13">
        <v>42875.6328587963</v>
      </c>
      <c r="G100" s="7">
        <v>1</v>
      </c>
      <c r="H100" s="21" t="s">
        <v>936</v>
      </c>
      <c r="I100" s="13">
        <v>42875.660150462965</v>
      </c>
      <c r="J100" s="7">
        <v>0</v>
      </c>
      <c r="K100" s="92" t="str">
        <f t="shared" si="29"/>
        <v>4025/4026</v>
      </c>
      <c r="L100" s="21" t="str">
        <f>VLOOKUP(A100,'Trips&amp;Operators'!$C$1:$G$99999,5,FALSE)</f>
        <v>MOSES BRADLEY</v>
      </c>
      <c r="M100" s="6">
        <f t="shared" si="30"/>
        <v>2.7291666665405501E-2</v>
      </c>
      <c r="N100" s="7">
        <f t="shared" si="45"/>
        <v>39.299999998183921</v>
      </c>
      <c r="O100" s="7"/>
      <c r="P100" s="7"/>
      <c r="Q100" s="22"/>
      <c r="R100" s="190"/>
      <c r="S100" s="196">
        <f t="shared" si="46"/>
        <v>1</v>
      </c>
      <c r="T100" s="190" t="str">
        <f t="shared" si="31"/>
        <v>Southbound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1" t="str">
        <f t="shared" si="32"/>
        <v>https://d0f6bd738d7f1b3e5a7ca70fe4ff75f0.us-east-1.aws.found.io/app/kibana#/discover/Steve-Slow-Train-Analysis-(2080s-and-2083s)?_g=(refreshInterval:(display:Off,pause:!f,section:0,value:0),time:(from:'2017-05-20T14:07:12-0600',mode:absolute,to:'2017-05-20T16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0" s="192" t="str">
        <f t="shared" si="33"/>
        <v>N</v>
      </c>
      <c r="X100" s="192">
        <f t="shared" si="47"/>
        <v>1</v>
      </c>
      <c r="Y100" s="192">
        <f t="shared" si="34"/>
        <v>23.301100000000002</v>
      </c>
      <c r="Z100" s="192">
        <f t="shared" si="35"/>
        <v>2.01E-2</v>
      </c>
      <c r="AA100" s="192">
        <f t="shared" si="36"/>
        <v>23.281000000000002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37"/>
        <v>0186-20</v>
      </c>
      <c r="AE100" s="80" t="str">
        <f t="shared" si="38"/>
        <v>aws s3 cp s3://rtdc.mdm.uploadarchive.raw/RTDC4025/ "%USERPROFILE%\AppData\Local\Temp\OnboardLogs"\RTDC4025\2017-05-20 --exclude "*" --recursive --include "*20170520*" &amp; "%USERPROFILE%\Documents\GitHub\mrs-test-scripts\Headless Mode &amp; Sideloading\WalkAndUnGZ.bat" "%USERPROFILE%\AppData\Local\Temp\OnboardLogs"\RTDC4025\2017-05-20 &amp; aws s3 cp s3://rtdc.mdm.uploadarchive.raw/RTDC4025/ "%USERPROFILE%\AppData\Local\Temp\OnboardLogs"\RTDC4025\2017-05-21 --exclude "*" --recursive --include "*20170521*" &amp; "%USERPROFILE%\Documents\GitHub\mrs-test-scripts\Headless Mode &amp; Sideloading\WalkAndUnGZ.bat" "%USERPROFILE%\AppData\Local\Temp\OnboardLogs"\RTDC4025\2017-05-21</v>
      </c>
      <c r="AF100" s="77" t="str">
        <f t="shared" si="39"/>
        <v>"C:\Program Files (x86)\AstroGrep\AstroGrep.exe" /e /r /s /spath="%USERPROFILE%\AppData\Local\Temp\OnboardLogs" /stypes="app*4025*20170520*" /stext=" 21:.+((SYSTEM_STATE.+slice.+state.+changed )|(ment ac)|(multiple cpu faults)|(system.+state.+changed )|(\[timeout)|(PRM\|1\|D)|(kpr)|(kdp)|(train st.+moving)|(\|lc)|(penalty))"</v>
      </c>
      <c r="AG100" s="1" t="str">
        <f t="shared" si="40"/>
        <v>EC</v>
      </c>
      <c r="AH100" s="81" t="str">
        <f t="shared" si="41"/>
        <v>"%USERPROFILE%\Documents\GitHub\eaglep3\Utilities\RefineRTDCRunTimes.py" --tripid 186-20 --locoid 4025 --swversion DE.1.0.9.0 --startMP 204:233011 --initTime 2017-05-20T15:07:12 --startdatetime 2017-05-20T15:11:19 --delay 1 --endMP 204:201 --enddatetime 2017-05-20T15:50:37 --enforcementcount 0 &gt;&gt;C:\Users\stu\Documents\GitHub\eaglep3-reporting\EC\2017-05-20-refined-times.txt</v>
      </c>
      <c r="AI100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{"issue":{"subject":"","project_id":79,"tracker_id":40,"status_id":1,"priority_id":2,"assigned_to_id":23,"start_date":"2017-05-20","description":"","custom_fields":[{"id":1,"name":"Subdivision","value":"EC"},{"id":4,"name":"Milepost","value":"0.0201"},{"id":17,"name":"Train ID","value":"186-20"},{"id":16,"name":"Locomotive ID","value":"4025"},{"id":130,"name":"Impact","value":""},{"id":150,"name":"Time of Event (Mountain Time)","value":"15:50:37"},{"id":151,"name":"Denver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43"/>
        <v>start /low /b %USERPROFILE%\Documents\GitHub\eaglep3\Utilities\DownloadLogsFromS3.py --loco 4025 --day 2017-05-20</v>
      </c>
      <c r="AN100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21:50:37"},{"id":29,"name":"Sharepoint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613</v>
      </c>
      <c r="B101" s="7">
        <v>4010</v>
      </c>
      <c r="C101" s="21" t="s">
        <v>206</v>
      </c>
      <c r="D101" s="21" t="s">
        <v>362</v>
      </c>
      <c r="E101" s="13">
        <v>42875.602569444447</v>
      </c>
      <c r="F101" s="13">
        <v>42875.60434027778</v>
      </c>
      <c r="G101" s="7">
        <v>1</v>
      </c>
      <c r="H101" s="21" t="s">
        <v>560</v>
      </c>
      <c r="I101" s="13">
        <v>42875.63008101852</v>
      </c>
      <c r="J101" s="7">
        <v>0</v>
      </c>
      <c r="K101" s="92" t="str">
        <f t="shared" si="29"/>
        <v>4009/4010</v>
      </c>
      <c r="L101" s="21" t="str">
        <f>VLOOKUP(A101,'Trips&amp;Operators'!$C$1:$G$99999,5,FALSE)</f>
        <v>STEWART MICHAEL</v>
      </c>
      <c r="M101" s="6">
        <f t="shared" si="30"/>
        <v>2.5740740740729962E-2</v>
      </c>
      <c r="N101" s="7">
        <f t="shared" si="45"/>
        <v>37.066666666651145</v>
      </c>
      <c r="O101" s="7"/>
      <c r="P101" s="7"/>
      <c r="Q101" s="22"/>
      <c r="R101" s="190"/>
      <c r="S101" s="196">
        <f t="shared" si="46"/>
        <v>1</v>
      </c>
      <c r="T101" s="190" t="str">
        <f t="shared" si="31"/>
        <v>NorthBound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1" t="str">
        <f t="shared" si="32"/>
        <v>https://d0f6bd738d7f1b3e5a7ca70fe4ff75f0.us-east-1.aws.found.io/app/kibana#/discover/Steve-Slow-Train-Analysis-(2080s-and-2083s)?_g=(refreshInterval:(display:Off,pause:!f,section:0,value:0),time:(from:'2017-05-20T13:27:42-0600',mode:absolute,to:'2017-05-20T16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1" s="192" t="str">
        <f t="shared" si="33"/>
        <v>N</v>
      </c>
      <c r="X101" s="192">
        <f t="shared" ref="X101:X132" si="48">VALUE(LEFT(AD101,4))-VALUE(LEFT(AD100,4))</f>
        <v>1</v>
      </c>
      <c r="Y101" s="192">
        <f t="shared" si="34"/>
        <v>4.6399999999999997E-2</v>
      </c>
      <c r="Z101" s="192">
        <f t="shared" si="35"/>
        <v>23.325900000000001</v>
      </c>
      <c r="AA101" s="192">
        <f t="shared" si="36"/>
        <v>23.279500000000002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37"/>
        <v>0187-20</v>
      </c>
      <c r="AE101" s="80" t="str">
        <f t="shared" si="38"/>
        <v>aws s3 cp s3://rtdc.mdm.uploadarchive.raw/RTDC4010/ "%USERPROFILE%\AppData\Local\Temp\OnboardLogs"\RTDC4010\2017-05-20 --exclude "*" --recursive --include "*20170520*" &amp; "%USERPROFILE%\Documents\GitHub\mrs-test-scripts\Headless Mode &amp; Sideloading\WalkAndUnGZ.bat" "%USERPROFILE%\AppData\Local\Temp\OnboardLogs"\RTDC4010\2017-05-20 &amp; aws s3 cp s3://rtdc.mdm.uploadarchive.raw/RTDC4010/ "%USERPROFILE%\AppData\Local\Temp\OnboardLogs"\RTDC4010\2017-05-21 --exclude "*" --recursive --include "*20170521*" &amp; "%USERPROFILE%\Documents\GitHub\mrs-test-scripts\Headless Mode &amp; Sideloading\WalkAndUnGZ.bat" "%USERPROFILE%\AppData\Local\Temp\OnboardLogs"\RTDC4010\2017-05-21</v>
      </c>
      <c r="AF101" s="77" t="str">
        <f t="shared" si="39"/>
        <v>"C:\Program Files (x86)\AstroGrep\AstroGrep.exe" /e /r /s /spath="%USERPROFILE%\AppData\Local\Temp\OnboardLogs" /stypes="app*4010*20170520*" /stext=" 21:.+((SYSTEM_STATE.+slice.+state.+changed )|(ment ac)|(multiple cpu faults)|(system.+state.+changed )|(\[timeout)|(PRM\|1\|D)|(kpr)|(kdp)|(train st.+moving)|(\|lc)|(penalty))"</v>
      </c>
      <c r="AG101" s="1" t="str">
        <f t="shared" si="40"/>
        <v>EC</v>
      </c>
      <c r="AH101" s="81" t="str">
        <f t="shared" si="41"/>
        <v>"%USERPROFILE%\Documents\GitHub\eaglep3\Utilities\RefineRTDCRunTimes.py" --tripid 187-20 --locoid 4010 --swversion DE.1.0.9.0 --startMP 204:464 --initTime 2017-05-20T14:27:42 --startdatetime 2017-05-20T14:30:15 --delay 1 --endMP 204:233259 --enddatetime 2017-05-20T15:07:19 --enforcementcount 0 &gt;&gt;C:\Users\stu\Documents\GitHub\eaglep3-reporting\EC\2017-05-20-refined-times.txt</v>
      </c>
      <c r="AI101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{"issue":{"subject":"","project_id":79,"tracker_id":40,"status_id":1,"priority_id":2,"assigned_to_id":23,"start_date":"2017-05-20","description":"","custom_fields":[{"id":1,"name":"Subdivision","value":"EC"},{"id":4,"name":"Milepost","value":"23.3259"},{"id":17,"name":"Train ID","value":"187-20"},{"id":16,"name":"Locomotive ID","value":"4010"},{"id":130,"name":"Impact","value":""},{"id":150,"name":"Time of Event (Mountain Time)","value":"15:07:19"},{"id":151,"name":"Denver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43"/>
        <v>start /low /b %USERPROFILE%\Documents\GitHub\eaglep3\Utilities\DownloadLogsFromS3.py --loco 4010 --day 2017-05-20</v>
      </c>
      <c r="AN101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21:07:19"},{"id":29,"name":"Sharepoint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772</v>
      </c>
      <c r="B102" s="7">
        <v>4009</v>
      </c>
      <c r="C102" s="21" t="s">
        <v>206</v>
      </c>
      <c r="D102" s="21" t="s">
        <v>502</v>
      </c>
      <c r="E102" s="13">
        <v>42875.640590277777</v>
      </c>
      <c r="F102" s="13">
        <v>42875.643379629626</v>
      </c>
      <c r="G102" s="7">
        <v>1</v>
      </c>
      <c r="H102" s="21" t="s">
        <v>550</v>
      </c>
      <c r="I102" s="13">
        <v>42875.670532407406</v>
      </c>
      <c r="J102" s="7">
        <v>0</v>
      </c>
      <c r="K102" s="92" t="str">
        <f t="shared" si="29"/>
        <v>4009/4010</v>
      </c>
      <c r="L102" s="21" t="str">
        <f>VLOOKUP(A102,'Trips&amp;Operators'!$C$1:$G$99999,5,FALSE)</f>
        <v>STEWART MICHAEL</v>
      </c>
      <c r="M102" s="6">
        <f t="shared" si="30"/>
        <v>2.715277778042946E-2</v>
      </c>
      <c r="N102" s="7">
        <f t="shared" si="45"/>
        <v>39.100000003818423</v>
      </c>
      <c r="O102" s="7"/>
      <c r="P102" s="7"/>
      <c r="Q102" s="22"/>
      <c r="R102" s="190"/>
      <c r="S102" s="196">
        <f t="shared" si="46"/>
        <v>1</v>
      </c>
      <c r="T102" s="190" t="str">
        <f t="shared" si="31"/>
        <v>Southbound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 t="shared" si="32"/>
        <v>https://d0f6bd738d7f1b3e5a7ca70fe4ff75f0.us-east-1.aws.found.io/app/kibana#/discover/Steve-Slow-Train-Analysis-(2080s-and-2083s)?_g=(refreshInterval:(display:Off,pause:!f,section:0,value:0),time:(from:'2017-05-20T14:22:27-0600',mode:absolute,to:'2017-05-20T17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2" s="192" t="str">
        <f t="shared" si="33"/>
        <v>N</v>
      </c>
      <c r="X102" s="192">
        <f t="shared" si="48"/>
        <v>1</v>
      </c>
      <c r="Y102" s="192">
        <f t="shared" si="34"/>
        <v>23.297899999999998</v>
      </c>
      <c r="Z102" s="192">
        <f t="shared" si="35"/>
        <v>1.6500000000000001E-2</v>
      </c>
      <c r="AA102" s="192">
        <f t="shared" si="36"/>
        <v>23.281399999999998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37"/>
        <v>0188-20</v>
      </c>
      <c r="AE102" s="80" t="str">
        <f t="shared" si="38"/>
        <v>aws s3 cp s3://rtdc.mdm.uploadarchive.raw/RTDC4009/ "%USERPROFILE%\AppData\Local\Temp\OnboardLogs"\RTDC4009\2017-05-20 --exclude "*" --recursive --include "*20170520*" &amp; "%USERPROFILE%\Documents\GitHub\mrs-test-scripts\Headless Mode &amp; Sideloading\WalkAndUnGZ.bat" "%USERPROFILE%\AppData\Local\Temp\OnboardLogs"\RTDC4009\2017-05-20 &amp; aws s3 cp s3://rtdc.mdm.uploadarchive.raw/RTDC4009/ "%USERPROFILE%\AppData\Local\Temp\OnboardLogs"\RTDC4009\2017-05-21 --exclude "*" --recursive --include "*20170521*" &amp; "%USERPROFILE%\Documents\GitHub\mrs-test-scripts\Headless Mode &amp; Sideloading\WalkAndUnGZ.bat" "%USERPROFILE%\AppData\Local\Temp\OnboardLogs"\RTDC4009\2017-05-21</v>
      </c>
      <c r="AF102" s="77" t="str">
        <f t="shared" si="39"/>
        <v>"C:\Program Files (x86)\AstroGrep\AstroGrep.exe" /e /r /s /spath="%USERPROFILE%\AppData\Local\Temp\OnboardLogs" /stypes="app*4009*20170520*" /stext=" 22:.+((SYSTEM_STATE.+slice.+state.+changed )|(ment ac)|(multiple cpu faults)|(system.+state.+changed )|(\[timeout)|(PRM\|1\|D)|(kpr)|(kdp)|(train st.+moving)|(\|lc)|(penalty))"</v>
      </c>
      <c r="AG102" s="1" t="str">
        <f t="shared" si="40"/>
        <v>EC</v>
      </c>
      <c r="AH102" s="81" t="str">
        <f t="shared" si="41"/>
        <v>"%USERPROFILE%\Documents\GitHub\eaglep3\Utilities\RefineRTDCRunTimes.py" --tripid 188-20 --locoid 4009 --swversion DE.1.0.9.0 --startMP 204:232979 --initTime 2017-05-20T15:22:27 --startdatetime 2017-05-20T15:26:28 --delay 1 --endMP 204:165 --enddatetime 2017-05-20T16:05:34 --enforcementcount 0 &gt;&gt;C:\Users\stu\Documents\GitHub\eaglep3-reporting\EC\2017-05-20-refined-times.txt</v>
      </c>
      <c r="AI102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{"issue":{"subject":"","project_id":79,"tracker_id":40,"status_id":1,"priority_id":2,"assigned_to_id":23,"start_date":"2017-05-20","description":"","custom_fields":[{"id":1,"name":"Subdivision","value":"EC"},{"id":4,"name":"Milepost","value":"0.0165"},{"id":17,"name":"Train ID","value":"188-20"},{"id":16,"name":"Locomotive ID","value":"4009"},{"id":130,"name":"Impact","value":""},{"id":150,"name":"Time of Event (Mountain Time)","value":"16:05:34"},{"id":151,"name":"Denver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43"/>
        <v>start /low /b %USERPROFILE%\Documents\GitHub\eaglep3\Utilities\DownloadLogsFromS3.py --loco 4009 --day 2017-05-20</v>
      </c>
      <c r="AN102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22:05:34"},{"id":29,"name":"Sharepoint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768</v>
      </c>
      <c r="B103" s="7">
        <v>4012</v>
      </c>
      <c r="C103" s="21" t="s">
        <v>206</v>
      </c>
      <c r="D103" s="21" t="s">
        <v>364</v>
      </c>
      <c r="E103" s="13">
        <v>42875.610729166663</v>
      </c>
      <c r="F103" s="13">
        <v>42875.614849537036</v>
      </c>
      <c r="G103" s="7">
        <v>1</v>
      </c>
      <c r="H103" s="21" t="s">
        <v>405</v>
      </c>
      <c r="I103" s="13">
        <v>42875.639722222222</v>
      </c>
      <c r="J103" s="7">
        <v>0</v>
      </c>
      <c r="K103" s="92" t="str">
        <f t="shared" si="29"/>
        <v>4011/4012</v>
      </c>
      <c r="L103" s="21" t="str">
        <f>VLOOKUP(A103,'Trips&amp;Operators'!$C$1:$G$99999,5,FALSE)</f>
        <v>MCREYNOLDS KYLE</v>
      </c>
      <c r="M103" s="6">
        <f t="shared" si="30"/>
        <v>2.4872685185982846E-2</v>
      </c>
      <c r="N103" s="7">
        <f t="shared" si="45"/>
        <v>35.816666667815298</v>
      </c>
      <c r="O103" s="7"/>
      <c r="P103" s="7"/>
      <c r="Q103" s="22"/>
      <c r="R103" s="190"/>
      <c r="S103" s="196">
        <f t="shared" si="46"/>
        <v>1</v>
      </c>
      <c r="T103" s="190" t="str">
        <f t="shared" si="31"/>
        <v>NorthBound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 t="shared" si="32"/>
        <v>https://d0f6bd738d7f1b3e5a7ca70fe4ff75f0.us-east-1.aws.found.io/app/kibana#/discover/Steve-Slow-Train-Analysis-(2080s-and-2083s)?_g=(refreshInterval:(display:Off,pause:!f,section:0,value:0),time:(from:'2017-05-20T13:39:27-0600',mode:absolute,to:'2017-05-20T16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3" s="192" t="str">
        <f t="shared" si="33"/>
        <v>N</v>
      </c>
      <c r="X103" s="192">
        <f t="shared" si="48"/>
        <v>1</v>
      </c>
      <c r="Y103" s="192">
        <f t="shared" si="34"/>
        <v>4.53E-2</v>
      </c>
      <c r="Z103" s="192">
        <f t="shared" si="35"/>
        <v>23.3293</v>
      </c>
      <c r="AA103" s="192">
        <f t="shared" si="36"/>
        <v>23.283999999999999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37"/>
        <v>0189-20</v>
      </c>
      <c r="AE103" s="80" t="str">
        <f t="shared" si="38"/>
        <v>aws s3 cp s3://rtdc.mdm.uploadarchive.raw/RTDC4012/ "%USERPROFILE%\AppData\Local\Temp\OnboardLogs"\RTDC4012\2017-05-20 --exclude "*" --recursive --include "*20170520*" &amp; "%USERPROFILE%\Documents\GitHub\mrs-test-scripts\Headless Mode &amp; Sideloading\WalkAndUnGZ.bat" "%USERPROFILE%\AppData\Local\Temp\OnboardLogs"\RTDC4012\2017-05-20 &amp; aws s3 cp s3://rtdc.mdm.uploadarchive.raw/RTDC4012/ "%USERPROFILE%\AppData\Local\Temp\OnboardLogs"\RTDC4012\2017-05-21 --exclude "*" --recursive --include "*20170521*" &amp; "%USERPROFILE%\Documents\GitHub\mrs-test-scripts\Headless Mode &amp; Sideloading\WalkAndUnGZ.bat" "%USERPROFILE%\AppData\Local\Temp\OnboardLogs"\RTDC4012\2017-05-21</v>
      </c>
      <c r="AF103" s="77" t="str">
        <f t="shared" si="39"/>
        <v>"C:\Program Files (x86)\AstroGrep\AstroGrep.exe" /e /r /s /spath="%USERPROFILE%\AppData\Local\Temp\OnboardLogs" /stypes="app*4012*20170520*" /stext=" 21:.+((SYSTEM_STATE.+slice.+state.+changed )|(ment ac)|(multiple cpu faults)|(system.+state.+changed )|(\[timeout)|(PRM\|1\|D)|(kpr)|(kdp)|(train st.+moving)|(\|lc)|(penalty))"</v>
      </c>
      <c r="AG103" s="1" t="str">
        <f t="shared" si="40"/>
        <v>EC</v>
      </c>
      <c r="AH103" s="81" t="str">
        <f t="shared" si="41"/>
        <v>"%USERPROFILE%\Documents\GitHub\eaglep3\Utilities\RefineRTDCRunTimes.py" --tripid 189-20 --locoid 4012 --swversion DE.1.0.9.0 --startMP 204:453 --initTime 2017-05-20T14:39:27 --startdatetime 2017-05-20T14:45:23 --delay 1 --endMP 204:233293 --enddatetime 2017-05-20T15:21:12 --enforcementcount 0 &gt;&gt;C:\Users\stu\Documents\GitHub\eaglep3-reporting\EC\2017-05-20-refined-times.txt</v>
      </c>
      <c r="AI103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{"issue":{"subject":"","project_id":79,"tracker_id":40,"status_id":1,"priority_id":2,"assigned_to_id":23,"start_date":"2017-05-20","description":"","custom_fields":[{"id":1,"name":"Subdivision","value":"EC"},{"id":4,"name":"Milepost","value":"23.3293"},{"id":17,"name":"Train ID","value":"189-20"},{"id":16,"name":"Locomotive ID","value":"4012"},{"id":130,"name":"Impact","value":""},{"id":150,"name":"Time of Event (Mountain Time)","value":"15:21:12"},{"id":151,"name":"Denver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43"/>
        <v>start /low /b %USERPROFILE%\Documents\GitHub\eaglep3\Utilities\DownloadLogsFromS3.py --loco 4012 --day 2017-05-20</v>
      </c>
      <c r="AN103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21:21:12"},{"id":29,"name":"Sharepoint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774</v>
      </c>
      <c r="B104" s="7">
        <v>4011</v>
      </c>
      <c r="C104" s="21" t="s">
        <v>206</v>
      </c>
      <c r="D104" s="21" t="s">
        <v>937</v>
      </c>
      <c r="E104" s="13">
        <v>42875.647615740738</v>
      </c>
      <c r="F104" s="13">
        <v>42875.653807870367</v>
      </c>
      <c r="G104" s="7">
        <v>1</v>
      </c>
      <c r="H104" s="21" t="s">
        <v>867</v>
      </c>
      <c r="I104" s="13">
        <v>42875.680509259262</v>
      </c>
      <c r="J104" s="7">
        <v>0</v>
      </c>
      <c r="K104" s="92" t="str">
        <f t="shared" si="29"/>
        <v>4011/4012</v>
      </c>
      <c r="L104" s="21" t="str">
        <f>VLOOKUP(A104,'Trips&amp;Operators'!$C$1:$G$99999,5,FALSE)</f>
        <v>MCREYNOLDS KYLE</v>
      </c>
      <c r="M104" s="6">
        <f t="shared" si="30"/>
        <v>2.6701388895162381E-2</v>
      </c>
      <c r="N104" s="7">
        <f t="shared" si="45"/>
        <v>38.450000009033829</v>
      </c>
      <c r="O104" s="7"/>
      <c r="P104" s="7"/>
      <c r="Q104" s="22"/>
      <c r="R104" s="190"/>
      <c r="S104" s="196">
        <f t="shared" si="46"/>
        <v>1</v>
      </c>
      <c r="T104" s="190" t="str">
        <f t="shared" si="31"/>
        <v>Southbound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 t="shared" si="32"/>
        <v>https://d0f6bd738d7f1b3e5a7ca70fe4ff75f0.us-east-1.aws.found.io/app/kibana#/discover/Steve-Slow-Train-Analysis-(2080s-and-2083s)?_g=(refreshInterval:(display:Off,pause:!f,section:0,value:0),time:(from:'2017-05-20T14:32:34-0600',mode:absolute,to:'2017-05-20T17:19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4" s="192" t="str">
        <f t="shared" si="33"/>
        <v>N</v>
      </c>
      <c r="X104" s="192">
        <f t="shared" si="48"/>
        <v>1</v>
      </c>
      <c r="Y104" s="192">
        <f t="shared" si="34"/>
        <v>23.2959</v>
      </c>
      <c r="Z104" s="192">
        <f t="shared" si="35"/>
        <v>1.67E-2</v>
      </c>
      <c r="AA104" s="192">
        <f t="shared" si="36"/>
        <v>23.279199999999999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37"/>
        <v>0190-20</v>
      </c>
      <c r="AE104" s="80" t="str">
        <f t="shared" si="38"/>
        <v>aws s3 cp s3://rtdc.mdm.uploadarchive.raw/RTDC4011/ "%USERPROFILE%\AppData\Local\Temp\OnboardLogs"\RTDC4011\2017-05-20 --exclude "*" --recursive --include "*20170520*" &amp; "%USERPROFILE%\Documents\GitHub\mrs-test-scripts\Headless Mode &amp; Sideloading\WalkAndUnGZ.bat" "%USERPROFILE%\AppData\Local\Temp\OnboardLogs"\RTDC4011\2017-05-20 &amp; aws s3 cp s3://rtdc.mdm.uploadarchive.raw/RTDC4011/ "%USERPROFILE%\AppData\Local\Temp\OnboardLogs"\RTDC4011\2017-05-21 --exclude "*" --recursive --include "*20170521*" &amp; "%USERPROFILE%\Documents\GitHub\mrs-test-scripts\Headless Mode &amp; Sideloading\WalkAndUnGZ.bat" "%USERPROFILE%\AppData\Local\Temp\OnboardLogs"\RTDC4011\2017-05-21</v>
      </c>
      <c r="AF104" s="77" t="str">
        <f t="shared" si="39"/>
        <v>"C:\Program Files (x86)\AstroGrep\AstroGrep.exe" /e /r /s /spath="%USERPROFILE%\AppData\Local\Temp\OnboardLogs" /stypes="app*4011*20170520*" /stext=" 22:.+((SYSTEM_STATE.+slice.+state.+changed )|(ment ac)|(multiple cpu faults)|(system.+state.+changed )|(\[timeout)|(PRM\|1\|D)|(kpr)|(kdp)|(train st.+moving)|(\|lc)|(penalty))"</v>
      </c>
      <c r="AG104" s="1" t="str">
        <f t="shared" si="40"/>
        <v>EC</v>
      </c>
      <c r="AH104" s="81" t="str">
        <f t="shared" si="41"/>
        <v>"%USERPROFILE%\Documents\GitHub\eaglep3\Utilities\RefineRTDCRunTimes.py" --tripid 190-20 --locoid 4011 --swversion DE.1.0.9.0 --startMP 204:232959 --initTime 2017-05-20T15:32:34 --startdatetime 2017-05-20T15:41:29 --delay 1 --endMP 204:167 --enddatetime 2017-05-20T16:19:56 --enforcementcount 0 &gt;&gt;C:\Users\stu\Documents\GitHub\eaglep3-reporting\EC\2017-05-20-refined-times.txt</v>
      </c>
      <c r="AI104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{"issue":{"subject":"","project_id":79,"tracker_id":40,"status_id":1,"priority_id":2,"assigned_to_id":23,"start_date":"2017-05-20","description":"","custom_fields":[{"id":1,"name":"Subdivision","value":"EC"},{"id":4,"name":"Milepost","value":"0.0167"},{"id":17,"name":"Train ID","value":"190-20"},{"id":16,"name":"Locomotive ID","value":"4011"},{"id":130,"name":"Impact","value":""},{"id":150,"name":"Time of Event (Mountain Time)","value":"16:19:56"},{"id":151,"name":"Denver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43"/>
        <v>start /low /b %USERPROFILE%\Documents\GitHub\eaglep3\Utilities\DownloadLogsFromS3.py --loco 4011 --day 2017-05-20</v>
      </c>
      <c r="AN104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22:19:56"},{"id":29,"name":"Sharepoint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770</v>
      </c>
      <c r="B105" s="7">
        <v>4022</v>
      </c>
      <c r="C105" s="21" t="s">
        <v>206</v>
      </c>
      <c r="D105" s="21" t="s">
        <v>352</v>
      </c>
      <c r="E105" s="13">
        <v>42875.620983796296</v>
      </c>
      <c r="F105" s="13">
        <v>42875.625185185185</v>
      </c>
      <c r="G105" s="7">
        <v>1</v>
      </c>
      <c r="H105" s="21" t="s">
        <v>554</v>
      </c>
      <c r="I105" s="13">
        <v>42875.649988425925</v>
      </c>
      <c r="J105" s="7">
        <v>0</v>
      </c>
      <c r="K105" s="92" t="str">
        <f t="shared" si="29"/>
        <v>4021/4022</v>
      </c>
      <c r="L105" s="21" t="str">
        <f>VLOOKUP(A105,'Trips&amp;Operators'!$C$1:$G$99999,5,FALSE)</f>
        <v>BRUDER RICHARD</v>
      </c>
      <c r="M105" s="6">
        <f t="shared" si="30"/>
        <v>2.4803240739856847E-2</v>
      </c>
      <c r="N105" s="7">
        <f t="shared" si="45"/>
        <v>35.716666665393859</v>
      </c>
      <c r="O105" s="7"/>
      <c r="P105" s="7"/>
      <c r="Q105" s="22"/>
      <c r="R105" s="190"/>
      <c r="S105" s="196">
        <f t="shared" si="46"/>
        <v>1</v>
      </c>
      <c r="T105" s="190" t="str">
        <f t="shared" si="31"/>
        <v>NorthBound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 t="shared" si="32"/>
        <v>https://d0f6bd738d7f1b3e5a7ca70fe4ff75f0.us-east-1.aws.found.io/app/kibana#/discover/Steve-Slow-Train-Analysis-(2080s-and-2083s)?_g=(refreshInterval:(display:Off,pause:!f,section:0,value:0),time:(from:'2017-05-20T13:54:13-0600',mode:absolute,to:'2017-05-20T16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5" s="192" t="str">
        <f t="shared" si="33"/>
        <v>N</v>
      </c>
      <c r="X105" s="192">
        <f t="shared" si="48"/>
        <v>1</v>
      </c>
      <c r="Y105" s="192">
        <f t="shared" si="34"/>
        <v>4.4600000000000001E-2</v>
      </c>
      <c r="Z105" s="192">
        <f t="shared" si="35"/>
        <v>23.330200000000001</v>
      </c>
      <c r="AA105" s="192">
        <f t="shared" si="36"/>
        <v>23.285600000000002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37"/>
        <v>0191-20</v>
      </c>
      <c r="AE105" s="80" t="str">
        <f t="shared" si="38"/>
        <v>aws s3 cp s3://rtdc.mdm.uploadarchive.raw/RTDC4022/ "%USERPROFILE%\AppData\Local\Temp\OnboardLogs"\RTDC4022\2017-05-20 --exclude "*" --recursive --include "*20170520*" &amp; "%USERPROFILE%\Documents\GitHub\mrs-test-scripts\Headless Mode &amp; Sideloading\WalkAndUnGZ.bat" "%USERPROFILE%\AppData\Local\Temp\OnboardLogs"\RTDC4022\2017-05-20 &amp; aws s3 cp s3://rtdc.mdm.uploadarchive.raw/RTDC4022/ "%USERPROFILE%\AppData\Local\Temp\OnboardLogs"\RTDC4022\2017-05-21 --exclude "*" --recursive --include "*20170521*" &amp; "%USERPROFILE%\Documents\GitHub\mrs-test-scripts\Headless Mode &amp; Sideloading\WalkAndUnGZ.bat" "%USERPROFILE%\AppData\Local\Temp\OnboardLogs"\RTDC4022\2017-05-21</v>
      </c>
      <c r="AF105" s="77" t="str">
        <f t="shared" si="39"/>
        <v>"C:\Program Files (x86)\AstroGrep\AstroGrep.exe" /e /r /s /spath="%USERPROFILE%\AppData\Local\Temp\OnboardLogs" /stypes="app*4022*20170520*" /stext=" 21:.+((SYSTEM_STATE.+slice.+state.+changed )|(ment ac)|(multiple cpu faults)|(system.+state.+changed )|(\[timeout)|(PRM\|1\|D)|(kpr)|(kdp)|(train st.+moving)|(\|lc)|(penalty))"</v>
      </c>
      <c r="AG105" s="1" t="str">
        <f t="shared" si="40"/>
        <v>EC</v>
      </c>
      <c r="AH105" s="81" t="str">
        <f t="shared" si="41"/>
        <v>"%USERPROFILE%\Documents\GitHub\eaglep3\Utilities\RefineRTDCRunTimes.py" --tripid 191-20 --locoid 4022 --swversion DE.1.0.9.0 --startMP 204:446 --initTime 2017-05-20T14:54:13 --startdatetime 2017-05-20T15:00:16 --delay 1 --endMP 204:233302 --enddatetime 2017-05-20T15:35:59 --enforcementcount 0 &gt;&gt;C:\Users\stu\Documents\GitHub\eaglep3-reporting\EC\2017-05-20-refined-times.txt</v>
      </c>
      <c r="AI105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{"issue":{"subject":"","project_id":79,"tracker_id":40,"status_id":1,"priority_id":2,"assigned_to_id":23,"start_date":"2017-05-20","description":"","custom_fields":[{"id":1,"name":"Subdivision","value":"EC"},{"id":4,"name":"Milepost","value":"23.3302"},{"id":17,"name":"Train ID","value":"191-20"},{"id":16,"name":"Locomotive ID","value":"4022"},{"id":130,"name":"Impact","value":""},{"id":150,"name":"Time of Event (Mountain Time)","value":"15:35:59"},{"id":151,"name":"Denver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43"/>
        <v>start /low /b %USERPROFILE%\Documents\GitHub\eaglep3\Utilities\DownloadLogsFromS3.py --loco 4022 --day 2017-05-20</v>
      </c>
      <c r="AN105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21:35:59"},{"id":29,"name":"Sharepoint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777</v>
      </c>
      <c r="B106" s="7">
        <v>4021</v>
      </c>
      <c r="C106" s="21" t="s">
        <v>206</v>
      </c>
      <c r="D106" s="21" t="s">
        <v>940</v>
      </c>
      <c r="E106" s="13">
        <v>42875.659687500003</v>
      </c>
      <c r="F106" s="13">
        <v>42875.664085648146</v>
      </c>
      <c r="G106" s="7">
        <v>1</v>
      </c>
      <c r="H106" s="21" t="s">
        <v>197</v>
      </c>
      <c r="I106" s="13">
        <v>42875.691724537035</v>
      </c>
      <c r="J106" s="7">
        <v>0</v>
      </c>
      <c r="K106" s="92" t="str">
        <f t="shared" si="29"/>
        <v>4021/4022</v>
      </c>
      <c r="L106" s="21" t="str">
        <f>VLOOKUP(A106,'Trips&amp;Operators'!$C$1:$G$99999,5,FALSE)</f>
        <v>BRUDER RICHARD</v>
      </c>
      <c r="M106" s="6">
        <f t="shared" si="30"/>
        <v>2.7638888888759539E-2</v>
      </c>
      <c r="N106" s="7">
        <f t="shared" si="45"/>
        <v>39.799999999813735</v>
      </c>
      <c r="O106" s="7"/>
      <c r="P106" s="7"/>
      <c r="Q106" s="22"/>
      <c r="R106" s="190"/>
      <c r="S106" s="196">
        <f t="shared" si="46"/>
        <v>1</v>
      </c>
      <c r="T106" s="190" t="str">
        <f t="shared" si="31"/>
        <v>Southbound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 t="shared" si="32"/>
        <v>https://d0f6bd738d7f1b3e5a7ca70fe4ff75f0.us-east-1.aws.found.io/app/kibana#/discover/Steve-Slow-Train-Analysis-(2080s-and-2083s)?_g=(refreshInterval:(display:Off,pause:!f,section:0,value:0),time:(from:'2017-05-20T14:49:57-0600',mode:absolute,to:'2017-05-20T17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6" s="192" t="str">
        <f t="shared" si="33"/>
        <v>N</v>
      </c>
      <c r="X106" s="192">
        <f t="shared" si="48"/>
        <v>1</v>
      </c>
      <c r="Y106" s="192">
        <f t="shared" si="34"/>
        <v>23.299099999999999</v>
      </c>
      <c r="Z106" s="192">
        <f t="shared" si="35"/>
        <v>1.52E-2</v>
      </c>
      <c r="AA106" s="192">
        <f t="shared" si="36"/>
        <v>23.283899999999999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37"/>
        <v>0192-20</v>
      </c>
      <c r="AE106" s="80" t="str">
        <f t="shared" si="38"/>
        <v>aws s3 cp s3://rtdc.mdm.uploadarchive.raw/RTDC4021/ "%USERPROFILE%\AppData\Local\Temp\OnboardLogs"\RTDC4021\2017-05-20 --exclude "*" --recursive --include "*20170520*" &amp; "%USERPROFILE%\Documents\GitHub\mrs-test-scripts\Headless Mode &amp; Sideloading\WalkAndUnGZ.bat" "%USERPROFILE%\AppData\Local\Temp\OnboardLogs"\RTDC4021\2017-05-20 &amp; aws s3 cp s3://rtdc.mdm.uploadarchive.raw/RTDC4021/ "%USERPROFILE%\AppData\Local\Temp\OnboardLogs"\RTDC4021\2017-05-21 --exclude "*" --recursive --include "*20170521*" &amp; "%USERPROFILE%\Documents\GitHub\mrs-test-scripts\Headless Mode &amp; Sideloading\WalkAndUnGZ.bat" "%USERPROFILE%\AppData\Local\Temp\OnboardLogs"\RTDC4021\2017-05-21</v>
      </c>
      <c r="AF106" s="77" t="str">
        <f t="shared" si="39"/>
        <v>"C:\Program Files (x86)\AstroGrep\AstroGrep.exe" /e /r /s /spath="%USERPROFILE%\AppData\Local\Temp\OnboardLogs" /stypes="app*4021*20170520*" /stext=" 22:.+((SYSTEM_STATE.+slice.+state.+changed )|(ment ac)|(multiple cpu faults)|(system.+state.+changed )|(\[timeout)|(PRM\|1\|D)|(kpr)|(kdp)|(train st.+moving)|(\|lc)|(penalty))"</v>
      </c>
      <c r="AG106" s="1" t="str">
        <f t="shared" si="40"/>
        <v>EC</v>
      </c>
      <c r="AH106" s="81" t="str">
        <f t="shared" si="41"/>
        <v>"%USERPROFILE%\Documents\GitHub\eaglep3\Utilities\RefineRTDCRunTimes.py" --tripid 192-20 --locoid 4021 --swversion DE.1.0.9.0 --startMP 204:232991 --initTime 2017-05-20T15:49:57 --startdatetime 2017-05-20T15:56:17 --delay 1 --endMP 204:152 --enddatetime 2017-05-20T16:36:05 --enforcementcount 0 &gt;&gt;C:\Users\stu\Documents\GitHub\eaglep3-reporting\EC\2017-05-20-refined-times.txt</v>
      </c>
      <c r="AI106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{"issue":{"subject":"","project_id":79,"tracker_id":40,"status_id":1,"priority_id":2,"assigned_to_id":23,"start_date":"2017-05-20","description":"","custom_fields":[{"id":1,"name":"Subdivision","value":"EC"},{"id":4,"name":"Milepost","value":"0.0152"},{"id":17,"name":"Train ID","value":"192-20"},{"id":16,"name":"Locomotive ID","value":"4021"},{"id":130,"name":"Impact","value":""},{"id":150,"name":"Time of Event (Mountain Time)","value":"16:36:05"},{"id":151,"name":"Denver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43"/>
        <v>start /low /b %USERPROFILE%\Documents\GitHub\eaglep3\Utilities\DownloadLogsFromS3.py --loco 4021 --day 2017-05-20</v>
      </c>
      <c r="AN106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22:36:05"},{"id":29,"name":"Sharepoint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615</v>
      </c>
      <c r="B107" s="7">
        <v>4002</v>
      </c>
      <c r="C107" s="21" t="s">
        <v>206</v>
      </c>
      <c r="D107" s="21" t="s">
        <v>404</v>
      </c>
      <c r="E107" s="13">
        <v>42875.633356481485</v>
      </c>
      <c r="F107" s="13">
        <v>42875.635636574072</v>
      </c>
      <c r="G107" s="7">
        <v>1</v>
      </c>
      <c r="H107" s="21" t="s">
        <v>941</v>
      </c>
      <c r="I107" s="13">
        <v>42875.659710648149</v>
      </c>
      <c r="J107" s="7">
        <v>0</v>
      </c>
      <c r="K107" s="92" t="str">
        <f t="shared" si="29"/>
        <v>4001/4002</v>
      </c>
      <c r="L107" s="21" t="str">
        <f>VLOOKUP(A107,'Trips&amp;Operators'!$C$1:$G$99999,5,FALSE)</f>
        <v>DAVIDSON DAVID</v>
      </c>
      <c r="M107" s="6">
        <f t="shared" si="30"/>
        <v>2.4074074077361729E-2</v>
      </c>
      <c r="N107" s="7"/>
      <c r="O107" s="7"/>
      <c r="P107" s="7">
        <f>24*60*SUM($M107:$M107)</f>
        <v>34.66666667140089</v>
      </c>
      <c r="Q107" s="22"/>
      <c r="R107" s="190" t="s">
        <v>512</v>
      </c>
      <c r="S107" s="196">
        <f t="shared" si="46"/>
        <v>1</v>
      </c>
      <c r="T107" s="190" t="str">
        <f t="shared" si="31"/>
        <v>NorthBound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 t="shared" si="32"/>
        <v>https://d0f6bd738d7f1b3e5a7ca70fe4ff75f0.us-east-1.aws.found.io/app/kibana#/discover/Steve-Slow-Train-Analysis-(2080s-and-2083s)?_g=(refreshInterval:(display:Off,pause:!f,section:0,value:0),time:(from:'2017-05-20T14:12:02-0600',mode:absolute,to:'2017-05-20T16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7" s="192" t="str">
        <f t="shared" si="33"/>
        <v>Y</v>
      </c>
      <c r="X107" s="192">
        <f t="shared" si="48"/>
        <v>1</v>
      </c>
      <c r="Y107" s="192">
        <f t="shared" si="34"/>
        <v>4.6199999999999998E-2</v>
      </c>
      <c r="Z107" s="192">
        <f t="shared" si="35"/>
        <v>21.477399999999999</v>
      </c>
      <c r="AA107" s="192">
        <f t="shared" si="36"/>
        <v>21.4312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37"/>
        <v>0193-20</v>
      </c>
      <c r="AE107" s="80" t="str">
        <f t="shared" si="38"/>
        <v>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 &amp; aws s3 cp s3://rtdc.mdm.uploadarchive.raw/RTDC4002/ "%USERPROFILE%\AppData\Local\Temp\OnboardLogs"\RTDC4002\2017-05-21 --exclude "*" --recursive --include "*20170521*" &amp; "%USERPROFILE%\Documents\GitHub\mrs-test-scripts\Headless Mode &amp; Sideloading\WalkAndUnGZ.bat" "%USERPROFILE%\AppData\Local\Temp\OnboardLogs"\RTDC4002\2017-05-21</v>
      </c>
      <c r="AF107" s="77" t="str">
        <f t="shared" si="39"/>
        <v>"C:\Program Files (x86)\AstroGrep\AstroGrep.exe" /e /r /s /spath="%USERPROFILE%\AppData\Local\Temp\OnboardLogs" /stypes="app*4002*20170520*" /stext=" 21:.+((SYSTEM_STATE.+slice.+state.+changed )|(ment ac)|(multiple cpu faults)|(system.+state.+changed )|(\[timeout)|(PRM\|1\|D)|(kpr)|(kdp)|(train st.+moving)|(\|lc)|(penalty))"</v>
      </c>
      <c r="AG107" s="1" t="str">
        <f t="shared" si="40"/>
        <v>EC</v>
      </c>
      <c r="AH107" s="81" t="str">
        <f t="shared" si="41"/>
        <v>"%USERPROFILE%\Documents\GitHub\eaglep3\Utilities\RefineRTDCRunTimes.py" --tripid 193-20 --locoid 4002 --swversion DE.1.0.9.0 --startMP 204:462 --initTime 2017-05-20T15:12:02 --startdatetime 2017-05-20T15:15:19 --delay 1 --endMP 204:214774 --enddatetime 2017-05-20T15:49:59 --enforcementcount 0 &gt;&gt;C:\Users\stu\Documents\GitHub\eaglep3-reporting\EC\2017-05-20-refined-times.txt</v>
      </c>
      <c r="AI107" s="99" t="str">
        <f t="shared" si="42"/>
        <v>echo {"issue":{"subject":"Wi-MAX data drop","project_id":79,"tracker_id":40,"status_id":1,"priority_id":2,"assigned_to_id":23,"start_date":"2017-05-20","description":"","custom_fields":[{"id":1,"name":"Subdivision","value":"EC"},{"id":4,"name":"Milepost","value":"21.4774"},{"id":17,"name":"Train ID","value":"193-20"},{"id":16,"name":"Locomotive ID","value":"4002"},{"id":130,"name":"Impact","value":""},{"id":150,"name":"Time of Event (Mountain Time)","value":"15:49:59"},{"id":151,"name":"Denver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43"/>
        <v>start /low /b %USERPROFILE%\Documents\GitHub\eaglep3\Utilities\DownloadLogsFromS3.py --loco 4002 --day 2017-05-20</v>
      </c>
      <c r="AN107" s="154" t="str">
        <f t="shared" si="44"/>
        <v>echo {"issue":{"subject":"Wi-MAX data drop","project_id":30,"tracker_id":4,"status_id":1,"priority_id":1,"assigned_to_id":10,"start_date":"2017-05-20","description":"","custom_fields":[{"id":30,"name":"Category","value":"Issue"},{"id":3,"name":"Functional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21:49:59"},{"id":29,"name":"Sharepoint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779</v>
      </c>
      <c r="B108" s="7">
        <v>4001</v>
      </c>
      <c r="C108" s="21" t="s">
        <v>206</v>
      </c>
      <c r="D108" s="21" t="s">
        <v>942</v>
      </c>
      <c r="E108" s="13">
        <v>42875.668877314813</v>
      </c>
      <c r="F108" s="13">
        <v>42875.674629629626</v>
      </c>
      <c r="G108" s="7">
        <v>1</v>
      </c>
      <c r="H108" s="21" t="s">
        <v>357</v>
      </c>
      <c r="I108" s="13">
        <v>42875.707013888888</v>
      </c>
      <c r="J108" s="7">
        <v>0</v>
      </c>
      <c r="K108" s="92" t="str">
        <f t="shared" si="29"/>
        <v>4001/4002</v>
      </c>
      <c r="L108" s="21" t="str">
        <f>VLOOKUP(A108,'Trips&amp;Operators'!$C$1:$G$99999,5,FALSE)</f>
        <v>DAVIDSON DAVID</v>
      </c>
      <c r="M108" s="6">
        <f t="shared" si="30"/>
        <v>3.238425926247146E-2</v>
      </c>
      <c r="N108" s="7">
        <f t="shared" ref="N108:N150" si="49">24*60*SUM($M108:$M108)</f>
        <v>46.633333337958902</v>
      </c>
      <c r="O108" s="7"/>
      <c r="P108" s="7"/>
      <c r="Q108" s="22"/>
      <c r="R108" s="190"/>
      <c r="S108" s="196">
        <f t="shared" si="46"/>
        <v>1</v>
      </c>
      <c r="T108" s="190" t="str">
        <f t="shared" si="31"/>
        <v>Southbound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 t="shared" si="32"/>
        <v>https://d0f6bd738d7f1b3e5a7ca70fe4ff75f0.us-east-1.aws.found.io/app/kibana#/discover/Steve-Slow-Train-Analysis-(2080s-and-2083s)?_g=(refreshInterval:(display:Off,pause:!f,section:0,value:0),time:(from:'2017-05-20T15:03:11-0600',mode:absolute,to:'2017-05-20T17:58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8" s="192" t="str">
        <f t="shared" si="33"/>
        <v>N</v>
      </c>
      <c r="X108" s="192">
        <f t="shared" si="48"/>
        <v>1</v>
      </c>
      <c r="Y108" s="192">
        <f t="shared" si="34"/>
        <v>23.2973</v>
      </c>
      <c r="Z108" s="192">
        <f t="shared" si="35"/>
        <v>1.49E-2</v>
      </c>
      <c r="AA108" s="192">
        <f t="shared" si="36"/>
        <v>23.282399999999999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37"/>
        <v>0194-20</v>
      </c>
      <c r="AE108" s="80" t="str">
        <f t="shared" si="38"/>
        <v>aws s3 cp s3://rtdc.mdm.uploadarchive.raw/RTDC4001/ "%USERPROFILE%\AppData\Local\Temp\OnboardLogs"\RTDC4001\2017-05-20 --exclude "*" --recursive --include "*20170520*" &amp; "%USERPROFILE%\Documents\GitHub\mrs-test-scripts\Headless Mode &amp; Sideloading\WalkAndUnGZ.bat" "%USERPROFILE%\AppData\Local\Temp\OnboardLogs"\RTDC4001\2017-05-20 &amp; aws s3 cp s3://rtdc.mdm.uploadarchive.raw/RTDC4001/ "%USERPROFILE%\AppData\Local\Temp\OnboardLogs"\RTDC4001\2017-05-21 --exclude "*" --recursive --include "*20170521*" &amp; "%USERPROFILE%\Documents\GitHub\mrs-test-scripts\Headless Mode &amp; Sideloading\WalkAndUnGZ.bat" "%USERPROFILE%\AppData\Local\Temp\OnboardLogs"\RTDC4001\2017-05-21</v>
      </c>
      <c r="AF108" s="77" t="str">
        <f t="shared" si="39"/>
        <v>"C:\Program Files (x86)\AstroGrep\AstroGrep.exe" /e /r /s /spath="%USERPROFILE%\AppData\Local\Temp\OnboardLogs" /stypes="app*4001*20170520*" /stext=" 22:.+((SYSTEM_STATE.+slice.+state.+changed )|(ment ac)|(multiple cpu faults)|(system.+state.+changed )|(\[timeout)|(PRM\|1\|D)|(kpr)|(kdp)|(train st.+moving)|(\|lc)|(penalty))"</v>
      </c>
      <c r="AG108" s="1" t="str">
        <f t="shared" si="40"/>
        <v>EC</v>
      </c>
      <c r="AH108" s="81" t="str">
        <f t="shared" si="41"/>
        <v>"%USERPROFILE%\Documents\GitHub\eaglep3\Utilities\RefineRTDCRunTimes.py" --tripid 194-20 --locoid 4001 --swversion DE.1.0.9.0 --startMP 204:232973 --initTime 2017-05-20T16:03:11 --startdatetime 2017-05-20T16:11:28 --delay 1 --endMP 204:149 --enddatetime 2017-05-20T16:58:06 --enforcementcount 0 &gt;&gt;C:\Users\stu\Documents\GitHub\eaglep3-reporting\EC\2017-05-20-refined-times.txt</v>
      </c>
      <c r="AI108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{"issue":{"subject":"","project_id":79,"tracker_id":40,"status_id":1,"priority_id":2,"assigned_to_id":23,"start_date":"2017-05-20","description":"","custom_fields":[{"id":1,"name":"Subdivision","value":"EC"},{"id":4,"name":"Milepost","value":"0.0149"},{"id":17,"name":"Train ID","value":"194-20"},{"id":16,"name":"Locomotive ID","value":"4001"},{"id":130,"name":"Impact","value":""},{"id":150,"name":"Time of Event (Mountain Time)","value":"16:58:06"},{"id":151,"name":"Denver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43"/>
        <v>start /low /b %USERPROFILE%\Documents\GitHub\eaglep3\Utilities\DownloadLogsFromS3.py --loco 4001 --day 2017-05-20</v>
      </c>
      <c r="AN108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22:58:06"},{"id":29,"name":"Sharepoint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773</v>
      </c>
      <c r="B109" s="7">
        <v>4014</v>
      </c>
      <c r="C109" s="21" t="s">
        <v>206</v>
      </c>
      <c r="D109" s="21" t="s">
        <v>471</v>
      </c>
      <c r="E109" s="13">
        <v>42875.641701388886</v>
      </c>
      <c r="F109" s="13">
        <v>42875.645972222221</v>
      </c>
      <c r="G109" s="7">
        <v>1</v>
      </c>
      <c r="H109" s="21" t="s">
        <v>405</v>
      </c>
      <c r="I109" s="13">
        <v>42875.670289351852</v>
      </c>
      <c r="J109" s="7">
        <v>0</v>
      </c>
      <c r="K109" s="92" t="str">
        <f t="shared" si="29"/>
        <v>4013/4014</v>
      </c>
      <c r="L109" s="21" t="str">
        <f>VLOOKUP(A109,'Trips&amp;Operators'!$C$1:$G$99999,5,FALSE)</f>
        <v>PERKINS DARREN</v>
      </c>
      <c r="M109" s="6">
        <f t="shared" si="30"/>
        <v>2.4317129631526768E-2</v>
      </c>
      <c r="N109" s="7">
        <f t="shared" si="49"/>
        <v>35.016666669398546</v>
      </c>
      <c r="O109" s="7"/>
      <c r="P109" s="7"/>
      <c r="Q109" s="22"/>
      <c r="R109" s="190"/>
      <c r="S109" s="196">
        <f t="shared" si="46"/>
        <v>1</v>
      </c>
      <c r="T109" s="190" t="str">
        <f t="shared" si="31"/>
        <v>NorthBound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 t="shared" si="32"/>
        <v>https://d0f6bd738d7f1b3e5a7ca70fe4ff75f0.us-east-1.aws.found.io/app/kibana#/discover/Steve-Slow-Train-Analysis-(2080s-and-2083s)?_g=(refreshInterval:(display:Off,pause:!f,section:0,value:0),time:(from:'2017-05-20T14:24:03-0600',mode:absolute,to:'2017-05-20T17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9" s="192" t="str">
        <f t="shared" si="33"/>
        <v>N</v>
      </c>
      <c r="X109" s="192">
        <f t="shared" si="48"/>
        <v>1</v>
      </c>
      <c r="Y109" s="192">
        <f t="shared" si="34"/>
        <v>4.4200000000000003E-2</v>
      </c>
      <c r="Z109" s="192">
        <f t="shared" si="35"/>
        <v>23.3293</v>
      </c>
      <c r="AA109" s="192">
        <f t="shared" si="36"/>
        <v>23.2851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37"/>
        <v>0195-20</v>
      </c>
      <c r="AE109" s="80" t="str">
        <f t="shared" si="38"/>
        <v>aws s3 cp s3://rtdc.mdm.uploadarchive.raw/RTDC4014/ "%USERPROFILE%\AppData\Local\Temp\OnboardLogs"\RTDC4014\2017-05-20 --exclude "*" --recursive --include "*20170520*" &amp; "%USERPROFILE%\Documents\GitHub\mrs-test-scripts\Headless Mode &amp; Sideloading\WalkAndUnGZ.bat" "%USERPROFILE%\AppData\Local\Temp\OnboardLogs"\RTDC4014\2017-05-20 &amp; aws s3 cp s3://rtdc.mdm.uploadarchive.raw/RTDC4014/ "%USERPROFILE%\AppData\Local\Temp\OnboardLogs"\RTDC4014\2017-05-21 --exclude "*" --recursive --include "*20170521*" &amp; "%USERPROFILE%\Documents\GitHub\mrs-test-scripts\Headless Mode &amp; Sideloading\WalkAndUnGZ.bat" "%USERPROFILE%\AppData\Local\Temp\OnboardLogs"\RTDC4014\2017-05-21</v>
      </c>
      <c r="AF109" s="77" t="str">
        <f t="shared" si="39"/>
        <v>"C:\Program Files (x86)\AstroGrep\AstroGrep.exe" /e /r /s /spath="%USERPROFILE%\AppData\Local\Temp\OnboardLogs" /stypes="app*4014*20170520*" /stext=" 22:.+((SYSTEM_STATE.+slice.+state.+changed )|(ment ac)|(multiple cpu faults)|(system.+state.+changed )|(\[timeout)|(PRM\|1\|D)|(kpr)|(kdp)|(train st.+moving)|(\|lc)|(penalty))"</v>
      </c>
      <c r="AG109" s="1" t="str">
        <f t="shared" si="40"/>
        <v>EC</v>
      </c>
      <c r="AH109" s="81" t="str">
        <f t="shared" si="41"/>
        <v>"%USERPROFILE%\Documents\GitHub\eaglep3\Utilities\RefineRTDCRunTimes.py" --tripid 195-20 --locoid 4014 --swversion DE.1.0.9.0 --startMP 204:442 --initTime 2017-05-20T15:24:03 --startdatetime 2017-05-20T15:30:12 --delay 1 --endMP 204:233293 --enddatetime 2017-05-20T16:05:13 --enforcementcount 0 &gt;&gt;C:\Users\stu\Documents\GitHub\eaglep3-reporting\EC\2017-05-20-refined-times.txt</v>
      </c>
      <c r="AI109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{"issue":{"subject":"","project_id":79,"tracker_id":40,"status_id":1,"priority_id":2,"assigned_to_id":23,"start_date":"2017-05-20","description":"","custom_fields":[{"id":1,"name":"Subdivision","value":"EC"},{"id":4,"name":"Milepost","value":"23.3293"},{"id":17,"name":"Train ID","value":"195-20"},{"id":16,"name":"Locomotive ID","value":"4014"},{"id":130,"name":"Impact","value":""},{"id":150,"name":"Time of Event (Mountain Time)","value":"16:05:13"},{"id":151,"name":"Denver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43"/>
        <v>start /low /b %USERPROFILE%\Documents\GitHub\eaglep3\Utilities\DownloadLogsFromS3.py --loco 4014 --day 2017-05-20</v>
      </c>
      <c r="AN109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22:05:13"},{"id":29,"name":"Sharepoint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616</v>
      </c>
      <c r="B110" s="7">
        <v>4013</v>
      </c>
      <c r="C110" s="21" t="s">
        <v>206</v>
      </c>
      <c r="D110" s="21" t="s">
        <v>432</v>
      </c>
      <c r="E110" s="13">
        <v>42875.677974537037</v>
      </c>
      <c r="F110" s="13">
        <v>42875.684895833336</v>
      </c>
      <c r="G110" s="7">
        <v>1</v>
      </c>
      <c r="H110" s="21" t="s">
        <v>368</v>
      </c>
      <c r="I110" s="13">
        <v>42875.712731481479</v>
      </c>
      <c r="J110" s="7">
        <v>0</v>
      </c>
      <c r="K110" s="92" t="str">
        <f t="shared" si="29"/>
        <v>4013/4014</v>
      </c>
      <c r="L110" s="21" t="str">
        <f>VLOOKUP(A110,'Trips&amp;Operators'!$C$1:$G$99999,5,FALSE)</f>
        <v>PERKINS DARREN</v>
      </c>
      <c r="M110" s="6">
        <f t="shared" si="30"/>
        <v>2.7835648143081926E-2</v>
      </c>
      <c r="N110" s="7">
        <f t="shared" si="49"/>
        <v>40.083333326037973</v>
      </c>
      <c r="O110" s="7"/>
      <c r="P110" s="7"/>
      <c r="Q110" s="22"/>
      <c r="R110" s="190"/>
      <c r="S110" s="196">
        <f t="shared" si="46"/>
        <v>1</v>
      </c>
      <c r="T110" s="190" t="str">
        <f t="shared" si="31"/>
        <v>Southbound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 t="shared" si="32"/>
        <v>https://d0f6bd738d7f1b3e5a7ca70fe4ff75f0.us-east-1.aws.found.io/app/kibana#/discover/Steve-Slow-Train-Analysis-(2080s-and-2083s)?_g=(refreshInterval:(display:Off,pause:!f,section:0,value:0),time:(from:'2017-05-20T15:16:17-0600',mode:absolute,to:'2017-05-20T18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0" s="192" t="str">
        <f t="shared" si="33"/>
        <v>N</v>
      </c>
      <c r="X110" s="192">
        <f t="shared" si="48"/>
        <v>1</v>
      </c>
      <c r="Y110" s="192">
        <f t="shared" si="34"/>
        <v>23.299299999999999</v>
      </c>
      <c r="Z110" s="192">
        <f t="shared" si="35"/>
        <v>1.41E-2</v>
      </c>
      <c r="AA110" s="192">
        <f t="shared" si="36"/>
        <v>23.2852</v>
      </c>
      <c r="AB110" s="57" t="str">
        <f>VLOOKUP(A110,Enforcements!$C$7:$K$13,8,0)</f>
        <v>Bulletin (2)</v>
      </c>
      <c r="AC110" s="53" t="str">
        <f>VLOOKUP(A110,Enforcements!$C$7:$E$13,3,0)</f>
        <v>GRADE CROSSING</v>
      </c>
      <c r="AD110" s="54" t="str">
        <f t="shared" si="37"/>
        <v>0196-20</v>
      </c>
      <c r="AE110" s="80" t="str">
        <f t="shared" si="38"/>
        <v>aws s3 cp s3://rtdc.mdm.uploadarchive.raw/RTDC4013/ "%USERPROFILE%\AppData\Local\Temp\OnboardLogs"\RTDC4013\2017-05-20 --exclude "*" --recursive --include "*20170520*" &amp; "%USERPROFILE%\Documents\GitHub\mrs-test-scripts\Headless Mode &amp; Sideloading\WalkAndUnGZ.bat" "%USERPROFILE%\AppData\Local\Temp\OnboardLogs"\RTDC4013\2017-05-20 &amp; aws s3 cp s3://rtdc.mdm.uploadarchive.raw/RTDC4013/ "%USERPROFILE%\AppData\Local\Temp\OnboardLogs"\RTDC4013\2017-05-21 --exclude "*" --recursive --include "*20170521*" &amp; "%USERPROFILE%\Documents\GitHub\mrs-test-scripts\Headless Mode &amp; Sideloading\WalkAndUnGZ.bat" "%USERPROFILE%\AppData\Local\Temp\OnboardLogs"\RTDC4013\2017-05-21</v>
      </c>
      <c r="AF110" s="77" t="str">
        <f t="shared" si="39"/>
        <v>"C:\Program Files (x86)\AstroGrep\AstroGrep.exe" /e /r /s /spath="%USERPROFILE%\AppData\Local\Temp\OnboardLogs" /stypes="app*4013*20170520*" /stext=" 23:.+((SYSTEM_STATE.+slice.+state.+changed )|(ment ac)|(multiple cpu faults)|(system.+state.+changed )|(\[timeout)|(PRM\|1\|D)|(kpr)|(kdp)|(train st.+moving)|(\|lc)|(penalty))"</v>
      </c>
      <c r="AG110" s="1" t="str">
        <f t="shared" si="40"/>
        <v>EC</v>
      </c>
      <c r="AH110" s="81" t="str">
        <f t="shared" si="41"/>
        <v>"%USERPROFILE%\Documents\GitHub\eaglep3\Utilities\RefineRTDCRunTimes.py" --tripid 196-20 --locoid 4013 --swversion DE.1.0.9.0 --startMP 204:232993 --initTime 2017-05-20T16:16:17 --startdatetime 2017-05-20T16:26:15 --delay 1 --endMP 204:141 --enddatetime 2017-05-20T17:06:20 --enforcementcount 0 &gt;&gt;C:\Users\stu\Documents\GitHub\eaglep3-reporting\EC\2017-05-20-refined-times.txt</v>
      </c>
      <c r="AI110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{"issue":{"subject":"","project_id":79,"tracker_id":40,"status_id":1,"priority_id":2,"assigned_to_id":23,"start_date":"2017-05-20","description":"","custom_fields":[{"id":1,"name":"Subdivision","value":"EC"},{"id":4,"name":"Milepost","value":"0.0141"},{"id":17,"name":"Train ID","value":"196-20"},{"id":16,"name":"Locomotive ID","value":"4013"},{"id":130,"name":"Impact","value":""},{"id":150,"name":"Time of Event (Mountain Time)","value":"17:06:20"},{"id":151,"name":"Denver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43"/>
        <v>start /low /b %USERPROFILE%\Documents\GitHub\eaglep3\Utilities\DownloadLogsFromS3.py --loco 4013 --day 2017-05-20</v>
      </c>
      <c r="AN110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23:06:20"},{"id":29,"name":"Sharepoint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775</v>
      </c>
      <c r="B111" s="7">
        <v>4008</v>
      </c>
      <c r="C111" s="21" t="s">
        <v>206</v>
      </c>
      <c r="D111" s="21" t="s">
        <v>202</v>
      </c>
      <c r="E111" s="13">
        <v>42875.65048611111</v>
      </c>
      <c r="F111" s="13">
        <v>42875.656840277778</v>
      </c>
      <c r="G111" s="7">
        <v>2</v>
      </c>
      <c r="H111" s="21" t="s">
        <v>566</v>
      </c>
      <c r="I111" s="13">
        <v>42875.680555555555</v>
      </c>
      <c r="J111" s="7">
        <v>0</v>
      </c>
      <c r="K111" s="92" t="str">
        <f t="shared" si="29"/>
        <v>4007/4008</v>
      </c>
      <c r="L111" s="21" t="str">
        <f>VLOOKUP(A111,'Trips&amp;Operators'!$C$1:$G$99999,5,FALSE)</f>
        <v>ROMERO CHAD</v>
      </c>
      <c r="M111" s="6">
        <f t="shared" si="30"/>
        <v>2.3715277777228039E-2</v>
      </c>
      <c r="N111" s="7">
        <f t="shared" si="49"/>
        <v>34.149999999208376</v>
      </c>
      <c r="O111" s="7"/>
      <c r="P111" s="7"/>
      <c r="Q111" s="22"/>
      <c r="R111" s="190"/>
      <c r="S111" s="196">
        <f t="shared" si="46"/>
        <v>1</v>
      </c>
      <c r="T111" s="190" t="str">
        <f t="shared" si="31"/>
        <v>NorthBound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 t="shared" si="32"/>
        <v>https://d0f6bd738d7f1b3e5a7ca70fe4ff75f0.us-east-1.aws.found.io/app/kibana#/discover/Steve-Slow-Train-Analysis-(2080s-and-2083s)?_g=(refreshInterval:(display:Off,pause:!f,section:0,value:0),time:(from:'2017-05-20T14:36:42-0600',mode:absolute,to:'2017-05-20T17:20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1" s="192" t="str">
        <f t="shared" si="33"/>
        <v>N</v>
      </c>
      <c r="X111" s="192">
        <f t="shared" si="48"/>
        <v>1</v>
      </c>
      <c r="Y111" s="192">
        <f t="shared" si="34"/>
        <v>4.5699999999999998E-2</v>
      </c>
      <c r="Z111" s="192">
        <f t="shared" si="35"/>
        <v>23.335899999999999</v>
      </c>
      <c r="AA111" s="192">
        <f t="shared" si="36"/>
        <v>23.290199999999999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37"/>
        <v>0197-20</v>
      </c>
      <c r="AE111" s="80" t="str">
        <f t="shared" si="38"/>
        <v>aws s3 cp s3://rtdc.mdm.uploadarchive.raw/RTDC4008/ "%USERPROFILE%\AppData\Local\Temp\OnboardLogs"\RTDC4008\2017-05-20 --exclude "*" --recursive --include "*20170520*" &amp; "%USERPROFILE%\Documents\GitHub\mrs-test-scripts\Headless Mode &amp; Sideloading\WalkAndUnGZ.bat" "%USERPROFILE%\AppData\Local\Temp\OnboardLogs"\RTDC4008\2017-05-20 &amp; aws s3 cp s3://rtdc.mdm.uploadarchive.raw/RTDC4008/ "%USERPROFILE%\AppData\Local\Temp\OnboardLogs"\RTDC4008\2017-05-21 --exclude "*" --recursive --include "*20170521*" &amp; "%USERPROFILE%\Documents\GitHub\mrs-test-scripts\Headless Mode &amp; Sideloading\WalkAndUnGZ.bat" "%USERPROFILE%\AppData\Local\Temp\OnboardLogs"\RTDC4008\2017-05-21</v>
      </c>
      <c r="AF111" s="77" t="str">
        <f t="shared" si="39"/>
        <v>"C:\Program Files (x86)\AstroGrep\AstroGrep.exe" /e /r /s /spath="%USERPROFILE%\AppData\Local\Temp\OnboardLogs" /stypes="app*4008*20170520*" /stext=" 22:.+((SYSTEM_STATE.+slice.+state.+changed )|(ment ac)|(multiple cpu faults)|(system.+state.+changed )|(\[timeout)|(PRM\|1\|D)|(kpr)|(kdp)|(train st.+moving)|(\|lc)|(penalty))"</v>
      </c>
      <c r="AG111" s="1" t="str">
        <f t="shared" si="40"/>
        <v>EC</v>
      </c>
      <c r="AH111" s="81" t="str">
        <f t="shared" si="41"/>
        <v>"%USERPROFILE%\Documents\GitHub\eaglep3\Utilities\RefineRTDCRunTimes.py" --tripid 197-20 --locoid 4008 --swversion DE.1.0.9.0 --startMP 204:457 --initTime 2017-05-20T15:36:42 --startdatetime 2017-05-20T15:45:51 --delay 2 --endMP 204:233359 --enddatetime 2017-05-20T16:20:00 --enforcementcount 0 &gt;&gt;C:\Users\stu\Documents\GitHub\eaglep3-reporting\EC\2017-05-20-refined-times.txt</v>
      </c>
      <c r="AI111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{"issue":{"subject":"","project_id":79,"tracker_id":40,"status_id":1,"priority_id":2,"assigned_to_id":23,"start_date":"2017-05-20","description":"","custom_fields":[{"id":1,"name":"Subdivision","value":"EC"},{"id":4,"name":"Milepost","value":"23.3359"},{"id":17,"name":"Train ID","value":"197-20"},{"id":16,"name":"Locomotive ID","value":"4008"},{"id":130,"name":"Impact","value":""},{"id":150,"name":"Time of Event (Mountain Time)","value":"16:20:00"},{"id":151,"name":"Denver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43"/>
        <v>start /low /b %USERPROFILE%\Documents\GitHub\eaglep3\Utilities\DownloadLogsFromS3.py --loco 4008 --day 2017-05-20</v>
      </c>
      <c r="AN111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22:20:00"},{"id":29,"name":"Sharepoint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618</v>
      </c>
      <c r="B112" s="7">
        <v>4007</v>
      </c>
      <c r="C112" s="21" t="s">
        <v>206</v>
      </c>
      <c r="D112" s="21" t="s">
        <v>565</v>
      </c>
      <c r="E112" s="13">
        <v>42875.682118055556</v>
      </c>
      <c r="F112" s="13">
        <v>42875.695347222223</v>
      </c>
      <c r="G112" s="7">
        <v>1</v>
      </c>
      <c r="H112" s="21" t="s">
        <v>358</v>
      </c>
      <c r="I112" s="13">
        <v>42875.721539351849</v>
      </c>
      <c r="J112" s="7">
        <v>0</v>
      </c>
      <c r="K112" s="92" t="str">
        <f t="shared" si="29"/>
        <v>4007/4008</v>
      </c>
      <c r="L112" s="21" t="str">
        <f>VLOOKUP(A112,'Trips&amp;Operators'!$C$1:$G$99999,5,FALSE)</f>
        <v>ROMERO CHAD</v>
      </c>
      <c r="M112" s="6">
        <f t="shared" si="30"/>
        <v>2.619212962599704E-2</v>
      </c>
      <c r="N112" s="7">
        <f t="shared" si="49"/>
        <v>37.716666661435738</v>
      </c>
      <c r="O112" s="7"/>
      <c r="P112" s="7"/>
      <c r="Q112" s="22"/>
      <c r="R112" s="190"/>
      <c r="S112" s="196">
        <f t="shared" si="46"/>
        <v>1</v>
      </c>
      <c r="T112" s="190" t="str">
        <f t="shared" si="31"/>
        <v>Southbound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 t="shared" si="32"/>
        <v>https://d0f6bd738d7f1b3e5a7ca70fe4ff75f0.us-east-1.aws.found.io/app/kibana#/discover/Steve-Slow-Train-Analysis-(2080s-and-2083s)?_g=(refreshInterval:(display:Off,pause:!f,section:0,value:0),time:(from:'2017-05-20T15:22:15-0600',mode:absolute,to:'2017-05-20T18:19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2" s="192" t="str">
        <f t="shared" si="33"/>
        <v>N</v>
      </c>
      <c r="X112" s="192">
        <f t="shared" si="48"/>
        <v>1</v>
      </c>
      <c r="Y112" s="192">
        <f t="shared" si="34"/>
        <v>23.303799999999999</v>
      </c>
      <c r="Z112" s="192">
        <f t="shared" si="35"/>
        <v>1.43E-2</v>
      </c>
      <c r="AA112" s="192">
        <f t="shared" si="36"/>
        <v>23.2895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37"/>
        <v>0198-20</v>
      </c>
      <c r="AE112" s="80" t="str">
        <f t="shared" si="38"/>
        <v>aws s3 cp s3://rtdc.mdm.uploadarchive.raw/RTDC4007/ "%USERPROFILE%\AppData\Local\Temp\OnboardLogs"\RTDC4007\2017-05-20 --exclude "*" --recursive --include "*20170520*" &amp; "%USERPROFILE%\Documents\GitHub\mrs-test-scripts\Headless Mode &amp; Sideloading\WalkAndUnGZ.bat" "%USERPROFILE%\AppData\Local\Temp\OnboardLogs"\RTDC4007\2017-05-20 &amp; aws s3 cp s3://rtdc.mdm.uploadarchive.raw/RTDC4007/ "%USERPROFILE%\AppData\Local\Temp\OnboardLogs"\RTDC4007\2017-05-21 --exclude "*" --recursive --include "*20170521*" &amp; "%USERPROFILE%\Documents\GitHub\mrs-test-scripts\Headless Mode &amp; Sideloading\WalkAndUnGZ.bat" "%USERPROFILE%\AppData\Local\Temp\OnboardLogs"\RTDC4007\2017-05-21</v>
      </c>
      <c r="AF112" s="77" t="str">
        <f t="shared" si="39"/>
        <v>"C:\Program Files (x86)\AstroGrep\AstroGrep.exe" /e /r /s /spath="%USERPROFILE%\AppData\Local\Temp\OnboardLogs" /stypes="app*4007*20170520*" /stext=" 23:.+((SYSTEM_STATE.+slice.+state.+changed )|(ment ac)|(multiple cpu faults)|(system.+state.+changed )|(\[timeout)|(PRM\|1\|D)|(kpr)|(kdp)|(train st.+moving)|(\|lc)|(penalty))"</v>
      </c>
      <c r="AG112" s="1" t="str">
        <f t="shared" si="40"/>
        <v>EC</v>
      </c>
      <c r="AH112" s="81" t="str">
        <f t="shared" si="41"/>
        <v>"%USERPROFILE%\Documents\GitHub\eaglep3\Utilities\RefineRTDCRunTimes.py" --tripid 198-20 --locoid 4007 --swversion DE.1.0.9.0 --startMP 204:233038 --initTime 2017-05-20T16:22:15 --startdatetime 2017-05-20T16:41:18 --delay 1 --endMP 204:143 --enddatetime 2017-05-20T17:19:01 --enforcementcount 0 &gt;&gt;C:\Users\stu\Documents\GitHub\eaglep3-reporting\EC\2017-05-20-refined-times.txt</v>
      </c>
      <c r="AI112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{"issue":{"subject":"","project_id":79,"tracker_id":40,"status_id":1,"priority_id":2,"assigned_to_id":23,"start_date":"2017-05-20","description":"","custom_fields":[{"id":1,"name":"Subdivision","value":"EC"},{"id":4,"name":"Milepost","value":"0.0143"},{"id":17,"name":"Train ID","value":"198-20"},{"id":16,"name":"Locomotive ID","value":"4007"},{"id":130,"name":"Impact","value":""},{"id":150,"name":"Time of Event (Mountain Time)","value":"17:19:01"},{"id":151,"name":"Denver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43"/>
        <v>start /low /b %USERPROFILE%\Documents\GitHub\eaglep3\Utilities\DownloadLogsFromS3.py --loco 4007 --day 2017-05-20</v>
      </c>
      <c r="AN112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23:19:01"},{"id":29,"name":"Sharepoint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778</v>
      </c>
      <c r="B113" s="7">
        <v>4026</v>
      </c>
      <c r="C113" s="21" t="s">
        <v>206</v>
      </c>
      <c r="D113" s="21" t="s">
        <v>423</v>
      </c>
      <c r="E113" s="13">
        <v>42875.663865740738</v>
      </c>
      <c r="F113" s="13">
        <v>42875.666921296295</v>
      </c>
      <c r="G113" s="7">
        <v>1</v>
      </c>
      <c r="H113" s="21" t="s">
        <v>472</v>
      </c>
      <c r="I113" s="13">
        <v>42875.691701388889</v>
      </c>
      <c r="J113" s="7">
        <v>0</v>
      </c>
      <c r="K113" s="92" t="str">
        <f t="shared" si="29"/>
        <v>4025/4026</v>
      </c>
      <c r="L113" s="21" t="str">
        <f>VLOOKUP(A113,'Trips&amp;Operators'!$C$1:$G$99999,5,FALSE)</f>
        <v>MOSES BRADLEY</v>
      </c>
      <c r="M113" s="6">
        <f t="shared" si="30"/>
        <v>2.4780092593573499E-2</v>
      </c>
      <c r="N113" s="7">
        <f t="shared" si="49"/>
        <v>35.683333334745839</v>
      </c>
      <c r="O113" s="7"/>
      <c r="P113" s="7"/>
      <c r="Q113" s="22"/>
      <c r="R113" s="190"/>
      <c r="S113" s="196">
        <f t="shared" si="46"/>
        <v>1</v>
      </c>
      <c r="T113" s="190" t="str">
        <f t="shared" si="31"/>
        <v>NorthBound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 t="shared" si="32"/>
        <v>https://d0f6bd738d7f1b3e5a7ca70fe4ff75f0.us-east-1.aws.found.io/app/kibana#/discover/Steve-Slow-Train-Analysis-(2080s-and-2083s)?_g=(refreshInterval:(display:Off,pause:!f,section:0,value:0),time:(from:'2017-05-20T14:55:58-0600',mode:absolute,to:'2017-05-20T17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3" s="192" t="str">
        <f t="shared" si="33"/>
        <v>N</v>
      </c>
      <c r="X113" s="192">
        <f t="shared" si="48"/>
        <v>1</v>
      </c>
      <c r="Y113" s="192">
        <f t="shared" si="34"/>
        <v>4.7300000000000002E-2</v>
      </c>
      <c r="Z113" s="192">
        <f t="shared" si="35"/>
        <v>23.335100000000001</v>
      </c>
      <c r="AA113" s="192">
        <f t="shared" si="36"/>
        <v>23.287800000000001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37"/>
        <v>0199-20</v>
      </c>
      <c r="AE113" s="80" t="str">
        <f t="shared" si="38"/>
        <v>aws s3 cp s3://rtdc.mdm.uploadarchive.raw/RTDC4026/ "%USERPROFILE%\AppData\Local\Temp\OnboardLogs"\RTDC4026\2017-05-20 --exclude "*" --recursive --include "*20170520*" &amp; "%USERPROFILE%\Documents\GitHub\mrs-test-scripts\Headless Mode &amp; Sideloading\WalkAndUnGZ.bat" "%USERPROFILE%\AppData\Local\Temp\OnboardLogs"\RTDC4026\2017-05-20 &amp; aws s3 cp s3://rtdc.mdm.uploadarchive.raw/RTDC4026/ "%USERPROFILE%\AppData\Local\Temp\OnboardLogs"\RTDC4026\2017-05-21 --exclude "*" --recursive --include "*20170521*" &amp; "%USERPROFILE%\Documents\GitHub\mrs-test-scripts\Headless Mode &amp; Sideloading\WalkAndUnGZ.bat" "%USERPROFILE%\AppData\Local\Temp\OnboardLogs"\RTDC4026\2017-05-21</v>
      </c>
      <c r="AF113" s="77" t="str">
        <f t="shared" si="39"/>
        <v>"C:\Program Files (x86)\AstroGrep\AstroGrep.exe" /e /r /s /spath="%USERPROFILE%\AppData\Local\Temp\OnboardLogs" /stypes="app*4026*20170520*" /stext=" 22:.+((SYSTEM_STATE.+slice.+state.+changed )|(ment ac)|(multiple cpu faults)|(system.+state.+changed )|(\[timeout)|(PRM\|1\|D)|(kpr)|(kdp)|(train st.+moving)|(\|lc)|(penalty))"</v>
      </c>
      <c r="AG113" s="1" t="str">
        <f t="shared" si="40"/>
        <v>EC</v>
      </c>
      <c r="AH113" s="81" t="str">
        <f t="shared" si="41"/>
        <v>"%USERPROFILE%\Documents\GitHub\eaglep3\Utilities\RefineRTDCRunTimes.py" --tripid 199-20 --locoid 4026 --swversion DE.1.0.9.0 --startMP 204:473 --initTime 2017-05-20T15:55:58 --startdatetime 2017-05-20T16:00:22 --delay 1 --endMP 204:233351 --enddatetime 2017-05-20T16:36:03 --enforcementcount 0 &gt;&gt;C:\Users\stu\Documents\GitHub\eaglep3-reporting\EC\2017-05-20-refined-times.txt</v>
      </c>
      <c r="AI113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{"issue":{"subject":"","project_id":79,"tracker_id":40,"status_id":1,"priority_id":2,"assigned_to_id":23,"start_date":"2017-05-20","description":"","custom_fields":[{"id":1,"name":"Subdivision","value":"EC"},{"id":4,"name":"Milepost","value":"23.3351"},{"id":17,"name":"Train ID","value":"199-20"},{"id":16,"name":"Locomotive ID","value":"4026"},{"id":130,"name":"Impact","value":""},{"id":150,"name":"Time of Event (Mountain Time)","value":"16:36:03"},{"id":151,"name":"Denver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43"/>
        <v>start /low /b %USERPROFILE%\Documents\GitHub\eaglep3\Utilities\DownloadLogsFromS3.py --loco 4026 --day 2017-05-20</v>
      </c>
      <c r="AN113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22:36:03"},{"id":29,"name":"Sharepoint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784</v>
      </c>
      <c r="B114" s="7">
        <v>4025</v>
      </c>
      <c r="C114" s="21" t="s">
        <v>206</v>
      </c>
      <c r="D114" s="21" t="s">
        <v>569</v>
      </c>
      <c r="E114" s="13">
        <v>42875.702719907407</v>
      </c>
      <c r="F114" s="13">
        <v>42875.70584490741</v>
      </c>
      <c r="G114" s="7">
        <v>1</v>
      </c>
      <c r="H114" s="21" t="s">
        <v>198</v>
      </c>
      <c r="I114" s="13">
        <v>42875.733483796299</v>
      </c>
      <c r="J114" s="7">
        <v>0</v>
      </c>
      <c r="K114" s="92" t="str">
        <f t="shared" si="29"/>
        <v>4025/4026</v>
      </c>
      <c r="L114" s="21" t="str">
        <f>VLOOKUP(A114,'Trips&amp;Operators'!$C$1:$G$99999,5,FALSE)</f>
        <v>MOSES BRADLEY</v>
      </c>
      <c r="M114" s="6">
        <f t="shared" si="30"/>
        <v>2.7638888888759539E-2</v>
      </c>
      <c r="N114" s="7">
        <f t="shared" si="49"/>
        <v>39.799999999813735</v>
      </c>
      <c r="O114" s="7"/>
      <c r="P114" s="7"/>
      <c r="Q114" s="22"/>
      <c r="R114" s="190"/>
      <c r="S114" s="196">
        <f t="shared" si="46"/>
        <v>1</v>
      </c>
      <c r="T114" s="190" t="str">
        <f t="shared" si="31"/>
        <v>Southbound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 t="shared" si="32"/>
        <v>https://d0f6bd738d7f1b3e5a7ca70fe4ff75f0.us-east-1.aws.found.io/app/kibana#/discover/Steve-Slow-Train-Analysis-(2080s-and-2083s)?_g=(refreshInterval:(display:Off,pause:!f,section:0,value:0),time:(from:'2017-05-20T15:51:55-0600',mode:absolute,to:'2017-05-20T18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4" s="192" t="str">
        <f t="shared" si="33"/>
        <v>N</v>
      </c>
      <c r="X114" s="192">
        <f t="shared" si="48"/>
        <v>1</v>
      </c>
      <c r="Y114" s="192">
        <f t="shared" si="34"/>
        <v>23.301500000000001</v>
      </c>
      <c r="Z114" s="192">
        <f t="shared" si="35"/>
        <v>1.5800000000000002E-2</v>
      </c>
      <c r="AA114" s="192">
        <f t="shared" si="36"/>
        <v>23.285700000000002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37"/>
        <v>0200-20</v>
      </c>
      <c r="AE114" s="80" t="str">
        <f t="shared" si="38"/>
        <v>aws s3 cp s3://rtdc.mdm.uploadarchive.raw/RTDC4025/ "%USERPROFILE%\AppData\Local\Temp\OnboardLogs"\RTDC4025\2017-05-20 --exclude "*" --recursive --include "*20170520*" &amp; "%USERPROFILE%\Documents\GitHub\mrs-test-scripts\Headless Mode &amp; Sideloading\WalkAndUnGZ.bat" "%USERPROFILE%\AppData\Local\Temp\OnboardLogs"\RTDC4025\2017-05-20 &amp; aws s3 cp s3://rtdc.mdm.uploadarchive.raw/RTDC4025/ "%USERPROFILE%\AppData\Local\Temp\OnboardLogs"\RTDC4025\2017-05-21 --exclude "*" --recursive --include "*20170521*" &amp; "%USERPROFILE%\Documents\GitHub\mrs-test-scripts\Headless Mode &amp; Sideloading\WalkAndUnGZ.bat" "%USERPROFILE%\AppData\Local\Temp\OnboardLogs"\RTDC4025\2017-05-21</v>
      </c>
      <c r="AF114" s="77" t="str">
        <f t="shared" si="39"/>
        <v>"C:\Program Files (x86)\AstroGrep\AstroGrep.exe" /e /r /s /spath="%USERPROFILE%\AppData\Local\Temp\OnboardLogs" /stypes="app*4025*20170520*" /stext=" 23:.+((SYSTEM_STATE.+slice.+state.+changed )|(ment ac)|(multiple cpu faults)|(system.+state.+changed )|(\[timeout)|(PRM\|1\|D)|(kpr)|(kdp)|(train st.+moving)|(\|lc)|(penalty))"</v>
      </c>
      <c r="AG114" s="1" t="str">
        <f t="shared" si="40"/>
        <v>EC</v>
      </c>
      <c r="AH114" s="81" t="str">
        <f t="shared" si="41"/>
        <v>"%USERPROFILE%\Documents\GitHub\eaglep3\Utilities\RefineRTDCRunTimes.py" --tripid 200-20 --locoid 4025 --swversion DE.1.0.9.0 --startMP 204:233015 --initTime 2017-05-20T16:51:55 --startdatetime 2017-05-20T16:56:25 --delay 1 --endMP 204:158 --enddatetime 2017-05-20T17:36:13 --enforcementcount 0 &gt;&gt;C:\Users\stu\Documents\GitHub\eaglep3-reporting\EC\2017-05-20-refined-times.txt</v>
      </c>
      <c r="AI114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{"issue":{"subject":"","project_id":79,"tracker_id":40,"status_id":1,"priority_id":2,"assigned_to_id":23,"start_date":"2017-05-20","description":"","custom_fields":[{"id":1,"name":"Subdivision","value":"EC"},{"id":4,"name":"Milepost","value":"0.0158"},{"id":17,"name":"Train ID","value":"200-20"},{"id":16,"name":"Locomotive ID","value":"4025"},{"id":130,"name":"Impact","value":""},{"id":150,"name":"Time of Event (Mountain Time)","value":"17:36:13"},{"id":151,"name":"Denver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43"/>
        <v>start /low /b %USERPROFILE%\Documents\GitHub\eaglep3\Utilities\DownloadLogsFromS3.py --loco 4025 --day 2017-05-20</v>
      </c>
      <c r="AN114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23:36:13"},{"id":29,"name":"Sharepoint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780</v>
      </c>
      <c r="B115" s="7">
        <v>4010</v>
      </c>
      <c r="C115" s="21" t="s">
        <v>206</v>
      </c>
      <c r="D115" s="21" t="s">
        <v>362</v>
      </c>
      <c r="E115" s="13">
        <v>42875.672708333332</v>
      </c>
      <c r="F115" s="13">
        <v>42875.677303240744</v>
      </c>
      <c r="G115" s="7">
        <v>1</v>
      </c>
      <c r="H115" s="21" t="s">
        <v>943</v>
      </c>
      <c r="I115" s="13">
        <v>42875.703564814816</v>
      </c>
      <c r="J115" s="7">
        <v>0</v>
      </c>
      <c r="K115" s="92" t="str">
        <f t="shared" si="29"/>
        <v>4009/4010</v>
      </c>
      <c r="L115" s="21" t="str">
        <f>VLOOKUP(A115,'Trips&amp;Operators'!$C$1:$G$99999,5,FALSE)</f>
        <v>STEWART MICHAEL</v>
      </c>
      <c r="M115" s="6">
        <f t="shared" si="30"/>
        <v>2.626157407212304E-2</v>
      </c>
      <c r="N115" s="7">
        <f t="shared" si="49"/>
        <v>37.816666663857177</v>
      </c>
      <c r="O115" s="7"/>
      <c r="P115" s="7"/>
      <c r="Q115" s="22"/>
      <c r="R115" s="190"/>
      <c r="S115" s="196">
        <f t="shared" si="46"/>
        <v>1</v>
      </c>
      <c r="T115" s="190" t="str">
        <f t="shared" si="31"/>
        <v>NorthBound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 t="shared" si="32"/>
        <v>https://d0f6bd738d7f1b3e5a7ca70fe4ff75f0.us-east-1.aws.found.io/app/kibana#/discover/Steve-Slow-Train-Analysis-(2080s-and-2083s)?_g=(refreshInterval:(display:Off,pause:!f,section:0,value:0),time:(from:'2017-05-20T15:08:42-0600',mode:absolute,to:'2017-05-20T17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5" s="192" t="str">
        <f t="shared" si="33"/>
        <v>N</v>
      </c>
      <c r="X115" s="192">
        <f t="shared" si="48"/>
        <v>1</v>
      </c>
      <c r="Y115" s="192">
        <f t="shared" si="34"/>
        <v>4.6399999999999997E-2</v>
      </c>
      <c r="Z115" s="192">
        <f t="shared" si="35"/>
        <v>23.3337</v>
      </c>
      <c r="AA115" s="192">
        <f t="shared" si="36"/>
        <v>23.287300000000002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37"/>
        <v>0201-20</v>
      </c>
      <c r="AE115" s="80" t="str">
        <f t="shared" si="38"/>
        <v>aws s3 cp s3://rtdc.mdm.uploadarchive.raw/RTDC4010/ "%USERPROFILE%\AppData\Local\Temp\OnboardLogs"\RTDC4010\2017-05-20 --exclude "*" --recursive --include "*20170520*" &amp; "%USERPROFILE%\Documents\GitHub\mrs-test-scripts\Headless Mode &amp; Sideloading\WalkAndUnGZ.bat" "%USERPROFILE%\AppData\Local\Temp\OnboardLogs"\RTDC4010\2017-05-20 &amp; aws s3 cp s3://rtdc.mdm.uploadarchive.raw/RTDC4010/ "%USERPROFILE%\AppData\Local\Temp\OnboardLogs"\RTDC4010\2017-05-21 --exclude "*" --recursive --include "*20170521*" &amp; "%USERPROFILE%\Documents\GitHub\mrs-test-scripts\Headless Mode &amp; Sideloading\WalkAndUnGZ.bat" "%USERPROFILE%\AppData\Local\Temp\OnboardLogs"\RTDC4010\2017-05-21</v>
      </c>
      <c r="AF115" s="77" t="str">
        <f t="shared" si="39"/>
        <v>"C:\Program Files (x86)\AstroGrep\AstroGrep.exe" /e /r /s /spath="%USERPROFILE%\AppData\Local\Temp\OnboardLogs" /stypes="app*4010*20170520*" /stext=" 22:.+((SYSTEM_STATE.+slice.+state.+changed )|(ment ac)|(multiple cpu faults)|(system.+state.+changed )|(\[timeout)|(PRM\|1\|D)|(kpr)|(kdp)|(train st.+moving)|(\|lc)|(penalty))"</v>
      </c>
      <c r="AG115" s="1" t="str">
        <f t="shared" si="40"/>
        <v>EC</v>
      </c>
      <c r="AH115" s="81" t="str">
        <f t="shared" si="41"/>
        <v>"%USERPROFILE%\Documents\GitHub\eaglep3\Utilities\RefineRTDCRunTimes.py" --tripid 201-20 --locoid 4010 --swversion DE.1.0.9.0 --startMP 204:464 --initTime 2017-05-20T16:08:42 --startdatetime 2017-05-20T16:15:19 --delay 1 --endMP 204:233337 --enddatetime 2017-05-20T16:53:08 --enforcementcount 0 &gt;&gt;C:\Users\stu\Documents\GitHub\eaglep3-reporting\EC\2017-05-20-refined-times.txt</v>
      </c>
      <c r="AI115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{"issue":{"subject":"","project_id":79,"tracker_id":40,"status_id":1,"priority_id":2,"assigned_to_id":23,"start_date":"2017-05-20","description":"","custom_fields":[{"id":1,"name":"Subdivision","value":"EC"},{"id":4,"name":"Milepost","value":"23.3337"},{"id":17,"name":"Train ID","value":"201-20"},{"id":16,"name":"Locomotive ID","value":"4010"},{"id":130,"name":"Impact","value":""},{"id":150,"name":"Time of Event (Mountain Time)","value":"16:53:08"},{"id":151,"name":"Denver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43"/>
        <v>start /low /b %USERPROFILE%\Documents\GitHub\eaglep3\Utilities\DownloadLogsFromS3.py --loco 4010 --day 2017-05-20</v>
      </c>
      <c r="AN115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22:53:08"},{"id":29,"name":"Sharepoint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619</v>
      </c>
      <c r="B116" s="7">
        <v>4009</v>
      </c>
      <c r="C116" s="21" t="s">
        <v>206</v>
      </c>
      <c r="D116" s="21" t="s">
        <v>420</v>
      </c>
      <c r="E116" s="13">
        <v>42875.713865740741</v>
      </c>
      <c r="F116" s="13">
        <v>42875.716157407405</v>
      </c>
      <c r="G116" s="7">
        <v>1</v>
      </c>
      <c r="H116" s="21" t="s">
        <v>944</v>
      </c>
      <c r="I116" s="13">
        <v>42875.746874999997</v>
      </c>
      <c r="J116" s="7">
        <v>0</v>
      </c>
      <c r="K116" s="92" t="str">
        <f t="shared" si="29"/>
        <v>4009/4010</v>
      </c>
      <c r="L116" s="21" t="str">
        <f>VLOOKUP(A116,'Trips&amp;Operators'!$C$1:$G$99999,5,FALSE)</f>
        <v>STEWART MICHAEL</v>
      </c>
      <c r="M116" s="6">
        <f t="shared" si="30"/>
        <v>3.071759259182727E-2</v>
      </c>
      <c r="N116" s="7">
        <f t="shared" si="49"/>
        <v>44.233333332231268</v>
      </c>
      <c r="O116" s="7"/>
      <c r="P116" s="7"/>
      <c r="Q116" s="22"/>
      <c r="R116" s="190"/>
      <c r="S116" s="196">
        <f t="shared" si="46"/>
        <v>1</v>
      </c>
      <c r="T116" s="190" t="str">
        <f t="shared" si="31"/>
        <v>Southbound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 t="shared" si="32"/>
        <v>https://d0f6bd738d7f1b3e5a7ca70fe4ff75f0.us-east-1.aws.found.io/app/kibana#/discover/Steve-Slow-Train-Analysis-(2080s-and-2083s)?_g=(refreshInterval:(display:Off,pause:!f,section:0,value:0),time:(from:'2017-05-20T16:07:58-0600',mode:absolute,to:'2017-05-20T18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6" s="192" t="str">
        <f t="shared" si="33"/>
        <v>N</v>
      </c>
      <c r="X116" s="192">
        <f t="shared" si="48"/>
        <v>1</v>
      </c>
      <c r="Y116" s="192">
        <f t="shared" si="34"/>
        <v>23.297499999999999</v>
      </c>
      <c r="Z116" s="192">
        <f t="shared" si="35"/>
        <v>0.1144</v>
      </c>
      <c r="AA116" s="192">
        <f t="shared" si="36"/>
        <v>23.1831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37"/>
        <v>0202-20</v>
      </c>
      <c r="AE116" s="80" t="str">
        <f t="shared" si="38"/>
        <v>aws s3 cp s3://rtdc.mdm.uploadarchive.raw/RTDC4009/ "%USERPROFILE%\AppData\Local\Temp\OnboardLogs"\RTDC4009\2017-05-20 --exclude "*" --recursive --include "*20170520*" &amp; "%USERPROFILE%\Documents\GitHub\mrs-test-scripts\Headless Mode &amp; Sideloading\WalkAndUnGZ.bat" "%USERPROFILE%\AppData\Local\Temp\OnboardLogs"\RTDC4009\2017-05-20 &amp; aws s3 cp s3://rtdc.mdm.uploadarchive.raw/RTDC4009/ "%USERPROFILE%\AppData\Local\Temp\OnboardLogs"\RTDC4009\2017-05-21 --exclude "*" --recursive --include "*20170521*" &amp; "%USERPROFILE%\Documents\GitHub\mrs-test-scripts\Headless Mode &amp; Sideloading\WalkAndUnGZ.bat" "%USERPROFILE%\AppData\Local\Temp\OnboardLogs"\RTDC4009\2017-05-21</v>
      </c>
      <c r="AF116" s="77" t="str">
        <f t="shared" si="39"/>
        <v>"C:\Program Files (x86)\AstroGrep\AstroGrep.exe" /e /r /s /spath="%USERPROFILE%\AppData\Local\Temp\OnboardLogs" /stypes="app*4009*20170520*" /stext=" 23:.+((SYSTEM_STATE.+slice.+state.+changed )|(ment ac)|(multiple cpu faults)|(system.+state.+changed )|(\[timeout)|(PRM\|1\|D)|(kpr)|(kdp)|(train st.+moving)|(\|lc)|(penalty))"</v>
      </c>
      <c r="AG116" s="1" t="str">
        <f t="shared" si="40"/>
        <v>EC</v>
      </c>
      <c r="AH116" s="81" t="str">
        <f t="shared" si="41"/>
        <v>"%USERPROFILE%\Documents\GitHub\eaglep3\Utilities\RefineRTDCRunTimes.py" --tripid 202-20 --locoid 4009 --swversion DE.1.0.9.0 --startMP 204:232975 --initTime 2017-05-20T17:07:58 --startdatetime 2017-05-20T17:11:16 --delay 1 --endMP 204:1144 --enddatetime 2017-05-20T17:55:30 --enforcementcount 0 &gt;&gt;C:\Users\stu\Documents\GitHub\eaglep3-reporting\EC\2017-05-20-refined-times.txt</v>
      </c>
      <c r="AI116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{"issue":{"subject":"","project_id":79,"tracker_id":40,"status_id":1,"priority_id":2,"assigned_to_id":23,"start_date":"2017-05-20","description":"","custom_fields":[{"id":1,"name":"Subdivision","value":"EC"},{"id":4,"name":"Milepost","value":"0.1144"},{"id":17,"name":"Train ID","value":"202-20"},{"id":16,"name":"Locomotive ID","value":"4009"},{"id":130,"name":"Impact","value":""},{"id":150,"name":"Time of Event (Mountain Time)","value":"17:55:30"},{"id":151,"name":"Denver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43"/>
        <v>start /low /b %USERPROFILE%\Documents\GitHub\eaglep3\Utilities\DownloadLogsFromS3.py --loco 4009 --day 2017-05-20</v>
      </c>
      <c r="AN116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23:55:30"},{"id":29,"name":"Sharepoint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617</v>
      </c>
      <c r="B117" s="7">
        <v>4012</v>
      </c>
      <c r="C117" s="21" t="s">
        <v>206</v>
      </c>
      <c r="D117" s="21" t="s">
        <v>347</v>
      </c>
      <c r="E117" s="13">
        <v>42875.682534722226</v>
      </c>
      <c r="F117" s="13">
        <v>42875.687893518516</v>
      </c>
      <c r="G117" s="7">
        <v>1</v>
      </c>
      <c r="H117" s="21" t="s">
        <v>945</v>
      </c>
      <c r="I117" s="13">
        <v>42875.713773148149</v>
      </c>
      <c r="J117" s="7">
        <v>0</v>
      </c>
      <c r="K117" s="92" t="str">
        <f t="shared" si="29"/>
        <v>4011/4012</v>
      </c>
      <c r="L117" s="21" t="str">
        <f>VLOOKUP(A117,'Trips&amp;Operators'!$C$1:$G$99999,5,FALSE)</f>
        <v>MCREYNOLDS KYLE</v>
      </c>
      <c r="M117" s="6">
        <f t="shared" si="30"/>
        <v>2.587962963298196E-2</v>
      </c>
      <c r="N117" s="7">
        <f t="shared" si="49"/>
        <v>37.266666671494022</v>
      </c>
      <c r="O117" s="7"/>
      <c r="P117" s="7"/>
      <c r="Q117" s="22"/>
      <c r="R117" s="190"/>
      <c r="S117" s="196">
        <f t="shared" si="46"/>
        <v>1</v>
      </c>
      <c r="T117" s="190" t="str">
        <f t="shared" si="31"/>
        <v>NorthBound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 t="shared" si="32"/>
        <v>https://d0f6bd738d7f1b3e5a7ca70fe4ff75f0.us-east-1.aws.found.io/app/kibana#/discover/Steve-Slow-Train-Analysis-(2080s-and-2083s)?_g=(refreshInterval:(display:Off,pause:!f,section:0,value:0),time:(from:'2017-05-20T15:22:51-0600',mode:absolute,to:'2017-05-20T18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7" s="192" t="str">
        <f t="shared" si="33"/>
        <v>N</v>
      </c>
      <c r="X117" s="192">
        <f t="shared" si="48"/>
        <v>1</v>
      </c>
      <c r="Y117" s="192">
        <f t="shared" si="34"/>
        <v>4.4900000000000002E-2</v>
      </c>
      <c r="Z117" s="192">
        <f t="shared" si="35"/>
        <v>23.325099999999999</v>
      </c>
      <c r="AA117" s="192">
        <f t="shared" si="36"/>
        <v>23.280200000000001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37"/>
        <v>0203-20</v>
      </c>
      <c r="AE117" s="80" t="str">
        <f t="shared" si="38"/>
        <v>aws s3 cp s3://rtdc.mdm.uploadarchive.raw/RTDC4012/ "%USERPROFILE%\AppData\Local\Temp\OnboardLogs"\RTDC4012\2017-05-20 --exclude "*" --recursive --include "*20170520*" &amp; "%USERPROFILE%\Documents\GitHub\mrs-test-scripts\Headless Mode &amp; Sideloading\WalkAndUnGZ.bat" "%USERPROFILE%\AppData\Local\Temp\OnboardLogs"\RTDC4012\2017-05-20 &amp; aws s3 cp s3://rtdc.mdm.uploadarchive.raw/RTDC4012/ "%USERPROFILE%\AppData\Local\Temp\OnboardLogs"\RTDC4012\2017-05-21 --exclude "*" --recursive --include "*20170521*" &amp; "%USERPROFILE%\Documents\GitHub\mrs-test-scripts\Headless Mode &amp; Sideloading\WalkAndUnGZ.bat" "%USERPROFILE%\AppData\Local\Temp\OnboardLogs"\RTDC4012\2017-05-21</v>
      </c>
      <c r="AF117" s="77" t="str">
        <f t="shared" si="39"/>
        <v>"C:\Program Files (x86)\AstroGrep\AstroGrep.exe" /e /r /s /spath="%USERPROFILE%\AppData\Local\Temp\OnboardLogs" /stypes="app*4012*20170520*" /stext=" 23:.+((SYSTEM_STATE.+slice.+state.+changed )|(ment ac)|(multiple cpu faults)|(system.+state.+changed )|(\[timeout)|(PRM\|1\|D)|(kpr)|(kdp)|(train st.+moving)|(\|lc)|(penalty))"</v>
      </c>
      <c r="AG117" s="1" t="str">
        <f t="shared" si="40"/>
        <v>EC</v>
      </c>
      <c r="AH117" s="81" t="str">
        <f t="shared" si="41"/>
        <v>"%USERPROFILE%\Documents\GitHub\eaglep3\Utilities\RefineRTDCRunTimes.py" --tripid 203-20 --locoid 4012 --swversion DE.1.0.9.0 --startMP 204:449 --initTime 2017-05-20T16:22:51 --startdatetime 2017-05-20T16:30:34 --delay 1 --endMP 204:233251 --enddatetime 2017-05-20T17:07:50 --enforcementcount 0 &gt;&gt;C:\Users\stu\Documents\GitHub\eaglep3-reporting\EC\2017-05-20-refined-times.txt</v>
      </c>
      <c r="AI117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{"issue":{"subject":"","project_id":79,"tracker_id":40,"status_id":1,"priority_id":2,"assigned_to_id":23,"start_date":"2017-05-20","description":"","custom_fields":[{"id":1,"name":"Subdivision","value":"EC"},{"id":4,"name":"Milepost","value":"23.3251"},{"id":17,"name":"Train ID","value":"203-20"},{"id":16,"name":"Locomotive ID","value":"4012"},{"id":130,"name":"Impact","value":""},{"id":150,"name":"Time of Event (Mountain Time)","value":"17:07:50"},{"id":151,"name":"Denver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43"/>
        <v>start /low /b %USERPROFILE%\Documents\GitHub\eaglep3\Utilities\DownloadLogsFromS3.py --loco 4012 --day 2017-05-20</v>
      </c>
      <c r="AN117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23:07:50"},{"id":29,"name":"Sharepoint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787</v>
      </c>
      <c r="B118" s="7">
        <v>4011</v>
      </c>
      <c r="C118" s="21" t="s">
        <v>206</v>
      </c>
      <c r="D118" s="21" t="s">
        <v>946</v>
      </c>
      <c r="E118" s="13">
        <v>42875.718738425923</v>
      </c>
      <c r="F118" s="13">
        <v>42875.726655092592</v>
      </c>
      <c r="G118" s="7">
        <v>0</v>
      </c>
      <c r="H118" s="21" t="s">
        <v>358</v>
      </c>
      <c r="I118" s="13">
        <v>42875.756076388891</v>
      </c>
      <c r="J118" s="7">
        <v>0</v>
      </c>
      <c r="K118" s="92" t="str">
        <f t="shared" si="29"/>
        <v>4011/4012</v>
      </c>
      <c r="L118" s="21" t="str">
        <f>VLOOKUP(A118,'Trips&amp;Operators'!$C$1:$G$99999,5,FALSE)</f>
        <v>MCREYNOLDS KYLE</v>
      </c>
      <c r="M118" s="6">
        <f t="shared" si="30"/>
        <v>2.9421296298096422E-2</v>
      </c>
      <c r="N118" s="7">
        <f t="shared" si="49"/>
        <v>42.366666669258848</v>
      </c>
      <c r="O118" s="7"/>
      <c r="P118" s="7"/>
      <c r="Q118" s="22"/>
      <c r="R118" s="190"/>
      <c r="S118" s="196">
        <f t="shared" si="46"/>
        <v>1</v>
      </c>
      <c r="T118" s="190" t="str">
        <f t="shared" si="31"/>
        <v>Southbound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 t="shared" si="32"/>
        <v>https://d0f6bd738d7f1b3e5a7ca70fe4ff75f0.us-east-1.aws.found.io/app/kibana#/discover/Steve-Slow-Train-Analysis-(2080s-and-2083s)?_g=(refreshInterval:(display:Off,pause:!f,section:0,value:0),time:(from:'2017-05-20T16:14:59-0600',mode:absolute,to:'2017-05-20T19:08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8" s="192" t="str">
        <f t="shared" si="33"/>
        <v>N</v>
      </c>
      <c r="X118" s="192">
        <f t="shared" si="48"/>
        <v>1</v>
      </c>
      <c r="Y118" s="192">
        <f t="shared" si="34"/>
        <v>23.294699999999999</v>
      </c>
      <c r="Z118" s="192">
        <f t="shared" si="35"/>
        <v>1.43E-2</v>
      </c>
      <c r="AA118" s="192">
        <f t="shared" si="36"/>
        <v>23.2804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37"/>
        <v>0204-20</v>
      </c>
      <c r="AE118" s="80" t="str">
        <f t="shared" si="38"/>
        <v>aws s3 cp s3://rtdc.mdm.uploadarchive.raw/RTDC4011/ "%USERPROFILE%\AppData\Local\Temp\OnboardLogs"\RTDC4011\2017-05-20 --exclude "*" --recursive --include "*20170520*" &amp; "%USERPROFILE%\Documents\GitHub\mrs-test-scripts\Headless Mode &amp; Sideloading\WalkAndUnGZ.bat" "%USERPROFILE%\AppData\Local\Temp\OnboardLogs"\RTDC4011\2017-05-20 &amp; aws s3 cp s3://rtdc.mdm.uploadarchive.raw/RTDC4011/ "%USERPROFILE%\AppData\Local\Temp\OnboardLogs"\RTDC4011\2017-05-21 --exclude "*" --recursive --include "*20170521*" &amp; "%USERPROFILE%\Documents\GitHub\mrs-test-scripts\Headless Mode &amp; Sideloading\WalkAndUnGZ.bat" "%USERPROFILE%\AppData\Local\Temp\OnboardLogs"\RTDC4011\2017-05-21</v>
      </c>
      <c r="AF118" s="77" t="str">
        <f t="shared" si="39"/>
        <v>"C:\Program Files (x86)\AstroGrep\AstroGrep.exe" /e /r /s /spath="%USERPROFILE%\AppData\Local\Temp\OnboardLogs" /stypes="app*4011*20170521*" /stext=" 00:.+((SYSTEM_STATE.+slice.+state.+changed )|(ment ac)|(multiple cpu faults)|(system.+state.+changed )|(\[timeout)|(PRM\|1\|D)|(kpr)|(kdp)|(train st.+moving)|(\|lc)|(penalty))"</v>
      </c>
      <c r="AG118" s="1" t="str">
        <f t="shared" si="40"/>
        <v>EC</v>
      </c>
      <c r="AH118" s="81" t="str">
        <f t="shared" si="41"/>
        <v>"%USERPROFILE%\Documents\GitHub\eaglep3\Utilities\RefineRTDCRunTimes.py" --tripid 204-20 --locoid 4011 --swversion DE.1.0.9.0 --startMP 204:232947 --initTime 2017-05-20T17:14:59 --startdatetime 2017-05-20T17:26:23 --delay 0 --endMP 204:143 --enddatetime 2017-05-20T18:08:45 --enforcementcount 0 &gt;&gt;C:\Users\stu\Documents\GitHub\eaglep3-reporting\EC\2017-05-20-refined-times.txt</v>
      </c>
      <c r="AI118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{"issue":{"subject":"","project_id":79,"tracker_id":40,"status_id":1,"priority_id":2,"assigned_to_id":23,"start_date":"2017-05-20","description":"","custom_fields":[{"id":1,"name":"Subdivision","value":"EC"},{"id":4,"name":"Milepost","value":"0.0143"},{"id":17,"name":"Train ID","value":"204-20"},{"id":16,"name":"Locomotive ID","value":"4011"},{"id":130,"name":"Impact","value":""},{"id":150,"name":"Time of Event (Mountain Time)","value":"18:08:45"},{"id":151,"name":"Denver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43"/>
        <v>start /low /b %USERPROFILE%\Documents\GitHub\eaglep3\Utilities\DownloadLogsFromS3.py --loco 4011 --day 2017-05-20</v>
      </c>
      <c r="AN118" s="154" t="str">
        <f t="shared" si="44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00:08:45"},{"id":29,"name":"Sharepoint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783</v>
      </c>
      <c r="B119" s="7">
        <v>4022</v>
      </c>
      <c r="C119" s="21" t="s">
        <v>206</v>
      </c>
      <c r="D119" s="21" t="s">
        <v>347</v>
      </c>
      <c r="E119" s="13">
        <v>42875.694074074076</v>
      </c>
      <c r="F119" s="13">
        <v>42875.698101851849</v>
      </c>
      <c r="G119" s="7">
        <v>1</v>
      </c>
      <c r="H119" s="21" t="s">
        <v>491</v>
      </c>
      <c r="I119" s="13">
        <v>42875.722407407404</v>
      </c>
      <c r="J119" s="7">
        <v>0</v>
      </c>
      <c r="K119" s="92" t="str">
        <f t="shared" si="29"/>
        <v>4021/4022</v>
      </c>
      <c r="L119" s="21" t="str">
        <f>VLOOKUP(A119,'Trips&amp;Operators'!$C$1:$G$99999,5,FALSE)</f>
        <v>BRUDER RICHARD</v>
      </c>
      <c r="M119" s="6">
        <f t="shared" si="30"/>
        <v>2.4305555554747116E-2</v>
      </c>
      <c r="N119" s="7">
        <f t="shared" si="49"/>
        <v>34.999999998835847</v>
      </c>
      <c r="O119" s="7"/>
      <c r="P119" s="7"/>
      <c r="Q119" s="22"/>
      <c r="R119" s="190"/>
      <c r="S119" s="196">
        <f t="shared" si="46"/>
        <v>1</v>
      </c>
      <c r="T119" s="190" t="str">
        <f t="shared" si="31"/>
        <v>NorthBound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 t="shared" si="32"/>
        <v>https://d0f6bd738d7f1b3e5a7ca70fe4ff75f0.us-east-1.aws.found.io/app/kibana#/discover/Steve-Slow-Train-Analysis-(2080s-and-2083s)?_g=(refreshInterval:(display:Off,pause:!f,section:0,value:0),time:(from:'2017-05-20T15:39:28-0600',mode:absolute,to:'2017-05-20T18:20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9" s="192" t="str">
        <f t="shared" si="33"/>
        <v>N</v>
      </c>
      <c r="X119" s="192">
        <f t="shared" si="48"/>
        <v>1</v>
      </c>
      <c r="Y119" s="192">
        <f t="shared" si="34"/>
        <v>4.4900000000000002E-2</v>
      </c>
      <c r="Z119" s="192">
        <f t="shared" si="35"/>
        <v>23.329899999999999</v>
      </c>
      <c r="AA119" s="192">
        <f t="shared" si="36"/>
        <v>23.285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37"/>
        <v>0205-20</v>
      </c>
      <c r="AE119" s="80" t="str">
        <f t="shared" si="38"/>
        <v>aws s3 cp s3://rtdc.mdm.uploadarchive.raw/RTDC4022/ "%USERPROFILE%\AppData\Local\Temp\OnboardLogs"\RTDC4022\2017-05-20 --exclude "*" --recursive --include "*20170520*" &amp; "%USERPROFILE%\Documents\GitHub\mrs-test-scripts\Headless Mode &amp; Sideloading\WalkAndUnGZ.bat" "%USERPROFILE%\AppData\Local\Temp\OnboardLogs"\RTDC4022\2017-05-20 &amp; aws s3 cp s3://rtdc.mdm.uploadarchive.raw/RTDC4022/ "%USERPROFILE%\AppData\Local\Temp\OnboardLogs"\RTDC4022\2017-05-21 --exclude "*" --recursive --include "*20170521*" &amp; "%USERPROFILE%\Documents\GitHub\mrs-test-scripts\Headless Mode &amp; Sideloading\WalkAndUnGZ.bat" "%USERPROFILE%\AppData\Local\Temp\OnboardLogs"\RTDC4022\2017-05-21</v>
      </c>
      <c r="AF119" s="77" t="str">
        <f t="shared" si="39"/>
        <v>"C:\Program Files (x86)\AstroGrep\AstroGrep.exe" /e /r /s /spath="%USERPROFILE%\AppData\Local\Temp\OnboardLogs" /stypes="app*4022*20170520*" /stext=" 23:.+((SYSTEM_STATE.+slice.+state.+changed )|(ment ac)|(multiple cpu faults)|(system.+state.+changed )|(\[timeout)|(PRM\|1\|D)|(kpr)|(kdp)|(train st.+moving)|(\|lc)|(penalty))"</v>
      </c>
      <c r="AG119" s="1" t="str">
        <f t="shared" si="40"/>
        <v>EC</v>
      </c>
      <c r="AH119" s="81" t="str">
        <f t="shared" si="41"/>
        <v>"%USERPROFILE%\Documents\GitHub\eaglep3\Utilities\RefineRTDCRunTimes.py" --tripid 205-20 --locoid 4022 --swversion DE.1.0.9.0 --startMP 204:449 --initTime 2017-05-20T16:39:28 --startdatetime 2017-05-20T16:45:16 --delay 1 --endMP 204:233299 --enddatetime 2017-05-20T17:20:16 --enforcementcount 0 &gt;&gt;C:\Users\stu\Documents\GitHub\eaglep3-reporting\EC\2017-05-20-refined-times.txt</v>
      </c>
      <c r="AI119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{"issue":{"subject":"","project_id":79,"tracker_id":40,"status_id":1,"priority_id":2,"assigned_to_id":23,"start_date":"2017-05-20","description":"","custom_fields":[{"id":1,"name":"Subdivision","value":"EC"},{"id":4,"name":"Milepost","value":"23.3299"},{"id":17,"name":"Train ID","value":"205-20"},{"id":16,"name":"Locomotive ID","value":"4022"},{"id":130,"name":"Impact","value":""},{"id":150,"name":"Time of Event (Mountain Time)","value":"17:20:16"},{"id":151,"name":"Denver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43"/>
        <v>start /low /b %USERPROFILE%\Documents\GitHub\eaglep3\Utilities\DownloadLogsFromS3.py --loco 4022 --day 2017-05-20</v>
      </c>
      <c r="AN119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23:20:16"},{"id":29,"name":"Sharepoint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790</v>
      </c>
      <c r="B120" s="7">
        <v>4021</v>
      </c>
      <c r="C120" s="21" t="s">
        <v>206</v>
      </c>
      <c r="D120" s="21" t="s">
        <v>874</v>
      </c>
      <c r="E120" s="13">
        <v>42875.730185185188</v>
      </c>
      <c r="F120" s="13">
        <v>42875.737060185187</v>
      </c>
      <c r="G120" s="7">
        <v>2</v>
      </c>
      <c r="H120" s="21" t="s">
        <v>356</v>
      </c>
      <c r="I120" s="13">
        <v>42875.767245370371</v>
      </c>
      <c r="J120" s="7">
        <v>0</v>
      </c>
      <c r="K120" s="92" t="str">
        <f t="shared" si="29"/>
        <v>4021/4022</v>
      </c>
      <c r="L120" s="21" t="str">
        <f>VLOOKUP(A120,'Trips&amp;Operators'!$C$1:$G$99999,5,FALSE)</f>
        <v>BRUDER RICHARD</v>
      </c>
      <c r="M120" s="6">
        <f t="shared" si="30"/>
        <v>3.0185185183654539E-2</v>
      </c>
      <c r="N120" s="7">
        <f t="shared" si="49"/>
        <v>43.466666664462537</v>
      </c>
      <c r="O120" s="7"/>
      <c r="P120" s="7"/>
      <c r="Q120" s="22"/>
      <c r="R120" s="190"/>
      <c r="S120" s="196">
        <f t="shared" si="46"/>
        <v>1</v>
      </c>
      <c r="T120" s="190" t="str">
        <f t="shared" si="31"/>
        <v>Southbound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 t="shared" si="32"/>
        <v>https://d0f6bd738d7f1b3e5a7ca70fe4ff75f0.us-east-1.aws.found.io/app/kibana#/discover/Steve-Slow-Train-Analysis-(2080s-and-2083s)?_g=(refreshInterval:(display:Off,pause:!f,section:0,value:0),time:(from:'2017-05-20T16:31:28-0600',mode:absolute,to:'2017-05-20T19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0" s="192" t="str">
        <f t="shared" si="33"/>
        <v>N</v>
      </c>
      <c r="X120" s="192">
        <f t="shared" si="48"/>
        <v>1</v>
      </c>
      <c r="Y120" s="192">
        <f t="shared" si="34"/>
        <v>23.298400000000001</v>
      </c>
      <c r="Z120" s="192">
        <f t="shared" si="35"/>
        <v>1.4999999999999999E-2</v>
      </c>
      <c r="AA120" s="192">
        <f t="shared" si="36"/>
        <v>23.2834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37"/>
        <v>0206-20</v>
      </c>
      <c r="AE120" s="80" t="str">
        <f t="shared" si="38"/>
        <v>aws s3 cp s3://rtdc.mdm.uploadarchive.raw/RTDC4021/ "%USERPROFILE%\AppData\Local\Temp\OnboardLogs"\RTDC4021\2017-05-20 --exclude "*" --recursive --include "*20170520*" &amp; "%USERPROFILE%\Documents\GitHub\mrs-test-scripts\Headless Mode &amp; Sideloading\WalkAndUnGZ.bat" "%USERPROFILE%\AppData\Local\Temp\OnboardLogs"\RTDC4021\2017-05-20 &amp; aws s3 cp s3://rtdc.mdm.uploadarchive.raw/RTDC4021/ "%USERPROFILE%\AppData\Local\Temp\OnboardLogs"\RTDC4021\2017-05-21 --exclude "*" --recursive --include "*20170521*" &amp; "%USERPROFILE%\Documents\GitHub\mrs-test-scripts\Headless Mode &amp; Sideloading\WalkAndUnGZ.bat" "%USERPROFILE%\AppData\Local\Temp\OnboardLogs"\RTDC4021\2017-05-21</v>
      </c>
      <c r="AF120" s="77" t="str">
        <f t="shared" si="39"/>
        <v>"C:\Program Files (x86)\AstroGrep\AstroGrep.exe" /e /r /s /spath="%USERPROFILE%\AppData\Local\Temp\OnboardLogs" /stypes="app*4021*20170521*" /stext=" 00:.+((SYSTEM_STATE.+slice.+state.+changed )|(ment ac)|(multiple cpu faults)|(system.+state.+changed )|(\[timeout)|(PRM\|1\|D)|(kpr)|(kdp)|(train st.+moving)|(\|lc)|(penalty))"</v>
      </c>
      <c r="AG120" s="1" t="str">
        <f t="shared" si="40"/>
        <v>EC</v>
      </c>
      <c r="AH120" s="81" t="str">
        <f t="shared" si="41"/>
        <v>"%USERPROFILE%\Documents\GitHub\eaglep3\Utilities\RefineRTDCRunTimes.py" --tripid 206-20 --locoid 4021 --swversion DE.1.0.9.0 --startMP 204:232984 --initTime 2017-05-20T17:31:28 --startdatetime 2017-05-20T17:41:22 --delay 2 --endMP 204:150 --enddatetime 2017-05-20T18:24:50 --enforcementcount 0 &gt;&gt;C:\Users\stu\Documents\GitHub\eaglep3-reporting\EC\2017-05-20-refined-times.txt</v>
      </c>
      <c r="AI120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{"issue":{"subject":"","project_id":79,"tracker_id":40,"status_id":1,"priority_id":2,"assigned_to_id":23,"start_date":"2017-05-20","description":"","custom_fields":[{"id":1,"name":"Subdivision","value":"EC"},{"id":4,"name":"Milepost","value":"0.015"},{"id":17,"name":"Train ID","value":"206-20"},{"id":16,"name":"Locomotive ID","value":"4021"},{"id":130,"name":"Impact","value":""},{"id":150,"name":"Time of Event (Mountain Time)","value":"18:24:50"},{"id":151,"name":"Denver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43"/>
        <v>start /low /b %USERPROFILE%\Documents\GitHub\eaglep3\Utilities\DownloadLogsFromS3.py --loco 4021 --day 2017-05-20</v>
      </c>
      <c r="AN120" s="154" t="str">
        <f t="shared" si="44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00:24:50"},{"id":29,"name":"Sharepoint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786</v>
      </c>
      <c r="B121" s="7">
        <v>4002</v>
      </c>
      <c r="C121" s="21" t="s">
        <v>206</v>
      </c>
      <c r="D121" s="21" t="s">
        <v>359</v>
      </c>
      <c r="E121" s="13">
        <v>42875.710462962961</v>
      </c>
      <c r="F121" s="13">
        <v>42875.712048611109</v>
      </c>
      <c r="G121" s="7">
        <v>1</v>
      </c>
      <c r="H121" s="21" t="s">
        <v>947</v>
      </c>
      <c r="I121" s="13">
        <v>42875.741006944445</v>
      </c>
      <c r="J121" s="7">
        <v>0</v>
      </c>
      <c r="K121" s="92" t="str">
        <f t="shared" si="29"/>
        <v>4001/4002</v>
      </c>
      <c r="L121" s="21" t="str">
        <f>VLOOKUP(A121,'Trips&amp;Operators'!$C$1:$G$99999,5,FALSE)</f>
        <v>DAVIDSON DAVID</v>
      </c>
      <c r="M121" s="6">
        <f t="shared" si="30"/>
        <v>2.8958333336049691E-2</v>
      </c>
      <c r="N121" s="7">
        <f t="shared" si="49"/>
        <v>41.700000003911555</v>
      </c>
      <c r="O121" s="7"/>
      <c r="P121" s="7"/>
      <c r="Q121" s="22"/>
      <c r="R121" s="190"/>
      <c r="S121" s="196">
        <f t="shared" si="46"/>
        <v>1</v>
      </c>
      <c r="T121" s="190" t="str">
        <f t="shared" si="31"/>
        <v>NorthBound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 t="shared" si="32"/>
        <v>https://d0f6bd738d7f1b3e5a7ca70fe4ff75f0.us-east-1.aws.found.io/app/kibana#/discover/Steve-Slow-Train-Analysis-(2080s-and-2083s)?_g=(refreshInterval:(display:Off,pause:!f,section:0,value:0),time:(from:'2017-05-20T16:03:04-0600',mode:absolute,to:'2017-05-20T18:47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1" s="192" t="str">
        <f t="shared" si="33"/>
        <v>N</v>
      </c>
      <c r="X121" s="192">
        <f t="shared" si="48"/>
        <v>1</v>
      </c>
      <c r="Y121" s="192">
        <f t="shared" si="34"/>
        <v>4.6600000000000003E-2</v>
      </c>
      <c r="Z121" s="192">
        <f t="shared" si="35"/>
        <v>23.3308</v>
      </c>
      <c r="AA121" s="192">
        <f t="shared" si="36"/>
        <v>23.284199999999998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37"/>
        <v>0207-20</v>
      </c>
      <c r="AE121" s="80" t="str">
        <f t="shared" si="38"/>
        <v>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 &amp; aws s3 cp s3://rtdc.mdm.uploadarchive.raw/RTDC4002/ "%USERPROFILE%\AppData\Local\Temp\OnboardLogs"\RTDC4002\2017-05-21 --exclude "*" --recursive --include "*20170521*" &amp; "%USERPROFILE%\Documents\GitHub\mrs-test-scripts\Headless Mode &amp; Sideloading\WalkAndUnGZ.bat" "%USERPROFILE%\AppData\Local\Temp\OnboardLogs"\RTDC4002\2017-05-21</v>
      </c>
      <c r="AF121" s="77" t="str">
        <f t="shared" si="39"/>
        <v>"C:\Program Files (x86)\AstroGrep\AstroGrep.exe" /e /r /s /spath="%USERPROFILE%\AppData\Local\Temp\OnboardLogs" /stypes="app*4002*20170520*" /stext=" 23:.+((SYSTEM_STATE.+slice.+state.+changed )|(ment ac)|(multiple cpu faults)|(system.+state.+changed )|(\[timeout)|(PRM\|1\|D)|(kpr)|(kdp)|(train st.+moving)|(\|lc)|(penalty))"</v>
      </c>
      <c r="AG121" s="1" t="str">
        <f t="shared" si="40"/>
        <v>EC</v>
      </c>
      <c r="AH121" s="81" t="str">
        <f t="shared" si="41"/>
        <v>"%USERPROFILE%\Documents\GitHub\eaglep3\Utilities\RefineRTDCRunTimes.py" --tripid 207-20 --locoid 4002 --swversion DE.1.0.9.0 --startMP 204:466 --initTime 2017-05-20T17:03:04 --startdatetime 2017-05-20T17:05:21 --delay 1 --endMP 204:233308 --enddatetime 2017-05-20T17:47:03 --enforcementcount 0 &gt;&gt;C:\Users\stu\Documents\GitHub\eaglep3-reporting\EC\2017-05-20-refined-times.txt</v>
      </c>
      <c r="AI121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{"issue":{"subject":"","project_id":79,"tracker_id":40,"status_id":1,"priority_id":2,"assigned_to_id":23,"start_date":"2017-05-20","description":"","custom_fields":[{"id":1,"name":"Subdivision","value":"EC"},{"id":4,"name":"Milepost","value":"23.3308"},{"id":17,"name":"Train ID","value":"207-20"},{"id":16,"name":"Locomotive ID","value":"4002"},{"id":130,"name":"Impact","value":""},{"id":150,"name":"Time of Event (Mountain Time)","value":"17:47:03"},{"id":151,"name":"Denver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43"/>
        <v>start /low /b %USERPROFILE%\Documents\GitHub\eaglep3\Utilities\DownloadLogsFromS3.py --loco 4002 --day 2017-05-20</v>
      </c>
      <c r="AN121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23:47:03"},{"id":29,"name":"Sharepoint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793</v>
      </c>
      <c r="B122" s="7">
        <v>4001</v>
      </c>
      <c r="C122" s="21" t="s">
        <v>206</v>
      </c>
      <c r="D122" s="21" t="s">
        <v>557</v>
      </c>
      <c r="E122" s="13">
        <v>42875.742800925924</v>
      </c>
      <c r="F122" s="13">
        <v>42875.747627314813</v>
      </c>
      <c r="G122" s="7">
        <v>1</v>
      </c>
      <c r="H122" s="21" t="s">
        <v>948</v>
      </c>
      <c r="I122" s="13">
        <v>42875.780057870368</v>
      </c>
      <c r="J122" s="7">
        <v>0</v>
      </c>
      <c r="K122" s="92" t="str">
        <f t="shared" si="29"/>
        <v>4001/4002</v>
      </c>
      <c r="L122" s="21" t="str">
        <f>VLOOKUP(A122,'Trips&amp;Operators'!$C$1:$G$99999,5,FALSE)</f>
        <v>DAVIDSON DAVID</v>
      </c>
      <c r="M122" s="6">
        <f t="shared" si="30"/>
        <v>3.2430555555038154E-2</v>
      </c>
      <c r="N122" s="7">
        <f t="shared" si="49"/>
        <v>46.699999999254942</v>
      </c>
      <c r="O122" s="7"/>
      <c r="P122" s="7"/>
      <c r="Q122" s="22"/>
      <c r="R122" s="190"/>
      <c r="S122" s="196">
        <f t="shared" si="46"/>
        <v>1</v>
      </c>
      <c r="T122" s="190" t="str">
        <f t="shared" si="31"/>
        <v>Southbound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 t="shared" si="32"/>
        <v>https://d0f6bd738d7f1b3e5a7ca70fe4ff75f0.us-east-1.aws.found.io/app/kibana#/discover/Steve-Slow-Train-Analysis-(2080s-and-2083s)?_g=(refreshInterval:(display:Off,pause:!f,section:0,value:0),time:(from:'2017-05-20T16:49:38-0600',mode:absolute,to:'2017-05-20T19:43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2" s="192" t="str">
        <f t="shared" si="33"/>
        <v>N</v>
      </c>
      <c r="X122" s="192">
        <f t="shared" si="48"/>
        <v>1</v>
      </c>
      <c r="Y122" s="192">
        <f t="shared" si="34"/>
        <v>23.298300000000001</v>
      </c>
      <c r="Z122" s="192">
        <f t="shared" si="35"/>
        <v>1.4800000000000001E-2</v>
      </c>
      <c r="AA122" s="192">
        <f t="shared" si="36"/>
        <v>23.2835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37"/>
        <v>0208-20</v>
      </c>
      <c r="AE122" s="80" t="str">
        <f t="shared" si="38"/>
        <v>aws s3 cp s3://rtdc.mdm.uploadarchive.raw/RTDC4001/ "%USERPROFILE%\AppData\Local\Temp\OnboardLogs"\RTDC4001\2017-05-20 --exclude "*" --recursive --include "*20170520*" &amp; "%USERPROFILE%\Documents\GitHub\mrs-test-scripts\Headless Mode &amp; Sideloading\WalkAndUnGZ.bat" "%USERPROFILE%\AppData\Local\Temp\OnboardLogs"\RTDC4001\2017-05-20 &amp; aws s3 cp s3://rtdc.mdm.uploadarchive.raw/RTDC4001/ "%USERPROFILE%\AppData\Local\Temp\OnboardLogs"\RTDC4001\2017-05-21 --exclude "*" --recursive --include "*20170521*" &amp; "%USERPROFILE%\Documents\GitHub\mrs-test-scripts\Headless Mode &amp; Sideloading\WalkAndUnGZ.bat" "%USERPROFILE%\AppData\Local\Temp\OnboardLogs"\RTDC4001\2017-05-21</v>
      </c>
      <c r="AF122" s="77" t="str">
        <f t="shared" si="39"/>
        <v>"C:\Program Files (x86)\AstroGrep\AstroGrep.exe" /e /r /s /spath="%USERPROFILE%\AppData\Local\Temp\OnboardLogs" /stypes="app*4001*20170521*" /stext=" 00:.+((SYSTEM_STATE.+slice.+state.+changed )|(ment ac)|(multiple cpu faults)|(system.+state.+changed )|(\[timeout)|(PRM\|1\|D)|(kpr)|(kdp)|(train st.+moving)|(\|lc)|(penalty))"</v>
      </c>
      <c r="AG122" s="1" t="str">
        <f t="shared" si="40"/>
        <v>EC</v>
      </c>
      <c r="AH122" s="81" t="str">
        <f t="shared" si="41"/>
        <v>"%USERPROFILE%\Documents\GitHub\eaglep3\Utilities\RefineRTDCRunTimes.py" --tripid 208-20 --locoid 4001 --swversion DE.1.0.9.0 --startMP 204:232983 --initTime 2017-05-20T17:49:38 --startdatetime 2017-05-20T17:56:35 --delay 1 --endMP 204:148 --enddatetime 2017-05-20T18:43:17 --enforcementcount 0 &gt;&gt;C:\Users\stu\Documents\GitHub\eaglep3-reporting\EC\2017-05-20-refined-times.txt</v>
      </c>
      <c r="AI122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{"issue":{"subject":"","project_id":79,"tracker_id":40,"status_id":1,"priority_id":2,"assigned_to_id":23,"start_date":"2017-05-20","description":"","custom_fields":[{"id":1,"name":"Subdivision","value":"EC"},{"id":4,"name":"Milepost","value":"0.0148"},{"id":17,"name":"Train ID","value":"208-20"},{"id":16,"name":"Locomotive ID","value":"4001"},{"id":130,"name":"Impact","value":""},{"id":150,"name":"Time of Event (Mountain Time)","value":"18:43:17"},{"id":151,"name":"Denver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43"/>
        <v>start /low /b %USERPROFILE%\Documents\GitHub\eaglep3\Utilities\DownloadLogsFromS3.py --loco 4001 --day 2017-05-20</v>
      </c>
      <c r="AN122" s="154" t="str">
        <f t="shared" si="44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00:43:17"},{"id":29,"name":"Sharepoint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622</v>
      </c>
      <c r="B123" s="7">
        <v>4014</v>
      </c>
      <c r="C123" s="21" t="s">
        <v>206</v>
      </c>
      <c r="D123" s="21" t="s">
        <v>364</v>
      </c>
      <c r="E123" s="13">
        <v>42875.714768518519</v>
      </c>
      <c r="F123" s="13">
        <v>42875.718912037039</v>
      </c>
      <c r="G123" s="7">
        <v>1</v>
      </c>
      <c r="H123" s="21" t="s">
        <v>851</v>
      </c>
      <c r="I123" s="13">
        <v>42875.747488425928</v>
      </c>
      <c r="J123" s="7">
        <v>0</v>
      </c>
      <c r="K123" s="92" t="str">
        <f t="shared" si="29"/>
        <v>4013/4014</v>
      </c>
      <c r="L123" s="21" t="str">
        <f>VLOOKUP(A123,'Trips&amp;Operators'!$C$1:$G$99999,5,FALSE)</f>
        <v>PERKINS DARREN</v>
      </c>
      <c r="M123" s="6">
        <f t="shared" si="30"/>
        <v>2.8576388889632653E-2</v>
      </c>
      <c r="N123" s="7">
        <f t="shared" si="49"/>
        <v>41.150000001071021</v>
      </c>
      <c r="O123" s="7"/>
      <c r="P123" s="7"/>
      <c r="Q123" s="22"/>
      <c r="R123" s="190"/>
      <c r="S123" s="196">
        <f t="shared" si="46"/>
        <v>1</v>
      </c>
      <c r="T123" s="190" t="str">
        <f t="shared" si="31"/>
        <v>NorthBound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 t="shared" si="32"/>
        <v>https://d0f6bd738d7f1b3e5a7ca70fe4ff75f0.us-east-1.aws.found.io/app/kibana#/discover/Steve-Slow-Train-Analysis-(2080s-and-2083s)?_g=(refreshInterval:(display:Off,pause:!f,section:0,value:0),time:(from:'2017-05-20T16:09:16-0600',mode:absolute,to:'2017-05-20T18:56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3" s="192" t="str">
        <f t="shared" si="33"/>
        <v>N</v>
      </c>
      <c r="X123" s="192">
        <f t="shared" si="48"/>
        <v>1</v>
      </c>
      <c r="Y123" s="192">
        <f t="shared" si="34"/>
        <v>4.53E-2</v>
      </c>
      <c r="Z123" s="192">
        <f t="shared" si="35"/>
        <v>23.331099999999999</v>
      </c>
      <c r="AA123" s="192">
        <f t="shared" si="36"/>
        <v>23.285799999999998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37"/>
        <v>0209-20</v>
      </c>
      <c r="AE123" s="80" t="str">
        <f t="shared" si="38"/>
        <v>aws s3 cp s3://rtdc.mdm.uploadarchive.raw/RTDC4014/ "%USERPROFILE%\AppData\Local\Temp\OnboardLogs"\RTDC4014\2017-05-20 --exclude "*" --recursive --include "*20170520*" &amp; "%USERPROFILE%\Documents\GitHub\mrs-test-scripts\Headless Mode &amp; Sideloading\WalkAndUnGZ.bat" "%USERPROFILE%\AppData\Local\Temp\OnboardLogs"\RTDC4014\2017-05-20 &amp; aws s3 cp s3://rtdc.mdm.uploadarchive.raw/RTDC4014/ "%USERPROFILE%\AppData\Local\Temp\OnboardLogs"\RTDC4014\2017-05-21 --exclude "*" --recursive --include "*20170521*" &amp; "%USERPROFILE%\Documents\GitHub\mrs-test-scripts\Headless Mode &amp; Sideloading\WalkAndUnGZ.bat" "%USERPROFILE%\AppData\Local\Temp\OnboardLogs"\RTDC4014\2017-05-21</v>
      </c>
      <c r="AF123" s="77" t="str">
        <f t="shared" si="39"/>
        <v>"C:\Program Files (x86)\AstroGrep\AstroGrep.exe" /e /r /s /spath="%USERPROFILE%\AppData\Local\Temp\OnboardLogs" /stypes="app*4014*20170520*" /stext=" 23:.+((SYSTEM_STATE.+slice.+state.+changed )|(ment ac)|(multiple cpu faults)|(system.+state.+changed )|(\[timeout)|(PRM\|1\|D)|(kpr)|(kdp)|(train st.+moving)|(\|lc)|(penalty))"</v>
      </c>
      <c r="AG123" s="1" t="str">
        <f t="shared" si="40"/>
        <v>EC</v>
      </c>
      <c r="AH123" s="81" t="str">
        <f t="shared" si="41"/>
        <v>"%USERPROFILE%\Documents\GitHub\eaglep3\Utilities\RefineRTDCRunTimes.py" --tripid 209-20 --locoid 4014 --swversion DE.1.0.9.0 --startMP 204:453 --initTime 2017-05-20T17:09:16 --startdatetime 2017-05-20T17:15:14 --delay 1 --endMP 204:233311 --enddatetime 2017-05-20T17:56:23 --enforcementcount 0 &gt;&gt;C:\Users\stu\Documents\GitHub\eaglep3-reporting\EC\2017-05-20-refined-times.txt</v>
      </c>
      <c r="AI123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{"issue":{"subject":"","project_id":79,"tracker_id":40,"status_id":1,"priority_id":2,"assigned_to_id":23,"start_date":"2017-05-20","description":"","custom_fields":[{"id":1,"name":"Subdivision","value":"EC"},{"id":4,"name":"Milepost","value":"23.3311"},{"id":17,"name":"Train ID","value":"209-20"},{"id":16,"name":"Locomotive ID","value":"4014"},{"id":130,"name":"Impact","value":""},{"id":150,"name":"Time of Event (Mountain Time)","value":"17:56:23"},{"id":151,"name":"Denver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43"/>
        <v>start /low /b %USERPROFILE%\Documents\GitHub\eaglep3\Utilities\DownloadLogsFromS3.py --loco 4014 --day 2017-05-20</v>
      </c>
      <c r="AN123" s="154" t="str">
        <f t="shared" si="44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23:56:23"},{"id":29,"name":"Sharepoint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623</v>
      </c>
      <c r="B124" s="7">
        <v>4013</v>
      </c>
      <c r="C124" s="21" t="s">
        <v>206</v>
      </c>
      <c r="D124" s="21" t="s">
        <v>556</v>
      </c>
      <c r="E124" s="13">
        <v>42875.753275462965</v>
      </c>
      <c r="F124" s="13">
        <v>42875.7578125</v>
      </c>
      <c r="G124" s="7">
        <v>1</v>
      </c>
      <c r="H124" s="21" t="s">
        <v>363</v>
      </c>
      <c r="I124" s="13">
        <v>42875.787534722222</v>
      </c>
      <c r="J124" s="7">
        <v>0</v>
      </c>
      <c r="K124" s="92" t="str">
        <f t="shared" si="29"/>
        <v>4013/4014</v>
      </c>
      <c r="L124" s="21" t="str">
        <f>VLOOKUP(A124,'Trips&amp;Operators'!$C$1:$G$99999,5,FALSE)</f>
        <v>PERKINS DARREN</v>
      </c>
      <c r="M124" s="6">
        <f t="shared" si="30"/>
        <v>2.9722222221607808E-2</v>
      </c>
      <c r="N124" s="7">
        <f t="shared" si="49"/>
        <v>42.799999999115244</v>
      </c>
      <c r="O124" s="7"/>
      <c r="P124" s="7"/>
      <c r="Q124" s="22"/>
      <c r="R124" s="190"/>
      <c r="S124" s="196">
        <f t="shared" si="46"/>
        <v>1</v>
      </c>
      <c r="T124" s="190" t="str">
        <f t="shared" si="31"/>
        <v>Southbound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 t="shared" si="32"/>
        <v>https://d0f6bd738d7f1b3e5a7ca70fe4ff75f0.us-east-1.aws.found.io/app/kibana#/discover/Steve-Slow-Train-Analysis-(2080s-and-2083s)?_g=(refreshInterval:(display:Off,pause:!f,section:0,value:0),time:(from:'2017-05-20T17:04:43-0600',mode:absolute,to:'2017-05-20T19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4" s="192" t="str">
        <f t="shared" si="33"/>
        <v>N</v>
      </c>
      <c r="X124" s="192">
        <f t="shared" si="48"/>
        <v>1</v>
      </c>
      <c r="Y124" s="192">
        <f t="shared" si="34"/>
        <v>23.2988</v>
      </c>
      <c r="Z124" s="192">
        <f t="shared" si="35"/>
        <v>1.5599999999999999E-2</v>
      </c>
      <c r="AA124" s="192">
        <f t="shared" si="36"/>
        <v>23.283200000000001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37"/>
        <v>0210-20</v>
      </c>
      <c r="AE124" s="80" t="str">
        <f t="shared" si="38"/>
        <v>aws s3 cp s3://rtdc.mdm.uploadarchive.raw/RTDC4013/ "%USERPROFILE%\AppData\Local\Temp\OnboardLogs"\RTDC4013\2017-05-20 --exclude "*" --recursive --include "*20170520*" &amp; "%USERPROFILE%\Documents\GitHub\mrs-test-scripts\Headless Mode &amp; Sideloading\WalkAndUnGZ.bat" "%USERPROFILE%\AppData\Local\Temp\OnboardLogs"\RTDC4013\2017-05-20 &amp; aws s3 cp s3://rtdc.mdm.uploadarchive.raw/RTDC4013/ "%USERPROFILE%\AppData\Local\Temp\OnboardLogs"\RTDC4013\2017-05-21 --exclude "*" --recursive --include "*20170521*" &amp; "%USERPROFILE%\Documents\GitHub\mrs-test-scripts\Headless Mode &amp; Sideloading\WalkAndUnGZ.bat" "%USERPROFILE%\AppData\Local\Temp\OnboardLogs"\RTDC4013\2017-05-21</v>
      </c>
      <c r="AF124" s="77" t="str">
        <f t="shared" si="39"/>
        <v>"C:\Program Files (x86)\AstroGrep\AstroGrep.exe" /e /r /s /spath="%USERPROFILE%\AppData\Local\Temp\OnboardLogs" /stypes="app*4013*20170521*" /stext=" 00:.+((SYSTEM_STATE.+slice.+state.+changed )|(ment ac)|(multiple cpu faults)|(system.+state.+changed )|(\[timeout)|(PRM\|1\|D)|(kpr)|(kdp)|(train st.+moving)|(\|lc)|(penalty))"</v>
      </c>
      <c r="AG124" s="1" t="str">
        <f t="shared" si="40"/>
        <v>EC</v>
      </c>
      <c r="AH124" s="81" t="str">
        <f t="shared" si="41"/>
        <v>"%USERPROFILE%\Documents\GitHub\eaglep3\Utilities\RefineRTDCRunTimes.py" --tripid 210-20 --locoid 4013 --swversion DE.1.0.9.0 --startMP 204:232988 --initTime 2017-05-20T18:04:43 --startdatetime 2017-05-20T18:11:15 --delay 1 --endMP 204:156 --enddatetime 2017-05-20T18:54:03 --enforcementcount 0 &gt;&gt;C:\Users\stu\Documents\GitHub\eaglep3-reporting\EC\2017-05-20-refined-times.txt</v>
      </c>
      <c r="AI124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{"issue":{"subject":"","project_id":79,"tracker_id":40,"status_id":1,"priority_id":2,"assigned_to_id":23,"start_date":"2017-05-20","description":"","custom_fields":[{"id":1,"name":"Subdivision","value":"EC"},{"id":4,"name":"Milepost","value":"0.0156"},{"id":17,"name":"Train ID","value":"210-20"},{"id":16,"name":"Locomotive ID","value":"4013"},{"id":130,"name":"Impact","value":""},{"id":150,"name":"Time of Event (Mountain Time)","value":"18:54:03"},{"id":151,"name":"Denver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43"/>
        <v>start /low /b %USERPROFILE%\Documents\GitHub\eaglep3\Utilities\DownloadLogsFromS3.py --loco 4013 --day 2017-05-20</v>
      </c>
      <c r="AN124" s="154" t="str">
        <f t="shared" si="44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00:54:03"},{"id":29,"name":"Sharepoint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789</v>
      </c>
      <c r="B125" s="7">
        <v>4008</v>
      </c>
      <c r="C125" s="21" t="s">
        <v>206</v>
      </c>
      <c r="D125" s="21" t="s">
        <v>562</v>
      </c>
      <c r="E125" s="13">
        <v>42875.725775462961</v>
      </c>
      <c r="F125" s="13">
        <v>42875.729317129626</v>
      </c>
      <c r="G125" s="7">
        <v>1</v>
      </c>
      <c r="H125" s="21" t="s">
        <v>949</v>
      </c>
      <c r="I125" s="13">
        <v>42875.756249999999</v>
      </c>
      <c r="J125" s="7">
        <v>0</v>
      </c>
      <c r="K125" s="92" t="str">
        <f t="shared" si="29"/>
        <v>4007/4008</v>
      </c>
      <c r="L125" s="21" t="str">
        <f>VLOOKUP(A125,'Trips&amp;Operators'!$C$1:$G$99999,5,FALSE)</f>
        <v>ROMERO CHAD</v>
      </c>
      <c r="M125" s="6">
        <f t="shared" si="30"/>
        <v>2.6932870372547768E-2</v>
      </c>
      <c r="N125" s="7">
        <f t="shared" si="49"/>
        <v>38.783333336468786</v>
      </c>
      <c r="O125" s="7"/>
      <c r="P125" s="7"/>
      <c r="Q125" s="22"/>
      <c r="R125" s="190"/>
      <c r="S125" s="196">
        <f t="shared" si="46"/>
        <v>1</v>
      </c>
      <c r="T125" s="190" t="str">
        <f t="shared" si="31"/>
        <v>NorthBound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 t="shared" si="32"/>
        <v>https://d0f6bd738d7f1b3e5a7ca70fe4ff75f0.us-east-1.aws.found.io/app/kibana#/discover/Steve-Slow-Train-Analysis-(2080s-and-2083s)?_g=(refreshInterval:(display:Off,pause:!f,section:0,value:0),time:(from:'2017-05-20T16:25:07-0600',mode:absolute,to:'2017-05-20T19:09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5" s="192" t="str">
        <f t="shared" si="33"/>
        <v>N</v>
      </c>
      <c r="X125" s="192">
        <f t="shared" si="48"/>
        <v>1</v>
      </c>
      <c r="Y125" s="192">
        <f t="shared" si="34"/>
        <v>4.3999999999999997E-2</v>
      </c>
      <c r="Z125" s="192">
        <f t="shared" si="35"/>
        <v>23.3385</v>
      </c>
      <c r="AA125" s="192">
        <f t="shared" si="36"/>
        <v>23.294499999999999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37"/>
        <v>0211-20</v>
      </c>
      <c r="AE125" s="80" t="str">
        <f t="shared" si="38"/>
        <v>aws s3 cp s3://rtdc.mdm.uploadarchive.raw/RTDC4008/ "%USERPROFILE%\AppData\Local\Temp\OnboardLogs"\RTDC4008\2017-05-20 --exclude "*" --recursive --include "*20170520*" &amp; "%USERPROFILE%\Documents\GitHub\mrs-test-scripts\Headless Mode &amp; Sideloading\WalkAndUnGZ.bat" "%USERPROFILE%\AppData\Local\Temp\OnboardLogs"\RTDC4008\2017-05-20 &amp; aws s3 cp s3://rtdc.mdm.uploadarchive.raw/RTDC4008/ "%USERPROFILE%\AppData\Local\Temp\OnboardLogs"\RTDC4008\2017-05-21 --exclude "*" --recursive --include "*20170521*" &amp; "%USERPROFILE%\Documents\GitHub\mrs-test-scripts\Headless Mode &amp; Sideloading\WalkAndUnGZ.bat" "%USERPROFILE%\AppData\Local\Temp\OnboardLogs"\RTDC4008\2017-05-21</v>
      </c>
      <c r="AF125" s="77" t="str">
        <f t="shared" si="39"/>
        <v>"C:\Program Files (x86)\AstroGrep\AstroGrep.exe" /e /r /s /spath="%USERPROFILE%\AppData\Local\Temp\OnboardLogs" /stypes="app*4008*20170521*" /stext=" 00:.+((SYSTEM_STATE.+slice.+state.+changed )|(ment ac)|(multiple cpu faults)|(system.+state.+changed )|(\[timeout)|(PRM\|1\|D)|(kpr)|(kdp)|(train st.+moving)|(\|lc)|(penalty))"</v>
      </c>
      <c r="AG125" s="1" t="str">
        <f t="shared" si="40"/>
        <v>EC</v>
      </c>
      <c r="AH125" s="81" t="str">
        <f t="shared" si="41"/>
        <v>"%USERPROFILE%\Documents\GitHub\eaglep3\Utilities\RefineRTDCRunTimes.py" --tripid 211-20 --locoid 4008 --swversion DE.1.0.9.0 --startMP 204:440 --initTime 2017-05-20T17:25:07 --startdatetime 2017-05-20T17:30:13 --delay 1 --endMP 204:233385 --enddatetime 2017-05-20T18:09:00 --enforcementcount 0 &gt;&gt;C:\Users\stu\Documents\GitHub\eaglep3-reporting\EC\2017-05-20-refined-times.txt</v>
      </c>
      <c r="AI125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{"issue":{"subject":"","project_id":79,"tracker_id":40,"status_id":1,"priority_id":2,"assigned_to_id":23,"start_date":"2017-05-20","description":"","custom_fields":[{"id":1,"name":"Subdivision","value":"EC"},{"id":4,"name":"Milepost","value":"23.3385"},{"id":17,"name":"Train ID","value":"211-20"},{"id":16,"name":"Locomotive ID","value":"4008"},{"id":130,"name":"Impact","value":""},{"id":150,"name":"Time of Event (Mountain Time)","value":"18:09:00"},{"id":151,"name":"Denver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43"/>
        <v>start /low /b %USERPROFILE%\Documents\GitHub\eaglep3\Utilities\DownloadLogsFromS3.py --loco 4008 --day 2017-05-20</v>
      </c>
      <c r="AN125" s="154" t="str">
        <f t="shared" si="44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00:09:00"},{"id":29,"name":"Sharepoint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626</v>
      </c>
      <c r="B126" s="7">
        <v>4007</v>
      </c>
      <c r="C126" s="21" t="s">
        <v>206</v>
      </c>
      <c r="D126" s="21" t="s">
        <v>950</v>
      </c>
      <c r="E126" s="13">
        <v>42875.767835648148</v>
      </c>
      <c r="F126" s="13">
        <v>42875.76903935185</v>
      </c>
      <c r="G126" s="7">
        <v>0</v>
      </c>
      <c r="H126" s="21" t="s">
        <v>368</v>
      </c>
      <c r="I126" s="13">
        <v>42875.795752314814</v>
      </c>
      <c r="J126" s="7">
        <v>0</v>
      </c>
      <c r="K126" s="92" t="str">
        <f t="shared" si="29"/>
        <v>4007/4008</v>
      </c>
      <c r="L126" s="21" t="str">
        <f>VLOOKUP(A126,'Trips&amp;Operators'!$C$1:$G$99999,5,FALSE)</f>
        <v>ROMERO CHAD</v>
      </c>
      <c r="M126" s="6">
        <f t="shared" si="30"/>
        <v>2.6712962964666076E-2</v>
      </c>
      <c r="N126" s="7">
        <f t="shared" si="49"/>
        <v>38.466666669119149</v>
      </c>
      <c r="O126" s="7"/>
      <c r="P126" s="7"/>
      <c r="Q126" s="22"/>
      <c r="R126" s="190"/>
      <c r="S126" s="196">
        <f t="shared" ref="S126:S152" si="50">SUM(U126:U126)/IF(AG126="EC",12,1)</f>
        <v>1</v>
      </c>
      <c r="T126" s="190" t="str">
        <f t="shared" si="31"/>
        <v>Southbound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 t="shared" si="32"/>
        <v>https://d0f6bd738d7f1b3e5a7ca70fe4ff75f0.us-east-1.aws.found.io/app/kibana#/discover/Steve-Slow-Train-Analysis-(2080s-and-2083s)?_g=(refreshInterval:(display:Off,pause:!f,section:0,value:0),time:(from:'2017-05-20T17:25:41-0600',mode:absolute,to:'2017-05-20T20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6" s="192" t="str">
        <f t="shared" si="33"/>
        <v>N</v>
      </c>
      <c r="X126" s="192">
        <f t="shared" si="48"/>
        <v>1</v>
      </c>
      <c r="Y126" s="192">
        <f t="shared" si="34"/>
        <v>23.3062</v>
      </c>
      <c r="Z126" s="192">
        <f t="shared" si="35"/>
        <v>1.41E-2</v>
      </c>
      <c r="AA126" s="192">
        <f t="shared" si="36"/>
        <v>23.292100000000001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37"/>
        <v>0212-20</v>
      </c>
      <c r="AE126" s="80" t="str">
        <f t="shared" si="38"/>
        <v>aws s3 cp s3://rtdc.mdm.uploadarchive.raw/RTDC4007/ "%USERPROFILE%\AppData\Local\Temp\OnboardLogs"\RTDC4007\2017-05-20 --exclude "*" --recursive --include "*20170520*" &amp; "%USERPROFILE%\Documents\GitHub\mrs-test-scripts\Headless Mode &amp; Sideloading\WalkAndUnGZ.bat" "%USERPROFILE%\AppData\Local\Temp\OnboardLogs"\RTDC4007\2017-05-20 &amp; aws s3 cp s3://rtdc.mdm.uploadarchive.raw/RTDC4007/ "%USERPROFILE%\AppData\Local\Temp\OnboardLogs"\RTDC4007\2017-05-21 --exclude "*" --recursive --include "*20170521*" &amp; "%USERPROFILE%\Documents\GitHub\mrs-test-scripts\Headless Mode &amp; Sideloading\WalkAndUnGZ.bat" "%USERPROFILE%\AppData\Local\Temp\OnboardLogs"\RTDC4007\2017-05-21</v>
      </c>
      <c r="AF126" s="77" t="str">
        <f t="shared" si="39"/>
        <v>"C:\Program Files (x86)\AstroGrep\AstroGrep.exe" /e /r /s /spath="%USERPROFILE%\AppData\Local\Temp\OnboardLogs" /stypes="app*4007*20170521*" /stext=" 01:.+((SYSTEM_STATE.+slice.+state.+changed )|(ment ac)|(multiple cpu faults)|(system.+state.+changed )|(\[timeout)|(PRM\|1\|D)|(kpr)|(kdp)|(train st.+moving)|(\|lc)|(penalty))"</v>
      </c>
      <c r="AG126" s="1" t="str">
        <f t="shared" si="40"/>
        <v>EC</v>
      </c>
      <c r="AH126" s="81" t="str">
        <f t="shared" si="41"/>
        <v>"%USERPROFILE%\Documents\GitHub\eaglep3\Utilities\RefineRTDCRunTimes.py" --tripid 212-20 --locoid 4007 --swversion DE.1.0.9.0 --startMP 204:233062 --initTime 2017-05-20T18:25:41 --startdatetime 2017-05-20T18:27:25 --delay 0 --endMP 204:141 --enddatetime 2017-05-20T19:05:53 --enforcementcount 0 &gt;&gt;C:\Users\stu\Documents\GitHub\eaglep3-reporting\EC\2017-05-20-refined-times.txt</v>
      </c>
      <c r="AI126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{"issue":{"subject":"","project_id":79,"tracker_id":40,"status_id":1,"priority_id":2,"assigned_to_id":23,"start_date":"2017-05-20","description":"","custom_fields":[{"id":1,"name":"Subdivision","value":"EC"},{"id":4,"name":"Milepost","value":"0.0141"},{"id":17,"name":"Train ID","value":"212-20"},{"id":16,"name":"Locomotive ID","value":"4007"},{"id":130,"name":"Impact","value":""},{"id":150,"name":"Time of Event (Mountain Time)","value":"19:05:53"},{"id":151,"name":"Denver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43"/>
        <v>start /low /b %USERPROFILE%\Documents\GitHub\eaglep3\Utilities\DownloadLogsFromS3.py --loco 4007 --day 2017-05-20</v>
      </c>
      <c r="AN126" s="154" t="str">
        <f t="shared" si="44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01:05:53"},{"id":29,"name":"Sharepoint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792</v>
      </c>
      <c r="B127" s="7">
        <v>4026</v>
      </c>
      <c r="C127" s="21" t="s">
        <v>206</v>
      </c>
      <c r="D127" s="21" t="s">
        <v>856</v>
      </c>
      <c r="E127" s="13">
        <v>42875.736585648148</v>
      </c>
      <c r="F127" s="13">
        <v>42875.739849537036</v>
      </c>
      <c r="G127" s="7">
        <v>1</v>
      </c>
      <c r="H127" s="21" t="s">
        <v>465</v>
      </c>
      <c r="I127" s="13">
        <v>42875.772037037037</v>
      </c>
      <c r="J127" s="7">
        <v>0</v>
      </c>
      <c r="K127" s="92" t="str">
        <f t="shared" si="29"/>
        <v>4025/4026</v>
      </c>
      <c r="L127" s="21" t="str">
        <f>VLOOKUP(A127,'Trips&amp;Operators'!$C$1:$G$99999,5,FALSE)</f>
        <v>SMITH MICHAEL</v>
      </c>
      <c r="M127" s="6">
        <f t="shared" si="30"/>
        <v>3.2187500000873115E-2</v>
      </c>
      <c r="N127" s="7">
        <f t="shared" si="49"/>
        <v>46.350000001257285</v>
      </c>
      <c r="O127" s="7"/>
      <c r="P127" s="7"/>
      <c r="Q127" s="22"/>
      <c r="R127" s="190"/>
      <c r="S127" s="196">
        <f t="shared" si="50"/>
        <v>1</v>
      </c>
      <c r="T127" s="190" t="str">
        <f t="shared" si="31"/>
        <v>NorthBound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 t="shared" si="32"/>
        <v>https://d0f6bd738d7f1b3e5a7ca70fe4ff75f0.us-east-1.aws.found.io/app/kibana#/discover/Steve-Slow-Train-Analysis-(2080s-and-2083s)?_g=(refreshInterval:(display:Off,pause:!f,section:0,value:0),time:(from:'2017-05-20T16:40:41-0600',mode:absolute,to:'2017-05-20T19:31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7" s="192" t="str">
        <f t="shared" si="33"/>
        <v>N</v>
      </c>
      <c r="X127" s="192">
        <f t="shared" si="48"/>
        <v>1</v>
      </c>
      <c r="Y127" s="192">
        <f t="shared" si="34"/>
        <v>4.6699999999999998E-2</v>
      </c>
      <c r="Z127" s="192">
        <f t="shared" si="35"/>
        <v>23.328900000000001</v>
      </c>
      <c r="AA127" s="192">
        <f t="shared" si="36"/>
        <v>23.2822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37"/>
        <v>0213-20</v>
      </c>
      <c r="AE127" s="80" t="str">
        <f t="shared" si="38"/>
        <v>aws s3 cp s3://rtdc.mdm.uploadarchive.raw/RTDC4026/ "%USERPROFILE%\AppData\Local\Temp\OnboardLogs"\RTDC4026\2017-05-20 --exclude "*" --recursive --include "*20170520*" &amp; "%USERPROFILE%\Documents\GitHub\mrs-test-scripts\Headless Mode &amp; Sideloading\WalkAndUnGZ.bat" "%USERPROFILE%\AppData\Local\Temp\OnboardLogs"\RTDC4026\2017-05-20 &amp; aws s3 cp s3://rtdc.mdm.uploadarchive.raw/RTDC4026/ "%USERPROFILE%\AppData\Local\Temp\OnboardLogs"\RTDC4026\2017-05-21 --exclude "*" --recursive --include "*20170521*" &amp; "%USERPROFILE%\Documents\GitHub\mrs-test-scripts\Headless Mode &amp; Sideloading\WalkAndUnGZ.bat" "%USERPROFILE%\AppData\Local\Temp\OnboardLogs"\RTDC4026\2017-05-21</v>
      </c>
      <c r="AF127" s="77" t="str">
        <f t="shared" si="39"/>
        <v>"C:\Program Files (x86)\AstroGrep\AstroGrep.exe" /e /r /s /spath="%USERPROFILE%\AppData\Local\Temp\OnboardLogs" /stypes="app*4026*20170521*" /stext=" 00:.+((SYSTEM_STATE.+slice.+state.+changed )|(ment ac)|(multiple cpu faults)|(system.+state.+changed )|(\[timeout)|(PRM\|1\|D)|(kpr)|(kdp)|(train st.+moving)|(\|lc)|(penalty))"</v>
      </c>
      <c r="AG127" s="1" t="str">
        <f t="shared" si="40"/>
        <v>EC</v>
      </c>
      <c r="AH127" s="81" t="str">
        <f t="shared" si="41"/>
        <v>"%USERPROFILE%\Documents\GitHub\eaglep3\Utilities\RefineRTDCRunTimes.py" --tripid 213-20 --locoid 4026 --swversion DE.1.0.9.0 --startMP 204:467 --initTime 2017-05-20T17:40:41 --startdatetime 2017-05-20T17:45:23 --delay 1 --endMP 204:233289 --enddatetime 2017-05-20T18:31:44 --enforcementcount 0 &gt;&gt;C:\Users\stu\Documents\GitHub\eaglep3-reporting\EC\2017-05-20-refined-times.txt</v>
      </c>
      <c r="AI127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{"issue":{"subject":"","project_id":79,"tracker_id":40,"status_id":1,"priority_id":2,"assigned_to_id":23,"start_date":"2017-05-20","description":"","custom_fields":[{"id":1,"name":"Subdivision","value":"EC"},{"id":4,"name":"Milepost","value":"23.3289"},{"id":17,"name":"Train ID","value":"213-20"},{"id":16,"name":"Locomotive ID","value":"4026"},{"id":130,"name":"Impact","value":""},{"id":150,"name":"Time of Event (Mountain Time)","value":"18:31:44"},{"id":151,"name":"Denver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43"/>
        <v>start /low /b %USERPROFILE%\Documents\GitHub\eaglep3\Utilities\DownloadLogsFromS3.py --loco 4026 --day 2017-05-20</v>
      </c>
      <c r="AN127" s="154" t="str">
        <f t="shared" si="44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00:31:44"},{"id":29,"name":"Sharepoint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628</v>
      </c>
      <c r="B128" s="7">
        <v>4025</v>
      </c>
      <c r="C128" s="21" t="s">
        <v>206</v>
      </c>
      <c r="D128" s="21" t="s">
        <v>951</v>
      </c>
      <c r="E128" s="13">
        <v>42875.773877314816</v>
      </c>
      <c r="F128" s="13">
        <v>42875.781006944446</v>
      </c>
      <c r="G128" s="7">
        <v>1</v>
      </c>
      <c r="H128" s="21" t="s">
        <v>369</v>
      </c>
      <c r="I128" s="13">
        <v>42875.809421296297</v>
      </c>
      <c r="J128" s="7">
        <v>0</v>
      </c>
      <c r="K128" s="92" t="str">
        <f t="shared" si="29"/>
        <v>4025/4026</v>
      </c>
      <c r="L128" s="21" t="str">
        <f>VLOOKUP(A128,'Trips&amp;Operators'!$C$1:$G$99999,5,FALSE)</f>
        <v>SMITH MICHAEL</v>
      </c>
      <c r="M128" s="6">
        <f t="shared" si="30"/>
        <v>2.8414351851097308E-2</v>
      </c>
      <c r="N128" s="7">
        <f t="shared" si="49"/>
        <v>40.916666665580124</v>
      </c>
      <c r="O128" s="7"/>
      <c r="P128" s="7"/>
      <c r="Q128" s="22"/>
      <c r="R128" s="190"/>
      <c r="S128" s="196">
        <f t="shared" si="50"/>
        <v>1</v>
      </c>
      <c r="T128" s="190" t="str">
        <f t="shared" si="31"/>
        <v>Southbound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 t="shared" si="32"/>
        <v>https://d0f6bd738d7f1b3e5a7ca70fe4ff75f0.us-east-1.aws.found.io/app/kibana#/discover/Steve-Slow-Train-Analysis-(2080s-and-2083s)?_g=(refreshInterval:(display:Off,pause:!f,section:0,value:0),time:(from:'2017-05-20T17:34:23-0600',mode:absolute,to:'2017-05-20T20:25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8" s="192" t="str">
        <f t="shared" si="33"/>
        <v>N</v>
      </c>
      <c r="X128" s="192">
        <f t="shared" si="48"/>
        <v>1</v>
      </c>
      <c r="Y128" s="192">
        <f t="shared" si="34"/>
        <v>23.2971</v>
      </c>
      <c r="Z128" s="192">
        <f t="shared" si="35"/>
        <v>1.47E-2</v>
      </c>
      <c r="AA128" s="192">
        <f t="shared" si="36"/>
        <v>23.282399999999999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37"/>
        <v>0214-20</v>
      </c>
      <c r="AE128" s="80" t="str">
        <f t="shared" si="38"/>
        <v>aws s3 cp s3://rtdc.mdm.uploadarchive.raw/RTDC4025/ "%USERPROFILE%\AppData\Local\Temp\OnboardLogs"\RTDC4025\2017-05-20 --exclude "*" --recursive --include "*20170520*" &amp; "%USERPROFILE%\Documents\GitHub\mrs-test-scripts\Headless Mode &amp; Sideloading\WalkAndUnGZ.bat" "%USERPROFILE%\AppData\Local\Temp\OnboardLogs"\RTDC4025\2017-05-20 &amp; aws s3 cp s3://rtdc.mdm.uploadarchive.raw/RTDC4025/ "%USERPROFILE%\AppData\Local\Temp\OnboardLogs"\RTDC4025\2017-05-21 --exclude "*" --recursive --include "*20170521*" &amp; "%USERPROFILE%\Documents\GitHub\mrs-test-scripts\Headless Mode &amp; Sideloading\WalkAndUnGZ.bat" "%USERPROFILE%\AppData\Local\Temp\OnboardLogs"\RTDC4025\2017-05-21</v>
      </c>
      <c r="AF128" s="77" t="str">
        <f t="shared" si="39"/>
        <v>"C:\Program Files (x86)\AstroGrep\AstroGrep.exe" /e /r /s /spath="%USERPROFILE%\AppData\Local\Temp\OnboardLogs" /stypes="app*4025*20170521*" /stext=" 01:.+((SYSTEM_STATE.+slice.+state.+changed )|(ment ac)|(multiple cpu faults)|(system.+state.+changed )|(\[timeout)|(PRM\|1\|D)|(kpr)|(kdp)|(train st.+moving)|(\|lc)|(penalty))"</v>
      </c>
      <c r="AG128" s="1" t="str">
        <f t="shared" si="40"/>
        <v>EC</v>
      </c>
      <c r="AH128" s="81" t="str">
        <f t="shared" si="41"/>
        <v>"%USERPROFILE%\Documents\GitHub\eaglep3\Utilities\RefineRTDCRunTimes.py" --tripid 214-20 --locoid 4025 --swversion DE.1.0.9.0 --startMP 204:232971 --initTime 2017-05-20T18:34:23 --startdatetime 2017-05-20T18:44:39 --delay 1 --endMP 204:147 --enddatetime 2017-05-20T19:25:34 --enforcementcount 0 &gt;&gt;C:\Users\stu\Documents\GitHub\eaglep3-reporting\EC\2017-05-20-refined-times.txt</v>
      </c>
      <c r="AI128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{"issue":{"subject":"","project_id":79,"tracker_id":40,"status_id":1,"priority_id":2,"assigned_to_id":23,"start_date":"2017-05-20","description":"","custom_fields":[{"id":1,"name":"Subdivision","value":"EC"},{"id":4,"name":"Milepost","value":"0.0147"},{"id":17,"name":"Train ID","value":"214-20"},{"id":16,"name":"Locomotive ID","value":"4025"},{"id":130,"name":"Impact","value":""},{"id":150,"name":"Time of Event (Mountain Time)","value":"19:25:34"},{"id":151,"name":"Denver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43"/>
        <v>start /low /b %USERPROFILE%\Documents\GitHub\eaglep3\Utilities\DownloadLogsFromS3.py --loco 4025 --day 2017-05-20</v>
      </c>
      <c r="AN128" s="154" t="str">
        <f t="shared" si="44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01:25:34"},{"id":29,"name":"Sharepoint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627</v>
      </c>
      <c r="B129" s="7">
        <v>4010</v>
      </c>
      <c r="C129" s="21" t="s">
        <v>206</v>
      </c>
      <c r="D129" s="21" t="s">
        <v>404</v>
      </c>
      <c r="E129" s="13">
        <v>42875.750405092593</v>
      </c>
      <c r="F129" s="13">
        <v>42875.751967592594</v>
      </c>
      <c r="G129" s="7">
        <v>1</v>
      </c>
      <c r="H129" s="21" t="s">
        <v>497</v>
      </c>
      <c r="I129" s="13">
        <v>42875.776307870372</v>
      </c>
      <c r="J129" s="7">
        <v>0</v>
      </c>
      <c r="K129" s="92" t="str">
        <f t="shared" si="29"/>
        <v>4009/4010</v>
      </c>
      <c r="L129" s="21" t="str">
        <f>VLOOKUP(A129,'Trips&amp;Operators'!$C$1:$G$99999,5,FALSE)</f>
        <v>MOSES BRADLEY</v>
      </c>
      <c r="M129" s="6">
        <f t="shared" si="30"/>
        <v>2.4340277777810115E-2</v>
      </c>
      <c r="N129" s="7">
        <f t="shared" si="49"/>
        <v>35.050000000046566</v>
      </c>
      <c r="O129" s="7"/>
      <c r="P129" s="7"/>
      <c r="Q129" s="22"/>
      <c r="R129" s="190"/>
      <c r="S129" s="196">
        <f t="shared" si="50"/>
        <v>1</v>
      </c>
      <c r="T129" s="190" t="str">
        <f t="shared" si="31"/>
        <v>NorthBound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 t="shared" si="32"/>
        <v>https://d0f6bd738d7f1b3e5a7ca70fe4ff75f0.us-east-1.aws.found.io/app/kibana#/discover/Steve-Slow-Train-Analysis-(2080s-and-2083s)?_g=(refreshInterval:(display:Off,pause:!f,section:0,value:0),time:(from:'2017-05-20T17:00:35-0600',mode:absolute,to:'2017-05-20T19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9" s="192" t="str">
        <f t="shared" si="33"/>
        <v>N</v>
      </c>
      <c r="X129" s="192">
        <f t="shared" si="48"/>
        <v>1</v>
      </c>
      <c r="Y129" s="192">
        <f t="shared" si="34"/>
        <v>4.6199999999999998E-2</v>
      </c>
      <c r="Z129" s="192">
        <f t="shared" si="35"/>
        <v>23.3306</v>
      </c>
      <c r="AA129" s="192">
        <f t="shared" si="36"/>
        <v>23.284400000000002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37"/>
        <v>0215-20</v>
      </c>
      <c r="AE129" s="80" t="str">
        <f t="shared" si="38"/>
        <v>aws s3 cp s3://rtdc.mdm.uploadarchive.raw/RTDC4010/ "%USERPROFILE%\AppData\Local\Temp\OnboardLogs"\RTDC4010\2017-05-20 --exclude "*" --recursive --include "*20170520*" &amp; "%USERPROFILE%\Documents\GitHub\mrs-test-scripts\Headless Mode &amp; Sideloading\WalkAndUnGZ.bat" "%USERPROFILE%\AppData\Local\Temp\OnboardLogs"\RTDC4010\2017-05-20 &amp; aws s3 cp s3://rtdc.mdm.uploadarchive.raw/RTDC4010/ "%USERPROFILE%\AppData\Local\Temp\OnboardLogs"\RTDC4010\2017-05-21 --exclude "*" --recursive --include "*20170521*" &amp; "%USERPROFILE%\Documents\GitHub\mrs-test-scripts\Headless Mode &amp; Sideloading\WalkAndUnGZ.bat" "%USERPROFILE%\AppData\Local\Temp\OnboardLogs"\RTDC4010\2017-05-21</v>
      </c>
      <c r="AF129" s="77" t="str">
        <f t="shared" si="39"/>
        <v>"C:\Program Files (x86)\AstroGrep\AstroGrep.exe" /e /r /s /spath="%USERPROFILE%\AppData\Local\Temp\OnboardLogs" /stypes="app*4010*20170521*" /stext=" 00:.+((SYSTEM_STATE.+slice.+state.+changed )|(ment ac)|(multiple cpu faults)|(system.+state.+changed )|(\[timeout)|(PRM\|1\|D)|(kpr)|(kdp)|(train st.+moving)|(\|lc)|(penalty))"</v>
      </c>
      <c r="AG129" s="1" t="str">
        <f t="shared" si="40"/>
        <v>EC</v>
      </c>
      <c r="AH129" s="81" t="str">
        <f t="shared" si="41"/>
        <v>"%USERPROFILE%\Documents\GitHub\eaglep3\Utilities\RefineRTDCRunTimes.py" --tripid 215-20 --locoid 4010 --swversion DE.1.0.9.0 --startMP 204:462 --initTime 2017-05-20T18:00:35 --startdatetime 2017-05-20T18:02:50 --delay 1 --endMP 204:233306 --enddatetime 2017-05-20T18:37:53 --enforcementcount 0 &gt;&gt;C:\Users\stu\Documents\GitHub\eaglep3-reporting\EC\2017-05-20-refined-times.txt</v>
      </c>
      <c r="AI129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{"issue":{"subject":"","project_id":79,"tracker_id":40,"status_id":1,"priority_id":2,"assigned_to_id":23,"start_date":"2017-05-20","description":"","custom_fields":[{"id":1,"name":"Subdivision","value":"EC"},{"id":4,"name":"Milepost","value":"23.3306"},{"id":17,"name":"Train ID","value":"215-20"},{"id":16,"name":"Locomotive ID","value":"4010"},{"id":130,"name":"Impact","value":""},{"id":150,"name":"Time of Event (Mountain Time)","value":"18:37:53"},{"id":151,"name":"Denver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43"/>
        <v>start /low /b %USERPROFILE%\Documents\GitHub\eaglep3\Utilities\DownloadLogsFromS3.py --loco 4010 --day 2017-05-20</v>
      </c>
      <c r="AN129" s="154" t="str">
        <f t="shared" si="44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00:37:53"},{"id":29,"name":"Sharepoint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629</v>
      </c>
      <c r="B130" s="7">
        <v>4009</v>
      </c>
      <c r="C130" s="21" t="s">
        <v>206</v>
      </c>
      <c r="D130" s="21" t="s">
        <v>952</v>
      </c>
      <c r="E130" s="13">
        <v>42875.785486111112</v>
      </c>
      <c r="F130" s="13">
        <v>42875.789224537039</v>
      </c>
      <c r="G130" s="7">
        <v>1</v>
      </c>
      <c r="H130" s="21" t="s">
        <v>953</v>
      </c>
      <c r="I130" s="13">
        <v>42875.819363425922</v>
      </c>
      <c r="J130" s="7">
        <v>0</v>
      </c>
      <c r="K130" s="92" t="str">
        <f t="shared" si="29"/>
        <v>4009/4010</v>
      </c>
      <c r="L130" s="21" t="str">
        <f>VLOOKUP(A130,'Trips&amp;Operators'!$C$1:$G$99999,5,FALSE)</f>
        <v>MOSES BRADLEY</v>
      </c>
      <c r="M130" s="6">
        <f t="shared" si="30"/>
        <v>3.0138888883811887E-2</v>
      </c>
      <c r="N130" s="7">
        <f t="shared" si="49"/>
        <v>43.399999992689118</v>
      </c>
      <c r="O130" s="7"/>
      <c r="P130" s="7"/>
      <c r="Q130" s="22"/>
      <c r="R130" s="190"/>
      <c r="S130" s="196">
        <f t="shared" si="50"/>
        <v>1</v>
      </c>
      <c r="T130" s="190" t="str">
        <f t="shared" si="31"/>
        <v>Southbound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 t="shared" si="32"/>
        <v>https://d0f6bd738d7f1b3e5a7ca70fe4ff75f0.us-east-1.aws.found.io/app/kibana#/discover/Steve-Slow-Train-Analysis-(2080s-and-2083s)?_g=(refreshInterval:(display:Off,pause:!f,section:0,value:0),time:(from:'2017-05-20T17:51:06-0600',mode:absolute,to:'2017-05-20T20:39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0" s="192" t="str">
        <f t="shared" si="33"/>
        <v>N</v>
      </c>
      <c r="X130" s="192">
        <f t="shared" si="48"/>
        <v>1</v>
      </c>
      <c r="Y130" s="192">
        <f t="shared" si="34"/>
        <v>23.2989</v>
      </c>
      <c r="Z130" s="192">
        <f t="shared" si="35"/>
        <v>1.4E-2</v>
      </c>
      <c r="AA130" s="192">
        <f t="shared" si="36"/>
        <v>23.2849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37"/>
        <v>0216-20</v>
      </c>
      <c r="AE130" s="80" t="str">
        <f t="shared" si="38"/>
        <v>aws s3 cp s3://rtdc.mdm.uploadarchive.raw/RTDC4009/ "%USERPROFILE%\AppData\Local\Temp\OnboardLogs"\RTDC4009\2017-05-20 --exclude "*" --recursive --include "*20170520*" &amp; "%USERPROFILE%\Documents\GitHub\mrs-test-scripts\Headless Mode &amp; Sideloading\WalkAndUnGZ.bat" "%USERPROFILE%\AppData\Local\Temp\OnboardLogs"\RTDC4009\2017-05-20 &amp; aws s3 cp s3://rtdc.mdm.uploadarchive.raw/RTDC4009/ "%USERPROFILE%\AppData\Local\Temp\OnboardLogs"\RTDC4009\2017-05-21 --exclude "*" --recursive --include "*20170521*" &amp; "%USERPROFILE%\Documents\GitHub\mrs-test-scripts\Headless Mode &amp; Sideloading\WalkAndUnGZ.bat" "%USERPROFILE%\AppData\Local\Temp\OnboardLogs"\RTDC4009\2017-05-21</v>
      </c>
      <c r="AF130" s="77" t="str">
        <f t="shared" si="39"/>
        <v>"C:\Program Files (x86)\AstroGrep\AstroGrep.exe" /e /r /s /spath="%USERPROFILE%\AppData\Local\Temp\OnboardLogs" /stypes="app*4009*20170521*" /stext=" 01:.+((SYSTEM_STATE.+slice.+state.+changed )|(ment ac)|(multiple cpu faults)|(system.+state.+changed )|(\[timeout)|(PRM\|1\|D)|(kpr)|(kdp)|(train st.+moving)|(\|lc)|(penalty))"</v>
      </c>
      <c r="AG130" s="1" t="str">
        <f t="shared" si="40"/>
        <v>EC</v>
      </c>
      <c r="AH130" s="81" t="str">
        <f t="shared" si="41"/>
        <v>"%USERPROFILE%\Documents\GitHub\eaglep3\Utilities\RefineRTDCRunTimes.py" --tripid 216-20 --locoid 4009 --swversion DE.1.0.9.0 --startMP 204:232989 --initTime 2017-05-20T18:51:06 --startdatetime 2017-05-20T18:56:29 --delay 1 --endMP 204:140 --enddatetime 2017-05-20T19:39:53 --enforcementcount 0 &gt;&gt;C:\Users\stu\Documents\GitHub\eaglep3-reporting\EC\2017-05-20-refined-times.txt</v>
      </c>
      <c r="AI130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{"issue":{"subject":"","project_id":79,"tracker_id":40,"status_id":1,"priority_id":2,"assigned_to_id":23,"start_date":"2017-05-20","description":"","custom_fields":[{"id":1,"name":"Subdivision","value":"EC"},{"id":4,"name":"Milepost","value":"0.014"},{"id":17,"name":"Train ID","value":"216-20"},{"id":16,"name":"Locomotive ID","value":"4009"},{"id":130,"name":"Impact","value":""},{"id":150,"name":"Time of Event (Mountain Time)","value":"19:39:53"},{"id":151,"name":"Denver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43"/>
        <v>start /low /b %USERPROFILE%\Documents\GitHub\eaglep3\Utilities\DownloadLogsFromS3.py --loco 4009 --day 2017-05-20</v>
      </c>
      <c r="AN130" s="154" t="str">
        <f t="shared" si="44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01:39:53"},{"id":29,"name":"Sharepoint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625</v>
      </c>
      <c r="B131" s="7">
        <v>4012</v>
      </c>
      <c r="C131" s="21" t="s">
        <v>206</v>
      </c>
      <c r="D131" s="21" t="s">
        <v>430</v>
      </c>
      <c r="E131" s="13">
        <v>42875.757615740738</v>
      </c>
      <c r="F131" s="13">
        <v>42875.761041666665</v>
      </c>
      <c r="G131" s="7">
        <v>1</v>
      </c>
      <c r="H131" s="21" t="s">
        <v>954</v>
      </c>
      <c r="I131" s="13">
        <v>42875.787662037037</v>
      </c>
      <c r="J131" s="7">
        <v>0</v>
      </c>
      <c r="K131" s="92" t="str">
        <f t="shared" si="29"/>
        <v>4011/4012</v>
      </c>
      <c r="L131" s="21" t="str">
        <f>VLOOKUP(A131,'Trips&amp;Operators'!$C$1:$G$99999,5,FALSE)</f>
        <v>STAMBAUGH JAMES</v>
      </c>
      <c r="M131" s="6">
        <f t="shared" si="30"/>
        <v>2.662037037225673E-2</v>
      </c>
      <c r="N131" s="7">
        <f t="shared" si="49"/>
        <v>38.333333336049691</v>
      </c>
      <c r="O131" s="7"/>
      <c r="P131" s="7"/>
      <c r="Q131" s="22"/>
      <c r="R131" s="190"/>
      <c r="S131" s="196">
        <f t="shared" si="50"/>
        <v>1</v>
      </c>
      <c r="T131" s="190" t="str">
        <f t="shared" si="31"/>
        <v>NorthBound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 t="shared" si="32"/>
        <v>https://d0f6bd738d7f1b3e5a7ca70fe4ff75f0.us-east-1.aws.found.io/app/kibana#/discover/Steve-Slow-Train-Analysis-(2080s-and-2083s)?_g=(refreshInterval:(display:Off,pause:!f,section:0,value:0),time:(from:'2017-05-20T17:10:58-0600',mode:absolute,to:'2017-05-20T19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1" s="192" t="str">
        <f t="shared" si="33"/>
        <v>N</v>
      </c>
      <c r="X131" s="192">
        <f t="shared" si="48"/>
        <v>1</v>
      </c>
      <c r="Y131" s="192">
        <f t="shared" si="34"/>
        <v>4.6899999999999997E-2</v>
      </c>
      <c r="Z131" s="192">
        <f t="shared" si="35"/>
        <v>23.343699999999998</v>
      </c>
      <c r="AA131" s="192">
        <f t="shared" si="36"/>
        <v>23.296799999999998</v>
      </c>
      <c r="AB131" s="57" t="str">
        <f>VLOOKUP(A131,Enforcements!$C$7:$K$13,8,0)</f>
        <v>Bulletin (2)</v>
      </c>
      <c r="AC131" s="53" t="str">
        <f>VLOOKUP(A131,Enforcements!$C$7:$E$13,3,0)</f>
        <v>GRADE CROSSING</v>
      </c>
      <c r="AD131" s="54" t="str">
        <f t="shared" si="37"/>
        <v>0217-20</v>
      </c>
      <c r="AE131" s="80" t="str">
        <f t="shared" si="38"/>
        <v>aws s3 cp s3://rtdc.mdm.uploadarchive.raw/RTDC4012/ "%USERPROFILE%\AppData\Local\Temp\OnboardLogs"\RTDC4012\2017-05-20 --exclude "*" --recursive --include "*20170520*" &amp; "%USERPROFILE%\Documents\GitHub\mrs-test-scripts\Headless Mode &amp; Sideloading\WalkAndUnGZ.bat" "%USERPROFILE%\AppData\Local\Temp\OnboardLogs"\RTDC4012\2017-05-20 &amp; aws s3 cp s3://rtdc.mdm.uploadarchive.raw/RTDC4012/ "%USERPROFILE%\AppData\Local\Temp\OnboardLogs"\RTDC4012\2017-05-21 --exclude "*" --recursive --include "*20170521*" &amp; "%USERPROFILE%\Documents\GitHub\mrs-test-scripts\Headless Mode &amp; Sideloading\WalkAndUnGZ.bat" "%USERPROFILE%\AppData\Local\Temp\OnboardLogs"\RTDC4012\2017-05-21</v>
      </c>
      <c r="AF131" s="77" t="str">
        <f t="shared" si="39"/>
        <v>"C:\Program Files (x86)\AstroGrep\AstroGrep.exe" /e /r /s /spath="%USERPROFILE%\AppData\Local\Temp\OnboardLogs" /stypes="app*4012*20170521*" /stext=" 00:.+((SYSTEM_STATE.+slice.+state.+changed )|(ment ac)|(multiple cpu faults)|(system.+state.+changed )|(\[timeout)|(PRM\|1\|D)|(kpr)|(kdp)|(train st.+moving)|(\|lc)|(penalty))"</v>
      </c>
      <c r="AG131" s="1" t="str">
        <f t="shared" si="40"/>
        <v>EC</v>
      </c>
      <c r="AH131" s="81" t="str">
        <f t="shared" si="41"/>
        <v>"%USERPROFILE%\Documents\GitHub\eaglep3\Utilities\RefineRTDCRunTimes.py" --tripid 217-20 --locoid 4012 --swversion DE.1.0.9.0 --startMP 204:469 --initTime 2017-05-20T18:10:58 --startdatetime 2017-05-20T18:15:54 --delay 1 --endMP 204:233437 --enddatetime 2017-05-20T18:54:14 --enforcementcount 0 &gt;&gt;C:\Users\stu\Documents\GitHub\eaglep3-reporting\EC\2017-05-20-refined-times.txt</v>
      </c>
      <c r="AI131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{"issue":{"subject":"","project_id":79,"tracker_id":40,"status_id":1,"priority_id":2,"assigned_to_id":23,"start_date":"2017-05-20","description":"","custom_fields":[{"id":1,"name":"Subdivision","value":"EC"},{"id":4,"name":"Milepost","value":"23.3437"},{"id":17,"name":"Train ID","value":"217-20"},{"id":16,"name":"Locomotive ID","value":"4012"},{"id":130,"name":"Impact","value":""},{"id":150,"name":"Time of Event (Mountain Time)","value":"18:54:14"},{"id":151,"name":"Denver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43"/>
        <v>start /low /b %USERPROFILE%\Documents\GitHub\eaglep3\Utilities\DownloadLogsFromS3.py --loco 4012 --day 2017-05-20</v>
      </c>
      <c r="AN131" s="154" t="str">
        <f t="shared" si="44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00:54:14"},{"id":29,"name":"Sharepoint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798</v>
      </c>
      <c r="B132" s="7">
        <v>4011</v>
      </c>
      <c r="C132" s="21" t="s">
        <v>206</v>
      </c>
      <c r="D132" s="21" t="s">
        <v>955</v>
      </c>
      <c r="E132" s="13">
        <v>42875.793923611112</v>
      </c>
      <c r="F132" s="13">
        <v>42875.79965277778</v>
      </c>
      <c r="G132" s="7">
        <v>1</v>
      </c>
      <c r="H132" s="21" t="s">
        <v>348</v>
      </c>
      <c r="I132" s="13">
        <v>42875.825879629629</v>
      </c>
      <c r="J132" s="7">
        <v>0</v>
      </c>
      <c r="K132" s="92" t="str">
        <f t="shared" si="29"/>
        <v>4011/4012</v>
      </c>
      <c r="L132" s="21" t="str">
        <f>VLOOKUP(A132,'Trips&amp;Operators'!$C$1:$G$99999,5,FALSE)</f>
        <v>STAMBAUGH JAMES</v>
      </c>
      <c r="M132" s="6">
        <f t="shared" si="30"/>
        <v>2.622685184906004E-2</v>
      </c>
      <c r="N132" s="7">
        <f t="shared" si="49"/>
        <v>37.766666662646458</v>
      </c>
      <c r="O132" s="7"/>
      <c r="P132" s="7"/>
      <c r="Q132" s="22"/>
      <c r="R132" s="190"/>
      <c r="S132" s="196">
        <f t="shared" si="50"/>
        <v>1</v>
      </c>
      <c r="T132" s="190" t="str">
        <f t="shared" si="31"/>
        <v>Southbound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 t="shared" si="32"/>
        <v>https://d0f6bd738d7f1b3e5a7ca70fe4ff75f0.us-east-1.aws.found.io/app/kibana#/discover/Steve-Slow-Train-Analysis-(2080s-and-2083s)?_g=(refreshInterval:(display:Off,pause:!f,section:0,value:0),time:(from:'2017-05-20T18:03:15-0600',mode:absolute,to:'2017-05-20T20:49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2" s="192" t="str">
        <f t="shared" si="33"/>
        <v>N</v>
      </c>
      <c r="X132" s="192">
        <f t="shared" si="48"/>
        <v>1</v>
      </c>
      <c r="Y132" s="192">
        <f t="shared" si="34"/>
        <v>23.312999999999999</v>
      </c>
      <c r="Z132" s="192">
        <f t="shared" si="35"/>
        <v>1.38E-2</v>
      </c>
      <c r="AA132" s="192">
        <f t="shared" si="36"/>
        <v>23.299199999999999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37"/>
        <v>0218-20</v>
      </c>
      <c r="AE132" s="80" t="str">
        <f t="shared" si="38"/>
        <v>aws s3 cp s3://rtdc.mdm.uploadarchive.raw/RTDC4011/ "%USERPROFILE%\AppData\Local\Temp\OnboardLogs"\RTDC4011\2017-05-20 --exclude "*" --recursive --include "*20170520*" &amp; "%USERPROFILE%\Documents\GitHub\mrs-test-scripts\Headless Mode &amp; Sideloading\WalkAndUnGZ.bat" "%USERPROFILE%\AppData\Local\Temp\OnboardLogs"\RTDC4011\2017-05-20 &amp; aws s3 cp s3://rtdc.mdm.uploadarchive.raw/RTDC4011/ "%USERPROFILE%\AppData\Local\Temp\OnboardLogs"\RTDC4011\2017-05-21 --exclude "*" --recursive --include "*20170521*" &amp; "%USERPROFILE%\Documents\GitHub\mrs-test-scripts\Headless Mode &amp; Sideloading\WalkAndUnGZ.bat" "%USERPROFILE%\AppData\Local\Temp\OnboardLogs"\RTDC4011\2017-05-21</v>
      </c>
      <c r="AF132" s="77" t="str">
        <f t="shared" si="39"/>
        <v>"C:\Program Files (x86)\AstroGrep\AstroGrep.exe" /e /r /s /spath="%USERPROFILE%\AppData\Local\Temp\OnboardLogs" /stypes="app*4011*20170521*" /stext=" 01:.+((SYSTEM_STATE.+slice.+state.+changed )|(ment ac)|(multiple cpu faults)|(system.+state.+changed )|(\[timeout)|(PRM\|1\|D)|(kpr)|(kdp)|(train st.+moving)|(\|lc)|(penalty))"</v>
      </c>
      <c r="AG132" s="1" t="str">
        <f t="shared" si="40"/>
        <v>EC</v>
      </c>
      <c r="AH132" s="81" t="str">
        <f t="shared" si="41"/>
        <v>"%USERPROFILE%\Documents\GitHub\eaglep3\Utilities\RefineRTDCRunTimes.py" --tripid 218-20 --locoid 4011 --swversion DE.1.0.9.0 --startMP 204:233130 --initTime 2017-05-20T19:03:15 --startdatetime 2017-05-20T19:11:30 --delay 1 --endMP 204:138 --enddatetime 2017-05-20T19:49:16 --enforcementcount 0 &gt;&gt;C:\Users\stu\Documents\GitHub\eaglep3-reporting\EC\2017-05-20-refined-times.txt</v>
      </c>
      <c r="AI132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{"issue":{"subject":"","project_id":79,"tracker_id":40,"status_id":1,"priority_id":2,"assigned_to_id":23,"start_date":"2017-05-20","description":"","custom_fields":[{"id":1,"name":"Subdivision","value":"EC"},{"id":4,"name":"Milepost","value":"0.0138"},{"id":17,"name":"Train ID","value":"218-20"},{"id":16,"name":"Locomotive ID","value":"4011"},{"id":130,"name":"Impact","value":""},{"id":150,"name":"Time of Event (Mountain Time)","value":"19:49:16"},{"id":151,"name":"Denver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43"/>
        <v>start /low /b %USERPROFILE%\Documents\GitHub\eaglep3\Utilities\DownloadLogsFromS3.py --loco 4011 --day 2017-05-20</v>
      </c>
      <c r="AN132" s="154" t="str">
        <f t="shared" si="44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01:49:16"},{"id":29,"name":"Sharepoint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630</v>
      </c>
      <c r="B133" s="7">
        <v>4022</v>
      </c>
      <c r="C133" s="21" t="s">
        <v>206</v>
      </c>
      <c r="D133" s="21" t="s">
        <v>404</v>
      </c>
      <c r="E133" s="13">
        <v>42875.76939814815</v>
      </c>
      <c r="F133" s="13">
        <v>42875.771215277775</v>
      </c>
      <c r="G133" s="7">
        <v>1</v>
      </c>
      <c r="H133" s="21" t="s">
        <v>469</v>
      </c>
      <c r="I133" s="13">
        <v>42875.800243055557</v>
      </c>
      <c r="J133" s="7">
        <v>0</v>
      </c>
      <c r="K133" s="92" t="str">
        <f t="shared" si="29"/>
        <v>4021/4022</v>
      </c>
      <c r="L133" s="21" t="str">
        <f>VLOOKUP(A133,'Trips&amp;Operators'!$C$1:$G$99999,5,FALSE)</f>
        <v>SWANSON BRYCE</v>
      </c>
      <c r="M133" s="6">
        <f t="shared" si="30"/>
        <v>2.902777778217569E-2</v>
      </c>
      <c r="N133" s="7">
        <f t="shared" si="49"/>
        <v>41.800000006332994</v>
      </c>
      <c r="O133" s="7"/>
      <c r="P133" s="7"/>
      <c r="Q133" s="22"/>
      <c r="R133" s="190"/>
      <c r="S133" s="196">
        <f t="shared" si="50"/>
        <v>1</v>
      </c>
      <c r="T133" s="190" t="str">
        <f t="shared" si="31"/>
        <v>NorthBound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 t="shared" si="32"/>
        <v>https://d0f6bd738d7f1b3e5a7ca70fe4ff75f0.us-east-1.aws.found.io/app/kibana#/discover/Steve-Slow-Train-Analysis-(2080s-and-2083s)?_g=(refreshInterval:(display:Off,pause:!f,section:0,value:0),time:(from:'2017-05-20T17:27:56-0600',mode:absolute,to:'2017-05-20T20:12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3" s="192" t="str">
        <f t="shared" si="33"/>
        <v>N</v>
      </c>
      <c r="X133" s="192">
        <f t="shared" ref="X133:X153" si="51">VALUE(LEFT(AD133,4))-VALUE(LEFT(AD132,4))</f>
        <v>1</v>
      </c>
      <c r="Y133" s="192">
        <f t="shared" si="34"/>
        <v>4.6199999999999998E-2</v>
      </c>
      <c r="Z133" s="192">
        <f t="shared" si="35"/>
        <v>23.331199999999999</v>
      </c>
      <c r="AA133" s="192">
        <f t="shared" si="36"/>
        <v>23.285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37"/>
        <v>0219-20</v>
      </c>
      <c r="AE133" s="80" t="str">
        <f t="shared" si="38"/>
        <v>aws s3 cp s3://rtdc.mdm.uploadarchive.raw/RTDC4022/ "%USERPROFILE%\AppData\Local\Temp\OnboardLogs"\RTDC4022\2017-05-20 --exclude "*" --recursive --include "*20170520*" &amp; "%USERPROFILE%\Documents\GitHub\mrs-test-scripts\Headless Mode &amp; Sideloading\WalkAndUnGZ.bat" "%USERPROFILE%\AppData\Local\Temp\OnboardLogs"\RTDC4022\2017-05-20 &amp; aws s3 cp s3://rtdc.mdm.uploadarchive.raw/RTDC4022/ "%USERPROFILE%\AppData\Local\Temp\OnboardLogs"\RTDC4022\2017-05-21 --exclude "*" --recursive --include "*20170521*" &amp; "%USERPROFILE%\Documents\GitHub\mrs-test-scripts\Headless Mode &amp; Sideloading\WalkAndUnGZ.bat" "%USERPROFILE%\AppData\Local\Temp\OnboardLogs"\RTDC4022\2017-05-21</v>
      </c>
      <c r="AF133" s="77" t="str">
        <f t="shared" si="39"/>
        <v>"C:\Program Files (x86)\AstroGrep\AstroGrep.exe" /e /r /s /spath="%USERPROFILE%\AppData\Local\Temp\OnboardLogs" /stypes="app*4022*20170521*" /stext=" 01:.+((SYSTEM_STATE.+slice.+state.+changed )|(ment ac)|(multiple cpu faults)|(system.+state.+changed )|(\[timeout)|(PRM\|1\|D)|(kpr)|(kdp)|(train st.+moving)|(\|lc)|(penalty))"</v>
      </c>
      <c r="AG133" s="1" t="str">
        <f t="shared" si="40"/>
        <v>EC</v>
      </c>
      <c r="AH133" s="81" t="str">
        <f t="shared" si="41"/>
        <v>"%USERPROFILE%\Documents\GitHub\eaglep3\Utilities\RefineRTDCRunTimes.py" --tripid 219-20 --locoid 4022 --swversion DE.1.0.9.0 --startMP 204:462 --initTime 2017-05-20T18:27:56 --startdatetime 2017-05-20T18:30:33 --delay 1 --endMP 204:233312 --enddatetime 2017-05-20T19:12:21 --enforcementcount 0 &gt;&gt;C:\Users\stu\Documents\GitHub\eaglep3-reporting\EC\2017-05-20-refined-times.txt</v>
      </c>
      <c r="AI133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{"issue":{"subject":"","project_id":79,"tracker_id":40,"status_id":1,"priority_id":2,"assigned_to_id":23,"start_date":"2017-05-20","description":"","custom_fields":[{"id":1,"name":"Subdivision","value":"EC"},{"id":4,"name":"Milepost","value":"23.3312"},{"id":17,"name":"Train ID","value":"219-20"},{"id":16,"name":"Locomotive ID","value":"4022"},{"id":130,"name":"Impact","value":""},{"id":150,"name":"Time of Event (Mountain Time)","value":"19:12:21"},{"id":151,"name":"Denver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43"/>
        <v>start /low /b %USERPROFILE%\Documents\GitHub\eaglep3\Utilities\DownloadLogsFromS3.py --loco 4022 --day 2017-05-20</v>
      </c>
      <c r="AN133" s="154" t="str">
        <f t="shared" si="44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01:12:21"},{"id":29,"name":"Sharepoint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631</v>
      </c>
      <c r="B134" s="7">
        <v>4021</v>
      </c>
      <c r="C134" s="21" t="s">
        <v>206</v>
      </c>
      <c r="D134" s="21" t="s">
        <v>863</v>
      </c>
      <c r="E134" s="13">
        <v>42875.808310185188</v>
      </c>
      <c r="F134" s="13">
        <v>42875.81009259259</v>
      </c>
      <c r="G134" s="7">
        <v>1</v>
      </c>
      <c r="H134" s="21" t="s">
        <v>956</v>
      </c>
      <c r="I134" s="13">
        <v>42875.838171296295</v>
      </c>
      <c r="J134" s="7">
        <v>0</v>
      </c>
      <c r="K134" s="92" t="str">
        <f t="shared" si="29"/>
        <v>4021/4022</v>
      </c>
      <c r="L134" s="21" t="str">
        <f>VLOOKUP(A134,'Trips&amp;Operators'!$C$1:$G$99999,5,FALSE)</f>
        <v>SWANSON BRYCE</v>
      </c>
      <c r="M134" s="6">
        <f t="shared" si="30"/>
        <v>2.8078703704522923E-2</v>
      </c>
      <c r="N134" s="7">
        <f t="shared" si="49"/>
        <v>40.433333334513009</v>
      </c>
      <c r="O134" s="7"/>
      <c r="P134" s="7"/>
      <c r="Q134" s="22"/>
      <c r="R134" s="190"/>
      <c r="S134" s="196">
        <f t="shared" si="50"/>
        <v>1</v>
      </c>
      <c r="T134" s="190" t="str">
        <f t="shared" si="31"/>
        <v>Southbound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 t="shared" si="32"/>
        <v>https://d0f6bd738d7f1b3e5a7ca70fe4ff75f0.us-east-1.aws.found.io/app/kibana#/discover/Steve-Slow-Train-Analysis-(2080s-and-2083s)?_g=(refreshInterval:(display:Off,pause:!f,section:0,value:0),time:(from:'2017-05-20T18:23:58-0600',mode:absolute,to:'2017-05-20T21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4" s="192" t="str">
        <f t="shared" si="33"/>
        <v>N</v>
      </c>
      <c r="X134" s="192">
        <f t="shared" si="51"/>
        <v>1</v>
      </c>
      <c r="Y134" s="192">
        <f t="shared" si="34"/>
        <v>23.300999999999998</v>
      </c>
      <c r="Z134" s="192">
        <f t="shared" si="35"/>
        <v>1.03E-2</v>
      </c>
      <c r="AA134" s="192">
        <f t="shared" si="36"/>
        <v>23.290699999999998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37"/>
        <v>0220-20</v>
      </c>
      <c r="AE134" s="80" t="str">
        <f t="shared" si="38"/>
        <v>aws s3 cp s3://rtdc.mdm.uploadarchive.raw/RTDC4021/ "%USERPROFILE%\AppData\Local\Temp\OnboardLogs"\RTDC4021\2017-05-20 --exclude "*" --recursive --include "*20170520*" &amp; "%USERPROFILE%\Documents\GitHub\mrs-test-scripts\Headless Mode &amp; Sideloading\WalkAndUnGZ.bat" "%USERPROFILE%\AppData\Local\Temp\OnboardLogs"\RTDC4021\2017-05-20 &amp; aws s3 cp s3://rtdc.mdm.uploadarchive.raw/RTDC4021/ "%USERPROFILE%\AppData\Local\Temp\OnboardLogs"\RTDC4021\2017-05-21 --exclude "*" --recursive --include "*20170521*" &amp; "%USERPROFILE%\Documents\GitHub\mrs-test-scripts\Headless Mode &amp; Sideloading\WalkAndUnGZ.bat" "%USERPROFILE%\AppData\Local\Temp\OnboardLogs"\RTDC4021\2017-05-21</v>
      </c>
      <c r="AF134" s="77" t="str">
        <f t="shared" si="39"/>
        <v>"C:\Program Files (x86)\AstroGrep\AstroGrep.exe" /e /r /s /spath="%USERPROFILE%\AppData\Local\Temp\OnboardLogs" /stypes="app*4021*20170521*" /stext=" 02:.+((SYSTEM_STATE.+slice.+state.+changed )|(ment ac)|(multiple cpu faults)|(system.+state.+changed )|(\[timeout)|(PRM\|1\|D)|(kpr)|(kdp)|(train st.+moving)|(\|lc)|(penalty))"</v>
      </c>
      <c r="AG134" s="1" t="str">
        <f t="shared" si="40"/>
        <v>EC</v>
      </c>
      <c r="AH134" s="81" t="str">
        <f t="shared" si="41"/>
        <v>"%USERPROFILE%\Documents\GitHub\eaglep3\Utilities\RefineRTDCRunTimes.py" --tripid 220-20 --locoid 4021 --swversion DE.1.0.9.0 --startMP 204:233010 --initTime 2017-05-20T19:23:58 --startdatetime 2017-05-20T19:26:32 --delay 1 --endMP 204:103 --enddatetime 2017-05-20T20:06:58 --enforcementcount 0 &gt;&gt;C:\Users\stu\Documents\GitHub\eaglep3-reporting\EC\2017-05-20-refined-times.txt</v>
      </c>
      <c r="AI134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{"issue":{"subject":"","project_id":79,"tracker_id":40,"status_id":1,"priority_id":2,"assigned_to_id":23,"start_date":"2017-05-20","description":"","custom_fields":[{"id":1,"name":"Subdivision","value":"EC"},{"id":4,"name":"Milepost","value":"0.0103"},{"id":17,"name":"Train ID","value":"220-20"},{"id":16,"name":"Locomotive ID","value":"4021"},{"id":130,"name":"Impact","value":""},{"id":150,"name":"Time of Event (Mountain Time)","value":"20:06:58"},{"id":151,"name":"Denver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43"/>
        <v>start /low /b %USERPROFILE%\Documents\GitHub\eaglep3\Utilities\DownloadLogsFromS3.py --loco 4021 --day 2017-05-20</v>
      </c>
      <c r="AN134" s="154" t="str">
        <f t="shared" si="44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02:06:58"},{"id":29,"name":"Sharepoint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797</v>
      </c>
      <c r="B135" s="7">
        <v>4014</v>
      </c>
      <c r="C135" s="21" t="s">
        <v>206</v>
      </c>
      <c r="D135" s="21" t="s">
        <v>355</v>
      </c>
      <c r="E135" s="13">
        <v>42875.789594907408</v>
      </c>
      <c r="F135" s="13">
        <v>42875.791944444441</v>
      </c>
      <c r="G135" s="7">
        <v>2</v>
      </c>
      <c r="H135" s="21" t="s">
        <v>564</v>
      </c>
      <c r="I135" s="13">
        <v>42875.817291666666</v>
      </c>
      <c r="J135" s="7">
        <v>0</v>
      </c>
      <c r="K135" s="92" t="str">
        <f t="shared" si="29"/>
        <v>4013/4014</v>
      </c>
      <c r="L135" s="21" t="str">
        <f>VLOOKUP(A135,'Trips&amp;Operators'!$C$1:$G$99999,5,FALSE)</f>
        <v>BROWN JACOB</v>
      </c>
      <c r="M135" s="6">
        <f t="shared" si="30"/>
        <v>2.5347222224809229E-2</v>
      </c>
      <c r="N135" s="7">
        <f t="shared" si="49"/>
        <v>36.50000000372529</v>
      </c>
      <c r="O135" s="7"/>
      <c r="P135" s="7"/>
      <c r="Q135" s="22"/>
      <c r="R135" s="190"/>
      <c r="S135" s="196">
        <f t="shared" si="50"/>
        <v>1</v>
      </c>
      <c r="T135" s="190" t="str">
        <f t="shared" si="31"/>
        <v>NorthBound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 t="shared" si="32"/>
        <v>https://d0f6bd738d7f1b3e5a7ca70fe4ff75f0.us-east-1.aws.found.io/app/kibana#/discover/Steve-Slow-Train-Analysis-(2080s-and-2083s)?_g=(refreshInterval:(display:Off,pause:!f,section:0,value:0),time:(from:'2017-05-20T17:57:01-0600',mode:absolute,to:'2017-05-20T20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5" s="192" t="str">
        <f t="shared" si="33"/>
        <v>N</v>
      </c>
      <c r="X135" s="192">
        <f t="shared" si="51"/>
        <v>1</v>
      </c>
      <c r="Y135" s="192">
        <f t="shared" si="34"/>
        <v>4.58E-2</v>
      </c>
      <c r="Z135" s="192">
        <f t="shared" si="35"/>
        <v>23.335699999999999</v>
      </c>
      <c r="AA135" s="192">
        <f t="shared" si="36"/>
        <v>23.289899999999999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37"/>
        <v>0221-20</v>
      </c>
      <c r="AE135" s="80" t="str">
        <f t="shared" si="38"/>
        <v>aws s3 cp s3://rtdc.mdm.uploadarchive.raw/RTDC4014/ "%USERPROFILE%\AppData\Local\Temp\OnboardLogs"\RTDC4014\2017-05-20 --exclude "*" --recursive --include "*20170520*" &amp; "%USERPROFILE%\Documents\GitHub\mrs-test-scripts\Headless Mode &amp; Sideloading\WalkAndUnGZ.bat" "%USERPROFILE%\AppData\Local\Temp\OnboardLogs"\RTDC4014\2017-05-20 &amp; aws s3 cp s3://rtdc.mdm.uploadarchive.raw/RTDC4014/ "%USERPROFILE%\AppData\Local\Temp\OnboardLogs"\RTDC4014\2017-05-21 --exclude "*" --recursive --include "*20170521*" &amp; "%USERPROFILE%\Documents\GitHub\mrs-test-scripts\Headless Mode &amp; Sideloading\WalkAndUnGZ.bat" "%USERPROFILE%\AppData\Local\Temp\OnboardLogs"\RTDC4014\2017-05-21</v>
      </c>
      <c r="AF135" s="77" t="str">
        <f t="shared" si="39"/>
        <v>"C:\Program Files (x86)\AstroGrep\AstroGrep.exe" /e /r /s /spath="%USERPROFILE%\AppData\Local\Temp\OnboardLogs" /stypes="app*4014*20170521*" /stext=" 01:.+((SYSTEM_STATE.+slice.+state.+changed )|(ment ac)|(multiple cpu faults)|(system.+state.+changed )|(\[timeout)|(PRM\|1\|D)|(kpr)|(kdp)|(train st.+moving)|(\|lc)|(penalty))"</v>
      </c>
      <c r="AG135" s="1" t="str">
        <f t="shared" si="40"/>
        <v>EC</v>
      </c>
      <c r="AH135" s="81" t="str">
        <f t="shared" si="41"/>
        <v>"%USERPROFILE%\Documents\GitHub\eaglep3\Utilities\RefineRTDCRunTimes.py" --tripid 221-20 --locoid 4014 --swversion DE.1.0.9.0 --startMP 204:458 --initTime 2017-05-20T18:57:01 --startdatetime 2017-05-20T19:00:24 --delay 2 --endMP 204:233357 --enddatetime 2017-05-20T19:36:54 --enforcementcount 0 &gt;&gt;C:\Users\stu\Documents\GitHub\eaglep3-reporting\EC\2017-05-20-refined-times.txt</v>
      </c>
      <c r="AI135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{"issue":{"subject":"","project_id":79,"tracker_id":40,"status_id":1,"priority_id":2,"assigned_to_id":23,"start_date":"2017-05-20","description":"","custom_fields":[{"id":1,"name":"Subdivision","value":"EC"},{"id":4,"name":"Milepost","value":"23.3357"},{"id":17,"name":"Train ID","value":"221-20"},{"id":16,"name":"Locomotive ID","value":"4014"},{"id":130,"name":"Impact","value":""},{"id":150,"name":"Time of Event (Mountain Time)","value":"19:36:54"},{"id":151,"name":"Denver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43"/>
        <v>start /low /b %USERPROFILE%\Documents\GitHub\eaglep3\Utilities\DownloadLogsFromS3.py --loco 4014 --day 2017-05-20</v>
      </c>
      <c r="AN135" s="154" t="str">
        <f t="shared" si="44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01:36:54"},{"id":29,"name":"Sharepoint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633</v>
      </c>
      <c r="B136" s="7">
        <v>4013</v>
      </c>
      <c r="C136" s="21" t="s">
        <v>206</v>
      </c>
      <c r="D136" s="21" t="s">
        <v>957</v>
      </c>
      <c r="E136" s="13">
        <v>42875.8278125</v>
      </c>
      <c r="F136" s="13">
        <v>42875.83085648148</v>
      </c>
      <c r="G136" s="7">
        <v>1</v>
      </c>
      <c r="H136" s="21" t="s">
        <v>369</v>
      </c>
      <c r="I136" s="13">
        <v>42875.857905092591</v>
      </c>
      <c r="J136" s="7">
        <v>0</v>
      </c>
      <c r="K136" s="92" t="str">
        <f t="shared" si="29"/>
        <v>4013/4014</v>
      </c>
      <c r="L136" s="21" t="str">
        <f>VLOOKUP(A136,'Trips&amp;Operators'!$C$1:$G$99999,5,FALSE)</f>
        <v>BROWN JACOB</v>
      </c>
      <c r="M136" s="6">
        <f t="shared" si="30"/>
        <v>2.7048611111240461E-2</v>
      </c>
      <c r="N136" s="7">
        <f t="shared" si="49"/>
        <v>38.950000000186265</v>
      </c>
      <c r="O136" s="7"/>
      <c r="P136" s="7"/>
      <c r="Q136" s="22"/>
      <c r="R136" s="190"/>
      <c r="S136" s="196">
        <f t="shared" si="50"/>
        <v>1</v>
      </c>
      <c r="T136" s="190" t="str">
        <f t="shared" si="31"/>
        <v>Southbound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 t="shared" si="32"/>
        <v>https://d0f6bd738d7f1b3e5a7ca70fe4ff75f0.us-east-1.aws.found.io/app/kibana#/discover/Steve-Slow-Train-Analysis-(2080s-and-2083s)?_g=(refreshInterval:(display:Off,pause:!f,section:0,value:0),time:(from:'2017-05-20T18:52:03-0600',mode:absolute,to:'2017-05-20T21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6" s="192" t="str">
        <f t="shared" si="33"/>
        <v>N</v>
      </c>
      <c r="X136" s="192">
        <f t="shared" si="51"/>
        <v>1</v>
      </c>
      <c r="Y136" s="192">
        <f t="shared" si="34"/>
        <v>23.3003</v>
      </c>
      <c r="Z136" s="192">
        <f t="shared" si="35"/>
        <v>1.47E-2</v>
      </c>
      <c r="AA136" s="192">
        <f t="shared" si="36"/>
        <v>23.285599999999999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37"/>
        <v>0222-20</v>
      </c>
      <c r="AE136" s="80" t="str">
        <f t="shared" si="38"/>
        <v>aws s3 cp s3://rtdc.mdm.uploadarchive.raw/RTDC4013/ "%USERPROFILE%\AppData\Local\Temp\OnboardLogs"\RTDC4013\2017-05-20 --exclude "*" --recursive --include "*20170520*" &amp; "%USERPROFILE%\Documents\GitHub\mrs-test-scripts\Headless Mode &amp; Sideloading\WalkAndUnGZ.bat" "%USERPROFILE%\AppData\Local\Temp\OnboardLogs"\RTDC4013\2017-05-20 &amp; aws s3 cp s3://rtdc.mdm.uploadarchive.raw/RTDC4013/ "%USERPROFILE%\AppData\Local\Temp\OnboardLogs"\RTDC4013\2017-05-21 --exclude "*" --recursive --include "*20170521*" &amp; "%USERPROFILE%\Documents\GitHub\mrs-test-scripts\Headless Mode &amp; Sideloading\WalkAndUnGZ.bat" "%USERPROFILE%\AppData\Local\Temp\OnboardLogs"\RTDC4013\2017-05-21</v>
      </c>
      <c r="AF136" s="77" t="str">
        <f t="shared" si="39"/>
        <v>"C:\Program Files (x86)\AstroGrep\AstroGrep.exe" /e /r /s /spath="%USERPROFILE%\AppData\Local\Temp\OnboardLogs" /stypes="app*4013*20170521*" /stext=" 02:.+((SYSTEM_STATE.+slice.+state.+changed )|(ment ac)|(multiple cpu faults)|(system.+state.+changed )|(\[timeout)|(PRM\|1\|D)|(kpr)|(kdp)|(train st.+moving)|(\|lc)|(penalty))"</v>
      </c>
      <c r="AG136" s="1" t="str">
        <f t="shared" si="40"/>
        <v>EC</v>
      </c>
      <c r="AH136" s="81" t="str">
        <f t="shared" si="41"/>
        <v>"%USERPROFILE%\Documents\GitHub\eaglep3\Utilities\RefineRTDCRunTimes.py" --tripid 222-20 --locoid 4013 --swversion DE.1.0.9.0 --startMP 204:233003 --initTime 2017-05-20T19:52:03 --startdatetime 2017-05-20T19:56:26 --delay 1 --endMP 204:147 --enddatetime 2017-05-20T20:35:23 --enforcementcount 0 &gt;&gt;C:\Users\stu\Documents\GitHub\eaglep3-reporting\EC\2017-05-20-refined-times.txt</v>
      </c>
      <c r="AI136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{"issue":{"subject":"","project_id":79,"tracker_id":40,"status_id":1,"priority_id":2,"assigned_to_id":23,"start_date":"2017-05-20","description":"","custom_fields":[{"id":1,"name":"Subdivision","value":"EC"},{"id":4,"name":"Milepost","value":"0.0147"},{"id":17,"name":"Train ID","value":"222-20"},{"id":16,"name":"Locomotive ID","value":"4013"},{"id":130,"name":"Impact","value":""},{"id":150,"name":"Time of Event (Mountain Time)","value":"20:35:23"},{"id":151,"name":"Denver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43"/>
        <v>start /low /b %USERPROFILE%\Documents\GitHub\eaglep3\Utilities\DownloadLogsFromS3.py --loco 4013 --day 2017-05-20</v>
      </c>
      <c r="AN136" s="154" t="str">
        <f t="shared" si="44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02:35:23"},{"id":29,"name":"Sharepoint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x14ac:dyDescent="0.25">
      <c r="A137" s="32" t="s">
        <v>801</v>
      </c>
      <c r="B137" s="7">
        <v>4026</v>
      </c>
      <c r="C137" s="21" t="s">
        <v>206</v>
      </c>
      <c r="D137" s="21" t="s">
        <v>352</v>
      </c>
      <c r="E137" s="13">
        <v>42875.810902777775</v>
      </c>
      <c r="F137" s="13">
        <v>42875.812731481485</v>
      </c>
      <c r="G137" s="7">
        <v>1</v>
      </c>
      <c r="H137" s="21" t="s">
        <v>947</v>
      </c>
      <c r="I137" s="13">
        <v>42875.837569444448</v>
      </c>
      <c r="J137" s="7">
        <v>0</v>
      </c>
      <c r="K137" s="92" t="str">
        <f t="shared" si="29"/>
        <v>4025/4026</v>
      </c>
      <c r="L137" s="21" t="str">
        <f>VLOOKUP(A137,'Trips&amp;Operators'!$C$1:$G$99999,5,FALSE)</f>
        <v>SMITH MICHAEL</v>
      </c>
      <c r="M137" s="6">
        <f t="shared" si="30"/>
        <v>2.4837962962919846E-2</v>
      </c>
      <c r="N137" s="7">
        <f t="shared" si="49"/>
        <v>35.766666666604578</v>
      </c>
      <c r="O137" s="7"/>
      <c r="P137" s="7"/>
      <c r="Q137" s="22"/>
      <c r="R137" s="190"/>
      <c r="S137" s="196">
        <f t="shared" si="50"/>
        <v>1</v>
      </c>
      <c r="T137" s="190" t="str">
        <f t="shared" si="31"/>
        <v>NorthBound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 t="shared" si="32"/>
        <v>https://d0f6bd738d7f1b3e5a7ca70fe4ff75f0.us-east-1.aws.found.io/app/kibana#/discover/Steve-Slow-Train-Analysis-(2080s-and-2083s)?_g=(refreshInterval:(display:Off,pause:!f,section:0,value:0),time:(from:'2017-05-20T18:27:42-0600',mode:absolute,to:'2017-05-20T21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7" s="192" t="str">
        <f t="shared" si="33"/>
        <v>N</v>
      </c>
      <c r="X137" s="192">
        <f t="shared" si="51"/>
        <v>1</v>
      </c>
      <c r="Y137" s="192">
        <f t="shared" si="34"/>
        <v>4.4600000000000001E-2</v>
      </c>
      <c r="Z137" s="192">
        <f t="shared" si="35"/>
        <v>23.3308</v>
      </c>
      <c r="AA137" s="192">
        <f t="shared" si="36"/>
        <v>23.286200000000001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37"/>
        <v>0223-20</v>
      </c>
      <c r="AE137" s="80" t="str">
        <f t="shared" si="38"/>
        <v>aws s3 cp s3://rtdc.mdm.uploadarchive.raw/RTDC4026/ "%USERPROFILE%\AppData\Local\Temp\OnboardLogs"\RTDC4026\2017-05-20 --exclude "*" --recursive --include "*20170520*" &amp; "%USERPROFILE%\Documents\GitHub\mrs-test-scripts\Headless Mode &amp; Sideloading\WalkAndUnGZ.bat" "%USERPROFILE%\AppData\Local\Temp\OnboardLogs"\RTDC4026\2017-05-20 &amp; aws s3 cp s3://rtdc.mdm.uploadarchive.raw/RTDC4026/ "%USERPROFILE%\AppData\Local\Temp\OnboardLogs"\RTDC4026\2017-05-21 --exclude "*" --recursive --include "*20170521*" &amp; "%USERPROFILE%\Documents\GitHub\mrs-test-scripts\Headless Mode &amp; Sideloading\WalkAndUnGZ.bat" "%USERPROFILE%\AppData\Local\Temp\OnboardLogs"\RTDC4026\2017-05-21</v>
      </c>
      <c r="AF137" s="77" t="str">
        <f t="shared" si="39"/>
        <v>"C:\Program Files (x86)\AstroGrep\AstroGrep.exe" /e /r /s /spath="%USERPROFILE%\AppData\Local\Temp\OnboardLogs" /stypes="app*4026*20170521*" /stext=" 02:.+((SYSTEM_STATE.+slice.+state.+changed )|(ment ac)|(multiple cpu faults)|(system.+state.+changed )|(\[timeout)|(PRM\|1\|D)|(kpr)|(kdp)|(train st.+moving)|(\|lc)|(penalty))"</v>
      </c>
      <c r="AG137" s="1" t="str">
        <f t="shared" si="40"/>
        <v>EC</v>
      </c>
      <c r="AH137" s="81" t="str">
        <f t="shared" si="41"/>
        <v>"%USERPROFILE%\Documents\GitHub\eaglep3\Utilities\RefineRTDCRunTimes.py" --tripid 223-20 --locoid 4026 --swversion DE.1.0.9.0 --startMP 204:446 --initTime 2017-05-20T19:27:42 --startdatetime 2017-05-20T19:30:20 --delay 1 --endMP 204:233308 --enddatetime 2017-05-20T20:06:06 --enforcementcount 0 &gt;&gt;C:\Users\stu\Documents\GitHub\eaglep3-reporting\EC\2017-05-20-refined-times.txt</v>
      </c>
      <c r="AI137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{"issue":{"subject":"","project_id":79,"tracker_id":40,"status_id":1,"priority_id":2,"assigned_to_id":23,"start_date":"2017-05-20","description":"","custom_fields":[{"id":1,"name":"Subdivision","value":"EC"},{"id":4,"name":"Milepost","value":"23.3308"},{"id":17,"name":"Train ID","value":"223-20"},{"id":16,"name":"Locomotive ID","value":"4026"},{"id":130,"name":"Impact","value":""},{"id":150,"name":"Time of Event (Mountain Time)","value":"20:06:06"},{"id":151,"name":"Denver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20"/>
      <c r="AK137" s="47"/>
      <c r="AL137" s="47"/>
      <c r="AM137" s="145" t="str">
        <f t="shared" si="43"/>
        <v>start /low /b %USERPROFILE%\Documents\GitHub\eaglep3\Utilities\DownloadLogsFromS3.py --loco 4026 --day 2017-05-20</v>
      </c>
      <c r="AN137" s="154" t="str">
        <f t="shared" si="44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02:06:06"},{"id":29,"name":"Sharepoint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38" spans="1:91" s="20" customFormat="1" x14ac:dyDescent="0.25">
      <c r="A138" s="32" t="s">
        <v>805</v>
      </c>
      <c r="B138" s="7">
        <v>4025</v>
      </c>
      <c r="C138" s="21" t="s">
        <v>206</v>
      </c>
      <c r="D138" s="21" t="s">
        <v>496</v>
      </c>
      <c r="E138" s="13">
        <v>42875.843981481485</v>
      </c>
      <c r="F138" s="13">
        <v>42875.851585648146</v>
      </c>
      <c r="G138" s="7">
        <v>1</v>
      </c>
      <c r="H138" s="21" t="s">
        <v>348</v>
      </c>
      <c r="I138" s="13">
        <v>42875.879259259258</v>
      </c>
      <c r="J138" s="7">
        <v>0</v>
      </c>
      <c r="K138" s="92" t="str">
        <f t="shared" si="29"/>
        <v>4025/4026</v>
      </c>
      <c r="L138" s="21" t="str">
        <f>VLOOKUP(A138,'Trips&amp;Operators'!$C$1:$G$99999,5,FALSE)</f>
        <v>SMITH MICHAEL</v>
      </c>
      <c r="M138" s="6">
        <f t="shared" si="30"/>
        <v>2.7673611111822538E-2</v>
      </c>
      <c r="N138" s="7">
        <f t="shared" si="49"/>
        <v>39.850000001024455</v>
      </c>
      <c r="O138" s="7"/>
      <c r="P138" s="7"/>
      <c r="Q138" s="22"/>
      <c r="R138" s="190"/>
      <c r="S138" s="196">
        <f t="shared" si="50"/>
        <v>1</v>
      </c>
      <c r="T138" s="190" t="str">
        <f t="shared" si="31"/>
        <v>Southbound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 t="shared" si="32"/>
        <v>https://d0f6bd738d7f1b3e5a7ca70fe4ff75f0.us-east-1.aws.found.io/app/kibana#/discover/Steve-Slow-Train-Analysis-(2080s-and-2083s)?_g=(refreshInterval:(display:Off,pause:!f,section:0,value:0),time:(from:'2017-05-20T19:15:20-0600',mode:absolute,to:'2017-05-20T22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8" s="192" t="str">
        <f t="shared" si="33"/>
        <v>N</v>
      </c>
      <c r="X138" s="192">
        <f t="shared" si="51"/>
        <v>1</v>
      </c>
      <c r="Y138" s="192">
        <f t="shared" si="34"/>
        <v>23.2987</v>
      </c>
      <c r="Z138" s="192">
        <f t="shared" si="35"/>
        <v>1.38E-2</v>
      </c>
      <c r="AA138" s="192">
        <f t="shared" si="36"/>
        <v>23.2849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37"/>
        <v>0224-20</v>
      </c>
      <c r="AE138" s="80" t="str">
        <f t="shared" si="38"/>
        <v>aws s3 cp s3://rtdc.mdm.uploadarchive.raw/RTDC4025/ "%USERPROFILE%\AppData\Local\Temp\OnboardLogs"\RTDC4025\2017-05-20 --exclude "*" --recursive --include "*20170520*" &amp; "%USERPROFILE%\Documents\GitHub\mrs-test-scripts\Headless Mode &amp; Sideloading\WalkAndUnGZ.bat" "%USERPROFILE%\AppData\Local\Temp\OnboardLogs"\RTDC4025\2017-05-20 &amp; aws s3 cp s3://rtdc.mdm.uploadarchive.raw/RTDC4025/ "%USERPROFILE%\AppData\Local\Temp\OnboardLogs"\RTDC4025\2017-05-21 --exclude "*" --recursive --include "*20170521*" &amp; "%USERPROFILE%\Documents\GitHub\mrs-test-scripts\Headless Mode &amp; Sideloading\WalkAndUnGZ.bat" "%USERPROFILE%\AppData\Local\Temp\OnboardLogs"\RTDC4025\2017-05-21</v>
      </c>
      <c r="AF138" s="77" t="str">
        <f t="shared" si="39"/>
        <v>"C:\Program Files (x86)\AstroGrep\AstroGrep.exe" /e /r /s /spath="%USERPROFILE%\AppData\Local\Temp\OnboardLogs" /stypes="app*4025*20170521*" /stext=" 03:.+((SYSTEM_STATE.+slice.+state.+changed )|(ment ac)|(multiple cpu faults)|(system.+state.+changed )|(\[timeout)|(PRM\|1\|D)|(kpr)|(kdp)|(train st.+moving)|(\|lc)|(penalty))"</v>
      </c>
      <c r="AG138" s="1" t="str">
        <f t="shared" si="40"/>
        <v>EC</v>
      </c>
      <c r="AH138" s="81" t="str">
        <f t="shared" si="41"/>
        <v>"%USERPROFILE%\Documents\GitHub\eaglep3\Utilities\RefineRTDCRunTimes.py" --tripid 224-20 --locoid 4025 --swversion DE.1.0.9.0 --startMP 204:232987 --initTime 2017-05-20T20:15:20 --startdatetime 2017-05-20T20:26:17 --delay 1 --endMP 204:138 --enddatetime 2017-05-20T21:06:08 --enforcementcount 0 &gt;&gt;C:\Users\stu\Documents\GitHub\eaglep3-reporting\EC\2017-05-20-refined-times.txt</v>
      </c>
      <c r="AI138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{"issue":{"subject":"","project_id":79,"tracker_id":40,"status_id":1,"priority_id":2,"assigned_to_id":23,"start_date":"2017-05-20","description":"","custom_fields":[{"id":1,"name":"Subdivision","value":"EC"},{"id":4,"name":"Milepost","value":"0.0138"},{"id":17,"name":"Train ID","value":"224-20"},{"id":16,"name":"Locomotive ID","value":"4025"},{"id":130,"name":"Impact","value":""},{"id":150,"name":"Time of Event (Mountain Time)","value":"21:06:08"},{"id":151,"name":"Denver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43"/>
        <v>start /low /b %USERPROFILE%\Documents\GitHub\eaglep3\Utilities\DownloadLogsFromS3.py --loco 4025 --day 2017-05-20</v>
      </c>
      <c r="AN138" s="154" t="str">
        <f t="shared" si="44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03:06:08"},{"id":29,"name":"Sharepoint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804</v>
      </c>
      <c r="B139" s="7">
        <v>4012</v>
      </c>
      <c r="C139" s="21" t="s">
        <v>206</v>
      </c>
      <c r="D139" s="21" t="s">
        <v>958</v>
      </c>
      <c r="E139" s="13">
        <v>42875.827106481483</v>
      </c>
      <c r="F139" s="13">
        <v>42875.833634259259</v>
      </c>
      <c r="G139" s="7">
        <v>1</v>
      </c>
      <c r="H139" s="21" t="s">
        <v>959</v>
      </c>
      <c r="I139" s="13">
        <v>42875.858113425929</v>
      </c>
      <c r="J139" s="7">
        <v>0</v>
      </c>
      <c r="K139" s="92" t="str">
        <f t="shared" si="29"/>
        <v>4011/4012</v>
      </c>
      <c r="L139" s="21" t="str">
        <f>VLOOKUP(A139,'Trips&amp;Operators'!$C$1:$G$99999,5,FALSE)</f>
        <v>STAMBAUGH JAMES</v>
      </c>
      <c r="M139" s="6">
        <f t="shared" si="30"/>
        <v>2.4479166670062114E-2</v>
      </c>
      <c r="N139" s="7">
        <f t="shared" si="49"/>
        <v>35.250000004889444</v>
      </c>
      <c r="O139" s="7"/>
      <c r="P139" s="7"/>
      <c r="Q139" s="22"/>
      <c r="R139" s="190"/>
      <c r="S139" s="196">
        <f t="shared" si="50"/>
        <v>1</v>
      </c>
      <c r="T139" s="190" t="str">
        <f t="shared" si="31"/>
        <v>NorthBound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 t="shared" si="32"/>
        <v>https://d0f6bd738d7f1b3e5a7ca70fe4ff75f0.us-east-1.aws.found.io/app/kibana#/discover/Steve-Slow-Train-Analysis-(2080s-and-2083s)?_g=(refreshInterval:(display:Off,pause:!f,section:0,value:0),time:(from:'2017-05-20T18:51:02-0600',mode:absolute,to:'2017-05-20T21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9" s="192" t="str">
        <f t="shared" si="33"/>
        <v>N</v>
      </c>
      <c r="X139" s="192">
        <f t="shared" si="51"/>
        <v>1</v>
      </c>
      <c r="Y139" s="192">
        <f t="shared" si="34"/>
        <v>4.3299999999999998E-2</v>
      </c>
      <c r="Z139" s="192">
        <f t="shared" si="35"/>
        <v>23.345600000000001</v>
      </c>
      <c r="AA139" s="192">
        <f t="shared" si="36"/>
        <v>23.302300000000002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37"/>
        <v>0225-20</v>
      </c>
      <c r="AE139" s="80" t="str">
        <f t="shared" si="38"/>
        <v>aws s3 cp s3://rtdc.mdm.uploadarchive.raw/RTDC4012/ "%USERPROFILE%\AppData\Local\Temp\OnboardLogs"\RTDC4012\2017-05-20 --exclude "*" --recursive --include "*20170520*" &amp; "%USERPROFILE%\Documents\GitHub\mrs-test-scripts\Headless Mode &amp; Sideloading\WalkAndUnGZ.bat" "%USERPROFILE%\AppData\Local\Temp\OnboardLogs"\RTDC4012\2017-05-20 &amp; aws s3 cp s3://rtdc.mdm.uploadarchive.raw/RTDC4012/ "%USERPROFILE%\AppData\Local\Temp\OnboardLogs"\RTDC4012\2017-05-21 --exclude "*" --recursive --include "*20170521*" &amp; "%USERPROFILE%\Documents\GitHub\mrs-test-scripts\Headless Mode &amp; Sideloading\WalkAndUnGZ.bat" "%USERPROFILE%\AppData\Local\Temp\OnboardLogs"\RTDC4012\2017-05-21</v>
      </c>
      <c r="AF139" s="77" t="str">
        <f t="shared" si="39"/>
        <v>"C:\Program Files (x86)\AstroGrep\AstroGrep.exe" /e /r /s /spath="%USERPROFILE%\AppData\Local\Temp\OnboardLogs" /stypes="app*4012*20170521*" /stext=" 02:.+((SYSTEM_STATE.+slice.+state.+changed )|(ment ac)|(multiple cpu faults)|(system.+state.+changed )|(\[timeout)|(PRM\|1\|D)|(kpr)|(kdp)|(train st.+moving)|(\|lc)|(penalty))"</v>
      </c>
      <c r="AG139" s="1" t="str">
        <f t="shared" si="40"/>
        <v>EC</v>
      </c>
      <c r="AH139" s="81" t="str">
        <f t="shared" si="41"/>
        <v>"%USERPROFILE%\Documents\GitHub\eaglep3\Utilities\RefineRTDCRunTimes.py" --tripid 225-20 --locoid 4012 --swversion DE.1.0.9.0 --startMP 204:433 --initTime 2017-05-20T19:51:02 --startdatetime 2017-05-20T20:00:26 --delay 1 --endMP 204:233456 --enddatetime 2017-05-20T20:35:41 --enforcementcount 0 &gt;&gt;C:\Users\stu\Documents\GitHub\eaglep3-reporting\EC\2017-05-20-refined-times.txt</v>
      </c>
      <c r="AI139" s="99" t="str">
        <f t="shared" si="42"/>
        <v>echo {"issue":{"subject":"","project_id":79,"tracker_id":40,"status_id":1,"priority_id":2,"assigned_to_id":23,"start_date":"2017-05-20","description":"","custom_fields":[{"id":1,"name":"Subdivision","value":"EC"},{"id":4,"name":"Milepost","value":"23.3456"},{"id":17,"name":"Train ID","value":"225-20"},{"id":16,"name":"Locomotive ID","value":"4012"},{"id":130,"name":"Impact","value":""},{"id":150,"name":"Time of Event (Mountain Time)","value":"20:35:41"},{"id":151,"name":"Denver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43"/>
        <v>start /low /b %USERPROFILE%\Documents\GitHub\eaglep3\Utilities\DownloadLogsFromS3.py --loco 4012 --day 2017-05-20</v>
      </c>
      <c r="AN139" s="154" t="str">
        <f t="shared" si="44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02:35:41"},{"id":29,"name":"Sharepoint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635</v>
      </c>
      <c r="B140" s="7">
        <v>4011</v>
      </c>
      <c r="C140" s="21" t="s">
        <v>206</v>
      </c>
      <c r="D140" s="21" t="s">
        <v>960</v>
      </c>
      <c r="E140" s="13">
        <v>42875.867210648146</v>
      </c>
      <c r="F140" s="13">
        <v>42875.872604166667</v>
      </c>
      <c r="G140" s="7">
        <v>1</v>
      </c>
      <c r="H140" s="21">
        <v>8.5361111111111114</v>
      </c>
      <c r="I140" s="13">
        <v>42875.899317129632</v>
      </c>
      <c r="J140" s="7">
        <v>0</v>
      </c>
      <c r="K140" s="92" t="str">
        <f t="shared" si="29"/>
        <v>4011/4012</v>
      </c>
      <c r="L140" s="21" t="str">
        <f>VLOOKUP(A140,'Trips&amp;Operators'!$C$1:$G$99999,5,FALSE)</f>
        <v>STAMBAUGH JAMES</v>
      </c>
      <c r="M140" s="6">
        <f t="shared" si="30"/>
        <v>2.6712962964666076E-2</v>
      </c>
      <c r="N140" s="7">
        <f t="shared" si="49"/>
        <v>38.466666669119149</v>
      </c>
      <c r="O140" s="7"/>
      <c r="P140" s="7"/>
      <c r="Q140" s="22"/>
      <c r="R140" s="190"/>
      <c r="S140" s="196">
        <f t="shared" si="50"/>
        <v>0</v>
      </c>
      <c r="T140" s="190" t="str">
        <f t="shared" si="31"/>
        <v>Southbound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0</v>
      </c>
      <c r="V140" s="191" t="str">
        <f t="shared" si="32"/>
        <v>https://d0f6bd738d7f1b3e5a7ca70fe4ff75f0.us-east-1.aws.found.io/app/kibana#/discover/Steve-Slow-Train-Analysis-(2080s-and-2083s)?_g=(refreshInterval:(display:Off,pause:!f,section:0,value:0),time:(from:'2017-05-20T19:48:47-0600',mode:absolute,to:'2017-05-20T22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0" s="192" t="str">
        <f t="shared" si="33"/>
        <v>N</v>
      </c>
      <c r="X140" s="192">
        <f t="shared" si="51"/>
        <v>1</v>
      </c>
      <c r="Y140" s="192">
        <f t="shared" si="34"/>
        <v>23.312200000000001</v>
      </c>
      <c r="Z140" s="192">
        <f t="shared" si="35"/>
        <v>61111111.111100003</v>
      </c>
      <c r="AA140" s="192">
        <f t="shared" si="36"/>
        <v>61111087.798900001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37"/>
        <v>0226-20</v>
      </c>
      <c r="AE140" s="80" t="str">
        <f t="shared" si="38"/>
        <v>aws s3 cp s3://rtdc.mdm.uploadarchive.raw/RTDC4011/ "%USERPROFILE%\AppData\Local\Temp\OnboardLogs"\RTDC4011\2017-05-20 --exclude "*" --recursive --include "*20170520*" &amp; "%USERPROFILE%\Documents\GitHub\mrs-test-scripts\Headless Mode &amp; Sideloading\WalkAndUnGZ.bat" "%USERPROFILE%\AppData\Local\Temp\OnboardLogs"\RTDC4011\2017-05-20 &amp; aws s3 cp s3://rtdc.mdm.uploadarchive.raw/RTDC4011/ "%USERPROFILE%\AppData\Local\Temp\OnboardLogs"\RTDC4011\2017-05-21 --exclude "*" --recursive --include "*20170521*" &amp; "%USERPROFILE%\Documents\GitHub\mrs-test-scripts\Headless Mode &amp; Sideloading\WalkAndUnGZ.bat" "%USERPROFILE%\AppData\Local\Temp\OnboardLogs"\RTDC4011\2017-05-21</v>
      </c>
      <c r="AF140" s="77" t="str">
        <f t="shared" si="39"/>
        <v>"C:\Program Files (x86)\AstroGrep\AstroGrep.exe" /e /r /s /spath="%USERPROFILE%\AppData\Local\Temp\OnboardLogs" /stypes="app*4011*20170521*" /stext=" 03:.+((SYSTEM_STATE.+slice.+state.+changed )|(ment ac)|(multiple cpu faults)|(system.+state.+changed )|(\[timeout)|(PRM\|1\|D)|(kpr)|(kdp)|(train st.+moving)|(\|lc)|(penalty))"</v>
      </c>
      <c r="AG140" s="1" t="str">
        <f t="shared" si="40"/>
        <v>EC</v>
      </c>
      <c r="AH140" s="81" t="str">
        <f t="shared" ref="AH140:AH200" si="52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226-20 --locoid 4011 --swversion DE.1.0.9.0 --startMP 204:233122 --initTime 2017-05-20T20:48:47 --startdatetime 2017-05-20T20:56:33 --delay 1 --endMP 8.53611111111111 --enddatetime 2017-05-20T21:35:01 --enforcementcount 0 &gt;&gt;C:\Users\stu\Documents\GitHub\eaglep3-reporting\EC\2017-05-20-refined-times.txt</v>
      </c>
      <c r="AI140" s="99" t="str">
        <f t="shared" ref="AI140:AI200" si="53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-20","description":"","custom_fields":[{"id":1,"name":"Subdivision","value":"EC"},{"id":4,"name":"Milepost","value":"61111111.1111"},{"id":17,"name":"Train ID","value":"226-20"},{"id":16,"name":"Locomotive ID","value":"4011"},{"id":130,"name":"Impact","value":""},{"id":150,"name":"Time of Event (Mountain Time)","value":"21:35:01"},{"id":151,"name":"Denver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ref="AM140:AM200" si="54">"start /low /b "&amp;dls3logs&amp;" --loco "&amp;B140&amp;" --day "&amp;TEXT(F140,"YYYY-MM-DD")</f>
        <v>start /low /b %USERPROFILE%\Documents\GitHub\eaglep3\Utilities\DownloadLogsFromS3.py --loco 4011 --day 2017-05-20</v>
      </c>
      <c r="AN140" s="154" t="str">
        <f t="shared" ref="AN140:AN200" si="55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03:35:01"},{"id":29,"name":"Sharepoint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636</v>
      </c>
      <c r="B141" s="7">
        <v>4022</v>
      </c>
      <c r="C141" s="21" t="s">
        <v>206</v>
      </c>
      <c r="D141" s="21" t="s">
        <v>856</v>
      </c>
      <c r="E141" s="13">
        <v>42875.85083333333</v>
      </c>
      <c r="F141" s="13">
        <v>42875.85434027778</v>
      </c>
      <c r="G141" s="7">
        <v>1</v>
      </c>
      <c r="H141" s="21" t="s">
        <v>961</v>
      </c>
      <c r="I141" s="13">
        <v>42875.880347222221</v>
      </c>
      <c r="J141" s="7">
        <v>0</v>
      </c>
      <c r="K141" s="92" t="str">
        <f t="shared" ref="K141:K204" si="56">IF(ISEVEN(B141),(B141-1)&amp;"/"&amp;B141,B141&amp;"/"&amp;(B141+1))</f>
        <v>4021/4022</v>
      </c>
      <c r="L141" s="21" t="str">
        <f>VLOOKUP(A141,'Trips&amp;Operators'!$C$1:$G$99999,5,FALSE)</f>
        <v>SWANSON BRYCE</v>
      </c>
      <c r="M141" s="6">
        <f t="shared" ref="M141:M204" si="57">I141-F141</f>
        <v>2.6006944441178348E-2</v>
      </c>
      <c r="N141" s="7">
        <f t="shared" si="49"/>
        <v>37.449999995296821</v>
      </c>
      <c r="O141" s="7"/>
      <c r="P141" s="7"/>
      <c r="Q141" s="22"/>
      <c r="R141" s="190"/>
      <c r="S141" s="196">
        <f t="shared" si="50"/>
        <v>1</v>
      </c>
      <c r="T141" s="190" t="str">
        <f t="shared" ref="T141:T204" si="58">IF(ISEVEN(LEFT(AD141,4)),"Southbound","NorthBound")</f>
        <v>NorthBound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 t="shared" ref="V141:V204" si="5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-05-20T19:25:12-0600',mode:absolute,to:'2017-05-20T22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1" s="192" t="str">
        <f t="shared" ref="W141:W204" si="60">IF(AA141&lt;IF(AG141="EC",23,5.65),"Y","N")</f>
        <v>N</v>
      </c>
      <c r="X141" s="192">
        <f t="shared" si="51"/>
        <v>1</v>
      </c>
      <c r="Y141" s="192">
        <f t="shared" ref="Y141:Y204" si="61">RIGHT(D141,LEN(D141)-4)/10000</f>
        <v>4.6699999999999998E-2</v>
      </c>
      <c r="Z141" s="192">
        <f t="shared" ref="Z141:Z204" si="62">RIGHT(H141,LEN(H141)-4)/10000</f>
        <v>23.341200000000001</v>
      </c>
      <c r="AA141" s="192">
        <f t="shared" ref="AA141:AA204" si="63">ABS(Z141-Y141)</f>
        <v>23.294499999999999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ref="AD141:AD204" si="64">IF(LEN(A141)=6,"0"&amp;A141,A141)</f>
        <v>0227-20</v>
      </c>
      <c r="AE141" s="80" t="str">
        <f t="shared" ref="AE141:AE204" si="6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s3://rtdc.mdm.uploadarchive.raw/RTDC4022/ "%USERPROFILE%\AppData\Local\Temp\OnboardLogs"\RTDC4022\2017-05-20 --exclude "*" --recursive --include "*20170520*" &amp; "%USERPROFILE%\Documents\GitHub\mrs-test-scripts\Headless Mode &amp; Sideloading\WalkAndUnGZ.bat" "%USERPROFILE%\AppData\Local\Temp\OnboardLogs"\RTDC4022\2017-05-20 &amp; aws s3 cp s3://rtdc.mdm.uploadarchive.raw/RTDC4022/ "%USERPROFILE%\AppData\Local\Temp\OnboardLogs"\RTDC4022\2017-05-21 --exclude "*" --recursive --include "*20170521*" &amp; "%USERPROFILE%\Documents\GitHub\mrs-test-scripts\Headless Mode &amp; Sideloading\WalkAndUnGZ.bat" "%USERPROFILE%\AppData\Local\Temp\OnboardLogs"\RTDC4022\2017-05-21</v>
      </c>
      <c r="AF141" s="77" t="str">
        <f t="shared" ref="AF141:AF204" si="66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/stypes="app*4022*20170521*" /stext=" 03:.+((SYSTEM_STATE.+slice.+state.+changed )|(ment ac)|(multiple cpu faults)|(system.+state.+changed )|(\[timeout)|(PRM\|1\|D)|(kpr)|(kdp)|(train st.+moving)|(\|lc)|(penalty))"</v>
      </c>
      <c r="AG141" s="1" t="str">
        <f t="shared" ref="AG141:AG204" si="67">IFERROR(IF(VALUE(LEFT(AD141,2))&lt;=2,"EC",IF(OR(VALUE(LEFT(AD141,2))=8,VALUE(LEFT(AD141,2))=18),"NW","Other")),"Other")</f>
        <v>EC</v>
      </c>
      <c r="AH141" s="81" t="str">
        <f t="shared" si="52"/>
        <v>"%USERPROFILE%\Documents\GitHub\eaglep3\Utilities\RefineRTDCRunTimes.py" --tripid 227-20 --locoid 4022 --swversion DE.1.0.9.0 --startMP 204:467 --initTime 2017-05-20T20:25:12 --startdatetime 2017-05-20T20:30:15 --delay 1 --endMP 204:233412 --enddatetime 2017-05-20T21:07:42 --enforcementcount 0 &gt;&gt;C:\Users\stu\Documents\GitHub\eaglep3-reporting\EC\2017-05-20-refined-times.txt</v>
      </c>
      <c r="AI141" s="99" t="str">
        <f t="shared" si="53"/>
        <v>echo {"issue":{"subject":"","project_id":79,"tracker_id":40,"status_id":1,"priority_id":2,"assigned_to_id":23,"start_date":"2017-05-20","description":"","custom_fields":[{"id":1,"name":"Subdivision","value":"EC"},{"id":4,"name":"Milepost","value":"23.3412"},{"id":17,"name":"Train ID","value":"227-20"},{"id":16,"name":"Locomotive ID","value":"4022"},{"id":130,"name":"Impact","value":""},{"id":150,"name":"Time of Event (Mountain Time)","value":"21:07:42"},{"id":151,"name":"Denver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54"/>
        <v>start /low /b %USERPROFILE%\Documents\GitHub\eaglep3\Utilities\DownloadLogsFromS3.py --loco 4022 --day 2017-05-20</v>
      </c>
      <c r="AN141" s="154" t="str">
        <f t="shared" si="5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03:07:42"},{"id":29,"name":"Sharepoint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809</v>
      </c>
      <c r="B142" s="7">
        <v>4021</v>
      </c>
      <c r="C142" s="21" t="s">
        <v>206</v>
      </c>
      <c r="D142" s="21" t="s">
        <v>962</v>
      </c>
      <c r="E142" s="13">
        <v>42875.889780092592</v>
      </c>
      <c r="F142" s="13">
        <v>42875.893506944441</v>
      </c>
      <c r="G142" s="7">
        <v>1</v>
      </c>
      <c r="H142" s="21" t="s">
        <v>963</v>
      </c>
      <c r="I142" s="13">
        <v>42875.921481481484</v>
      </c>
      <c r="J142" s="7">
        <v>0</v>
      </c>
      <c r="K142" s="92" t="str">
        <f t="shared" si="56"/>
        <v>4021/4022</v>
      </c>
      <c r="L142" s="21" t="str">
        <f>VLOOKUP(A142,'Trips&amp;Operators'!$C$1:$G$99999,5,FALSE)</f>
        <v>SWANSON BRYCE</v>
      </c>
      <c r="M142" s="6">
        <f t="shared" si="57"/>
        <v>2.7974537042609882E-2</v>
      </c>
      <c r="N142" s="7">
        <f t="shared" si="49"/>
        <v>40.28333334135823</v>
      </c>
      <c r="O142" s="7"/>
      <c r="P142" s="7"/>
      <c r="Q142" s="22"/>
      <c r="R142" s="190"/>
      <c r="S142" s="196">
        <f t="shared" si="50"/>
        <v>1</v>
      </c>
      <c r="T142" s="190" t="str">
        <f t="shared" si="58"/>
        <v>Southbound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 t="shared" si="59"/>
        <v>https://d0f6bd738d7f1b3e5a7ca70fe4ff75f0.us-east-1.aws.found.io/app/kibana#/discover/Steve-Slow-Train-Analysis-(2080s-and-2083s)?_g=(refreshInterval:(display:Off,pause:!f,section:0,value:0),time:(from:'2017-05-20T20:21:17-0600',mode:absolute,to:'2017-05-20T23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2" s="192" t="str">
        <f t="shared" si="60"/>
        <v>N</v>
      </c>
      <c r="X142" s="192">
        <f t="shared" si="51"/>
        <v>1</v>
      </c>
      <c r="Y142" s="192">
        <f t="shared" si="61"/>
        <v>23.314900000000002</v>
      </c>
      <c r="Z142" s="192">
        <f t="shared" si="62"/>
        <v>9.9000000000000008E-3</v>
      </c>
      <c r="AA142" s="192">
        <f t="shared" si="63"/>
        <v>23.305000000000003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64"/>
        <v>0228-20</v>
      </c>
      <c r="AE142" s="80" t="str">
        <f t="shared" si="65"/>
        <v>aws s3 cp s3://rtdc.mdm.uploadarchive.raw/RTDC4021/ "%USERPROFILE%\AppData\Local\Temp\OnboardLogs"\RTDC4021\2017-05-20 --exclude "*" --recursive --include "*20170520*" &amp; "%USERPROFILE%\Documents\GitHub\mrs-test-scripts\Headless Mode &amp; Sideloading\WalkAndUnGZ.bat" "%USERPROFILE%\AppData\Local\Temp\OnboardLogs"\RTDC4021\2017-05-20 &amp; aws s3 cp s3://rtdc.mdm.uploadarchive.raw/RTDC4021/ "%USERPROFILE%\AppData\Local\Temp\OnboardLogs"\RTDC4021\2017-05-21 --exclude "*" --recursive --include "*20170521*" &amp; "%USERPROFILE%\Documents\GitHub\mrs-test-scripts\Headless Mode &amp; Sideloading\WalkAndUnGZ.bat" "%USERPROFILE%\AppData\Local\Temp\OnboardLogs"\RTDC4021\2017-05-21</v>
      </c>
      <c r="AF142" s="77" t="str">
        <f t="shared" si="66"/>
        <v>"C:\Program Files (x86)\AstroGrep\AstroGrep.exe" /e /r /s /spath="%USERPROFILE%\AppData\Local\Temp\OnboardLogs" /stypes="app*4021*20170521*" /stext=" 04:.+((SYSTEM_STATE.+slice.+state.+changed )|(ment ac)|(multiple cpu faults)|(system.+state.+changed )|(\[timeout)|(PRM\|1\|D)|(kpr)|(kdp)|(train st.+moving)|(\|lc)|(penalty))"</v>
      </c>
      <c r="AG142" s="1" t="str">
        <f t="shared" si="67"/>
        <v>EC</v>
      </c>
      <c r="AH142" s="81" t="str">
        <f t="shared" si="52"/>
        <v>"%USERPROFILE%\Documents\GitHub\eaglep3\Utilities\RefineRTDCRunTimes.py" --tripid 228-20 --locoid 4021 --swversion DE.1.0.9.0 --startMP 204:233149 --initTime 2017-05-20T21:21:17 --startdatetime 2017-05-20T21:26:39 --delay 1 --endMP 204:99 --enddatetime 2017-05-20T22:06:56 --enforcementcount 0 &gt;&gt;C:\Users\stu\Documents\GitHub\eaglep3-reporting\EC\2017-05-20-refined-times.txt</v>
      </c>
      <c r="AI142" s="99" t="str">
        <f t="shared" si="53"/>
        <v>echo {"issue":{"subject":"","project_id":79,"tracker_id":40,"status_id":1,"priority_id":2,"assigned_to_id":23,"start_date":"2017-05-20","description":"","custom_fields":[{"id":1,"name":"Subdivision","value":"EC"},{"id":4,"name":"Milepost","value":"0.0099"},{"id":17,"name":"Train ID","value":"228-20"},{"id":16,"name":"Locomotive ID","value":"4021"},{"id":130,"name":"Impact","value":""},{"id":150,"name":"Time of Event (Mountain Time)","value":"22:06:56"},{"id":151,"name":"Denver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54"/>
        <v>start /low /b %USERPROFILE%\Documents\GitHub\eaglep3\Utilities\DownloadLogsFromS3.py --loco 4021 --day 2017-05-20</v>
      </c>
      <c r="AN142" s="154" t="str">
        <f t="shared" si="5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04:06:56"},{"id":29,"name":"Sharepoint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637</v>
      </c>
      <c r="B143" s="7">
        <v>4014</v>
      </c>
      <c r="C143" s="21" t="s">
        <v>206</v>
      </c>
      <c r="D143" s="21" t="s">
        <v>364</v>
      </c>
      <c r="E143" s="13">
        <v>42875.871736111112</v>
      </c>
      <c r="F143" s="13">
        <v>42875.875347222223</v>
      </c>
      <c r="G143" s="7">
        <v>1</v>
      </c>
      <c r="H143" s="21" t="s">
        <v>964</v>
      </c>
      <c r="I143" s="13">
        <v>42875.901307870372</v>
      </c>
      <c r="J143" s="7">
        <v>0</v>
      </c>
      <c r="K143" s="92" t="str">
        <f t="shared" si="56"/>
        <v>4013/4014</v>
      </c>
      <c r="L143" s="21" t="str">
        <f>VLOOKUP(A143,'Trips&amp;Operators'!$C$1:$G$99999,5,FALSE)</f>
        <v>BROWN JACOB</v>
      </c>
      <c r="M143" s="6">
        <f t="shared" si="57"/>
        <v>2.5960648148611654E-2</v>
      </c>
      <c r="N143" s="7">
        <f t="shared" si="49"/>
        <v>37.383333334000781</v>
      </c>
      <c r="O143" s="7"/>
      <c r="P143" s="7"/>
      <c r="Q143" s="22"/>
      <c r="R143" s="190"/>
      <c r="S143" s="196">
        <f t="shared" si="50"/>
        <v>1</v>
      </c>
      <c r="T143" s="190" t="str">
        <f t="shared" si="58"/>
        <v>NorthBound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 t="shared" si="59"/>
        <v>https://d0f6bd738d7f1b3e5a7ca70fe4ff75f0.us-east-1.aws.found.io/app/kibana#/discover/Steve-Slow-Train-Analysis-(2080s-and-2083s)?_g=(refreshInterval:(display:Off,pause:!f,section:0,value:0),time:(from:'2017-05-20T19:55:18-0600',mode:absolute,to:'2017-05-20T22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3" s="192" t="str">
        <f t="shared" si="60"/>
        <v>N</v>
      </c>
      <c r="X143" s="192">
        <f t="shared" si="51"/>
        <v>1</v>
      </c>
      <c r="Y143" s="192">
        <f t="shared" si="61"/>
        <v>4.53E-2</v>
      </c>
      <c r="Z143" s="192">
        <f t="shared" si="62"/>
        <v>23.333600000000001</v>
      </c>
      <c r="AA143" s="192">
        <f t="shared" si="63"/>
        <v>23.2883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64"/>
        <v>0229-20</v>
      </c>
      <c r="AE143" s="80" t="str">
        <f t="shared" si="65"/>
        <v>aws s3 cp s3://rtdc.mdm.uploadarchive.raw/RTDC4014/ "%USERPROFILE%\AppData\Local\Temp\OnboardLogs"\RTDC4014\2017-05-20 --exclude "*" --recursive --include "*20170520*" &amp; "%USERPROFILE%\Documents\GitHub\mrs-test-scripts\Headless Mode &amp; Sideloading\WalkAndUnGZ.bat" "%USERPROFILE%\AppData\Local\Temp\OnboardLogs"\RTDC4014\2017-05-20 &amp; aws s3 cp s3://rtdc.mdm.uploadarchive.raw/RTDC4014/ "%USERPROFILE%\AppData\Local\Temp\OnboardLogs"\RTDC4014\2017-05-21 --exclude "*" --recursive --include "*20170521*" &amp; "%USERPROFILE%\Documents\GitHub\mrs-test-scripts\Headless Mode &amp; Sideloading\WalkAndUnGZ.bat" "%USERPROFILE%\AppData\Local\Temp\OnboardLogs"\RTDC4014\2017-05-21</v>
      </c>
      <c r="AF143" s="77" t="str">
        <f t="shared" si="66"/>
        <v>"C:\Program Files (x86)\AstroGrep\AstroGrep.exe" /e /r /s /spath="%USERPROFILE%\AppData\Local\Temp\OnboardLogs" /stypes="app*4014*20170521*" /stext=" 03:.+((SYSTEM_STATE.+slice.+state.+changed )|(ment ac)|(multiple cpu faults)|(system.+state.+changed )|(\[timeout)|(PRM\|1\|D)|(kpr)|(kdp)|(train st.+moving)|(\|lc)|(penalty))"</v>
      </c>
      <c r="AG143" s="1" t="str">
        <f t="shared" si="67"/>
        <v>EC</v>
      </c>
      <c r="AH143" s="81" t="str">
        <f t="shared" si="52"/>
        <v>"%USERPROFILE%\Documents\GitHub\eaglep3\Utilities\RefineRTDCRunTimes.py" --tripid 229-20 --locoid 4014 --swversion DE.1.0.9.0 --startMP 204:453 --initTime 2017-05-20T20:55:18 --startdatetime 2017-05-20T21:00:30 --delay 1 --endMP 204:233336 --enddatetime 2017-05-20T21:37:53 --enforcementcount 0 &gt;&gt;C:\Users\stu\Documents\GitHub\eaglep3-reporting\EC\2017-05-20-refined-times.txt</v>
      </c>
      <c r="AI143" s="99" t="str">
        <f t="shared" si="53"/>
        <v>echo {"issue":{"subject":"","project_id":79,"tracker_id":40,"status_id":1,"priority_id":2,"assigned_to_id":23,"start_date":"2017-05-20","description":"","custom_fields":[{"id":1,"name":"Subdivision","value":"EC"},{"id":4,"name":"Milepost","value":"23.3336"},{"id":17,"name":"Train ID","value":"229-20"},{"id":16,"name":"Locomotive ID","value":"4014"},{"id":130,"name":"Impact","value":""},{"id":150,"name":"Time of Event (Mountain Time)","value":"21:37:53"},{"id":151,"name":"Denver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54"/>
        <v>start /low /b %USERPROFILE%\Documents\GitHub\eaglep3\Utilities\DownloadLogsFromS3.py --loco 4014 --day 2017-05-20</v>
      </c>
      <c r="AN143" s="154" t="str">
        <f t="shared" si="5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03:37:53"},{"id":29,"name":"Sharepoint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x14ac:dyDescent="0.25">
      <c r="A144" s="32" t="s">
        <v>811</v>
      </c>
      <c r="B144" s="7">
        <v>4013</v>
      </c>
      <c r="C144" s="21" t="s">
        <v>206</v>
      </c>
      <c r="D144" s="21" t="s">
        <v>500</v>
      </c>
      <c r="E144" s="13">
        <v>42875.912824074076</v>
      </c>
      <c r="F144" s="13">
        <v>42875.914270833331</v>
      </c>
      <c r="G144" s="7">
        <v>1</v>
      </c>
      <c r="H144" s="21" t="s">
        <v>197</v>
      </c>
      <c r="I144" s="13">
        <v>42875.941817129627</v>
      </c>
      <c r="J144" s="7">
        <v>0</v>
      </c>
      <c r="K144" s="92" t="str">
        <f t="shared" si="56"/>
        <v>4013/4014</v>
      </c>
      <c r="L144" s="21" t="str">
        <f>VLOOKUP(A144,'Trips&amp;Operators'!$C$1:$G$99999,5,FALSE)</f>
        <v>BROWN JACOB</v>
      </c>
      <c r="M144" s="6">
        <f t="shared" si="57"/>
        <v>2.7546296296350192E-2</v>
      </c>
      <c r="N144" s="7">
        <f t="shared" si="49"/>
        <v>39.666666666744277</v>
      </c>
      <c r="O144" s="7"/>
      <c r="P144" s="7"/>
      <c r="Q144" s="22"/>
      <c r="R144" s="190"/>
      <c r="S144" s="196">
        <f t="shared" si="50"/>
        <v>1</v>
      </c>
      <c r="T144" s="190" t="str">
        <f t="shared" si="58"/>
        <v>Southbound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 t="shared" si="59"/>
        <v>https://d0f6bd738d7f1b3e5a7ca70fe4ff75f0.us-east-1.aws.found.io/app/kibana#/discover/Steve-Slow-Train-Analysis-(2080s-and-2083s)?_g=(refreshInterval:(display:Off,pause:!f,section:0,value:0),time:(from:'2017-05-20T20:54:28-0600',mode:absolute,to:'2017-05-20T23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4" s="192" t="str">
        <f t="shared" si="60"/>
        <v>N</v>
      </c>
      <c r="X144" s="192">
        <f t="shared" si="51"/>
        <v>1</v>
      </c>
      <c r="Y144" s="192">
        <f t="shared" si="61"/>
        <v>23.302099999999999</v>
      </c>
      <c r="Z144" s="192">
        <f t="shared" si="62"/>
        <v>1.52E-2</v>
      </c>
      <c r="AA144" s="192">
        <f t="shared" si="63"/>
        <v>23.286899999999999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64"/>
        <v>0230-20</v>
      </c>
      <c r="AE144" s="80" t="str">
        <f t="shared" si="65"/>
        <v>aws s3 cp s3://rtdc.mdm.uploadarchive.raw/RTDC4013/ "%USERPROFILE%\AppData\Local\Temp\OnboardLogs"\RTDC4013\2017-05-20 --exclude "*" --recursive --include "*20170520*" &amp; "%USERPROFILE%\Documents\GitHub\mrs-test-scripts\Headless Mode &amp; Sideloading\WalkAndUnGZ.bat" "%USERPROFILE%\AppData\Local\Temp\OnboardLogs"\RTDC4013\2017-05-20 &amp; aws s3 cp s3://rtdc.mdm.uploadarchive.raw/RTDC4013/ "%USERPROFILE%\AppData\Local\Temp\OnboardLogs"\RTDC4013\2017-05-21 --exclude "*" --recursive --include "*20170521*" &amp; "%USERPROFILE%\Documents\GitHub\mrs-test-scripts\Headless Mode &amp; Sideloading\WalkAndUnGZ.bat" "%USERPROFILE%\AppData\Local\Temp\OnboardLogs"\RTDC4013\2017-05-21</v>
      </c>
      <c r="AF144" s="77" t="str">
        <f t="shared" si="66"/>
        <v>"C:\Program Files (x86)\AstroGrep\AstroGrep.exe" /e /r /s /spath="%USERPROFILE%\AppData\Local\Temp\OnboardLogs" /stypes="app*4013*20170521*" /stext=" 04:.+((SYSTEM_STATE.+slice.+state.+changed )|(ment ac)|(multiple cpu faults)|(system.+state.+changed )|(\[timeout)|(PRM\|1\|D)|(kpr)|(kdp)|(train st.+moving)|(\|lc)|(penalty))"</v>
      </c>
      <c r="AG144" s="1" t="str">
        <f t="shared" si="67"/>
        <v>EC</v>
      </c>
      <c r="AH144" s="81" t="str">
        <f t="shared" si="52"/>
        <v>"%USERPROFILE%\Documents\GitHub\eaglep3\Utilities\RefineRTDCRunTimes.py" --tripid 230-20 --locoid 4013 --swversion DE.1.0.9.0 --startMP 204:233021 --initTime 2017-05-20T21:54:28 --startdatetime 2017-05-20T21:56:33 --delay 1 --endMP 204:152 --enddatetime 2017-05-20T22:36:13 --enforcementcount 0 &gt;&gt;C:\Users\stu\Documents\GitHub\eaglep3-reporting\EC\2017-05-20-refined-times.txt</v>
      </c>
      <c r="AI144" s="99" t="str">
        <f t="shared" si="53"/>
        <v>echo {"issue":{"subject":"","project_id":79,"tracker_id":40,"status_id":1,"priority_id":2,"assigned_to_id":23,"start_date":"2017-05-20","description":"","custom_fields":[{"id":1,"name":"Subdivision","value":"EC"},{"id":4,"name":"Milepost","value":"0.0152"},{"id":17,"name":"Train ID","value":"230-20"},{"id":16,"name":"Locomotive ID","value":"4013"},{"id":130,"name":"Impact","value":""},{"id":150,"name":"Time of Event (Mountain Time)","value":"22:36:13"},{"id":151,"name":"Denver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20"/>
      <c r="AK144" s="47"/>
      <c r="AL144" s="47"/>
      <c r="AM144" s="145" t="str">
        <f t="shared" si="54"/>
        <v>start /low /b %USERPROFILE%\Documents\GitHub\eaglep3\Utilities\DownloadLogsFromS3.py --loco 4013 --day 2017-05-20</v>
      </c>
      <c r="AN144" s="154" t="str">
        <f t="shared" si="5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04:36:13"},{"id":29,"name":"Sharepoint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5" spans="1:91" s="20" customFormat="1" x14ac:dyDescent="0.25">
      <c r="A145" s="32" t="s">
        <v>807</v>
      </c>
      <c r="B145" s="7">
        <v>4026</v>
      </c>
      <c r="C145" s="21" t="s">
        <v>206</v>
      </c>
      <c r="D145" s="21" t="s">
        <v>362</v>
      </c>
      <c r="E145" s="13">
        <v>42875.88790509259</v>
      </c>
      <c r="F145" s="13">
        <v>42875.896053240744</v>
      </c>
      <c r="G145" s="7">
        <v>1</v>
      </c>
      <c r="H145" s="21" t="s">
        <v>965</v>
      </c>
      <c r="I145" s="13">
        <v>42875.920856481483</v>
      </c>
      <c r="J145" s="7">
        <v>0</v>
      </c>
      <c r="K145" s="92" t="str">
        <f t="shared" si="56"/>
        <v>4025/4026</v>
      </c>
      <c r="L145" s="21" t="str">
        <f>VLOOKUP(A145,'Trips&amp;Operators'!$C$1:$G$99999,5,FALSE)</f>
        <v>SMITH MICHAEL</v>
      </c>
      <c r="M145" s="6">
        <f t="shared" si="57"/>
        <v>2.4803240739856847E-2</v>
      </c>
      <c r="N145" s="7">
        <f t="shared" si="49"/>
        <v>35.716666665393859</v>
      </c>
      <c r="O145" s="7"/>
      <c r="P145" s="7"/>
      <c r="Q145" s="22"/>
      <c r="R145" s="190"/>
      <c r="S145" s="196">
        <f t="shared" si="50"/>
        <v>1</v>
      </c>
      <c r="T145" s="190" t="str">
        <f t="shared" si="58"/>
        <v>NorthBound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 t="shared" si="59"/>
        <v>https://d0f6bd738d7f1b3e5a7ca70fe4ff75f0.us-east-1.aws.found.io/app/kibana#/discover/Steve-Slow-Train-Analysis-(2080s-and-2083s)?_g=(refreshInterval:(display:Off,pause:!f,section:0,value:0),time:(from:'2017-05-20T20:18:35-0600',mode:absolute,to:'2017-05-20T23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5" s="192" t="str">
        <f t="shared" si="60"/>
        <v>N</v>
      </c>
      <c r="X145" s="192">
        <f t="shared" si="51"/>
        <v>1</v>
      </c>
      <c r="Y145" s="192">
        <f t="shared" si="61"/>
        <v>4.6399999999999997E-2</v>
      </c>
      <c r="Z145" s="192">
        <f t="shared" si="62"/>
        <v>23.327999999999999</v>
      </c>
      <c r="AA145" s="192">
        <f t="shared" si="63"/>
        <v>23.281600000000001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64"/>
        <v>0231-20</v>
      </c>
      <c r="AE145" s="80" t="str">
        <f t="shared" si="65"/>
        <v>aws s3 cp s3://rtdc.mdm.uploadarchive.raw/RTDC4026/ "%USERPROFILE%\AppData\Local\Temp\OnboardLogs"\RTDC4026\2017-05-20 --exclude "*" --recursive --include "*20170520*" &amp; "%USERPROFILE%\Documents\GitHub\mrs-test-scripts\Headless Mode &amp; Sideloading\WalkAndUnGZ.bat" "%USERPROFILE%\AppData\Local\Temp\OnboardLogs"\RTDC4026\2017-05-20 &amp; aws s3 cp s3://rtdc.mdm.uploadarchive.raw/RTDC4026/ "%USERPROFILE%\AppData\Local\Temp\OnboardLogs"\RTDC4026\2017-05-21 --exclude "*" --recursive --include "*20170521*" &amp; "%USERPROFILE%\Documents\GitHub\mrs-test-scripts\Headless Mode &amp; Sideloading\WalkAndUnGZ.bat" "%USERPROFILE%\AppData\Local\Temp\OnboardLogs"\RTDC4026\2017-05-21</v>
      </c>
      <c r="AF145" s="77" t="str">
        <f t="shared" si="66"/>
        <v>"C:\Program Files (x86)\AstroGrep\AstroGrep.exe" /e /r /s /spath="%USERPROFILE%\AppData\Local\Temp\OnboardLogs" /stypes="app*4026*20170521*" /stext=" 04:.+((SYSTEM_STATE.+slice.+state.+changed )|(ment ac)|(multiple cpu faults)|(system.+state.+changed )|(\[timeout)|(PRM\|1\|D)|(kpr)|(kdp)|(train st.+moving)|(\|lc)|(penalty))"</v>
      </c>
      <c r="AG145" s="1" t="str">
        <f t="shared" si="67"/>
        <v>EC</v>
      </c>
      <c r="AH145" s="81" t="str">
        <f t="shared" si="52"/>
        <v>"%USERPROFILE%\Documents\GitHub\eaglep3\Utilities\RefineRTDCRunTimes.py" --tripid 231-20 --locoid 4026 --swversion DE.1.0.9.0 --startMP 204:464 --initTime 2017-05-20T21:18:35 --startdatetime 2017-05-20T21:30:19 --delay 1 --endMP 204:233280 --enddatetime 2017-05-20T22:06:02 --enforcementcount 0 &gt;&gt;C:\Users\stu\Documents\GitHub\eaglep3-reporting\EC\2017-05-20-refined-times.txt</v>
      </c>
      <c r="AI145" s="99" t="str">
        <f t="shared" si="53"/>
        <v>echo {"issue":{"subject":"","project_id":79,"tracker_id":40,"status_id":1,"priority_id":2,"assigned_to_id":23,"start_date":"2017-05-20","description":"","custom_fields":[{"id":1,"name":"Subdivision","value":"EC"},{"id":4,"name":"Milepost","value":"23.328"},{"id":17,"name":"Train ID","value":"231-20"},{"id":16,"name":"Locomotive ID","value":"4026"},{"id":130,"name":"Impact","value":""},{"id":150,"name":"Time of Event (Mountain Time)","value":"22:06:02"},{"id":151,"name":"Denver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54"/>
        <v>start /low /b %USERPROFILE%\Documents\GitHub\eaglep3\Utilities\DownloadLogsFromS3.py --loco 4026 --day 2017-05-20</v>
      </c>
      <c r="AN145" s="154" t="str">
        <f t="shared" si="5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04:06:02"},{"id":29,"name":"Sharepoint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2" t="s">
        <v>812</v>
      </c>
      <c r="B146" s="7">
        <v>4025</v>
      </c>
      <c r="C146" s="21" t="s">
        <v>206</v>
      </c>
      <c r="D146" s="21" t="s">
        <v>420</v>
      </c>
      <c r="E146" s="13">
        <v>42875.929340277777</v>
      </c>
      <c r="F146" s="13">
        <v>42875.934907407405</v>
      </c>
      <c r="G146" s="7">
        <v>1</v>
      </c>
      <c r="H146" s="21" t="s">
        <v>966</v>
      </c>
      <c r="I146" s="13">
        <v>42875.963090277779</v>
      </c>
      <c r="J146" s="7">
        <v>0</v>
      </c>
      <c r="K146" s="92" t="str">
        <f t="shared" si="56"/>
        <v>4025/4026</v>
      </c>
      <c r="L146" s="21" t="str">
        <f>VLOOKUP(A146,'Trips&amp;Operators'!$C$1:$G$99999,5,FALSE)</f>
        <v>SMITH MICHAEL</v>
      </c>
      <c r="M146" s="6">
        <f t="shared" si="57"/>
        <v>2.8182870373711921E-2</v>
      </c>
      <c r="N146" s="7">
        <f t="shared" si="49"/>
        <v>40.583333338145167</v>
      </c>
      <c r="O146" s="7"/>
      <c r="P146" s="7"/>
      <c r="Q146" s="22"/>
      <c r="R146" s="190"/>
      <c r="S146" s="196">
        <f t="shared" si="50"/>
        <v>1</v>
      </c>
      <c r="T146" s="190" t="str">
        <f t="shared" si="58"/>
        <v>Southbound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 t="shared" si="59"/>
        <v>https://d0f6bd738d7f1b3e5a7ca70fe4ff75f0.us-east-1.aws.found.io/app/kibana#/discover/Steve-Slow-Train-Analysis-(2080s-and-2083s)?_g=(refreshInterval:(display:Off,pause:!f,section:0,value:0),time:(from:'2017-05-20T21:18:15-0600',mode:absolute,to:'2017-05-21T00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6" s="192" t="str">
        <f t="shared" si="60"/>
        <v>N</v>
      </c>
      <c r="X146" s="192">
        <f t="shared" si="51"/>
        <v>1</v>
      </c>
      <c r="Y146" s="192">
        <f t="shared" si="61"/>
        <v>23.297499999999999</v>
      </c>
      <c r="Z146" s="192">
        <f t="shared" si="62"/>
        <v>1.61E-2</v>
      </c>
      <c r="AA146" s="192">
        <f t="shared" si="63"/>
        <v>23.281399999999998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64"/>
        <v>0232-20</v>
      </c>
      <c r="AE146" s="80" t="str">
        <f t="shared" si="65"/>
        <v>aws s3 cp s3://rtdc.mdm.uploadarchive.raw/RTDC4025/ "%USERPROFILE%\AppData\Local\Temp\OnboardLogs"\RTDC4025\2017-05-20 --exclude "*" --recursive --include "*20170520*" &amp; "%USERPROFILE%\Documents\GitHub\mrs-test-scripts\Headless Mode &amp; Sideloading\WalkAndUnGZ.bat" "%USERPROFILE%\AppData\Local\Temp\OnboardLogs"\RTDC4025\2017-05-20 &amp; aws s3 cp s3://rtdc.mdm.uploadarchive.raw/RTDC4025/ "%USERPROFILE%\AppData\Local\Temp\OnboardLogs"\RTDC4025\2017-05-21 --exclude "*" --recursive --include "*20170521*" &amp; "%USERPROFILE%\Documents\GitHub\mrs-test-scripts\Headless Mode &amp; Sideloading\WalkAndUnGZ.bat" "%USERPROFILE%\AppData\Local\Temp\OnboardLogs"\RTDC4025\2017-05-21</v>
      </c>
      <c r="AF146" s="77" t="str">
        <f t="shared" si="66"/>
        <v>"C:\Program Files (x86)\AstroGrep\AstroGrep.exe" /e /r /s /spath="%USERPROFILE%\AppData\Local\Temp\OnboardLogs" /stypes="app*4025*20170521*" /stext=" 05:.+((SYSTEM_STATE.+slice.+state.+changed )|(ment ac)|(multiple cpu faults)|(system.+state.+changed )|(\[timeout)|(PRM\|1\|D)|(kpr)|(kdp)|(train st.+moving)|(\|lc)|(penalty))"</v>
      </c>
      <c r="AG146" s="1" t="str">
        <f t="shared" si="67"/>
        <v>EC</v>
      </c>
      <c r="AH146" s="81" t="str">
        <f t="shared" si="52"/>
        <v>"%USERPROFILE%\Documents\GitHub\eaglep3\Utilities\RefineRTDCRunTimes.py" --tripid 232-20 --locoid 4025 --swversion DE.1.0.9.0 --startMP 204:232975 --initTime 2017-05-20T22:18:15 --startdatetime 2017-05-20T22:26:16 --delay 1 --endMP 204:161 --enddatetime 2017-05-20T23:06:51 --enforcementcount 0 &gt;&gt;C:\Users\stu\Documents\GitHub\eaglep3-reporting\EC\2017-05-20-refined-times.txt</v>
      </c>
      <c r="AI146" s="99" t="str">
        <f t="shared" si="53"/>
        <v>echo {"issue":{"subject":"","project_id":79,"tracker_id":40,"status_id":1,"priority_id":2,"assigned_to_id":23,"start_date":"2017-05-20","description":"","custom_fields":[{"id":1,"name":"Subdivision","value":"EC"},{"id":4,"name":"Milepost","value":"0.0161"},{"id":17,"name":"Train ID","value":"232-20"},{"id":16,"name":"Locomotive ID","value":"4025"},{"id":130,"name":"Impact","value":""},{"id":150,"name":"Time of Event (Mountain Time)","value":"23:06:51"},{"id":151,"name":"Denver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20"/>
      <c r="AK146" s="47"/>
      <c r="AL146" s="47"/>
      <c r="AM146" s="145" t="str">
        <f t="shared" si="54"/>
        <v>start /low /b %USERPROFILE%\Documents\GitHub\eaglep3\Utilities\DownloadLogsFromS3.py --loco 4025 --day 2017-05-20</v>
      </c>
      <c r="AN146" s="154" t="str">
        <f t="shared" si="5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05:06:51"},{"id":29,"name":"Sharepoint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7" spans="1:91" x14ac:dyDescent="0.25">
      <c r="A147" s="32" t="s">
        <v>638</v>
      </c>
      <c r="B147" s="7">
        <v>4012</v>
      </c>
      <c r="C147" s="21" t="s">
        <v>206</v>
      </c>
      <c r="D147" s="21" t="s">
        <v>967</v>
      </c>
      <c r="E147" s="13">
        <v>42875.912557870368</v>
      </c>
      <c r="F147" s="13">
        <v>42875.917164351849</v>
      </c>
      <c r="G147" s="7">
        <v>1</v>
      </c>
      <c r="H147" s="21" t="s">
        <v>469</v>
      </c>
      <c r="I147" s="13">
        <v>42875.943159722221</v>
      </c>
      <c r="J147" s="7">
        <v>0</v>
      </c>
      <c r="K147" s="92" t="str">
        <f t="shared" si="56"/>
        <v>4011/4012</v>
      </c>
      <c r="L147" s="21" t="str">
        <f>VLOOKUP(A147,'Trips&amp;Operators'!$C$1:$G$99999,5,FALSE)</f>
        <v>STAMBAUGH JAMES</v>
      </c>
      <c r="M147" s="6">
        <f t="shared" si="57"/>
        <v>2.5995370371674653E-2</v>
      </c>
      <c r="N147" s="7">
        <f t="shared" si="49"/>
        <v>37.433333335211501</v>
      </c>
      <c r="O147" s="7"/>
      <c r="P147" s="7"/>
      <c r="Q147" s="22"/>
      <c r="R147" s="190"/>
      <c r="S147" s="196">
        <f t="shared" si="50"/>
        <v>1</v>
      </c>
      <c r="T147" s="190" t="str">
        <f t="shared" si="58"/>
        <v>NorthBound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 t="shared" si="59"/>
        <v>https://d0f6bd738d7f1b3e5a7ca70fe4ff75f0.us-east-1.aws.found.io/app/kibana#/discover/Steve-Slow-Train-Analysis-(2080s-and-2083s)?_g=(refreshInterval:(display:Off,pause:!f,section:0,value:0),time:(from:'2017-05-20T20:54:05-0600',mode:absolute,to:'2017-05-20T23:38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7" s="192" t="str">
        <f t="shared" si="60"/>
        <v>N</v>
      </c>
      <c r="X147" s="192">
        <f t="shared" si="51"/>
        <v>1</v>
      </c>
      <c r="Y147" s="192">
        <f t="shared" si="61"/>
        <v>3.56E-2</v>
      </c>
      <c r="Z147" s="192">
        <f t="shared" si="62"/>
        <v>23.331199999999999</v>
      </c>
      <c r="AA147" s="192">
        <f t="shared" si="63"/>
        <v>23.2956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64"/>
        <v>0233-20</v>
      </c>
      <c r="AE147" s="80" t="str">
        <f t="shared" si="65"/>
        <v>aws s3 cp s3://rtdc.mdm.uploadarchive.raw/RTDC4012/ "%USERPROFILE%\AppData\Local\Temp\OnboardLogs"\RTDC4012\2017-05-20 --exclude "*" --recursive --include "*20170520*" &amp; "%USERPROFILE%\Documents\GitHub\mrs-test-scripts\Headless Mode &amp; Sideloading\WalkAndUnGZ.bat" "%USERPROFILE%\AppData\Local\Temp\OnboardLogs"\RTDC4012\2017-05-20 &amp; aws s3 cp s3://rtdc.mdm.uploadarchive.raw/RTDC4012/ "%USERPROFILE%\AppData\Local\Temp\OnboardLogs"\RTDC4012\2017-05-21 --exclude "*" --recursive --include "*20170521*" &amp; "%USERPROFILE%\Documents\GitHub\mrs-test-scripts\Headless Mode &amp; Sideloading\WalkAndUnGZ.bat" "%USERPROFILE%\AppData\Local\Temp\OnboardLogs"\RTDC4012\2017-05-21</v>
      </c>
      <c r="AF147" s="77" t="str">
        <f t="shared" si="66"/>
        <v>"C:\Program Files (x86)\AstroGrep\AstroGrep.exe" /e /r /s /spath="%USERPROFILE%\AppData\Local\Temp\OnboardLogs" /stypes="app*4012*20170521*" /stext=" 04:.+((SYSTEM_STATE.+slice.+state.+changed )|(ment ac)|(multiple cpu faults)|(system.+state.+changed )|(\[timeout)|(PRM\|1\|D)|(kpr)|(kdp)|(train st.+moving)|(\|lc)|(penalty))"</v>
      </c>
      <c r="AG147" s="1" t="str">
        <f t="shared" si="67"/>
        <v>EC</v>
      </c>
      <c r="AH147" s="81" t="str">
        <f t="shared" si="52"/>
        <v>"%USERPROFILE%\Documents\GitHub\eaglep3\Utilities\RefineRTDCRunTimes.py" --tripid 233-20 --locoid 4012 --swversion DE.1.0.9.0 --startMP 204:356 --initTime 2017-05-20T21:54:05 --startdatetime 2017-05-20T22:00:43 --delay 1 --endMP 204:233312 --enddatetime 2017-05-20T22:38:09 --enforcementcount 0 &gt;&gt;C:\Users\stu\Documents\GitHub\eaglep3-reporting\EC\2017-05-20-refined-times.txt</v>
      </c>
      <c r="AI147" s="99" t="str">
        <f t="shared" si="53"/>
        <v>echo {"issue":{"subject":"","project_id":79,"tracker_id":40,"status_id":1,"priority_id":2,"assigned_to_id":23,"start_date":"2017-05-20","description":"","custom_fields":[{"id":1,"name":"Subdivision","value":"EC"},{"id":4,"name":"Milepost","value":"23.3312"},{"id":17,"name":"Train ID","value":"233-20"},{"id":16,"name":"Locomotive ID","value":"4012"},{"id":130,"name":"Impact","value":""},{"id":150,"name":"Time of Event (Mountain Time)","value":"22:38:09"},{"id":151,"name":"Denver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20"/>
      <c r="AK147" s="47"/>
      <c r="AL147" s="47"/>
      <c r="AM147" s="145" t="str">
        <f t="shared" si="54"/>
        <v>start /low /b %USERPROFILE%\Documents\GitHub\eaglep3\Utilities\DownloadLogsFromS3.py --loco 4012 --day 2017-05-20</v>
      </c>
      <c r="AN147" s="154" t="str">
        <f t="shared" si="5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04:38:09"},{"id":29,"name":"Sharepoint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8" spans="1:91" s="20" customFormat="1" x14ac:dyDescent="0.25">
      <c r="A148" s="32" t="s">
        <v>816</v>
      </c>
      <c r="B148" s="7">
        <v>4011</v>
      </c>
      <c r="C148" s="21" t="s">
        <v>206</v>
      </c>
      <c r="D148" s="21" t="s">
        <v>568</v>
      </c>
      <c r="E148" s="13">
        <v>42875.953032407408</v>
      </c>
      <c r="F148" s="13">
        <v>42875.95590277778</v>
      </c>
      <c r="G148" s="7">
        <v>2</v>
      </c>
      <c r="H148" s="21" t="s">
        <v>348</v>
      </c>
      <c r="I148" s="13">
        <v>42875.983506944445</v>
      </c>
      <c r="J148" s="7">
        <v>0</v>
      </c>
      <c r="K148" s="92" t="str">
        <f t="shared" si="56"/>
        <v>4011/4012</v>
      </c>
      <c r="L148" s="21" t="str">
        <f>VLOOKUP(A148,'Trips&amp;Operators'!$C$1:$G$99999,5,FALSE)</f>
        <v>STAMBAUGH JAMES</v>
      </c>
      <c r="M148" s="6">
        <f t="shared" si="57"/>
        <v>2.7604166665696539E-2</v>
      </c>
      <c r="N148" s="7">
        <f t="shared" si="49"/>
        <v>39.749999998603016</v>
      </c>
      <c r="O148" s="7"/>
      <c r="P148" s="7"/>
      <c r="Q148" s="22"/>
      <c r="R148" s="190"/>
      <c r="S148" s="196">
        <f t="shared" si="50"/>
        <v>1</v>
      </c>
      <c r="T148" s="190" t="str">
        <f t="shared" si="58"/>
        <v>Southbound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 t="shared" si="59"/>
        <v>https://d0f6bd738d7f1b3e5a7ca70fe4ff75f0.us-east-1.aws.found.io/app/kibana#/discover/Steve-Slow-Train-Analysis-(2080s-and-2083s)?_g=(refreshInterval:(display:Off,pause:!f,section:0,value:0),time:(from:'2017-05-20T21:52:22-0600',mode:absolute,to:'2017-05-21T00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8" s="192" t="str">
        <f t="shared" si="60"/>
        <v>N</v>
      </c>
      <c r="X148" s="192">
        <f t="shared" si="51"/>
        <v>1</v>
      </c>
      <c r="Y148" s="192">
        <f t="shared" si="61"/>
        <v>23.299399999999999</v>
      </c>
      <c r="Z148" s="192">
        <f t="shared" si="62"/>
        <v>1.38E-2</v>
      </c>
      <c r="AA148" s="192">
        <f t="shared" si="63"/>
        <v>23.285599999999999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64"/>
        <v>0234-20</v>
      </c>
      <c r="AE148" s="80" t="str">
        <f t="shared" si="65"/>
        <v>aws s3 cp s3://rtdc.mdm.uploadarchive.raw/RTDC4011/ "%USERPROFILE%\AppData\Local\Temp\OnboardLogs"\RTDC4011\2017-05-20 --exclude "*" --recursive --include "*20170520*" &amp; "%USERPROFILE%\Documents\GitHub\mrs-test-scripts\Headless Mode &amp; Sideloading\WalkAndUnGZ.bat" "%USERPROFILE%\AppData\Local\Temp\OnboardLogs"\RTDC4011\2017-05-20 &amp; aws s3 cp s3://rtdc.mdm.uploadarchive.raw/RTDC4011/ "%USERPROFILE%\AppData\Local\Temp\OnboardLogs"\RTDC4011\2017-05-21 --exclude "*" --recursive --include "*20170521*" &amp; "%USERPROFILE%\Documents\GitHub\mrs-test-scripts\Headless Mode &amp; Sideloading\WalkAndUnGZ.bat" "%USERPROFILE%\AppData\Local\Temp\OnboardLogs"\RTDC4011\2017-05-21</v>
      </c>
      <c r="AF148" s="77" t="str">
        <f t="shared" si="66"/>
        <v>"C:\Program Files (x86)\AstroGrep\AstroGrep.exe" /e /r /s /spath="%USERPROFILE%\AppData\Local\Temp\OnboardLogs" /stypes="app*4011*20170521*" /stext=" 05:.+((SYSTEM_STATE.+slice.+state.+changed )|(ment ac)|(multiple cpu faults)|(system.+state.+changed )|(\[timeout)|(PRM\|1\|D)|(kpr)|(kdp)|(train st.+moving)|(\|lc)|(penalty))"</v>
      </c>
      <c r="AG148" s="1" t="str">
        <f t="shared" si="67"/>
        <v>EC</v>
      </c>
      <c r="AH148" s="81" t="str">
        <f t="shared" si="52"/>
        <v>"%USERPROFILE%\Documents\GitHub\eaglep3\Utilities\RefineRTDCRunTimes.py" --tripid 234-20 --locoid 4011 --swversion DE.1.0.9.0 --startMP 204:232994 --initTime 2017-05-20T22:52:22 --startdatetime 2017-05-20T22:56:30 --delay 2 --endMP 204:138 --enddatetime 2017-05-20T23:36:15 --enforcementcount 0 &gt;&gt;C:\Users\stu\Documents\GitHub\eaglep3-reporting\EC\2017-05-20-refined-times.txt</v>
      </c>
      <c r="AI148" s="99" t="str">
        <f t="shared" si="53"/>
        <v>echo {"issue":{"subject":"","project_id":79,"tracker_id":40,"status_id":1,"priority_id":2,"assigned_to_id":23,"start_date":"2017-05-20","description":"","custom_fields":[{"id":1,"name":"Subdivision","value":"EC"},{"id":4,"name":"Milepost","value":"0.0138"},{"id":17,"name":"Train ID","value":"234-20"},{"id":16,"name":"Locomotive ID","value":"4011"},{"id":130,"name":"Impact","value":""},{"id":150,"name":"Time of Event (Mountain Time)","value":"23:36:15"},{"id":151,"name":"Denver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54"/>
        <v>start /low /b %USERPROFILE%\Documents\GitHub\eaglep3\Utilities\DownloadLogsFromS3.py --loco 4011 --day 2017-05-20</v>
      </c>
      <c r="AN148" s="154" t="str">
        <f t="shared" si="5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05:36:15"},{"id":29,"name":"Sharepoint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2" t="s">
        <v>814</v>
      </c>
      <c r="B149" s="7">
        <v>4022</v>
      </c>
      <c r="C149" s="21" t="s">
        <v>206</v>
      </c>
      <c r="D149" s="21" t="s">
        <v>499</v>
      </c>
      <c r="E149" s="13">
        <v>42875.934583333335</v>
      </c>
      <c r="F149" s="13">
        <v>42875.937662037039</v>
      </c>
      <c r="G149" s="7">
        <v>1</v>
      </c>
      <c r="H149" s="21" t="s">
        <v>838</v>
      </c>
      <c r="I149" s="13">
        <v>42875.963125000002</v>
      </c>
      <c r="J149" s="7">
        <v>0</v>
      </c>
      <c r="K149" s="92" t="str">
        <f t="shared" si="56"/>
        <v>4021/4022</v>
      </c>
      <c r="L149" s="21" t="str">
        <f>VLOOKUP(A149,'Trips&amp;Operators'!$C$1:$G$99999,5,FALSE)</f>
        <v>SWANSON BRYCE</v>
      </c>
      <c r="M149" s="6">
        <f t="shared" si="57"/>
        <v>2.5462962963501923E-2</v>
      </c>
      <c r="N149" s="7">
        <f t="shared" si="49"/>
        <v>36.666666667442769</v>
      </c>
      <c r="O149" s="7"/>
      <c r="P149" s="7"/>
      <c r="Q149" s="22"/>
      <c r="R149" s="190"/>
      <c r="S149" s="196">
        <f t="shared" si="50"/>
        <v>1</v>
      </c>
      <c r="T149" s="190" t="str">
        <f t="shared" si="58"/>
        <v>NorthBound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 t="shared" si="59"/>
        <v>https://d0f6bd738d7f1b3e5a7ca70fe4ff75f0.us-east-1.aws.found.io/app/kibana#/discover/Steve-Slow-Train-Analysis-(2080s-and-2083s)?_g=(refreshInterval:(display:Off,pause:!f,section:0,value:0),time:(from:'2017-05-20T21:25:48-0600',mode:absolute,to:'2017-05-21T00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9" s="192" t="str">
        <f t="shared" si="60"/>
        <v>N</v>
      </c>
      <c r="X149" s="192">
        <f t="shared" si="51"/>
        <v>1</v>
      </c>
      <c r="Y149" s="192">
        <f t="shared" si="61"/>
        <v>4.3799999999999999E-2</v>
      </c>
      <c r="Z149" s="192">
        <f t="shared" si="62"/>
        <v>23.339500000000001</v>
      </c>
      <c r="AA149" s="192">
        <f t="shared" si="63"/>
        <v>23.2957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64"/>
        <v>0235-20</v>
      </c>
      <c r="AE149" s="80" t="str">
        <f t="shared" si="65"/>
        <v>aws s3 cp s3://rtdc.mdm.uploadarchive.raw/RTDC4022/ "%USERPROFILE%\AppData\Local\Temp\OnboardLogs"\RTDC4022\2017-05-20 --exclude "*" --recursive --include "*20170520*" &amp; "%USERPROFILE%\Documents\GitHub\mrs-test-scripts\Headless Mode &amp; Sideloading\WalkAndUnGZ.bat" "%USERPROFILE%\AppData\Local\Temp\OnboardLogs"\RTDC4022\2017-05-20 &amp; aws s3 cp s3://rtdc.mdm.uploadarchive.raw/RTDC4022/ "%USERPROFILE%\AppData\Local\Temp\OnboardLogs"\RTDC4022\2017-05-21 --exclude "*" --recursive --include "*20170521*" &amp; "%USERPROFILE%\Documents\GitHub\mrs-test-scripts\Headless Mode &amp; Sideloading\WalkAndUnGZ.bat" "%USERPROFILE%\AppData\Local\Temp\OnboardLogs"\RTDC4022\2017-05-21</v>
      </c>
      <c r="AF149" s="77" t="str">
        <f t="shared" si="66"/>
        <v>"C:\Program Files (x86)\AstroGrep\AstroGrep.exe" /e /r /s /spath="%USERPROFILE%\AppData\Local\Temp\OnboardLogs" /stypes="app*4022*20170521*" /stext=" 05:.+((SYSTEM_STATE.+slice.+state.+changed )|(ment ac)|(multiple cpu faults)|(system.+state.+changed )|(\[timeout)|(PRM\|1\|D)|(kpr)|(kdp)|(train st.+moving)|(\|lc)|(penalty))"</v>
      </c>
      <c r="AG149" s="1" t="str">
        <f t="shared" si="67"/>
        <v>EC</v>
      </c>
      <c r="AH149" s="81" t="str">
        <f t="shared" si="52"/>
        <v>"%USERPROFILE%\Documents\GitHub\eaglep3\Utilities\RefineRTDCRunTimes.py" --tripid 235-20 --locoid 4022 --swversion DE.1.0.9.0 --startMP 204:438 --initTime 2017-05-20T22:25:48 --startdatetime 2017-05-20T22:30:14 --delay 1 --endMP 204:233395 --enddatetime 2017-05-20T23:06:54 --enforcementcount 0 &gt;&gt;C:\Users\stu\Documents\GitHub\eaglep3-reporting\EC\2017-05-20-refined-times.txt</v>
      </c>
      <c r="AI149" s="99" t="str">
        <f t="shared" si="53"/>
        <v>echo {"issue":{"subject":"","project_id":79,"tracker_id":40,"status_id":1,"priority_id":2,"assigned_to_id":23,"start_date":"2017-05-20","description":"","custom_fields":[{"id":1,"name":"Subdivision","value":"EC"},{"id":4,"name":"Milepost","value":"23.3395"},{"id":17,"name":"Train ID","value":"235-20"},{"id":16,"name":"Locomotive ID","value":"4022"},{"id":130,"name":"Impact","value":""},{"id":150,"name":"Time of Event (Mountain Time)","value":"23:06:54"},{"id":151,"name":"Denver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7"/>
      <c r="AL149" s="47"/>
      <c r="AM149" s="145" t="str">
        <f t="shared" si="54"/>
        <v>start /low /b %USERPROFILE%\Documents\GitHub\eaglep3\Utilities\DownloadLogsFromS3.py --loco 4022 --day 2017-05-20</v>
      </c>
      <c r="AN149" s="154" t="str">
        <f t="shared" si="5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05:06:54"},{"id":29,"name":"Sharepoint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s="20" customFormat="1" x14ac:dyDescent="0.25">
      <c r="A150" s="32" t="s">
        <v>818</v>
      </c>
      <c r="B150" s="7">
        <v>4021</v>
      </c>
      <c r="C150" s="21" t="s">
        <v>206</v>
      </c>
      <c r="D150" s="21" t="s">
        <v>968</v>
      </c>
      <c r="E150" s="13">
        <v>42875.97278935185</v>
      </c>
      <c r="F150" s="13">
        <v>42875.976597222223</v>
      </c>
      <c r="G150" s="7">
        <v>1</v>
      </c>
      <c r="H150" s="21" t="s">
        <v>353</v>
      </c>
      <c r="I150" s="13">
        <v>42876.004444444443</v>
      </c>
      <c r="J150" s="7">
        <v>0</v>
      </c>
      <c r="K150" s="92" t="str">
        <f t="shared" si="56"/>
        <v>4021/4022</v>
      </c>
      <c r="L150" s="21" t="str">
        <f>VLOOKUP(A150,'Trips&amp;Operators'!$C$1:$G$99999,5,FALSE)</f>
        <v>SWANSON BRYCE</v>
      </c>
      <c r="M150" s="6">
        <f t="shared" si="57"/>
        <v>2.7847222219861578E-2</v>
      </c>
      <c r="N150" s="7">
        <f t="shared" si="49"/>
        <v>40.099999996600673</v>
      </c>
      <c r="O150" s="7"/>
      <c r="P150" s="7"/>
      <c r="Q150" s="22"/>
      <c r="R150" s="190"/>
      <c r="S150" s="196">
        <f t="shared" si="50"/>
        <v>1</v>
      </c>
      <c r="T150" s="190" t="str">
        <f t="shared" si="58"/>
        <v>Southbound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 t="shared" si="59"/>
        <v>https://d0f6bd738d7f1b3e5a7ca70fe4ff75f0.us-east-1.aws.found.io/app/kibana#/discover/Steve-Slow-Train-Analysis-(2080s-and-2083s)?_g=(refreshInterval:(display:Off,pause:!f,section:0,value:0),time:(from:'2017-05-20T22:20:49-0600',mode:absolute,to:'2017-05-21T01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0" s="192" t="str">
        <f t="shared" si="60"/>
        <v>N</v>
      </c>
      <c r="X150" s="192">
        <f t="shared" si="51"/>
        <v>1</v>
      </c>
      <c r="Y150" s="192">
        <f t="shared" si="61"/>
        <v>23.313199999999998</v>
      </c>
      <c r="Z150" s="192">
        <f t="shared" si="62"/>
        <v>1.4500000000000001E-2</v>
      </c>
      <c r="AA150" s="192">
        <f t="shared" si="63"/>
        <v>23.298699999999997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64"/>
        <v>0236-20</v>
      </c>
      <c r="AE150" s="80" t="str">
        <f t="shared" si="65"/>
        <v>aws s3 cp s3://rtdc.mdm.uploadarchive.raw/RTDC4021/ "%USERPROFILE%\AppData\Local\Temp\OnboardLogs"\RTDC4021\2017-05-20 --exclude "*" --recursive --include "*20170520*" &amp; "%USERPROFILE%\Documents\GitHub\mrs-test-scripts\Headless Mode &amp; Sideloading\WalkAndUnGZ.bat" "%USERPROFILE%\AppData\Local\Temp\OnboardLogs"\RTDC4021\2017-05-20 &amp; aws s3 cp s3://rtdc.mdm.uploadarchive.raw/RTDC4021/ "%USERPROFILE%\AppData\Local\Temp\OnboardLogs"\RTDC4021\2017-05-21 --exclude "*" --recursive --include "*20170521*" &amp; "%USERPROFILE%\Documents\GitHub\mrs-test-scripts\Headless Mode &amp; Sideloading\WalkAndUnGZ.bat" "%USERPROFILE%\AppData\Local\Temp\OnboardLogs"\RTDC4021\2017-05-21</v>
      </c>
      <c r="AF150" s="77" t="str">
        <f t="shared" si="66"/>
        <v>"C:\Program Files (x86)\AstroGrep\AstroGrep.exe" /e /r /s /spath="%USERPROFILE%\AppData\Local\Temp\OnboardLogs" /stypes="app*4021*20170521*" /stext=" 06:.+((SYSTEM_STATE.+slice.+state.+changed )|(ment ac)|(multiple cpu faults)|(system.+state.+changed )|(\[timeout)|(PRM\|1\|D)|(kpr)|(kdp)|(train st.+moving)|(\|lc)|(penalty))"</v>
      </c>
      <c r="AG150" s="1" t="str">
        <f t="shared" si="67"/>
        <v>EC</v>
      </c>
      <c r="AH150" s="81" t="str">
        <f t="shared" si="52"/>
        <v>"%USERPROFILE%\Documents\GitHub\eaglep3\Utilities\RefineRTDCRunTimes.py" --tripid 236-20 --locoid 4021 --swversion DE.1.0.9.0 --startMP 204:233132 --initTime 2017-05-20T23:20:49 --startdatetime 2017-05-20T23:26:18 --delay 1 --endMP 204:145 --enddatetime 2017-05-21T00:06:24 --enforcementcount 0 &gt;&gt;C:\Users\stu\Documents\GitHub\eaglep3-reporting\EC\2017-05-20-refined-times.txt</v>
      </c>
      <c r="AI150" s="99" t="str">
        <f t="shared" si="53"/>
        <v>echo {"issue":{"subject":"","project_id":79,"tracker_id":40,"status_id":1,"priority_id":2,"assigned_to_id":23,"start_date":"2017-05-21","description":"","custom_fields":[{"id":1,"name":"Subdivision","value":"EC"},{"id":4,"name":"Milepost","value":"0.0145"},{"id":17,"name":"Train ID","value":"236-20"},{"id":16,"name":"Locomotive ID","value":"4021"},{"id":130,"name":"Impact","value":""},{"id":150,"name":"Time of Event (Mountain Time)","value":"00:06:24"},{"id":151,"name":"Denver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54"/>
        <v>start /low /b %USERPROFILE%\Documents\GitHub\eaglep3\Utilities\DownloadLogsFromS3.py --loco 4021 --day 2017-05-20</v>
      </c>
      <c r="AN150" s="154" t="str">
        <f t="shared" si="5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06:06:24"},{"id":29,"name":"Sharepoint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2" t="s">
        <v>639</v>
      </c>
      <c r="B151" s="7">
        <v>4014</v>
      </c>
      <c r="C151" s="21" t="s">
        <v>206</v>
      </c>
      <c r="D151" s="21" t="s">
        <v>404</v>
      </c>
      <c r="E151" s="13">
        <v>42875.954930555556</v>
      </c>
      <c r="F151" s="13">
        <v>42875.958483796298</v>
      </c>
      <c r="G151" s="7">
        <v>2</v>
      </c>
      <c r="H151" s="21" t="s">
        <v>969</v>
      </c>
      <c r="I151" s="13">
        <v>42875.981388888889</v>
      </c>
      <c r="J151" s="7">
        <v>0</v>
      </c>
      <c r="K151" s="92" t="str">
        <f t="shared" si="56"/>
        <v>4013/4014</v>
      </c>
      <c r="L151" s="21" t="str">
        <f>VLOOKUP(A151,'Trips&amp;Operators'!$C$1:$G$99999,5,FALSE)</f>
        <v>BROWN JACOB</v>
      </c>
      <c r="M151" s="6">
        <f t="shared" si="57"/>
        <v>2.290509259182727E-2</v>
      </c>
      <c r="N151" s="7"/>
      <c r="O151" s="7"/>
      <c r="P151" s="7">
        <f>24*60*SUM($M151:$M151)</f>
        <v>32.983333332231268</v>
      </c>
      <c r="Q151" s="22"/>
      <c r="R151" s="190" t="s">
        <v>512</v>
      </c>
      <c r="S151" s="196">
        <f t="shared" si="50"/>
        <v>1</v>
      </c>
      <c r="T151" s="190" t="str">
        <f t="shared" si="58"/>
        <v>NorthBound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 t="shared" si="59"/>
        <v>https://d0f6bd738d7f1b3e5a7ca70fe4ff75f0.us-east-1.aws.found.io/app/kibana#/discover/Steve-Slow-Train-Analysis-(2080s-and-2083s)?_g=(refreshInterval:(display:Off,pause:!f,section:0,value:0),time:(from:'2017-05-20T21:55:06-0600',mode:absolute,to:'2017-05-21T00:33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1" s="192" t="str">
        <f t="shared" si="60"/>
        <v>Y</v>
      </c>
      <c r="X151" s="192">
        <f t="shared" si="51"/>
        <v>1</v>
      </c>
      <c r="Y151" s="192">
        <f t="shared" si="61"/>
        <v>4.6199999999999998E-2</v>
      </c>
      <c r="Z151" s="192">
        <f t="shared" si="62"/>
        <v>21.917200000000001</v>
      </c>
      <c r="AA151" s="192">
        <f t="shared" si="63"/>
        <v>21.871000000000002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64"/>
        <v>0237-20</v>
      </c>
      <c r="AE151" s="80" t="str">
        <f t="shared" si="65"/>
        <v>aws s3 cp s3://rtdc.mdm.uploadarchive.raw/RTDC4014/ "%USERPROFILE%\AppData\Local\Temp\OnboardLogs"\RTDC4014\2017-05-20 --exclude "*" --recursive --include "*20170520*" &amp; "%USERPROFILE%\Documents\GitHub\mrs-test-scripts\Headless Mode &amp; Sideloading\WalkAndUnGZ.bat" "%USERPROFILE%\AppData\Local\Temp\OnboardLogs"\RTDC4014\2017-05-20 &amp; aws s3 cp s3://rtdc.mdm.uploadarchive.raw/RTDC4014/ "%USERPROFILE%\AppData\Local\Temp\OnboardLogs"\RTDC4014\2017-05-21 --exclude "*" --recursive --include "*20170521*" &amp; "%USERPROFILE%\Documents\GitHub\mrs-test-scripts\Headless Mode &amp; Sideloading\WalkAndUnGZ.bat" "%USERPROFILE%\AppData\Local\Temp\OnboardLogs"\RTDC4014\2017-05-21</v>
      </c>
      <c r="AF151" s="77" t="str">
        <f t="shared" si="66"/>
        <v>"C:\Program Files (x86)\AstroGrep\AstroGrep.exe" /e /r /s /spath="%USERPROFILE%\AppData\Local\Temp\OnboardLogs" /stypes="app*4014*20170521*" /stext=" 05:.+((SYSTEM_STATE.+slice.+state.+changed )|(ment ac)|(multiple cpu faults)|(system.+state.+changed )|(\[timeout)|(PRM\|1\|D)|(kpr)|(kdp)|(train st.+moving)|(\|lc)|(penalty))"</v>
      </c>
      <c r="AG151" s="1" t="str">
        <f t="shared" si="67"/>
        <v>EC</v>
      </c>
      <c r="AH151" s="81" t="str">
        <f t="shared" si="52"/>
        <v>"%USERPROFILE%\Documents\GitHub\eaglep3\Utilities\RefineRTDCRunTimes.py" --tripid 237-20 --locoid 4014 --swversion DE.1.0.9.0 --startMP 204:462 --initTime 2017-05-20T22:55:06 --startdatetime 2017-05-20T23:00:13 --delay 2 --endMP 204:219172 --enddatetime 2017-05-20T23:33:12 --enforcementcount 0 &gt;&gt;C:\Users\stu\Documents\GitHub\eaglep3-reporting\EC\2017-05-20-refined-times.txt</v>
      </c>
      <c r="AI151" s="99" t="str">
        <f t="shared" si="53"/>
        <v>echo {"issue":{"subject":"Wi-MAX data drop","project_id":79,"tracker_id":40,"status_id":1,"priority_id":2,"assigned_to_id":23,"start_date":"2017-05-20","description":"","custom_fields":[{"id":1,"name":"Subdivision","value":"EC"},{"id":4,"name":"Milepost","value":"21.9172"},{"id":17,"name":"Train ID","value":"237-20"},{"id":16,"name":"Locomotive ID","value":"4014"},{"id":130,"name":"Impact","value":""},{"id":150,"name":"Time of Event (Mountain Time)","value":"23:33:12"},{"id":151,"name":"Denver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5" t="str">
        <f t="shared" si="54"/>
        <v>start /low /b %USERPROFILE%\Documents\GitHub\eaglep3\Utilities\DownloadLogsFromS3.py --loco 4014 --day 2017-05-20</v>
      </c>
      <c r="AN151" s="154" t="str">
        <f t="shared" si="55"/>
        <v>echo {"issue":{"subject":"Wi-MAX data drop","project_id":30,"tracker_id":4,"status_id":1,"priority_id":1,"assigned_to_id":10,"start_date":"2017-05-21","description":"","custom_fields":[{"id":30,"name":"Category","value":"Issue"},{"id":3,"name":"Functional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05:33:12"},{"id":29,"name":"Sharepoint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2" spans="1:91" s="20" customFormat="1" x14ac:dyDescent="0.25">
      <c r="A152" s="32" t="s">
        <v>641</v>
      </c>
      <c r="B152" s="7">
        <v>4013</v>
      </c>
      <c r="C152" s="21" t="s">
        <v>206</v>
      </c>
      <c r="D152" s="21" t="s">
        <v>970</v>
      </c>
      <c r="E152" s="13">
        <v>42876.008750000001</v>
      </c>
      <c r="F152" s="13">
        <v>42876.009791666664</v>
      </c>
      <c r="G152" s="7">
        <v>0</v>
      </c>
      <c r="H152" s="21" t="s">
        <v>966</v>
      </c>
      <c r="I152" s="13">
        <v>42876.027071759258</v>
      </c>
      <c r="J152" s="7">
        <v>0</v>
      </c>
      <c r="K152" s="92" t="str">
        <f t="shared" si="56"/>
        <v>4013/4014</v>
      </c>
      <c r="L152" s="21" t="str">
        <f>VLOOKUP(A152,'Trips&amp;Operators'!$C$1:$G$99999,5,FALSE)</f>
        <v>BROWN JACOB</v>
      </c>
      <c r="M152" s="6">
        <f t="shared" si="57"/>
        <v>1.7280092593864538E-2</v>
      </c>
      <c r="N152" s="7"/>
      <c r="O152" s="7"/>
      <c r="P152" s="7">
        <f>24*60*SUM($M152:$M152)</f>
        <v>24.883333335164934</v>
      </c>
      <c r="Q152" s="22"/>
      <c r="R152" s="190" t="s">
        <v>512</v>
      </c>
      <c r="S152" s="196">
        <f t="shared" si="50"/>
        <v>1</v>
      </c>
      <c r="T152" s="190" t="str">
        <f t="shared" si="58"/>
        <v>Southbound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 t="shared" si="59"/>
        <v>https://d0f6bd738d7f1b3e5a7ca70fe4ff75f0.us-east-1.aws.found.io/app/kibana#/discover/Steve-Slow-Train-Analysis-(2080s-and-2083s)?_g=(refreshInterval:(display:Off,pause:!f,section:0,value:0),time:(from:'2017-05-20T23:12:36-0600',mode:absolute,to:'2017-05-21T01:38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2" s="192" t="str">
        <f t="shared" si="60"/>
        <v>Y</v>
      </c>
      <c r="X152" s="192">
        <f t="shared" si="51"/>
        <v>1</v>
      </c>
      <c r="Y152" s="192">
        <f t="shared" si="61"/>
        <v>12.7864</v>
      </c>
      <c r="Z152" s="192">
        <f t="shared" si="62"/>
        <v>1.61E-2</v>
      </c>
      <c r="AA152" s="192">
        <f t="shared" si="63"/>
        <v>12.770300000000001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64"/>
        <v>0238-20</v>
      </c>
      <c r="AE152" s="80" t="str">
        <f t="shared" si="65"/>
        <v>aws s3 cp s3://rtdc.mdm.uploadarchive.raw/RTDC4013/ "%USERPROFILE%\AppData\Local\Temp\OnboardLogs"\RTDC4013\2017-05-21 --exclude "*" --recursive --include "*20170521*" &amp; "%USERPROFILE%\Documents\GitHub\mrs-test-scripts\Headless Mode &amp; Sideloading\WalkAndUnGZ.bat" "%USERPROFILE%\AppData\Local\Temp\OnboardLogs"\RTDC4013\2017-05-21 &amp; aws s3 cp s3://rtdc.mdm.uploadarchive.raw/RTDC4013/ "%USERPROFILE%\AppData\Local\Temp\OnboardLogs"\RTDC4013\2017-05-22 --exclude "*" --recursive --include "*20170522*" &amp; "%USERPROFILE%\Documents\GitHub\mrs-test-scripts\Headless Mode &amp; Sideloading\WalkAndUnGZ.bat" "%USERPROFILE%\AppData\Local\Temp\OnboardLogs"\RTDC4013\2017-05-22</v>
      </c>
      <c r="AF152" s="77" t="str">
        <f t="shared" si="66"/>
        <v>"C:\Program Files (x86)\AstroGrep\AstroGrep.exe" /e /r /s /spath="%USERPROFILE%\AppData\Local\Temp\OnboardLogs" /stypes="app*4013*20170521*" /stext=" 06:.+((SYSTEM_STATE.+slice.+state.+changed )|(ment ac)|(multiple cpu faults)|(system.+state.+changed )|(\[timeout)|(PRM\|1\|D)|(kpr)|(kdp)|(train st.+moving)|(\|lc)|(penalty))"</v>
      </c>
      <c r="AG152" s="1" t="str">
        <f t="shared" si="67"/>
        <v>EC</v>
      </c>
      <c r="AH152" s="81" t="str">
        <f t="shared" si="52"/>
        <v>"%USERPROFILE%\Documents\GitHub\eaglep3\Utilities\RefineRTDCRunTimes.py" --tripid 238-20 --locoid 4013 --swversion DE.1.0.9.0 --startMP 204:127864 --initTime 2017-05-21T00:12:36 --startdatetime 2017-05-21T00:14:06 --delay 0 --endMP 204:161 --enddatetime 2017-05-21T00:38:59 --enforcementcount 0 &gt;&gt;C:\Users\stu\Documents\GitHub\eaglep3-reporting\EC\2017-05-20-refined-times.txt</v>
      </c>
      <c r="AI152" s="99" t="str">
        <f t="shared" si="53"/>
        <v>echo {"issue":{"subject":"Wi-MAX data drop","project_id":79,"tracker_id":40,"status_id":1,"priority_id":2,"assigned_to_id":23,"start_date":"2017-05-21","description":"","custom_fields":[{"id":1,"name":"Subdivision","value":"EC"},{"id":4,"name":"Milepost","value":"0.0161"},{"id":17,"name":"Train ID","value":"238-20"},{"id":16,"name":"Locomotive ID","value":"4013"},{"id":130,"name":"Impact","value":""},{"id":150,"name":"Time of Event (Mountain Time)","value":"00:38:59"},{"id":151,"name":"Denver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54"/>
        <v>start /low /b %USERPROFILE%\Documents\GitHub\eaglep3\Utilities\DownloadLogsFromS3.py --loco 4013 --day 2017-05-21</v>
      </c>
      <c r="AN152" s="154" t="str">
        <f t="shared" si="55"/>
        <v>echo {"issue":{"subject":"Wi-MAX data drop","project_id":30,"tracker_id":4,"status_id":1,"priority_id":1,"assigned_to_id":10,"start_date":"2017-05-21","description":"","custom_fields":[{"id":30,"name":"Category","value":"Issue"},{"id":3,"name":"Functional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06:38:59"},{"id":29,"name":"Sharepoint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2" t="s">
        <v>641</v>
      </c>
      <c r="B153" s="7">
        <v>4013</v>
      </c>
      <c r="C153" s="21" t="s">
        <v>206</v>
      </c>
      <c r="D153" s="21" t="s">
        <v>957</v>
      </c>
      <c r="E153" s="13">
        <v>42875.993611111109</v>
      </c>
      <c r="F153" s="13">
        <v>42876.009791666664</v>
      </c>
      <c r="G153" s="7">
        <v>1</v>
      </c>
      <c r="H153" s="21" t="s">
        <v>971</v>
      </c>
      <c r="I153" s="13">
        <v>42876.027071759258</v>
      </c>
      <c r="J153" s="7">
        <v>0</v>
      </c>
      <c r="K153" s="92" t="str">
        <f t="shared" si="56"/>
        <v>4013/4014</v>
      </c>
      <c r="L153" s="21" t="str">
        <f>VLOOKUP(A153,'Trips&amp;Operators'!$C$1:$G$99999,5,FALSE)</f>
        <v>BROWN JACOB</v>
      </c>
      <c r="M153" s="6">
        <f t="shared" si="57"/>
        <v>1.7280092593864538E-2</v>
      </c>
      <c r="N153" s="7"/>
      <c r="O153" s="7"/>
      <c r="P153" s="7"/>
      <c r="Q153" s="22"/>
      <c r="R153" s="190"/>
      <c r="S153" s="196"/>
      <c r="T153" s="190" t="str">
        <f t="shared" si="58"/>
        <v>Southbound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0</v>
      </c>
      <c r="V153" s="191" t="str">
        <f t="shared" si="59"/>
        <v>https://d0f6bd738d7f1b3e5a7ca70fe4ff75f0.us-east-1.aws.found.io/app/kibana#/discover/Steve-Slow-Train-Analysis-(2080s-and-2083s)?_g=(refreshInterval:(display:Off,pause:!f,section:0,value:0),time:(from:'2017-05-20T22:50:48-0600',mode:absolute,to:'2017-05-21T01:38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3" s="192" t="str">
        <f t="shared" si="60"/>
        <v>Y</v>
      </c>
      <c r="X153" s="192">
        <f t="shared" si="51"/>
        <v>0</v>
      </c>
      <c r="Y153" s="192">
        <f t="shared" si="61"/>
        <v>23.3003</v>
      </c>
      <c r="Z153" s="192">
        <f t="shared" si="62"/>
        <v>20.642700000000001</v>
      </c>
      <c r="AA153" s="192">
        <f t="shared" si="63"/>
        <v>2.6575999999999986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64"/>
        <v>0238-20</v>
      </c>
      <c r="AE153" s="80" t="str">
        <f t="shared" si="65"/>
        <v>aws s3 cp s3://rtdc.mdm.uploadarchive.raw/RTDC4013/ "%USERPROFILE%\AppData\Local\Temp\OnboardLogs"\RTDC4013\2017-05-21 --exclude "*" --recursive --include "*20170521*" &amp; "%USERPROFILE%\Documents\GitHub\mrs-test-scripts\Headless Mode &amp; Sideloading\WalkAndUnGZ.bat" "%USERPROFILE%\AppData\Local\Temp\OnboardLogs"\RTDC4013\2017-05-21 &amp; aws s3 cp s3://rtdc.mdm.uploadarchive.raw/RTDC4013/ "%USERPROFILE%\AppData\Local\Temp\OnboardLogs"\RTDC4013\2017-05-22 --exclude "*" --recursive --include "*20170522*" &amp; "%USERPROFILE%\Documents\GitHub\mrs-test-scripts\Headless Mode &amp; Sideloading\WalkAndUnGZ.bat" "%USERPROFILE%\AppData\Local\Temp\OnboardLogs"\RTDC4013\2017-05-22</v>
      </c>
      <c r="AF153" s="77" t="str">
        <f t="shared" si="66"/>
        <v>"C:\Program Files (x86)\AstroGrep\AstroGrep.exe" /e /r /s /spath="%USERPROFILE%\AppData\Local\Temp\OnboardLogs" /stypes="app*4013*20170521*" /stext=" 06:.+((SYSTEM_STATE.+slice.+state.+changed )|(ment ac)|(multiple cpu faults)|(system.+state.+changed )|(\[timeout)|(PRM\|1\|D)|(kpr)|(kdp)|(train st.+moving)|(\|lc)|(penalty))"</v>
      </c>
      <c r="AG153" s="1" t="str">
        <f t="shared" si="67"/>
        <v>EC</v>
      </c>
      <c r="AH153" s="81" t="str">
        <f t="shared" si="52"/>
        <v>"%USERPROFILE%\Documents\GitHub\eaglep3\Utilities\RefineRTDCRunTimes.py" --tripid 238-20 --locoid 4013 --swversion DE.1.0.9.0 --startMP 204:233003 --initTime 2017-05-20T23:50:48 --startdatetime 2017-05-21T00:14:06 --delay 1 --endMP 204:206427 --enddatetime 2017-05-21T00:38:59 --enforcementcount 0 &gt;&gt;C:\Users\stu\Documents\GitHub\eaglep3-reporting\EC\2017-05-20-refined-times.txt</v>
      </c>
      <c r="AI153" s="99" t="str">
        <f t="shared" si="53"/>
        <v>echo {"issue":{"subject":"","project_id":79,"tracker_id":40,"status_id":1,"priority_id":2,"assigned_to_id":23,"start_date":"2017-05-21","description":"","custom_fields":[{"id":1,"name":"Subdivision","value":"EC"},{"id":4,"name":"Milepost","value":"20.6427"},{"id":17,"name":"Train ID","value":"238-20"},{"id":16,"name":"Locomotive ID","value":"4013"},{"id":130,"name":"Impact","value":""},{"id":150,"name":"Time of Event (Mountain Time)","value":"00:38:59"},{"id":151,"name":"Denver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5" t="str">
        <f t="shared" si="54"/>
        <v>start /low /b %USERPROFILE%\Documents\GitHub\eaglep3\Utilities\DownloadLogsFromS3.py --loco 4013 --day 2017-05-21</v>
      </c>
      <c r="AN153" s="154" t="str">
        <f t="shared" si="5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06:38:59"},{"id":29,"name":"Sharepoint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x14ac:dyDescent="0.25">
      <c r="A154" s="32" t="s">
        <v>817</v>
      </c>
      <c r="B154" s="7">
        <v>4026</v>
      </c>
      <c r="C154" s="21" t="s">
        <v>206</v>
      </c>
      <c r="D154" s="21" t="s">
        <v>202</v>
      </c>
      <c r="E154" s="13">
        <v>42875.970625000002</v>
      </c>
      <c r="F154" s="13">
        <v>42875.979351851849</v>
      </c>
      <c r="G154" s="7">
        <v>12</v>
      </c>
      <c r="H154" s="21" t="s">
        <v>567</v>
      </c>
      <c r="I154" s="13">
        <v>42876.004317129627</v>
      </c>
      <c r="J154" s="7">
        <v>0</v>
      </c>
      <c r="K154" s="92" t="str">
        <f t="shared" si="56"/>
        <v>4025/4026</v>
      </c>
      <c r="L154" s="21" t="str">
        <f>VLOOKUP(A154,'Trips&amp;Operators'!$C$1:$G$99999,5,FALSE)</f>
        <v>SMITH MICHAEL</v>
      </c>
      <c r="M154" s="6">
        <f t="shared" si="57"/>
        <v>2.4965277778392192E-2</v>
      </c>
      <c r="N154" s="7">
        <f t="shared" ref="N154:N185" si="68">24*60*SUM($M154:$M154)</f>
        <v>35.950000000884756</v>
      </c>
      <c r="O154" s="7"/>
      <c r="P154" s="7"/>
      <c r="Q154" s="22"/>
      <c r="R154" s="190"/>
      <c r="S154" s="196">
        <f t="shared" ref="S154:S185" si="69">SUM(U154:U154)/IF(AG154="EC",12,1)</f>
        <v>1</v>
      </c>
      <c r="T154" s="190" t="str">
        <f t="shared" si="58"/>
        <v>NorthBound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 t="shared" si="59"/>
        <v>https://d0f6bd738d7f1b3e5a7ca70fe4ff75f0.us-east-1.aws.found.io/app/kibana#/discover/Steve-Slow-Train-Analysis-(2080s-and-2083s)?_g=(refreshInterval:(display:Off,pause:!f,section:0,value:0),time:(from:'2017-05-20T22:17:42-0600',mode:absolute,to:'2017-05-21T01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4" s="192" t="str">
        <f t="shared" si="60"/>
        <v>N</v>
      </c>
      <c r="X154" s="192">
        <f t="shared" ref="X154:X164" si="70">VALUE(LEFT(AD154,4))-VALUE(LEFT(AD153,4))</f>
        <v>1</v>
      </c>
      <c r="Y154" s="192">
        <f t="shared" si="61"/>
        <v>4.5699999999999998E-2</v>
      </c>
      <c r="Z154" s="192">
        <f t="shared" si="62"/>
        <v>23.327000000000002</v>
      </c>
      <c r="AA154" s="192">
        <f t="shared" si="63"/>
        <v>23.281300000000002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64"/>
        <v>0239-20</v>
      </c>
      <c r="AE154" s="80" t="str">
        <f t="shared" si="65"/>
        <v>aws s3 cp s3://rtdc.mdm.uploadarchive.raw/RTDC4026/ "%USERPROFILE%\AppData\Local\Temp\OnboardLogs"\RTDC4026\2017-05-20 --exclude "*" --recursive --include "*20170520*" &amp; "%USERPROFILE%\Documents\GitHub\mrs-test-scripts\Headless Mode &amp; Sideloading\WalkAndUnGZ.bat" "%USERPROFILE%\AppData\Local\Temp\OnboardLogs"\RTDC4026\2017-05-20 &amp; aws s3 cp s3://rtdc.mdm.uploadarchive.raw/RTDC4026/ "%USERPROFILE%\AppData\Local\Temp\OnboardLogs"\RTDC4026\2017-05-21 --exclude "*" --recursive --include "*20170521*" &amp; "%USERPROFILE%\Documents\GitHub\mrs-test-scripts\Headless Mode &amp; Sideloading\WalkAndUnGZ.bat" "%USERPROFILE%\AppData\Local\Temp\OnboardLogs"\RTDC4026\2017-05-21</v>
      </c>
      <c r="AF154" s="77" t="str">
        <f t="shared" si="66"/>
        <v>"C:\Program Files (x86)\AstroGrep\AstroGrep.exe" /e /r /s /spath="%USERPROFILE%\AppData\Local\Temp\OnboardLogs" /stypes="app*4026*20170521*" /stext=" 06:.+((SYSTEM_STATE.+slice.+state.+changed )|(ment ac)|(multiple cpu faults)|(system.+state.+changed )|(\[timeout)|(PRM\|1\|D)|(kpr)|(kdp)|(train st.+moving)|(\|lc)|(penalty))"</v>
      </c>
      <c r="AG154" s="1" t="str">
        <f t="shared" si="67"/>
        <v>EC</v>
      </c>
      <c r="AH154" s="81" t="str">
        <f t="shared" si="52"/>
        <v>"%USERPROFILE%\Documents\GitHub\eaglep3\Utilities\RefineRTDCRunTimes.py" --tripid 239-20 --locoid 4026 --swversion DE.1.0.9.0 --startMP 204:457 --initTime 2017-05-20T23:17:42 --startdatetime 2017-05-20T23:30:16 --delay 12 --endMP 204:233270 --enddatetime 2017-05-21T00:06:13 --enforcementcount 0 &gt;&gt;C:\Users\stu\Documents\GitHub\eaglep3-reporting\EC\2017-05-20-refined-times.txt</v>
      </c>
      <c r="AI154" s="99" t="str">
        <f t="shared" si="53"/>
        <v>echo {"issue":{"subject":"","project_id":79,"tracker_id":40,"status_id":1,"priority_id":2,"assigned_to_id":23,"start_date":"2017-05-21","description":"","custom_fields":[{"id":1,"name":"Subdivision","value":"EC"},{"id":4,"name":"Milepost","value":"23.327"},{"id":17,"name":"Train ID","value":"239-20"},{"id":16,"name":"Locomotive ID","value":"4026"},{"id":130,"name":"Impact","value":""},{"id":150,"name":"Time of Event (Mountain Time)","value":"00:06:13"},{"id":151,"name":"Denver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5" t="str">
        <f t="shared" si="54"/>
        <v>start /low /b %USERPROFILE%\Documents\GitHub\eaglep3\Utilities\DownloadLogsFromS3.py --loco 4026 --day 2017-05-20</v>
      </c>
      <c r="AN154" s="154" t="str">
        <f t="shared" si="5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06:06:13"},{"id":29,"name":"Sharepoint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s="20" customFormat="1" x14ac:dyDescent="0.25">
      <c r="A155" s="32" t="s">
        <v>819</v>
      </c>
      <c r="B155" s="7">
        <v>4025</v>
      </c>
      <c r="C155" s="21" t="s">
        <v>206</v>
      </c>
      <c r="D155" s="21" t="s">
        <v>571</v>
      </c>
      <c r="E155" s="13">
        <v>42876.009340277778</v>
      </c>
      <c r="F155" s="13">
        <v>42876.018263888887</v>
      </c>
      <c r="G155" s="7">
        <v>1</v>
      </c>
      <c r="H155" s="21" t="s">
        <v>356</v>
      </c>
      <c r="I155" s="13">
        <v>42876.044895833336</v>
      </c>
      <c r="J155" s="7">
        <v>0</v>
      </c>
      <c r="K155" s="92" t="str">
        <f t="shared" si="56"/>
        <v>4025/4026</v>
      </c>
      <c r="L155" s="21" t="str">
        <f>VLOOKUP(A155,'Trips&amp;Operators'!$C$1:$G$99999,5,FALSE)</f>
        <v>SMITH MICHAEL</v>
      </c>
      <c r="M155" s="6">
        <f t="shared" si="57"/>
        <v>2.6631944449036382E-2</v>
      </c>
      <c r="N155" s="7">
        <f t="shared" si="68"/>
        <v>38.35000000661239</v>
      </c>
      <c r="O155" s="7"/>
      <c r="P155" s="7"/>
      <c r="Q155" s="22"/>
      <c r="R155" s="190"/>
      <c r="S155" s="196">
        <f t="shared" si="69"/>
        <v>1</v>
      </c>
      <c r="T155" s="190" t="str">
        <f t="shared" si="58"/>
        <v>Southbound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 t="shared" si="59"/>
        <v>https://d0f6bd738d7f1b3e5a7ca70fe4ff75f0.us-east-1.aws.found.io/app/kibana#/discover/Steve-Slow-Train-Analysis-(2080s-and-2083s)?_g=(refreshInterval:(display:Off,pause:!f,section:0,value:0),time:(from:'2017-05-20T23:13:27-0600',mode:absolute,to:'2017-05-21T02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5" s="192" t="str">
        <f t="shared" si="60"/>
        <v>N</v>
      </c>
      <c r="X155" s="192">
        <f t="shared" si="70"/>
        <v>1</v>
      </c>
      <c r="Y155" s="192">
        <f t="shared" si="61"/>
        <v>23.298500000000001</v>
      </c>
      <c r="Z155" s="192">
        <f t="shared" si="62"/>
        <v>1.4999999999999999E-2</v>
      </c>
      <c r="AA155" s="192">
        <f t="shared" si="63"/>
        <v>23.2835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64"/>
        <v>0240-20</v>
      </c>
      <c r="AE155" s="80" t="str">
        <f t="shared" si="65"/>
        <v>aws s3 cp s3://rtdc.mdm.uploadarchive.raw/RTDC4025/ "%USERPROFILE%\AppData\Local\Temp\OnboardLogs"\RTDC4025\2017-05-21 --exclude "*" --recursive --include "*20170521*" &amp; "%USERPROFILE%\Documents\GitHub\mrs-test-scripts\Headless Mode &amp; Sideloading\WalkAndUnGZ.bat" "%USERPROFILE%\AppData\Local\Temp\OnboardLogs"\RTDC4025\2017-05-21 &amp; aws s3 cp s3://rtdc.mdm.uploadarchive.raw/RTDC4025/ "%USERPROFILE%\AppData\Local\Temp\OnboardLogs"\RTDC4025\2017-05-22 --exclude "*" --recursive --include "*20170522*" &amp; "%USERPROFILE%\Documents\GitHub\mrs-test-scripts\Headless Mode &amp; Sideloading\WalkAndUnGZ.bat" "%USERPROFILE%\AppData\Local\Temp\OnboardLogs"\RTDC4025\2017-05-22</v>
      </c>
      <c r="AF155" s="77" t="str">
        <f t="shared" si="66"/>
        <v>"C:\Program Files (x86)\AstroGrep\AstroGrep.exe" /e /r /s /spath="%USERPROFILE%\AppData\Local\Temp\OnboardLogs" /stypes="app*4025*20170521*" /stext=" 07:.+((SYSTEM_STATE.+slice.+state.+changed )|(ment ac)|(multiple cpu faults)|(system.+state.+changed )|(\[timeout)|(PRM\|1\|D)|(kpr)|(kdp)|(train st.+moving)|(\|lc)|(penalty))"</v>
      </c>
      <c r="AG155" s="1" t="str">
        <f t="shared" si="67"/>
        <v>EC</v>
      </c>
      <c r="AH155" s="81" t="str">
        <f t="shared" si="52"/>
        <v>"%USERPROFILE%\Documents\GitHub\eaglep3\Utilities\RefineRTDCRunTimes.py" --tripid 240-20 --locoid 4025 --swversion DE.1.0.9.0 --startMP 204:232985 --initTime 2017-05-21T00:13:27 --startdatetime 2017-05-21T00:26:18 --delay 1 --endMP 204:150 --enddatetime 2017-05-21T01:04:39 --enforcementcount 0 &gt;&gt;C:\Users\stu\Documents\GitHub\eaglep3-reporting\EC\2017-05-20-refined-times.txt</v>
      </c>
      <c r="AI155" s="99" t="str">
        <f t="shared" si="53"/>
        <v>echo {"issue":{"subject":"","project_id":79,"tracker_id":40,"status_id":1,"priority_id":2,"assigned_to_id":23,"start_date":"2017-05-21","description":"","custom_fields":[{"id":1,"name":"Subdivision","value":"EC"},{"id":4,"name":"Milepost","value":"0.015"},{"id":17,"name":"Train ID","value":"240-20"},{"id":16,"name":"Locomotive ID","value":"4025"},{"id":130,"name":"Impact","value":""},{"id":150,"name":"Time of Event (Mountain Time)","value":"01:04:39"},{"id":151,"name":"Denver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54"/>
        <v>start /low /b %USERPROFILE%\Documents\GitHub\eaglep3\Utilities\DownloadLogsFromS3.py --loco 4025 --day 2017-05-21</v>
      </c>
      <c r="AN155" s="154" t="str">
        <f t="shared" si="5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07:04:39"},{"id":29,"name":"Sharepoint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642</v>
      </c>
      <c r="B156" s="7">
        <v>4012</v>
      </c>
      <c r="C156" s="21" t="s">
        <v>206</v>
      </c>
      <c r="D156" s="21" t="s">
        <v>347</v>
      </c>
      <c r="E156" s="13">
        <v>42875.986018518517</v>
      </c>
      <c r="F156" s="13">
        <v>42876.000636574077</v>
      </c>
      <c r="G156" s="7">
        <v>1</v>
      </c>
      <c r="H156" s="21" t="s">
        <v>959</v>
      </c>
      <c r="I156" s="13">
        <v>42876.025300925925</v>
      </c>
      <c r="J156" s="7">
        <v>0</v>
      </c>
      <c r="K156" s="92" t="str">
        <f t="shared" si="56"/>
        <v>4011/4012</v>
      </c>
      <c r="L156" s="21" t="str">
        <f>VLOOKUP(A156,'Trips&amp;Operators'!$C$1:$G$99999,5,FALSE)</f>
        <v>STAMBAUGH JAMES</v>
      </c>
      <c r="M156" s="6">
        <f t="shared" si="57"/>
        <v>2.4664351847604848E-2</v>
      </c>
      <c r="N156" s="7">
        <f t="shared" si="68"/>
        <v>35.516666660550982</v>
      </c>
      <c r="O156" s="7"/>
      <c r="P156" s="7"/>
      <c r="Q156" s="22"/>
      <c r="R156" s="190"/>
      <c r="S156" s="196">
        <f t="shared" si="69"/>
        <v>1</v>
      </c>
      <c r="T156" s="190" t="str">
        <f t="shared" si="58"/>
        <v>NorthBound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 t="shared" si="59"/>
        <v>https://d0f6bd738d7f1b3e5a7ca70fe4ff75f0.us-east-1.aws.found.io/app/kibana#/discover/Steve-Slow-Train-Analysis-(2080s-and-2083s)?_g=(refreshInterval:(display:Off,pause:!f,section:0,value:0),time:(from:'2017-05-20T22:39:52-0600',mode:absolute,to:'2017-05-21T01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6" s="192" t="str">
        <f t="shared" si="60"/>
        <v>N</v>
      </c>
      <c r="X156" s="192">
        <f t="shared" si="70"/>
        <v>1</v>
      </c>
      <c r="Y156" s="192">
        <f t="shared" si="61"/>
        <v>4.4900000000000002E-2</v>
      </c>
      <c r="Z156" s="192">
        <f t="shared" si="62"/>
        <v>23.345600000000001</v>
      </c>
      <c r="AA156" s="192">
        <f t="shared" si="63"/>
        <v>23.300700000000003</v>
      </c>
      <c r="AB156" s="57" t="str">
        <f>VLOOKUP(A156,Enforcements!$C$7:$K$13,8,0)</f>
        <v>Bulletin (2)</v>
      </c>
      <c r="AC156" s="53" t="str">
        <f>VLOOKUP(A156,Enforcements!$C$7:$E$13,3,0)</f>
        <v>GRADE CROSSING</v>
      </c>
      <c r="AD156" s="54" t="str">
        <f t="shared" si="64"/>
        <v>0241-20</v>
      </c>
      <c r="AE156" s="80" t="str">
        <f t="shared" si="65"/>
        <v>aws s3 cp s3://rtdc.mdm.uploadarchive.raw/RTDC4012/ "%USERPROFILE%\AppData\Local\Temp\OnboardLogs"\RTDC4012\2017-05-21 --exclude "*" --recursive --include "*20170521*" &amp; "%USERPROFILE%\Documents\GitHub\mrs-test-scripts\Headless Mode &amp; Sideloading\WalkAndUnGZ.bat" "%USERPROFILE%\AppData\Local\Temp\OnboardLogs"\RTDC4012\2017-05-21 &amp; aws s3 cp s3://rtdc.mdm.uploadarchive.raw/RTDC4012/ "%USERPROFILE%\AppData\Local\Temp\OnboardLogs"\RTDC4012\2017-05-22 --exclude "*" --recursive --include "*20170522*" &amp; "%USERPROFILE%\Documents\GitHub\mrs-test-scripts\Headless Mode &amp; Sideloading\WalkAndUnGZ.bat" "%USERPROFILE%\AppData\Local\Temp\OnboardLogs"\RTDC4012\2017-05-22</v>
      </c>
      <c r="AF156" s="77" t="str">
        <f t="shared" si="66"/>
        <v>"C:\Program Files (x86)\AstroGrep\AstroGrep.exe" /e /r /s /spath="%USERPROFILE%\AppData\Local\Temp\OnboardLogs" /stypes="app*4012*20170521*" /stext=" 06:.+((SYSTEM_STATE.+slice.+state.+changed )|(ment ac)|(multiple cpu faults)|(system.+state.+changed )|(\[timeout)|(PRM\|1\|D)|(kpr)|(kdp)|(train st.+moving)|(\|lc)|(penalty))"</v>
      </c>
      <c r="AG156" s="1" t="str">
        <f t="shared" si="67"/>
        <v>EC</v>
      </c>
      <c r="AH156" s="81" t="str">
        <f t="shared" si="52"/>
        <v>"%USERPROFILE%\Documents\GitHub\eaglep3\Utilities\RefineRTDCRunTimes.py" --tripid 241-20 --locoid 4012 --swversion DE.1.0.9.0 --startMP 204:449 --initTime 2017-05-20T23:39:52 --startdatetime 2017-05-21T00:00:55 --delay 1 --endMP 204:233456 --enddatetime 2017-05-21T00:36:26 --enforcementcount 0 &gt;&gt;C:\Users\stu\Documents\GitHub\eaglep3-reporting\EC\2017-05-20-refined-times.txt</v>
      </c>
      <c r="AI156" s="99" t="str">
        <f t="shared" si="53"/>
        <v>echo {"issue":{"subject":"","project_id":79,"tracker_id":40,"status_id":1,"priority_id":2,"assigned_to_id":23,"start_date":"2017-05-21","description":"","custom_fields":[{"id":1,"name":"Subdivision","value":"EC"},{"id":4,"name":"Milepost","value":"23.3456"},{"id":17,"name":"Train ID","value":"241-20"},{"id":16,"name":"Locomotive ID","value":"4012"},{"id":130,"name":"Impact","value":""},{"id":150,"name":"Time of Event (Mountain Time)","value":"00:36:26"},{"id":151,"name":"Denver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si="54"/>
        <v>start /low /b %USERPROFILE%\Documents\GitHub\eaglep3\Utilities\DownloadLogsFromS3.py --loco 4012 --day 2017-05-21</v>
      </c>
      <c r="AN156" s="154" t="str">
        <f t="shared" si="5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06:36:26"},{"id":29,"name":"Sharepoint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821</v>
      </c>
      <c r="B157" s="7">
        <v>4011</v>
      </c>
      <c r="C157" s="21" t="s">
        <v>206</v>
      </c>
      <c r="D157" s="21" t="s">
        <v>570</v>
      </c>
      <c r="E157" s="13">
        <v>42876.036631944444</v>
      </c>
      <c r="F157" s="13">
        <v>42876.039270833331</v>
      </c>
      <c r="G157" s="7">
        <v>1</v>
      </c>
      <c r="H157" s="21" t="s">
        <v>493</v>
      </c>
      <c r="I157" s="13">
        <v>42876.065462962964</v>
      </c>
      <c r="J157" s="7">
        <v>0</v>
      </c>
      <c r="K157" s="92" t="str">
        <f t="shared" si="56"/>
        <v>4011/4012</v>
      </c>
      <c r="L157" s="21" t="str">
        <f>VLOOKUP(A157,'Trips&amp;Operators'!$C$1:$G$99999,5,FALSE)</f>
        <v>STAMBAUGH JAMES</v>
      </c>
      <c r="M157" s="6">
        <f t="shared" si="57"/>
        <v>2.6192129633272998E-2</v>
      </c>
      <c r="N157" s="7">
        <f t="shared" si="68"/>
        <v>37.716666671913117</v>
      </c>
      <c r="O157" s="7"/>
      <c r="P157" s="7"/>
      <c r="Q157" s="22"/>
      <c r="R157" s="190"/>
      <c r="S157" s="196">
        <f t="shared" si="69"/>
        <v>1</v>
      </c>
      <c r="T157" s="190" t="str">
        <f t="shared" si="58"/>
        <v>Southbound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1" t="str">
        <f t="shared" si="59"/>
        <v>https://d0f6bd738d7f1b3e5a7ca70fe4ff75f0.us-east-1.aws.found.io/app/kibana#/discover/Steve-Slow-Train-Analysis-(2080s-and-2083s)?_g=(refreshInterval:(display:Off,pause:!f,section:0,value:0),time:(from:'2017-05-20T23:52:45-0600',mode:absolute,to:'2017-05-21T02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7" s="192" t="str">
        <f t="shared" si="60"/>
        <v>N</v>
      </c>
      <c r="X157" s="192">
        <f t="shared" si="70"/>
        <v>1</v>
      </c>
      <c r="Y157" s="192">
        <f t="shared" si="61"/>
        <v>23.314399999999999</v>
      </c>
      <c r="Z157" s="192">
        <f t="shared" si="62"/>
        <v>1.29E-2</v>
      </c>
      <c r="AA157" s="192">
        <f t="shared" si="63"/>
        <v>23.301500000000001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64"/>
        <v>0242-20</v>
      </c>
      <c r="AE157" s="80" t="str">
        <f t="shared" si="65"/>
        <v>aws s3 cp s3://rtdc.mdm.uploadarchive.raw/RTDC4011/ "%USERPROFILE%\AppData\Local\Temp\OnboardLogs"\RTDC4011\2017-05-21 --exclude "*" --recursive --include "*20170521*" &amp; "%USERPROFILE%\Documents\GitHub\mrs-test-scripts\Headless Mode &amp; Sideloading\WalkAndUnGZ.bat" "%USERPROFILE%\AppData\Local\Temp\OnboardLogs"\RTDC4011\2017-05-21 &amp; aws s3 cp s3://rtdc.mdm.uploadarchive.raw/RTDC4011/ "%USERPROFILE%\AppData\Local\Temp\OnboardLogs"\RTDC4011\2017-05-22 --exclude "*" --recursive --include "*20170522*" &amp; "%USERPROFILE%\Documents\GitHub\mrs-test-scripts\Headless Mode &amp; Sideloading\WalkAndUnGZ.bat" "%USERPROFILE%\AppData\Local\Temp\OnboardLogs"\RTDC4011\2017-05-22</v>
      </c>
      <c r="AF157" s="77" t="str">
        <f t="shared" si="66"/>
        <v>"C:\Program Files (x86)\AstroGrep\AstroGrep.exe" /e /r /s /spath="%USERPROFILE%\AppData\Local\Temp\OnboardLogs" /stypes="app*4011*20170521*" /stext=" 07:.+((SYSTEM_STATE.+slice.+state.+changed )|(ment ac)|(multiple cpu faults)|(system.+state.+changed )|(\[timeout)|(PRM\|1\|D)|(kpr)|(kdp)|(train st.+moving)|(\|lc)|(penalty))"</v>
      </c>
      <c r="AG157" s="1" t="str">
        <f t="shared" si="67"/>
        <v>EC</v>
      </c>
      <c r="AH157" s="81" t="str">
        <f t="shared" si="52"/>
        <v>"%USERPROFILE%\Documents\GitHub\eaglep3\Utilities\RefineRTDCRunTimes.py" --tripid 242-20 --locoid 4011 --swversion DE.1.0.9.0 --startMP 204:233144 --initTime 2017-05-21T00:52:45 --startdatetime 2017-05-21T00:56:33 --delay 1 --endMP 204:129 --enddatetime 2017-05-21T01:34:16 --enforcementcount 0 &gt;&gt;C:\Users\stu\Documents\GitHub\eaglep3-reporting\EC\2017-05-20-refined-times.txt</v>
      </c>
      <c r="AI157" s="99" t="str">
        <f t="shared" si="53"/>
        <v>echo {"issue":{"subject":"","project_id":79,"tracker_id":40,"status_id":1,"priority_id":2,"assigned_to_id":23,"start_date":"2017-05-21","description":"","custom_fields":[{"id":1,"name":"Subdivision","value":"EC"},{"id":4,"name":"Milepost","value":"0.0129"},{"id":17,"name":"Train ID","value":"242-20"},{"id":16,"name":"Locomotive ID","value":"4011"},{"id":130,"name":"Impact","value":""},{"id":150,"name":"Time of Event (Mountain Time)","value":"01:34:16"},{"id":151,"name":"Denver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5" t="str">
        <f t="shared" si="54"/>
        <v>start /low /b %USERPROFILE%\Documents\GitHub\eaglep3\Utilities\DownloadLogsFromS3.py --loco 4011 --day 2017-05-21</v>
      </c>
      <c r="AN157" s="154" t="str">
        <f t="shared" si="5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07:34:16"},{"id":29,"name":"Sharepoint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820</v>
      </c>
      <c r="B158" s="7">
        <v>4022</v>
      </c>
      <c r="C158" s="21" t="s">
        <v>206</v>
      </c>
      <c r="D158" s="21" t="s">
        <v>572</v>
      </c>
      <c r="E158" s="13">
        <v>42876.011770833335</v>
      </c>
      <c r="F158" s="13">
        <v>42876.021099537036</v>
      </c>
      <c r="G158" s="7">
        <v>1</v>
      </c>
      <c r="H158" s="21" t="s">
        <v>972</v>
      </c>
      <c r="I158" s="13">
        <v>42876.047048611108</v>
      </c>
      <c r="J158" s="7">
        <v>0</v>
      </c>
      <c r="K158" s="92" t="str">
        <f t="shared" si="56"/>
        <v>4021/4022</v>
      </c>
      <c r="L158" s="21" t="str">
        <f>VLOOKUP(A158,'Trips&amp;Operators'!$C$1:$G$99999,5,FALSE)</f>
        <v>SWANSON BRYCE</v>
      </c>
      <c r="M158" s="6">
        <f t="shared" si="57"/>
        <v>2.5949074071832001E-2</v>
      </c>
      <c r="N158" s="7">
        <f t="shared" si="68"/>
        <v>37.366666663438082</v>
      </c>
      <c r="O158" s="7"/>
      <c r="P158" s="7"/>
      <c r="Q158" s="22"/>
      <c r="R158" s="190"/>
      <c r="S158" s="196">
        <f t="shared" si="69"/>
        <v>1</v>
      </c>
      <c r="T158" s="190" t="str">
        <f t="shared" si="58"/>
        <v>NorthBound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1" t="str">
        <f t="shared" si="59"/>
        <v>https://d0f6bd738d7f1b3e5a7ca70fe4ff75f0.us-east-1.aws.found.io/app/kibana#/discover/Steve-Slow-Train-Analysis-(2080s-and-2083s)?_g=(refreshInterval:(display:Off,pause:!f,section:0,value:0),time:(from:'2017-05-20T23:16:57-0600',mode:absolute,to:'2017-05-21T02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8" s="192" t="str">
        <f t="shared" si="60"/>
        <v>N</v>
      </c>
      <c r="X158" s="192">
        <f t="shared" si="70"/>
        <v>1</v>
      </c>
      <c r="Y158" s="192">
        <f t="shared" si="61"/>
        <v>5.04E-2</v>
      </c>
      <c r="Z158" s="192">
        <f t="shared" si="62"/>
        <v>23.3444</v>
      </c>
      <c r="AA158" s="192">
        <f t="shared" si="63"/>
        <v>23.294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64"/>
        <v>0243-20</v>
      </c>
      <c r="AE158" s="80" t="str">
        <f t="shared" si="65"/>
        <v>aws s3 cp s3://rtdc.mdm.uploadarchive.raw/RTDC4022/ "%USERPROFILE%\AppData\Local\Temp\OnboardLogs"\RTDC4022\2017-05-21 --exclude "*" --recursive --include "*20170521*" &amp; "%USERPROFILE%\Documents\GitHub\mrs-test-scripts\Headless Mode &amp; Sideloading\WalkAndUnGZ.bat" "%USERPROFILE%\AppData\Local\Temp\OnboardLogs"\RTDC4022\2017-05-21 &amp; aws s3 cp s3://rtdc.mdm.uploadarchive.raw/RTDC4022/ "%USERPROFILE%\AppData\Local\Temp\OnboardLogs"\RTDC4022\2017-05-22 --exclude "*" --recursive --include "*20170522*" &amp; "%USERPROFILE%\Documents\GitHub\mrs-test-scripts\Headless Mode &amp; Sideloading\WalkAndUnGZ.bat" "%USERPROFILE%\AppData\Local\Temp\OnboardLogs"\RTDC4022\2017-05-22</v>
      </c>
      <c r="AF158" s="77" t="str">
        <f t="shared" si="66"/>
        <v>"C:\Program Files (x86)\AstroGrep\AstroGrep.exe" /e /r /s /spath="%USERPROFILE%\AppData\Local\Temp\OnboardLogs" /stypes="app*4022*20170521*" /stext=" 07:.+((SYSTEM_STATE.+slice.+state.+changed )|(ment ac)|(multiple cpu faults)|(system.+state.+changed )|(\[timeout)|(PRM\|1\|D)|(kpr)|(kdp)|(train st.+moving)|(\|lc)|(penalty))"</v>
      </c>
      <c r="AG158" s="1" t="str">
        <f t="shared" si="67"/>
        <v>EC</v>
      </c>
      <c r="AH158" s="81" t="str">
        <f t="shared" si="52"/>
        <v>"%USERPROFILE%\Documents\GitHub\eaglep3\Utilities\RefineRTDCRunTimes.py" --tripid 243-20 --locoid 4022 --swversion DE.1.0.9.0 --startMP 204:504 --initTime 2017-05-21T00:16:57 --startdatetime 2017-05-21T00:30:23 --delay 1 --endMP 204:233444 --enddatetime 2017-05-21T01:07:45 --enforcementcount 0 &gt;&gt;C:\Users\stu\Documents\GitHub\eaglep3-reporting\EC\2017-05-20-refined-times.txt</v>
      </c>
      <c r="AI158" s="99" t="str">
        <f t="shared" si="53"/>
        <v>echo {"issue":{"subject":"","project_id":79,"tracker_id":40,"status_id":1,"priority_id":2,"assigned_to_id":23,"start_date":"2017-05-21","description":"","custom_fields":[{"id":1,"name":"Subdivision","value":"EC"},{"id":4,"name":"Milepost","value":"23.3444"},{"id":17,"name":"Train ID","value":"243-20"},{"id":16,"name":"Locomotive ID","value":"4022"},{"id":130,"name":"Impact","value":""},{"id":150,"name":"Time of Event (Mountain Time)","value":"01:07:45"},{"id":151,"name":"Denver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5" t="str">
        <f t="shared" si="54"/>
        <v>start /low /b %USERPROFILE%\Documents\GitHub\eaglep3\Utilities\DownloadLogsFromS3.py --loco 4022 --day 2017-05-21</v>
      </c>
      <c r="AN158" s="154" t="str">
        <f t="shared" si="5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07:07:45"},{"id":29,"name":"Sharepoint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823</v>
      </c>
      <c r="B159" s="7">
        <v>4021</v>
      </c>
      <c r="C159" s="21" t="s">
        <v>206</v>
      </c>
      <c r="D159" s="21" t="s">
        <v>973</v>
      </c>
      <c r="E159" s="13">
        <v>42876.058067129627</v>
      </c>
      <c r="F159" s="13">
        <v>42876.059907407405</v>
      </c>
      <c r="G159" s="7">
        <v>1</v>
      </c>
      <c r="H159" s="21" t="s">
        <v>197</v>
      </c>
      <c r="I159" s="13">
        <v>42876.087824074071</v>
      </c>
      <c r="J159" s="7">
        <v>0</v>
      </c>
      <c r="K159" s="92" t="str">
        <f t="shared" si="56"/>
        <v>4021/4022</v>
      </c>
      <c r="L159" s="21" t="str">
        <f>VLOOKUP(A159,'Trips&amp;Operators'!$C$1:$G$99999,5,FALSE)</f>
        <v>SWANSON BRYCE</v>
      </c>
      <c r="M159" s="6">
        <f t="shared" si="57"/>
        <v>2.7916666665987577E-2</v>
      </c>
      <c r="N159" s="7">
        <f t="shared" si="68"/>
        <v>40.199999999022111</v>
      </c>
      <c r="O159" s="7"/>
      <c r="P159" s="7"/>
      <c r="Q159" s="22"/>
      <c r="R159" s="190"/>
      <c r="S159" s="196">
        <f t="shared" si="69"/>
        <v>1</v>
      </c>
      <c r="T159" s="190" t="str">
        <f t="shared" si="58"/>
        <v>Southbound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1" t="str">
        <f t="shared" si="59"/>
        <v>https://d0f6bd738d7f1b3e5a7ca70fe4ff75f0.us-east-1.aws.found.io/app/kibana#/discover/Steve-Slow-Train-Analysis-(2080s-and-2083s)?_g=(refreshInterval:(display:Off,pause:!f,section:0,value:0),time:(from:'2017-05-21T00:23:37-0600',mode:absolute,to:'2017-05-21T03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9" s="192" t="str">
        <f t="shared" si="60"/>
        <v>N</v>
      </c>
      <c r="X159" s="192">
        <f t="shared" si="70"/>
        <v>1</v>
      </c>
      <c r="Y159" s="192">
        <f t="shared" si="61"/>
        <v>23.3142</v>
      </c>
      <c r="Z159" s="192">
        <f t="shared" si="62"/>
        <v>1.52E-2</v>
      </c>
      <c r="AA159" s="192">
        <f t="shared" si="63"/>
        <v>23.298999999999999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64"/>
        <v>0244-20</v>
      </c>
      <c r="AE159" s="80" t="str">
        <f t="shared" si="65"/>
        <v>aws s3 cp s3://rtdc.mdm.uploadarchive.raw/RTDC4021/ "%USERPROFILE%\AppData\Local\Temp\OnboardLogs"\RTDC4021\2017-05-21 --exclude "*" --recursive --include "*20170521*" &amp; "%USERPROFILE%\Documents\GitHub\mrs-test-scripts\Headless Mode &amp; Sideloading\WalkAndUnGZ.bat" "%USERPROFILE%\AppData\Local\Temp\OnboardLogs"\RTDC4021\2017-05-21 &amp; aws s3 cp s3://rtdc.mdm.uploadarchive.raw/RTDC4021/ "%USERPROFILE%\AppData\Local\Temp\OnboardLogs"\RTDC4021\2017-05-22 --exclude "*" --recursive --include "*20170522*" &amp; "%USERPROFILE%\Documents\GitHub\mrs-test-scripts\Headless Mode &amp; Sideloading\WalkAndUnGZ.bat" "%USERPROFILE%\AppData\Local\Temp\OnboardLogs"\RTDC4021\2017-05-22</v>
      </c>
      <c r="AF159" s="77" t="str">
        <f t="shared" si="66"/>
        <v>"C:\Program Files (x86)\AstroGrep\AstroGrep.exe" /e /r /s /spath="%USERPROFILE%\AppData\Local\Temp\OnboardLogs" /stypes="app*4021*20170521*" /stext=" 08:.+((SYSTEM_STATE.+slice.+state.+changed )|(ment ac)|(multiple cpu faults)|(system.+state.+changed )|(\[timeout)|(PRM\|1\|D)|(kpr)|(kdp)|(train st.+moving)|(\|lc)|(penalty))"</v>
      </c>
      <c r="AG159" s="1" t="str">
        <f t="shared" si="67"/>
        <v>EC</v>
      </c>
      <c r="AH159" s="81" t="str">
        <f t="shared" si="52"/>
        <v>"%USERPROFILE%\Documents\GitHub\eaglep3\Utilities\RefineRTDCRunTimes.py" --tripid 244-20 --locoid 4021 --swversion DE.1.0.9.0 --startMP 204:233142 --initTime 2017-05-21T01:23:37 --startdatetime 2017-05-21T01:26:16 --delay 1 --endMP 204:152 --enddatetime 2017-05-21T02:06:28 --enforcementcount 0 &gt;&gt;C:\Users\stu\Documents\GitHub\eaglep3-reporting\EC\2017-05-20-refined-times.txt</v>
      </c>
      <c r="AI159" s="99" t="str">
        <f t="shared" si="53"/>
        <v>echo {"issue":{"subject":"","project_id":79,"tracker_id":40,"status_id":1,"priority_id":2,"assigned_to_id":23,"start_date":"2017-05-21","description":"","custom_fields":[{"id":1,"name":"Subdivision","value":"EC"},{"id":4,"name":"Milepost","value":"0.0152"},{"id":17,"name":"Train ID","value":"244-20"},{"id":16,"name":"Locomotive ID","value":"4021"},{"id":130,"name":"Impact","value":""},{"id":150,"name":"Time of Event (Mountain Time)","value":"02:06:28"},{"id":151,"name":"Denver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5" t="str">
        <f t="shared" si="54"/>
        <v>start /low /b %USERPROFILE%\Documents\GitHub\eaglep3\Utilities\DownloadLogsFromS3.py --loco 4021 --day 2017-05-21</v>
      </c>
      <c r="AN159" s="154" t="str">
        <f t="shared" si="5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08:06:28"},{"id":29,"name":"Sharepoint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644</v>
      </c>
      <c r="B160" s="7">
        <v>4014</v>
      </c>
      <c r="C160" s="21" t="s">
        <v>206</v>
      </c>
      <c r="D160" s="21" t="s">
        <v>430</v>
      </c>
      <c r="E160" s="13">
        <v>42876.037291666667</v>
      </c>
      <c r="F160" s="13">
        <v>42876.041944444441</v>
      </c>
      <c r="G160" s="7">
        <v>1</v>
      </c>
      <c r="H160" s="21" t="s">
        <v>974</v>
      </c>
      <c r="I160" s="13">
        <v>42876.067337962966</v>
      </c>
      <c r="J160" s="7">
        <v>0</v>
      </c>
      <c r="K160" s="92" t="str">
        <f t="shared" si="56"/>
        <v>4013/4014</v>
      </c>
      <c r="L160" s="21" t="str">
        <f>VLOOKUP(A160,'Trips&amp;Operators'!$C$1:$G$99999,5,FALSE)</f>
        <v>BROWN JACOB</v>
      </c>
      <c r="M160" s="6">
        <f t="shared" si="57"/>
        <v>2.5393518524651881E-2</v>
      </c>
      <c r="N160" s="7">
        <f t="shared" si="68"/>
        <v>36.566666675498709</v>
      </c>
      <c r="O160" s="7"/>
      <c r="P160" s="7"/>
      <c r="Q160" s="22"/>
      <c r="R160" s="190"/>
      <c r="S160" s="196">
        <f t="shared" si="69"/>
        <v>1</v>
      </c>
      <c r="T160" s="190" t="str">
        <f t="shared" si="58"/>
        <v>NorthBound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1" t="str">
        <f t="shared" si="59"/>
        <v>https://d0f6bd738d7f1b3e5a7ca70fe4ff75f0.us-east-1.aws.found.io/app/kibana#/discover/Steve-Slow-Train-Analysis-(2080s-and-2083s)?_g=(refreshInterval:(display:Off,pause:!f,section:0,value:0),time:(from:'2017-05-20T23:53:42-0600',mode:absolute,to:'2017-05-21T02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0" s="192" t="str">
        <f t="shared" si="60"/>
        <v>N</v>
      </c>
      <c r="X160" s="192">
        <f t="shared" si="70"/>
        <v>1</v>
      </c>
      <c r="Y160" s="192">
        <f t="shared" si="61"/>
        <v>4.6899999999999997E-2</v>
      </c>
      <c r="Z160" s="192">
        <f t="shared" si="62"/>
        <v>23.334</v>
      </c>
      <c r="AA160" s="192">
        <f t="shared" si="63"/>
        <v>23.287099999999999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64"/>
        <v>0245-20</v>
      </c>
      <c r="AE160" s="80" t="str">
        <f t="shared" si="65"/>
        <v>aws s3 cp s3://rtdc.mdm.uploadarchive.raw/RTDC4014/ "%USERPROFILE%\AppData\Local\Temp\OnboardLogs"\RTDC4014\2017-05-21 --exclude "*" --recursive --include "*20170521*" &amp; "%USERPROFILE%\Documents\GitHub\mrs-test-scripts\Headless Mode &amp; Sideloading\WalkAndUnGZ.bat" "%USERPROFILE%\AppData\Local\Temp\OnboardLogs"\RTDC4014\2017-05-21 &amp; aws s3 cp s3://rtdc.mdm.uploadarchive.raw/RTDC4014/ "%USERPROFILE%\AppData\Local\Temp\OnboardLogs"\RTDC4014\2017-05-22 --exclude "*" --recursive --include "*20170522*" &amp; "%USERPROFILE%\Documents\GitHub\mrs-test-scripts\Headless Mode &amp; Sideloading\WalkAndUnGZ.bat" "%USERPROFILE%\AppData\Local\Temp\OnboardLogs"\RTDC4014\2017-05-22</v>
      </c>
      <c r="AF160" s="77" t="str">
        <f t="shared" si="66"/>
        <v>"C:\Program Files (x86)\AstroGrep\AstroGrep.exe" /e /r /s /spath="%USERPROFILE%\AppData\Local\Temp\OnboardLogs" /stypes="app*4014*20170521*" /stext=" 07:.+((SYSTEM_STATE.+slice.+state.+changed )|(ment ac)|(multiple cpu faults)|(system.+state.+changed )|(\[timeout)|(PRM\|1\|D)|(kpr)|(kdp)|(train st.+moving)|(\|lc)|(penalty))"</v>
      </c>
      <c r="AG160" s="1" t="str">
        <f t="shared" si="67"/>
        <v>EC</v>
      </c>
      <c r="AH160" s="81" t="str">
        <f t="shared" si="52"/>
        <v>"%USERPROFILE%\Documents\GitHub\eaglep3\Utilities\RefineRTDCRunTimes.py" --tripid 245-20 --locoid 4014 --swversion DE.1.0.9.0 --startMP 204:469 --initTime 2017-05-21T00:53:42 --startdatetime 2017-05-21T01:00:24 --delay 1 --endMP 204:233340 --enddatetime 2017-05-21T01:36:58 --enforcementcount 0 &gt;&gt;C:\Users\stu\Documents\GitHub\eaglep3-reporting\EC\2017-05-20-refined-times.txt</v>
      </c>
      <c r="AI160" s="99" t="str">
        <f t="shared" si="53"/>
        <v>echo {"issue":{"subject":"","project_id":79,"tracker_id":40,"status_id":1,"priority_id":2,"assigned_to_id":23,"start_date":"2017-05-21","description":"","custom_fields":[{"id":1,"name":"Subdivision","value":"EC"},{"id":4,"name":"Milepost","value":"23.334"},{"id":17,"name":"Train ID","value":"245-20"},{"id":16,"name":"Locomotive ID","value":"4014"},{"id":130,"name":"Impact","value":""},{"id":150,"name":"Time of Event (Mountain Time)","value":"01:36:58"},{"id":151,"name":"Denver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5" t="str">
        <f t="shared" si="54"/>
        <v>start /low /b %USERPROFILE%\Documents\GitHub\eaglep3\Utilities\DownloadLogsFromS3.py --loco 4014 --day 2017-05-21</v>
      </c>
      <c r="AN160" s="154" t="str">
        <f t="shared" si="5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07:36:58"},{"id":29,"name":"Sharepoint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825</v>
      </c>
      <c r="B161" s="7">
        <v>4013</v>
      </c>
      <c r="C161" s="21" t="s">
        <v>206</v>
      </c>
      <c r="D161" s="21" t="s">
        <v>500</v>
      </c>
      <c r="E161" s="13">
        <v>42876.076412037037</v>
      </c>
      <c r="F161" s="13">
        <v>42876.080810185187</v>
      </c>
      <c r="G161" s="7">
        <v>1</v>
      </c>
      <c r="H161" s="21" t="s">
        <v>357</v>
      </c>
      <c r="I161" s="13">
        <v>42876.107523148145</v>
      </c>
      <c r="J161" s="7">
        <v>0</v>
      </c>
      <c r="K161" s="92" t="str">
        <f t="shared" si="56"/>
        <v>4013/4014</v>
      </c>
      <c r="L161" s="21" t="str">
        <f>VLOOKUP(A161,'Trips&amp;Operators'!$C$1:$G$99999,5,FALSE)</f>
        <v>BROWN JACOB</v>
      </c>
      <c r="M161" s="6">
        <f t="shared" si="57"/>
        <v>2.6712962957390118E-2</v>
      </c>
      <c r="N161" s="7">
        <f t="shared" si="68"/>
        <v>38.46666665864177</v>
      </c>
      <c r="O161" s="7"/>
      <c r="P161" s="7"/>
      <c r="Q161" s="22"/>
      <c r="R161" s="190"/>
      <c r="S161" s="196">
        <f t="shared" si="69"/>
        <v>1</v>
      </c>
      <c r="T161" s="190" t="str">
        <f t="shared" si="58"/>
        <v>Southbound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91" t="str">
        <f t="shared" si="59"/>
        <v>https://d0f6bd738d7f1b3e5a7ca70fe4ff75f0.us-east-1.aws.found.io/app/kibana#/discover/Steve-Slow-Train-Analysis-(2080s-and-2083s)?_g=(refreshInterval:(display:Off,pause:!f,section:0,value:0),time:(from:'2017-05-21T00:50:02-0600',mode:absolute,to:'2017-05-21T03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1" s="192" t="str">
        <f t="shared" si="60"/>
        <v>N</v>
      </c>
      <c r="X161" s="192">
        <f t="shared" si="70"/>
        <v>1</v>
      </c>
      <c r="Y161" s="192">
        <f t="shared" si="61"/>
        <v>23.302099999999999</v>
      </c>
      <c r="Z161" s="192">
        <f t="shared" si="62"/>
        <v>1.49E-2</v>
      </c>
      <c r="AA161" s="192">
        <f t="shared" si="63"/>
        <v>23.287199999999999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64"/>
        <v>0246-20</v>
      </c>
      <c r="AE161" s="80" t="str">
        <f t="shared" si="65"/>
        <v>aws s3 cp s3://rtdc.mdm.uploadarchive.raw/RTDC4013/ "%USERPROFILE%\AppData\Local\Temp\OnboardLogs"\RTDC4013\2017-05-21 --exclude "*" --recursive --include "*20170521*" &amp; "%USERPROFILE%\Documents\GitHub\mrs-test-scripts\Headless Mode &amp; Sideloading\WalkAndUnGZ.bat" "%USERPROFILE%\AppData\Local\Temp\OnboardLogs"\RTDC4013\2017-05-21 &amp; aws s3 cp s3://rtdc.mdm.uploadarchive.raw/RTDC4013/ "%USERPROFILE%\AppData\Local\Temp\OnboardLogs"\RTDC4013\2017-05-22 --exclude "*" --recursive --include "*20170522*" &amp; "%USERPROFILE%\Documents\GitHub\mrs-test-scripts\Headless Mode &amp; Sideloading\WalkAndUnGZ.bat" "%USERPROFILE%\AppData\Local\Temp\OnboardLogs"\RTDC4013\2017-05-22</v>
      </c>
      <c r="AF161" s="77" t="str">
        <f t="shared" si="66"/>
        <v>"C:\Program Files (x86)\AstroGrep\AstroGrep.exe" /e /r /s /spath="%USERPROFILE%\AppData\Local\Temp\OnboardLogs" /stypes="app*4013*20170521*" /stext=" 08:.+((SYSTEM_STATE.+slice.+state.+changed )|(ment ac)|(multiple cpu faults)|(system.+state.+changed )|(\[timeout)|(PRM\|1\|D)|(kpr)|(kdp)|(train st.+moving)|(\|lc)|(penalty))"</v>
      </c>
      <c r="AG161" s="1" t="str">
        <f t="shared" si="67"/>
        <v>EC</v>
      </c>
      <c r="AH161" s="81" t="str">
        <f t="shared" si="52"/>
        <v>"%USERPROFILE%\Documents\GitHub\eaglep3\Utilities\RefineRTDCRunTimes.py" --tripid 246-20 --locoid 4013 --swversion DE.1.0.9.0 --startMP 204:233021 --initTime 2017-05-21T01:50:02 --startdatetime 2017-05-21T01:56:22 --delay 1 --endMP 204:149 --enddatetime 2017-05-21T02:34:50 --enforcementcount 0 &gt;&gt;C:\Users\stu\Documents\GitHub\eaglep3-reporting\EC\2017-05-20-refined-times.txt</v>
      </c>
      <c r="AI161" s="99" t="str">
        <f t="shared" si="53"/>
        <v>echo {"issue":{"subject":"","project_id":79,"tracker_id":40,"status_id":1,"priority_id":2,"assigned_to_id":23,"start_date":"2017-05-21","description":"","custom_fields":[{"id":1,"name":"Subdivision","value":"EC"},{"id":4,"name":"Milepost","value":"0.0149"},{"id":17,"name":"Train ID","value":"246-20"},{"id":16,"name":"Locomotive ID","value":"4013"},{"id":130,"name":"Impact","value":""},{"id":150,"name":"Time of Event (Mountain Time)","value":"02:34:50"},{"id":151,"name":"Denver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5" t="str">
        <f t="shared" si="54"/>
        <v>start /low /b %USERPROFILE%\Documents\GitHub\eaglep3\Utilities\DownloadLogsFromS3.py --loco 4013 --day 2017-05-21</v>
      </c>
      <c r="AN161" s="154" t="str">
        <f t="shared" si="5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08:34:50"},{"id":29,"name":"Sharepoint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x14ac:dyDescent="0.25">
      <c r="A162" s="32" t="s">
        <v>588</v>
      </c>
      <c r="B162" s="7">
        <v>4005</v>
      </c>
      <c r="C162" s="21" t="s">
        <v>206</v>
      </c>
      <c r="D162" s="21" t="s">
        <v>889</v>
      </c>
      <c r="E162" s="13">
        <v>42875.232361111113</v>
      </c>
      <c r="F162" s="13">
        <v>42875.234942129631</v>
      </c>
      <c r="G162" s="7">
        <v>3</v>
      </c>
      <c r="H162" s="21" t="s">
        <v>890</v>
      </c>
      <c r="I162" s="13">
        <v>42875.246932870374</v>
      </c>
      <c r="J162" s="7">
        <v>0</v>
      </c>
      <c r="K162" s="92" t="str">
        <f t="shared" si="56"/>
        <v>4005/4006</v>
      </c>
      <c r="L162" s="21" t="str">
        <f>VLOOKUP(A162,'Trips&amp;Operators'!$C$1:$G$99999,5,FALSE)</f>
        <v>MACDONALD THOMAS</v>
      </c>
      <c r="M162" s="6">
        <f t="shared" si="57"/>
        <v>1.1990740742476191E-2</v>
      </c>
      <c r="N162" s="7">
        <f t="shared" si="68"/>
        <v>17.266666669165716</v>
      </c>
      <c r="O162" s="7"/>
      <c r="P162" s="7"/>
      <c r="Q162" s="22"/>
      <c r="R162" s="190"/>
      <c r="S162" s="196">
        <f t="shared" si="69"/>
        <v>1</v>
      </c>
      <c r="T162" s="190" t="str">
        <f t="shared" si="58"/>
        <v>Southbound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 t="shared" si="59"/>
        <v>https://d0f6bd738d7f1b3e5a7ca70fe4ff75f0.us-east-1.aws.found.io/app/kibana#/discover/Steve-Slow-Train-Analysis-(2080s-and-2083s)?_g=(refreshInterval:(display:Off,pause:!f,section:0,value:0),time:(from:'2017-05-20T04:34:36-0600',mode:absolute,to:'2017-05-20T06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2" s="192" t="str">
        <f t="shared" si="60"/>
        <v>N</v>
      </c>
      <c r="X162" s="192">
        <f t="shared" si="70"/>
        <v>1554</v>
      </c>
      <c r="Y162" s="192">
        <f t="shared" si="61"/>
        <v>5.8625999999999996</v>
      </c>
      <c r="Z162" s="192">
        <f t="shared" si="62"/>
        <v>6.8500000000000005E-2</v>
      </c>
      <c r="AA162" s="192">
        <f t="shared" si="63"/>
        <v>5.7940999999999994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64"/>
        <v>1800-20</v>
      </c>
      <c r="AE162" s="80" t="str">
        <f t="shared" si="65"/>
        <v>aws s3 cp s3://rtdc.mdm.uploadarchive.raw/RTDC4005/ "%USERPROFILE%\AppData\Local\Temp\OnboardLogs"\RTDC4005\2017-05-20 --exclude "*" --recursive --include "*20170520*" &amp; "%USERPROFILE%\Documents\GitHub\mrs-test-scripts\Headless Mode &amp; Sideloading\WalkAndUnGZ.bat" "%USERPROFILE%\AppData\Local\Temp\OnboardLogs"\RTDC4005\2017-05-20 &amp; aws s3 cp s3://rtdc.mdm.uploadarchive.raw/RTDC4005/ "%USERPROFILE%\AppData\Local\Temp\OnboardLogs"\RTDC4005\2017-05-21 --exclude "*" --recursive --include "*20170521*" &amp; "%USERPROFILE%\Documents\GitHub\mrs-test-scripts\Headless Mode &amp; Sideloading\WalkAndUnGZ.bat" "%USERPROFILE%\AppData\Local\Temp\OnboardLogs"\RTDC4005\2017-05-21</v>
      </c>
      <c r="AF162" s="77" t="str">
        <f t="shared" si="66"/>
        <v>"C:\Program Files (x86)\AstroGrep\AstroGrep.exe" /e /r /s /spath="%USERPROFILE%\AppData\Local\Temp\OnboardLogs" /stypes="app*4005*20170520*" /stext=" 11:.+((SYSTEM_STATE.+slice.+state.+changed )|(ment ac)|(multiple cpu faults)|(system.+state.+changed )|(\[timeout)|(PRM\|1\|D)|(kpr)|(kdp)|(train st.+moving)|(\|lc)|(penalty))"</v>
      </c>
      <c r="AG162" s="1" t="str">
        <f t="shared" si="67"/>
        <v>NW</v>
      </c>
      <c r="AH162" s="81" t="str">
        <f t="shared" si="52"/>
        <v>"%USERPROFILE%\Documents\GitHub\eaglep3\Utilities\RefineRTDCRunTimes.py" --tripid 1800-20 --locoid 4005 --swversion DE.1.0.9.0 --startMP 300:58626 --initTime 2017-05-20T05:34:36 --startdatetime 2017-05-20T05:38:19 --delay 3 --endMP 204:685 --enddatetime 2017-05-20T05:55:35 --enforcementcount 0 &gt;&gt;C:\Users\stu\Documents\GitHub\eaglep3-reporting\EC\2017-05-20-refined-times.txt</v>
      </c>
      <c r="AI162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{"issue":{"subject":"","project_id":79,"tracker_id":40,"status_id":1,"priority_id":2,"assigned_to_id":23,"start_date":"2017-05-20","description":"","custom_fields":[{"id":1,"name":"Subdivision","value":"NW"},{"id":4,"name":"Milepost","value":"0.0685"},{"id":17,"name":"Train ID","value":"1800-20"},{"id":16,"name":"Locomotive ID","value":"4005"},{"id":130,"name":"Impact","value":""},{"id":150,"name":"Time of Event (Mountain Time)","value":"05:55:35"},{"id":151,"name":"Denver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5" t="str">
        <f t="shared" si="54"/>
        <v>start /low /b %USERPROFILE%\Documents\GitHub\eaglep3\Utilities\DownloadLogsFromS3.py --loco 4005 --day 2017-05-20</v>
      </c>
      <c r="AN162" s="154" t="str">
        <f t="shared" si="55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11:55:35"},{"id":29,"name":"Sharepoint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x14ac:dyDescent="0.25">
      <c r="A163" s="32" t="s">
        <v>686</v>
      </c>
      <c r="B163" s="7">
        <v>4006</v>
      </c>
      <c r="C163" s="21" t="s">
        <v>206</v>
      </c>
      <c r="D163" s="21" t="s">
        <v>891</v>
      </c>
      <c r="E163" s="13">
        <v>42875.264143518521</v>
      </c>
      <c r="F163" s="13">
        <v>42875.265162037038</v>
      </c>
      <c r="G163" s="7">
        <v>1</v>
      </c>
      <c r="H163" s="21" t="s">
        <v>578</v>
      </c>
      <c r="I163" s="13">
        <v>42875.274155092593</v>
      </c>
      <c r="J163" s="7">
        <v>0</v>
      </c>
      <c r="K163" s="92" t="str">
        <f t="shared" si="56"/>
        <v>4005/4006</v>
      </c>
      <c r="L163" s="21" t="str">
        <f>VLOOKUP(A163,'Trips&amp;Operators'!$C$1:$G$99999,5,FALSE)</f>
        <v>MACDONALD THOMAS</v>
      </c>
      <c r="M163" s="6">
        <f t="shared" si="57"/>
        <v>8.9930555550381541E-3</v>
      </c>
      <c r="N163" s="7">
        <f t="shared" si="68"/>
        <v>12.949999999254942</v>
      </c>
      <c r="O163" s="7"/>
      <c r="P163" s="7"/>
      <c r="Q163" s="22"/>
      <c r="R163" s="190"/>
      <c r="S163" s="196">
        <f t="shared" si="69"/>
        <v>1</v>
      </c>
      <c r="T163" s="190" t="str">
        <f t="shared" si="58"/>
        <v>NorthBound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 t="shared" si="59"/>
        <v>https://d0f6bd738d7f1b3e5a7ca70fe4ff75f0.us-east-1.aws.found.io/app/kibana#/discover/Steve-Slow-Train-Analysis-(2080s-and-2083s)?_g=(refreshInterval:(display:Off,pause:!f,section:0,value:0),time:(from:'2017-05-20T05:20:22-0600',mode:absolute,to:'2017-05-20T07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3" s="192" t="str">
        <f t="shared" si="60"/>
        <v>N</v>
      </c>
      <c r="X163" s="192">
        <f t="shared" si="70"/>
        <v>1</v>
      </c>
      <c r="Y163" s="192">
        <f t="shared" si="61"/>
        <v>9.7600000000000006E-2</v>
      </c>
      <c r="Z163" s="192">
        <f t="shared" si="62"/>
        <v>5.8945999999999996</v>
      </c>
      <c r="AA163" s="192">
        <f t="shared" si="63"/>
        <v>5.7969999999999997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64"/>
        <v>1801-20</v>
      </c>
      <c r="AE163" s="80" t="str">
        <f t="shared" si="65"/>
        <v>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 &amp; aws s3 cp s3://rtdc.mdm.uploadarchive.raw/RTDC4006/ "%USERPROFILE%\AppData\Local\Temp\OnboardLogs"\RTDC4006\2017-05-21 --exclude "*" --recursive --include "*20170521*" &amp; "%USERPROFILE%\Documents\GitHub\mrs-test-scripts\Headless Mode &amp; Sideloading\WalkAndUnGZ.bat" "%USERPROFILE%\AppData\Local\Temp\OnboardLogs"\RTDC4006\2017-05-21</v>
      </c>
      <c r="AF163" s="77" t="str">
        <f t="shared" si="66"/>
        <v>"C:\Program Files (x86)\AstroGrep\AstroGrep.exe" /e /r /s /spath="%USERPROFILE%\AppData\Local\Temp\OnboardLogs" /stypes="app*4006*20170520*" /stext=" 12:.+((SYSTEM_STATE.+slice.+state.+changed )|(ment ac)|(multiple cpu faults)|(system.+state.+changed )|(\[timeout)|(PRM\|1\|D)|(kpr)|(kdp)|(train st.+moving)|(\|lc)|(penalty))"</v>
      </c>
      <c r="AG163" s="1" t="str">
        <f t="shared" si="67"/>
        <v>NW</v>
      </c>
      <c r="AH163" s="81" t="str">
        <f t="shared" si="52"/>
        <v>"%USERPROFILE%\Documents\GitHub\eaglep3\Utilities\RefineRTDCRunTimes.py" --tripid 1801-20 --locoid 4006 --swversion DE.1.0.9.0 --startMP 204:976 --initTime 2017-05-20T06:20:22 --startdatetime 2017-05-20T06:21:50 --delay 1 --endMP 300:58946 --enddatetime 2017-05-20T06:34:47 --enforcementcount 0 &gt;&gt;C:\Users\stu\Documents\GitHub\eaglep3-reporting\EC\2017-05-20-refined-times.txt</v>
      </c>
      <c r="AI163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{"issue":{"subject":"","project_id":79,"tracker_id":40,"status_id":1,"priority_id":2,"assigned_to_id":23,"start_date":"2017-05-20","description":"","custom_fields":[{"id":1,"name":"Subdivision","value":"NW"},{"id":4,"name":"Milepost","value":"5.8946"},{"id":17,"name":"Train ID","value":"1801-20"},{"id":16,"name":"Locomotive ID","value":"4006"},{"id":130,"name":"Impact","value":""},{"id":150,"name":"Time of Event (Mountain Time)","value":"06:34:47"},{"id":151,"name":"Denver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5" t="str">
        <f t="shared" si="54"/>
        <v>start /low /b %USERPROFILE%\Documents\GitHub\eaglep3\Utilities\DownloadLogsFromS3.py --loco 4006 --day 2017-05-20</v>
      </c>
      <c r="AN163" s="154" t="str">
        <f t="shared" si="55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12:34:47"},{"id":29,"name":"Sharepoint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x14ac:dyDescent="0.25">
      <c r="A164" s="32" t="s">
        <v>692</v>
      </c>
      <c r="B164" s="7">
        <v>4005</v>
      </c>
      <c r="C164" s="21" t="s">
        <v>206</v>
      </c>
      <c r="D164" s="21" t="s">
        <v>892</v>
      </c>
      <c r="E164" s="13">
        <v>42875.274930555555</v>
      </c>
      <c r="F164" s="13">
        <v>42875.276087962964</v>
      </c>
      <c r="G164" s="7">
        <v>1</v>
      </c>
      <c r="H164" s="21" t="s">
        <v>580</v>
      </c>
      <c r="I164" s="13">
        <v>42875.288240740738</v>
      </c>
      <c r="J164" s="7">
        <v>0</v>
      </c>
      <c r="K164" s="92" t="str">
        <f t="shared" si="56"/>
        <v>4005/4006</v>
      </c>
      <c r="L164" s="21" t="str">
        <f>VLOOKUP(A164,'Trips&amp;Operators'!$C$1:$G$99999,5,FALSE)</f>
        <v>MACDONALD THOMAS</v>
      </c>
      <c r="M164" s="6">
        <f t="shared" si="57"/>
        <v>1.2152777773735579E-2</v>
      </c>
      <c r="N164" s="7">
        <f t="shared" si="68"/>
        <v>17.499999994179234</v>
      </c>
      <c r="O164" s="7"/>
      <c r="P164" s="7"/>
      <c r="Q164" s="22"/>
      <c r="R164" s="190"/>
      <c r="S164" s="196">
        <f t="shared" si="69"/>
        <v>1</v>
      </c>
      <c r="T164" s="190" t="str">
        <f t="shared" si="58"/>
        <v>Southbound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 t="shared" si="59"/>
        <v>https://d0f6bd738d7f1b3e5a7ca70fe4ff75f0.us-east-1.aws.found.io/app/kibana#/discover/Steve-Slow-Train-Analysis-(2080s-and-2083s)?_g=(refreshInterval:(display:Off,pause:!f,section:0,value:0),time:(from:'2017-05-20T05:35:54-0600',mode:absolute,to:'2017-05-20T07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4" s="192" t="str">
        <f t="shared" si="60"/>
        <v>N</v>
      </c>
      <c r="X164" s="192">
        <f t="shared" si="70"/>
        <v>1</v>
      </c>
      <c r="Y164" s="192">
        <f t="shared" si="61"/>
        <v>5.8638000000000003</v>
      </c>
      <c r="Z164" s="192">
        <f t="shared" si="62"/>
        <v>7.0300000000000001E-2</v>
      </c>
      <c r="AA164" s="192">
        <f t="shared" si="63"/>
        <v>5.7935000000000008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64"/>
        <v>1802-20</v>
      </c>
      <c r="AE164" s="80" t="str">
        <f t="shared" si="65"/>
        <v>aws s3 cp s3://rtdc.mdm.uploadarchive.raw/RTDC4005/ "%USERPROFILE%\AppData\Local\Temp\OnboardLogs"\RTDC4005\2017-05-20 --exclude "*" --recursive --include "*20170520*" &amp; "%USERPROFILE%\Documents\GitHub\mrs-test-scripts\Headless Mode &amp; Sideloading\WalkAndUnGZ.bat" "%USERPROFILE%\AppData\Local\Temp\OnboardLogs"\RTDC4005\2017-05-20 &amp; aws s3 cp s3://rtdc.mdm.uploadarchive.raw/RTDC4005/ "%USERPROFILE%\AppData\Local\Temp\OnboardLogs"\RTDC4005\2017-05-21 --exclude "*" --recursive --include "*20170521*" &amp; "%USERPROFILE%\Documents\GitHub\mrs-test-scripts\Headless Mode &amp; Sideloading\WalkAndUnGZ.bat" "%USERPROFILE%\AppData\Local\Temp\OnboardLogs"\RTDC4005\2017-05-21</v>
      </c>
      <c r="AF164" s="77" t="str">
        <f t="shared" si="66"/>
        <v>"C:\Program Files (x86)\AstroGrep\AstroGrep.exe" /e /r /s /spath="%USERPROFILE%\AppData\Local\Temp\OnboardLogs" /stypes="app*4005*20170520*" /stext=" 12:.+((SYSTEM_STATE.+slice.+state.+changed )|(ment ac)|(multiple cpu faults)|(system.+state.+changed )|(\[timeout)|(PRM\|1\|D)|(kpr)|(kdp)|(train st.+moving)|(\|lc)|(penalty))"</v>
      </c>
      <c r="AG164" s="1" t="str">
        <f t="shared" si="67"/>
        <v>NW</v>
      </c>
      <c r="AH164" s="81" t="str">
        <f t="shared" si="52"/>
        <v>"%USERPROFILE%\Documents\GitHub\eaglep3\Utilities\RefineRTDCRunTimes.py" --tripid 1802-20 --locoid 4005 --swversion DE.1.0.9.0 --startMP 300:58638 --initTime 2017-05-20T06:35:54 --startdatetime 2017-05-20T06:37:34 --delay 1 --endMP 204:703 --enddatetime 2017-05-20T06:55:04 --enforcementcount 0 &gt;&gt;C:\Users\stu\Documents\GitHub\eaglep3-reporting\EC\2017-05-20-refined-times.txt</v>
      </c>
      <c r="AI164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{"issue":{"subject":"","project_id":79,"tracker_id":40,"status_id":1,"priority_id":2,"assigned_to_id":23,"start_date":"2017-05-20","description":"","custom_fields":[{"id":1,"name":"Subdivision","value":"NW"},{"id":4,"name":"Milepost","value":"0.0703"},{"id":17,"name":"Train ID","value":"1802-20"},{"id":16,"name":"Locomotive ID","value":"4005"},{"id":130,"name":"Impact","value":""},{"id":150,"name":"Time of Event (Mountain Time)","value":"06:55:04"},{"id":151,"name":"Denver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5" t="str">
        <f t="shared" si="54"/>
        <v>start /low /b %USERPROFILE%\Documents\GitHub\eaglep3\Utilities\DownloadLogsFromS3.py --loco 4005 --day 2017-05-20</v>
      </c>
      <c r="AN164" s="154" t="str">
        <f t="shared" si="55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12:55:04"},{"id":29,"name":"Sharepoint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x14ac:dyDescent="0.25">
      <c r="A165" s="32" t="s">
        <v>591</v>
      </c>
      <c r="B165" s="7">
        <v>4006</v>
      </c>
      <c r="C165" s="21" t="s">
        <v>206</v>
      </c>
      <c r="D165" s="21" t="s">
        <v>583</v>
      </c>
      <c r="E165" s="13">
        <v>42875.2890162037</v>
      </c>
      <c r="F165" s="13">
        <v>42875.30667824074</v>
      </c>
      <c r="G165" s="7">
        <v>1</v>
      </c>
      <c r="H165" s="21" t="s">
        <v>893</v>
      </c>
      <c r="I165" s="13">
        <v>42875.315671296295</v>
      </c>
      <c r="J165" s="7">
        <v>0</v>
      </c>
      <c r="K165" s="92" t="str">
        <f t="shared" si="56"/>
        <v>4005/4006</v>
      </c>
      <c r="L165" s="21" t="str">
        <f>VLOOKUP(A165,'Trips&amp;Operators'!$C$1:$G$99999,5,FALSE)</f>
        <v>MACDONALD THOMAS</v>
      </c>
      <c r="M165" s="6">
        <f t="shared" si="57"/>
        <v>8.9930555550381541E-3</v>
      </c>
      <c r="N165" s="7">
        <f t="shared" si="68"/>
        <v>12.949999999254942</v>
      </c>
      <c r="O165" s="7"/>
      <c r="P165" s="7"/>
      <c r="Q165" s="22"/>
      <c r="R165" s="190"/>
      <c r="S165" s="196">
        <f t="shared" si="69"/>
        <v>1</v>
      </c>
      <c r="T165" s="190" t="str">
        <f t="shared" si="58"/>
        <v>NorthBound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 t="shared" si="59"/>
        <v>https://d0f6bd738d7f1b3e5a7ca70fe4ff75f0.us-east-1.aws.found.io/app/kibana#/discover/Steve-Slow-Train-Analysis-(2080s-and-2083s)?_g=(refreshInterval:(display:Off,pause:!f,section:0,value:0),time:(from:'2017-05-20T05:56:11-0600',mode:absolute,to:'2017-05-20T08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5" s="192" t="str">
        <f t="shared" si="60"/>
        <v>N</v>
      </c>
      <c r="X165" s="192">
        <f>VALUE(LEFT(AD165,4))-VALUE(LEFT(AD164,4))</f>
        <v>1</v>
      </c>
      <c r="Y165" s="192">
        <f t="shared" si="61"/>
        <v>9.9000000000000005E-2</v>
      </c>
      <c r="Z165" s="192">
        <f t="shared" si="62"/>
        <v>5.8935000000000004</v>
      </c>
      <c r="AA165" s="192">
        <f t="shared" si="63"/>
        <v>5.7945000000000002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64"/>
        <v>1803-20</v>
      </c>
      <c r="AE165" s="80" t="str">
        <f t="shared" si="65"/>
        <v>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 &amp; aws s3 cp s3://rtdc.mdm.uploadarchive.raw/RTDC4006/ "%USERPROFILE%\AppData\Local\Temp\OnboardLogs"\RTDC4006\2017-05-21 --exclude "*" --recursive --include "*20170521*" &amp; "%USERPROFILE%\Documents\GitHub\mrs-test-scripts\Headless Mode &amp; Sideloading\WalkAndUnGZ.bat" "%USERPROFILE%\AppData\Local\Temp\OnboardLogs"\RTDC4006\2017-05-21</v>
      </c>
      <c r="AF165" s="77" t="str">
        <f t="shared" si="66"/>
        <v>"C:\Program Files (x86)\AstroGrep\AstroGrep.exe" /e /r /s /spath="%USERPROFILE%\AppData\Local\Temp\OnboardLogs" /stypes="app*4006*20170520*" /stext=" 13:.+((SYSTEM_STATE.+slice.+state.+changed )|(ment ac)|(multiple cpu faults)|(system.+state.+changed )|(\[timeout)|(PRM\|1\|D)|(kpr)|(kdp)|(train st.+moving)|(\|lc)|(penalty))"</v>
      </c>
      <c r="AG165" s="1" t="str">
        <f t="shared" si="67"/>
        <v>NW</v>
      </c>
      <c r="AH165" s="81" t="str">
        <f t="shared" si="52"/>
        <v>"%USERPROFILE%\Documents\GitHub\eaglep3\Utilities\RefineRTDCRunTimes.py" --tripid 1803-20 --locoid 4006 --swversion DE.1.0.9.0 --startMP 204:990 --initTime 2017-05-20T06:56:11 --startdatetime 2017-05-20T07:21:37 --delay 1 --endMP 300:58935 --enddatetime 2017-05-20T07:34:34 --enforcementcount 0 &gt;&gt;C:\Users\stu\Documents\GitHub\eaglep3-reporting\EC\2017-05-20-refined-times.txt</v>
      </c>
      <c r="AI165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{"issue":{"subject":"","project_id":79,"tracker_id":40,"status_id":1,"priority_id":2,"assigned_to_id":23,"start_date":"2017-05-20","description":"","custom_fields":[{"id":1,"name":"Subdivision","value":"NW"},{"id":4,"name":"Milepost","value":"5.8935"},{"id":17,"name":"Train ID","value":"1803-20"},{"id":16,"name":"Locomotive ID","value":"4006"},{"id":130,"name":"Impact","value":""},{"id":150,"name":"Time of Event (Mountain Time)","value":"07:34:34"},{"id":151,"name":"Denver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5" t="str">
        <f t="shared" si="54"/>
        <v>start /low /b %USERPROFILE%\Documents\GitHub\eaglep3\Utilities\DownloadLogsFromS3.py --loco 4006 --day 2017-05-20</v>
      </c>
      <c r="AN165" s="154" t="str">
        <f t="shared" si="55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13:34:34"},{"id":29,"name":"Sharepoint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x14ac:dyDescent="0.25">
      <c r="A166" s="32" t="s">
        <v>699</v>
      </c>
      <c r="B166" s="7">
        <v>4005</v>
      </c>
      <c r="C166" s="21" t="s">
        <v>206</v>
      </c>
      <c r="D166" s="21" t="s">
        <v>889</v>
      </c>
      <c r="E166" s="13">
        <v>42875.316446759258</v>
      </c>
      <c r="F166" s="13">
        <v>42875.31753472222</v>
      </c>
      <c r="G166" s="7">
        <v>1</v>
      </c>
      <c r="H166" s="21" t="s">
        <v>894</v>
      </c>
      <c r="I166" s="13">
        <v>42875.330416666664</v>
      </c>
      <c r="J166" s="7">
        <v>0</v>
      </c>
      <c r="K166" s="92" t="str">
        <f t="shared" si="56"/>
        <v>4005/4006</v>
      </c>
      <c r="L166" s="21" t="str">
        <f>VLOOKUP(A166,'Trips&amp;Operators'!$C$1:$G$99999,5,FALSE)</f>
        <v>MACDONALD THOMAS</v>
      </c>
      <c r="M166" s="6">
        <f t="shared" si="57"/>
        <v>1.2881944443506654E-2</v>
      </c>
      <c r="N166" s="7">
        <f t="shared" si="68"/>
        <v>18.549999998649582</v>
      </c>
      <c r="O166" s="7"/>
      <c r="P166" s="7"/>
      <c r="Q166" s="22"/>
      <c r="R166" s="190"/>
      <c r="S166" s="196">
        <f t="shared" si="69"/>
        <v>1</v>
      </c>
      <c r="T166" s="190" t="str">
        <f t="shared" si="58"/>
        <v>Southbound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 t="shared" si="59"/>
        <v>https://d0f6bd738d7f1b3e5a7ca70fe4ff75f0.us-east-1.aws.found.io/app/kibana#/discover/Steve-Slow-Train-Analysis-(2080s-and-2083s)?_g=(refreshInterval:(display:Off,pause:!f,section:0,value:0),time:(from:'2017-05-20T06:35:41-0600',mode:absolute,to:'2017-05-20T08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6" s="192" t="str">
        <f t="shared" si="60"/>
        <v>N</v>
      </c>
      <c r="X166" s="192">
        <f t="shared" ref="X166:X172" si="71">VALUE(LEFT(AD166,4))-VALUE(LEFT(AD165,4))</f>
        <v>1</v>
      </c>
      <c r="Y166" s="192">
        <f t="shared" si="61"/>
        <v>5.8625999999999996</v>
      </c>
      <c r="Z166" s="192">
        <f t="shared" si="62"/>
        <v>6.7699999999999996E-2</v>
      </c>
      <c r="AA166" s="192">
        <f t="shared" si="63"/>
        <v>5.7948999999999993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64"/>
        <v>1804-20</v>
      </c>
      <c r="AE166" s="80" t="str">
        <f t="shared" si="65"/>
        <v>aws s3 cp s3://rtdc.mdm.uploadarchive.raw/RTDC4005/ "%USERPROFILE%\AppData\Local\Temp\OnboardLogs"\RTDC4005\2017-05-20 --exclude "*" --recursive --include "*20170520*" &amp; "%USERPROFILE%\Documents\GitHub\mrs-test-scripts\Headless Mode &amp; Sideloading\WalkAndUnGZ.bat" "%USERPROFILE%\AppData\Local\Temp\OnboardLogs"\RTDC4005\2017-05-20 &amp; aws s3 cp s3://rtdc.mdm.uploadarchive.raw/RTDC4005/ "%USERPROFILE%\AppData\Local\Temp\OnboardLogs"\RTDC4005\2017-05-21 --exclude "*" --recursive --include "*20170521*" &amp; "%USERPROFILE%\Documents\GitHub\mrs-test-scripts\Headless Mode &amp; Sideloading\WalkAndUnGZ.bat" "%USERPROFILE%\AppData\Local\Temp\OnboardLogs"\RTDC4005\2017-05-21</v>
      </c>
      <c r="AF166" s="77" t="str">
        <f t="shared" si="66"/>
        <v>"C:\Program Files (x86)\AstroGrep\AstroGrep.exe" /e /r /s /spath="%USERPROFILE%\AppData\Local\Temp\OnboardLogs" /stypes="app*4005*20170520*" /stext=" 13:.+((SYSTEM_STATE.+slice.+state.+changed )|(ment ac)|(multiple cpu faults)|(system.+state.+changed )|(\[timeout)|(PRM\|1\|D)|(kpr)|(kdp)|(train st.+moving)|(\|lc)|(penalty))"</v>
      </c>
      <c r="AG166" s="1" t="str">
        <f t="shared" si="67"/>
        <v>NW</v>
      </c>
      <c r="AH166" s="81" t="str">
        <f t="shared" si="52"/>
        <v>"%USERPROFILE%\Documents\GitHub\eaglep3\Utilities\RefineRTDCRunTimes.py" --tripid 1804-20 --locoid 4005 --swversion DE.1.0.9.0 --startMP 300:58626 --initTime 2017-05-20T07:35:41 --startdatetime 2017-05-20T07:37:15 --delay 1 --endMP 204:677 --enddatetime 2017-05-20T07:55:48 --enforcementcount 0 &gt;&gt;C:\Users\stu\Documents\GitHub\eaglep3-reporting\EC\2017-05-20-refined-times.txt</v>
      </c>
      <c r="AI166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{"issue":{"subject":"","project_id":79,"tracker_id":40,"status_id":1,"priority_id":2,"assigned_to_id":23,"start_date":"2017-05-20","description":"","custom_fields":[{"id":1,"name":"Subdivision","value":"NW"},{"id":4,"name":"Milepost","value":"0.0677"},{"id":17,"name":"Train ID","value":"1804-20"},{"id":16,"name":"Locomotive ID","value":"4005"},{"id":130,"name":"Impact","value":""},{"id":150,"name":"Time of Event (Mountain Time)","value":"07:55:48"},{"id":151,"name":"Denver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54"/>
        <v>start /low /b %USERPROFILE%\Documents\GitHub\eaglep3\Utilities\DownloadLogsFromS3.py --loco 4005 --day 2017-05-20</v>
      </c>
      <c r="AN166" s="154" t="str">
        <f t="shared" si="55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13:55:48"},{"id":29,"name":"Sharepoint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2" t="s">
        <v>595</v>
      </c>
      <c r="B167" s="7">
        <v>4006</v>
      </c>
      <c r="C167" s="21" t="s">
        <v>206</v>
      </c>
      <c r="D167" s="21" t="s">
        <v>895</v>
      </c>
      <c r="E167" s="13">
        <v>42875.344143518516</v>
      </c>
      <c r="F167" s="13">
        <v>42875.348506944443</v>
      </c>
      <c r="G167" s="7">
        <v>2</v>
      </c>
      <c r="H167" s="21" t="s">
        <v>896</v>
      </c>
      <c r="I167" s="13">
        <v>42875.358263888891</v>
      </c>
      <c r="J167" s="7">
        <v>0</v>
      </c>
      <c r="K167" s="92" t="str">
        <f t="shared" si="56"/>
        <v>4005/4006</v>
      </c>
      <c r="L167" s="21" t="str">
        <f>VLOOKUP(A167,'Trips&amp;Operators'!$C$1:$G$99999,5,FALSE)</f>
        <v>MACDONALD THOMAS</v>
      </c>
      <c r="M167" s="6">
        <f t="shared" si="57"/>
        <v>9.7569444478722289E-3</v>
      </c>
      <c r="N167" s="7">
        <f t="shared" si="68"/>
        <v>14.05000000493601</v>
      </c>
      <c r="O167" s="7"/>
      <c r="P167" s="7"/>
      <c r="Q167" s="22"/>
      <c r="R167" s="190"/>
      <c r="S167" s="196">
        <f t="shared" si="69"/>
        <v>1</v>
      </c>
      <c r="T167" s="190" t="str">
        <f t="shared" si="58"/>
        <v>NorthBound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 t="shared" si="59"/>
        <v>https://d0f6bd738d7f1b3e5a7ca70fe4ff75f0.us-east-1.aws.found.io/app/kibana#/discover/Steve-Slow-Train-Analysis-(2080s-and-2083s)?_g=(refreshInterval:(display:Off,pause:!f,section:0,value:0),time:(from:'2017-05-20T07:15:34-0600',mode:absolute,to:'2017-05-20T09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7" s="192" t="str">
        <f t="shared" si="60"/>
        <v>N</v>
      </c>
      <c r="X167" s="192">
        <f t="shared" si="71"/>
        <v>1</v>
      </c>
      <c r="Y167" s="192">
        <f t="shared" si="61"/>
        <v>9.6000000000000002E-2</v>
      </c>
      <c r="Z167" s="192">
        <f t="shared" si="62"/>
        <v>5.8967000000000001</v>
      </c>
      <c r="AA167" s="192">
        <f t="shared" si="63"/>
        <v>5.8007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64"/>
        <v>1805-20</v>
      </c>
      <c r="AE167" s="80" t="str">
        <f t="shared" si="65"/>
        <v>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 &amp; aws s3 cp s3://rtdc.mdm.uploadarchive.raw/RTDC4006/ "%USERPROFILE%\AppData\Local\Temp\OnboardLogs"\RTDC4006\2017-05-21 --exclude "*" --recursive --include "*20170521*" &amp; "%USERPROFILE%\Documents\GitHub\mrs-test-scripts\Headless Mode &amp; Sideloading\WalkAndUnGZ.bat" "%USERPROFILE%\AppData\Local\Temp\OnboardLogs"\RTDC4006\2017-05-21</v>
      </c>
      <c r="AF167" s="77" t="str">
        <f t="shared" si="66"/>
        <v>"C:\Program Files (x86)\AstroGrep\AstroGrep.exe" /e /r /s /spath="%USERPROFILE%\AppData\Local\Temp\OnboardLogs" /stypes="app*4006*20170520*" /stext=" 14:.+((SYSTEM_STATE.+slice.+state.+changed )|(ment ac)|(multiple cpu faults)|(system.+state.+changed )|(\[timeout)|(PRM\|1\|D)|(kpr)|(kdp)|(train st.+moving)|(\|lc)|(penalty))"</v>
      </c>
      <c r="AG167" s="1" t="str">
        <f t="shared" si="67"/>
        <v>NW</v>
      </c>
      <c r="AH167" s="81" t="str">
        <f t="shared" si="52"/>
        <v>"%USERPROFILE%\Documents\GitHub\eaglep3\Utilities\RefineRTDCRunTimes.py" --tripid 1805-20 --locoid 4006 --swversion DE.1.0.9.0 --startMP 204:960 --initTime 2017-05-20T08:15:34 --startdatetime 2017-05-20T08:21:51 --delay 2 --endMP 300:58967 --enddatetime 2017-05-20T08:35:54 --enforcementcount 0 &gt;&gt;C:\Users\stu\Documents\GitHub\eaglep3-reporting\EC\2017-05-20-refined-times.txt</v>
      </c>
      <c r="AI167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{"issue":{"subject":"","project_id":79,"tracker_id":40,"status_id":1,"priority_id":2,"assigned_to_id":23,"start_date":"2017-05-20","description":"","custom_fields":[{"id":1,"name":"Subdivision","value":"NW"},{"id":4,"name":"Milepost","value":"5.8967"},{"id":17,"name":"Train ID","value":"1805-20"},{"id":16,"name":"Locomotive ID","value":"4006"},{"id":130,"name":"Impact","value":""},{"id":150,"name":"Time of Event (Mountain Time)","value":"08:35:54"},{"id":151,"name":"Denver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5" t="str">
        <f t="shared" si="54"/>
        <v>start /low /b %USERPROFILE%\Documents\GitHub\eaglep3\Utilities\DownloadLogsFromS3.py --loco 4006 --day 2017-05-20</v>
      </c>
      <c r="AN167" s="154" t="str">
        <f t="shared" si="55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14:35:54"},{"id":29,"name":"Sharepoint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x14ac:dyDescent="0.25">
      <c r="A168" s="32" t="s">
        <v>711</v>
      </c>
      <c r="B168" s="7">
        <v>4005</v>
      </c>
      <c r="C168" s="21" t="s">
        <v>206</v>
      </c>
      <c r="D168" s="21" t="s">
        <v>576</v>
      </c>
      <c r="E168" s="13">
        <v>42875.359814814816</v>
      </c>
      <c r="F168" s="13">
        <v>42875.361701388887</v>
      </c>
      <c r="G168" s="7">
        <v>1</v>
      </c>
      <c r="H168" s="21" t="s">
        <v>581</v>
      </c>
      <c r="I168" s="13">
        <v>42875.372106481482</v>
      </c>
      <c r="J168" s="7">
        <v>0</v>
      </c>
      <c r="K168" s="92" t="str">
        <f t="shared" si="56"/>
        <v>4005/4006</v>
      </c>
      <c r="L168" s="21" t="str">
        <f>VLOOKUP(A168,'Trips&amp;Operators'!$C$1:$G$99999,5,FALSE)</f>
        <v>ARNOLD PAUL</v>
      </c>
      <c r="M168" s="6">
        <f t="shared" si="57"/>
        <v>1.0405092594737653E-2</v>
      </c>
      <c r="N168" s="7">
        <f t="shared" si="68"/>
        <v>14.98333333642222</v>
      </c>
      <c r="O168" s="7"/>
      <c r="P168" s="7"/>
      <c r="Q168" s="22"/>
      <c r="R168" s="190"/>
      <c r="S168" s="196">
        <f t="shared" si="69"/>
        <v>1</v>
      </c>
      <c r="T168" s="190" t="str">
        <f t="shared" si="58"/>
        <v>Southbound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 t="shared" si="59"/>
        <v>https://d0f6bd738d7f1b3e5a7ca70fe4ff75f0.us-east-1.aws.found.io/app/kibana#/discover/Steve-Slow-Train-Analysis-(2080s-and-2083s)?_g=(refreshInterval:(display:Off,pause:!f,section:0,value:0),time:(from:'2017-05-20T07:38:08-0600',mode:absolute,to:'2017-05-20T09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8" s="192" t="str">
        <f t="shared" si="60"/>
        <v>N</v>
      </c>
      <c r="X168" s="192">
        <f t="shared" si="71"/>
        <v>1</v>
      </c>
      <c r="Y168" s="192">
        <f t="shared" si="61"/>
        <v>5.8653000000000004</v>
      </c>
      <c r="Z168" s="192">
        <f t="shared" si="62"/>
        <v>6.9900000000000004E-2</v>
      </c>
      <c r="AA168" s="192">
        <f t="shared" si="63"/>
        <v>5.7954000000000008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64"/>
        <v>1806-20</v>
      </c>
      <c r="AE168" s="80" t="str">
        <f t="shared" si="65"/>
        <v>aws s3 cp s3://rtdc.mdm.uploadarchive.raw/RTDC4005/ "%USERPROFILE%\AppData\Local\Temp\OnboardLogs"\RTDC4005\2017-05-20 --exclude "*" --recursive --include "*20170520*" &amp; "%USERPROFILE%\Documents\GitHub\mrs-test-scripts\Headless Mode &amp; Sideloading\WalkAndUnGZ.bat" "%USERPROFILE%\AppData\Local\Temp\OnboardLogs"\RTDC4005\2017-05-20 &amp; aws s3 cp s3://rtdc.mdm.uploadarchive.raw/RTDC4005/ "%USERPROFILE%\AppData\Local\Temp\OnboardLogs"\RTDC4005\2017-05-21 --exclude "*" --recursive --include "*20170521*" &amp; "%USERPROFILE%\Documents\GitHub\mrs-test-scripts\Headless Mode &amp; Sideloading\WalkAndUnGZ.bat" "%USERPROFILE%\AppData\Local\Temp\OnboardLogs"\RTDC4005\2017-05-21</v>
      </c>
      <c r="AF168" s="77" t="str">
        <f t="shared" si="66"/>
        <v>"C:\Program Files (x86)\AstroGrep\AstroGrep.exe" /e /r /s /spath="%USERPROFILE%\AppData\Local\Temp\OnboardLogs" /stypes="app*4005*20170520*" /stext=" 14:.+((SYSTEM_STATE.+slice.+state.+changed )|(ment ac)|(multiple cpu faults)|(system.+state.+changed )|(\[timeout)|(PRM\|1\|D)|(kpr)|(kdp)|(train st.+moving)|(\|lc)|(penalty))"</v>
      </c>
      <c r="AG168" s="1" t="str">
        <f t="shared" si="67"/>
        <v>NW</v>
      </c>
      <c r="AH168" s="81" t="str">
        <f t="shared" si="52"/>
        <v>"%USERPROFILE%\Documents\GitHub\eaglep3\Utilities\RefineRTDCRunTimes.py" --tripid 1806-20 --locoid 4005 --swversion DE.1.0.9.0 --startMP 300:58653 --initTime 2017-05-20T08:38:08 --startdatetime 2017-05-20T08:40:51 --delay 1 --endMP 204:699 --enddatetime 2017-05-20T08:55:50 --enforcementcount 0 &gt;&gt;C:\Users\stu\Documents\GitHub\eaglep3-reporting\EC\2017-05-20-refined-times.txt</v>
      </c>
      <c r="AI168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{"issue":{"subject":"","project_id":79,"tracker_id":40,"status_id":1,"priority_id":2,"assigned_to_id":23,"start_date":"2017-05-20","description":"","custom_fields":[{"id":1,"name":"Subdivision","value":"NW"},{"id":4,"name":"Milepost","value":"0.0699"},{"id":17,"name":"Train ID","value":"1806-20"},{"id":16,"name":"Locomotive ID","value":"4005"},{"id":130,"name":"Impact","value":""},{"id":150,"name":"Time of Event (Mountain Time)","value":"08:55:50"},{"id":151,"name":"Denver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54"/>
        <v>start /low /b %USERPROFILE%\Documents\GitHub\eaglep3\Utilities\DownloadLogsFromS3.py --loco 4005 --day 2017-05-20</v>
      </c>
      <c r="AN168" s="154" t="str">
        <f t="shared" si="55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14:55:50"},{"id":29,"name":"Sharepoint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2" t="s">
        <v>598</v>
      </c>
      <c r="B169" s="7">
        <v>4006</v>
      </c>
      <c r="C169" s="21" t="s">
        <v>206</v>
      </c>
      <c r="D169" s="21" t="s">
        <v>511</v>
      </c>
      <c r="E169" s="13">
        <v>42875.380648148152</v>
      </c>
      <c r="F169" s="13">
        <v>42875.389722222222</v>
      </c>
      <c r="G169" s="7">
        <v>1</v>
      </c>
      <c r="H169" s="21" t="s">
        <v>897</v>
      </c>
      <c r="I169" s="13">
        <v>42875.400150462963</v>
      </c>
      <c r="J169" s="7">
        <v>0</v>
      </c>
      <c r="K169" s="92" t="str">
        <f t="shared" si="56"/>
        <v>4005/4006</v>
      </c>
      <c r="L169" s="21" t="str">
        <f>VLOOKUP(A169,'Trips&amp;Operators'!$C$1:$G$99999,5,FALSE)</f>
        <v>MACDONALD THOMAS</v>
      </c>
      <c r="M169" s="6">
        <f t="shared" si="57"/>
        <v>1.0428240741021E-2</v>
      </c>
      <c r="N169" s="7">
        <f t="shared" si="68"/>
        <v>15.01666666707024</v>
      </c>
      <c r="O169" s="7"/>
      <c r="P169" s="7"/>
      <c r="Q169" s="22"/>
      <c r="R169" s="190"/>
      <c r="S169" s="196">
        <f t="shared" si="69"/>
        <v>1</v>
      </c>
      <c r="T169" s="190" t="str">
        <f t="shared" si="58"/>
        <v>NorthBound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 t="shared" si="59"/>
        <v>https://d0f6bd738d7f1b3e5a7ca70fe4ff75f0.us-east-1.aws.found.io/app/kibana#/discover/Steve-Slow-Train-Analysis-(2080s-and-2083s)?_g=(refreshInterval:(display:Off,pause:!f,section:0,value:0),time:(from:'2017-05-20T08:08:08-0600',mode:absolute,to:'2017-05-20T10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9" s="192" t="str">
        <f t="shared" si="60"/>
        <v>N</v>
      </c>
      <c r="X169" s="192">
        <f t="shared" si="71"/>
        <v>1</v>
      </c>
      <c r="Y169" s="192">
        <f t="shared" si="61"/>
        <v>9.74E-2</v>
      </c>
      <c r="Z169" s="192">
        <f t="shared" si="62"/>
        <v>5.8952</v>
      </c>
      <c r="AA169" s="192">
        <f t="shared" si="63"/>
        <v>5.7977999999999996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64"/>
        <v>1807-20</v>
      </c>
      <c r="AE169" s="80" t="str">
        <f t="shared" si="65"/>
        <v>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 &amp; aws s3 cp s3://rtdc.mdm.uploadarchive.raw/RTDC4006/ "%USERPROFILE%\AppData\Local\Temp\OnboardLogs"\RTDC4006\2017-05-21 --exclude "*" --recursive --include "*20170521*" &amp; "%USERPROFILE%\Documents\GitHub\mrs-test-scripts\Headless Mode &amp; Sideloading\WalkAndUnGZ.bat" "%USERPROFILE%\AppData\Local\Temp\OnboardLogs"\RTDC4006\2017-05-21</v>
      </c>
      <c r="AF169" s="77" t="str">
        <f t="shared" si="66"/>
        <v>"C:\Program Files (x86)\AstroGrep\AstroGrep.exe" /e /r /s /spath="%USERPROFILE%\AppData\Local\Temp\OnboardLogs" /stypes="app*4006*20170520*" /stext=" 15:.+((SYSTEM_STATE.+slice.+state.+changed )|(ment ac)|(multiple cpu faults)|(system.+state.+changed )|(\[timeout)|(PRM\|1\|D)|(kpr)|(kdp)|(train st.+moving)|(\|lc)|(penalty))"</v>
      </c>
      <c r="AG169" s="1" t="str">
        <f t="shared" si="67"/>
        <v>NW</v>
      </c>
      <c r="AH169" s="81" t="str">
        <f t="shared" si="52"/>
        <v>"%USERPROFILE%\Documents\GitHub\eaglep3\Utilities\RefineRTDCRunTimes.py" --tripid 1807-20 --locoid 4006 --swversion DE.1.0.9.0 --startMP 204:974 --initTime 2017-05-20T09:08:08 --startdatetime 2017-05-20T09:21:12 --delay 1 --endMP 300:58952 --enddatetime 2017-05-20T09:36:13 --enforcementcount 0 &gt;&gt;C:\Users\stu\Documents\GitHub\eaglep3-reporting\EC\2017-05-20-refined-times.txt</v>
      </c>
      <c r="AI169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{"issue":{"subject":"","project_id":79,"tracker_id":40,"status_id":1,"priority_id":2,"assigned_to_id":23,"start_date":"2017-05-20","description":"","custom_fields":[{"id":1,"name":"Subdivision","value":"NW"},{"id":4,"name":"Milepost","value":"5.8952"},{"id":17,"name":"Train ID","value":"1807-20"},{"id":16,"name":"Locomotive ID","value":"4006"},{"id":130,"name":"Impact","value":""},{"id":150,"name":"Time of Event (Mountain Time)","value":"09:36:13"},{"id":151,"name":"Denver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5" t="str">
        <f t="shared" si="54"/>
        <v>start /low /b %USERPROFILE%\Documents\GitHub\eaglep3\Utilities\DownloadLogsFromS3.py --loco 4006 --day 2017-05-20</v>
      </c>
      <c r="AN169" s="154" t="str">
        <f t="shared" si="55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15:36:13"},{"id":29,"name":"Sharepoint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s="20" customFormat="1" x14ac:dyDescent="0.25">
      <c r="A170" s="32" t="s">
        <v>718</v>
      </c>
      <c r="B170" s="7">
        <v>4005</v>
      </c>
      <c r="C170" s="21" t="s">
        <v>206</v>
      </c>
      <c r="D170" s="21" t="s">
        <v>579</v>
      </c>
      <c r="E170" s="13">
        <v>42875.40115740741</v>
      </c>
      <c r="F170" s="13">
        <v>42875.402754629627</v>
      </c>
      <c r="G170" s="7">
        <v>1</v>
      </c>
      <c r="H170" s="21" t="s">
        <v>898</v>
      </c>
      <c r="I170" s="13">
        <v>42875.413900462961</v>
      </c>
      <c r="J170" s="7">
        <v>0</v>
      </c>
      <c r="K170" s="92" t="str">
        <f t="shared" si="56"/>
        <v>4005/4006</v>
      </c>
      <c r="L170" s="21" t="str">
        <f>VLOOKUP(A170,'Trips&amp;Operators'!$C$1:$G$99999,5,FALSE)</f>
        <v>MACDONALD THOMAS</v>
      </c>
      <c r="M170" s="6">
        <f t="shared" si="57"/>
        <v>1.1145833334012423E-2</v>
      </c>
      <c r="N170" s="7">
        <f t="shared" si="68"/>
        <v>16.050000000977889</v>
      </c>
      <c r="O170" s="7"/>
      <c r="P170" s="7"/>
      <c r="Q170" s="22"/>
      <c r="R170" s="190"/>
      <c r="S170" s="196">
        <f t="shared" si="69"/>
        <v>1</v>
      </c>
      <c r="T170" s="190" t="str">
        <f t="shared" si="58"/>
        <v>Southbound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 t="shared" si="59"/>
        <v>https://d0f6bd738d7f1b3e5a7ca70fe4ff75f0.us-east-1.aws.found.io/app/kibana#/discover/Steve-Slow-Train-Analysis-(2080s-and-2083s)?_g=(refreshInterval:(display:Off,pause:!f,section:0,value:0),time:(from:'2017-05-20T08:37:40-0600',mode:absolute,to:'2017-05-20T10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0" s="192" t="str">
        <f t="shared" si="60"/>
        <v>N</v>
      </c>
      <c r="X170" s="192">
        <f t="shared" si="71"/>
        <v>1</v>
      </c>
      <c r="Y170" s="192">
        <f t="shared" si="61"/>
        <v>5.8630000000000004</v>
      </c>
      <c r="Z170" s="192">
        <f t="shared" si="62"/>
        <v>6.6400000000000001E-2</v>
      </c>
      <c r="AA170" s="192">
        <f t="shared" si="63"/>
        <v>5.7966000000000006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64"/>
        <v>1808-20</v>
      </c>
      <c r="AE170" s="80" t="str">
        <f t="shared" si="65"/>
        <v>aws s3 cp s3://rtdc.mdm.uploadarchive.raw/RTDC4005/ "%USERPROFILE%\AppData\Local\Temp\OnboardLogs"\RTDC4005\2017-05-20 --exclude "*" --recursive --include "*20170520*" &amp; "%USERPROFILE%\Documents\GitHub\mrs-test-scripts\Headless Mode &amp; Sideloading\WalkAndUnGZ.bat" "%USERPROFILE%\AppData\Local\Temp\OnboardLogs"\RTDC4005\2017-05-20 &amp; aws s3 cp s3://rtdc.mdm.uploadarchive.raw/RTDC4005/ "%USERPROFILE%\AppData\Local\Temp\OnboardLogs"\RTDC4005\2017-05-21 --exclude "*" --recursive --include "*20170521*" &amp; "%USERPROFILE%\Documents\GitHub\mrs-test-scripts\Headless Mode &amp; Sideloading\WalkAndUnGZ.bat" "%USERPROFILE%\AppData\Local\Temp\OnboardLogs"\RTDC4005\2017-05-21</v>
      </c>
      <c r="AF170" s="77" t="str">
        <f t="shared" si="66"/>
        <v>"C:\Program Files (x86)\AstroGrep\AstroGrep.exe" /e /r /s /spath="%USERPROFILE%\AppData\Local\Temp\OnboardLogs" /stypes="app*4005*20170520*" /stext=" 15:.+((SYSTEM_STATE.+slice.+state.+changed )|(ment ac)|(multiple cpu faults)|(system.+state.+changed )|(\[timeout)|(PRM\|1\|D)|(kpr)|(kdp)|(train st.+moving)|(\|lc)|(penalty))"</v>
      </c>
      <c r="AG170" s="1" t="str">
        <f t="shared" si="67"/>
        <v>NW</v>
      </c>
      <c r="AH170" s="81" t="str">
        <f t="shared" si="52"/>
        <v>"%USERPROFILE%\Documents\GitHub\eaglep3\Utilities\RefineRTDCRunTimes.py" --tripid 1808-20 --locoid 4005 --swversion DE.1.0.9.0 --startMP 300:58630 --initTime 2017-05-20T09:37:40 --startdatetime 2017-05-20T09:39:58 --delay 1 --endMP 204:664 --enddatetime 2017-05-20T09:56:01 --enforcementcount 0 &gt;&gt;C:\Users\stu\Documents\GitHub\eaglep3-reporting\EC\2017-05-20-refined-times.txt</v>
      </c>
      <c r="AI170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{"issue":{"subject":"","project_id":79,"tracker_id":40,"status_id":1,"priority_id":2,"assigned_to_id":23,"start_date":"2017-05-20","description":"","custom_fields":[{"id":1,"name":"Subdivision","value":"NW"},{"id":4,"name":"Milepost","value":"0.0664"},{"id":17,"name":"Train ID","value":"1808-20"},{"id":16,"name":"Locomotive ID","value":"4005"},{"id":130,"name":"Impact","value":""},{"id":150,"name":"Time of Event (Mountain Time)","value":"09:56:01"},{"id":151,"name":"Denver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5" t="str">
        <f t="shared" si="54"/>
        <v>start /low /b %USERPROFILE%\Documents\GitHub\eaglep3\Utilities\DownloadLogsFromS3.py --loco 4005 --day 2017-05-20</v>
      </c>
      <c r="AN170" s="154" t="str">
        <f t="shared" si="55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15:56:01"},{"id":29,"name":"Sharepoint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601</v>
      </c>
      <c r="B171" s="7">
        <v>4006</v>
      </c>
      <c r="C171" s="21" t="s">
        <v>206</v>
      </c>
      <c r="D171" s="21" t="s">
        <v>899</v>
      </c>
      <c r="E171" s="13">
        <v>42875.425196759257</v>
      </c>
      <c r="F171" s="13">
        <v>42875.431504629632</v>
      </c>
      <c r="G171" s="7">
        <v>2</v>
      </c>
      <c r="H171" s="21" t="s">
        <v>900</v>
      </c>
      <c r="I171" s="13">
        <v>42875.443969907406</v>
      </c>
      <c r="J171" s="7">
        <v>0</v>
      </c>
      <c r="K171" s="92" t="str">
        <f t="shared" si="56"/>
        <v>4005/4006</v>
      </c>
      <c r="L171" s="21" t="str">
        <f>VLOOKUP(A171,'Trips&amp;Operators'!$C$1:$G$99999,5,FALSE)</f>
        <v>COOPER AARON</v>
      </c>
      <c r="M171" s="6">
        <f t="shared" si="57"/>
        <v>1.2465277774026617E-2</v>
      </c>
      <c r="N171" s="7">
        <f t="shared" si="68"/>
        <v>17.949999994598329</v>
      </c>
      <c r="O171" s="7"/>
      <c r="P171" s="7"/>
      <c r="Q171" s="22"/>
      <c r="R171" s="190"/>
      <c r="S171" s="196">
        <f t="shared" si="69"/>
        <v>1</v>
      </c>
      <c r="T171" s="190" t="str">
        <f t="shared" si="58"/>
        <v>NorthBound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 t="shared" si="59"/>
        <v>https://d0f6bd738d7f1b3e5a7ca70fe4ff75f0.us-east-1.aws.found.io/app/kibana#/discover/Steve-Slow-Train-Analysis-(2080s-and-2083s)?_g=(refreshInterval:(display:Off,pause:!f,section:0,value:0),time:(from:'2017-05-20T09:12:17-0600',mode:absolute,to:'2017-05-20T11:39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1" s="192" t="str">
        <f t="shared" si="60"/>
        <v>N</v>
      </c>
      <c r="X171" s="192">
        <f t="shared" si="71"/>
        <v>1</v>
      </c>
      <c r="Y171" s="192">
        <f t="shared" si="61"/>
        <v>9.5500000000000002E-2</v>
      </c>
      <c r="Z171" s="192">
        <f t="shared" si="62"/>
        <v>5.899</v>
      </c>
      <c r="AA171" s="192">
        <f t="shared" si="63"/>
        <v>5.8034999999999997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64"/>
        <v>1809-20</v>
      </c>
      <c r="AE171" s="80" t="str">
        <f t="shared" si="65"/>
        <v>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 &amp; aws s3 cp s3://rtdc.mdm.uploadarchive.raw/RTDC4006/ "%USERPROFILE%\AppData\Local\Temp\OnboardLogs"\RTDC4006\2017-05-21 --exclude "*" --recursive --include "*20170521*" &amp; "%USERPROFILE%\Documents\GitHub\mrs-test-scripts\Headless Mode &amp; Sideloading\WalkAndUnGZ.bat" "%USERPROFILE%\AppData\Local\Temp\OnboardLogs"\RTDC4006\2017-05-21</v>
      </c>
      <c r="AF171" s="77" t="str">
        <f t="shared" si="66"/>
        <v>"C:\Program Files (x86)\AstroGrep\AstroGrep.exe" /e /r /s /spath="%USERPROFILE%\AppData\Local\Temp\OnboardLogs" /stypes="app*4006*20170520*" /stext=" 16:.+((SYSTEM_STATE.+slice.+state.+changed )|(ment ac)|(multiple cpu faults)|(system.+state.+changed )|(\[timeout)|(PRM\|1\|D)|(kpr)|(kdp)|(train st.+moving)|(\|lc)|(penalty))"</v>
      </c>
      <c r="AG171" s="1" t="str">
        <f t="shared" si="67"/>
        <v>NW</v>
      </c>
      <c r="AH171" s="81" t="str">
        <f t="shared" si="52"/>
        <v>"%USERPROFILE%\Documents\GitHub\eaglep3\Utilities\RefineRTDCRunTimes.py" --tripid 1809-20 --locoid 4006 --swversion DE.1.0.9.0 --startMP 204:955 --initTime 2017-05-20T10:12:17 --startdatetime 2017-05-20T10:21:22 --delay 2 --endMP 300:58990 --enddatetime 2017-05-20T10:39:19 --enforcementcount 0 &gt;&gt;C:\Users\stu\Documents\GitHub\eaglep3-reporting\EC\2017-05-20-refined-times.txt</v>
      </c>
      <c r="AI171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{"issue":{"subject":"","project_id":79,"tracker_id":40,"status_id":1,"priority_id":2,"assigned_to_id":23,"start_date":"2017-05-20","description":"","custom_fields":[{"id":1,"name":"Subdivision","value":"NW"},{"id":4,"name":"Milepost","value":"5.899"},{"id":17,"name":"Train ID","value":"1809-20"},{"id":16,"name":"Locomotive ID","value":"4006"},{"id":130,"name":"Impact","value":""},{"id":150,"name":"Time of Event (Mountain Time)","value":"10:39:19"},{"id":151,"name":"Denver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5" t="str">
        <f t="shared" si="54"/>
        <v>start /low /b %USERPROFILE%\Documents\GitHub\eaglep3\Utilities\DownloadLogsFromS3.py --loco 4006 --day 2017-05-20</v>
      </c>
      <c r="AN171" s="154" t="str">
        <f t="shared" si="55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16:39:19"},{"id":29,"name":"Sharepoint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731</v>
      </c>
      <c r="B172" s="7">
        <v>4005</v>
      </c>
      <c r="C172" s="21" t="s">
        <v>206</v>
      </c>
      <c r="D172" s="21" t="s">
        <v>902</v>
      </c>
      <c r="E172" s="13">
        <v>42875.446412037039</v>
      </c>
      <c r="F172" s="13">
        <v>42875.447592592594</v>
      </c>
      <c r="G172" s="7">
        <v>1</v>
      </c>
      <c r="H172" s="21" t="s">
        <v>903</v>
      </c>
      <c r="I172" s="13">
        <v>42875.456990740742</v>
      </c>
      <c r="J172" s="7">
        <v>0</v>
      </c>
      <c r="K172" s="92" t="str">
        <f t="shared" si="56"/>
        <v>4005/4006</v>
      </c>
      <c r="L172" s="21" t="str">
        <f>VLOOKUP(A172,'Trips&amp;Operators'!$C$1:$G$99999,5,FALSE)</f>
        <v>COOPER AARON</v>
      </c>
      <c r="M172" s="6">
        <f t="shared" si="57"/>
        <v>9.3981481477385387E-3</v>
      </c>
      <c r="N172" s="7">
        <f t="shared" si="68"/>
        <v>13.533333332743496</v>
      </c>
      <c r="O172" s="7"/>
      <c r="P172" s="7"/>
      <c r="Q172" s="22"/>
      <c r="R172" s="190"/>
      <c r="S172" s="196">
        <f t="shared" si="69"/>
        <v>1</v>
      </c>
      <c r="T172" s="190" t="str">
        <f t="shared" si="58"/>
        <v>Southbound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 t="shared" si="59"/>
        <v>https://d0f6bd738d7f1b3e5a7ca70fe4ff75f0.us-east-1.aws.found.io/app/kibana#/discover/Steve-Slow-Train-Analysis-(2080s-and-2083s)?_g=(refreshInterval:(display:Off,pause:!f,section:0,value:0),time:(from:'2017-05-20T09:42:50-0600',mode:absolute,to:'2017-05-20T11:58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2" s="192" t="str">
        <f t="shared" si="60"/>
        <v>N</v>
      </c>
      <c r="X172" s="192">
        <f t="shared" si="71"/>
        <v>1</v>
      </c>
      <c r="Y172" s="192">
        <f t="shared" si="61"/>
        <v>5.8667999999999996</v>
      </c>
      <c r="Z172" s="192">
        <f t="shared" si="62"/>
        <v>6.8000000000000005E-2</v>
      </c>
      <c r="AA172" s="192">
        <f t="shared" si="63"/>
        <v>5.7988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64"/>
        <v>1810-20</v>
      </c>
      <c r="AE172" s="80" t="str">
        <f t="shared" si="65"/>
        <v>aws s3 cp s3://rtdc.mdm.uploadarchive.raw/RTDC4005/ "%USERPROFILE%\AppData\Local\Temp\OnboardLogs"\RTDC4005\2017-05-20 --exclude "*" --recursive --include "*20170520*" &amp; "%USERPROFILE%\Documents\GitHub\mrs-test-scripts\Headless Mode &amp; Sideloading\WalkAndUnGZ.bat" "%USERPROFILE%\AppData\Local\Temp\OnboardLogs"\RTDC4005\2017-05-20 &amp; aws s3 cp s3://rtdc.mdm.uploadarchive.raw/RTDC4005/ "%USERPROFILE%\AppData\Local\Temp\OnboardLogs"\RTDC4005\2017-05-21 --exclude "*" --recursive --include "*20170521*" &amp; "%USERPROFILE%\Documents\GitHub\mrs-test-scripts\Headless Mode &amp; Sideloading\WalkAndUnGZ.bat" "%USERPROFILE%\AppData\Local\Temp\OnboardLogs"\RTDC4005\2017-05-21</v>
      </c>
      <c r="AF172" s="77" t="str">
        <f t="shared" si="66"/>
        <v>"C:\Program Files (x86)\AstroGrep\AstroGrep.exe" /e /r /s /spath="%USERPROFILE%\AppData\Local\Temp\OnboardLogs" /stypes="app*4005*20170520*" /stext=" 16:.+((SYSTEM_STATE.+slice.+state.+changed )|(ment ac)|(multiple cpu faults)|(system.+state.+changed )|(\[timeout)|(PRM\|1\|D)|(kpr)|(kdp)|(train st.+moving)|(\|lc)|(penalty))"</v>
      </c>
      <c r="AG172" s="1" t="str">
        <f t="shared" si="67"/>
        <v>NW</v>
      </c>
      <c r="AH172" s="81" t="str">
        <f t="shared" si="52"/>
        <v>"%USERPROFILE%\Documents\GitHub\eaglep3\Utilities\RefineRTDCRunTimes.py" --tripid 1810-20 --locoid 4005 --swversion DE.1.0.9.0 --startMP 300:58668 --initTime 2017-05-20T10:42:50 --startdatetime 2017-05-20T10:44:32 --delay 1 --endMP 204:680 --enddatetime 2017-05-20T10:58:04 --enforcementcount 0 &gt;&gt;C:\Users\stu\Documents\GitHub\eaglep3-reporting\EC\2017-05-20-refined-times.txt</v>
      </c>
      <c r="AI172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{"issue":{"subject":"","project_id":79,"tracker_id":40,"status_id":1,"priority_id":2,"assigned_to_id":23,"start_date":"2017-05-20","description":"","custom_fields":[{"id":1,"name":"Subdivision","value":"NW"},{"id":4,"name":"Milepost","value":"0.068"},{"id":17,"name":"Train ID","value":"1810-20"},{"id":16,"name":"Locomotive ID","value":"4005"},{"id":130,"name":"Impact","value":""},{"id":150,"name":"Time of Event (Mountain Time)","value":"10:58:04"},{"id":151,"name":"Denver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si="54"/>
        <v>start /low /b %USERPROFILE%\Documents\GitHub\eaglep3\Utilities\DownloadLogsFromS3.py --loco 4005 --day 2017-05-20</v>
      </c>
      <c r="AN172" s="154" t="str">
        <f t="shared" si="55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16:58:04"},{"id":29,"name":"Sharepoint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2" t="s">
        <v>734</v>
      </c>
      <c r="B173" s="7">
        <v>4006</v>
      </c>
      <c r="C173" s="21" t="s">
        <v>206</v>
      </c>
      <c r="D173" s="21" t="s">
        <v>508</v>
      </c>
      <c r="E173" s="13">
        <v>42875.457928240743</v>
      </c>
      <c r="F173" s="13">
        <v>42875.473449074074</v>
      </c>
      <c r="G173" s="7">
        <v>1</v>
      </c>
      <c r="H173" s="21" t="s">
        <v>904</v>
      </c>
      <c r="I173" s="13">
        <v>42875.482407407406</v>
      </c>
      <c r="J173" s="7">
        <v>0</v>
      </c>
      <c r="K173" s="92" t="str">
        <f t="shared" si="56"/>
        <v>4005/4006</v>
      </c>
      <c r="L173" s="21" t="str">
        <f>VLOOKUP(A173,'Trips&amp;Operators'!$C$1:$G$99999,5,FALSE)</f>
        <v>MACDONALD THOMAS</v>
      </c>
      <c r="M173" s="6">
        <f t="shared" si="57"/>
        <v>8.9583333319751546E-3</v>
      </c>
      <c r="N173" s="7">
        <f t="shared" si="68"/>
        <v>12.899999998044223</v>
      </c>
      <c r="O173" s="7"/>
      <c r="P173" s="7"/>
      <c r="Q173" s="22"/>
      <c r="R173" s="190"/>
      <c r="S173" s="196">
        <f t="shared" si="69"/>
        <v>1</v>
      </c>
      <c r="T173" s="190" t="str">
        <f t="shared" si="58"/>
        <v>NorthBound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 t="shared" si="59"/>
        <v>https://d0f6bd738d7f1b3e5a7ca70fe4ff75f0.us-east-1.aws.found.io/app/kibana#/discover/Steve-Slow-Train-Analysis-(2080s-and-2083s)?_g=(refreshInterval:(display:Off,pause:!f,section:0,value:0),time:(from:'2017-05-20T09:59:25-0600',mode:absolute,to:'2017-05-20T12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3" s="192" t="str">
        <f t="shared" si="60"/>
        <v>N</v>
      </c>
      <c r="X173" s="192">
        <f t="shared" ref="X173:X204" si="72">VALUE(LEFT(AD173,4))-VALUE(LEFT(AD172,4))</f>
        <v>1</v>
      </c>
      <c r="Y173" s="192">
        <f t="shared" si="61"/>
        <v>9.7900000000000001E-2</v>
      </c>
      <c r="Z173" s="192">
        <f t="shared" si="62"/>
        <v>5.8930999999999996</v>
      </c>
      <c r="AA173" s="192">
        <f t="shared" si="63"/>
        <v>5.7951999999999995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64"/>
        <v>1811-20</v>
      </c>
      <c r="AE173" s="80" t="str">
        <f t="shared" si="65"/>
        <v>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 &amp; aws s3 cp s3://rtdc.mdm.uploadarchive.raw/RTDC4006/ "%USERPROFILE%\AppData\Local\Temp\OnboardLogs"\RTDC4006\2017-05-21 --exclude "*" --recursive --include "*20170521*" &amp; "%USERPROFILE%\Documents\GitHub\mrs-test-scripts\Headless Mode &amp; Sideloading\WalkAndUnGZ.bat" "%USERPROFILE%\AppData\Local\Temp\OnboardLogs"\RTDC4006\2017-05-21</v>
      </c>
      <c r="AF173" s="77" t="str">
        <f t="shared" si="66"/>
        <v>"C:\Program Files (x86)\AstroGrep\AstroGrep.exe" /e /r /s /spath="%USERPROFILE%\AppData\Local\Temp\OnboardLogs" /stypes="app*4006*20170520*" /stext=" 17:.+((SYSTEM_STATE.+slice.+state.+changed )|(ment ac)|(multiple cpu faults)|(system.+state.+changed )|(\[timeout)|(PRM\|1\|D)|(kpr)|(kdp)|(train st.+moving)|(\|lc)|(penalty))"</v>
      </c>
      <c r="AG173" s="1" t="str">
        <f t="shared" si="67"/>
        <v>NW</v>
      </c>
      <c r="AH173" s="81" t="str">
        <f t="shared" si="52"/>
        <v>"%USERPROFILE%\Documents\GitHub\eaglep3\Utilities\RefineRTDCRunTimes.py" --tripid 1811-20 --locoid 4006 --swversion DE.1.0.9.0 --startMP 204:979 --initTime 2017-05-20T10:59:25 --startdatetime 2017-05-20T11:21:46 --delay 1 --endMP 300:58931 --enddatetime 2017-05-20T11:34:40 --enforcementcount 0 &gt;&gt;C:\Users\stu\Documents\GitHub\eaglep3-reporting\EC\2017-05-20-refined-times.txt</v>
      </c>
      <c r="AI173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{"issue":{"subject":"","project_id":79,"tracker_id":40,"status_id":1,"priority_id":2,"assigned_to_id":23,"start_date":"2017-05-20","description":"","custom_fields":[{"id":1,"name":"Subdivision","value":"NW"},{"id":4,"name":"Milepost","value":"5.8931"},{"id":17,"name":"Train ID","value":"1811-20"},{"id":16,"name":"Locomotive ID","value":"4006"},{"id":130,"name":"Impact","value":""},{"id":150,"name":"Time of Event (Mountain Time)","value":"11:34:40"},{"id":151,"name":"Denver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5" t="str">
        <f t="shared" si="54"/>
        <v>start /low /b %USERPROFILE%\Documents\GitHub\eaglep3\Utilities\DownloadLogsFromS3.py --loco 4006 --day 2017-05-20</v>
      </c>
      <c r="AN173" s="154" t="str">
        <f t="shared" si="55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17:34:40"},{"id":29,"name":"Sharepoint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2" t="s">
        <v>742</v>
      </c>
      <c r="B174" s="7">
        <v>4005</v>
      </c>
      <c r="C174" s="21" t="s">
        <v>206</v>
      </c>
      <c r="D174" s="21" t="s">
        <v>905</v>
      </c>
      <c r="E174" s="13">
        <v>42875.483298611114</v>
      </c>
      <c r="F174" s="13">
        <v>42875.484571759262</v>
      </c>
      <c r="G174" s="7">
        <v>1</v>
      </c>
      <c r="H174" s="21" t="s">
        <v>582</v>
      </c>
      <c r="I174" s="13">
        <v>42875.496331018519</v>
      </c>
      <c r="J174" s="7">
        <v>0</v>
      </c>
      <c r="K174" s="92" t="str">
        <f t="shared" si="56"/>
        <v>4005/4006</v>
      </c>
      <c r="L174" s="21" t="str">
        <f>VLOOKUP(A174,'Trips&amp;Operators'!$C$1:$G$99999,5,FALSE)</f>
        <v>MACDONALD THOMAS</v>
      </c>
      <c r="M174" s="6">
        <f t="shared" si="57"/>
        <v>1.1759259257814847E-2</v>
      </c>
      <c r="N174" s="7">
        <f t="shared" si="68"/>
        <v>16.93333333125338</v>
      </c>
      <c r="O174" s="7"/>
      <c r="P174" s="7"/>
      <c r="Q174" s="22"/>
      <c r="R174" s="190"/>
      <c r="S174" s="196">
        <f t="shared" si="69"/>
        <v>1</v>
      </c>
      <c r="T174" s="190" t="str">
        <f t="shared" si="58"/>
        <v>Southbound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 t="shared" si="59"/>
        <v>https://d0f6bd738d7f1b3e5a7ca70fe4ff75f0.us-east-1.aws.found.io/app/kibana#/discover/Steve-Slow-Train-Analysis-(2080s-and-2083s)?_g=(refreshInterval:(display:Off,pause:!f,section:0,value:0),time:(from:'2017-05-20T10:35:57-0600',mode:absolute,to:'2017-05-20T12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4" s="192" t="str">
        <f t="shared" si="60"/>
        <v>N</v>
      </c>
      <c r="X174" s="192">
        <f t="shared" si="72"/>
        <v>1</v>
      </c>
      <c r="Y174" s="192">
        <f t="shared" si="61"/>
        <v>5.8608000000000002</v>
      </c>
      <c r="Z174" s="192">
        <f t="shared" si="62"/>
        <v>6.5000000000000002E-2</v>
      </c>
      <c r="AA174" s="192">
        <f t="shared" si="63"/>
        <v>5.7957999999999998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64"/>
        <v>1812-20</v>
      </c>
      <c r="AE174" s="80" t="str">
        <f t="shared" si="65"/>
        <v>aws s3 cp s3://rtdc.mdm.uploadarchive.raw/RTDC4005/ "%USERPROFILE%\AppData\Local\Temp\OnboardLogs"\RTDC4005\2017-05-20 --exclude "*" --recursive --include "*20170520*" &amp; "%USERPROFILE%\Documents\GitHub\mrs-test-scripts\Headless Mode &amp; Sideloading\WalkAndUnGZ.bat" "%USERPROFILE%\AppData\Local\Temp\OnboardLogs"\RTDC4005\2017-05-20 &amp; aws s3 cp s3://rtdc.mdm.uploadarchive.raw/RTDC4005/ "%USERPROFILE%\AppData\Local\Temp\OnboardLogs"\RTDC4005\2017-05-21 --exclude "*" --recursive --include "*20170521*" &amp; "%USERPROFILE%\Documents\GitHub\mrs-test-scripts\Headless Mode &amp; Sideloading\WalkAndUnGZ.bat" "%USERPROFILE%\AppData\Local\Temp\OnboardLogs"\RTDC4005\2017-05-21</v>
      </c>
      <c r="AF174" s="77" t="str">
        <f t="shared" si="66"/>
        <v>"C:\Program Files (x86)\AstroGrep\AstroGrep.exe" /e /r /s /spath="%USERPROFILE%\AppData\Local\Temp\OnboardLogs" /stypes="app*4005*20170520*" /stext=" 17:.+((SYSTEM_STATE.+slice.+state.+changed )|(ment ac)|(multiple cpu faults)|(system.+state.+changed )|(\[timeout)|(PRM\|1\|D)|(kpr)|(kdp)|(train st.+moving)|(\|lc)|(penalty))"</v>
      </c>
      <c r="AG174" s="1" t="str">
        <f t="shared" si="67"/>
        <v>NW</v>
      </c>
      <c r="AH174" s="81" t="str">
        <f t="shared" si="52"/>
        <v>"%USERPROFILE%\Documents\GitHub\eaglep3\Utilities\RefineRTDCRunTimes.py" --tripid 1812-20 --locoid 4005 --swversion DE.1.0.9.0 --startMP 300:58608 --initTime 2017-05-20T11:35:57 --startdatetime 2017-05-20T11:37:47 --delay 1 --endMP 204:650 --enddatetime 2017-05-20T11:54:43 --enforcementcount 0 &gt;&gt;C:\Users\stu\Documents\GitHub\eaglep3-reporting\EC\2017-05-20-refined-times.txt</v>
      </c>
      <c r="AI174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{"issue":{"subject":"","project_id":79,"tracker_id":40,"status_id":1,"priority_id":2,"assigned_to_id":23,"start_date":"2017-05-20","description":"","custom_fields":[{"id":1,"name":"Subdivision","value":"NW"},{"id":4,"name":"Milepost","value":"0.065"},{"id":17,"name":"Train ID","value":"1812-20"},{"id":16,"name":"Locomotive ID","value":"4005"},{"id":130,"name":"Impact","value":""},{"id":150,"name":"Time of Event (Mountain Time)","value":"11:54:43"},{"id":151,"name":"Denver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5" t="str">
        <f t="shared" si="54"/>
        <v>start /low /b %USERPROFILE%\Documents\GitHub\eaglep3\Utilities\DownloadLogsFromS3.py --loco 4005 --day 2017-05-20</v>
      </c>
      <c r="AN174" s="154" t="str">
        <f t="shared" si="55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17:54:43"},{"id":29,"name":"Sharepoint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2" t="s">
        <v>747</v>
      </c>
      <c r="B175" s="7">
        <v>4006</v>
      </c>
      <c r="C175" s="21" t="s">
        <v>206</v>
      </c>
      <c r="D175" s="21" t="s">
        <v>906</v>
      </c>
      <c r="E175" s="13">
        <v>42875.511504629627</v>
      </c>
      <c r="F175" s="13">
        <v>42875.514780092592</v>
      </c>
      <c r="G175" s="7">
        <v>1</v>
      </c>
      <c r="H175" s="21" t="s">
        <v>578</v>
      </c>
      <c r="I175" s="13">
        <v>42875.524513888886</v>
      </c>
      <c r="J175" s="7">
        <v>0</v>
      </c>
      <c r="K175" s="92" t="str">
        <f t="shared" si="56"/>
        <v>4005/4006</v>
      </c>
      <c r="L175" s="21" t="str">
        <f>VLOOKUP(A175,'Trips&amp;Operators'!$C$1:$G$99999,5,FALSE)</f>
        <v>MACDONALD THOMAS</v>
      </c>
      <c r="M175" s="6">
        <f t="shared" si="57"/>
        <v>9.7337962943129241E-3</v>
      </c>
      <c r="N175" s="7">
        <f t="shared" si="68"/>
        <v>14.016666663810611</v>
      </c>
      <c r="O175" s="7"/>
      <c r="P175" s="7"/>
      <c r="Q175" s="22"/>
      <c r="R175" s="190"/>
      <c r="S175" s="196">
        <f t="shared" si="69"/>
        <v>1</v>
      </c>
      <c r="T175" s="190" t="str">
        <f t="shared" si="58"/>
        <v>NorthBound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 t="shared" si="59"/>
        <v>https://d0f6bd738d7f1b3e5a7ca70fe4ff75f0.us-east-1.aws.found.io/app/kibana#/discover/Steve-Slow-Train-Analysis-(2080s-and-2083s)?_g=(refreshInterval:(display:Off,pause:!f,section:0,value:0),time:(from:'2017-05-20T11:16:34-0600',mode:absolute,to:'2017-05-20T13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5" s="192" t="str">
        <f t="shared" si="60"/>
        <v>N</v>
      </c>
      <c r="X175" s="192">
        <f t="shared" si="72"/>
        <v>1</v>
      </c>
      <c r="Y175" s="192">
        <f t="shared" si="61"/>
        <v>9.4299999999999995E-2</v>
      </c>
      <c r="Z175" s="192">
        <f t="shared" si="62"/>
        <v>5.8945999999999996</v>
      </c>
      <c r="AA175" s="192">
        <f t="shared" si="63"/>
        <v>5.8003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64"/>
        <v>1813-20</v>
      </c>
      <c r="AE175" s="80" t="str">
        <f t="shared" si="65"/>
        <v>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 &amp; aws s3 cp s3://rtdc.mdm.uploadarchive.raw/RTDC4006/ "%USERPROFILE%\AppData\Local\Temp\OnboardLogs"\RTDC4006\2017-05-21 --exclude "*" --recursive --include "*20170521*" &amp; "%USERPROFILE%\Documents\GitHub\mrs-test-scripts\Headless Mode &amp; Sideloading\WalkAndUnGZ.bat" "%USERPROFILE%\AppData\Local\Temp\OnboardLogs"\RTDC4006\2017-05-21</v>
      </c>
      <c r="AF175" s="77" t="str">
        <f t="shared" si="66"/>
        <v>"C:\Program Files (x86)\AstroGrep\AstroGrep.exe" /e /r /s /spath="%USERPROFILE%\AppData\Local\Temp\OnboardLogs" /stypes="app*4006*20170520*" /stext=" 18:.+((SYSTEM_STATE.+slice.+state.+changed )|(ment ac)|(multiple cpu faults)|(system.+state.+changed )|(\[timeout)|(PRM\|1\|D)|(kpr)|(kdp)|(train st.+moving)|(\|lc)|(penalty))"</v>
      </c>
      <c r="AG175" s="1" t="str">
        <f t="shared" si="67"/>
        <v>NW</v>
      </c>
      <c r="AH175" s="81" t="str">
        <f t="shared" si="52"/>
        <v>"%USERPROFILE%\Documents\GitHub\eaglep3\Utilities\RefineRTDCRunTimes.py" --tripid 1813-20 --locoid 4006 --swversion DE.1.0.9.0 --startMP 204:943 --initTime 2017-05-20T12:16:34 --startdatetime 2017-05-20T12:21:17 --delay 1 --endMP 300:58946 --enddatetime 2017-05-20T12:35:18 --enforcementcount 0 &gt;&gt;C:\Users\stu\Documents\GitHub\eaglep3-reporting\EC\2017-05-20-refined-times.txt</v>
      </c>
      <c r="AI175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{"issue":{"subject":"","project_id":79,"tracker_id":40,"status_id":1,"priority_id":2,"assigned_to_id":23,"start_date":"2017-05-20","description":"","custom_fields":[{"id":1,"name":"Subdivision","value":"NW"},{"id":4,"name":"Milepost","value":"5.8946"},{"id":17,"name":"Train ID","value":"1813-20"},{"id":16,"name":"Locomotive ID","value":"4006"},{"id":130,"name":"Impact","value":""},{"id":150,"name":"Time of Event (Mountain Time)","value":"12:35:18"},{"id":151,"name":"Denver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5" t="str">
        <f t="shared" si="54"/>
        <v>start /low /b %USERPROFILE%\Documents\GitHub\eaglep3\Utilities\DownloadLogsFromS3.py --loco 4006 --day 2017-05-20</v>
      </c>
      <c r="AN175" s="154" t="str">
        <f t="shared" si="55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18:35:18"},{"id":29,"name":"Sharepoint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2" t="s">
        <v>751</v>
      </c>
      <c r="B176" s="7">
        <v>4005</v>
      </c>
      <c r="C176" s="21" t="s">
        <v>206</v>
      </c>
      <c r="D176" s="21" t="s">
        <v>907</v>
      </c>
      <c r="E176" s="13">
        <v>42875.525393518517</v>
      </c>
      <c r="F176" s="13">
        <v>42875.52648148148</v>
      </c>
      <c r="G176" s="7">
        <v>0</v>
      </c>
      <c r="H176" s="21" t="s">
        <v>908</v>
      </c>
      <c r="I176" s="13">
        <v>42875.537928240738</v>
      </c>
      <c r="J176" s="7">
        <v>0</v>
      </c>
      <c r="K176" s="92" t="str">
        <f t="shared" si="56"/>
        <v>4005/4006</v>
      </c>
      <c r="L176" s="21" t="str">
        <f>VLOOKUP(A176,'Trips&amp;Operators'!$C$1:$G$99999,5,FALSE)</f>
        <v>MACDONALD THOMAS</v>
      </c>
      <c r="M176" s="6">
        <f t="shared" si="57"/>
        <v>1.1446759257523809E-2</v>
      </c>
      <c r="N176" s="7">
        <f t="shared" si="68"/>
        <v>16.483333330834284</v>
      </c>
      <c r="O176" s="7"/>
      <c r="P176" s="7"/>
      <c r="Q176" s="22"/>
      <c r="R176" s="190"/>
      <c r="S176" s="196">
        <f t="shared" si="69"/>
        <v>1</v>
      </c>
      <c r="T176" s="190" t="str">
        <f t="shared" si="58"/>
        <v>Southbound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 t="shared" si="59"/>
        <v>https://d0f6bd738d7f1b3e5a7ca70fe4ff75f0.us-east-1.aws.found.io/app/kibana#/discover/Steve-Slow-Train-Analysis-(2080s-and-2083s)?_g=(refreshInterval:(display:Off,pause:!f,section:0,value:0),time:(from:'2017-05-20T11:36:34-0600',mode:absolute,to:'2017-05-20T13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6" s="192" t="str">
        <f t="shared" si="60"/>
        <v>N</v>
      </c>
      <c r="X176" s="192">
        <f t="shared" si="72"/>
        <v>1</v>
      </c>
      <c r="Y176" s="192">
        <f t="shared" si="61"/>
        <v>5.8635999999999999</v>
      </c>
      <c r="Z176" s="192">
        <f t="shared" si="62"/>
        <v>6.6600000000000006E-2</v>
      </c>
      <c r="AA176" s="192">
        <f t="shared" si="63"/>
        <v>5.7969999999999997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64"/>
        <v>1814-20</v>
      </c>
      <c r="AE176" s="80" t="str">
        <f t="shared" si="65"/>
        <v>aws s3 cp s3://rtdc.mdm.uploadarchive.raw/RTDC4005/ "%USERPROFILE%\AppData\Local\Temp\OnboardLogs"\RTDC4005\2017-05-20 --exclude "*" --recursive --include "*20170520*" &amp; "%USERPROFILE%\Documents\GitHub\mrs-test-scripts\Headless Mode &amp; Sideloading\WalkAndUnGZ.bat" "%USERPROFILE%\AppData\Local\Temp\OnboardLogs"\RTDC4005\2017-05-20 &amp; aws s3 cp s3://rtdc.mdm.uploadarchive.raw/RTDC4005/ "%USERPROFILE%\AppData\Local\Temp\OnboardLogs"\RTDC4005\2017-05-21 --exclude "*" --recursive --include "*20170521*" &amp; "%USERPROFILE%\Documents\GitHub\mrs-test-scripts\Headless Mode &amp; Sideloading\WalkAndUnGZ.bat" "%USERPROFILE%\AppData\Local\Temp\OnboardLogs"\RTDC4005\2017-05-21</v>
      </c>
      <c r="AF176" s="77" t="str">
        <f t="shared" si="66"/>
        <v>"C:\Program Files (x86)\AstroGrep\AstroGrep.exe" /e /r /s /spath="%USERPROFILE%\AppData\Local\Temp\OnboardLogs" /stypes="app*4005*20170520*" /stext=" 18:.+((SYSTEM_STATE.+slice.+state.+changed )|(ment ac)|(multiple cpu faults)|(system.+state.+changed )|(\[timeout)|(PRM\|1\|D)|(kpr)|(kdp)|(train st.+moving)|(\|lc)|(penalty))"</v>
      </c>
      <c r="AG176" s="1" t="str">
        <f t="shared" si="67"/>
        <v>NW</v>
      </c>
      <c r="AH176" s="81" t="str">
        <f t="shared" si="52"/>
        <v>"%USERPROFILE%\Documents\GitHub\eaglep3\Utilities\RefineRTDCRunTimes.py" --tripid 1814-20 --locoid 4005 --swversion DE.1.0.9.0 --startMP 300:58636 --initTime 2017-05-20T12:36:34 --startdatetime 2017-05-20T12:38:08 --delay 0 --endMP 204:666 --enddatetime 2017-05-20T12:54:37 --enforcementcount 0 &gt;&gt;C:\Users\stu\Documents\GitHub\eaglep3-reporting\EC\2017-05-20-refined-times.txt</v>
      </c>
      <c r="AI176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{"issue":{"subject":"","project_id":79,"tracker_id":40,"status_id":1,"priority_id":2,"assigned_to_id":23,"start_date":"2017-05-20","description":"","custom_fields":[{"id":1,"name":"Subdivision","value":"NW"},{"id":4,"name":"Milepost","value":"0.0666"},{"id":17,"name":"Train ID","value":"1814-20"},{"id":16,"name":"Locomotive ID","value":"4005"},{"id":130,"name":"Impact","value":""},{"id":150,"name":"Time of Event (Mountain Time)","value":"12:54:37"},{"id":151,"name":"Denver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54"/>
        <v>start /low /b %USERPROFILE%\Documents\GitHub\eaglep3\Utilities\DownloadLogsFromS3.py --loco 4005 --day 2017-05-20</v>
      </c>
      <c r="AN176" s="154" t="str">
        <f t="shared" si="55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18:54:37"},{"id":29,"name":"Sharepoint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2" t="s">
        <v>754</v>
      </c>
      <c r="B177" s="7">
        <v>4006</v>
      </c>
      <c r="C177" s="21" t="s">
        <v>206</v>
      </c>
      <c r="D177" s="21" t="s">
        <v>909</v>
      </c>
      <c r="E177" s="13">
        <v>42875.542129629626</v>
      </c>
      <c r="F177" s="13">
        <v>42875.556516203702</v>
      </c>
      <c r="G177" s="7">
        <v>2</v>
      </c>
      <c r="H177" s="21" t="s">
        <v>910</v>
      </c>
      <c r="I177" s="13">
        <v>42875.56590277778</v>
      </c>
      <c r="J177" s="7">
        <v>0</v>
      </c>
      <c r="K177" s="92" t="str">
        <f t="shared" si="56"/>
        <v>4005/4006</v>
      </c>
      <c r="L177" s="21" t="str">
        <f>VLOOKUP(A177,'Trips&amp;Operators'!$C$1:$G$99999,5,FALSE)</f>
        <v>MACDONALD THOMAS</v>
      </c>
      <c r="M177" s="6">
        <f t="shared" si="57"/>
        <v>9.3865740782348439E-3</v>
      </c>
      <c r="N177" s="7">
        <f t="shared" si="68"/>
        <v>13.516666672658175</v>
      </c>
      <c r="O177" s="7"/>
      <c r="P177" s="7"/>
      <c r="Q177" s="22"/>
      <c r="R177" s="190"/>
      <c r="S177" s="196">
        <f t="shared" si="69"/>
        <v>1</v>
      </c>
      <c r="T177" s="190" t="str">
        <f t="shared" si="58"/>
        <v>NorthBound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 t="shared" si="59"/>
        <v>https://d0f6bd738d7f1b3e5a7ca70fe4ff75f0.us-east-1.aws.found.io/app/kibana#/discover/Steve-Slow-Train-Analysis-(2080s-and-2083s)?_g=(refreshInterval:(display:Off,pause:!f,section:0,value:0),time:(from:'2017-05-20T12:00:40-0600',mode:absolute,to:'2017-05-20T14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7" s="192" t="str">
        <f t="shared" si="60"/>
        <v>N</v>
      </c>
      <c r="X177" s="192">
        <f t="shared" si="72"/>
        <v>1</v>
      </c>
      <c r="Y177" s="192">
        <f t="shared" si="61"/>
        <v>9.4600000000000004E-2</v>
      </c>
      <c r="Z177" s="192">
        <f t="shared" si="62"/>
        <v>5.8925999999999998</v>
      </c>
      <c r="AA177" s="192">
        <f t="shared" si="63"/>
        <v>5.798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64"/>
        <v>1815-20</v>
      </c>
      <c r="AE177" s="80" t="str">
        <f t="shared" si="65"/>
        <v>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 &amp; aws s3 cp s3://rtdc.mdm.uploadarchive.raw/RTDC4006/ "%USERPROFILE%\AppData\Local\Temp\OnboardLogs"\RTDC4006\2017-05-21 --exclude "*" --recursive --include "*20170521*" &amp; "%USERPROFILE%\Documents\GitHub\mrs-test-scripts\Headless Mode &amp; Sideloading\WalkAndUnGZ.bat" "%USERPROFILE%\AppData\Local\Temp\OnboardLogs"\RTDC4006\2017-05-21</v>
      </c>
      <c r="AF177" s="77" t="str">
        <f t="shared" si="66"/>
        <v>"C:\Program Files (x86)\AstroGrep\AstroGrep.exe" /e /r /s /spath="%USERPROFILE%\AppData\Local\Temp\OnboardLogs" /stypes="app*4006*20170520*" /stext=" 19:.+((SYSTEM_STATE.+slice.+state.+changed )|(ment ac)|(multiple cpu faults)|(system.+state.+changed )|(\[timeout)|(PRM\|1\|D)|(kpr)|(kdp)|(train st.+moving)|(\|lc)|(penalty))"</v>
      </c>
      <c r="AG177" s="1" t="str">
        <f t="shared" si="67"/>
        <v>NW</v>
      </c>
      <c r="AH177" s="81" t="str">
        <f t="shared" si="52"/>
        <v>"%USERPROFILE%\Documents\GitHub\eaglep3\Utilities\RefineRTDCRunTimes.py" --tripid 1815-20 --locoid 4006 --swversion DE.1.0.9.0 --startMP 204:946 --initTime 2017-05-20T13:00:40 --startdatetime 2017-05-20T13:21:23 --delay 2 --endMP 300:58926 --enddatetime 2017-05-20T13:34:54 --enforcementcount 0 &gt;&gt;C:\Users\stu\Documents\GitHub\eaglep3-reporting\EC\2017-05-20-refined-times.txt</v>
      </c>
      <c r="AI177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{"issue":{"subject":"","project_id":79,"tracker_id":40,"status_id":1,"priority_id":2,"assigned_to_id":23,"start_date":"2017-05-20","description":"","custom_fields":[{"id":1,"name":"Subdivision","value":"NW"},{"id":4,"name":"Milepost","value":"5.8926"},{"id":17,"name":"Train ID","value":"1815-20"},{"id":16,"name":"Locomotive ID","value":"4006"},{"id":130,"name":"Impact","value":""},{"id":150,"name":"Time of Event (Mountain Time)","value":"13:34:54"},{"id":151,"name":"Denver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54"/>
        <v>start /low /b %USERPROFILE%\Documents\GitHub\eaglep3\Utilities\DownloadLogsFromS3.py --loco 4006 --day 2017-05-20</v>
      </c>
      <c r="AN177" s="154" t="str">
        <f t="shared" si="55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19:34:54"},{"id":29,"name":"Sharepoint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2" t="s">
        <v>758</v>
      </c>
      <c r="B178" s="7">
        <v>4005</v>
      </c>
      <c r="C178" s="21" t="s">
        <v>206</v>
      </c>
      <c r="D178" s="21" t="s">
        <v>911</v>
      </c>
      <c r="E178" s="13">
        <v>42875.567141203705</v>
      </c>
      <c r="F178" s="13">
        <v>42875.568379629629</v>
      </c>
      <c r="G178" s="7">
        <v>1</v>
      </c>
      <c r="H178" s="21" t="s">
        <v>912</v>
      </c>
      <c r="I178" s="13">
        <v>42875.580127314817</v>
      </c>
      <c r="J178" s="7">
        <v>0</v>
      </c>
      <c r="K178" s="92" t="str">
        <f t="shared" si="56"/>
        <v>4005/4006</v>
      </c>
      <c r="L178" s="21" t="str">
        <f>VLOOKUP(A178,'Trips&amp;Operators'!$C$1:$G$99999,5,FALSE)</f>
        <v>MACDONALD THOMAS</v>
      </c>
      <c r="M178" s="6">
        <f t="shared" si="57"/>
        <v>1.1747685188311152E-2</v>
      </c>
      <c r="N178" s="7">
        <f t="shared" si="68"/>
        <v>16.916666671168059</v>
      </c>
      <c r="O178" s="7"/>
      <c r="P178" s="7"/>
      <c r="Q178" s="22"/>
      <c r="R178" s="190"/>
      <c r="S178" s="196">
        <f t="shared" si="69"/>
        <v>1</v>
      </c>
      <c r="T178" s="190" t="str">
        <f t="shared" si="58"/>
        <v>Southbound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 t="shared" si="59"/>
        <v>https://d0f6bd738d7f1b3e5a7ca70fe4ff75f0.us-east-1.aws.found.io/app/kibana#/discover/Steve-Slow-Train-Analysis-(2080s-and-2083s)?_g=(refreshInterval:(display:Off,pause:!f,section:0,value:0),time:(from:'2017-05-20T12:36:41-0600',mode:absolute,to:'2017-05-20T14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8" s="192" t="str">
        <f t="shared" si="60"/>
        <v>N</v>
      </c>
      <c r="X178" s="192">
        <f t="shared" si="72"/>
        <v>1</v>
      </c>
      <c r="Y178" s="192">
        <f t="shared" si="61"/>
        <v>5.8611000000000004</v>
      </c>
      <c r="Z178" s="192">
        <f t="shared" si="62"/>
        <v>6.7100000000000007E-2</v>
      </c>
      <c r="AA178" s="192">
        <f t="shared" si="63"/>
        <v>5.7940000000000005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64"/>
        <v>1816-20</v>
      </c>
      <c r="AE178" s="80" t="str">
        <f t="shared" si="65"/>
        <v>aws s3 cp s3://rtdc.mdm.uploadarchive.raw/RTDC4005/ "%USERPROFILE%\AppData\Local\Temp\OnboardLogs"\RTDC4005\2017-05-20 --exclude "*" --recursive --include "*20170520*" &amp; "%USERPROFILE%\Documents\GitHub\mrs-test-scripts\Headless Mode &amp; Sideloading\WalkAndUnGZ.bat" "%USERPROFILE%\AppData\Local\Temp\OnboardLogs"\RTDC4005\2017-05-20 &amp; aws s3 cp s3://rtdc.mdm.uploadarchive.raw/RTDC4005/ "%USERPROFILE%\AppData\Local\Temp\OnboardLogs"\RTDC4005\2017-05-21 --exclude "*" --recursive --include "*20170521*" &amp; "%USERPROFILE%\Documents\GitHub\mrs-test-scripts\Headless Mode &amp; Sideloading\WalkAndUnGZ.bat" "%USERPROFILE%\AppData\Local\Temp\OnboardLogs"\RTDC4005\2017-05-21</v>
      </c>
      <c r="AF178" s="77" t="str">
        <f t="shared" si="66"/>
        <v>"C:\Program Files (x86)\AstroGrep\AstroGrep.exe" /e /r /s /spath="%USERPROFILE%\AppData\Local\Temp\OnboardLogs" /stypes="app*4005*20170520*" /stext=" 19:.+((SYSTEM_STATE.+slice.+state.+changed )|(ment ac)|(multiple cpu faults)|(system.+state.+changed )|(\[timeout)|(PRM\|1\|D)|(kpr)|(kdp)|(train st.+moving)|(\|lc)|(penalty))"</v>
      </c>
      <c r="AG178" s="1" t="str">
        <f t="shared" si="67"/>
        <v>NW</v>
      </c>
      <c r="AH178" s="81" t="str">
        <f t="shared" si="52"/>
        <v>"%USERPROFILE%\Documents\GitHub\eaglep3\Utilities\RefineRTDCRunTimes.py" --tripid 1816-20 --locoid 4005 --swversion DE.1.0.9.0 --startMP 300:58611 --initTime 2017-05-20T13:36:41 --startdatetime 2017-05-20T13:38:28 --delay 1 --endMP 204:671 --enddatetime 2017-05-20T13:55:23 --enforcementcount 0 &gt;&gt;C:\Users\stu\Documents\GitHub\eaglep3-reporting\EC\2017-05-20-refined-times.txt</v>
      </c>
      <c r="AI178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{"issue":{"subject":"","project_id":79,"tracker_id":40,"status_id":1,"priority_id":2,"assigned_to_id":23,"start_date":"2017-05-20","description":"","custom_fields":[{"id":1,"name":"Subdivision","value":"NW"},{"id":4,"name":"Milepost","value":"0.0671"},{"id":17,"name":"Train ID","value":"1816-20"},{"id":16,"name":"Locomotive ID","value":"4005"},{"id":130,"name":"Impact","value":""},{"id":150,"name":"Time of Event (Mountain Time)","value":"13:55:23"},{"id":151,"name":"Denver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54"/>
        <v>start /low /b %USERPROFILE%\Documents\GitHub\eaglep3\Utilities\DownloadLogsFromS3.py --loco 4005 --day 2017-05-20</v>
      </c>
      <c r="AN178" s="154" t="str">
        <f t="shared" si="55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19:55:23"},{"id":29,"name":"Sharepoint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766</v>
      </c>
      <c r="B179" s="7">
        <v>4006</v>
      </c>
      <c r="C179" s="21" t="s">
        <v>206</v>
      </c>
      <c r="D179" s="21" t="s">
        <v>913</v>
      </c>
      <c r="E179" s="13">
        <v>42875.596944444442</v>
      </c>
      <c r="F179" s="13">
        <v>42875.598865740743</v>
      </c>
      <c r="G179" s="7">
        <v>2</v>
      </c>
      <c r="H179" s="21" t="s">
        <v>575</v>
      </c>
      <c r="I179" s="13">
        <v>42875.608368055553</v>
      </c>
      <c r="J179" s="7">
        <v>0</v>
      </c>
      <c r="K179" s="92" t="str">
        <f t="shared" si="56"/>
        <v>4005/4006</v>
      </c>
      <c r="L179" s="21" t="str">
        <f>VLOOKUP(A179,'Trips&amp;Operators'!$C$1:$G$99999,5,FALSE)</f>
        <v>WILLIAMS DONTE</v>
      </c>
      <c r="M179" s="6">
        <f t="shared" si="57"/>
        <v>9.5023148096515797E-3</v>
      </c>
      <c r="N179" s="7">
        <f t="shared" si="68"/>
        <v>13.683333325898275</v>
      </c>
      <c r="O179" s="7"/>
      <c r="P179" s="7"/>
      <c r="Q179" s="22"/>
      <c r="R179" s="190"/>
      <c r="S179" s="196">
        <f t="shared" si="69"/>
        <v>1</v>
      </c>
      <c r="T179" s="190" t="str">
        <f t="shared" si="58"/>
        <v>NorthBound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 t="shared" si="59"/>
        <v>https://d0f6bd738d7f1b3e5a7ca70fe4ff75f0.us-east-1.aws.found.io/app/kibana#/discover/Steve-Slow-Train-Analysis-(2080s-and-2083s)?_g=(refreshInterval:(display:Off,pause:!f,section:0,value:0),time:(from:'2017-05-20T13:19:36-0600',mode:absolute,to:'2017-05-20T15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9" s="192" t="str">
        <f t="shared" si="60"/>
        <v>N</v>
      </c>
      <c r="X179" s="192">
        <f t="shared" si="72"/>
        <v>1</v>
      </c>
      <c r="Y179" s="192">
        <f t="shared" si="61"/>
        <v>9.5699999999999993E-2</v>
      </c>
      <c r="Z179" s="192">
        <f t="shared" si="62"/>
        <v>5.8964999999999996</v>
      </c>
      <c r="AA179" s="192">
        <f t="shared" si="63"/>
        <v>5.8007999999999997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64"/>
        <v>1817-20</v>
      </c>
      <c r="AE179" s="80" t="str">
        <f t="shared" si="65"/>
        <v>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 &amp; aws s3 cp s3://rtdc.mdm.uploadarchive.raw/RTDC4006/ "%USERPROFILE%\AppData\Local\Temp\OnboardLogs"\RTDC4006\2017-05-21 --exclude "*" --recursive --include "*20170521*" &amp; "%USERPROFILE%\Documents\GitHub\mrs-test-scripts\Headless Mode &amp; Sideloading\WalkAndUnGZ.bat" "%USERPROFILE%\AppData\Local\Temp\OnboardLogs"\RTDC4006\2017-05-21</v>
      </c>
      <c r="AF179" s="77" t="str">
        <f t="shared" si="66"/>
        <v>"C:\Program Files (x86)\AstroGrep\AstroGrep.exe" /e /r /s /spath="%USERPROFILE%\AppData\Local\Temp\OnboardLogs" /stypes="app*4006*20170520*" /stext=" 20:.+((SYSTEM_STATE.+slice.+state.+changed )|(ment ac)|(multiple cpu faults)|(system.+state.+changed )|(\[timeout)|(PRM\|1\|D)|(kpr)|(kdp)|(train st.+moving)|(\|lc)|(penalty))"</v>
      </c>
      <c r="AG179" s="1" t="str">
        <f t="shared" si="67"/>
        <v>NW</v>
      </c>
      <c r="AH179" s="81" t="str">
        <f t="shared" si="52"/>
        <v>"%USERPROFILE%\Documents\GitHub\eaglep3\Utilities\RefineRTDCRunTimes.py" --tripid 1817-20 --locoid 4006 --swversion DE.1.0.9.0 --startMP 204:957 --initTime 2017-05-20T14:19:36 --startdatetime 2017-05-20T14:22:22 --delay 2 --endMP 300:58965 --enddatetime 2017-05-20T14:36:03 --enforcementcount 0 &gt;&gt;C:\Users\stu\Documents\GitHub\eaglep3-reporting\EC\2017-05-20-refined-times.txt</v>
      </c>
      <c r="AI179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{"issue":{"subject":"","project_id":79,"tracker_id":40,"status_id":1,"priority_id":2,"assigned_to_id":23,"start_date":"2017-05-20","description":"","custom_fields":[{"id":1,"name":"Subdivision","value":"NW"},{"id":4,"name":"Milepost","value":"5.8965"},{"id":17,"name":"Train ID","value":"1817-20"},{"id":16,"name":"Locomotive ID","value":"4006"},{"id":130,"name":"Impact","value":""},{"id":150,"name":"Time of Event (Mountain Time)","value":"14:36:03"},{"id":151,"name":"Denver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54"/>
        <v>start /low /b %USERPROFILE%\Documents\GitHub\eaglep3\Utilities\DownloadLogsFromS3.py --loco 4006 --day 2017-05-20</v>
      </c>
      <c r="AN179" s="154" t="str">
        <f t="shared" si="55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20:36:03"},{"id":29,"name":"Sharepoint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612</v>
      </c>
      <c r="B180" s="7">
        <v>4005</v>
      </c>
      <c r="C180" s="21" t="s">
        <v>206</v>
      </c>
      <c r="D180" s="21" t="s">
        <v>584</v>
      </c>
      <c r="E180" s="13">
        <v>42875.61</v>
      </c>
      <c r="F180" s="13">
        <v>42875.612835648149</v>
      </c>
      <c r="G180" s="7">
        <v>2</v>
      </c>
      <c r="H180" s="21" t="s">
        <v>577</v>
      </c>
      <c r="I180" s="13">
        <v>42875.623194444444</v>
      </c>
      <c r="J180" s="7">
        <v>0</v>
      </c>
      <c r="K180" s="92" t="str">
        <f t="shared" si="56"/>
        <v>4005/4006</v>
      </c>
      <c r="L180" s="21" t="str">
        <f>VLOOKUP(A180,'Trips&amp;Operators'!$C$1:$G$99999,5,FALSE)</f>
        <v>WILLIAMS DONTE</v>
      </c>
      <c r="M180" s="6">
        <f t="shared" si="57"/>
        <v>1.0358796294895001E-2</v>
      </c>
      <c r="N180" s="7">
        <f t="shared" si="68"/>
        <v>14.916666664648801</v>
      </c>
      <c r="O180" s="7"/>
      <c r="P180" s="7"/>
      <c r="Q180" s="22"/>
      <c r="R180" s="190"/>
      <c r="S180" s="196">
        <f t="shared" si="69"/>
        <v>1</v>
      </c>
      <c r="T180" s="190" t="str">
        <f t="shared" si="58"/>
        <v>Southbound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 t="shared" si="59"/>
        <v>https://d0f6bd738d7f1b3e5a7ca70fe4ff75f0.us-east-1.aws.found.io/app/kibana#/discover/Steve-Slow-Train-Analysis-(2080s-and-2083s)?_g=(refreshInterval:(display:Off,pause:!f,section:0,value:0),time:(from:'2017-05-20T13:38:24-0600',mode:absolute,to:'2017-05-20T15:57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0" s="192" t="str">
        <f t="shared" si="60"/>
        <v>N</v>
      </c>
      <c r="X180" s="192">
        <f t="shared" si="72"/>
        <v>1</v>
      </c>
      <c r="Y180" s="192">
        <f t="shared" si="61"/>
        <v>5.8648999999999996</v>
      </c>
      <c r="Z180" s="192">
        <f t="shared" si="62"/>
        <v>7.0800000000000002E-2</v>
      </c>
      <c r="AA180" s="192">
        <f t="shared" si="63"/>
        <v>5.7940999999999994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64"/>
        <v>1818-20</v>
      </c>
      <c r="AE180" s="80" t="str">
        <f t="shared" si="65"/>
        <v>aws s3 cp s3://rtdc.mdm.uploadarchive.raw/RTDC4005/ "%USERPROFILE%\AppData\Local\Temp\OnboardLogs"\RTDC4005\2017-05-20 --exclude "*" --recursive --include "*20170520*" &amp; "%USERPROFILE%\Documents\GitHub\mrs-test-scripts\Headless Mode &amp; Sideloading\WalkAndUnGZ.bat" "%USERPROFILE%\AppData\Local\Temp\OnboardLogs"\RTDC4005\2017-05-20 &amp; aws s3 cp s3://rtdc.mdm.uploadarchive.raw/RTDC4005/ "%USERPROFILE%\AppData\Local\Temp\OnboardLogs"\RTDC4005\2017-05-21 --exclude "*" --recursive --include "*20170521*" &amp; "%USERPROFILE%\Documents\GitHub\mrs-test-scripts\Headless Mode &amp; Sideloading\WalkAndUnGZ.bat" "%USERPROFILE%\AppData\Local\Temp\OnboardLogs"\RTDC4005\2017-05-21</v>
      </c>
      <c r="AF180" s="77" t="str">
        <f t="shared" si="66"/>
        <v>"C:\Program Files (x86)\AstroGrep\AstroGrep.exe" /e /r /s /spath="%USERPROFILE%\AppData\Local\Temp\OnboardLogs" /stypes="app*4005*20170520*" /stext=" 20:.+((SYSTEM_STATE.+slice.+state.+changed )|(ment ac)|(multiple cpu faults)|(system.+state.+changed )|(\[timeout)|(PRM\|1\|D)|(kpr)|(kdp)|(train st.+moving)|(\|lc)|(penalty))"</v>
      </c>
      <c r="AG180" s="1" t="str">
        <f t="shared" si="67"/>
        <v>NW</v>
      </c>
      <c r="AH180" s="81" t="str">
        <f t="shared" si="52"/>
        <v>"%USERPROFILE%\Documents\GitHub\eaglep3\Utilities\RefineRTDCRunTimes.py" --tripid 1818-20 --locoid 4005 --swversion DE.1.0.9.0 --startMP 300:58649 --initTime 2017-05-20T14:38:24 --startdatetime 2017-05-20T14:42:29 --delay 2 --endMP 204:708 --enddatetime 2017-05-20T14:57:24 --enforcementcount 0 &gt;&gt;C:\Users\stu\Documents\GitHub\eaglep3-reporting\EC\2017-05-20-refined-times.txt</v>
      </c>
      <c r="AI180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{"issue":{"subject":"","project_id":79,"tracker_id":40,"status_id":1,"priority_id":2,"assigned_to_id":23,"start_date":"2017-05-20","description":"","custom_fields":[{"id":1,"name":"Subdivision","value":"NW"},{"id":4,"name":"Milepost","value":"0.0708"},{"id":17,"name":"Train ID","value":"1818-20"},{"id":16,"name":"Locomotive ID","value":"4005"},{"id":130,"name":"Impact","value":""},{"id":150,"name":"Time of Event (Mountain Time)","value":"14:57:24"},{"id":151,"name":"Denver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54"/>
        <v>start /low /b %USERPROFILE%\Documents\GitHub\eaglep3\Utilities\DownloadLogsFromS3.py --loco 4005 --day 2017-05-20</v>
      </c>
      <c r="AN180" s="154" t="str">
        <f t="shared" si="55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20:57:24"},{"id":29,"name":"Sharepoint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s="20" customFormat="1" x14ac:dyDescent="0.25">
      <c r="A181" s="32" t="s">
        <v>771</v>
      </c>
      <c r="B181" s="7">
        <v>4006</v>
      </c>
      <c r="C181" s="21" t="s">
        <v>206</v>
      </c>
      <c r="D181" s="21" t="s">
        <v>583</v>
      </c>
      <c r="E181" s="13">
        <v>42875.625162037039</v>
      </c>
      <c r="F181" s="13">
        <v>42875.639756944445</v>
      </c>
      <c r="G181" s="7">
        <v>12</v>
      </c>
      <c r="H181" s="21" t="s">
        <v>510</v>
      </c>
      <c r="I181" s="13">
        <v>42875.649537037039</v>
      </c>
      <c r="J181" s="7">
        <v>0</v>
      </c>
      <c r="K181" s="92" t="str">
        <f t="shared" si="56"/>
        <v>4005/4006</v>
      </c>
      <c r="L181" s="21" t="str">
        <f>VLOOKUP(A181,'Trips&amp;Operators'!$C$1:$G$99999,5,FALSE)</f>
        <v>WILLIAMS DONTE</v>
      </c>
      <c r="M181" s="6">
        <f t="shared" si="57"/>
        <v>9.7800925941555761E-3</v>
      </c>
      <c r="N181" s="7">
        <f t="shared" si="68"/>
        <v>14.08333333558403</v>
      </c>
      <c r="O181" s="7"/>
      <c r="P181" s="7"/>
      <c r="Q181" s="22"/>
      <c r="R181" s="190"/>
      <c r="S181" s="196">
        <f t="shared" si="69"/>
        <v>1</v>
      </c>
      <c r="T181" s="190" t="str">
        <f t="shared" si="58"/>
        <v>NorthBound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 t="shared" si="59"/>
        <v>https://d0f6bd738d7f1b3e5a7ca70fe4ff75f0.us-east-1.aws.found.io/app/kibana#/discover/Steve-Slow-Train-Analysis-(2080s-and-2083s)?_g=(refreshInterval:(display:Off,pause:!f,section:0,value:0),time:(from:'2017-05-20T14:00:14-0600',mode:absolute,to:'2017-05-20T16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1" s="192" t="str">
        <f t="shared" si="60"/>
        <v>N</v>
      </c>
      <c r="X181" s="192">
        <f t="shared" si="72"/>
        <v>1</v>
      </c>
      <c r="Y181" s="192">
        <f t="shared" si="61"/>
        <v>9.9000000000000005E-2</v>
      </c>
      <c r="Z181" s="192">
        <f t="shared" si="62"/>
        <v>5.8944000000000001</v>
      </c>
      <c r="AA181" s="192">
        <f t="shared" si="63"/>
        <v>5.7953999999999999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64"/>
        <v>1819-20</v>
      </c>
      <c r="AE181" s="80" t="str">
        <f t="shared" si="65"/>
        <v>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 &amp; aws s3 cp s3://rtdc.mdm.uploadarchive.raw/RTDC4006/ "%USERPROFILE%\AppData\Local\Temp\OnboardLogs"\RTDC4006\2017-05-21 --exclude "*" --recursive --include "*20170521*" &amp; "%USERPROFILE%\Documents\GitHub\mrs-test-scripts\Headless Mode &amp; Sideloading\WalkAndUnGZ.bat" "%USERPROFILE%\AppData\Local\Temp\OnboardLogs"\RTDC4006\2017-05-21</v>
      </c>
      <c r="AF181" s="77" t="str">
        <f t="shared" si="66"/>
        <v>"C:\Program Files (x86)\AstroGrep\AstroGrep.exe" /e /r /s /spath="%USERPROFILE%\AppData\Local\Temp\OnboardLogs" /stypes="app*4006*20170520*" /stext=" 21:.+((SYSTEM_STATE.+slice.+state.+changed )|(ment ac)|(multiple cpu faults)|(system.+state.+changed )|(\[timeout)|(PRM\|1\|D)|(kpr)|(kdp)|(train st.+moving)|(\|lc)|(penalty))"</v>
      </c>
      <c r="AG181" s="1" t="str">
        <f t="shared" si="67"/>
        <v>NW</v>
      </c>
      <c r="AH181" s="81" t="str">
        <f t="shared" si="52"/>
        <v>"%USERPROFILE%\Documents\GitHub\eaglep3\Utilities\RefineRTDCRunTimes.py" --tripid 1819-20 --locoid 4006 --swversion DE.1.0.9.0 --startMP 204:990 --initTime 2017-05-20T15:00:14 --startdatetime 2017-05-20T15:21:15 --delay 12 --endMP 300:58944 --enddatetime 2017-05-20T15:35:20 --enforcementcount 0 &gt;&gt;C:\Users\stu\Documents\GitHub\eaglep3-reporting\EC\2017-05-20-refined-times.txt</v>
      </c>
      <c r="AI181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{"issue":{"subject":"","project_id":79,"tracker_id":40,"status_id":1,"priority_id":2,"assigned_to_id":23,"start_date":"2017-05-20","description":"","custom_fields":[{"id":1,"name":"Subdivision","value":"NW"},{"id":4,"name":"Milepost","value":"5.8944"},{"id":17,"name":"Train ID","value":"1819-20"},{"id":16,"name":"Locomotive ID","value":"4006"},{"id":130,"name":"Impact","value":""},{"id":150,"name":"Time of Event (Mountain Time)","value":"15:35:20"},{"id":151,"name":"Denver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5" t="str">
        <f t="shared" si="54"/>
        <v>start /low /b %USERPROFILE%\Documents\GitHub\eaglep3\Utilities\DownloadLogsFromS3.py --loco 4006 --day 2017-05-20</v>
      </c>
      <c r="AN181" s="154" t="str">
        <f t="shared" si="55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21:35:20"},{"id":29,"name":"Sharepoint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2" t="s">
        <v>776</v>
      </c>
      <c r="B182" s="7">
        <v>4005</v>
      </c>
      <c r="C182" s="21" t="s">
        <v>206</v>
      </c>
      <c r="D182" s="21" t="s">
        <v>579</v>
      </c>
      <c r="E182" s="13">
        <v>42875.651053240741</v>
      </c>
      <c r="F182" s="13">
        <v>42875.65357638889</v>
      </c>
      <c r="G182" s="7">
        <v>1</v>
      </c>
      <c r="H182" s="21" t="s">
        <v>490</v>
      </c>
      <c r="I182" s="13">
        <v>42875.663356481484</v>
      </c>
      <c r="J182" s="7">
        <v>0</v>
      </c>
      <c r="K182" s="92" t="str">
        <f t="shared" si="56"/>
        <v>4005/4006</v>
      </c>
      <c r="L182" s="21" t="str">
        <f>VLOOKUP(A182,'Trips&amp;Operators'!$C$1:$G$99999,5,FALSE)</f>
        <v>WILLIAMS DONTE</v>
      </c>
      <c r="M182" s="6">
        <f t="shared" si="57"/>
        <v>9.7800925941555761E-3</v>
      </c>
      <c r="N182" s="7">
        <f t="shared" si="68"/>
        <v>14.08333333558403</v>
      </c>
      <c r="O182" s="7"/>
      <c r="P182" s="7"/>
      <c r="Q182" s="22"/>
      <c r="R182" s="190"/>
      <c r="S182" s="196">
        <f t="shared" si="69"/>
        <v>1</v>
      </c>
      <c r="T182" s="190" t="str">
        <f t="shared" si="58"/>
        <v>Southbound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 t="shared" si="59"/>
        <v>https://d0f6bd738d7f1b3e5a7ca70fe4ff75f0.us-east-1.aws.found.io/app/kibana#/discover/Steve-Slow-Train-Analysis-(2080s-and-2083s)?_g=(refreshInterval:(display:Off,pause:!f,section:0,value:0),time:(from:'2017-05-20T14:37:31-0600',mode:absolute,to:'2017-05-20T16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2" s="192" t="str">
        <f t="shared" si="60"/>
        <v>N</v>
      </c>
      <c r="X182" s="192">
        <f t="shared" si="72"/>
        <v>1</v>
      </c>
      <c r="Y182" s="192">
        <f t="shared" si="61"/>
        <v>5.8630000000000004</v>
      </c>
      <c r="Z182" s="192">
        <f t="shared" si="62"/>
        <v>7.2400000000000006E-2</v>
      </c>
      <c r="AA182" s="192">
        <f t="shared" si="63"/>
        <v>5.7906000000000004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64"/>
        <v>1820-20</v>
      </c>
      <c r="AE182" s="80" t="str">
        <f t="shared" si="65"/>
        <v>aws s3 cp s3://rtdc.mdm.uploadarchive.raw/RTDC4005/ "%USERPROFILE%\AppData\Local\Temp\OnboardLogs"\RTDC4005\2017-05-20 --exclude "*" --recursive --include "*20170520*" &amp; "%USERPROFILE%\Documents\GitHub\mrs-test-scripts\Headless Mode &amp; Sideloading\WalkAndUnGZ.bat" "%USERPROFILE%\AppData\Local\Temp\OnboardLogs"\RTDC4005\2017-05-20 &amp; aws s3 cp s3://rtdc.mdm.uploadarchive.raw/RTDC4005/ "%USERPROFILE%\AppData\Local\Temp\OnboardLogs"\RTDC4005\2017-05-21 --exclude "*" --recursive --include "*20170521*" &amp; "%USERPROFILE%\Documents\GitHub\mrs-test-scripts\Headless Mode &amp; Sideloading\WalkAndUnGZ.bat" "%USERPROFILE%\AppData\Local\Temp\OnboardLogs"\RTDC4005\2017-05-21</v>
      </c>
      <c r="AF182" s="77" t="str">
        <f t="shared" si="66"/>
        <v>"C:\Program Files (x86)\AstroGrep\AstroGrep.exe" /e /r /s /spath="%USERPROFILE%\AppData\Local\Temp\OnboardLogs" /stypes="app*4005*20170520*" /stext=" 21:.+((SYSTEM_STATE.+slice.+state.+changed )|(ment ac)|(multiple cpu faults)|(system.+state.+changed )|(\[timeout)|(PRM\|1\|D)|(kpr)|(kdp)|(train st.+moving)|(\|lc)|(penalty))"</v>
      </c>
      <c r="AG182" s="1" t="str">
        <f t="shared" si="67"/>
        <v>NW</v>
      </c>
      <c r="AH182" s="81" t="str">
        <f t="shared" si="52"/>
        <v>"%USERPROFILE%\Documents\GitHub\eaglep3\Utilities\RefineRTDCRunTimes.py" --tripid 1820-20 --locoid 4005 --swversion DE.1.0.9.0 --startMP 300:58630 --initTime 2017-05-20T15:37:31 --startdatetime 2017-05-20T15:41:09 --delay 1 --endMP 204:724 --enddatetime 2017-05-20T15:55:14 --enforcementcount 0 &gt;&gt;C:\Users\stu\Documents\GitHub\eaglep3-reporting\EC\2017-05-20-refined-times.txt</v>
      </c>
      <c r="AI182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{"issue":{"subject":"","project_id":79,"tracker_id":40,"status_id":1,"priority_id":2,"assigned_to_id":23,"start_date":"2017-05-20","description":"","custom_fields":[{"id":1,"name":"Subdivision","value":"NW"},{"id":4,"name":"Milepost","value":"0.0724"},{"id":17,"name":"Train ID","value":"1820-20"},{"id":16,"name":"Locomotive ID","value":"4005"},{"id":130,"name":"Impact","value":""},{"id":150,"name":"Time of Event (Mountain Time)","value":"15:55:14"},{"id":151,"name":"Denver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54"/>
        <v>start /low /b %USERPROFILE%\Documents\GitHub\eaglep3\Utilities\DownloadLogsFromS3.py --loco 4005 --day 2017-05-20</v>
      </c>
      <c r="AN182" s="154" t="str">
        <f t="shared" si="55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21:55:14"},{"id":29,"name":"Sharepoint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781</v>
      </c>
      <c r="B183" s="7">
        <v>4006</v>
      </c>
      <c r="C183" s="21" t="s">
        <v>206</v>
      </c>
      <c r="D183" s="21" t="s">
        <v>914</v>
      </c>
      <c r="E183" s="13">
        <v>42875.680810185186</v>
      </c>
      <c r="F183" s="13">
        <v>42875.681932870371</v>
      </c>
      <c r="G183" s="7">
        <v>1</v>
      </c>
      <c r="H183" s="21" t="s">
        <v>915</v>
      </c>
      <c r="I183" s="13">
        <v>42875.690995370373</v>
      </c>
      <c r="J183" s="7">
        <v>0</v>
      </c>
      <c r="K183" s="92" t="str">
        <f t="shared" si="56"/>
        <v>4005/4006</v>
      </c>
      <c r="L183" s="21" t="str">
        <f>VLOOKUP(A183,'Trips&amp;Operators'!$C$1:$G$99999,5,FALSE)</f>
        <v>HELVIE ADAM</v>
      </c>
      <c r="M183" s="6">
        <f t="shared" si="57"/>
        <v>9.0625000011641532E-3</v>
      </c>
      <c r="N183" s="7">
        <f t="shared" si="68"/>
        <v>13.050000001676381</v>
      </c>
      <c r="O183" s="7"/>
      <c r="P183" s="7"/>
      <c r="Q183" s="22"/>
      <c r="R183" s="190"/>
      <c r="S183" s="196">
        <f t="shared" si="69"/>
        <v>1</v>
      </c>
      <c r="T183" s="190" t="str">
        <f t="shared" si="58"/>
        <v>NorthBound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 t="shared" si="59"/>
        <v>https://d0f6bd738d7f1b3e5a7ca70fe4ff75f0.us-east-1.aws.found.io/app/kibana#/discover/Steve-Slow-Train-Analysis-(2080s-and-2083s)?_g=(refreshInterval:(display:Off,pause:!f,section:0,value:0),time:(from:'2017-05-20T15:20:22-0600',mode:absolute,to:'2017-05-20T17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3" s="192" t="str">
        <f t="shared" si="60"/>
        <v>N</v>
      </c>
      <c r="X183" s="192">
        <f t="shared" si="72"/>
        <v>1</v>
      </c>
      <c r="Y183" s="192">
        <f t="shared" si="61"/>
        <v>0.1014</v>
      </c>
      <c r="Z183" s="192">
        <f t="shared" si="62"/>
        <v>5.8948</v>
      </c>
      <c r="AA183" s="192">
        <f t="shared" si="63"/>
        <v>5.7934000000000001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64"/>
        <v>1821-20</v>
      </c>
      <c r="AE183" s="80" t="str">
        <f t="shared" si="65"/>
        <v>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 &amp; aws s3 cp s3://rtdc.mdm.uploadarchive.raw/RTDC4006/ "%USERPROFILE%\AppData\Local\Temp\OnboardLogs"\RTDC4006\2017-05-21 --exclude "*" --recursive --include "*20170521*" &amp; "%USERPROFILE%\Documents\GitHub\mrs-test-scripts\Headless Mode &amp; Sideloading\WalkAndUnGZ.bat" "%USERPROFILE%\AppData\Local\Temp\OnboardLogs"\RTDC4006\2017-05-21</v>
      </c>
      <c r="AF183" s="77" t="str">
        <f t="shared" si="66"/>
        <v>"C:\Program Files (x86)\AstroGrep\AstroGrep.exe" /e /r /s /spath="%USERPROFILE%\AppData\Local\Temp\OnboardLogs" /stypes="app*4006*20170520*" /stext=" 22:.+((SYSTEM_STATE.+slice.+state.+changed )|(ment ac)|(multiple cpu faults)|(system.+state.+changed )|(\[timeout)|(PRM\|1\|D)|(kpr)|(kdp)|(train st.+moving)|(\|lc)|(penalty))"</v>
      </c>
      <c r="AG183" s="1" t="str">
        <f t="shared" si="67"/>
        <v>NW</v>
      </c>
      <c r="AH183" s="81" t="str">
        <f t="shared" si="52"/>
        <v>"%USERPROFILE%\Documents\GitHub\eaglep3\Utilities\RefineRTDCRunTimes.py" --tripid 1821-20 --locoid 4006 --swversion DE.1.0.9.0 --startMP 204:1014 --initTime 2017-05-20T16:20:22 --startdatetime 2017-05-20T16:21:59 --delay 1 --endMP 300:58948 --enddatetime 2017-05-20T16:35:02 --enforcementcount 0 &gt;&gt;C:\Users\stu\Documents\GitHub\eaglep3-reporting\EC\2017-05-20-refined-times.txt</v>
      </c>
      <c r="AI183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{"issue":{"subject":"","project_id":79,"tracker_id":40,"status_id":1,"priority_id":2,"assigned_to_id":23,"start_date":"2017-05-20","description":"","custom_fields":[{"id":1,"name":"Subdivision","value":"NW"},{"id":4,"name":"Milepost","value":"5.8948"},{"id":17,"name":"Train ID","value":"1821-20"},{"id":16,"name":"Locomotive ID","value":"4006"},{"id":130,"name":"Impact","value":""},{"id":150,"name":"Time of Event (Mountain Time)","value":"16:35:02"},{"id":151,"name":"Denver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54"/>
        <v>start /low /b %USERPROFILE%\Documents\GitHub\eaglep3\Utilities\DownloadLogsFromS3.py --loco 4006 --day 2017-05-20</v>
      </c>
      <c r="AN183" s="154" t="str">
        <f t="shared" si="55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22:35:02"},{"id":29,"name":"Sharepoint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782</v>
      </c>
      <c r="B184" s="7">
        <v>4005</v>
      </c>
      <c r="C184" s="21" t="s">
        <v>206</v>
      </c>
      <c r="D184" s="21" t="s">
        <v>916</v>
      </c>
      <c r="E184" s="13">
        <v>42875.693645833337</v>
      </c>
      <c r="F184" s="13">
        <v>42875.69494212963</v>
      </c>
      <c r="G184" s="7">
        <v>1</v>
      </c>
      <c r="H184" s="21" t="s">
        <v>917</v>
      </c>
      <c r="I184" s="13">
        <v>42875.704212962963</v>
      </c>
      <c r="J184" s="7">
        <v>0</v>
      </c>
      <c r="K184" s="92" t="str">
        <f t="shared" si="56"/>
        <v>4005/4006</v>
      </c>
      <c r="L184" s="21" t="str">
        <f>VLOOKUP(A184,'Trips&amp;Operators'!$C$1:$G$99999,5,FALSE)</f>
        <v>HELVIE ADAM</v>
      </c>
      <c r="M184" s="6">
        <f t="shared" si="57"/>
        <v>9.2708333322661929E-3</v>
      </c>
      <c r="N184" s="7">
        <f t="shared" si="68"/>
        <v>13.349999998463318</v>
      </c>
      <c r="O184" s="7"/>
      <c r="P184" s="7"/>
      <c r="Q184" s="22"/>
      <c r="R184" s="190"/>
      <c r="S184" s="196">
        <f t="shared" si="69"/>
        <v>1</v>
      </c>
      <c r="T184" s="190" t="str">
        <f t="shared" si="58"/>
        <v>Southbound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 t="shared" si="59"/>
        <v>https://d0f6bd738d7f1b3e5a7ca70fe4ff75f0.us-east-1.aws.found.io/app/kibana#/discover/Steve-Slow-Train-Analysis-(2080s-and-2083s)?_g=(refreshInterval:(display:Off,pause:!f,section:0,value:0),time:(from:'2017-05-20T15:38:51-0600',mode:absolute,to:'2017-05-20T17:54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4" s="192" t="str">
        <f t="shared" si="60"/>
        <v>N</v>
      </c>
      <c r="X184" s="192">
        <f t="shared" si="72"/>
        <v>1</v>
      </c>
      <c r="Y184" s="192">
        <f t="shared" si="61"/>
        <v>5.8615000000000004</v>
      </c>
      <c r="Z184" s="192">
        <f t="shared" si="62"/>
        <v>6.4199999999999993E-2</v>
      </c>
      <c r="AA184" s="192">
        <f t="shared" si="63"/>
        <v>5.7973000000000008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64"/>
        <v>1822-20</v>
      </c>
      <c r="AE184" s="80" t="str">
        <f t="shared" si="65"/>
        <v>aws s3 cp s3://rtdc.mdm.uploadarchive.raw/RTDC4005/ "%USERPROFILE%\AppData\Local\Temp\OnboardLogs"\RTDC4005\2017-05-20 --exclude "*" --recursive --include "*20170520*" &amp; "%USERPROFILE%\Documents\GitHub\mrs-test-scripts\Headless Mode &amp; Sideloading\WalkAndUnGZ.bat" "%USERPROFILE%\AppData\Local\Temp\OnboardLogs"\RTDC4005\2017-05-20 &amp; aws s3 cp s3://rtdc.mdm.uploadarchive.raw/RTDC4005/ "%USERPROFILE%\AppData\Local\Temp\OnboardLogs"\RTDC4005\2017-05-21 --exclude "*" --recursive --include "*20170521*" &amp; "%USERPROFILE%\Documents\GitHub\mrs-test-scripts\Headless Mode &amp; Sideloading\WalkAndUnGZ.bat" "%USERPROFILE%\AppData\Local\Temp\OnboardLogs"\RTDC4005\2017-05-21</v>
      </c>
      <c r="AF184" s="77" t="str">
        <f t="shared" si="66"/>
        <v>"C:\Program Files (x86)\AstroGrep\AstroGrep.exe" /e /r /s /spath="%USERPROFILE%\AppData\Local\Temp\OnboardLogs" /stypes="app*4005*20170520*" /stext=" 22:.+((SYSTEM_STATE.+slice.+state.+changed )|(ment ac)|(multiple cpu faults)|(system.+state.+changed )|(\[timeout)|(PRM\|1\|D)|(kpr)|(kdp)|(train st.+moving)|(\|lc)|(penalty))"</v>
      </c>
      <c r="AG184" s="1" t="str">
        <f t="shared" si="67"/>
        <v>NW</v>
      </c>
      <c r="AH184" s="81" t="str">
        <f t="shared" si="52"/>
        <v>"%USERPROFILE%\Documents\GitHub\eaglep3\Utilities\RefineRTDCRunTimes.py" --tripid 1822-20 --locoid 4005 --swversion DE.1.0.9.0 --startMP 300:58615 --initTime 2017-05-20T16:38:51 --startdatetime 2017-05-20T16:40:43 --delay 1 --endMP 204:642 --enddatetime 2017-05-20T16:54:04 --enforcementcount 0 &gt;&gt;C:\Users\stu\Documents\GitHub\eaglep3-reporting\EC\2017-05-20-refined-times.txt</v>
      </c>
      <c r="AI184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{"issue":{"subject":"","project_id":79,"tracker_id":40,"status_id":1,"priority_id":2,"assigned_to_id":23,"start_date":"2017-05-20","description":"","custom_fields":[{"id":1,"name":"Subdivision","value":"NW"},{"id":4,"name":"Milepost","value":"0.0642"},{"id":17,"name":"Train ID","value":"1822-20"},{"id":16,"name":"Locomotive ID","value":"4005"},{"id":130,"name":"Impact","value":""},{"id":150,"name":"Time of Event (Mountain Time)","value":"16:54:04"},{"id":151,"name":"Denver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54"/>
        <v>start /low /b %USERPROFILE%\Documents\GitHub\eaglep3\Utilities\DownloadLogsFromS3.py --loco 4005 --day 2017-05-20</v>
      </c>
      <c r="AN184" s="154" t="str">
        <f t="shared" si="55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22:54:04"},{"id":29,"name":"Sharepoint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788</v>
      </c>
      <c r="B185" s="7">
        <v>4006</v>
      </c>
      <c r="C185" s="21" t="s">
        <v>206</v>
      </c>
      <c r="D185" s="21" t="s">
        <v>918</v>
      </c>
      <c r="E185" s="13">
        <v>42875.72184027778</v>
      </c>
      <c r="F185" s="13">
        <v>42875.723078703704</v>
      </c>
      <c r="G185" s="7">
        <v>1</v>
      </c>
      <c r="H185" s="21" t="s">
        <v>893</v>
      </c>
      <c r="I185" s="13">
        <v>42875.732685185183</v>
      </c>
      <c r="J185" s="7">
        <v>0</v>
      </c>
      <c r="K185" s="92" t="str">
        <f t="shared" si="56"/>
        <v>4005/4006</v>
      </c>
      <c r="L185" s="21" t="str">
        <f>VLOOKUP(A185,'Trips&amp;Operators'!$C$1:$G$99999,5,FALSE)</f>
        <v>HELVIE ADAM</v>
      </c>
      <c r="M185" s="6">
        <f t="shared" si="57"/>
        <v>9.6064814788405783E-3</v>
      </c>
      <c r="N185" s="7">
        <f t="shared" si="68"/>
        <v>13.833333329530433</v>
      </c>
      <c r="O185" s="7"/>
      <c r="P185" s="7"/>
      <c r="Q185" s="22"/>
      <c r="R185" s="190"/>
      <c r="S185" s="196">
        <f t="shared" si="69"/>
        <v>1</v>
      </c>
      <c r="T185" s="190" t="str">
        <f t="shared" si="58"/>
        <v>NorthBound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 t="shared" si="59"/>
        <v>https://d0f6bd738d7f1b3e5a7ca70fe4ff75f0.us-east-1.aws.found.io/app/kibana#/discover/Steve-Slow-Train-Analysis-(2080s-and-2083s)?_g=(refreshInterval:(display:Off,pause:!f,section:0,value:0),time:(from:'2017-05-20T16:19:27-0600',mode:absolute,to:'2017-05-20T18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5" s="192" t="str">
        <f t="shared" si="60"/>
        <v>N</v>
      </c>
      <c r="X185" s="192">
        <f t="shared" si="72"/>
        <v>1</v>
      </c>
      <c r="Y185" s="192">
        <f t="shared" si="61"/>
        <v>9.5000000000000001E-2</v>
      </c>
      <c r="Z185" s="192">
        <f t="shared" si="62"/>
        <v>5.8935000000000004</v>
      </c>
      <c r="AA185" s="192">
        <f t="shared" si="63"/>
        <v>5.7985000000000007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64"/>
        <v>1823-20</v>
      </c>
      <c r="AE185" s="80" t="str">
        <f t="shared" si="65"/>
        <v>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 &amp; aws s3 cp s3://rtdc.mdm.uploadarchive.raw/RTDC4006/ "%USERPROFILE%\AppData\Local\Temp\OnboardLogs"\RTDC4006\2017-05-21 --exclude "*" --recursive --include "*20170521*" &amp; "%USERPROFILE%\Documents\GitHub\mrs-test-scripts\Headless Mode &amp; Sideloading\WalkAndUnGZ.bat" "%USERPROFILE%\AppData\Local\Temp\OnboardLogs"\RTDC4006\2017-05-21</v>
      </c>
      <c r="AF185" s="77" t="str">
        <f t="shared" si="66"/>
        <v>"C:\Program Files (x86)\AstroGrep\AstroGrep.exe" /e /r /s /spath="%USERPROFILE%\AppData\Local\Temp\OnboardLogs" /stypes="app*4006*20170520*" /stext=" 23:.+((SYSTEM_STATE.+slice.+state.+changed )|(ment ac)|(multiple cpu faults)|(system.+state.+changed )|(\[timeout)|(PRM\|1\|D)|(kpr)|(kdp)|(train st.+moving)|(\|lc)|(penalty))"</v>
      </c>
      <c r="AG185" s="1" t="str">
        <f t="shared" si="67"/>
        <v>NW</v>
      </c>
      <c r="AH185" s="81" t="str">
        <f t="shared" si="52"/>
        <v>"%USERPROFILE%\Documents\GitHub\eaglep3\Utilities\RefineRTDCRunTimes.py" --tripid 1823-20 --locoid 4006 --swversion DE.1.0.9.0 --startMP 204:950 --initTime 2017-05-20T17:19:27 --startdatetime 2017-05-20T17:21:14 --delay 1 --endMP 300:58935 --enddatetime 2017-05-20T17:35:04 --enforcementcount 0 &gt;&gt;C:\Users\stu\Documents\GitHub\eaglep3-reporting\EC\2017-05-20-refined-times.txt</v>
      </c>
      <c r="AI185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{"issue":{"subject":"","project_id":79,"tracker_id":40,"status_id":1,"priority_id":2,"assigned_to_id":23,"start_date":"2017-05-20","description":"","custom_fields":[{"id":1,"name":"Subdivision","value":"NW"},{"id":4,"name":"Milepost","value":"5.8935"},{"id":17,"name":"Train ID","value":"1823-20"},{"id":16,"name":"Locomotive ID","value":"4006"},{"id":130,"name":"Impact","value":""},{"id":150,"name":"Time of Event (Mountain Time)","value":"17:35:04"},{"id":151,"name":"Denver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54"/>
        <v>start /low /b %USERPROFILE%\Documents\GitHub\eaglep3\Utilities\DownloadLogsFromS3.py --loco 4006 --day 2017-05-20</v>
      </c>
      <c r="AN185" s="154" t="str">
        <f t="shared" si="55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23:35:04"},{"id":29,"name":"Sharepoint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791</v>
      </c>
      <c r="B186" s="7">
        <v>4005</v>
      </c>
      <c r="C186" s="21" t="s">
        <v>206</v>
      </c>
      <c r="D186" s="21" t="s">
        <v>919</v>
      </c>
      <c r="E186" s="13">
        <v>42875.734212962961</v>
      </c>
      <c r="F186" s="13">
        <v>42875.736215277779</v>
      </c>
      <c r="G186" s="7">
        <v>1</v>
      </c>
      <c r="H186" s="21" t="s">
        <v>920</v>
      </c>
      <c r="I186" s="13">
        <v>42875.748576388891</v>
      </c>
      <c r="J186" s="7">
        <v>0</v>
      </c>
      <c r="K186" s="92" t="str">
        <f t="shared" si="56"/>
        <v>4005/4006</v>
      </c>
      <c r="L186" s="21" t="str">
        <f>VLOOKUP(A186,'Trips&amp;Operators'!$C$1:$G$99999,5,FALSE)</f>
        <v>HELVIE ADAM</v>
      </c>
      <c r="M186" s="6">
        <f t="shared" si="57"/>
        <v>1.2361111112113576E-2</v>
      </c>
      <c r="N186" s="7">
        <f t="shared" ref="N186:N217" si="73">24*60*SUM($M186:$M186)</f>
        <v>17.80000000144355</v>
      </c>
      <c r="O186" s="7"/>
      <c r="P186" s="7"/>
      <c r="Q186" s="22"/>
      <c r="R186" s="190"/>
      <c r="S186" s="196">
        <f t="shared" ref="S186:S217" si="74">SUM(U186:U186)/IF(AG186="EC",12,1)</f>
        <v>1</v>
      </c>
      <c r="T186" s="190" t="str">
        <f t="shared" si="58"/>
        <v>Southbound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 t="shared" si="59"/>
        <v>https://d0f6bd738d7f1b3e5a7ca70fe4ff75f0.us-east-1.aws.found.io/app/kibana#/discover/Steve-Slow-Train-Analysis-(2080s-and-2083s)?_g=(refreshInterval:(display:Off,pause:!f,section:0,value:0),time:(from:'2017-05-20T16:37:16-0600',mode:absolute,to:'2017-05-20T18:57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6" s="192" t="str">
        <f t="shared" si="60"/>
        <v>N</v>
      </c>
      <c r="X186" s="192">
        <f t="shared" si="72"/>
        <v>1</v>
      </c>
      <c r="Y186" s="192">
        <f t="shared" si="61"/>
        <v>5.8620999999999999</v>
      </c>
      <c r="Z186" s="192">
        <f t="shared" si="62"/>
        <v>7.2900000000000006E-2</v>
      </c>
      <c r="AA186" s="192">
        <f t="shared" si="63"/>
        <v>5.7892000000000001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64"/>
        <v>1824-20</v>
      </c>
      <c r="AE186" s="80" t="str">
        <f t="shared" si="65"/>
        <v>aws s3 cp s3://rtdc.mdm.uploadarchive.raw/RTDC4005/ "%USERPROFILE%\AppData\Local\Temp\OnboardLogs"\RTDC4005\2017-05-20 --exclude "*" --recursive --include "*20170520*" &amp; "%USERPROFILE%\Documents\GitHub\mrs-test-scripts\Headless Mode &amp; Sideloading\WalkAndUnGZ.bat" "%USERPROFILE%\AppData\Local\Temp\OnboardLogs"\RTDC4005\2017-05-20 &amp; aws s3 cp s3://rtdc.mdm.uploadarchive.raw/RTDC4005/ "%USERPROFILE%\AppData\Local\Temp\OnboardLogs"\RTDC4005\2017-05-21 --exclude "*" --recursive --include "*20170521*" &amp; "%USERPROFILE%\Documents\GitHub\mrs-test-scripts\Headless Mode &amp; Sideloading\WalkAndUnGZ.bat" "%USERPROFILE%\AppData\Local\Temp\OnboardLogs"\RTDC4005\2017-05-21</v>
      </c>
      <c r="AF186" s="77" t="str">
        <f t="shared" si="66"/>
        <v>"C:\Program Files (x86)\AstroGrep\AstroGrep.exe" /e /r /s /spath="%USERPROFILE%\AppData\Local\Temp\OnboardLogs" /stypes="app*4005*20170520*" /stext=" 23:.+((SYSTEM_STATE.+slice.+state.+changed )|(ment ac)|(multiple cpu faults)|(system.+state.+changed )|(\[timeout)|(PRM\|1\|D)|(kpr)|(kdp)|(train st.+moving)|(\|lc)|(penalty))"</v>
      </c>
      <c r="AG186" s="1" t="str">
        <f t="shared" si="67"/>
        <v>NW</v>
      </c>
      <c r="AH186" s="81" t="str">
        <f t="shared" si="52"/>
        <v>"%USERPROFILE%\Documents\GitHub\eaglep3\Utilities\RefineRTDCRunTimes.py" --tripid 1824-20 --locoid 4005 --swversion DE.1.0.9.0 --startMP 300:58621 --initTime 2017-05-20T17:37:16 --startdatetime 2017-05-20T17:40:09 --delay 1 --endMP 204:729 --enddatetime 2017-05-20T17:57:57 --enforcementcount 0 &gt;&gt;C:\Users\stu\Documents\GitHub\eaglep3-reporting\EC\2017-05-20-refined-times.txt</v>
      </c>
      <c r="AI186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{"issue":{"subject":"","project_id":79,"tracker_id":40,"status_id":1,"priority_id":2,"assigned_to_id":23,"start_date":"2017-05-20","description":"","custom_fields":[{"id":1,"name":"Subdivision","value":"NW"},{"id":4,"name":"Milepost","value":"0.0729"},{"id":17,"name":"Train ID","value":"1824-20"},{"id":16,"name":"Locomotive ID","value":"4005"},{"id":130,"name":"Impact","value":""},{"id":150,"name":"Time of Event (Mountain Time)","value":"17:57:57"},{"id":151,"name":"Denver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54"/>
        <v>start /low /b %USERPROFILE%\Documents\GitHub\eaglep3\Utilities\DownloadLogsFromS3.py --loco 4005 --day 2017-05-20</v>
      </c>
      <c r="AN186" s="154" t="str">
        <f t="shared" si="55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23:57:57"},{"id":29,"name":"Sharepoint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624</v>
      </c>
      <c r="B187" s="7">
        <v>4006</v>
      </c>
      <c r="C187" s="21" t="s">
        <v>206</v>
      </c>
      <c r="D187" s="21" t="s">
        <v>921</v>
      </c>
      <c r="E187" s="13">
        <v>42875.76353009259</v>
      </c>
      <c r="F187" s="13">
        <v>42875.764837962961</v>
      </c>
      <c r="G187" s="7">
        <v>1</v>
      </c>
      <c r="H187" s="21" t="s">
        <v>509</v>
      </c>
      <c r="I187" s="13">
        <v>42875.775138888886</v>
      </c>
      <c r="J187" s="7">
        <v>0</v>
      </c>
      <c r="K187" s="92" t="str">
        <f t="shared" si="56"/>
        <v>4005/4006</v>
      </c>
      <c r="L187" s="21" t="str">
        <f>VLOOKUP(A187,'Trips&amp;Operators'!$C$1:$G$99999,5,FALSE)</f>
        <v>HELVIE ADAM</v>
      </c>
      <c r="M187" s="6">
        <f t="shared" si="57"/>
        <v>1.0300925925548654E-2</v>
      </c>
      <c r="N187" s="7">
        <f t="shared" si="73"/>
        <v>14.833333332790062</v>
      </c>
      <c r="O187" s="7"/>
      <c r="P187" s="7"/>
      <c r="Q187" s="22"/>
      <c r="R187" s="190"/>
      <c r="S187" s="196">
        <f t="shared" si="74"/>
        <v>1</v>
      </c>
      <c r="T187" s="190" t="str">
        <f t="shared" si="58"/>
        <v>NorthBound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 t="shared" si="59"/>
        <v>https://d0f6bd738d7f1b3e5a7ca70fe4ff75f0.us-east-1.aws.found.io/app/kibana#/discover/Steve-Slow-Train-Analysis-(2080s-and-2083s)?_g=(refreshInterval:(display:Off,pause:!f,section:0,value:0),time:(from:'2017-05-20T17:19:29-0600',mode:absolute,to:'2017-05-20T19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7" s="192" t="str">
        <f t="shared" si="60"/>
        <v>N</v>
      </c>
      <c r="X187" s="192">
        <f t="shared" si="72"/>
        <v>1</v>
      </c>
      <c r="Y187" s="192">
        <f t="shared" si="61"/>
        <v>0.10249999999999999</v>
      </c>
      <c r="Z187" s="192">
        <f t="shared" si="62"/>
        <v>5.8936999999999999</v>
      </c>
      <c r="AA187" s="192">
        <f t="shared" si="63"/>
        <v>5.7911999999999999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64"/>
        <v>1825-20</v>
      </c>
      <c r="AE187" s="80" t="str">
        <f t="shared" si="65"/>
        <v>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 &amp; aws s3 cp s3://rtdc.mdm.uploadarchive.raw/RTDC4006/ "%USERPROFILE%\AppData\Local\Temp\OnboardLogs"\RTDC4006\2017-05-21 --exclude "*" --recursive --include "*20170521*" &amp; "%USERPROFILE%\Documents\GitHub\mrs-test-scripts\Headless Mode &amp; Sideloading\WalkAndUnGZ.bat" "%USERPROFILE%\AppData\Local\Temp\OnboardLogs"\RTDC4006\2017-05-21</v>
      </c>
      <c r="AF187" s="77" t="str">
        <f t="shared" si="66"/>
        <v>"C:\Program Files (x86)\AstroGrep\AstroGrep.exe" /e /r /s /spath="%USERPROFILE%\AppData\Local\Temp\OnboardLogs" /stypes="app*4006*20170521*" /stext=" 00:.+((SYSTEM_STATE.+slice.+state.+changed )|(ment ac)|(multiple cpu faults)|(system.+state.+changed )|(\[timeout)|(PRM\|1\|D)|(kpr)|(kdp)|(train st.+moving)|(\|lc)|(penalty))"</v>
      </c>
      <c r="AG187" s="1" t="str">
        <f t="shared" si="67"/>
        <v>NW</v>
      </c>
      <c r="AH187" s="81" t="str">
        <f t="shared" si="52"/>
        <v>"%USERPROFILE%\Documents\GitHub\eaglep3\Utilities\RefineRTDCRunTimes.py" --tripid 1825-20 --locoid 4006 --swversion DE.1.0.9.0 --startMP 204:1025 --initTime 2017-05-20T18:19:29 --startdatetime 2017-05-20T18:21:22 --delay 1 --endMP 300:58937 --enddatetime 2017-05-20T18:36:12 --enforcementcount 0 &gt;&gt;C:\Users\stu\Documents\GitHub\eaglep3-reporting\EC\2017-05-20-refined-times.txt</v>
      </c>
      <c r="AI187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{"issue":{"subject":"","project_id":79,"tracker_id":40,"status_id":1,"priority_id":2,"assigned_to_id":23,"start_date":"2017-05-20","description":"","custom_fields":[{"id":1,"name":"Subdivision","value":"NW"},{"id":4,"name":"Milepost","value":"5.8937"},{"id":17,"name":"Train ID","value":"1825-20"},{"id":16,"name":"Locomotive ID","value":"4006"},{"id":130,"name":"Impact","value":""},{"id":150,"name":"Time of Event (Mountain Time)","value":"18:36:12"},{"id":151,"name":"Denver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54"/>
        <v>start /low /b %USERPROFILE%\Documents\GitHub\eaglep3\Utilities\DownloadLogsFromS3.py --loco 4006 --day 2017-05-20</v>
      </c>
      <c r="AN187" s="154" t="str">
        <f t="shared" si="5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00:36:12"},{"id":29,"name":"Sharepoint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s="20" customFormat="1" x14ac:dyDescent="0.25">
      <c r="A188" s="32" t="s">
        <v>795</v>
      </c>
      <c r="B188" s="7">
        <v>4005</v>
      </c>
      <c r="C188" s="21" t="s">
        <v>206</v>
      </c>
      <c r="D188" s="21" t="s">
        <v>477</v>
      </c>
      <c r="E188" s="13">
        <v>42875.776539351849</v>
      </c>
      <c r="F188" s="13">
        <v>42875.778634259259</v>
      </c>
      <c r="G188" s="7">
        <v>1</v>
      </c>
      <c r="H188" s="21" t="s">
        <v>922</v>
      </c>
      <c r="I188" s="13">
        <v>42875.788229166668</v>
      </c>
      <c r="J188" s="7">
        <v>0</v>
      </c>
      <c r="K188" s="92" t="str">
        <f t="shared" si="56"/>
        <v>4005/4006</v>
      </c>
      <c r="L188" s="21" t="str">
        <f>VLOOKUP(A188,'Trips&amp;Operators'!$C$1:$G$99999,5,FALSE)</f>
        <v>HELVIE ADAM</v>
      </c>
      <c r="M188" s="6">
        <f t="shared" si="57"/>
        <v>9.5949074093368836E-3</v>
      </c>
      <c r="N188" s="7">
        <f t="shared" si="73"/>
        <v>13.816666669445112</v>
      </c>
      <c r="O188" s="7"/>
      <c r="P188" s="7"/>
      <c r="Q188" s="22"/>
      <c r="R188" s="190"/>
      <c r="S188" s="196">
        <f t="shared" si="74"/>
        <v>1</v>
      </c>
      <c r="T188" s="190" t="str">
        <f t="shared" si="58"/>
        <v>Southbound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 t="shared" si="59"/>
        <v>https://d0f6bd738d7f1b3e5a7ca70fe4ff75f0.us-east-1.aws.found.io/app/kibana#/discover/Steve-Slow-Train-Analysis-(2080s-and-2083s)?_g=(refreshInterval:(display:Off,pause:!f,section:0,value:0),time:(from:'2017-05-20T17:38:13-0600',mode:absolute,to:'2017-05-20T19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8" s="192" t="str">
        <f t="shared" si="60"/>
        <v>N</v>
      </c>
      <c r="X188" s="192">
        <f t="shared" si="72"/>
        <v>1</v>
      </c>
      <c r="Y188" s="192">
        <f t="shared" si="61"/>
        <v>5.8624000000000001</v>
      </c>
      <c r="Z188" s="192">
        <f t="shared" si="62"/>
        <v>7.17E-2</v>
      </c>
      <c r="AA188" s="192">
        <f t="shared" si="63"/>
        <v>5.7907000000000002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64"/>
        <v>1826-20</v>
      </c>
      <c r="AE188" s="80" t="str">
        <f t="shared" si="65"/>
        <v>aws s3 cp s3://rtdc.mdm.uploadarchive.raw/RTDC4005/ "%USERPROFILE%\AppData\Local\Temp\OnboardLogs"\RTDC4005\2017-05-20 --exclude "*" --recursive --include "*20170520*" &amp; "%USERPROFILE%\Documents\GitHub\mrs-test-scripts\Headless Mode &amp; Sideloading\WalkAndUnGZ.bat" "%USERPROFILE%\AppData\Local\Temp\OnboardLogs"\RTDC4005\2017-05-20 &amp; aws s3 cp s3://rtdc.mdm.uploadarchive.raw/RTDC4005/ "%USERPROFILE%\AppData\Local\Temp\OnboardLogs"\RTDC4005\2017-05-21 --exclude "*" --recursive --include "*20170521*" &amp; "%USERPROFILE%\Documents\GitHub\mrs-test-scripts\Headless Mode &amp; Sideloading\WalkAndUnGZ.bat" "%USERPROFILE%\AppData\Local\Temp\OnboardLogs"\RTDC4005\2017-05-21</v>
      </c>
      <c r="AF188" s="77" t="str">
        <f t="shared" si="66"/>
        <v>"C:\Program Files (x86)\AstroGrep\AstroGrep.exe" /e /r /s /spath="%USERPROFILE%\AppData\Local\Temp\OnboardLogs" /stypes="app*4005*20170521*" /stext=" 00:.+((SYSTEM_STATE.+slice.+state.+changed )|(ment ac)|(multiple cpu faults)|(system.+state.+changed )|(\[timeout)|(PRM\|1\|D)|(kpr)|(kdp)|(train st.+moving)|(\|lc)|(penalty))"</v>
      </c>
      <c r="AG188" s="1" t="str">
        <f t="shared" si="67"/>
        <v>NW</v>
      </c>
      <c r="AH188" s="81" t="str">
        <f t="shared" si="52"/>
        <v>"%USERPROFILE%\Documents\GitHub\eaglep3\Utilities\RefineRTDCRunTimes.py" --tripid 1826-20 --locoid 4005 --swversion DE.1.0.9.0 --startMP 300:58624 --initTime 2017-05-20T18:38:13 --startdatetime 2017-05-20T18:41:14 --delay 1 --endMP 204:717 --enddatetime 2017-05-20T18:55:03 --enforcementcount 0 &gt;&gt;C:\Users\stu\Documents\GitHub\eaglep3-reporting\EC\2017-05-20-refined-times.txt</v>
      </c>
      <c r="AI188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{"issue":{"subject":"","project_id":79,"tracker_id":40,"status_id":1,"priority_id":2,"assigned_to_id":23,"start_date":"2017-05-20","description":"","custom_fields":[{"id":1,"name":"Subdivision","value":"NW"},{"id":4,"name":"Milepost","value":"0.0717"},{"id":17,"name":"Train ID","value":"1826-20"},{"id":16,"name":"Locomotive ID","value":"4005"},{"id":130,"name":"Impact","value":""},{"id":150,"name":"Time of Event (Mountain Time)","value":"18:55:03"},{"id":151,"name":"Denver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5" t="str">
        <f t="shared" si="54"/>
        <v>start /low /b %USERPROFILE%\Documents\GitHub\eaglep3\Utilities\DownloadLogsFromS3.py --loco 4005 --day 2017-05-20</v>
      </c>
      <c r="AN188" s="154" t="str">
        <f t="shared" si="5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00:55:03"},{"id":29,"name":"Sharepoint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2" t="s">
        <v>800</v>
      </c>
      <c r="B189" s="7">
        <v>4006</v>
      </c>
      <c r="C189" s="21" t="s">
        <v>206</v>
      </c>
      <c r="D189" s="21" t="s">
        <v>585</v>
      </c>
      <c r="E189" s="13">
        <v>42875.80541666667</v>
      </c>
      <c r="F189" s="13">
        <v>42875.806585648148</v>
      </c>
      <c r="G189" s="7">
        <v>1</v>
      </c>
      <c r="H189" s="21" t="s">
        <v>904</v>
      </c>
      <c r="I189" s="13">
        <v>42875.816284722219</v>
      </c>
      <c r="J189" s="7">
        <v>0</v>
      </c>
      <c r="K189" s="92" t="str">
        <f t="shared" si="56"/>
        <v>4005/4006</v>
      </c>
      <c r="L189" s="21" t="str">
        <f>VLOOKUP(A189,'Trips&amp;Operators'!$C$1:$G$99999,5,FALSE)</f>
        <v>HELVIE ADAM</v>
      </c>
      <c r="M189" s="6">
        <f t="shared" si="57"/>
        <v>9.6990740712499246E-3</v>
      </c>
      <c r="N189" s="7">
        <f t="shared" si="73"/>
        <v>13.966666662599891</v>
      </c>
      <c r="O189" s="7"/>
      <c r="P189" s="7"/>
      <c r="Q189" s="22"/>
      <c r="R189" s="190"/>
      <c r="S189" s="196">
        <f t="shared" si="74"/>
        <v>1</v>
      </c>
      <c r="T189" s="190" t="str">
        <f t="shared" si="58"/>
        <v>NorthBound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 t="shared" si="59"/>
        <v>https://d0f6bd738d7f1b3e5a7ca70fe4ff75f0.us-east-1.aws.found.io/app/kibana#/discover/Steve-Slow-Train-Analysis-(2080s-and-2083s)?_g=(refreshInterval:(display:Off,pause:!f,section:0,value:0),time:(from:'2017-05-20T18:19:48-0600',mode:absolute,to:'2017-05-20T20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9" s="192" t="str">
        <f t="shared" si="60"/>
        <v>N</v>
      </c>
      <c r="X189" s="192">
        <f t="shared" si="72"/>
        <v>1</v>
      </c>
      <c r="Y189" s="192">
        <f t="shared" si="61"/>
        <v>9.9900000000000003E-2</v>
      </c>
      <c r="Z189" s="192">
        <f t="shared" si="62"/>
        <v>5.8930999999999996</v>
      </c>
      <c r="AA189" s="192">
        <f t="shared" si="63"/>
        <v>5.7931999999999997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64"/>
        <v>1827-20</v>
      </c>
      <c r="AE189" s="80" t="str">
        <f t="shared" si="65"/>
        <v>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 &amp; aws s3 cp s3://rtdc.mdm.uploadarchive.raw/RTDC4006/ "%USERPROFILE%\AppData\Local\Temp\OnboardLogs"\RTDC4006\2017-05-21 --exclude "*" --recursive --include "*20170521*" &amp; "%USERPROFILE%\Documents\GitHub\mrs-test-scripts\Headless Mode &amp; Sideloading\WalkAndUnGZ.bat" "%USERPROFILE%\AppData\Local\Temp\OnboardLogs"\RTDC4006\2017-05-21</v>
      </c>
      <c r="AF189" s="77" t="str">
        <f t="shared" si="66"/>
        <v>"C:\Program Files (x86)\AstroGrep\AstroGrep.exe" /e /r /s /spath="%USERPROFILE%\AppData\Local\Temp\OnboardLogs" /stypes="app*4006*20170521*" /stext=" 01:.+((SYSTEM_STATE.+slice.+state.+changed )|(ment ac)|(multiple cpu faults)|(system.+state.+changed )|(\[timeout)|(PRM\|1\|D)|(kpr)|(kdp)|(train st.+moving)|(\|lc)|(penalty))"</v>
      </c>
      <c r="AG189" s="1" t="str">
        <f t="shared" si="67"/>
        <v>NW</v>
      </c>
      <c r="AH189" s="81" t="str">
        <f t="shared" si="52"/>
        <v>"%USERPROFILE%\Documents\GitHub\eaglep3\Utilities\RefineRTDCRunTimes.py" --tripid 1827-20 --locoid 4006 --swversion DE.1.0.9.0 --startMP 204:999 --initTime 2017-05-20T19:19:48 --startdatetime 2017-05-20T19:21:29 --delay 1 --endMP 300:58931 --enddatetime 2017-05-20T19:35:27 --enforcementcount 0 &gt;&gt;C:\Users\stu\Documents\GitHub\eaglep3-reporting\EC\2017-05-20-refined-times.txt</v>
      </c>
      <c r="AI189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{"issue":{"subject":"","project_id":79,"tracker_id":40,"status_id":1,"priority_id":2,"assigned_to_id":23,"start_date":"2017-05-20","description":"","custom_fields":[{"id":1,"name":"Subdivision","value":"NW"},{"id":4,"name":"Milepost","value":"5.8931"},{"id":17,"name":"Train ID","value":"1827-20"},{"id":16,"name":"Locomotive ID","value":"4006"},{"id":130,"name":"Impact","value":""},{"id":150,"name":"Time of Event (Mountain Time)","value":"19:35:27"},{"id":151,"name":"Denver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54"/>
        <v>start /low /b %USERPROFILE%\Documents\GitHub\eaglep3\Utilities\DownloadLogsFromS3.py --loco 4006 --day 2017-05-20</v>
      </c>
      <c r="AN189" s="154" t="str">
        <f t="shared" si="5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01:35:27"},{"id":29,"name":"Sharepoint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802</v>
      </c>
      <c r="B190" s="7">
        <v>4005</v>
      </c>
      <c r="C190" s="21" t="s">
        <v>206</v>
      </c>
      <c r="D190" s="21" t="s">
        <v>916</v>
      </c>
      <c r="E190" s="13">
        <v>42875.818240740744</v>
      </c>
      <c r="F190" s="13">
        <v>42875.8203125</v>
      </c>
      <c r="G190" s="7">
        <v>0</v>
      </c>
      <c r="H190" s="21" t="s">
        <v>923</v>
      </c>
      <c r="I190" s="13">
        <v>42875.83048611111</v>
      </c>
      <c r="J190" s="7">
        <v>0</v>
      </c>
      <c r="K190" s="92" t="str">
        <f t="shared" si="56"/>
        <v>4005/4006</v>
      </c>
      <c r="L190" s="21" t="str">
        <f>VLOOKUP(A190,'Trips&amp;Operators'!$C$1:$G$99999,5,FALSE)</f>
        <v>HELVIE ADAM</v>
      </c>
      <c r="M190" s="6">
        <f t="shared" si="57"/>
        <v>1.0173611110076308E-2</v>
      </c>
      <c r="N190" s="7">
        <f t="shared" si="73"/>
        <v>14.649999998509884</v>
      </c>
      <c r="O190" s="7"/>
      <c r="P190" s="7"/>
      <c r="Q190" s="22"/>
      <c r="R190" s="190"/>
      <c r="S190" s="196">
        <f t="shared" si="74"/>
        <v>1</v>
      </c>
      <c r="T190" s="190" t="str">
        <f t="shared" si="58"/>
        <v>Southbound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 t="shared" si="59"/>
        <v>https://d0f6bd738d7f1b3e5a7ca70fe4ff75f0.us-east-1.aws.found.io/app/kibana#/discover/Steve-Slow-Train-Analysis-(2080s-and-2083s)?_g=(refreshInterval:(display:Off,pause:!f,section:0,value:0),time:(from:'2017-05-20T18:38:16-0600',mode:absolute,to:'2017-05-20T20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0" s="192" t="str">
        <f t="shared" si="60"/>
        <v>N</v>
      </c>
      <c r="X190" s="192">
        <f t="shared" si="72"/>
        <v>1</v>
      </c>
      <c r="Y190" s="192">
        <f t="shared" si="61"/>
        <v>5.8615000000000004</v>
      </c>
      <c r="Z190" s="192">
        <f t="shared" si="62"/>
        <v>7.5399999999999995E-2</v>
      </c>
      <c r="AA190" s="192">
        <f t="shared" si="63"/>
        <v>5.7861000000000002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64"/>
        <v>1828-20</v>
      </c>
      <c r="AE190" s="80" t="str">
        <f t="shared" si="65"/>
        <v>aws s3 cp s3://rtdc.mdm.uploadarchive.raw/RTDC4005/ "%USERPROFILE%\AppData\Local\Temp\OnboardLogs"\RTDC4005\2017-05-20 --exclude "*" --recursive --include "*20170520*" &amp; "%USERPROFILE%\Documents\GitHub\mrs-test-scripts\Headless Mode &amp; Sideloading\WalkAndUnGZ.bat" "%USERPROFILE%\AppData\Local\Temp\OnboardLogs"\RTDC4005\2017-05-20 &amp; aws s3 cp s3://rtdc.mdm.uploadarchive.raw/RTDC4005/ "%USERPROFILE%\AppData\Local\Temp\OnboardLogs"\RTDC4005\2017-05-21 --exclude "*" --recursive --include "*20170521*" &amp; "%USERPROFILE%\Documents\GitHub\mrs-test-scripts\Headless Mode &amp; Sideloading\WalkAndUnGZ.bat" "%USERPROFILE%\AppData\Local\Temp\OnboardLogs"\RTDC4005\2017-05-21</v>
      </c>
      <c r="AF190" s="77" t="str">
        <f t="shared" si="66"/>
        <v>"C:\Program Files (x86)\AstroGrep\AstroGrep.exe" /e /r /s /spath="%USERPROFILE%\AppData\Local\Temp\OnboardLogs" /stypes="app*4005*20170521*" /stext=" 01:.+((SYSTEM_STATE.+slice.+state.+changed )|(ment ac)|(multiple cpu faults)|(system.+state.+changed )|(\[timeout)|(PRM\|1\|D)|(kpr)|(kdp)|(train st.+moving)|(\|lc)|(penalty))"</v>
      </c>
      <c r="AG190" s="1" t="str">
        <f t="shared" si="67"/>
        <v>NW</v>
      </c>
      <c r="AH190" s="81" t="str">
        <f t="shared" si="52"/>
        <v>"%USERPROFILE%\Documents\GitHub\eaglep3\Utilities\RefineRTDCRunTimes.py" --tripid 1828-20 --locoid 4005 --swversion DE.1.0.9.0 --startMP 300:58615 --initTime 2017-05-20T19:38:16 --startdatetime 2017-05-20T19:41:15 --delay 0 --endMP 204:754 --enddatetime 2017-05-20T19:55:54 --enforcementcount 0 &gt;&gt;C:\Users\stu\Documents\GitHub\eaglep3-reporting\EC\2017-05-20-refined-times.txt</v>
      </c>
      <c r="AI190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{"issue":{"subject":"","project_id":79,"tracker_id":40,"status_id":1,"priority_id":2,"assigned_to_id":23,"start_date":"2017-05-20","description":"","custom_fields":[{"id":1,"name":"Subdivision","value":"NW"},{"id":4,"name":"Milepost","value":"0.0754"},{"id":17,"name":"Train ID","value":"1828-20"},{"id":16,"name":"Locomotive ID","value":"4005"},{"id":130,"name":"Impact","value":""},{"id":150,"name":"Time of Event (Mountain Time)","value":"19:55:54"},{"id":151,"name":"Denver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54"/>
        <v>start /low /b %USERPROFILE%\Documents\GitHub\eaglep3\Utilities\DownloadLogsFromS3.py --loco 4005 --day 2017-05-20</v>
      </c>
      <c r="AN190" s="154" t="str">
        <f t="shared" si="5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01:55:54"},{"id":29,"name":"Sharepoint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s="20" customFormat="1" x14ac:dyDescent="0.25">
      <c r="A191" s="32" t="s">
        <v>634</v>
      </c>
      <c r="B191" s="7">
        <v>4006</v>
      </c>
      <c r="C191" s="21" t="s">
        <v>206</v>
      </c>
      <c r="D191" s="21" t="s">
        <v>924</v>
      </c>
      <c r="E191" s="13">
        <v>42875.847025462965</v>
      </c>
      <c r="F191" s="13">
        <v>42875.848495370374</v>
      </c>
      <c r="G191" s="7">
        <v>0</v>
      </c>
      <c r="H191" s="21" t="s">
        <v>925</v>
      </c>
      <c r="I191" s="13">
        <v>42875.858402777776</v>
      </c>
      <c r="J191" s="7">
        <v>0</v>
      </c>
      <c r="K191" s="92" t="str">
        <f t="shared" si="56"/>
        <v>4005/4006</v>
      </c>
      <c r="L191" s="21" t="str">
        <f>VLOOKUP(A191,'Trips&amp;Operators'!$C$1:$G$99999,5,FALSE)</f>
        <v>HELVIE ADAM</v>
      </c>
      <c r="M191" s="6">
        <f t="shared" si="57"/>
        <v>9.9074074023519643E-3</v>
      </c>
      <c r="N191" s="7">
        <f t="shared" si="73"/>
        <v>14.266666659386829</v>
      </c>
      <c r="O191" s="7"/>
      <c r="P191" s="7"/>
      <c r="Q191" s="22"/>
      <c r="R191" s="190"/>
      <c r="S191" s="196">
        <f t="shared" si="74"/>
        <v>1</v>
      </c>
      <c r="T191" s="190" t="str">
        <f t="shared" si="58"/>
        <v>NorthBound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 t="shared" si="59"/>
        <v>https://d0f6bd738d7f1b3e5a7ca70fe4ff75f0.us-east-1.aws.found.io/app/kibana#/discover/Steve-Slow-Train-Analysis-(2080s-and-2083s)?_g=(refreshInterval:(display:Off,pause:!f,section:0,value:0),time:(from:'2017-05-20T19:19:43-0600',mode:absolute,to:'2017-05-20T21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1" s="192" t="str">
        <f t="shared" si="60"/>
        <v>N</v>
      </c>
      <c r="X191" s="192">
        <f t="shared" si="72"/>
        <v>1</v>
      </c>
      <c r="Y191" s="192">
        <f t="shared" si="61"/>
        <v>0.1037</v>
      </c>
      <c r="Z191" s="192">
        <f t="shared" si="62"/>
        <v>5.8933</v>
      </c>
      <c r="AA191" s="192">
        <f t="shared" si="63"/>
        <v>5.7896000000000001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64"/>
        <v>1829-20</v>
      </c>
      <c r="AE191" s="80" t="str">
        <f t="shared" si="65"/>
        <v>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 &amp; aws s3 cp s3://rtdc.mdm.uploadarchive.raw/RTDC4006/ "%USERPROFILE%\AppData\Local\Temp\OnboardLogs"\RTDC4006\2017-05-21 --exclude "*" --recursive --include "*20170521*" &amp; "%USERPROFILE%\Documents\GitHub\mrs-test-scripts\Headless Mode &amp; Sideloading\WalkAndUnGZ.bat" "%USERPROFILE%\AppData\Local\Temp\OnboardLogs"\RTDC4006\2017-05-21</v>
      </c>
      <c r="AF191" s="77" t="str">
        <f t="shared" si="66"/>
        <v>"C:\Program Files (x86)\AstroGrep\AstroGrep.exe" /e /r /s /spath="%USERPROFILE%\AppData\Local\Temp\OnboardLogs" /stypes="app*4006*20170521*" /stext=" 02:.+((SYSTEM_STATE.+slice.+state.+changed )|(ment ac)|(multiple cpu faults)|(system.+state.+changed )|(\[timeout)|(PRM\|1\|D)|(kpr)|(kdp)|(train st.+moving)|(\|lc)|(penalty))"</v>
      </c>
      <c r="AG191" s="1" t="str">
        <f t="shared" si="67"/>
        <v>NW</v>
      </c>
      <c r="AH191" s="81" t="str">
        <f t="shared" si="52"/>
        <v>"%USERPROFILE%\Documents\GitHub\eaglep3\Utilities\RefineRTDCRunTimes.py" --tripid 1829-20 --locoid 4006 --swversion DE.1.0.9.0 --startMP 204:1037 --initTime 2017-05-20T20:19:43 --startdatetime 2017-05-20T20:21:50 --delay 0 --endMP 300:58933 --enddatetime 2017-05-20T20:36:06 --enforcementcount 0 &gt;&gt;C:\Users\stu\Documents\GitHub\eaglep3-reporting\EC\2017-05-20-refined-times.txt</v>
      </c>
      <c r="AI191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{"issue":{"subject":"","project_id":79,"tracker_id":40,"status_id":1,"priority_id":2,"assigned_to_id":23,"start_date":"2017-05-20","description":"","custom_fields":[{"id":1,"name":"Subdivision","value":"NW"},{"id":4,"name":"Milepost","value":"5.8933"},{"id":17,"name":"Train ID","value":"1829-20"},{"id":16,"name":"Locomotive ID","value":"4006"},{"id":130,"name":"Impact","value":""},{"id":150,"name":"Time of Event (Mountain Time)","value":"20:36:06"},{"id":151,"name":"Denver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1" s="47"/>
      <c r="AL191" s="47"/>
      <c r="AM191" s="145" t="str">
        <f t="shared" si="54"/>
        <v>start /low /b %USERPROFILE%\Documents\GitHub\eaglep3\Utilities\DownloadLogsFromS3.py --loco 4006 --day 2017-05-20</v>
      </c>
      <c r="AN191" s="154" t="str">
        <f t="shared" si="5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02:36:06"},{"id":29,"name":"Sharepoint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2" t="s">
        <v>806</v>
      </c>
      <c r="B192" s="7">
        <v>4005</v>
      </c>
      <c r="C192" s="21" t="s">
        <v>206</v>
      </c>
      <c r="D192" s="21" t="s">
        <v>476</v>
      </c>
      <c r="E192" s="13">
        <v>42875.859791666669</v>
      </c>
      <c r="F192" s="13">
        <v>42875.861574074072</v>
      </c>
      <c r="G192" s="7">
        <v>1</v>
      </c>
      <c r="H192" s="21" t="s">
        <v>928</v>
      </c>
      <c r="I192" s="13">
        <v>42875.871111111112</v>
      </c>
      <c r="J192" s="7">
        <v>0</v>
      </c>
      <c r="K192" s="92" t="str">
        <f t="shared" si="56"/>
        <v>4005/4006</v>
      </c>
      <c r="L192" s="21" t="str">
        <f>VLOOKUP(A192,'Trips&amp;Operators'!$C$1:$G$99999,5,FALSE)</f>
        <v>HELVIE ADAM</v>
      </c>
      <c r="M192" s="6">
        <f t="shared" si="57"/>
        <v>9.5370370399905369E-3</v>
      </c>
      <c r="N192" s="7">
        <f t="shared" si="73"/>
        <v>13.733333337586373</v>
      </c>
      <c r="O192" s="7"/>
      <c r="P192" s="7"/>
      <c r="Q192" s="22"/>
      <c r="R192" s="190"/>
      <c r="S192" s="196">
        <f t="shared" si="74"/>
        <v>1</v>
      </c>
      <c r="T192" s="190" t="str">
        <f t="shared" si="58"/>
        <v>Southbound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 t="shared" si="59"/>
        <v>https://d0f6bd738d7f1b3e5a7ca70fe4ff75f0.us-east-1.aws.found.io/app/kibana#/discover/Steve-Slow-Train-Analysis-(2080s-and-2083s)?_g=(refreshInterval:(display:Off,pause:!f,section:0,value:0),time:(from:'2017-05-20T19:38:06-0600',mode:absolute,to:'2017-05-20T21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2" s="192" t="str">
        <f t="shared" si="60"/>
        <v>N</v>
      </c>
      <c r="X192" s="192">
        <f t="shared" si="72"/>
        <v>1</v>
      </c>
      <c r="Y192" s="192">
        <f t="shared" si="61"/>
        <v>5.8632</v>
      </c>
      <c r="Z192" s="192">
        <f t="shared" si="62"/>
        <v>7.5200000000000003E-2</v>
      </c>
      <c r="AA192" s="192">
        <f t="shared" si="63"/>
        <v>5.7880000000000003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64"/>
        <v>1830-20</v>
      </c>
      <c r="AE192" s="80" t="str">
        <f t="shared" si="65"/>
        <v>aws s3 cp s3://rtdc.mdm.uploadarchive.raw/RTDC4005/ "%USERPROFILE%\AppData\Local\Temp\OnboardLogs"\RTDC4005\2017-05-20 --exclude "*" --recursive --include "*20170520*" &amp; "%USERPROFILE%\Documents\GitHub\mrs-test-scripts\Headless Mode &amp; Sideloading\WalkAndUnGZ.bat" "%USERPROFILE%\AppData\Local\Temp\OnboardLogs"\RTDC4005\2017-05-20 &amp; aws s3 cp s3://rtdc.mdm.uploadarchive.raw/RTDC4005/ "%USERPROFILE%\AppData\Local\Temp\OnboardLogs"\RTDC4005\2017-05-21 --exclude "*" --recursive --include "*20170521*" &amp; "%USERPROFILE%\Documents\GitHub\mrs-test-scripts\Headless Mode &amp; Sideloading\WalkAndUnGZ.bat" "%USERPROFILE%\AppData\Local\Temp\OnboardLogs"\RTDC4005\2017-05-21</v>
      </c>
      <c r="AF192" s="77" t="str">
        <f t="shared" si="66"/>
        <v>"C:\Program Files (x86)\AstroGrep\AstroGrep.exe" /e /r /s /spath="%USERPROFILE%\AppData\Local\Temp\OnboardLogs" /stypes="app*4005*20170521*" /stext=" 02:.+((SYSTEM_STATE.+slice.+state.+changed )|(ment ac)|(multiple cpu faults)|(system.+state.+changed )|(\[timeout)|(PRM\|1\|D)|(kpr)|(kdp)|(train st.+moving)|(\|lc)|(penalty))"</v>
      </c>
      <c r="AG192" s="1" t="str">
        <f t="shared" si="67"/>
        <v>NW</v>
      </c>
      <c r="AH192" s="81" t="str">
        <f t="shared" si="52"/>
        <v>"%USERPROFILE%\Documents\GitHub\eaglep3\Utilities\RefineRTDCRunTimes.py" --tripid 1830-20 --locoid 4005 --swversion DE.1.0.9.0 --startMP 300:58632 --initTime 2017-05-20T20:38:06 --startdatetime 2017-05-20T20:40:40 --delay 1 --endMP 204:752 --enddatetime 2017-05-20T20:54:24 --enforcementcount 0 &gt;&gt;C:\Users\stu\Documents\GitHub\eaglep3-reporting\EC\2017-05-20-refined-times.txt</v>
      </c>
      <c r="AI192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{"issue":{"subject":"","project_id":79,"tracker_id":40,"status_id":1,"priority_id":2,"assigned_to_id":23,"start_date":"2017-05-20","description":"","custom_fields":[{"id":1,"name":"Subdivision","value":"NW"},{"id":4,"name":"Milepost","value":"0.0752"},{"id":17,"name":"Train ID","value":"1830-20"},{"id":16,"name":"Locomotive ID","value":"4005"},{"id":130,"name":"Impact","value":""},{"id":150,"name":"Time of Event (Mountain Time)","value":"20:54:24"},{"id":151,"name":"Denver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54"/>
        <v>start /low /b %USERPROFILE%\Documents\GitHub\eaglep3\Utilities\DownloadLogsFromS3.py --loco 4005 --day 2017-05-20</v>
      </c>
      <c r="AN192" s="154" t="str">
        <f t="shared" si="5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02:54:24"},{"id":29,"name":"Sharepoint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x14ac:dyDescent="0.25">
      <c r="A193" s="32" t="s">
        <v>808</v>
      </c>
      <c r="B193" s="7">
        <v>4006</v>
      </c>
      <c r="C193" s="21" t="s">
        <v>206</v>
      </c>
      <c r="D193" s="21" t="s">
        <v>929</v>
      </c>
      <c r="E193" s="13">
        <v>42875.888622685183</v>
      </c>
      <c r="F193" s="13">
        <v>42875.889745370368</v>
      </c>
      <c r="G193" s="7">
        <v>1</v>
      </c>
      <c r="H193" s="21" t="s">
        <v>893</v>
      </c>
      <c r="I193" s="13">
        <v>42875.898831018516</v>
      </c>
      <c r="J193" s="7">
        <v>0</v>
      </c>
      <c r="K193" s="92" t="str">
        <f t="shared" si="56"/>
        <v>4005/4006</v>
      </c>
      <c r="L193" s="21" t="str">
        <f>VLOOKUP(A193,'Trips&amp;Operators'!$C$1:$G$99999,5,FALSE)</f>
        <v>HELVIE ADAM</v>
      </c>
      <c r="M193" s="6">
        <f t="shared" si="57"/>
        <v>9.0856481474475004E-3</v>
      </c>
      <c r="N193" s="7">
        <f t="shared" si="73"/>
        <v>13.083333332324401</v>
      </c>
      <c r="O193" s="7"/>
      <c r="P193" s="7"/>
      <c r="Q193" s="22"/>
      <c r="R193" s="190"/>
      <c r="S193" s="196">
        <f t="shared" si="74"/>
        <v>1</v>
      </c>
      <c r="T193" s="190" t="str">
        <f t="shared" si="58"/>
        <v>NorthBound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 t="shared" si="59"/>
        <v>https://d0f6bd738d7f1b3e5a7ca70fe4ff75f0.us-east-1.aws.found.io/app/kibana#/discover/Steve-Slow-Train-Analysis-(2080s-and-2083s)?_g=(refreshInterval:(display:Off,pause:!f,section:0,value:0),time:(from:'2017-05-20T20:19:37-0600',mode:absolute,to:'2017-05-20T22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3" s="192" t="str">
        <f t="shared" si="60"/>
        <v>N</v>
      </c>
      <c r="X193" s="192">
        <f t="shared" si="72"/>
        <v>1</v>
      </c>
      <c r="Y193" s="192">
        <f t="shared" si="61"/>
        <v>0.1018</v>
      </c>
      <c r="Z193" s="192">
        <f t="shared" si="62"/>
        <v>5.8935000000000004</v>
      </c>
      <c r="AA193" s="192">
        <f t="shared" si="63"/>
        <v>5.7917000000000005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64"/>
        <v>1831-20</v>
      </c>
      <c r="AE193" s="80" t="str">
        <f t="shared" si="65"/>
        <v>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 &amp; aws s3 cp s3://rtdc.mdm.uploadarchive.raw/RTDC4006/ "%USERPROFILE%\AppData\Local\Temp\OnboardLogs"\RTDC4006\2017-05-21 --exclude "*" --recursive --include "*20170521*" &amp; "%USERPROFILE%\Documents\GitHub\mrs-test-scripts\Headless Mode &amp; Sideloading\WalkAndUnGZ.bat" "%USERPROFILE%\AppData\Local\Temp\OnboardLogs"\RTDC4006\2017-05-21</v>
      </c>
      <c r="AF193" s="77" t="str">
        <f t="shared" si="66"/>
        <v>"C:\Program Files (x86)\AstroGrep\AstroGrep.exe" /e /r /s /spath="%USERPROFILE%\AppData\Local\Temp\OnboardLogs" /stypes="app*4006*20170521*" /stext=" 03:.+((SYSTEM_STATE.+slice.+state.+changed )|(ment ac)|(multiple cpu faults)|(system.+state.+changed )|(\[timeout)|(PRM\|1\|D)|(kpr)|(kdp)|(train st.+moving)|(\|lc)|(penalty))"</v>
      </c>
      <c r="AG193" s="1" t="str">
        <f t="shared" si="67"/>
        <v>NW</v>
      </c>
      <c r="AH193" s="81" t="str">
        <f t="shared" si="52"/>
        <v>"%USERPROFILE%\Documents\GitHub\eaglep3\Utilities\RefineRTDCRunTimes.py" --tripid 1831-20 --locoid 4006 --swversion DE.1.0.9.0 --startMP 204:1018 --initTime 2017-05-20T21:19:37 --startdatetime 2017-05-20T21:21:14 --delay 1 --endMP 300:58935 --enddatetime 2017-05-20T21:34:19 --enforcementcount 0 &gt;&gt;C:\Users\stu\Documents\GitHub\eaglep3-reporting\EC\2017-05-20-refined-times.txt</v>
      </c>
      <c r="AI193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{"issue":{"subject":"","project_id":79,"tracker_id":40,"status_id":1,"priority_id":2,"assigned_to_id":23,"start_date":"2017-05-20","description":"","custom_fields":[{"id":1,"name":"Subdivision","value":"NW"},{"id":4,"name":"Milepost","value":"5.8935"},{"id":17,"name":"Train ID","value":"1831-20"},{"id":16,"name":"Locomotive ID","value":"4006"},{"id":130,"name":"Impact","value":""},{"id":150,"name":"Time of Event (Mountain Time)","value":"21:34:19"},{"id":151,"name":"Denver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54"/>
        <v>start /low /b %USERPROFILE%\Documents\GitHub\eaglep3\Utilities\DownloadLogsFromS3.py --loco 4006 --day 2017-05-20</v>
      </c>
      <c r="AN193" s="154" t="str">
        <f t="shared" si="5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03:34:19"},{"id":29,"name":"Sharepoint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2" t="s">
        <v>810</v>
      </c>
      <c r="B194" s="7">
        <v>4005</v>
      </c>
      <c r="C194" s="21" t="s">
        <v>206</v>
      </c>
      <c r="D194" s="21" t="s">
        <v>475</v>
      </c>
      <c r="E194" s="13">
        <v>42875.899907407409</v>
      </c>
      <c r="F194" s="13">
        <v>42875.903634259259</v>
      </c>
      <c r="G194" s="7">
        <v>1</v>
      </c>
      <c r="H194" s="21" t="s">
        <v>930</v>
      </c>
      <c r="I194" s="13">
        <v>42875.912962962961</v>
      </c>
      <c r="J194" s="7">
        <v>0</v>
      </c>
      <c r="K194" s="92" t="str">
        <f t="shared" si="56"/>
        <v>4005/4006</v>
      </c>
      <c r="L194" s="21" t="str">
        <f>VLOOKUP(A194,'Trips&amp;Operators'!$C$1:$G$99999,5,FALSE)</f>
        <v>HELVIE ADAM</v>
      </c>
      <c r="M194" s="6">
        <f t="shared" si="57"/>
        <v>9.3287037016125396E-3</v>
      </c>
      <c r="N194" s="7">
        <f t="shared" si="73"/>
        <v>13.433333330322057</v>
      </c>
      <c r="O194" s="7"/>
      <c r="P194" s="7"/>
      <c r="Q194" s="22"/>
      <c r="R194" s="190"/>
      <c r="S194" s="196">
        <f t="shared" si="74"/>
        <v>1</v>
      </c>
      <c r="T194" s="190" t="str">
        <f t="shared" si="58"/>
        <v>Southbound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 t="shared" si="59"/>
        <v>https://d0f6bd738d7f1b3e5a7ca70fe4ff75f0.us-east-1.aws.found.io/app/kibana#/discover/Steve-Slow-Train-Analysis-(2080s-and-2083s)?_g=(refreshInterval:(display:Off,pause:!f,section:0,value:0),time:(from:'2017-05-20T20:35:52-0600',mode:absolute,to:'2017-05-20T22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4" s="192" t="str">
        <f t="shared" si="60"/>
        <v>N</v>
      </c>
      <c r="X194" s="192">
        <f t="shared" si="72"/>
        <v>1</v>
      </c>
      <c r="Y194" s="192">
        <f t="shared" si="61"/>
        <v>5.8619000000000003</v>
      </c>
      <c r="Z194" s="192">
        <f t="shared" si="62"/>
        <v>7.6799999999999993E-2</v>
      </c>
      <c r="AA194" s="192">
        <f t="shared" si="63"/>
        <v>5.7850999999999999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64"/>
        <v>1832-20</v>
      </c>
      <c r="AE194" s="80" t="str">
        <f t="shared" si="65"/>
        <v>aws s3 cp s3://rtdc.mdm.uploadarchive.raw/RTDC4005/ "%USERPROFILE%\AppData\Local\Temp\OnboardLogs"\RTDC4005\2017-05-20 --exclude "*" --recursive --include "*20170520*" &amp; "%USERPROFILE%\Documents\GitHub\mrs-test-scripts\Headless Mode &amp; Sideloading\WalkAndUnGZ.bat" "%USERPROFILE%\AppData\Local\Temp\OnboardLogs"\RTDC4005\2017-05-20 &amp; aws s3 cp s3://rtdc.mdm.uploadarchive.raw/RTDC4005/ "%USERPROFILE%\AppData\Local\Temp\OnboardLogs"\RTDC4005\2017-05-21 --exclude "*" --recursive --include "*20170521*" &amp; "%USERPROFILE%\Documents\GitHub\mrs-test-scripts\Headless Mode &amp; Sideloading\WalkAndUnGZ.bat" "%USERPROFILE%\AppData\Local\Temp\OnboardLogs"\RTDC4005\2017-05-21</v>
      </c>
      <c r="AF194" s="77" t="str">
        <f t="shared" si="66"/>
        <v>"C:\Program Files (x86)\AstroGrep\AstroGrep.exe" /e /r /s /spath="%USERPROFILE%\AppData\Local\Temp\OnboardLogs" /stypes="app*4005*20170521*" /stext=" 03:.+((SYSTEM_STATE.+slice.+state.+changed )|(ment ac)|(multiple cpu faults)|(system.+state.+changed )|(\[timeout)|(PRM\|1\|D)|(kpr)|(kdp)|(train st.+moving)|(\|lc)|(penalty))"</v>
      </c>
      <c r="AG194" s="1" t="str">
        <f t="shared" si="67"/>
        <v>NW</v>
      </c>
      <c r="AH194" s="81" t="str">
        <f t="shared" si="52"/>
        <v>"%USERPROFILE%\Documents\GitHub\eaglep3\Utilities\RefineRTDCRunTimes.py" --tripid 1832-20 --locoid 4005 --swversion DE.1.0.9.0 --startMP 300:58619 --initTime 2017-05-20T21:35:52 --startdatetime 2017-05-20T21:41:14 --delay 1 --endMP 204:768 --enddatetime 2017-05-20T21:54:40 --enforcementcount 0 &gt;&gt;C:\Users\stu\Documents\GitHub\eaglep3-reporting\EC\2017-05-20-refined-times.txt</v>
      </c>
      <c r="AI194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{"issue":{"subject":"","project_id":79,"tracker_id":40,"status_id":1,"priority_id":2,"assigned_to_id":23,"start_date":"2017-05-20","description":"","custom_fields":[{"id":1,"name":"Subdivision","value":"NW"},{"id":4,"name":"Milepost","value":"0.0768"},{"id":17,"name":"Train ID","value":"1832-20"},{"id":16,"name":"Locomotive ID","value":"4005"},{"id":130,"name":"Impact","value":""},{"id":150,"name":"Time of Event (Mountain Time)","value":"21:54:40"},{"id":151,"name":"Denver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54"/>
        <v>start /low /b %USERPROFILE%\Documents\GitHub\eaglep3\Utilities\DownloadLogsFromS3.py --loco 4005 --day 2017-05-20</v>
      </c>
      <c r="AN194" s="154" t="str">
        <f t="shared" si="5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03:54:40"},{"id":29,"name":"Sharepoint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2" t="s">
        <v>813</v>
      </c>
      <c r="B195" s="7">
        <v>4006</v>
      </c>
      <c r="C195" s="21" t="s">
        <v>206</v>
      </c>
      <c r="D195" s="21" t="s">
        <v>931</v>
      </c>
      <c r="E195" s="13">
        <v>42875.9296875</v>
      </c>
      <c r="F195" s="13">
        <v>42875.93141203704</v>
      </c>
      <c r="G195" s="7">
        <v>1</v>
      </c>
      <c r="H195" s="21" t="s">
        <v>932</v>
      </c>
      <c r="I195" s="13">
        <v>42875.941701388889</v>
      </c>
      <c r="J195" s="7">
        <v>0</v>
      </c>
      <c r="K195" s="92" t="str">
        <f t="shared" si="56"/>
        <v>4005/4006</v>
      </c>
      <c r="L195" s="21" t="str">
        <f>VLOOKUP(A195,'Trips&amp;Operators'!$C$1:$G$99999,5,FALSE)</f>
        <v>HELVIE ADAM</v>
      </c>
      <c r="M195" s="6">
        <f t="shared" si="57"/>
        <v>1.0289351848769002E-2</v>
      </c>
      <c r="N195" s="7">
        <f t="shared" si="73"/>
        <v>14.816666662227362</v>
      </c>
      <c r="O195" s="7"/>
      <c r="P195" s="7"/>
      <c r="Q195" s="22"/>
      <c r="R195" s="190"/>
      <c r="S195" s="196">
        <f t="shared" si="74"/>
        <v>1</v>
      </c>
      <c r="T195" s="190" t="str">
        <f t="shared" si="58"/>
        <v>NorthBound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 t="shared" si="59"/>
        <v>https://d0f6bd738d7f1b3e5a7ca70fe4ff75f0.us-east-1.aws.found.io/app/kibana#/discover/Steve-Slow-Train-Analysis-(2080s-and-2083s)?_g=(refreshInterval:(display:Off,pause:!f,section:0,value:0),time:(from:'2017-05-20T21:18:45-0600',mode:absolute,to:'2017-05-20T23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5" s="192" t="str">
        <f t="shared" si="60"/>
        <v>N</v>
      </c>
      <c r="X195" s="192">
        <f t="shared" si="72"/>
        <v>1</v>
      </c>
      <c r="Y195" s="192">
        <f t="shared" si="61"/>
        <v>0.1074</v>
      </c>
      <c r="Z195" s="192">
        <f t="shared" si="62"/>
        <v>5.8924000000000003</v>
      </c>
      <c r="AA195" s="192">
        <f t="shared" si="63"/>
        <v>5.7850000000000001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64"/>
        <v>1833-20</v>
      </c>
      <c r="AE195" s="80" t="str">
        <f t="shared" si="65"/>
        <v>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 &amp; aws s3 cp s3://rtdc.mdm.uploadarchive.raw/RTDC4006/ "%USERPROFILE%\AppData\Local\Temp\OnboardLogs"\RTDC4006\2017-05-21 --exclude "*" --recursive --include "*20170521*" &amp; "%USERPROFILE%\Documents\GitHub\mrs-test-scripts\Headless Mode &amp; Sideloading\WalkAndUnGZ.bat" "%USERPROFILE%\AppData\Local\Temp\OnboardLogs"\RTDC4006\2017-05-21</v>
      </c>
      <c r="AF195" s="77" t="str">
        <f t="shared" si="66"/>
        <v>"C:\Program Files (x86)\AstroGrep\AstroGrep.exe" /e /r /s /spath="%USERPROFILE%\AppData\Local\Temp\OnboardLogs" /stypes="app*4006*20170521*" /stext=" 04:.+((SYSTEM_STATE.+slice.+state.+changed )|(ment ac)|(multiple cpu faults)|(system.+state.+changed )|(\[timeout)|(PRM\|1\|D)|(kpr)|(kdp)|(train st.+moving)|(\|lc)|(penalty))"</v>
      </c>
      <c r="AG195" s="1" t="str">
        <f t="shared" si="67"/>
        <v>NW</v>
      </c>
      <c r="AH195" s="81" t="str">
        <f t="shared" si="52"/>
        <v>"%USERPROFILE%\Documents\GitHub\eaglep3\Utilities\RefineRTDCRunTimes.py" --tripid 1833-20 --locoid 4006 --swversion DE.1.0.9.0 --startMP 204:1074 --initTime 2017-05-20T22:18:45 --startdatetime 2017-05-20T22:21:14 --delay 1 --endMP 300:58924 --enddatetime 2017-05-20T22:36:03 --enforcementcount 0 &gt;&gt;C:\Users\stu\Documents\GitHub\eaglep3-reporting\EC\2017-05-20-refined-times.txt</v>
      </c>
      <c r="AI195" s="99" t="str">
        <f t="shared" si="53"/>
        <v>echo {"issue":{"subject":"","project_id":79,"tracker_id":40,"status_id":1,"priority_id":2,"assigned_to_id":23,"start_date":"2017-05-20","description":"","custom_fields":[{"id":1,"name":"Subdivision","value":"NW"},{"id":4,"name":"Milepost","value":"5.8924"},{"id":17,"name":"Train ID","value":"1833-20"},{"id":16,"name":"Locomotive ID","value":"4006"},{"id":130,"name":"Impact","value":""},{"id":150,"name":"Time of Event (Mountain Time)","value":"22:36:03"},{"id":151,"name":"Denver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54"/>
        <v>start /low /b %USERPROFILE%\Documents\GitHub\eaglep3\Utilities\DownloadLogsFromS3.py --loco 4006 --day 2017-05-20</v>
      </c>
      <c r="AN195" s="154" t="str">
        <f t="shared" si="5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04:36:03"},{"id":29,"name":"Sharepoint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x14ac:dyDescent="0.25">
      <c r="A196" s="32" t="s">
        <v>656</v>
      </c>
      <c r="B196" s="7">
        <v>4007</v>
      </c>
      <c r="C196" s="21" t="s">
        <v>206</v>
      </c>
      <c r="D196" s="21" t="s">
        <v>975</v>
      </c>
      <c r="E196" s="13">
        <v>42875.122476851851</v>
      </c>
      <c r="F196" s="13">
        <v>42875.126099537039</v>
      </c>
      <c r="G196" s="7">
        <v>4</v>
      </c>
      <c r="H196" s="21" t="s">
        <v>198</v>
      </c>
      <c r="I196" s="13">
        <v>42875.131863425922</v>
      </c>
      <c r="J196" s="7">
        <v>0</v>
      </c>
      <c r="K196" s="92" t="str">
        <f t="shared" si="56"/>
        <v>4007/4008</v>
      </c>
      <c r="L196" s="21" t="str">
        <f>VLOOKUP(A196,'Trips&amp;Operators'!$C$1:$G$99999,5,FALSE)</f>
        <v>BADERTSCHER DIANE</v>
      </c>
      <c r="M196" s="6">
        <f t="shared" si="57"/>
        <v>5.7638888829387724E-3</v>
      </c>
      <c r="N196" s="7">
        <f t="shared" si="73"/>
        <v>8.2999999914318323</v>
      </c>
      <c r="O196" s="7"/>
      <c r="P196" s="7"/>
      <c r="Q196" s="22"/>
      <c r="R196" s="190"/>
      <c r="S196" s="196">
        <f t="shared" si="74"/>
        <v>1</v>
      </c>
      <c r="T196" s="190" t="str">
        <f t="shared" si="58"/>
        <v>Southbound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 t="shared" si="59"/>
        <v>https://d0f6bd738d7f1b3e5a7ca70fe4ff75f0.us-east-1.aws.found.io/app/kibana#/discover/Steve-Slow-Train-Analysis-(2080s-and-2083s)?_g=(refreshInterval:(display:Off,pause:!f,section:0,value:0),time:(from:'2017-05-20T01:56:22-0600',mode:absolute,to:'2017-05-20T04:09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6" s="192" t="str">
        <f t="shared" si="60"/>
        <v>Y</v>
      </c>
      <c r="X196" s="192">
        <f t="shared" si="72"/>
        <v>-1531</v>
      </c>
      <c r="Y196" s="192">
        <f t="shared" si="61"/>
        <v>2.3014000000000001</v>
      </c>
      <c r="Z196" s="192">
        <f t="shared" si="62"/>
        <v>1.5800000000000002E-2</v>
      </c>
      <c r="AA196" s="192">
        <f t="shared" si="63"/>
        <v>2.2856000000000001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64"/>
        <v>0302-20</v>
      </c>
      <c r="AE196" s="80" t="str">
        <f t="shared" si="65"/>
        <v>aws s3 cp s3://rtdc.mdm.uploadarchive.raw/RTDC4007/ "%USERPROFILE%\AppData\Local\Temp\OnboardLogs"\RTDC4007\2017-05-20 --exclude "*" --recursive --include "*20170520*" &amp; "%USERPROFILE%\Documents\GitHub\mrs-test-scripts\Headless Mode &amp; Sideloading\WalkAndUnGZ.bat" "%USERPROFILE%\AppData\Local\Temp\OnboardLogs"\RTDC4007\2017-05-20 &amp; aws s3 cp s3://rtdc.mdm.uploadarchive.raw/RTDC4007/ "%USERPROFILE%\AppData\Local\Temp\OnboardLogs"\RTDC4007\2017-05-21 --exclude "*" --recursive --include "*20170521*" &amp; "%USERPROFILE%\Documents\GitHub\mrs-test-scripts\Headless Mode &amp; Sideloading\WalkAndUnGZ.bat" "%USERPROFILE%\AppData\Local\Temp\OnboardLogs"\RTDC4007\2017-05-21</v>
      </c>
      <c r="AF196" s="77" t="str">
        <f t="shared" si="66"/>
        <v>"C:\Program Files (x86)\AstroGrep\AstroGrep.exe" /e /r /s /spath="%USERPROFILE%\AppData\Local\Temp\OnboardLogs" /stypes="app*4007*20170520*" /stext=" 09:.+((SYSTEM_STATE.+slice.+state.+changed )|(ment ac)|(multiple cpu faults)|(system.+state.+changed )|(\[timeout)|(PRM\|1\|D)|(kpr)|(kdp)|(train st.+moving)|(\|lc)|(penalty))"</v>
      </c>
      <c r="AG196" s="1" t="str">
        <f t="shared" si="67"/>
        <v>Other</v>
      </c>
      <c r="AH196" s="81" t="str">
        <f t="shared" si="52"/>
        <v>"%USERPROFILE%\Documents\GitHub\eaglep3\Utilities\RefineRTDCRunTimes.py" --tripid 302-20 --locoid 4007 --swversion DE.1.0.9.0 --startMP 300:23014 --initTime 2017-05-20T02:56:22 --startdatetime 2017-05-20T03:01:35 --delay 4 --endMP 204:158 --enddatetime 2017-05-20T03:09:53 --enforcementcount 0 &gt;&gt;C:\Users\stu\Documents\GitHub\eaglep3-reporting\EC\2017-05-20-refined-times.txt</v>
      </c>
      <c r="AI196" s="99" t="str">
        <f t="shared" si="53"/>
        <v>echo {"issue":{"subject":"","project_id":79,"tracker_id":40,"status_id":1,"priority_id":2,"assigned_to_id":23,"start_date":"2017-05-20","description":"","custom_fields":[{"id":1,"name":"Subdivision","value":"Other"},{"id":4,"name":"Milepost","value":"0.0158"},{"id":17,"name":"Train ID","value":"302-20"},{"id":16,"name":"Locomotive ID","value":"4007"},{"id":130,"name":"Impact","value":""},{"id":150,"name":"Time of Event (Mountain Time)","value":"03:09:53"},{"id":151,"name":"Denver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54"/>
        <v>start /low /b %USERPROFILE%\Documents\GitHub\eaglep3\Utilities\DownloadLogsFromS3.py --loco 4007 --day 2017-05-20</v>
      </c>
      <c r="AN196" s="154" t="str">
        <f t="shared" si="55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09:09:53"},{"id":29,"name":"Sharepoint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2" t="s">
        <v>796</v>
      </c>
      <c r="B197" s="7">
        <v>4002</v>
      </c>
      <c r="C197" s="21" t="s">
        <v>206</v>
      </c>
      <c r="D197" s="21" t="s">
        <v>976</v>
      </c>
      <c r="E197" s="13">
        <v>42875.782025462962</v>
      </c>
      <c r="F197" s="13">
        <v>42875.788472222222</v>
      </c>
      <c r="G197" s="7">
        <v>1</v>
      </c>
      <c r="H197" s="21" t="s">
        <v>977</v>
      </c>
      <c r="I197" s="13">
        <v>42875.798842592594</v>
      </c>
      <c r="J197" s="7">
        <v>0</v>
      </c>
      <c r="K197" s="92" t="str">
        <f t="shared" si="56"/>
        <v>4001/4002</v>
      </c>
      <c r="L197" s="21" t="str">
        <f>VLOOKUP(A197,'Trips&amp;Operators'!$C$1:$G$99999,5,FALSE)</f>
        <v>DAVIDSON DAVID</v>
      </c>
      <c r="M197" s="6">
        <f t="shared" si="57"/>
        <v>1.0370370371674653E-2</v>
      </c>
      <c r="N197" s="7">
        <f t="shared" si="73"/>
        <v>14.933333335211501</v>
      </c>
      <c r="O197" s="7"/>
      <c r="P197" s="7"/>
      <c r="Q197" s="22"/>
      <c r="R197" s="190"/>
      <c r="S197" s="196">
        <f t="shared" si="74"/>
        <v>1</v>
      </c>
      <c r="T197" s="190" t="str">
        <f t="shared" si="58"/>
        <v>NorthBound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 t="shared" si="59"/>
        <v>https://d0f6bd738d7f1b3e5a7ca70fe4ff75f0.us-east-1.aws.found.io/app/kibana#/discover/Steve-Slow-Train-Analysis-(2080s-and-2083s)?_g=(refreshInterval:(display:Off,pause:!f,section:0,value:0),time:(from:'2017-05-20T17:46:07-0600',mode:absolute,to:'2017-05-20T20:10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7" s="192" t="str">
        <f t="shared" si="60"/>
        <v>Y</v>
      </c>
      <c r="X197" s="192">
        <f t="shared" si="72"/>
        <v>1</v>
      </c>
      <c r="Y197" s="192">
        <f t="shared" si="61"/>
        <v>4.48E-2</v>
      </c>
      <c r="Z197" s="192">
        <f t="shared" si="62"/>
        <v>2.3302</v>
      </c>
      <c r="AA197" s="192">
        <f t="shared" si="63"/>
        <v>2.2854000000000001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64"/>
        <v>0303-20</v>
      </c>
      <c r="AE197" s="80" t="str">
        <f t="shared" si="65"/>
        <v>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 &amp; aws s3 cp s3://rtdc.mdm.uploadarchive.raw/RTDC4002/ "%USERPROFILE%\AppData\Local\Temp\OnboardLogs"\RTDC4002\2017-05-21 --exclude "*" --recursive --include "*20170521*" &amp; "%USERPROFILE%\Documents\GitHub\mrs-test-scripts\Headless Mode &amp; Sideloading\WalkAndUnGZ.bat" "%USERPROFILE%\AppData\Local\Temp\OnboardLogs"\RTDC4002\2017-05-21</v>
      </c>
      <c r="AF197" s="77" t="str">
        <f t="shared" si="66"/>
        <v>"C:\Program Files (x86)\AstroGrep\AstroGrep.exe" /e /r /s /spath="%USERPROFILE%\AppData\Local\Temp\OnboardLogs" /stypes="app*4002*20170521*" /stext=" 01:.+((SYSTEM_STATE.+slice.+state.+changed )|(ment ac)|(multiple cpu faults)|(system.+state.+changed )|(\[timeout)|(PRM\|1\|D)|(kpr)|(kdp)|(train st.+moving)|(\|lc)|(penalty))"</v>
      </c>
      <c r="AG197" s="1" t="str">
        <f t="shared" si="67"/>
        <v>Other</v>
      </c>
      <c r="AH197" s="81" t="str">
        <f t="shared" si="52"/>
        <v>"%USERPROFILE%\Documents\GitHub\eaglep3\Utilities\RefineRTDCRunTimes.py" --tripid 303-20 --locoid 4002 --swversion DE.1.0.9.0 --startMP 204:448 --initTime 2017-05-20T18:46:07 --startdatetime 2017-05-20T18:55:24 --delay 1 --endMP 300:23302 --enddatetime 2017-05-20T19:10:20 --enforcementcount 0 &gt;&gt;C:\Users\stu\Documents\GitHub\eaglep3-reporting\EC\2017-05-20-refined-times.txt</v>
      </c>
      <c r="AI197" s="99" t="str">
        <f t="shared" si="53"/>
        <v>echo {"issue":{"subject":"","project_id":79,"tracker_id":40,"status_id":1,"priority_id":2,"assigned_to_id":23,"start_date":"2017-05-20","description":"","custom_fields":[{"id":1,"name":"Subdivision","value":"Other"},{"id":4,"name":"Milepost","value":"2.3302"},{"id":17,"name":"Train ID","value":"303-20"},{"id":16,"name":"Locomotive ID","value":"4002"},{"id":130,"name":"Impact","value":""},{"id":150,"name":"Time of Event (Mountain Time)","value":"19:10:20"},{"id":151,"name":"Denver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54"/>
        <v>start /low /b %USERPROFILE%\Documents\GitHub\eaglep3\Utilities\DownloadLogsFromS3.py --loco 4002 --day 2017-05-20</v>
      </c>
      <c r="AN197" s="154" t="str">
        <f t="shared" si="5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01:10:20"},{"id":29,"name":"Sharepoint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2" t="s">
        <v>658</v>
      </c>
      <c r="B198" s="7">
        <v>4009</v>
      </c>
      <c r="C198" s="21" t="s">
        <v>206</v>
      </c>
      <c r="D198" s="21" t="s">
        <v>978</v>
      </c>
      <c r="E198" s="13">
        <v>42875.13853009259</v>
      </c>
      <c r="F198" s="13">
        <v>42875.141273148147</v>
      </c>
      <c r="G198" s="7">
        <v>3</v>
      </c>
      <c r="H198" s="21" t="s">
        <v>867</v>
      </c>
      <c r="I198" s="13">
        <v>42875.147905092592</v>
      </c>
      <c r="J198" s="7">
        <v>0</v>
      </c>
      <c r="K198" s="92" t="str">
        <f t="shared" si="56"/>
        <v>4009/4010</v>
      </c>
      <c r="L198" s="21" t="str">
        <f>VLOOKUP(A198,'Trips&amp;Operators'!$C$1:$G$99999,5,FALSE)</f>
        <v>ROBINSON KADDIBA</v>
      </c>
      <c r="M198" s="6">
        <f t="shared" si="57"/>
        <v>6.6319444449618459E-3</v>
      </c>
      <c r="N198" s="7">
        <f t="shared" si="73"/>
        <v>9.5500000007450581</v>
      </c>
      <c r="O198" s="7"/>
      <c r="P198" s="7"/>
      <c r="Q198" s="22"/>
      <c r="R198" s="190"/>
      <c r="S198" s="196">
        <f t="shared" si="74"/>
        <v>1</v>
      </c>
      <c r="T198" s="190" t="str">
        <f t="shared" si="58"/>
        <v>Southbound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 t="shared" si="59"/>
        <v>https://d0f6bd738d7f1b3e5a7ca70fe4ff75f0.us-east-1.aws.found.io/app/kibana#/discover/Steve-Slow-Train-Analysis-(2080s-and-2083s)?_g=(refreshInterval:(display:Off,pause:!f,section:0,value:0),time:(from:'2017-05-20T02:19:29-0600',mode:absolute,to:'2017-05-20T04:32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8" s="192" t="str">
        <f t="shared" si="60"/>
        <v>Y</v>
      </c>
      <c r="X198" s="192">
        <f t="shared" si="72"/>
        <v>1</v>
      </c>
      <c r="Y198" s="192">
        <f t="shared" si="61"/>
        <v>2.3247</v>
      </c>
      <c r="Z198" s="192">
        <f t="shared" si="62"/>
        <v>1.67E-2</v>
      </c>
      <c r="AA198" s="192">
        <f t="shared" si="63"/>
        <v>2.3079999999999998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64"/>
        <v>0304-20</v>
      </c>
      <c r="AE198" s="80" t="str">
        <f t="shared" si="65"/>
        <v>aws s3 cp s3://rtdc.mdm.uploadarchive.raw/RTDC4009/ "%USERPROFILE%\AppData\Local\Temp\OnboardLogs"\RTDC4009\2017-05-20 --exclude "*" --recursive --include "*20170520*" &amp; "%USERPROFILE%\Documents\GitHub\mrs-test-scripts\Headless Mode &amp; Sideloading\WalkAndUnGZ.bat" "%USERPROFILE%\AppData\Local\Temp\OnboardLogs"\RTDC4009\2017-05-20 &amp; aws s3 cp s3://rtdc.mdm.uploadarchive.raw/RTDC4009/ "%USERPROFILE%\AppData\Local\Temp\OnboardLogs"\RTDC4009\2017-05-21 --exclude "*" --recursive --include "*20170521*" &amp; "%USERPROFILE%\Documents\GitHub\mrs-test-scripts\Headless Mode &amp; Sideloading\WalkAndUnGZ.bat" "%USERPROFILE%\AppData\Local\Temp\OnboardLogs"\RTDC4009\2017-05-21</v>
      </c>
      <c r="AF198" s="77" t="str">
        <f t="shared" si="66"/>
        <v>"C:\Program Files (x86)\AstroGrep\AstroGrep.exe" /e /r /s /spath="%USERPROFILE%\AppData\Local\Temp\OnboardLogs" /stypes="app*4009*20170520*" /stext=" 09:.+((SYSTEM_STATE.+slice.+state.+changed )|(ment ac)|(multiple cpu faults)|(system.+state.+changed )|(\[timeout)|(PRM\|1\|D)|(kpr)|(kdp)|(train st.+moving)|(\|lc)|(penalty))"</v>
      </c>
      <c r="AG198" s="1" t="str">
        <f t="shared" si="67"/>
        <v>Other</v>
      </c>
      <c r="AH198" s="81" t="str">
        <f t="shared" si="52"/>
        <v>"%USERPROFILE%\Documents\GitHub\eaglep3\Utilities\RefineRTDCRunTimes.py" --tripid 304-20 --locoid 4009 --swversion DE.1.0.9.0 --startMP 300:23247 --initTime 2017-05-20T03:19:29 --startdatetime 2017-05-20T03:23:26 --delay 3 --endMP 204:167 --enddatetime 2017-05-20T03:32:59 --enforcementcount 0 &gt;&gt;C:\Users\stu\Documents\GitHub\eaglep3-reporting\EC\2017-05-20-refined-times.txt</v>
      </c>
      <c r="AI198" s="99" t="str">
        <f t="shared" si="53"/>
        <v>echo {"issue":{"subject":"","project_id":79,"tracker_id":40,"status_id":1,"priority_id":2,"assigned_to_id":23,"start_date":"2017-05-20","description":"","custom_fields":[{"id":1,"name":"Subdivision","value":"Other"},{"id":4,"name":"Milepost","value":"0.0167"},{"id":17,"name":"Train ID","value":"304-20"},{"id":16,"name":"Locomotive ID","value":"4009"},{"id":130,"name":"Impact","value":""},{"id":150,"name":"Time of Event (Mountain Time)","value":"03:32:59"},{"id":151,"name":"Denver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54"/>
        <v>start /low /b %USERPROFILE%\Documents\GitHub\eaglep3\Utilities\DownloadLogsFromS3.py --loco 4009 --day 2017-05-20</v>
      </c>
      <c r="AN198" s="154" t="str">
        <f t="shared" si="55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09:32:59"},{"id":29,"name":"Sharepoint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2" t="s">
        <v>799</v>
      </c>
      <c r="B199" s="7">
        <v>4008</v>
      </c>
      <c r="C199" s="21" t="s">
        <v>206</v>
      </c>
      <c r="D199" s="21" t="s">
        <v>352</v>
      </c>
      <c r="E199" s="13">
        <v>42875.797442129631</v>
      </c>
      <c r="F199" s="13">
        <v>42875.801516203705</v>
      </c>
      <c r="G199" s="7">
        <v>1</v>
      </c>
      <c r="H199" s="21" t="s">
        <v>361</v>
      </c>
      <c r="I199" s="13">
        <v>42875.808356481481</v>
      </c>
      <c r="J199" s="7">
        <v>0</v>
      </c>
      <c r="K199" s="92" t="str">
        <f t="shared" si="56"/>
        <v>4007/4008</v>
      </c>
      <c r="L199" s="21" t="str">
        <f>VLOOKUP(A199,'Trips&amp;Operators'!$C$1:$G$99999,5,FALSE)</f>
        <v>ROMERO CHAD</v>
      </c>
      <c r="M199" s="6">
        <f t="shared" si="57"/>
        <v>6.8402777760638855E-3</v>
      </c>
      <c r="N199" s="7">
        <f t="shared" si="73"/>
        <v>9.8499999975319952</v>
      </c>
      <c r="O199" s="7"/>
      <c r="P199" s="7"/>
      <c r="Q199" s="22"/>
      <c r="R199" s="190"/>
      <c r="S199" s="196">
        <f t="shared" si="74"/>
        <v>1</v>
      </c>
      <c r="T199" s="190" t="str">
        <f t="shared" si="58"/>
        <v>NorthBound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 t="shared" si="59"/>
        <v>https://d0f6bd738d7f1b3e5a7ca70fe4ff75f0.us-east-1.aws.found.io/app/kibana#/discover/Steve-Slow-Train-Analysis-(2080s-and-2083s)?_g=(refreshInterval:(display:Off,pause:!f,section:0,value:0),time:(from:'2017-05-20T18:08:19-0600',mode:absolute,to:'2017-05-20T20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9" s="192" t="str">
        <f t="shared" si="60"/>
        <v>Y</v>
      </c>
      <c r="X199" s="192">
        <f t="shared" si="72"/>
        <v>1</v>
      </c>
      <c r="Y199" s="192">
        <f t="shared" si="61"/>
        <v>4.4600000000000001E-2</v>
      </c>
      <c r="Z199" s="192">
        <f t="shared" si="62"/>
        <v>2.3346</v>
      </c>
      <c r="AA199" s="192">
        <f t="shared" si="63"/>
        <v>2.29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64"/>
        <v>0305-20</v>
      </c>
      <c r="AE199" s="80" t="str">
        <f t="shared" si="65"/>
        <v>aws s3 cp s3://rtdc.mdm.uploadarchive.raw/RTDC4008/ "%USERPROFILE%\AppData\Local\Temp\OnboardLogs"\RTDC4008\2017-05-20 --exclude "*" --recursive --include "*20170520*" &amp; "%USERPROFILE%\Documents\GitHub\mrs-test-scripts\Headless Mode &amp; Sideloading\WalkAndUnGZ.bat" "%USERPROFILE%\AppData\Local\Temp\OnboardLogs"\RTDC4008\2017-05-20 &amp; aws s3 cp s3://rtdc.mdm.uploadarchive.raw/RTDC4008/ "%USERPROFILE%\AppData\Local\Temp\OnboardLogs"\RTDC4008\2017-05-21 --exclude "*" --recursive --include "*20170521*" &amp; "%USERPROFILE%\Documents\GitHub\mrs-test-scripts\Headless Mode &amp; Sideloading\WalkAndUnGZ.bat" "%USERPROFILE%\AppData\Local\Temp\OnboardLogs"\RTDC4008\2017-05-21</v>
      </c>
      <c r="AF199" s="77" t="str">
        <f t="shared" si="66"/>
        <v>"C:\Program Files (x86)\AstroGrep\AstroGrep.exe" /e /r /s /spath="%USERPROFILE%\AppData\Local\Temp\OnboardLogs" /stypes="app*4008*20170521*" /stext=" 01:.+((SYSTEM_STATE.+slice.+state.+changed )|(ment ac)|(multiple cpu faults)|(system.+state.+changed )|(\[timeout)|(PRM\|1\|D)|(kpr)|(kdp)|(train st.+moving)|(\|lc)|(penalty))"</v>
      </c>
      <c r="AG199" s="1" t="str">
        <f t="shared" si="67"/>
        <v>Other</v>
      </c>
      <c r="AH199" s="81" t="str">
        <f t="shared" si="52"/>
        <v>"%USERPROFILE%\Documents\GitHub\eaglep3\Utilities\RefineRTDCRunTimes.py" --tripid 305-20 --locoid 4008 --swversion DE.1.0.9.0 --startMP 204:446 --initTime 2017-05-20T19:08:19 --startdatetime 2017-05-20T19:14:11 --delay 1 --endMP 300:23346 --enddatetime 2017-05-20T19:24:02 --enforcementcount 0 &gt;&gt;C:\Users\stu\Documents\GitHub\eaglep3-reporting\EC\2017-05-20-refined-times.txt</v>
      </c>
      <c r="AI199" s="99" t="str">
        <f t="shared" si="53"/>
        <v>echo {"issue":{"subject":"","project_id":79,"tracker_id":40,"status_id":1,"priority_id":2,"assigned_to_id":23,"start_date":"2017-05-20","description":"","custom_fields":[{"id":1,"name":"Subdivision","value":"Other"},{"id":4,"name":"Milepost","value":"2.3346"},{"id":17,"name":"Train ID","value":"305-20"},{"id":16,"name":"Locomotive ID","value":"4008"},{"id":130,"name":"Impact","value":""},{"id":150,"name":"Time of Event (Mountain Time)","value":"19:24:02"},{"id":151,"name":"Denver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54"/>
        <v>start /low /b %USERPROFILE%\Documents\GitHub\eaglep3\Utilities\DownloadLogsFromS3.py --loco 4008 --day 2017-05-20</v>
      </c>
      <c r="AN199" s="154" t="str">
        <f t="shared" si="55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01:24:02"},{"id":29,"name":"Sharepoint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2" t="s">
        <v>660</v>
      </c>
      <c r="B200" s="7">
        <v>4055</v>
      </c>
      <c r="C200" s="21" t="s">
        <v>206</v>
      </c>
      <c r="D200" s="21" t="s">
        <v>979</v>
      </c>
      <c r="E200" s="13">
        <v>42875.162037037036</v>
      </c>
      <c r="F200" s="13">
        <v>42875.164884259262</v>
      </c>
      <c r="G200" s="7">
        <v>4</v>
      </c>
      <c r="H200" s="21" t="s">
        <v>369</v>
      </c>
      <c r="I200" s="13">
        <v>42875.170451388891</v>
      </c>
      <c r="J200" s="7">
        <v>0</v>
      </c>
      <c r="K200" s="92" t="str">
        <f t="shared" si="56"/>
        <v>4055/4056</v>
      </c>
      <c r="L200" s="21" t="str">
        <f>VLOOKUP(A200,'Trips&amp;Operators'!$C$1:$G$99999,5,FALSE)</f>
        <v>MAELZER KURT</v>
      </c>
      <c r="M200" s="6">
        <f t="shared" si="57"/>
        <v>5.5671296286163852E-3</v>
      </c>
      <c r="N200" s="7">
        <f t="shared" si="73"/>
        <v>8.0166666652075946</v>
      </c>
      <c r="O200" s="7"/>
      <c r="P200" s="7"/>
      <c r="Q200" s="22"/>
      <c r="R200" s="190"/>
      <c r="S200" s="196">
        <f t="shared" si="74"/>
        <v>1</v>
      </c>
      <c r="T200" s="190" t="str">
        <f t="shared" si="58"/>
        <v>Southbound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 t="shared" si="59"/>
        <v>https://d0f6bd738d7f1b3e5a7ca70fe4ff75f0.us-east-1.aws.found.io/app/kibana#/discover/Steve-Slow-Train-Analysis-(2080s-and-2083s)?_g=(refreshInterval:(display:Off,pause:!f,section:0,value:0),time:(from:'2017-05-20T02:53:20-0600',mode:absolute,to:'2017-05-20T05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0" s="192" t="str">
        <f t="shared" si="60"/>
        <v>Y</v>
      </c>
      <c r="X200" s="192">
        <f t="shared" si="72"/>
        <v>1</v>
      </c>
      <c r="Y200" s="192">
        <f t="shared" si="61"/>
        <v>2.2008999999999999</v>
      </c>
      <c r="Z200" s="192">
        <f t="shared" si="62"/>
        <v>1.47E-2</v>
      </c>
      <c r="AA200" s="192">
        <f t="shared" si="63"/>
        <v>2.1861999999999999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64"/>
        <v>0306-20</v>
      </c>
      <c r="AE200" s="80" t="str">
        <f t="shared" si="65"/>
        <v>aws s3 cp s3://rtdc.mdm.uploadarchive.raw/RTDC4055/ "%USERPROFILE%\AppData\Local\Temp\OnboardLogs"\RTDC4055\2017-05-20 --exclude "*" --recursive --include "*20170520*" &amp; "%USERPROFILE%\Documents\GitHub\mrs-test-scripts\Headless Mode &amp; Sideloading\WalkAndUnGZ.bat" "%USERPROFILE%\AppData\Local\Temp\OnboardLogs"\RTDC4055\2017-05-20 &amp; aws s3 cp s3://rtdc.mdm.uploadarchive.raw/RTDC4055/ "%USERPROFILE%\AppData\Local\Temp\OnboardLogs"\RTDC4055\2017-05-21 --exclude "*" --recursive --include "*20170521*" &amp; "%USERPROFILE%\Documents\GitHub\mrs-test-scripts\Headless Mode &amp; Sideloading\WalkAndUnGZ.bat" "%USERPROFILE%\AppData\Local\Temp\OnboardLogs"\RTDC4055\2017-05-21</v>
      </c>
      <c r="AF200" s="77" t="str">
        <f t="shared" si="66"/>
        <v>"C:\Program Files (x86)\AstroGrep\AstroGrep.exe" /e /r /s /spath="%USERPROFILE%\AppData\Local\Temp\OnboardLogs" /stypes="app*4055*20170520*" /stext=" 10:.+((SYSTEM_STATE.+slice.+state.+changed )|(ment ac)|(multiple cpu faults)|(system.+state.+changed )|(\[timeout)|(PRM\|1\|D)|(kpr)|(kdp)|(train st.+moving)|(\|lc)|(penalty))"</v>
      </c>
      <c r="AG200" s="1" t="str">
        <f t="shared" si="67"/>
        <v>Other</v>
      </c>
      <c r="AH200" s="81" t="str">
        <f t="shared" si="52"/>
        <v>"%USERPROFILE%\Documents\GitHub\eaglep3\Utilities\RefineRTDCRunTimes.py" --tripid 306-20 --locoid 4055 --swversion DE.1.0.9.0 --startMP 300:22009 --initTime 2017-05-20T03:53:20 --startdatetime 2017-05-20T03:57:26 --delay 4 --endMP 204:147 --enddatetime 2017-05-20T04:05:27 --enforcementcount 0 &gt;&gt;C:\Users\stu\Documents\GitHub\eaglep3-reporting\EC\2017-05-20-refined-times.txt</v>
      </c>
      <c r="AI200" s="99" t="str">
        <f t="shared" si="53"/>
        <v>echo {"issue":{"subject":"","project_id":79,"tracker_id":40,"status_id":1,"priority_id":2,"assigned_to_id":23,"start_date":"2017-05-20","description":"","custom_fields":[{"id":1,"name":"Subdivision","value":"Other"},{"id":4,"name":"Milepost","value":"0.0147"},{"id":17,"name":"Train ID","value":"306-20"},{"id":16,"name":"Locomotive ID","value":"4055"},{"id":130,"name":"Impact","value":""},{"id":150,"name":"Time of Event (Mountain Time)","value":"04:05:27"},{"id":151,"name":"Denver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54"/>
        <v>start /low /b %USERPROFILE%\Documents\GitHub\eaglep3\Utilities\DownloadLogsFromS3.py --loco 4055 --day 2017-05-20</v>
      </c>
      <c r="AN200" s="154" t="str">
        <f t="shared" si="55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10:05:27"},{"id":29,"name":"Sharepoint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2" t="s">
        <v>660</v>
      </c>
      <c r="B201" s="7">
        <v>4055</v>
      </c>
      <c r="C201" s="21" t="s">
        <v>206</v>
      </c>
      <c r="D201" s="21" t="s">
        <v>980</v>
      </c>
      <c r="E201" s="13">
        <v>42875.162037037036</v>
      </c>
      <c r="F201" s="13">
        <v>42875.164884259262</v>
      </c>
      <c r="G201" s="7">
        <v>4</v>
      </c>
      <c r="H201" s="21" t="s">
        <v>369</v>
      </c>
      <c r="I201" s="13">
        <v>42875.170451388891</v>
      </c>
      <c r="J201" s="7">
        <v>0</v>
      </c>
      <c r="K201" s="92" t="str">
        <f t="shared" si="56"/>
        <v>4055/4056</v>
      </c>
      <c r="L201" s="21" t="str">
        <f>VLOOKUP(A201,'Trips&amp;Operators'!$C$1:$G$99999,5,FALSE)</f>
        <v>MAELZER KURT</v>
      </c>
      <c r="M201" s="6">
        <f t="shared" si="57"/>
        <v>5.5671296286163852E-3</v>
      </c>
      <c r="N201" s="7">
        <f t="shared" si="73"/>
        <v>8.0166666652075946</v>
      </c>
      <c r="O201" s="7"/>
      <c r="P201" s="7"/>
      <c r="Q201" s="22"/>
      <c r="R201" s="190"/>
      <c r="S201" s="196">
        <f t="shared" si="74"/>
        <v>1</v>
      </c>
      <c r="T201" s="190" t="str">
        <f t="shared" si="58"/>
        <v>Southbound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 t="shared" si="59"/>
        <v>https://d0f6bd738d7f1b3e5a7ca70fe4ff75f0.us-east-1.aws.found.io/app/kibana#/discover/Steve-Slow-Train-Analysis-(2080s-and-2083s)?_g=(refreshInterval:(display:Off,pause:!f,section:0,value:0),time:(from:'2017-05-20T02:53:20-0600',mode:absolute,to:'2017-05-20T05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1" s="192" t="str">
        <f t="shared" si="60"/>
        <v>Y</v>
      </c>
      <c r="X201" s="192">
        <f t="shared" si="72"/>
        <v>0</v>
      </c>
      <c r="Y201" s="192">
        <f t="shared" si="61"/>
        <v>2.3222</v>
      </c>
      <c r="Z201" s="192">
        <f t="shared" si="62"/>
        <v>1.47E-2</v>
      </c>
      <c r="AA201" s="192">
        <f t="shared" si="63"/>
        <v>2.3075000000000001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64"/>
        <v>0306-20</v>
      </c>
      <c r="AE201" s="80" t="str">
        <f t="shared" si="65"/>
        <v>aws s3 cp s3://rtdc.mdm.uploadarchive.raw/RTDC4055/ "%USERPROFILE%\AppData\Local\Temp\OnboardLogs"\RTDC4055\2017-05-20 --exclude "*" --recursive --include "*20170520*" &amp; "%USERPROFILE%\Documents\GitHub\mrs-test-scripts\Headless Mode &amp; Sideloading\WalkAndUnGZ.bat" "%USERPROFILE%\AppData\Local\Temp\OnboardLogs"\RTDC4055\2017-05-20 &amp; aws s3 cp s3://rtdc.mdm.uploadarchive.raw/RTDC4055/ "%USERPROFILE%\AppData\Local\Temp\OnboardLogs"\RTDC4055\2017-05-21 --exclude "*" --recursive --include "*20170521*" &amp; "%USERPROFILE%\Documents\GitHub\mrs-test-scripts\Headless Mode &amp; Sideloading\WalkAndUnGZ.bat" "%USERPROFILE%\AppData\Local\Temp\OnboardLogs"\RTDC4055\2017-05-21</v>
      </c>
      <c r="AF201" s="77" t="str">
        <f t="shared" si="66"/>
        <v>"C:\Program Files (x86)\AstroGrep\AstroGrep.exe" /e /r /s /spath="%USERPROFILE%\AppData\Local\Temp\OnboardLogs" /stypes="app*4055*20170520*" /stext=" 10:.+((SYSTEM_STATE.+slice.+state.+changed )|(ment ac)|(multiple cpu faults)|(system.+state.+changed )|(\[timeout)|(PRM\|1\|D)|(kpr)|(kdp)|(train st.+moving)|(\|lc)|(penalty))"</v>
      </c>
      <c r="AG201" s="1" t="str">
        <f t="shared" si="67"/>
        <v>Other</v>
      </c>
      <c r="AH201" s="81" t="str">
        <f t="shared" ref="AH201:AH232" si="75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306-20 --locoid 4055 --swversion DE.1.0.9.0 --startMP 300:23222 --initTime 2017-05-20T03:53:20 --startdatetime 2017-05-20T03:57:26 --delay 4 --endMP 204:147 --enddatetime 2017-05-20T04:05:27 --enforcementcount 0 &gt;&gt;C:\Users\stu\Documents\GitHub\eaglep3-reporting\EC\2017-05-20-refined-times.txt</v>
      </c>
      <c r="AI201" s="99" t="str">
        <f t="shared" ref="AI201:AI232" si="76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{"issue":{"subject":"","project_id":79,"tracker_id":40,"status_id":1,"priority_id":2,"assigned_to_id":23,"start_date":"2017-05-20","description":"","custom_fields":[{"id":1,"name":"Subdivision","value":"Other"},{"id":4,"name":"Milepost","value":"0.0147"},{"id":17,"name":"Train ID","value":"306-20"},{"id":16,"name":"Locomotive ID","value":"4055"},{"id":130,"name":"Impact","value":""},{"id":150,"name":"Time of Event (Mountain Time)","value":"04:05:27"},{"id":151,"name":"Denver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ref="AM201:AM232" si="77">"start /low /b "&amp;dls3logs&amp;" --loco "&amp;B201&amp;" --day "&amp;TEXT(F201,"YYYY-MM-DD")</f>
        <v>start /low /b %USERPROFILE%\Documents\GitHub\eaglep3\Utilities\DownloadLogsFromS3.py --loco 4055 --day 2017-05-20</v>
      </c>
      <c r="AN201" s="154" t="str">
        <f t="shared" ref="AN201:AN232" si="78">"echo {""issue"":{""subject"":"""&amp;R201&amp;""",""project_id"":30,""tracker_id"":4,""status_id"":"&amp;redmine_status_wcr&amp;",""priority_id"":"&amp;redmine_priority_wcr&amp;",""assigned_to_id"":"&amp;redmine_assignee_wcr&amp;",""start_date"":"""&amp;TEXT(I201-utc_offset/24,"YYYY-mm-dd")&amp;""",""description"":"""&amp;AJ201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10:05:27"},{"id":29,"name":"Sharepoint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2" t="s">
        <v>803</v>
      </c>
      <c r="B202" s="7">
        <v>4010</v>
      </c>
      <c r="C202" s="21" t="s">
        <v>206</v>
      </c>
      <c r="D202" s="21" t="s">
        <v>981</v>
      </c>
      <c r="E202" s="13">
        <v>42875.821446759262</v>
      </c>
      <c r="F202" s="13">
        <v>42875.830706018518</v>
      </c>
      <c r="G202" s="7">
        <v>1</v>
      </c>
      <c r="H202" s="21" t="s">
        <v>361</v>
      </c>
      <c r="I202" s="13">
        <v>42875.838819444441</v>
      </c>
      <c r="J202" s="7">
        <v>0</v>
      </c>
      <c r="K202" s="92" t="str">
        <f t="shared" si="56"/>
        <v>4009/4010</v>
      </c>
      <c r="L202" s="21" t="str">
        <f>VLOOKUP(A202,'Trips&amp;Operators'!$C$1:$G$99999,5,FALSE)</f>
        <v>MOSES BRADLEY</v>
      </c>
      <c r="M202" s="6">
        <f t="shared" si="57"/>
        <v>8.1134259235113859E-3</v>
      </c>
      <c r="N202" s="7">
        <f t="shared" si="73"/>
        <v>11.683333329856396</v>
      </c>
      <c r="O202" s="7"/>
      <c r="P202" s="7"/>
      <c r="Q202" s="22"/>
      <c r="R202" s="190"/>
      <c r="S202" s="196">
        <f t="shared" si="74"/>
        <v>1</v>
      </c>
      <c r="T202" s="190" t="str">
        <f t="shared" si="58"/>
        <v>NorthBound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1" t="str">
        <f t="shared" si="59"/>
        <v>https://d0f6bd738d7f1b3e5a7ca70fe4ff75f0.us-east-1.aws.found.io/app/kibana#/discover/Steve-Slow-Train-Analysis-(2080s-and-2083s)?_g=(refreshInterval:(display:Off,pause:!f,section:0,value:0),time:(from:'2017-05-20T18:42:53-0600',mode:absolute,to:'2017-05-20T21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2" s="192" t="str">
        <f t="shared" si="60"/>
        <v>Y</v>
      </c>
      <c r="X202" s="192">
        <f t="shared" si="72"/>
        <v>1</v>
      </c>
      <c r="Y202" s="192">
        <f t="shared" si="61"/>
        <v>4.3700000000000003E-2</v>
      </c>
      <c r="Z202" s="192">
        <f t="shared" si="62"/>
        <v>2.3346</v>
      </c>
      <c r="AA202" s="192">
        <f t="shared" si="63"/>
        <v>2.2909000000000002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64"/>
        <v>0307-20</v>
      </c>
      <c r="AE202" s="80" t="str">
        <f t="shared" si="65"/>
        <v>aws s3 cp s3://rtdc.mdm.uploadarchive.raw/RTDC4010/ "%USERPROFILE%\AppData\Local\Temp\OnboardLogs"\RTDC4010\2017-05-20 --exclude "*" --recursive --include "*20170520*" &amp; "%USERPROFILE%\Documents\GitHub\mrs-test-scripts\Headless Mode &amp; Sideloading\WalkAndUnGZ.bat" "%USERPROFILE%\AppData\Local\Temp\OnboardLogs"\RTDC4010\2017-05-20 &amp; aws s3 cp s3://rtdc.mdm.uploadarchive.raw/RTDC4010/ "%USERPROFILE%\AppData\Local\Temp\OnboardLogs"\RTDC4010\2017-05-21 --exclude "*" --recursive --include "*20170521*" &amp; "%USERPROFILE%\Documents\GitHub\mrs-test-scripts\Headless Mode &amp; Sideloading\WalkAndUnGZ.bat" "%USERPROFILE%\AppData\Local\Temp\OnboardLogs"\RTDC4010\2017-05-21</v>
      </c>
      <c r="AF202" s="77" t="str">
        <f t="shared" si="66"/>
        <v>"C:\Program Files (x86)\AstroGrep\AstroGrep.exe" /e /r /s /spath="%USERPROFILE%\AppData\Local\Temp\OnboardLogs" /stypes="app*4010*20170521*" /stext=" 02:.+((SYSTEM_STATE.+slice.+state.+changed )|(ment ac)|(multiple cpu faults)|(system.+state.+changed )|(\[timeout)|(PRM\|1\|D)|(kpr)|(kdp)|(train st.+moving)|(\|lc)|(penalty))"</v>
      </c>
      <c r="AG202" s="1" t="str">
        <f t="shared" si="67"/>
        <v>Other</v>
      </c>
      <c r="AH202" s="81" t="str">
        <f t="shared" si="75"/>
        <v>"%USERPROFILE%\Documents\GitHub\eaglep3\Utilities\RefineRTDCRunTimes.py" --tripid 307-20 --locoid 4010 --swversion DE.1.0.9.0 --startMP 204:437 --initTime 2017-05-20T19:42:53 --startdatetime 2017-05-20T19:56:13 --delay 1 --endMP 300:23346 --enddatetime 2017-05-20T20:07:54 --enforcementcount 0 &gt;&gt;C:\Users\stu\Documents\GitHub\eaglep3-reporting\EC\2017-05-20-refined-times.txt</v>
      </c>
      <c r="AI202" s="99" t="str">
        <f t="shared" si="76"/>
        <v>echo {"issue":{"subject":"","project_id":79,"tracker_id":40,"status_id":1,"priority_id":2,"assigned_to_id":23,"start_date":"2017-05-20","description":"","custom_fields":[{"id":1,"name":"Subdivision","value":"Other"},{"id":4,"name":"Milepost","value":"2.3346"},{"id":17,"name":"Train ID","value":"307-20"},{"id":16,"name":"Locomotive ID","value":"4010"},{"id":130,"name":"Impact","value":""},{"id":150,"name":"Time of Event (Mountain Time)","value":"20:07:54"},{"id":151,"name":"Denver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77"/>
        <v>start /low /b %USERPROFILE%\Documents\GitHub\eaglep3\Utilities\DownloadLogsFromS3.py --loco 4010 --day 2017-05-20</v>
      </c>
      <c r="AN202" s="154" t="str">
        <f t="shared" si="78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02:07:54"},{"id":29,"name":"Sharepoint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2" t="s">
        <v>667</v>
      </c>
      <c r="B203" s="7">
        <v>4021</v>
      </c>
      <c r="C203" s="21" t="s">
        <v>206</v>
      </c>
      <c r="D203" s="21" t="s">
        <v>982</v>
      </c>
      <c r="E203" s="13">
        <v>42875.174675925926</v>
      </c>
      <c r="F203" s="13">
        <v>42875.17765046296</v>
      </c>
      <c r="G203" s="7">
        <v>4</v>
      </c>
      <c r="H203" s="21" t="s">
        <v>363</v>
      </c>
      <c r="I203" s="13">
        <v>42875.182974537034</v>
      </c>
      <c r="J203" s="7">
        <v>0</v>
      </c>
      <c r="K203" s="92" t="str">
        <f t="shared" si="56"/>
        <v>4021/4022</v>
      </c>
      <c r="L203" s="21" t="str">
        <f>VLOOKUP(A203,'Trips&amp;Operators'!$C$1:$G$99999,5,FALSE)</f>
        <v>DAVIS WENDY</v>
      </c>
      <c r="M203" s="6">
        <f t="shared" si="57"/>
        <v>5.324074074451346E-3</v>
      </c>
      <c r="N203" s="7">
        <f t="shared" si="73"/>
        <v>7.6666666672099382</v>
      </c>
      <c r="O203" s="7"/>
      <c r="P203" s="7"/>
      <c r="Q203" s="22"/>
      <c r="R203" s="190"/>
      <c r="S203" s="196">
        <f t="shared" si="74"/>
        <v>1</v>
      </c>
      <c r="T203" s="190" t="str">
        <f t="shared" si="58"/>
        <v>Southbound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 t="shared" si="59"/>
        <v>https://d0f6bd738d7f1b3e5a7ca70fe4ff75f0.us-east-1.aws.found.io/app/kibana#/discover/Steve-Slow-Train-Analysis-(2080s-and-2083s)?_g=(refreshInterval:(display:Off,pause:!f,section:0,value:0),time:(from:'2017-05-20T03:11:32-0600',mode:absolute,to:'2017-05-20T05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3" s="192" t="str">
        <f t="shared" si="60"/>
        <v>Y</v>
      </c>
      <c r="X203" s="192">
        <f t="shared" si="72"/>
        <v>1</v>
      </c>
      <c r="Y203" s="192">
        <f t="shared" si="61"/>
        <v>2.2065999999999999</v>
      </c>
      <c r="Z203" s="192">
        <f t="shared" si="62"/>
        <v>1.5599999999999999E-2</v>
      </c>
      <c r="AA203" s="192">
        <f t="shared" si="63"/>
        <v>2.1909999999999998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64"/>
        <v>0308-20</v>
      </c>
      <c r="AE203" s="80" t="str">
        <f t="shared" si="65"/>
        <v>aws s3 cp s3://rtdc.mdm.uploadarchive.raw/RTDC4021/ "%USERPROFILE%\AppData\Local\Temp\OnboardLogs"\RTDC4021\2017-05-20 --exclude "*" --recursive --include "*20170520*" &amp; "%USERPROFILE%\Documents\GitHub\mrs-test-scripts\Headless Mode &amp; Sideloading\WalkAndUnGZ.bat" "%USERPROFILE%\AppData\Local\Temp\OnboardLogs"\RTDC4021\2017-05-20 &amp; aws s3 cp s3://rtdc.mdm.uploadarchive.raw/RTDC4021/ "%USERPROFILE%\AppData\Local\Temp\OnboardLogs"\RTDC4021\2017-05-21 --exclude "*" --recursive --include "*20170521*" &amp; "%USERPROFILE%\Documents\GitHub\mrs-test-scripts\Headless Mode &amp; Sideloading\WalkAndUnGZ.bat" "%USERPROFILE%\AppData\Local\Temp\OnboardLogs"\RTDC4021\2017-05-21</v>
      </c>
      <c r="AF203" s="77" t="str">
        <f t="shared" si="66"/>
        <v>"C:\Program Files (x86)\AstroGrep\AstroGrep.exe" /e /r /s /spath="%USERPROFILE%\AppData\Local\Temp\OnboardLogs" /stypes="app*4021*20170520*" /stext=" 10:.+((SYSTEM_STATE.+slice.+state.+changed )|(ment ac)|(multiple cpu faults)|(system.+state.+changed )|(\[timeout)|(PRM\|1\|D)|(kpr)|(kdp)|(train st.+moving)|(\|lc)|(penalty))"</v>
      </c>
      <c r="AG203" s="1" t="str">
        <f t="shared" si="67"/>
        <v>Other</v>
      </c>
      <c r="AH203" s="81" t="str">
        <f t="shared" si="75"/>
        <v>"%USERPROFILE%\Documents\GitHub\eaglep3\Utilities\RefineRTDCRunTimes.py" --tripid 308-20 --locoid 4021 --swversion DE.1.0.9.0 --startMP 300:22066 --initTime 2017-05-20T04:11:32 --startdatetime 2017-05-20T04:15:49 --delay 4 --endMP 204:156 --enddatetime 2017-05-20T04:23:29 --enforcementcount 0 &gt;&gt;C:\Users\stu\Documents\GitHub\eaglep3-reporting\EC\2017-05-20-refined-times.txt</v>
      </c>
      <c r="AI203" s="99" t="str">
        <f t="shared" si="76"/>
        <v>echo {"issue":{"subject":"","project_id":79,"tracker_id":40,"status_id":1,"priority_id":2,"assigned_to_id":23,"start_date":"2017-05-20","description":"","custom_fields":[{"id":1,"name":"Subdivision","value":"Other"},{"id":4,"name":"Milepost","value":"0.0156"},{"id":17,"name":"Train ID","value":"308-20"},{"id":16,"name":"Locomotive ID","value":"4021"},{"id":130,"name":"Impact","value":""},{"id":150,"name":"Time of Event (Mountain Time)","value":"04:23:29"},{"id":151,"name":"Denver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77"/>
        <v>start /low /b %USERPROFILE%\Documents\GitHub\eaglep3\Utilities\DownloadLogsFromS3.py --loco 4021 --day 2017-05-20</v>
      </c>
      <c r="AN203" s="154" t="str">
        <f t="shared" si="78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10:23:29"},{"id":29,"name":"Sharepoint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2" t="s">
        <v>822</v>
      </c>
      <c r="B204" s="7">
        <v>4026</v>
      </c>
      <c r="C204" s="21" t="s">
        <v>206</v>
      </c>
      <c r="D204" s="21" t="s">
        <v>359</v>
      </c>
      <c r="E204" s="13">
        <v>42876.047708333332</v>
      </c>
      <c r="F204" s="13">
        <v>42876.049826388888</v>
      </c>
      <c r="G204" s="7">
        <v>1</v>
      </c>
      <c r="H204" s="21" t="s">
        <v>573</v>
      </c>
      <c r="I204" s="13">
        <v>42876.060520833336</v>
      </c>
      <c r="J204" s="7">
        <v>0</v>
      </c>
      <c r="K204" s="92" t="str">
        <f t="shared" si="56"/>
        <v>4025/4026</v>
      </c>
      <c r="L204" s="21" t="str">
        <f>VLOOKUP(A204,'Trips&amp;Operators'!$C$1:$G$99999,5,FALSE)</f>
        <v>SMITH MICHAEL</v>
      </c>
      <c r="M204" s="6">
        <f t="shared" si="57"/>
        <v>1.0694444448745344E-2</v>
      </c>
      <c r="N204" s="7">
        <f t="shared" si="73"/>
        <v>15.400000006193295</v>
      </c>
      <c r="O204" s="7"/>
      <c r="P204" s="7"/>
      <c r="Q204" s="22"/>
      <c r="R204" s="190"/>
      <c r="S204" s="196">
        <f t="shared" si="74"/>
        <v>1</v>
      </c>
      <c r="T204" s="190" t="str">
        <f t="shared" si="58"/>
        <v>NorthBound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 t="shared" si="59"/>
        <v>https://d0f6bd738d7f1b3e5a7ca70fe4ff75f0.us-east-1.aws.found.io/app/kibana#/discover/Steve-Slow-Train-Analysis-(2080s-and-2083s)?_g=(refreshInterval:(display:Off,pause:!f,section:0,value:0),time:(from:'2017-05-21T00:08:42-0600',mode:absolute,to:'2017-05-21T02:27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4" s="192" t="str">
        <f t="shared" si="60"/>
        <v>Y</v>
      </c>
      <c r="X204" s="192">
        <f t="shared" si="72"/>
        <v>1</v>
      </c>
      <c r="Y204" s="192">
        <f t="shared" si="61"/>
        <v>4.6600000000000003E-2</v>
      </c>
      <c r="Z204" s="192">
        <f t="shared" si="62"/>
        <v>2.3294999999999999</v>
      </c>
      <c r="AA204" s="192">
        <f t="shared" si="63"/>
        <v>2.2828999999999997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64"/>
        <v>0309-20</v>
      </c>
      <c r="AE204" s="80" t="str">
        <f t="shared" si="65"/>
        <v>aws s3 cp s3://rtdc.mdm.uploadarchive.raw/RTDC4026/ "%USERPROFILE%\AppData\Local\Temp\OnboardLogs"\RTDC4026\2017-05-21 --exclude "*" --recursive --include "*20170521*" &amp; "%USERPROFILE%\Documents\GitHub\mrs-test-scripts\Headless Mode &amp; Sideloading\WalkAndUnGZ.bat" "%USERPROFILE%\AppData\Local\Temp\OnboardLogs"\RTDC4026\2017-05-21 &amp; aws s3 cp s3://rtdc.mdm.uploadarchive.raw/RTDC4026/ "%USERPROFILE%\AppData\Local\Temp\OnboardLogs"\RTDC4026\2017-05-22 --exclude "*" --recursive --include "*20170522*" &amp; "%USERPROFILE%\Documents\GitHub\mrs-test-scripts\Headless Mode &amp; Sideloading\WalkAndUnGZ.bat" "%USERPROFILE%\AppData\Local\Temp\OnboardLogs"\RTDC4026\2017-05-22</v>
      </c>
      <c r="AF204" s="77" t="str">
        <f t="shared" si="66"/>
        <v>"C:\Program Files (x86)\AstroGrep\AstroGrep.exe" /e /r /s /spath="%USERPROFILE%\AppData\Local\Temp\OnboardLogs" /stypes="app*4026*20170521*" /stext=" 07:.+((SYSTEM_STATE.+slice.+state.+changed )|(ment ac)|(multiple cpu faults)|(system.+state.+changed )|(\[timeout)|(PRM\|1\|D)|(kpr)|(kdp)|(train st.+moving)|(\|lc)|(penalty))"</v>
      </c>
      <c r="AG204" s="1" t="str">
        <f t="shared" si="67"/>
        <v>Other</v>
      </c>
      <c r="AH204" s="81" t="str">
        <f t="shared" si="75"/>
        <v>"%USERPROFILE%\Documents\GitHub\eaglep3\Utilities\RefineRTDCRunTimes.py" --tripid 309-20 --locoid 4026 --swversion DE.1.0.9.0 --startMP 204:466 --initTime 2017-05-21T01:08:42 --startdatetime 2017-05-21T01:11:45 --delay 1 --endMP 300:23295 --enddatetime 2017-05-21T01:27:09 --enforcementcount 0 &gt;&gt;C:\Users\stu\Documents\GitHub\eaglep3-reporting\EC\2017-05-20-refined-times.txt</v>
      </c>
      <c r="AI204" s="99" t="str">
        <f t="shared" si="76"/>
        <v>echo {"issue":{"subject":"","project_id":79,"tracker_id":40,"status_id":1,"priority_id":2,"assigned_to_id":23,"start_date":"2017-05-21","description":"","custom_fields":[{"id":1,"name":"Subdivision","value":"Other"},{"id":4,"name":"Milepost","value":"2.3295"},{"id":17,"name":"Train ID","value":"309-20"},{"id":16,"name":"Locomotive ID","value":"4026"},{"id":130,"name":"Impact","value":""},{"id":150,"name":"Time of Event (Mountain Time)","value":"01:27:09"},{"id":151,"name":"Denver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77"/>
        <v>start /low /b %USERPROFILE%\Documents\GitHub\eaglep3\Utilities\DownloadLogsFromS3.py --loco 4026 --day 2017-05-21</v>
      </c>
      <c r="AN204" s="154" t="str">
        <f t="shared" si="78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07:27:09"},{"id":29,"name":"Sharepoint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x14ac:dyDescent="0.25">
      <c r="A205" s="32" t="s">
        <v>668</v>
      </c>
      <c r="B205" s="7">
        <v>4001</v>
      </c>
      <c r="C205" s="21" t="s">
        <v>206</v>
      </c>
      <c r="D205" s="21" t="s">
        <v>983</v>
      </c>
      <c r="E205" s="13">
        <v>42875.178078703706</v>
      </c>
      <c r="F205" s="13">
        <v>42875.182581018518</v>
      </c>
      <c r="G205" s="7">
        <v>6</v>
      </c>
      <c r="H205" s="21" t="s">
        <v>984</v>
      </c>
      <c r="I205" s="13">
        <v>42875.187303240738</v>
      </c>
      <c r="J205" s="7">
        <v>0</v>
      </c>
      <c r="K205" s="92" t="str">
        <f t="shared" ref="K205:K232" si="79">IF(ISEVEN(B205),(B205-1)&amp;"/"&amp;B205,B205&amp;"/"&amp;(B205+1))</f>
        <v>4001/4002</v>
      </c>
      <c r="L205" s="21" t="str">
        <f>VLOOKUP(A205,'Trips&amp;Operators'!$C$1:$G$99999,5,FALSE)</f>
        <v>SANTIZO D. EDY</v>
      </c>
      <c r="M205" s="6">
        <f t="shared" ref="M205:M232" si="80">I205-F205</f>
        <v>4.7222222201526165E-3</v>
      </c>
      <c r="N205" s="7">
        <f t="shared" si="73"/>
        <v>6.7999999970197678</v>
      </c>
      <c r="O205" s="7"/>
      <c r="P205" s="7"/>
      <c r="Q205" s="22"/>
      <c r="R205" s="190"/>
      <c r="S205" s="196">
        <f t="shared" si="74"/>
        <v>1</v>
      </c>
      <c r="T205" s="190" t="str">
        <f t="shared" ref="T205:T232" si="81">IF(ISEVEN(LEFT(AD205,4)),"Southbound","NorthBound")</f>
        <v>Southbound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1" t="str">
        <f t="shared" ref="V205:V232" si="8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-05-20T03:16:26-0600',mode:absolute,to:'2017-05-20T05:29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5" s="192" t="str">
        <f t="shared" ref="W205:W232" si="83">IF(AA205&lt;IF(AG205="EC",23,5.65),"Y","N")</f>
        <v>Y</v>
      </c>
      <c r="X205" s="192">
        <f t="shared" ref="X205:X232" si="84">VALUE(LEFT(AD205,4))-VALUE(LEFT(AD204,4))</f>
        <v>1</v>
      </c>
      <c r="Y205" s="192">
        <f t="shared" ref="Y205:Y232" si="85">RIGHT(D205,LEN(D205)-4)/10000</f>
        <v>1.9511000000000001</v>
      </c>
      <c r="Z205" s="192">
        <f t="shared" ref="Z205:Z232" si="86">RIGHT(H205,LEN(H205)-4)/10000</f>
        <v>3.7999999999999999E-2</v>
      </c>
      <c r="AA205" s="192">
        <f t="shared" ref="AA205:AA268" si="87">ABS(Z205-Y205)</f>
        <v>1.9131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32" si="88">IF(LEN(A205)=6,"0"&amp;A205,A205)</f>
        <v>0310-20</v>
      </c>
      <c r="AE205" s="80" t="str">
        <f t="shared" ref="AE205:AE232" si="8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s3://rtdc.mdm.uploadarchive.raw/RTDC4001/ "%USERPROFILE%\AppData\Local\Temp\OnboardLogs"\RTDC4001\2017-05-20 --exclude "*" --recursive --include "*20170520*" &amp; "%USERPROFILE%\Documents\GitHub\mrs-test-scripts\Headless Mode &amp; Sideloading\WalkAndUnGZ.bat" "%USERPROFILE%\AppData\Local\Temp\OnboardLogs"\RTDC4001\2017-05-20 &amp; aws s3 cp s3://rtdc.mdm.uploadarchive.raw/RTDC4001/ "%USERPROFILE%\AppData\Local\Temp\OnboardLogs"\RTDC4001\2017-05-21 --exclude "*" --recursive --include "*20170521*" &amp; "%USERPROFILE%\Documents\GitHub\mrs-test-scripts\Headless Mode &amp; Sideloading\WalkAndUnGZ.bat" "%USERPROFILE%\AppData\Local\Temp\OnboardLogs"\RTDC4001\2017-05-21</v>
      </c>
      <c r="AF205" s="77" t="str">
        <f t="shared" ref="AF205:AF232" si="90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/stypes="app*4001*20170520*" /stext=" 10:.+((SYSTEM_STATE.+slice.+state.+changed )|(ment ac)|(multiple cpu faults)|(system.+state.+changed )|(\[timeout)|(PRM\|1\|D)|(kpr)|(kdp)|(train st.+moving)|(\|lc)|(penalty))"</v>
      </c>
      <c r="AG205" s="1" t="str">
        <f t="shared" ref="AG205:AG232" si="91">IFERROR(IF(VALUE(LEFT(AD205,2))&lt;=2,"EC",IF(OR(VALUE(LEFT(AD205,2))=8,VALUE(LEFT(AD205,2))=18),"NW","Other")),"Other")</f>
        <v>Other</v>
      </c>
      <c r="AH205" s="81" t="str">
        <f t="shared" si="75"/>
        <v>"%USERPROFILE%\Documents\GitHub\eaglep3\Utilities\RefineRTDCRunTimes.py" --tripid 310-20 --locoid 4001 --swversion DE.1.0.9.0 --startMP 300:19511 --initTime 2017-05-20T04:16:26 --startdatetime 2017-05-20T04:22:55 --delay 6 --endMP 204:380 --enddatetime 2017-05-20T04:29:43 --enforcementcount 0 &gt;&gt;C:\Users\stu\Documents\GitHub\eaglep3-reporting\EC\2017-05-20-refined-times.txt</v>
      </c>
      <c r="AI205" s="99" t="str">
        <f t="shared" si="76"/>
        <v>echo {"issue":{"subject":"","project_id":79,"tracker_id":40,"status_id":1,"priority_id":2,"assigned_to_id":23,"start_date":"2017-05-20","description":"","custom_fields":[{"id":1,"name":"Subdivision","value":"Other"},{"id":4,"name":"Milepost","value":"0.038"},{"id":17,"name":"Train ID","value":"310-20"},{"id":16,"name":"Locomotive ID","value":"4001"},{"id":130,"name":"Impact","value":""},{"id":150,"name":"Time of Event (Mountain Time)","value":"04:29:43"},{"id":151,"name":"Denver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77"/>
        <v>start /low /b %USERPROFILE%\Documents\GitHub\eaglep3\Utilities\DownloadLogsFromS3.py --loco 4001 --day 2017-05-20</v>
      </c>
      <c r="AN205" s="154" t="str">
        <f t="shared" si="78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10:29:43"},{"id":29,"name":"Sharepoint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2" t="s">
        <v>824</v>
      </c>
      <c r="B206" s="7">
        <v>4012</v>
      </c>
      <c r="C206" s="21" t="s">
        <v>206</v>
      </c>
      <c r="D206" s="21" t="s">
        <v>958</v>
      </c>
      <c r="E206" s="13">
        <v>42876.06689814815</v>
      </c>
      <c r="F206" s="13">
        <v>42876.068101851852</v>
      </c>
      <c r="G206" s="7">
        <v>1</v>
      </c>
      <c r="H206" s="21" t="s">
        <v>507</v>
      </c>
      <c r="I206" s="13">
        <v>25568.708333333332</v>
      </c>
      <c r="J206" s="7">
        <v>0</v>
      </c>
      <c r="K206" s="92" t="str">
        <f t="shared" si="79"/>
        <v>4011/4012</v>
      </c>
      <c r="L206" s="21" t="str">
        <f>VLOOKUP(A206,'Trips&amp;Operators'!$C$1:$G$99999,5,FALSE)</f>
        <v>STAMBAUGH JAMES</v>
      </c>
      <c r="M206" s="6">
        <f t="shared" si="80"/>
        <v>-17307.35976851852</v>
      </c>
      <c r="N206" s="7">
        <f t="shared" si="73"/>
        <v>-24922598.066666666</v>
      </c>
      <c r="O206" s="7"/>
      <c r="P206" s="7"/>
      <c r="Q206" s="22"/>
      <c r="R206" s="190"/>
      <c r="S206" s="196">
        <f t="shared" si="74"/>
        <v>1</v>
      </c>
      <c r="T206" s="190" t="str">
        <f t="shared" si="81"/>
        <v>NorthBound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1" t="str">
        <f t="shared" si="82"/>
        <v>https://d0f6bd738d7f1b3e5a7ca70fe4ff75f0.us-east-1.aws.found.io/app/kibana#/discover/Steve-Slow-Train-Analysis-(2080s-and-2083s)?_g=(refreshInterval:(display:Off,pause:!f,section:0,value:0),time:(from:'2017-05-21T00:36:20-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6" s="192" t="str">
        <f t="shared" si="83"/>
        <v>Y</v>
      </c>
      <c r="X206" s="192">
        <f t="shared" si="84"/>
        <v>1</v>
      </c>
      <c r="Y206" s="192">
        <f t="shared" si="85"/>
        <v>4.3299999999999998E-2</v>
      </c>
      <c r="Z206" s="192">
        <f t="shared" si="86"/>
        <v>2.3300999999999998</v>
      </c>
      <c r="AA206" s="192">
        <f t="shared" si="87"/>
        <v>2.2867999999999999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88"/>
        <v>0311-20</v>
      </c>
      <c r="AE206" s="80" t="str">
        <f t="shared" si="89"/>
        <v>aws s3 cp s3://rtdc.mdm.uploadarchive.raw/RTDC4012/ "%USERPROFILE%\AppData\Local\Temp\OnboardLogs"\RTDC4012\2017-05-21 --exclude "*" --recursive --include "*20170521*" &amp; "%USERPROFILE%\Documents\GitHub\mrs-test-scripts\Headless Mode &amp; Sideloading\WalkAndUnGZ.bat" "%USERPROFILE%\AppData\Local\Temp\OnboardLogs"\RTDC4012\2017-05-21 &amp; aws s3 cp s3://rtdc.mdm.uploadarchive.raw/RTDC4012/ "%USERPROFILE%\AppData\Local\Temp\OnboardLogs"\RTDC4012\2017-05-22 --exclude "*" --recursive --include "*20170522*" &amp; "%USERPROFILE%\Documents\GitHub\mrs-test-scripts\Headless Mode &amp; Sideloading\WalkAndUnGZ.bat" "%USERPROFILE%\AppData\Local\Temp\OnboardLogs"\RTDC4012\2017-05-22</v>
      </c>
      <c r="AF206" s="77" t="str">
        <f t="shared" si="90"/>
        <v>"C:\Program Files (x86)\AstroGrep\AstroGrep.exe" /e /r /s /spath="%USERPROFILE%\AppData\Local\Temp\OnboardLogs" /stypes="app*4012*19691231*" /stext=" 23:.+((SYSTEM_STATE.+slice.+state.+changed )|(ment ac)|(multiple cpu faults)|(system.+state.+changed )|(\[timeout)|(PRM\|1\|D)|(kpr)|(kdp)|(train st.+moving)|(\|lc)|(penalty))"</v>
      </c>
      <c r="AG206" s="1" t="str">
        <f t="shared" si="91"/>
        <v>Other</v>
      </c>
      <c r="AH206" s="81" t="str">
        <f t="shared" si="75"/>
        <v>"%USERPROFILE%\Documents\GitHub\eaglep3\Utilities\RefineRTDCRunTimes.py" --tripid 311-20 --locoid 4012 --swversion DE.1.0.9.0 --startMP 204:433 --initTime 2017-05-21T01:36:20 --startdatetime 2017-05-21T01:38:04 --delay 1 --endMP 300:23301 --enddatetime 1969-12-31T17:00:00 --enforcementcount 0 &gt;&gt;C:\Users\stu\Documents\GitHub\eaglep3-reporting\EC\2017-05-20-refined-times.txt</v>
      </c>
      <c r="AI206" s="99" t="str">
        <f t="shared" si="76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ID","value":"311-20"},{"id":16,"name":"Locomotive ID","value":"4012"},{"id":130,"name":"Impact","value":""},{"id":150,"name":"Time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77"/>
        <v>start /low /b %USERPROFILE%\Documents\GitHub\eaglep3\Utilities\DownloadLogsFromS3.py --loco 4012 --day 2017-05-21</v>
      </c>
      <c r="AN206" s="154" t="str">
        <f t="shared" si="78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2" t="s">
        <v>655</v>
      </c>
      <c r="B207" s="7">
        <v>4016</v>
      </c>
      <c r="C207" s="21" t="s">
        <v>206</v>
      </c>
      <c r="D207" s="21" t="s">
        <v>362</v>
      </c>
      <c r="E207" s="13">
        <v>42875.09</v>
      </c>
      <c r="F207" s="13">
        <v>42875.091608796298</v>
      </c>
      <c r="G207" s="7">
        <v>1</v>
      </c>
      <c r="H207" s="21" t="s">
        <v>361</v>
      </c>
      <c r="I207" s="13">
        <v>42875.100532407407</v>
      </c>
      <c r="J207" s="7">
        <v>0</v>
      </c>
      <c r="K207" s="92" t="str">
        <f t="shared" si="79"/>
        <v>4015/4016</v>
      </c>
      <c r="L207" s="21" t="str">
        <f>VLOOKUP(A207,'Trips&amp;Operators'!$C$1:$G$99999,5,FALSE)</f>
        <v>SWANSON BRYCE</v>
      </c>
      <c r="M207" s="6">
        <f t="shared" si="80"/>
        <v>8.923611108912155E-3</v>
      </c>
      <c r="N207" s="7">
        <f t="shared" si="73"/>
        <v>12.849999996833503</v>
      </c>
      <c r="O207" s="7"/>
      <c r="P207" s="7"/>
      <c r="Q207" s="22"/>
      <c r="R207" s="190"/>
      <c r="S207" s="196">
        <f t="shared" si="74"/>
        <v>1</v>
      </c>
      <c r="T207" s="190" t="str">
        <f t="shared" si="81"/>
        <v>NorthBound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1" t="str">
        <f t="shared" si="82"/>
        <v>https://d0f6bd738d7f1b3e5a7ca70fe4ff75f0.us-east-1.aws.found.io/app/kibana#/discover/Steve-Slow-Train-Analysis-(2080s-and-2083s)?_g=(refreshInterval:(display:Off,pause:!f,section:0,value:0),time:(from:'2017-05-20T01:09:36-0600',mode:absolute,to:'2017-05-20T03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7" s="192" t="str">
        <f t="shared" si="83"/>
        <v>Y</v>
      </c>
      <c r="X207" s="192">
        <f t="shared" si="84"/>
        <v>2</v>
      </c>
      <c r="Y207" s="192">
        <f t="shared" si="85"/>
        <v>4.6399999999999997E-2</v>
      </c>
      <c r="Z207" s="192">
        <f t="shared" si="86"/>
        <v>2.3346</v>
      </c>
      <c r="AA207" s="192">
        <f t="shared" si="87"/>
        <v>2.2881999999999998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88"/>
        <v>0313-19</v>
      </c>
      <c r="AE207" s="80" t="str">
        <f t="shared" si="89"/>
        <v>aws s3 cp s3://rtdc.mdm.uploadarchive.raw/RTDC4016/ "%USERPROFILE%\AppData\Local\Temp\OnboardLogs"\RTDC4016\2017-05-20 --exclude "*" --recursive --include "*20170520*" &amp; "%USERPROFILE%\Documents\GitHub\mrs-test-scripts\Headless Mode &amp; Sideloading\WalkAndUnGZ.bat" "%USERPROFILE%\AppData\Local\Temp\OnboardLogs"\RTDC4016\2017-05-20 &amp; aws s3 cp s3://rtdc.mdm.uploadarchive.raw/RTDC4016/ "%USERPROFILE%\AppData\Local\Temp\OnboardLogs"\RTDC4016\2017-05-21 --exclude "*" --recursive --include "*20170521*" &amp; "%USERPROFILE%\Documents\GitHub\mrs-test-scripts\Headless Mode &amp; Sideloading\WalkAndUnGZ.bat" "%USERPROFILE%\AppData\Local\Temp\OnboardLogs"\RTDC4016\2017-05-21</v>
      </c>
      <c r="AF207" s="77" t="str">
        <f t="shared" si="90"/>
        <v>"C:\Program Files (x86)\AstroGrep\AstroGrep.exe" /e /r /s /spath="%USERPROFILE%\AppData\Local\Temp\OnboardLogs" /stypes="app*4016*20170520*" /stext=" 08:.+((SYSTEM_STATE.+slice.+state.+changed )|(ment ac)|(multiple cpu faults)|(system.+state.+changed )|(\[timeout)|(PRM\|1\|D)|(kpr)|(kdp)|(train st.+moving)|(\|lc)|(penalty))"</v>
      </c>
      <c r="AG207" s="1" t="str">
        <f t="shared" si="91"/>
        <v>Other</v>
      </c>
      <c r="AH207" s="81" t="str">
        <f t="shared" si="75"/>
        <v>"%USERPROFILE%\Documents\GitHub\eaglep3\Utilities\RefineRTDCRunTimes.py" --tripid 313-19 --locoid 4016 --swversion DE.1.0.9.0 --startMP 204:464 --initTime 2017-05-20T02:09:36 --startdatetime 2017-05-20T02:11:55 --delay 1 --endMP 300:23346 --enddatetime 2017-05-20T02:24:46 --enforcementcount 0 &gt;&gt;C:\Users\stu\Documents\GitHub\eaglep3-reporting\EC\2017-05-20-refined-times.txt</v>
      </c>
      <c r="AI207" s="99" t="str">
        <f t="shared" si="76"/>
        <v>echo {"issue":{"subject":"","project_id":79,"tracker_id":40,"status_id":1,"priority_id":2,"assigned_to_id":23,"start_date":"2017-05-20","description":"","custom_fields":[{"id":1,"name":"Subdivision","value":"Other"},{"id":4,"name":"Milepost","value":"2.3346"},{"id":17,"name":"Train ID","value":"313-19"},{"id":16,"name":"Locomotive ID","value":"4016"},{"id":130,"name":"Impact","value":""},{"id":150,"name":"Time of Event (Mountain Time)","value":"02:24:46"},{"id":151,"name":"Denver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77"/>
        <v>start /low /b %USERPROFILE%\Documents\GitHub\eaglep3\Utilities\DownloadLogsFromS3.py --loco 4016 --day 2017-05-20</v>
      </c>
      <c r="AN207" s="154" t="str">
        <f t="shared" si="78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08:24:46"},{"id":29,"name":"Sharepoint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2" t="s">
        <v>826</v>
      </c>
      <c r="B208" s="7">
        <v>4022</v>
      </c>
      <c r="C208" s="21" t="s">
        <v>206</v>
      </c>
      <c r="D208" s="21" t="s">
        <v>856</v>
      </c>
      <c r="E208" s="13">
        <v>42876.090451388889</v>
      </c>
      <c r="F208" s="13">
        <v>42876.093090277776</v>
      </c>
      <c r="G208" s="7">
        <v>2</v>
      </c>
      <c r="H208" s="21" t="s">
        <v>361</v>
      </c>
      <c r="I208" s="13">
        <v>42876.102048611108</v>
      </c>
      <c r="J208" s="7">
        <v>0</v>
      </c>
      <c r="K208" s="92" t="str">
        <f t="shared" si="79"/>
        <v>4021/4022</v>
      </c>
      <c r="L208" s="21" t="str">
        <f>VLOOKUP(A208,'Trips&amp;Operators'!$C$1:$G$99999,5,FALSE)</f>
        <v>SWANSON BRYCE</v>
      </c>
      <c r="M208" s="6">
        <f t="shared" si="80"/>
        <v>8.9583333319751546E-3</v>
      </c>
      <c r="N208" s="7">
        <f t="shared" si="73"/>
        <v>12.899999998044223</v>
      </c>
      <c r="O208" s="7"/>
      <c r="P208" s="7"/>
      <c r="Q208" s="22"/>
      <c r="R208" s="190"/>
      <c r="S208" s="196">
        <f t="shared" si="74"/>
        <v>1</v>
      </c>
      <c r="T208" s="190" t="str">
        <f t="shared" si="81"/>
        <v>NorthBound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1" t="str">
        <f t="shared" si="82"/>
        <v>https://d0f6bd738d7f1b3e5a7ca70fe4ff75f0.us-east-1.aws.found.io/app/kibana#/discover/Steve-Slow-Train-Analysis-(2080s-and-2083s)?_g=(refreshInterval:(display:Off,pause:!f,section:0,value:0),time:(from:'2017-05-21T01:10:15-0600',mode:absolute,to:'2017-05-21T03:26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8" s="192" t="str">
        <f t="shared" si="83"/>
        <v>Y</v>
      </c>
      <c r="X208" s="192">
        <f t="shared" si="84"/>
        <v>0</v>
      </c>
      <c r="Y208" s="192">
        <f t="shared" si="85"/>
        <v>4.6699999999999998E-2</v>
      </c>
      <c r="Z208" s="192">
        <f t="shared" si="86"/>
        <v>2.3346</v>
      </c>
      <c r="AA208" s="192">
        <f t="shared" si="87"/>
        <v>2.2879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88"/>
        <v>0313-20</v>
      </c>
      <c r="AE208" s="80" t="str">
        <f t="shared" si="89"/>
        <v>aws s3 cp s3://rtdc.mdm.uploadarchive.raw/RTDC4022/ "%USERPROFILE%\AppData\Local\Temp\OnboardLogs"\RTDC4022\2017-05-21 --exclude "*" --recursive --include "*20170521*" &amp; "%USERPROFILE%\Documents\GitHub\mrs-test-scripts\Headless Mode &amp; Sideloading\WalkAndUnGZ.bat" "%USERPROFILE%\AppData\Local\Temp\OnboardLogs"\RTDC4022\2017-05-21 &amp; aws s3 cp s3://rtdc.mdm.uploadarchive.raw/RTDC4022/ "%USERPROFILE%\AppData\Local\Temp\OnboardLogs"\RTDC4022\2017-05-22 --exclude "*" --recursive --include "*20170522*" &amp; "%USERPROFILE%\Documents\GitHub\mrs-test-scripts\Headless Mode &amp; Sideloading\WalkAndUnGZ.bat" "%USERPROFILE%\AppData\Local\Temp\OnboardLogs"\RTDC4022\2017-05-22</v>
      </c>
      <c r="AF208" s="77" t="str">
        <f t="shared" si="90"/>
        <v>"C:\Program Files (x86)\AstroGrep\AstroGrep.exe" /e /r /s /spath="%USERPROFILE%\AppData\Local\Temp\OnboardLogs" /stypes="app*4022*20170521*" /stext=" 08:.+((SYSTEM_STATE.+slice.+state.+changed )|(ment ac)|(multiple cpu faults)|(system.+state.+changed )|(\[timeout)|(PRM\|1\|D)|(kpr)|(kdp)|(train st.+moving)|(\|lc)|(penalty))"</v>
      </c>
      <c r="AG208" s="1" t="str">
        <f t="shared" si="91"/>
        <v>Other</v>
      </c>
      <c r="AH208" s="81" t="str">
        <f t="shared" si="75"/>
        <v>"%USERPROFILE%\Documents\GitHub\eaglep3\Utilities\RefineRTDCRunTimes.py" --tripid 313-20 --locoid 4022 --swversion DE.1.0.9.0 --startMP 204:467 --initTime 2017-05-21T02:10:15 --startdatetime 2017-05-21T02:14:03 --delay 2 --endMP 300:23346 --enddatetime 2017-05-21T02:26:57 --enforcementcount 0 &gt;&gt;C:\Users\stu\Documents\GitHub\eaglep3-reporting\EC\2017-05-20-refined-times.txt</v>
      </c>
      <c r="AI208" s="99" t="str">
        <f t="shared" si="76"/>
        <v>echo {"issue":{"subject":"","project_id":79,"tracker_id":40,"status_id":1,"priority_id":2,"assigned_to_id":23,"start_date":"2017-05-21","description":"","custom_fields":[{"id":1,"name":"Subdivision","value":"Other"},{"id":4,"name":"Milepost","value":"2.3346"},{"id":17,"name":"Train ID","value":"313-20"},{"id":16,"name":"Locomotive ID","value":"4022"},{"id":130,"name":"Impact","value":""},{"id":150,"name":"Time of Event (Mountain Time)","value":"02:26:57"},{"id":151,"name":"Denver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77"/>
        <v>start /low /b %USERPROFILE%\Documents\GitHub\eaglep3\Utilities\DownloadLogsFromS3.py --loco 4022 --day 2017-05-21</v>
      </c>
      <c r="AN208" s="154" t="str">
        <f t="shared" si="78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08:26:57"},{"id":29,"name":"Sharepoint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827</v>
      </c>
      <c r="B209" s="7">
        <v>4014</v>
      </c>
      <c r="C209" s="21" t="s">
        <v>206</v>
      </c>
      <c r="D209" s="21" t="s">
        <v>360</v>
      </c>
      <c r="E209" s="13">
        <v>42876.109976851854</v>
      </c>
      <c r="F209" s="13">
        <v>42876.111493055556</v>
      </c>
      <c r="G209" s="7">
        <v>1</v>
      </c>
      <c r="H209" s="21" t="s">
        <v>361</v>
      </c>
      <c r="I209" s="13">
        <v>42876.120451388888</v>
      </c>
      <c r="J209" s="7">
        <v>0</v>
      </c>
      <c r="K209" s="92" t="str">
        <f t="shared" si="79"/>
        <v>4013/4014</v>
      </c>
      <c r="L209" s="21" t="str">
        <f>VLOOKUP(A209,'Trips&amp;Operators'!$C$1:$G$99999,5,FALSE)</f>
        <v>BROWN JACOB</v>
      </c>
      <c r="M209" s="6">
        <f t="shared" si="80"/>
        <v>8.9583333319751546E-3</v>
      </c>
      <c r="N209" s="7">
        <f t="shared" si="73"/>
        <v>12.899999998044223</v>
      </c>
      <c r="O209" s="7"/>
      <c r="P209" s="7"/>
      <c r="Q209" s="22"/>
      <c r="R209" s="190"/>
      <c r="S209" s="196">
        <f t="shared" si="74"/>
        <v>1</v>
      </c>
      <c r="T209" s="190" t="str">
        <f t="shared" si="81"/>
        <v>NorthBound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1" t="str">
        <f t="shared" si="82"/>
        <v>https://d0f6bd738d7f1b3e5a7ca70fe4ff75f0.us-east-1.aws.found.io/app/kibana#/discover/Steve-Slow-Train-Analysis-(2080s-and-2083s)?_g=(refreshInterval:(display:Off,pause:!f,section:0,value:0),time:(from:'2017-05-21T01:38:22-0600',mode:absolute,to:'2017-05-21T03:53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9" s="192" t="str">
        <f t="shared" si="83"/>
        <v>Y</v>
      </c>
      <c r="X209" s="192">
        <f t="shared" si="84"/>
        <v>2</v>
      </c>
      <c r="Y209" s="192">
        <f t="shared" si="85"/>
        <v>4.5100000000000001E-2</v>
      </c>
      <c r="Z209" s="192">
        <f t="shared" si="86"/>
        <v>2.3346</v>
      </c>
      <c r="AA209" s="192">
        <f t="shared" si="87"/>
        <v>2.2894999999999999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88"/>
        <v>0315-20</v>
      </c>
      <c r="AE209" s="80" t="str">
        <f t="shared" si="89"/>
        <v>aws s3 cp s3://rtdc.mdm.uploadarchive.raw/RTDC4014/ "%USERPROFILE%\AppData\Local\Temp\OnboardLogs"\RTDC4014\2017-05-21 --exclude "*" --recursive --include "*20170521*" &amp; "%USERPROFILE%\Documents\GitHub\mrs-test-scripts\Headless Mode &amp; Sideloading\WalkAndUnGZ.bat" "%USERPROFILE%\AppData\Local\Temp\OnboardLogs"\RTDC4014\2017-05-21 &amp; aws s3 cp s3://rtdc.mdm.uploadarchive.raw/RTDC4014/ "%USERPROFILE%\AppData\Local\Temp\OnboardLogs"\RTDC4014\2017-05-22 --exclude "*" --recursive --include "*20170522*" &amp; "%USERPROFILE%\Documents\GitHub\mrs-test-scripts\Headless Mode &amp; Sideloading\WalkAndUnGZ.bat" "%USERPROFILE%\AppData\Local\Temp\OnboardLogs"\RTDC4014\2017-05-22</v>
      </c>
      <c r="AF209" s="77" t="str">
        <f t="shared" si="90"/>
        <v>"C:\Program Files (x86)\AstroGrep\AstroGrep.exe" /e /r /s /spath="%USERPROFILE%\AppData\Local\Temp\OnboardLogs" /stypes="app*4014*20170521*" /stext=" 08:.+((SYSTEM_STATE.+slice.+state.+changed )|(ment ac)|(multiple cpu faults)|(system.+state.+changed )|(\[timeout)|(PRM\|1\|D)|(kpr)|(kdp)|(train st.+moving)|(\|lc)|(penalty))"</v>
      </c>
      <c r="AG209" s="1" t="str">
        <f t="shared" si="91"/>
        <v>Other</v>
      </c>
      <c r="AH209" s="81" t="str">
        <f t="shared" si="75"/>
        <v>"%USERPROFILE%\Documents\GitHub\eaglep3\Utilities\RefineRTDCRunTimes.py" --tripid 315-20 --locoid 4014 --swversion DE.1.0.9.0 --startMP 204:451 --initTime 2017-05-21T02:38:22 --startdatetime 2017-05-21T02:40:33 --delay 1 --endMP 300:23346 --enddatetime 2017-05-21T02:53:27 --enforcementcount 0 &gt;&gt;C:\Users\stu\Documents\GitHub\eaglep3-reporting\EC\2017-05-20-refined-times.txt</v>
      </c>
      <c r="AI209" s="99" t="str">
        <f t="shared" si="76"/>
        <v>echo {"issue":{"subject":"","project_id":79,"tracker_id":40,"status_id":1,"priority_id":2,"assigned_to_id":23,"start_date":"2017-05-21","description":"","custom_fields":[{"id":1,"name":"Subdivision","value":"Other"},{"id":4,"name":"Milepost","value":"2.3346"},{"id":17,"name":"Train ID","value":"315-20"},{"id":16,"name":"Locomotive ID","value":"4014"},{"id":130,"name":"Impact","value":""},{"id":150,"name":"Time of Event (Mountain Time)","value":"02:53:27"},{"id":151,"name":"Denver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77"/>
        <v>start /low /b %USERPROFILE%\Documents\GitHub\eaglep3\Utilities\DownloadLogsFromS3.py --loco 4014 --day 2017-05-21</v>
      </c>
      <c r="AN209" s="154" t="str">
        <f t="shared" si="78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08:53:27"},{"id":29,"name":"Sharepoint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s="20" customFormat="1" x14ac:dyDescent="0.25">
      <c r="A210" s="32" t="s">
        <v>676</v>
      </c>
      <c r="B210" s="7">
        <v>4006</v>
      </c>
      <c r="C210" s="21" t="s">
        <v>206</v>
      </c>
      <c r="D210" s="21" t="s">
        <v>938</v>
      </c>
      <c r="E210" s="13">
        <v>42875.222754629627</v>
      </c>
      <c r="F210" s="13">
        <v>42875.225902777776</v>
      </c>
      <c r="G210" s="7">
        <v>4</v>
      </c>
      <c r="H210" s="21" t="s">
        <v>578</v>
      </c>
      <c r="I210" s="13">
        <v>42875.231458333335</v>
      </c>
      <c r="J210" s="7">
        <v>0</v>
      </c>
      <c r="K210" s="92" t="str">
        <f t="shared" si="79"/>
        <v>4005/4006</v>
      </c>
      <c r="L210" s="21" t="str">
        <f>VLOOKUP(A210,'Trips&amp;Operators'!$C$1:$G$99999,5,FALSE)</f>
        <v>MACDONALD THOMAS</v>
      </c>
      <c r="M210" s="6">
        <f t="shared" si="80"/>
        <v>5.5555555591126904E-3</v>
      </c>
      <c r="N210" s="7">
        <f t="shared" si="73"/>
        <v>8.0000000051222742</v>
      </c>
      <c r="O210" s="7"/>
      <c r="P210" s="7"/>
      <c r="Q210" s="22"/>
      <c r="R210" s="190"/>
      <c r="S210" s="196">
        <f t="shared" si="74"/>
        <v>0</v>
      </c>
      <c r="T210" s="190" t="str">
        <f t="shared" si="81"/>
        <v>NorthBound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91" t="str">
        <f t="shared" si="82"/>
        <v>https://d0f6bd738d7f1b3e5a7ca70fe4ff75f0.us-east-1.aws.found.io/app/kibana#/discover/Steve-Slow-Train-Analysis-(2080s-and-2083s)?_g=(refreshInterval:(display:Off,pause:!f,section:0,value:0),time:(from:'2017-05-20T04:20:46-0600',mode:absolute,to:'2017-05-20T06:33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0" s="192" t="str">
        <f t="shared" si="83"/>
        <v>Y</v>
      </c>
      <c r="X210" s="192">
        <f t="shared" si="84"/>
        <v>1586</v>
      </c>
      <c r="Y210" s="192">
        <f t="shared" si="85"/>
        <v>2.9843999999999999</v>
      </c>
      <c r="Z210" s="192">
        <f t="shared" si="86"/>
        <v>5.8945999999999996</v>
      </c>
      <c r="AA210" s="192">
        <f t="shared" si="87"/>
        <v>2.9101999999999997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88"/>
        <v>1901-20</v>
      </c>
      <c r="AE210" s="80" t="str">
        <f t="shared" si="89"/>
        <v>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 &amp; aws s3 cp s3://rtdc.mdm.uploadarchive.raw/RTDC4006/ "%USERPROFILE%\AppData\Local\Temp\OnboardLogs"\RTDC4006\2017-05-21 --exclude "*" --recursive --include "*20170521*" &amp; "%USERPROFILE%\Documents\GitHub\mrs-test-scripts\Headless Mode &amp; Sideloading\WalkAndUnGZ.bat" "%USERPROFILE%\AppData\Local\Temp\OnboardLogs"\RTDC4006\2017-05-21</v>
      </c>
      <c r="AF210" s="77" t="str">
        <f t="shared" si="90"/>
        <v>"C:\Program Files (x86)\AstroGrep\AstroGrep.exe" /e /r /s /spath="%USERPROFILE%\AppData\Local\Temp\OnboardLogs" /stypes="app*4006*20170520*" /stext=" 11:.+((SYSTEM_STATE.+slice.+state.+changed )|(ment ac)|(multiple cpu faults)|(system.+state.+changed )|(\[timeout)|(PRM\|1\|D)|(kpr)|(kdp)|(train st.+moving)|(\|lc)|(penalty))"</v>
      </c>
      <c r="AG210" s="1" t="str">
        <f t="shared" si="91"/>
        <v>Other</v>
      </c>
      <c r="AH210" s="81" t="str">
        <f t="shared" si="75"/>
        <v>"%USERPROFILE%\Documents\GitHub\eaglep3\Utilities\RefineRTDCRunTimes.py" --tripid 1901-20 --locoid 4006 --swversion DE.1.0.9.0 --startMP 300:29844 --initTime 2017-05-20T05:20:46 --startdatetime 2017-05-20T05:25:18 --delay 4 --endMP 300:58946 --enddatetime 2017-05-20T05:33:18 --enforcementcount 0 &gt;&gt;C:\Users\stu\Documents\GitHub\eaglep3-reporting\EC\2017-05-20-refined-times.txt</v>
      </c>
      <c r="AI210" s="99" t="str">
        <f t="shared" si="76"/>
        <v>echo {"issue":{"subject":"","project_id":79,"tracker_id":40,"status_id":1,"priority_id":2,"assigned_to_id":23,"start_date":"2017-05-20","description":"","custom_fields":[{"id":1,"name":"Subdivision","value":"Other"},{"id":4,"name":"Milepost","value":"5.8946"},{"id":17,"name":"Train ID","value":"1901-20"},{"id":16,"name":"Locomotive ID","value":"4006"},{"id":130,"name":"Impact","value":""},{"id":150,"name":"Time of Event (Mountain Time)","value":"05:33:18"},{"id":151,"name":"Denver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0" s="47"/>
      <c r="AL210" s="47"/>
      <c r="AM210" s="145" t="str">
        <f t="shared" si="77"/>
        <v>start /low /b %USERPROFILE%\Documents\GitHub\eaglep3\Utilities\DownloadLogsFromS3.py --loco 4006 --day 2017-05-20</v>
      </c>
      <c r="AN210" s="154" t="str">
        <f t="shared" si="78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11:33:18"},{"id":29,"name":"Sharepoint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815</v>
      </c>
      <c r="B211" s="7">
        <v>4005</v>
      </c>
      <c r="C211" s="21" t="s">
        <v>206</v>
      </c>
      <c r="D211" s="21" t="s">
        <v>911</v>
      </c>
      <c r="E211" s="13">
        <v>42875.942916666667</v>
      </c>
      <c r="F211" s="13">
        <v>42875.944108796299</v>
      </c>
      <c r="G211" s="7">
        <v>1</v>
      </c>
      <c r="H211" s="21" t="s">
        <v>939</v>
      </c>
      <c r="I211" s="13">
        <v>42875.948680555557</v>
      </c>
      <c r="J211" s="7">
        <v>0</v>
      </c>
      <c r="K211" s="92" t="str">
        <f t="shared" si="79"/>
        <v>4005/4006</v>
      </c>
      <c r="L211" s="21" t="str">
        <f>VLOOKUP(A211,'Trips&amp;Operators'!$C$1:$G$99999,5,FALSE)</f>
        <v>HELVIE ADAM</v>
      </c>
      <c r="M211" s="6">
        <f t="shared" si="80"/>
        <v>4.5717592583969235E-3</v>
      </c>
      <c r="N211" s="7">
        <f t="shared" si="73"/>
        <v>6.5833333320915699</v>
      </c>
      <c r="O211" s="7"/>
      <c r="P211" s="7"/>
      <c r="Q211" s="22"/>
      <c r="R211" s="190"/>
      <c r="S211" s="196">
        <f t="shared" si="74"/>
        <v>0</v>
      </c>
      <c r="T211" s="190" t="str">
        <f t="shared" si="81"/>
        <v>Southbound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1" t="str">
        <f t="shared" si="82"/>
        <v>https://d0f6bd738d7f1b3e5a7ca70fe4ff75f0.us-east-1.aws.found.io/app/kibana#/discover/Steve-Slow-Train-Analysis-(2080s-and-2083s)?_g=(refreshInterval:(display:Off,pause:!f,section:0,value:0),time:(from:'2017-05-20T21:37:48-0600',mode:absolute,to:'2017-05-20T23:46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1" s="192" t="str">
        <f t="shared" si="83"/>
        <v>Y</v>
      </c>
      <c r="X211" s="192">
        <f t="shared" si="84"/>
        <v>1</v>
      </c>
      <c r="Y211" s="192">
        <f t="shared" si="85"/>
        <v>5.8611000000000004</v>
      </c>
      <c r="Z211" s="192">
        <f t="shared" si="86"/>
        <v>2.1770999999999998</v>
      </c>
      <c r="AA211" s="192">
        <f t="shared" si="87"/>
        <v>3.6840000000000006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88"/>
        <v>1902-20</v>
      </c>
      <c r="AE211" s="80" t="str">
        <f t="shared" si="89"/>
        <v>aws s3 cp s3://rtdc.mdm.uploadarchive.raw/RTDC4005/ "%USERPROFILE%\AppData\Local\Temp\OnboardLogs"\RTDC4005\2017-05-20 --exclude "*" --recursive --include "*20170520*" &amp; "%USERPROFILE%\Documents\GitHub\mrs-test-scripts\Headless Mode &amp; Sideloading\WalkAndUnGZ.bat" "%USERPROFILE%\AppData\Local\Temp\OnboardLogs"\RTDC4005\2017-05-20 &amp; aws s3 cp s3://rtdc.mdm.uploadarchive.raw/RTDC4005/ "%USERPROFILE%\AppData\Local\Temp\OnboardLogs"\RTDC4005\2017-05-21 --exclude "*" --recursive --include "*20170521*" &amp; "%USERPROFILE%\Documents\GitHub\mrs-test-scripts\Headless Mode &amp; Sideloading\WalkAndUnGZ.bat" "%USERPROFILE%\AppData\Local\Temp\OnboardLogs"\RTDC4005\2017-05-21</v>
      </c>
      <c r="AF211" s="77" t="str">
        <f t="shared" si="90"/>
        <v>"C:\Program Files (x86)\AstroGrep\AstroGrep.exe" /e /r /s /spath="%USERPROFILE%\AppData\Local\Temp\OnboardLogs" /stypes="app*4005*20170521*" /stext=" 04:.+((SYSTEM_STATE.+slice.+state.+changed )|(ment ac)|(multiple cpu faults)|(system.+state.+changed )|(\[timeout)|(PRM\|1\|D)|(kpr)|(kdp)|(train st.+moving)|(\|lc)|(penalty))"</v>
      </c>
      <c r="AG211" s="1" t="str">
        <f t="shared" si="91"/>
        <v>Other</v>
      </c>
      <c r="AH211" s="81" t="str">
        <f t="shared" si="75"/>
        <v>"%USERPROFILE%\Documents\GitHub\eaglep3\Utilities\RefineRTDCRunTimes.py" --tripid 1902-20 --locoid 4005 --swversion DE.1.0.9.0 --startMP 300:58611 --initTime 2017-05-20T22:37:48 --startdatetime 2017-05-20T22:39:31 --delay 1 --endMP 300:21771 --enddatetime 2017-05-20T22:46:06 --enforcementcount 0 &gt;&gt;C:\Users\stu\Documents\GitHub\eaglep3-reporting\EC\2017-05-20-refined-times.txt</v>
      </c>
      <c r="AI211" s="99" t="str">
        <f t="shared" si="76"/>
        <v>echo {"issue":{"subject":"","project_id":79,"tracker_id":40,"status_id":1,"priority_id":2,"assigned_to_id":23,"start_date":"2017-05-20","description":"","custom_fields":[{"id":1,"name":"Subdivision","value":"Other"},{"id":4,"name":"Milepost","value":"2.1771"},{"id":17,"name":"Train ID","value":"1902-20"},{"id":16,"name":"Locomotive ID","value":"4005"},{"id":130,"name":"Impact","value":""},{"id":150,"name":"Time of Event (Mountain Time)","value":"22:46:06"},{"id":151,"name":"Denver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77"/>
        <v>start /low /b %USERPROFILE%\Documents\GitHub\eaglep3\Utilities\DownloadLogsFromS3.py --loco 4005 --day 2017-05-20</v>
      </c>
      <c r="AN211" s="154" t="str">
        <f t="shared" si="78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04:46:06"},{"id":29,"name":"Sharepoint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716</v>
      </c>
      <c r="B212" s="7">
        <v>4013</v>
      </c>
      <c r="C212" s="21" t="s">
        <v>206</v>
      </c>
      <c r="D212" s="21" t="s">
        <v>985</v>
      </c>
      <c r="E212" s="13">
        <v>42875.398576388892</v>
      </c>
      <c r="F212" s="13">
        <v>42875.399861111109</v>
      </c>
      <c r="G212" s="7">
        <v>1</v>
      </c>
      <c r="H212" s="21" t="s">
        <v>986</v>
      </c>
      <c r="I212" s="13">
        <v>42875.405300925922</v>
      </c>
      <c r="J212" s="7">
        <v>0</v>
      </c>
      <c r="K212" s="92" t="str">
        <f t="shared" si="79"/>
        <v>4013/4014</v>
      </c>
      <c r="L212" s="21" t="str">
        <f>VLOOKUP(A212,'Trips&amp;Operators'!$C$1:$G$99999,5,FALSE)</f>
        <v>BEAM ROSS</v>
      </c>
      <c r="M212" s="6">
        <f t="shared" si="80"/>
        <v>5.4398148131440394E-3</v>
      </c>
      <c r="N212" s="7">
        <f t="shared" si="73"/>
        <v>7.8333333309274167</v>
      </c>
      <c r="O212" s="7"/>
      <c r="P212" s="7"/>
      <c r="Q212" s="22"/>
      <c r="R212" s="190"/>
      <c r="S212" s="196">
        <f t="shared" si="74"/>
        <v>0</v>
      </c>
      <c r="T212" s="190" t="e">
        <f t="shared" si="81"/>
        <v>#VALUE!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1" t="str">
        <f t="shared" si="82"/>
        <v>https://d0f6bd738d7f1b3e5a7ca70fe4ff75f0.us-east-1.aws.found.io/app/kibana#/discover/Steve-Slow-Train-Analysis-(2080s-and-2083s)?_g=(refreshInterval:(display:Off,pause:!f,section:0,value:0),time:(from:'2017-05-20T08:33:57-0600',mode:absolute,to:'2017-05-20T10:43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2" s="192" t="str">
        <f t="shared" si="83"/>
        <v>Y</v>
      </c>
      <c r="X212" s="192" t="e">
        <f t="shared" si="84"/>
        <v>#VALUE!</v>
      </c>
      <c r="Y212" s="192">
        <f t="shared" si="85"/>
        <v>3.0891999999999999</v>
      </c>
      <c r="Z212" s="192">
        <f t="shared" si="86"/>
        <v>0.11749999999999999</v>
      </c>
      <c r="AA212" s="192">
        <f t="shared" si="87"/>
        <v>2.9716999999999998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88"/>
        <v>50-20</v>
      </c>
      <c r="AE212" s="80" t="str">
        <f t="shared" si="89"/>
        <v>aws s3 cp s3://rtdc.mdm.uploadarchive.raw/RTDC4013/ "%USERPROFILE%\AppData\Local\Temp\OnboardLogs"\RTDC4013\2017-05-20 --exclude "*" --recursive --include "*20170520*" &amp; "%USERPROFILE%\Documents\GitHub\mrs-test-scripts\Headless Mode &amp; Sideloading\WalkAndUnGZ.bat" "%USERPROFILE%\AppData\Local\Temp\OnboardLogs"\RTDC4013\2017-05-20 &amp; aws s3 cp s3://rtdc.mdm.uploadarchive.raw/RTDC4013/ "%USERPROFILE%\AppData\Local\Temp\OnboardLogs"\RTDC4013\2017-05-21 --exclude "*" --recursive --include "*20170521*" &amp; "%USERPROFILE%\Documents\GitHub\mrs-test-scripts\Headless Mode &amp; Sideloading\WalkAndUnGZ.bat" "%USERPROFILE%\AppData\Local\Temp\OnboardLogs"\RTDC4013\2017-05-21</v>
      </c>
      <c r="AF212" s="77" t="str">
        <f t="shared" si="90"/>
        <v>"C:\Program Files (x86)\AstroGrep\AstroGrep.exe" /e /r /s /spath="%USERPROFILE%\AppData\Local\Temp\OnboardLogs" /stypes="app*4013*20170520*" /stext=" 15:.+((SYSTEM_STATE.+slice.+state.+changed )|(ment ac)|(multiple cpu faults)|(system.+state.+changed )|(\[timeout)|(PRM\|1\|D)|(kpr)|(kdp)|(train st.+moving)|(\|lc)|(penalty))"</v>
      </c>
      <c r="AG212" s="1" t="str">
        <f t="shared" si="91"/>
        <v>Other</v>
      </c>
      <c r="AH212" s="81" t="str">
        <f t="shared" si="75"/>
        <v>"%USERPROFILE%\Documents\GitHub\eaglep3\Utilities\RefineRTDCRunTimes.py" --tripid 50-20 --locoid 4013 --swversion DE.1.0.9.0 --startMP 300:30892 --initTime 2017-05-20T09:33:57 --startdatetime 2017-05-20T09:35:48 --delay 1 --endMP 204:1175 --enddatetime 2017-05-20T09:43:38 --enforcementcount 0 &gt;&gt;C:\Users\stu\Documents\GitHub\eaglep3-reporting\EC\2017-05-20-refined-times.txt</v>
      </c>
      <c r="AI212" s="99" t="str">
        <f t="shared" si="76"/>
        <v>echo {"issue":{"subject":"","project_id":79,"tracker_id":40,"status_id":1,"priority_id":2,"assigned_to_id":23,"start_date":"2017-05-20","description":"","custom_fields":[{"id":1,"name":"Subdivision","value":"Other"},{"id":4,"name":"Milepost","value":"0.1175"},{"id":17,"name":"Train ID","value":"50-20"},{"id":16,"name":"Locomotive ID","value":"4013"},{"id":130,"name":"Impact","value":""},{"id":150,"name":"Time of Event (Mountain Time)","value":"09:43:38"},{"id":151,"name":"Denver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77"/>
        <v>start /low /b %USERPROFILE%\Documents\GitHub\eaglep3\Utilities\DownloadLogsFromS3.py --loco 4013 --day 2017-05-20</v>
      </c>
      <c r="AN212" s="154" t="str">
        <f t="shared" si="78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15:43:38"},{"id":29,"name":"Sharepoint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681</v>
      </c>
      <c r="B213" s="7">
        <v>4055</v>
      </c>
      <c r="C213" s="21" t="s">
        <v>206</v>
      </c>
      <c r="D213" s="21" t="s">
        <v>987</v>
      </c>
      <c r="E213" s="13">
        <v>42875.257222222222</v>
      </c>
      <c r="F213" s="13">
        <v>42875.25849537037</v>
      </c>
      <c r="G213" s="7">
        <v>1</v>
      </c>
      <c r="H213" s="21" t="s">
        <v>988</v>
      </c>
      <c r="I213" s="13">
        <v>42875.259467592594</v>
      </c>
      <c r="J213" s="7">
        <v>0</v>
      </c>
      <c r="K213" s="92" t="str">
        <f t="shared" si="79"/>
        <v>4055/4056</v>
      </c>
      <c r="L213" s="21" t="str">
        <f>VLOOKUP(A213,'Trips&amp;Operators'!$C$1:$G$99999,5,FALSE)</f>
        <v>BEAM ROSS</v>
      </c>
      <c r="M213" s="6">
        <f t="shared" si="80"/>
        <v>9.7222222393611446E-4</v>
      </c>
      <c r="N213" s="7">
        <f t="shared" si="73"/>
        <v>1.4000000024680048</v>
      </c>
      <c r="O213" s="7"/>
      <c r="P213" s="7"/>
      <c r="Q213" s="22"/>
      <c r="R213" s="190"/>
      <c r="S213" s="196">
        <f t="shared" si="74"/>
        <v>0</v>
      </c>
      <c r="T213" s="190" t="e">
        <f t="shared" si="81"/>
        <v>#VALUE!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1" t="str">
        <f t="shared" si="82"/>
        <v>https://d0f6bd738d7f1b3e5a7ca70fe4ff75f0.us-east-1.aws.found.io/app/kibana#/discover/Steve-Slow-Train-Analysis-(2080s-and-2083s)?_g=(refreshInterval:(display:Off,pause:!f,section:0,value:0),time:(from:'2017-05-20T05:10:24-0600',mode:absolute,to:'2017-05-20T07:13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3" s="192" t="str">
        <f t="shared" si="83"/>
        <v>Y</v>
      </c>
      <c r="X213" s="192" t="e">
        <f t="shared" si="84"/>
        <v>#VALUE!</v>
      </c>
      <c r="Y213" s="192">
        <f t="shared" si="85"/>
        <v>0.30430000000000001</v>
      </c>
      <c r="Z213" s="192">
        <f t="shared" si="86"/>
        <v>0.1179</v>
      </c>
      <c r="AA213" s="192">
        <f t="shared" si="87"/>
        <v>0.18640000000000001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88"/>
        <v>51-20</v>
      </c>
      <c r="AE213" s="80" t="str">
        <f t="shared" si="89"/>
        <v>aws s3 cp s3://rtdc.mdm.uploadarchive.raw/RTDC4055/ "%USERPROFILE%\AppData\Local\Temp\OnboardLogs"\RTDC4055\2017-05-20 --exclude "*" --recursive --include "*20170520*" &amp; "%USERPROFILE%\Documents\GitHub\mrs-test-scripts\Headless Mode &amp; Sideloading\WalkAndUnGZ.bat" "%USERPROFILE%\AppData\Local\Temp\OnboardLogs"\RTDC4055\2017-05-20 &amp; aws s3 cp s3://rtdc.mdm.uploadarchive.raw/RTDC4055/ "%USERPROFILE%\AppData\Local\Temp\OnboardLogs"\RTDC4055\2017-05-21 --exclude "*" --recursive --include "*20170521*" &amp; "%USERPROFILE%\Documents\GitHub\mrs-test-scripts\Headless Mode &amp; Sideloading\WalkAndUnGZ.bat" "%USERPROFILE%\AppData\Local\Temp\OnboardLogs"\RTDC4055\2017-05-21</v>
      </c>
      <c r="AF213" s="77" t="str">
        <f t="shared" si="90"/>
        <v>"C:\Program Files (x86)\AstroGrep\AstroGrep.exe" /e /r /s /spath="%USERPROFILE%\AppData\Local\Temp\OnboardLogs" /stypes="app*4055*20170520*" /stext=" 12:.+((SYSTEM_STATE.+slice.+state.+changed )|(ment ac)|(multiple cpu faults)|(system.+state.+changed )|(\[timeout)|(PRM\|1\|D)|(kpr)|(kdp)|(train st.+moving)|(\|lc)|(penalty))"</v>
      </c>
      <c r="AG213" s="1" t="str">
        <f t="shared" si="91"/>
        <v>Other</v>
      </c>
      <c r="AH213" s="81" t="str">
        <f t="shared" si="75"/>
        <v>"%USERPROFILE%\Documents\GitHub\eaglep3\Utilities\RefineRTDCRunTimes.py" --tripid 51-20 --locoid 4055 --swversion DE.1.0.9.0 --startMP 204:3043 --initTime 2017-05-20T06:10:24 --startdatetime 2017-05-20T06:12:14 --delay 1 --endMP 204:1179 --enddatetime 2017-05-20T06:13:38 --enforcementcount 0 &gt;&gt;C:\Users\stu\Documents\GitHub\eaglep3-reporting\EC\2017-05-20-refined-times.txt</v>
      </c>
      <c r="AI213" s="99" t="str">
        <f t="shared" si="76"/>
        <v>echo {"issue":{"subject":"","project_id":79,"tracker_id":40,"status_id":1,"priority_id":2,"assigned_to_id":23,"start_date":"2017-05-20","description":"","custom_fields":[{"id":1,"name":"Subdivision","value":"Other"},{"id":4,"name":"Milepost","value":"0.1179"},{"id":17,"name":"Train ID","value":"51-20"},{"id":16,"name":"Locomotive ID","value":"4055"},{"id":130,"name":"Impact","value":""},{"id":150,"name":"Time of Event (Mountain Time)","value":"06:13:38"},{"id":151,"name":"Denver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77"/>
        <v>start /low /b %USERPROFILE%\Documents\GitHub\eaglep3\Utilities\DownloadLogsFromS3.py --loco 4055 --day 2017-05-20</v>
      </c>
      <c r="AN213" s="154" t="str">
        <f t="shared" si="78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12:13:38"},{"id":29,"name":"Sharepoint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681</v>
      </c>
      <c r="B214" s="7">
        <v>4056</v>
      </c>
      <c r="C214" s="21" t="s">
        <v>206</v>
      </c>
      <c r="D214" s="21" t="s">
        <v>347</v>
      </c>
      <c r="E214" s="13">
        <v>42875.249456018515</v>
      </c>
      <c r="F214" s="13">
        <v>42875.25849537037</v>
      </c>
      <c r="G214" s="7">
        <v>1</v>
      </c>
      <c r="H214" s="21" t="s">
        <v>989</v>
      </c>
      <c r="I214" s="13">
        <v>42875.259467592594</v>
      </c>
      <c r="J214" s="7">
        <v>0</v>
      </c>
      <c r="K214" s="92" t="str">
        <f t="shared" si="79"/>
        <v>4055/4056</v>
      </c>
      <c r="L214" s="21" t="str">
        <f>VLOOKUP(A214,'Trips&amp;Operators'!$C$1:$G$99999,5,FALSE)</f>
        <v>BEAM ROSS</v>
      </c>
      <c r="M214" s="6">
        <f t="shared" si="80"/>
        <v>9.7222222393611446E-4</v>
      </c>
      <c r="N214" s="7">
        <f t="shared" si="73"/>
        <v>1.4000000024680048</v>
      </c>
      <c r="O214" s="7"/>
      <c r="P214" s="7"/>
      <c r="Q214" s="22"/>
      <c r="R214" s="190"/>
      <c r="S214" s="196">
        <f t="shared" si="74"/>
        <v>0</v>
      </c>
      <c r="T214" s="190" t="e">
        <f t="shared" si="81"/>
        <v>#VALUE!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1" t="str">
        <f t="shared" si="82"/>
        <v>https://d0f6bd738d7f1b3e5a7ca70fe4ff75f0.us-east-1.aws.found.io/app/kibana#/discover/Steve-Slow-Train-Analysis-(2080s-and-2083s)?_g=(refreshInterval:(display:Off,pause:!f,section:0,value:0),time:(from:'2017-05-20T04:59:13-0600',mode:absolute,to:'2017-05-20T07:13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4" s="192" t="str">
        <f t="shared" si="83"/>
        <v>Y</v>
      </c>
      <c r="X214" s="192" t="e">
        <f t="shared" si="84"/>
        <v>#VALUE!</v>
      </c>
      <c r="Y214" s="192">
        <f t="shared" si="85"/>
        <v>4.4900000000000002E-2</v>
      </c>
      <c r="Z214" s="192">
        <f t="shared" si="86"/>
        <v>0.33610000000000001</v>
      </c>
      <c r="AA214" s="192">
        <f t="shared" si="87"/>
        <v>0.29120000000000001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88"/>
        <v>51-20</v>
      </c>
      <c r="AE214" s="80" t="str">
        <f t="shared" si="89"/>
        <v>aws s3 cp s3://rtdc.mdm.uploadarchive.raw/RTDC4056/ "%USERPROFILE%\AppData\Local\Temp\OnboardLogs"\RTDC4056\2017-05-20 --exclude "*" --recursive --include "*20170520*" &amp; "%USERPROFILE%\Documents\GitHub\mrs-test-scripts\Headless Mode &amp; Sideloading\WalkAndUnGZ.bat" "%USERPROFILE%\AppData\Local\Temp\OnboardLogs"\RTDC4056\2017-05-20 &amp; aws s3 cp s3://rtdc.mdm.uploadarchive.raw/RTDC4056/ "%USERPROFILE%\AppData\Local\Temp\OnboardLogs"\RTDC4056\2017-05-21 --exclude "*" --recursive --include "*20170521*" &amp; "%USERPROFILE%\Documents\GitHub\mrs-test-scripts\Headless Mode &amp; Sideloading\WalkAndUnGZ.bat" "%USERPROFILE%\AppData\Local\Temp\OnboardLogs"\RTDC4056\2017-05-21</v>
      </c>
      <c r="AF214" s="77" t="str">
        <f t="shared" si="90"/>
        <v>"C:\Program Files (x86)\AstroGrep\AstroGrep.exe" /e /r /s /spath="%USERPROFILE%\AppData\Local\Temp\OnboardLogs" /stypes="app*4056*20170520*" /stext=" 12:.+((SYSTEM_STATE.+slice.+state.+changed )|(ment ac)|(multiple cpu faults)|(system.+state.+changed )|(\[timeout)|(PRM\|1\|D)|(kpr)|(kdp)|(train st.+moving)|(\|lc)|(penalty))"</v>
      </c>
      <c r="AG214" s="1" t="str">
        <f t="shared" si="91"/>
        <v>Other</v>
      </c>
      <c r="AH214" s="81" t="str">
        <f t="shared" si="75"/>
        <v>"%USERPROFILE%\Documents\GitHub\eaglep3\Utilities\RefineRTDCRunTimes.py" --tripid 51-20 --locoid 4056 --swversion DE.1.0.9.0 --startMP 204:449 --initTime 2017-05-20T05:59:13 --startdatetime 2017-05-20T06:12:14 --delay 1 --endMP 204:3361 --enddatetime 2017-05-20T06:13:38 --enforcementcount 0 &gt;&gt;C:\Users\stu\Documents\GitHub\eaglep3-reporting\EC\2017-05-20-refined-times.txt</v>
      </c>
      <c r="AI214" s="99" t="str">
        <f t="shared" si="76"/>
        <v>echo {"issue":{"subject":"","project_id":79,"tracker_id":40,"status_id":1,"priority_id":2,"assigned_to_id":23,"start_date":"2017-05-20","description":"","custom_fields":[{"id":1,"name":"Subdivision","value":"Other"},{"id":4,"name":"Milepost","value":"0.3361"},{"id":17,"name":"Train ID","value":"51-20"},{"id":16,"name":"Locomotive ID","value":"4056"},{"id":130,"name":"Impact","value":""},{"id":150,"name":"Time of Event (Mountain Time)","value":"06:13:38"},{"id":151,"name":"Denver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77"/>
        <v>start /low /b %USERPROFILE%\Documents\GitHub\eaglep3\Utilities\DownloadLogsFromS3.py --loco 4056 --day 2017-05-20</v>
      </c>
      <c r="AN214" s="154" t="str">
        <f t="shared" si="78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12:13:38"},{"id":29,"name":"Sharepoint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593</v>
      </c>
      <c r="B215" s="7">
        <v>4055</v>
      </c>
      <c r="C215" s="21" t="s">
        <v>206</v>
      </c>
      <c r="D215" s="21" t="s">
        <v>990</v>
      </c>
      <c r="E215" s="13">
        <v>42875.337708333333</v>
      </c>
      <c r="F215" s="13">
        <v>42875.338888888888</v>
      </c>
      <c r="G215" s="7">
        <v>1</v>
      </c>
      <c r="H215" s="21" t="s">
        <v>991</v>
      </c>
      <c r="I215" s="13">
        <v>42875.339039351849</v>
      </c>
      <c r="J215" s="7">
        <v>0</v>
      </c>
      <c r="K215" s="92" t="str">
        <f t="shared" si="79"/>
        <v>4055/4056</v>
      </c>
      <c r="L215" s="21" t="str">
        <f>VLOOKUP(A215,'Trips&amp;Operators'!$C$1:$G$99999,5,FALSE)</f>
        <v>BEAM ROSS</v>
      </c>
      <c r="M215" s="6">
        <f t="shared" si="80"/>
        <v>1.5046296175569296E-4</v>
      </c>
      <c r="N215" s="7">
        <f t="shared" si="73"/>
        <v>0.21666666492819786</v>
      </c>
      <c r="O215" s="7"/>
      <c r="P215" s="7"/>
      <c r="Q215" s="22"/>
      <c r="R215" s="190"/>
      <c r="S215" s="196">
        <f t="shared" si="74"/>
        <v>0</v>
      </c>
      <c r="T215" s="190" t="e">
        <f t="shared" si="81"/>
        <v>#VALUE!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1" t="str">
        <f t="shared" si="82"/>
        <v>https://d0f6bd738d7f1b3e5a7ca70fe4ff75f0.us-east-1.aws.found.io/app/kibana#/discover/Steve-Slow-Train-Analysis-(2080s-and-2083s)?_g=(refreshInterval:(display:Off,pause:!f,section:0,value:0),time:(from:'2017-05-20T07:06:18-0600',mode:absolute,to:'2017-05-20T09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5" s="192" t="str">
        <f t="shared" si="83"/>
        <v>Y</v>
      </c>
      <c r="X215" s="192" t="e">
        <f t="shared" si="84"/>
        <v>#VALUE!</v>
      </c>
      <c r="Y215" s="192">
        <f t="shared" si="85"/>
        <v>0.2999</v>
      </c>
      <c r="Z215" s="192">
        <f t="shared" si="86"/>
        <v>0.27650000000000002</v>
      </c>
      <c r="AA215" s="192">
        <f t="shared" si="87"/>
        <v>2.3399999999999976E-2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88"/>
        <v>53-20</v>
      </c>
      <c r="AE215" s="80" t="str">
        <f t="shared" si="89"/>
        <v>aws s3 cp s3://rtdc.mdm.uploadarchive.raw/RTDC4055/ "%USERPROFILE%\AppData\Local\Temp\OnboardLogs"\RTDC4055\2017-05-20 --exclude "*" --recursive --include "*20170520*" &amp; "%USERPROFILE%\Documents\GitHub\mrs-test-scripts\Headless Mode &amp; Sideloading\WalkAndUnGZ.bat" "%USERPROFILE%\AppData\Local\Temp\OnboardLogs"\RTDC4055\2017-05-20 &amp; aws s3 cp s3://rtdc.mdm.uploadarchive.raw/RTDC4055/ "%USERPROFILE%\AppData\Local\Temp\OnboardLogs"\RTDC4055\2017-05-21 --exclude "*" --recursive --include "*20170521*" &amp; "%USERPROFILE%\Documents\GitHub\mrs-test-scripts\Headless Mode &amp; Sideloading\WalkAndUnGZ.bat" "%USERPROFILE%\AppData\Local\Temp\OnboardLogs"\RTDC4055\2017-05-21</v>
      </c>
      <c r="AF215" s="77" t="str">
        <f t="shared" si="90"/>
        <v>"C:\Program Files (x86)\AstroGrep\AstroGrep.exe" /e /r /s /spath="%USERPROFILE%\AppData\Local\Temp\OnboardLogs" /stypes="app*4055*20170520*" /stext=" 14:.+((SYSTEM_STATE.+slice.+state.+changed )|(ment ac)|(multiple cpu faults)|(system.+state.+changed )|(\[timeout)|(PRM\|1\|D)|(kpr)|(kdp)|(train st.+moving)|(\|lc)|(penalty))"</v>
      </c>
      <c r="AG215" s="1" t="str">
        <f t="shared" si="91"/>
        <v>Other</v>
      </c>
      <c r="AH215" s="81" t="str">
        <f t="shared" si="75"/>
        <v>"%USERPROFILE%\Documents\GitHub\eaglep3\Utilities\RefineRTDCRunTimes.py" --tripid 53-20 --locoid 4055 --swversion DE.1.0.9.0 --startMP 204:2999 --initTime 2017-05-20T08:06:18 --startdatetime 2017-05-20T08:08:00 --delay 1 --endMP 204:2765 --enddatetime 2017-05-20T08:08:13 --enforcementcount 0 &gt;&gt;C:\Users\stu\Documents\GitHub\eaglep3-reporting\EC\2017-05-20-refined-times.txt</v>
      </c>
      <c r="AI215" s="99" t="str">
        <f t="shared" si="76"/>
        <v>echo {"issue":{"subject":"","project_id":79,"tracker_id":40,"status_id":1,"priority_id":2,"assigned_to_id":23,"start_date":"2017-05-20","description":"","custom_fields":[{"id":1,"name":"Subdivision","value":"Other"},{"id":4,"name":"Milepost","value":"0.2765"},{"id":17,"name":"Train ID","value":"53-20"},{"id":16,"name":"Locomotive ID","value":"4055"},{"id":130,"name":"Impact","value":""},{"id":150,"name":"Time of Event (Mountain Time)","value":"08:08:13"},{"id":151,"name":"Denver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77"/>
        <v>start /low /b %USERPROFILE%\Documents\GitHub\eaglep3\Utilities\DownloadLogsFromS3.py --loco 4055 --day 2017-05-20</v>
      </c>
      <c r="AN215" s="154" t="str">
        <f t="shared" si="78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14:08:13"},{"id":29,"name":"Sharepoint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593</v>
      </c>
      <c r="B216" s="7">
        <v>4056</v>
      </c>
      <c r="C216" s="21" t="s">
        <v>206</v>
      </c>
      <c r="D216" s="21" t="s">
        <v>992</v>
      </c>
      <c r="E216" s="13">
        <v>42875.327407407407</v>
      </c>
      <c r="F216" s="13">
        <v>42875.338888888888</v>
      </c>
      <c r="G216" s="7">
        <v>1</v>
      </c>
      <c r="H216" s="21" t="s">
        <v>993</v>
      </c>
      <c r="I216" s="13">
        <v>42875.339039351849</v>
      </c>
      <c r="J216" s="7">
        <v>0</v>
      </c>
      <c r="K216" s="92" t="str">
        <f t="shared" si="79"/>
        <v>4055/4056</v>
      </c>
      <c r="L216" s="21" t="str">
        <f>VLOOKUP(A216,'Trips&amp;Operators'!$C$1:$G$99999,5,FALSE)</f>
        <v>BEAM ROSS</v>
      </c>
      <c r="M216" s="6">
        <f t="shared" si="80"/>
        <v>1.5046296175569296E-4</v>
      </c>
      <c r="N216" s="7">
        <f t="shared" si="73"/>
        <v>0.21666666492819786</v>
      </c>
      <c r="O216" s="7"/>
      <c r="P216" s="7"/>
      <c r="Q216" s="22"/>
      <c r="R216" s="190"/>
      <c r="S216" s="196">
        <f t="shared" si="74"/>
        <v>0</v>
      </c>
      <c r="T216" s="190" t="e">
        <f t="shared" si="81"/>
        <v>#VALUE!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1" t="str">
        <f t="shared" si="82"/>
        <v>https://d0f6bd738d7f1b3e5a7ca70fe4ff75f0.us-east-1.aws.found.io/app/kibana#/discover/Steve-Slow-Train-Analysis-(2080s-and-2083s)?_g=(refreshInterval:(display:Off,pause:!f,section:0,value:0),time:(from:'2017-05-20T06:51:28-0600',mode:absolute,to:'2017-05-20T09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6" s="192" t="str">
        <f t="shared" si="83"/>
        <v>Y</v>
      </c>
      <c r="X216" s="192" t="e">
        <f t="shared" si="84"/>
        <v>#VALUE!</v>
      </c>
      <c r="Y216" s="192">
        <f t="shared" si="85"/>
        <v>0.14940000000000001</v>
      </c>
      <c r="Z216" s="192">
        <f t="shared" si="86"/>
        <v>0.33350000000000002</v>
      </c>
      <c r="AA216" s="192">
        <f t="shared" si="87"/>
        <v>0.18410000000000001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88"/>
        <v>53-20</v>
      </c>
      <c r="AE216" s="80" t="str">
        <f t="shared" si="89"/>
        <v>aws s3 cp s3://rtdc.mdm.uploadarchive.raw/RTDC4056/ "%USERPROFILE%\AppData\Local\Temp\OnboardLogs"\RTDC4056\2017-05-20 --exclude "*" --recursive --include "*20170520*" &amp; "%USERPROFILE%\Documents\GitHub\mrs-test-scripts\Headless Mode &amp; Sideloading\WalkAndUnGZ.bat" "%USERPROFILE%\AppData\Local\Temp\OnboardLogs"\RTDC4056\2017-05-20 &amp; aws s3 cp s3://rtdc.mdm.uploadarchive.raw/RTDC4056/ "%USERPROFILE%\AppData\Local\Temp\OnboardLogs"\RTDC4056\2017-05-21 --exclude "*" --recursive --include "*20170521*" &amp; "%USERPROFILE%\Documents\GitHub\mrs-test-scripts\Headless Mode &amp; Sideloading\WalkAndUnGZ.bat" "%USERPROFILE%\AppData\Local\Temp\OnboardLogs"\RTDC4056\2017-05-21</v>
      </c>
      <c r="AF216" s="77" t="str">
        <f t="shared" si="90"/>
        <v>"C:\Program Files (x86)\AstroGrep\AstroGrep.exe" /e /r /s /spath="%USERPROFILE%\AppData\Local\Temp\OnboardLogs" /stypes="app*4056*20170520*" /stext=" 14:.+((SYSTEM_STATE.+slice.+state.+changed )|(ment ac)|(multiple cpu faults)|(system.+state.+changed )|(\[timeout)|(PRM\|1\|D)|(kpr)|(kdp)|(train st.+moving)|(\|lc)|(penalty))"</v>
      </c>
      <c r="AG216" s="1" t="str">
        <f t="shared" si="91"/>
        <v>Other</v>
      </c>
      <c r="AH216" s="81" t="str">
        <f t="shared" si="75"/>
        <v>"%USERPROFILE%\Documents\GitHub\eaglep3\Utilities\RefineRTDCRunTimes.py" --tripid 53-20 --locoid 4056 --swversion DE.1.0.9.0 --startMP 204:1494 --initTime 2017-05-20T07:51:28 --startdatetime 2017-05-20T08:08:00 --delay 1 --endMP 204:3335 --enddatetime 2017-05-20T08:08:13 --enforcementcount 0 &gt;&gt;C:\Users\stu\Documents\GitHub\eaglep3-reporting\EC\2017-05-20-refined-times.txt</v>
      </c>
      <c r="AI216" s="99" t="str">
        <f t="shared" si="76"/>
        <v>echo {"issue":{"subject":"","project_id":79,"tracker_id":40,"status_id":1,"priority_id":2,"assigned_to_id":23,"start_date":"2017-05-20","description":"","custom_fields":[{"id":1,"name":"Subdivision","value":"Other"},{"id":4,"name":"Milepost","value":"0.3335"},{"id":17,"name":"Train ID","value":"53-20"},{"id":16,"name":"Locomotive ID","value":"4056"},{"id":130,"name":"Impact","value":""},{"id":150,"name":"Time of Event (Mountain Time)","value":"08:08:13"},{"id":151,"name":"Denver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77"/>
        <v>start /low /b %USERPROFILE%\Documents\GitHub\eaglep3\Utilities\DownloadLogsFromS3.py --loco 4056 --day 2017-05-20</v>
      </c>
      <c r="AN216" s="154" t="str">
        <f t="shared" si="78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14:08:13"},{"id":29,"name":"Sharepoint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713</v>
      </c>
      <c r="B217" s="7">
        <v>4028</v>
      </c>
      <c r="C217" s="21" t="s">
        <v>206</v>
      </c>
      <c r="D217" s="21" t="s">
        <v>994</v>
      </c>
      <c r="E217" s="13">
        <v>42875.371921296297</v>
      </c>
      <c r="F217" s="13">
        <v>42875.377488425926</v>
      </c>
      <c r="G217" s="7">
        <v>2</v>
      </c>
      <c r="H217" s="21" t="s">
        <v>506</v>
      </c>
      <c r="I217" s="13">
        <v>42875.382314814815</v>
      </c>
      <c r="J217" s="7">
        <v>0</v>
      </c>
      <c r="K217" s="92" t="str">
        <f t="shared" si="79"/>
        <v>4027/4028</v>
      </c>
      <c r="L217" s="21" t="str">
        <f>VLOOKUP(A217,'Trips&amp;Operators'!$C$1:$G$99999,5,FALSE)</f>
        <v>BEAM ROSS</v>
      </c>
      <c r="M217" s="6">
        <f t="shared" si="80"/>
        <v>4.8263888893416151E-3</v>
      </c>
      <c r="N217" s="7">
        <f t="shared" si="73"/>
        <v>6.9500000006519258</v>
      </c>
      <c r="O217" s="7"/>
      <c r="P217" s="7"/>
      <c r="Q217" s="22"/>
      <c r="R217" s="190"/>
      <c r="S217" s="196">
        <f t="shared" si="74"/>
        <v>0</v>
      </c>
      <c r="T217" s="190" t="e">
        <f t="shared" si="81"/>
        <v>#VALUE!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1" t="str">
        <f t="shared" si="82"/>
        <v>https://d0f6bd738d7f1b3e5a7ca70fe4ff75f0.us-east-1.aws.found.io/app/kibana#/discover/Steve-Slow-Train-Analysis-(2080s-and-2083s)?_g=(refreshInterval:(display:Off,pause:!f,section:0,value:0),time:(from:'2017-05-20T07:55:34-0600',mode:absolute,to:'2017-05-20T10:10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7" s="192" t="str">
        <f t="shared" si="83"/>
        <v>Y</v>
      </c>
      <c r="X217" s="192" t="e">
        <f t="shared" si="84"/>
        <v>#VALUE!</v>
      </c>
      <c r="Y217" s="192">
        <f t="shared" si="85"/>
        <v>0.14979999999999999</v>
      </c>
      <c r="Z217" s="192">
        <f t="shared" si="86"/>
        <v>2.3306</v>
      </c>
      <c r="AA217" s="192">
        <f t="shared" si="87"/>
        <v>2.1808000000000001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88"/>
        <v>55-20</v>
      </c>
      <c r="AE217" s="80" t="str">
        <f t="shared" si="89"/>
        <v>aws s3 cp s3://rtdc.mdm.uploadarchive.raw/RTDC4028/ "%USERPROFILE%\AppData\Local\Temp\OnboardLogs"\RTDC4028\2017-05-20 --exclude "*" --recursive --include "*20170520*" &amp; "%USERPROFILE%\Documents\GitHub\mrs-test-scripts\Headless Mode &amp; Sideloading\WalkAndUnGZ.bat" "%USERPROFILE%\AppData\Local\Temp\OnboardLogs"\RTDC4028\2017-05-20 &amp; aws s3 cp s3://rtdc.mdm.uploadarchive.raw/RTDC4028/ "%USERPROFILE%\AppData\Local\Temp\OnboardLogs"\RTDC4028\2017-05-21 --exclude "*" --recursive --include "*20170521*" &amp; "%USERPROFILE%\Documents\GitHub\mrs-test-scripts\Headless Mode &amp; Sideloading\WalkAndUnGZ.bat" "%USERPROFILE%\AppData\Local\Temp\OnboardLogs"\RTDC4028\2017-05-21</v>
      </c>
      <c r="AF217" s="77" t="str">
        <f t="shared" si="90"/>
        <v>"C:\Program Files (x86)\AstroGrep\AstroGrep.exe" /e /r /s /spath="%USERPROFILE%\AppData\Local\Temp\OnboardLogs" /stypes="app*4028*20170520*" /stext=" 15:.+((SYSTEM_STATE.+slice.+state.+changed )|(ment ac)|(multiple cpu faults)|(system.+state.+changed )|(\[timeout)|(PRM\|1\|D)|(kpr)|(kdp)|(train st.+moving)|(\|lc)|(penalty))"</v>
      </c>
      <c r="AG217" s="1" t="str">
        <f t="shared" si="91"/>
        <v>Other</v>
      </c>
      <c r="AH217" s="81" t="str">
        <f t="shared" si="75"/>
        <v>"%USERPROFILE%\Documents\GitHub\eaglep3\Utilities\RefineRTDCRunTimes.py" --tripid 55-20 --locoid 4028 --swversion DE.1.0.9.0 --startMP 204:1498 --initTime 2017-05-20T08:55:34 --startdatetime 2017-05-20T09:03:35 --delay 2 --endMP 300:23306 --enddatetime 2017-05-20T09:10:32 --enforcementcount 0 &gt;&gt;C:\Users\stu\Documents\GitHub\eaglep3-reporting\EC\2017-05-20-refined-times.txt</v>
      </c>
      <c r="AI217" s="99" t="str">
        <f t="shared" si="76"/>
        <v>echo {"issue":{"subject":"","project_id":79,"tracker_id":40,"status_id":1,"priority_id":2,"assigned_to_id":23,"start_date":"2017-05-20","description":"","custom_fields":[{"id":1,"name":"Subdivision","value":"Other"},{"id":4,"name":"Milepost","value":"2.3306"},{"id":17,"name":"Train ID","value":"55-20"},{"id":16,"name":"Locomotive ID","value":"4028"},{"id":130,"name":"Impact","value":""},{"id":150,"name":"Time of Event (Mountain Time)","value":"09:10:32"},{"id":151,"name":"Denver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77"/>
        <v>start /low /b %USERPROFILE%\Documents\GitHub\eaglep3\Utilities\DownloadLogsFromS3.py --loco 4028 --day 2017-05-20</v>
      </c>
      <c r="AN217" s="154" t="str">
        <f t="shared" si="78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15:10:32"},{"id":29,"name":"Sharepoint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785</v>
      </c>
      <c r="B218" s="7">
        <v>4054</v>
      </c>
      <c r="C218" s="21" t="s">
        <v>206</v>
      </c>
      <c r="D218" s="21" t="s">
        <v>995</v>
      </c>
      <c r="E218" s="13">
        <v>42875.716678240744</v>
      </c>
      <c r="F218" s="13">
        <v>42875.73810185185</v>
      </c>
      <c r="G218" s="7">
        <v>1</v>
      </c>
      <c r="H218" s="21" t="s">
        <v>361</v>
      </c>
      <c r="I218" s="13">
        <v>42875.748472222222</v>
      </c>
      <c r="J218" s="7">
        <v>0</v>
      </c>
      <c r="K218" s="92" t="str">
        <f t="shared" si="79"/>
        <v>4053/4054</v>
      </c>
      <c r="L218" s="21" t="str">
        <f>VLOOKUP(A218,'Trips&amp;Operators'!$C$1:$G$99999,5,FALSE)</f>
        <v>WHITED DUSTIN</v>
      </c>
      <c r="M218" s="6">
        <f t="shared" si="80"/>
        <v>1.0370370371674653E-2</v>
      </c>
      <c r="N218" s="7">
        <f t="shared" ref="N218:N232" si="92">24*60*SUM($M218:$M218)</f>
        <v>14.933333335211501</v>
      </c>
      <c r="O218" s="7"/>
      <c r="P218" s="7"/>
      <c r="Q218" s="22"/>
      <c r="R218" s="190"/>
      <c r="S218" s="196">
        <f t="shared" ref="S218:S232" si="93">SUM(U218:U218)/IF(AG218="EC",12,1)</f>
        <v>0</v>
      </c>
      <c r="T218" s="190" t="e">
        <f t="shared" si="81"/>
        <v>#VALUE!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1" t="str">
        <f t="shared" si="82"/>
        <v>https://d0f6bd738d7f1b3e5a7ca70fe4ff75f0.us-east-1.aws.found.io/app/kibana#/discover/Steve-Slow-Train-Analysis-(2080s-and-2083s)?_g=(refreshInterval:(display:Off,pause:!f,section:0,value:0),time:(from:'2017-05-20T16:12:01-0600',mode:absolute,to:'2017-05-20T18:57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8" s="192" t="str">
        <f t="shared" si="83"/>
        <v>Y</v>
      </c>
      <c r="X218" s="192" t="e">
        <f t="shared" si="84"/>
        <v>#VALUE!</v>
      </c>
      <c r="Y218" s="192">
        <f t="shared" si="85"/>
        <v>0.11840000000000001</v>
      </c>
      <c r="Z218" s="192">
        <f t="shared" si="86"/>
        <v>2.3346</v>
      </c>
      <c r="AA218" s="192">
        <f t="shared" si="87"/>
        <v>2.2162000000000002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88"/>
        <v>57-20</v>
      </c>
      <c r="AE218" s="80" t="str">
        <f t="shared" si="89"/>
        <v>aws s3 cp s3://rtdc.mdm.uploadarchive.raw/RTDC4054/ "%USERPROFILE%\AppData\Local\Temp\OnboardLogs"\RTDC4054\2017-05-20 --exclude "*" --recursive --include "*20170520*" &amp; "%USERPROFILE%\Documents\GitHub\mrs-test-scripts\Headless Mode &amp; Sideloading\WalkAndUnGZ.bat" "%USERPROFILE%\AppData\Local\Temp\OnboardLogs"\RTDC4054\2017-05-20 &amp; aws s3 cp s3://rtdc.mdm.uploadarchive.raw/RTDC4054/ "%USERPROFILE%\AppData\Local\Temp\OnboardLogs"\RTDC4054\2017-05-21 --exclude "*" --recursive --include "*20170521*" &amp; "%USERPROFILE%\Documents\GitHub\mrs-test-scripts\Headless Mode &amp; Sideloading\WalkAndUnGZ.bat" "%USERPROFILE%\AppData\Local\Temp\OnboardLogs"\RTDC4054\2017-05-21</v>
      </c>
      <c r="AF218" s="77" t="str">
        <f t="shared" si="90"/>
        <v>"C:\Program Files (x86)\AstroGrep\AstroGrep.exe" /e /r /s /spath="%USERPROFILE%\AppData\Local\Temp\OnboardLogs" /stypes="app*4054*20170520*" /stext=" 23:.+((SYSTEM_STATE.+slice.+state.+changed )|(ment ac)|(multiple cpu faults)|(system.+state.+changed )|(\[timeout)|(PRM\|1\|D)|(kpr)|(kdp)|(train st.+moving)|(\|lc)|(penalty))"</v>
      </c>
      <c r="AG218" s="1" t="str">
        <f t="shared" si="91"/>
        <v>Other</v>
      </c>
      <c r="AH218" s="81" t="str">
        <f t="shared" si="75"/>
        <v>"%USERPROFILE%\Documents\GitHub\eaglep3\Utilities\RefineRTDCRunTimes.py" --tripid 57-20 --locoid 4054 --swversion DE.1.0.9.0 --startMP 204:1184 --initTime 2017-05-20T17:12:01 --startdatetime 2017-05-20T17:42:52 --delay 1 --endMP 300:23346 --enddatetime 2017-05-20T17:57:48 --enforcementcount 0 &gt;&gt;C:\Users\stu\Documents\GitHub\eaglep3-reporting\EC\2017-05-20-refined-times.txt</v>
      </c>
      <c r="AI218" s="99" t="str">
        <f t="shared" si="76"/>
        <v>echo {"issue":{"subject":"","project_id":79,"tracker_id":40,"status_id":1,"priority_id":2,"assigned_to_id":23,"start_date":"2017-05-20","description":"","custom_fields":[{"id":1,"name":"Subdivision","value":"Other"},{"id":4,"name":"Milepost","value":"2.3346"},{"id":17,"name":"Train ID","value":"57-20"},{"id":16,"name":"Locomotive ID","value":"4054"},{"id":130,"name":"Impact","value":""},{"id":150,"name":"Time of Event (Mountain Time)","value":"17:57:48"},{"id":151,"name":"Denver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77"/>
        <v>start /low /b %USERPROFILE%\Documents\GitHub\eaglep3\Utilities\DownloadLogsFromS3.py --loco 4054 --day 2017-05-20</v>
      </c>
      <c r="AN218" s="154" t="str">
        <f t="shared" si="78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23:57:48"},{"id":29,"name":"Sharepoint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611</v>
      </c>
      <c r="B219" s="7">
        <v>4055</v>
      </c>
      <c r="C219" s="21" t="s">
        <v>206</v>
      </c>
      <c r="D219" s="21" t="s">
        <v>996</v>
      </c>
      <c r="E219" s="13">
        <v>42875.591631944444</v>
      </c>
      <c r="F219" s="13">
        <v>42875.59270833333</v>
      </c>
      <c r="G219" s="7">
        <v>2</v>
      </c>
      <c r="H219" s="21" t="s">
        <v>997</v>
      </c>
      <c r="I219" s="13">
        <v>42875.593935185185</v>
      </c>
      <c r="J219" s="7">
        <v>0</v>
      </c>
      <c r="K219" s="92" t="str">
        <f t="shared" si="79"/>
        <v>4055/4056</v>
      </c>
      <c r="L219" s="21" t="str">
        <f>VLOOKUP(A219,'Trips&amp;Operators'!$C$1:$G$99999,5,FALSE)</f>
        <v>LOPES KIMBERLY</v>
      </c>
      <c r="M219" s="6">
        <f t="shared" si="80"/>
        <v>1.2268518548808061E-3</v>
      </c>
      <c r="N219" s="7">
        <f t="shared" si="92"/>
        <v>1.7666666710283607</v>
      </c>
      <c r="O219" s="7"/>
      <c r="P219" s="7"/>
      <c r="Q219" s="22"/>
      <c r="R219" s="190"/>
      <c r="S219" s="196">
        <f t="shared" si="93"/>
        <v>0</v>
      </c>
      <c r="T219" s="190" t="e">
        <f t="shared" si="81"/>
        <v>#VALUE!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1" t="str">
        <f t="shared" si="82"/>
        <v>https://d0f6bd738d7f1b3e5a7ca70fe4ff75f0.us-east-1.aws.found.io/app/kibana#/discover/Steve-Slow-Train-Analysis-(2080s-and-2083s)?_g=(refreshInterval:(display:Off,pause:!f,section:0,value:0),time:(from:'2017-05-20T13:11:57-0600',mode:absolute,to:'2017-05-20T15:15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9" s="192" t="str">
        <f t="shared" si="83"/>
        <v>Y</v>
      </c>
      <c r="X219" s="192" t="e">
        <f t="shared" si="84"/>
        <v>#VALUE!</v>
      </c>
      <c r="Y219" s="192">
        <f t="shared" si="85"/>
        <v>0.40710000000000002</v>
      </c>
      <c r="Z219" s="192">
        <f t="shared" si="86"/>
        <v>8.72E-2</v>
      </c>
      <c r="AA219" s="192">
        <f t="shared" si="87"/>
        <v>0.31990000000000002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88"/>
        <v>61-20</v>
      </c>
      <c r="AE219" s="80" t="str">
        <f t="shared" si="89"/>
        <v>aws s3 cp s3://rtdc.mdm.uploadarchive.raw/RTDC4055/ "%USERPROFILE%\AppData\Local\Temp\OnboardLogs"\RTDC4055\2017-05-20 --exclude "*" --recursive --include "*20170520*" &amp; "%USERPROFILE%\Documents\GitHub\mrs-test-scripts\Headless Mode &amp; Sideloading\WalkAndUnGZ.bat" "%USERPROFILE%\AppData\Local\Temp\OnboardLogs"\RTDC4055\2017-05-20 &amp; aws s3 cp s3://rtdc.mdm.uploadarchive.raw/RTDC4055/ "%USERPROFILE%\AppData\Local\Temp\OnboardLogs"\RTDC4055\2017-05-21 --exclude "*" --recursive --include "*20170521*" &amp; "%USERPROFILE%\Documents\GitHub\mrs-test-scripts\Headless Mode &amp; Sideloading\WalkAndUnGZ.bat" "%USERPROFILE%\AppData\Local\Temp\OnboardLogs"\RTDC4055\2017-05-21</v>
      </c>
      <c r="AF219" s="77" t="str">
        <f t="shared" si="90"/>
        <v>"C:\Program Files (x86)\AstroGrep\AstroGrep.exe" /e /r /s /spath="%USERPROFILE%\AppData\Local\Temp\OnboardLogs" /stypes="app*4055*20170520*" /stext=" 20:.+((SYSTEM_STATE.+slice.+state.+changed )|(ment ac)|(multiple cpu faults)|(system.+state.+changed )|(\[timeout)|(PRM\|1\|D)|(kpr)|(kdp)|(train st.+moving)|(\|lc)|(penalty))"</v>
      </c>
      <c r="AG219" s="1" t="str">
        <f t="shared" si="91"/>
        <v>Other</v>
      </c>
      <c r="AH219" s="81" t="str">
        <f t="shared" si="75"/>
        <v>"%USERPROFILE%\Documents\GitHub\eaglep3\Utilities\RefineRTDCRunTimes.py" --tripid 61-20 --locoid 4055 --swversion DE.1.0.9.0 --startMP 204:4071 --initTime 2017-05-20T14:11:57 --startdatetime 2017-05-20T14:13:30 --delay 2 --endMP 204:872 --enddatetime 2017-05-20T14:15:16 --enforcementcount 0 &gt;&gt;C:\Users\stu\Documents\GitHub\eaglep3-reporting\EC\2017-05-20-refined-times.txt</v>
      </c>
      <c r="AI219" s="99" t="str">
        <f t="shared" si="76"/>
        <v>echo {"issue":{"subject":"","project_id":79,"tracker_id":40,"status_id":1,"priority_id":2,"assigned_to_id":23,"start_date":"2017-05-20","description":"","custom_fields":[{"id":1,"name":"Subdivision","value":"Other"},{"id":4,"name":"Milepost","value":"0.0872"},{"id":17,"name":"Train ID","value":"61-20"},{"id":16,"name":"Locomotive ID","value":"4055"},{"id":130,"name":"Impact","value":""},{"id":150,"name":"Time of Event (Mountain Time)","value":"14:15:16"},{"id":151,"name":"Denver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77"/>
        <v>start /low /b %USERPROFILE%\Documents\GitHub\eaglep3\Utilities\DownloadLogsFromS3.py --loco 4055 --day 2017-05-20</v>
      </c>
      <c r="AN219" s="154" t="str">
        <f t="shared" si="78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20:15:16"},{"id":29,"name":"Sharepoint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611</v>
      </c>
      <c r="B220" s="7">
        <v>4056</v>
      </c>
      <c r="C220" s="21" t="s">
        <v>206</v>
      </c>
      <c r="D220" s="21" t="s">
        <v>998</v>
      </c>
      <c r="E220" s="13">
        <v>42875.679479166669</v>
      </c>
      <c r="F220" s="13">
        <v>42875.680868055555</v>
      </c>
      <c r="G220" s="7">
        <v>0</v>
      </c>
      <c r="H220" s="21" t="s">
        <v>506</v>
      </c>
      <c r="I220" s="13">
        <v>42875.691712962966</v>
      </c>
      <c r="J220" s="7">
        <v>0</v>
      </c>
      <c r="K220" s="92" t="str">
        <f t="shared" si="79"/>
        <v>4055/4056</v>
      </c>
      <c r="L220" s="21" t="str">
        <f>VLOOKUP(A220,'Trips&amp;Operators'!$C$1:$G$99999,5,FALSE)</f>
        <v>LOPES KIMBERLY</v>
      </c>
      <c r="M220" s="6">
        <f t="shared" si="80"/>
        <v>1.0844907410501037E-2</v>
      </c>
      <c r="N220" s="7">
        <f t="shared" si="92"/>
        <v>15.616666671121493</v>
      </c>
      <c r="O220" s="7"/>
      <c r="P220" s="7"/>
      <c r="Q220" s="22"/>
      <c r="R220" s="190"/>
      <c r="S220" s="196">
        <f t="shared" si="93"/>
        <v>0</v>
      </c>
      <c r="T220" s="190" t="e">
        <f t="shared" si="81"/>
        <v>#VALUE!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1" t="str">
        <f t="shared" si="82"/>
        <v>https://d0f6bd738d7f1b3e5a7ca70fe4ff75f0.us-east-1.aws.found.io/app/kibana#/discover/Steve-Slow-Train-Analysis-(2080s-and-2083s)?_g=(refreshInterval:(display:Off,pause:!f,section:0,value:0),time:(from:'2017-05-20T15:18:27-0600',mode:absolute,to:'2017-05-20T17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0" s="192" t="str">
        <f t="shared" si="83"/>
        <v>Y</v>
      </c>
      <c r="X220" s="192" t="e">
        <f t="shared" si="84"/>
        <v>#VALUE!</v>
      </c>
      <c r="Y220" s="192">
        <f t="shared" si="85"/>
        <v>0.1145</v>
      </c>
      <c r="Z220" s="192">
        <f t="shared" si="86"/>
        <v>2.3306</v>
      </c>
      <c r="AA220" s="192">
        <f t="shared" si="87"/>
        <v>2.2161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88"/>
        <v>61-20</v>
      </c>
      <c r="AE220" s="80" t="str">
        <f t="shared" si="89"/>
        <v>aws s3 cp s3://rtdc.mdm.uploadarchive.raw/RTDC4056/ "%USERPROFILE%\AppData\Local\Temp\OnboardLogs"\RTDC4056\2017-05-20 --exclude "*" --recursive --include "*20170520*" &amp; "%USERPROFILE%\Documents\GitHub\mrs-test-scripts\Headless Mode &amp; Sideloading\WalkAndUnGZ.bat" "%USERPROFILE%\AppData\Local\Temp\OnboardLogs"\RTDC4056\2017-05-20 &amp; aws s3 cp s3://rtdc.mdm.uploadarchive.raw/RTDC4056/ "%USERPROFILE%\AppData\Local\Temp\OnboardLogs"\RTDC4056\2017-05-21 --exclude "*" --recursive --include "*20170521*" &amp; "%USERPROFILE%\Documents\GitHub\mrs-test-scripts\Headless Mode &amp; Sideloading\WalkAndUnGZ.bat" "%USERPROFILE%\AppData\Local\Temp\OnboardLogs"\RTDC4056\2017-05-21</v>
      </c>
      <c r="AF220" s="77" t="str">
        <f t="shared" si="90"/>
        <v>"C:\Program Files (x86)\AstroGrep\AstroGrep.exe" /e /r /s /spath="%USERPROFILE%\AppData\Local\Temp\OnboardLogs" /stypes="app*4056*20170520*" /stext=" 22:.+((SYSTEM_STATE.+slice.+state.+changed )|(ment ac)|(multiple cpu faults)|(system.+state.+changed )|(\[timeout)|(PRM\|1\|D)|(kpr)|(kdp)|(train st.+moving)|(\|lc)|(penalty))"</v>
      </c>
      <c r="AG220" s="1" t="str">
        <f t="shared" si="91"/>
        <v>Other</v>
      </c>
      <c r="AH220" s="81" t="str">
        <f t="shared" si="75"/>
        <v>"%USERPROFILE%\Documents\GitHub\eaglep3\Utilities\RefineRTDCRunTimes.py" --tripid 61-20 --locoid 4056 --swversion DE.1.0.9.0 --startMP 204:1145 --initTime 2017-05-20T16:18:27 --startdatetime 2017-05-20T16:20:27 --delay 0 --endMP 300:23306 --enddatetime 2017-05-20T16:36:04 --enforcementcount 0 &gt;&gt;C:\Users\stu\Documents\GitHub\eaglep3-reporting\EC\2017-05-20-refined-times.txt</v>
      </c>
      <c r="AI220" s="99" t="str">
        <f t="shared" si="76"/>
        <v>echo {"issue":{"subject":"","project_id":79,"tracker_id":40,"status_id":1,"priority_id":2,"assigned_to_id":23,"start_date":"2017-05-20","description":"","custom_fields":[{"id":1,"name":"Subdivision","value":"Other"},{"id":4,"name":"Milepost","value":"2.3306"},{"id":17,"name":"Train ID","value":"61-20"},{"id":16,"name":"Locomotive ID","value":"4056"},{"id":130,"name":"Impact","value":""},{"id":150,"name":"Time of Event (Mountain Time)","value":"16:36:04"},{"id":151,"name":"Denver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77"/>
        <v>start /low /b %USERPROFILE%\Documents\GitHub\eaglep3\Utilities\DownloadLogsFromS3.py --loco 4056 --day 2017-05-20</v>
      </c>
      <c r="AN220" s="154" t="str">
        <f t="shared" si="78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22:36:04"},{"id":29,"name":"Sharepoint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611</v>
      </c>
      <c r="B221" s="7">
        <v>4056</v>
      </c>
      <c r="C221" s="21" t="s">
        <v>206</v>
      </c>
      <c r="D221" s="21" t="s">
        <v>999</v>
      </c>
      <c r="E221" s="13">
        <v>42875.582870370374</v>
      </c>
      <c r="F221" s="13">
        <v>42875.59270833333</v>
      </c>
      <c r="G221" s="7">
        <v>2</v>
      </c>
      <c r="H221" s="21" t="s">
        <v>1000</v>
      </c>
      <c r="I221" s="13">
        <v>42875.593935185185</v>
      </c>
      <c r="J221" s="7">
        <v>0</v>
      </c>
      <c r="K221" s="92" t="str">
        <f t="shared" si="79"/>
        <v>4055/4056</v>
      </c>
      <c r="L221" s="21" t="str">
        <f>VLOOKUP(A221,'Trips&amp;Operators'!$C$1:$G$99999,5,FALSE)</f>
        <v>LOPES KIMBERLY</v>
      </c>
      <c r="M221" s="6">
        <f t="shared" si="80"/>
        <v>1.2268518548808061E-3</v>
      </c>
      <c r="N221" s="7">
        <f t="shared" si="92"/>
        <v>1.7666666710283607</v>
      </c>
      <c r="O221" s="7"/>
      <c r="P221" s="7"/>
      <c r="Q221" s="22"/>
      <c r="R221" s="190"/>
      <c r="S221" s="196">
        <f t="shared" si="93"/>
        <v>0</v>
      </c>
      <c r="T221" s="190" t="e">
        <f t="shared" si="81"/>
        <v>#VALUE!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1" t="str">
        <f t="shared" si="82"/>
        <v>https://d0f6bd738d7f1b3e5a7ca70fe4ff75f0.us-east-1.aws.found.io/app/kibana#/discover/Steve-Slow-Train-Analysis-(2080s-and-2083s)?_g=(refreshInterval:(display:Off,pause:!f,section:0,value:0),time:(from:'2017-05-20T12:59:20-0600',mode:absolute,to:'2017-05-20T15:15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1" s="192" t="str">
        <f t="shared" si="83"/>
        <v>Y</v>
      </c>
      <c r="X221" s="192" t="e">
        <f t="shared" si="84"/>
        <v>#VALUE!</v>
      </c>
      <c r="Y221" s="192">
        <f t="shared" si="85"/>
        <v>6.3500000000000001E-2</v>
      </c>
      <c r="Z221" s="192">
        <f t="shared" si="86"/>
        <v>0.53839999999999999</v>
      </c>
      <c r="AA221" s="192">
        <f t="shared" si="87"/>
        <v>0.47489999999999999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88"/>
        <v>61-20</v>
      </c>
      <c r="AE221" s="80" t="str">
        <f t="shared" si="89"/>
        <v>aws s3 cp s3://rtdc.mdm.uploadarchive.raw/RTDC4056/ "%USERPROFILE%\AppData\Local\Temp\OnboardLogs"\RTDC4056\2017-05-20 --exclude "*" --recursive --include "*20170520*" &amp; "%USERPROFILE%\Documents\GitHub\mrs-test-scripts\Headless Mode &amp; Sideloading\WalkAndUnGZ.bat" "%USERPROFILE%\AppData\Local\Temp\OnboardLogs"\RTDC4056\2017-05-20 &amp; aws s3 cp s3://rtdc.mdm.uploadarchive.raw/RTDC4056/ "%USERPROFILE%\AppData\Local\Temp\OnboardLogs"\RTDC4056\2017-05-21 --exclude "*" --recursive --include "*20170521*" &amp; "%USERPROFILE%\Documents\GitHub\mrs-test-scripts\Headless Mode &amp; Sideloading\WalkAndUnGZ.bat" "%USERPROFILE%\AppData\Local\Temp\OnboardLogs"\RTDC4056\2017-05-21</v>
      </c>
      <c r="AF221" s="77" t="str">
        <f t="shared" si="90"/>
        <v>"C:\Program Files (x86)\AstroGrep\AstroGrep.exe" /e /r /s /spath="%USERPROFILE%\AppData\Local\Temp\OnboardLogs" /stypes="app*4056*20170520*" /stext=" 20:.+((SYSTEM_STATE.+slice.+state.+changed )|(ment ac)|(multiple cpu faults)|(system.+state.+changed )|(\[timeout)|(PRM\|1\|D)|(kpr)|(kdp)|(train st.+moving)|(\|lc)|(penalty))"</v>
      </c>
      <c r="AG221" s="1" t="str">
        <f t="shared" si="91"/>
        <v>Other</v>
      </c>
      <c r="AH221" s="81" t="str">
        <f t="shared" si="75"/>
        <v>"%USERPROFILE%\Documents\GitHub\eaglep3\Utilities\RefineRTDCRunTimes.py" --tripid 61-20 --locoid 4056 --swversion DE.1.0.9.0 --startMP 204:635 --initTime 2017-05-20T13:59:20 --startdatetime 2017-05-20T14:13:30 --delay 2 --endMP 300:5384 --enddatetime 2017-05-20T14:15:16 --enforcementcount 0 &gt;&gt;C:\Users\stu\Documents\GitHub\eaglep3-reporting\EC\2017-05-20-refined-times.txt</v>
      </c>
      <c r="AI221" s="99" t="str">
        <f t="shared" si="76"/>
        <v>echo {"issue":{"subject":"","project_id":79,"tracker_id":40,"status_id":1,"priority_id":2,"assigned_to_id":23,"start_date":"2017-05-20","description":"","custom_fields":[{"id":1,"name":"Subdivision","value":"Other"},{"id":4,"name":"Milepost","value":"0.5384"},{"id":17,"name":"Train ID","value":"61-20"},{"id":16,"name":"Locomotive ID","value":"4056"},{"id":130,"name":"Impact","value":""},{"id":150,"name":"Time of Event (Mountain Time)","value":"14:15:16"},{"id":151,"name":"Denver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77"/>
        <v>start /low /b %USERPROFILE%\Documents\GitHub\eaglep3\Utilities\DownloadLogsFromS3.py --loco 4056 --day 2017-05-20</v>
      </c>
      <c r="AN221" s="154" t="str">
        <f t="shared" si="78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20:15:16"},{"id":29,"name":"Sharepoint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621</v>
      </c>
      <c r="B222" s="7">
        <v>4017</v>
      </c>
      <c r="C222" s="21" t="s">
        <v>206</v>
      </c>
      <c r="D222" s="21" t="s">
        <v>1001</v>
      </c>
      <c r="E222" s="13">
        <v>42875.727800925924</v>
      </c>
      <c r="F222" s="13">
        <v>42875.729872685188</v>
      </c>
      <c r="G222" s="7">
        <v>2</v>
      </c>
      <c r="H222" s="21" t="s">
        <v>1002</v>
      </c>
      <c r="I222" s="13">
        <v>42875.738067129627</v>
      </c>
      <c r="J222" s="7">
        <v>0</v>
      </c>
      <c r="K222" s="92" t="str">
        <f t="shared" si="79"/>
        <v>4017/4018</v>
      </c>
      <c r="L222" s="21" t="str">
        <f>VLOOKUP(A222,'Trips&amp;Operators'!$C$1:$G$99999,5,FALSE)</f>
        <v>FORTUNATO FRANK</v>
      </c>
      <c r="M222" s="6">
        <f t="shared" si="80"/>
        <v>8.1944444391410798E-3</v>
      </c>
      <c r="N222" s="7">
        <f t="shared" si="92"/>
        <v>11.799999992363155</v>
      </c>
      <c r="O222" s="7"/>
      <c r="P222" s="7"/>
      <c r="Q222" s="22"/>
      <c r="R222" s="190"/>
      <c r="S222" s="196">
        <f t="shared" si="93"/>
        <v>0</v>
      </c>
      <c r="T222" s="190" t="e">
        <f t="shared" si="81"/>
        <v>#VALUE!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1" t="str">
        <f t="shared" si="82"/>
        <v>https://d0f6bd738d7f1b3e5a7ca70fe4ff75f0.us-east-1.aws.found.io/app/kibana#/discover/Steve-Slow-Train-Analysis-(2080s-and-2083s)?_g=(refreshInterval:(display:Off,pause:!f,section:0,value:0),time:(from:'2017-05-20T16:28:02-0600',mode:absolute,to:'2017-05-20T18:42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2" s="192" t="str">
        <f t="shared" si="83"/>
        <v>Y</v>
      </c>
      <c r="X222" s="192" t="e">
        <f t="shared" si="84"/>
        <v>#VALUE!</v>
      </c>
      <c r="Y222" s="192">
        <f t="shared" si="85"/>
        <v>2.3452999999999999</v>
      </c>
      <c r="Z222" s="192">
        <f t="shared" si="86"/>
        <v>9.0800000000000006E-2</v>
      </c>
      <c r="AA222" s="192">
        <f t="shared" si="87"/>
        <v>2.2544999999999997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88"/>
        <v>72-20</v>
      </c>
      <c r="AE222" s="80" t="str">
        <f t="shared" si="89"/>
        <v>aws s3 cp s3://rtdc.mdm.uploadarchive.raw/RTDC4017/ "%USERPROFILE%\AppData\Local\Temp\OnboardLogs"\RTDC4017\2017-05-20 --exclude "*" --recursive --include "*20170520*" &amp; "%USERPROFILE%\Documents\GitHub\mrs-test-scripts\Headless Mode &amp; Sideloading\WalkAndUnGZ.bat" "%USERPROFILE%\AppData\Local\Temp\OnboardLogs"\RTDC4017\2017-05-20 &amp; aws s3 cp s3://rtdc.mdm.uploadarchive.raw/RTDC4017/ "%USERPROFILE%\AppData\Local\Temp\OnboardLogs"\RTDC4017\2017-05-21 --exclude "*" --recursive --include "*20170521*" &amp; "%USERPROFILE%\Documents\GitHub\mrs-test-scripts\Headless Mode &amp; Sideloading\WalkAndUnGZ.bat" "%USERPROFILE%\AppData\Local\Temp\OnboardLogs"\RTDC4017\2017-05-21</v>
      </c>
      <c r="AF222" s="77" t="str">
        <f t="shared" si="90"/>
        <v>"C:\Program Files (x86)\AstroGrep\AstroGrep.exe" /e /r /s /spath="%USERPROFILE%\AppData\Local\Temp\OnboardLogs" /stypes="app*4017*20170520*" /stext=" 23:.+((SYSTEM_STATE.+slice.+state.+changed )|(ment ac)|(multiple cpu faults)|(system.+state.+changed )|(\[timeout)|(PRM\|1\|D)|(kpr)|(kdp)|(train st.+moving)|(\|lc)|(penalty))"</v>
      </c>
      <c r="AG222" s="1" t="str">
        <f t="shared" si="91"/>
        <v>Other</v>
      </c>
      <c r="AH222" s="81" t="str">
        <f t="shared" si="75"/>
        <v>"%USERPROFILE%\Documents\GitHub\eaglep3\Utilities\RefineRTDCRunTimes.py" --tripid 72-20 --locoid 4017 --swversion DE.1.0.9.0 --startMP 300:23453 --initTime 2017-05-20T17:28:02 --startdatetime 2017-05-20T17:31:01 --delay 2 --endMP 204:908 --enddatetime 2017-05-20T17:42:49 --enforcementcount 0 &gt;&gt;C:\Users\stu\Documents\GitHub\eaglep3-reporting\EC\2017-05-20-refined-times.txt</v>
      </c>
      <c r="AI222" s="99" t="str">
        <f t="shared" si="76"/>
        <v>echo {"issue":{"subject":"","project_id":79,"tracker_id":40,"status_id":1,"priority_id":2,"assigned_to_id":23,"start_date":"2017-05-20","description":"","custom_fields":[{"id":1,"name":"Subdivision","value":"Other"},{"id":4,"name":"Milepost","value":"0.0908"},{"id":17,"name":"Train ID","value":"72-20"},{"id":16,"name":"Locomotive ID","value":"4017"},{"id":130,"name":"Impact","value":""},{"id":150,"name":"Time of Event (Mountain Time)","value":"17:42:49"},{"id":151,"name":"Denver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77"/>
        <v>start /low /b %USERPROFILE%\Documents\GitHub\eaglep3\Utilities\DownloadLogsFromS3.py --loco 4017 --day 2017-05-20</v>
      </c>
      <c r="AN222" s="154" t="str">
        <f t="shared" si="78"/>
        <v>echo {"issue":{"subject":"","project_id":30,"tracker_id":4,"status_id":1,"priority_id":1,"assigned_to_id":10,"start_date":"2017-05-20","description":"","custom_fields":[{"id":30,"name":"Category","value":"Issue"},{"id":3,"name":"Functional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UTC","value":"2017-05-20 23:42:49"},{"id":29,"name":"Sharepoint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s="20" customFormat="1" x14ac:dyDescent="0.25">
      <c r="A223" s="32" t="s">
        <v>632</v>
      </c>
      <c r="B223" s="7">
        <v>4017</v>
      </c>
      <c r="C223" s="21" t="s">
        <v>206</v>
      </c>
      <c r="D223" s="21" t="s">
        <v>1003</v>
      </c>
      <c r="E223" s="13">
        <v>42875.821527777778</v>
      </c>
      <c r="F223" s="13">
        <v>42875.822708333333</v>
      </c>
      <c r="G223" s="7">
        <v>1</v>
      </c>
      <c r="H223" s="21" t="s">
        <v>574</v>
      </c>
      <c r="I223" s="13">
        <v>42875.82472222222</v>
      </c>
      <c r="J223" s="7">
        <v>0</v>
      </c>
      <c r="K223" s="92" t="str">
        <f t="shared" si="79"/>
        <v>4017/4018</v>
      </c>
      <c r="L223" s="21" t="str">
        <f>VLOOKUP(A223,'Trips&amp;Operators'!$C$1:$G$99999,5,FALSE)</f>
        <v>FORTUNATO FRANK</v>
      </c>
      <c r="M223" s="6">
        <f t="shared" si="80"/>
        <v>2.0138888867222704E-3</v>
      </c>
      <c r="N223" s="7">
        <f t="shared" si="92"/>
        <v>2.8999999968800694</v>
      </c>
      <c r="O223" s="7"/>
      <c r="P223" s="7"/>
      <c r="Q223" s="22"/>
      <c r="R223" s="190"/>
      <c r="S223" s="196">
        <f t="shared" si="93"/>
        <v>0</v>
      </c>
      <c r="T223" s="190" t="e">
        <f t="shared" si="81"/>
        <v>#VALUE!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1" t="str">
        <f t="shared" si="82"/>
        <v>https://d0f6bd738d7f1b3e5a7ca70fe4ff75f0.us-east-1.aws.found.io/app/kibana#/discover/Steve-Slow-Train-Analysis-(2080s-and-2083s)?_g=(refreshInterval:(display:Off,pause:!f,section:0,value:0),time:(from:'2017-05-20T18:43:00-0600',mode:absolute,to:'2017-05-20T20:47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3" s="192" t="str">
        <f t="shared" si="83"/>
        <v>Y</v>
      </c>
      <c r="X223" s="192" t="e">
        <f t="shared" si="84"/>
        <v>#VALUE!</v>
      </c>
      <c r="Y223" s="192">
        <f t="shared" si="85"/>
        <v>0.49869999999999998</v>
      </c>
      <c r="Z223" s="192">
        <f t="shared" si="86"/>
        <v>9.7100000000000006E-2</v>
      </c>
      <c r="AA223" s="192">
        <f t="shared" si="87"/>
        <v>0.40159999999999996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88"/>
        <v>73-20</v>
      </c>
      <c r="AE223" s="80" t="str">
        <f t="shared" si="89"/>
        <v>aws s3 cp s3://rtdc.mdm.uploadarchive.raw/RTDC4017/ "%USERPROFILE%\AppData\Local\Temp\OnboardLogs"\RTDC4017\2017-05-20 --exclude "*" --recursive --include "*20170520*" &amp; "%USERPROFILE%\Documents\GitHub\mrs-test-scripts\Headless Mode &amp; Sideloading\WalkAndUnGZ.bat" "%USERPROFILE%\AppData\Local\Temp\OnboardLogs"\RTDC4017\2017-05-20 &amp; aws s3 cp s3://rtdc.mdm.uploadarchive.raw/RTDC4017/ "%USERPROFILE%\AppData\Local\Temp\OnboardLogs"\RTDC4017\2017-05-21 --exclude "*" --recursive --include "*20170521*" &amp; "%USERPROFILE%\Documents\GitHub\mrs-test-scripts\Headless Mode &amp; Sideloading\WalkAndUnGZ.bat" "%USERPROFILE%\AppData\Local\Temp\OnboardLogs"\RTDC4017\2017-05-21</v>
      </c>
      <c r="AF223" s="77" t="str">
        <f t="shared" si="90"/>
        <v>"C:\Program Files (x86)\AstroGrep\AstroGrep.exe" /e /r /s /spath="%USERPROFILE%\AppData\Local\Temp\OnboardLogs" /stypes="app*4017*20170521*" /stext=" 01:.+((SYSTEM_STATE.+slice.+state.+changed )|(ment ac)|(multiple cpu faults)|(system.+state.+changed )|(\[timeout)|(PRM\|1\|D)|(kpr)|(kdp)|(train st.+moving)|(\|lc)|(penalty))"</v>
      </c>
      <c r="AG223" s="1" t="str">
        <f t="shared" si="91"/>
        <v>Other</v>
      </c>
      <c r="AH223" s="81" t="str">
        <f t="shared" si="75"/>
        <v>"%USERPROFILE%\Documents\GitHub\eaglep3\Utilities\RefineRTDCRunTimes.py" --tripid 73-20 --locoid 4017 --swversion DE.1.0.9.0 --startMP 300:4987 --initTime 2017-05-20T19:43:00 --startdatetime 2017-05-20T19:44:42 --delay 1 --endMP 204:971 --enddatetime 2017-05-20T19:47:36 --enforcementcount 0 &gt;&gt;C:\Users\stu\Documents\GitHub\eaglep3-reporting\EC\2017-05-20-refined-times.txt</v>
      </c>
      <c r="AI223" s="99" t="str">
        <f t="shared" si="76"/>
        <v>echo {"issue":{"subject":"","project_id":79,"tracker_id":40,"status_id":1,"priority_id":2,"assigned_to_id":23,"start_date":"2017-05-20","description":"","custom_fields":[{"id":1,"name":"Subdivision","value":"Other"},{"id":4,"name":"Milepost","value":"0.0971"},{"id":17,"name":"Train ID","value":"73-20"},{"id":16,"name":"Locomotive ID","value":"4017"},{"id":130,"name":"Impact","value":""},{"id":150,"name":"Time of Event (Mountain Time)","value":"19:47:36"},{"id":151,"name":"Denver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3" s="47"/>
      <c r="AL223" s="47"/>
      <c r="AM223" s="145" t="str">
        <f t="shared" si="77"/>
        <v>start /low /b %USERPROFILE%\Documents\GitHub\eaglep3\Utilities\DownloadLogsFromS3.py --loco 4017 --day 2017-05-20</v>
      </c>
      <c r="AN223" s="154" t="str">
        <f t="shared" si="78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01:47:36"},{"id":29,"name":"Sharepoint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632</v>
      </c>
      <c r="B224" s="7">
        <v>4018</v>
      </c>
      <c r="C224" s="21" t="s">
        <v>206</v>
      </c>
      <c r="D224" s="21" t="s">
        <v>1004</v>
      </c>
      <c r="E224" s="13">
        <v>42875.817800925928</v>
      </c>
      <c r="F224" s="13">
        <v>42875.822708333333</v>
      </c>
      <c r="G224" s="7">
        <v>1</v>
      </c>
      <c r="H224" s="21" t="s">
        <v>1005</v>
      </c>
      <c r="I224" s="13">
        <v>42875.82472222222</v>
      </c>
      <c r="J224" s="7">
        <v>0</v>
      </c>
      <c r="K224" s="92" t="str">
        <f t="shared" si="79"/>
        <v>4017/4018</v>
      </c>
      <c r="L224" s="21" t="str">
        <f>VLOOKUP(A224,'Trips&amp;Operators'!$C$1:$G$99999,5,FALSE)</f>
        <v>FORTUNATO FRANK</v>
      </c>
      <c r="M224" s="6">
        <f t="shared" si="80"/>
        <v>2.0138888867222704E-3</v>
      </c>
      <c r="N224" s="7">
        <f t="shared" si="92"/>
        <v>2.8999999968800694</v>
      </c>
      <c r="O224" s="7"/>
      <c r="P224" s="7"/>
      <c r="Q224" s="22"/>
      <c r="R224" s="190"/>
      <c r="S224" s="196">
        <f t="shared" si="93"/>
        <v>0</v>
      </c>
      <c r="T224" s="190" t="e">
        <f t="shared" si="81"/>
        <v>#VALUE!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1" t="str">
        <f t="shared" si="82"/>
        <v>https://d0f6bd738d7f1b3e5a7ca70fe4ff75f0.us-east-1.aws.found.io/app/kibana#/discover/Steve-Slow-Train-Analysis-(2080s-and-2083s)?_g=(refreshInterval:(display:Off,pause:!f,section:0,value:0),time:(from:'2017-05-20T18:37:38-0600',mode:absolute,to:'2017-05-20T20:47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4" s="192" t="str">
        <f t="shared" si="83"/>
        <v>Y</v>
      </c>
      <c r="X224" s="192" t="e">
        <f t="shared" si="84"/>
        <v>#VALUE!</v>
      </c>
      <c r="Y224" s="192">
        <f t="shared" si="85"/>
        <v>0.12180000000000001</v>
      </c>
      <c r="Z224" s="192">
        <f t="shared" si="86"/>
        <v>0.53290000000000004</v>
      </c>
      <c r="AA224" s="192">
        <f t="shared" si="87"/>
        <v>0.41110000000000002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88"/>
        <v>73-20</v>
      </c>
      <c r="AE224" s="80" t="str">
        <f t="shared" si="89"/>
        <v>aws s3 cp s3://rtdc.mdm.uploadarchive.raw/RTDC4018/ "%USERPROFILE%\AppData\Local\Temp\OnboardLogs"\RTDC4018\2017-05-20 --exclude "*" --recursive --include "*20170520*" &amp; "%USERPROFILE%\Documents\GitHub\mrs-test-scripts\Headless Mode &amp; Sideloading\WalkAndUnGZ.bat" "%USERPROFILE%\AppData\Local\Temp\OnboardLogs"\RTDC4018\2017-05-20 &amp; aws s3 cp s3://rtdc.mdm.uploadarchive.raw/RTDC4018/ "%USERPROFILE%\AppData\Local\Temp\OnboardLogs"\RTDC4018\2017-05-21 --exclude "*" --recursive --include "*20170521*" &amp; "%USERPROFILE%\Documents\GitHub\mrs-test-scripts\Headless Mode &amp; Sideloading\WalkAndUnGZ.bat" "%USERPROFILE%\AppData\Local\Temp\OnboardLogs"\RTDC4018\2017-05-21</v>
      </c>
      <c r="AF224" s="77" t="str">
        <f t="shared" si="90"/>
        <v>"C:\Program Files (x86)\AstroGrep\AstroGrep.exe" /e /r /s /spath="%USERPROFILE%\AppData\Local\Temp\OnboardLogs" /stypes="app*4018*20170521*" /stext=" 01:.+((SYSTEM_STATE.+slice.+state.+changed )|(ment ac)|(multiple cpu faults)|(system.+state.+changed )|(\[timeout)|(PRM\|1\|D)|(kpr)|(kdp)|(train st.+moving)|(\|lc)|(penalty))"</v>
      </c>
      <c r="AG224" s="1" t="str">
        <f t="shared" si="91"/>
        <v>Other</v>
      </c>
      <c r="AH224" s="81" t="str">
        <f t="shared" si="75"/>
        <v>"%USERPROFILE%\Documents\GitHub\eaglep3\Utilities\RefineRTDCRunTimes.py" --tripid 73-20 --locoid 4018 --swversion DE.1.0.9.0 --startMP 204:1218 --initTime 2017-05-20T19:37:38 --startdatetime 2017-05-20T19:44:42 --delay 1 --endMP 300:5329 --enddatetime 2017-05-20T19:47:36 --enforcementcount 0 &gt;&gt;C:\Users\stu\Documents\GitHub\eaglep3-reporting\EC\2017-05-20-refined-times.txt</v>
      </c>
      <c r="AI224" s="99" t="str">
        <f t="shared" si="76"/>
        <v>echo {"issue":{"subject":"","project_id":79,"tracker_id":40,"status_id":1,"priority_id":2,"assigned_to_id":23,"start_date":"2017-05-20","description":"","custom_fields":[{"id":1,"name":"Subdivision","value":"Other"},{"id":4,"name":"Milepost","value":"0.5329"},{"id":17,"name":"Train ID","value":"73-20"},{"id":16,"name":"Locomotive ID","value":"4018"},{"id":130,"name":"Impact","value":""},{"id":150,"name":"Time of Event (Mountain Time)","value":"19:47:36"},{"id":151,"name":"Denver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77"/>
        <v>start /low /b %USERPROFILE%\Documents\GitHub\eaglep3\Utilities\DownloadLogsFromS3.py --loco 4018 --day 2017-05-20</v>
      </c>
      <c r="AN224" s="154" t="str">
        <f t="shared" si="78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01:47:36"},{"id":29,"name":"Sharepoint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640</v>
      </c>
      <c r="B225" s="7">
        <v>4061</v>
      </c>
      <c r="C225" s="21" t="s">
        <v>206</v>
      </c>
      <c r="D225" s="21" t="s">
        <v>877</v>
      </c>
      <c r="E225" s="13">
        <v>42875.979201388887</v>
      </c>
      <c r="F225" s="13">
        <v>42875.980856481481</v>
      </c>
      <c r="G225" s="7">
        <v>1</v>
      </c>
      <c r="H225" s="21" t="s">
        <v>368</v>
      </c>
      <c r="I225" s="13">
        <v>42876.0158912037</v>
      </c>
      <c r="J225" s="7">
        <v>0</v>
      </c>
      <c r="K225" s="92" t="str">
        <f t="shared" si="79"/>
        <v>4061/4062</v>
      </c>
      <c r="L225" s="21" t="str">
        <f>VLOOKUP(A225,'Trips&amp;Operators'!$C$1:$G$99999,5,FALSE)</f>
        <v>SULLIVAN BRANDON</v>
      </c>
      <c r="M225" s="6">
        <f t="shared" si="80"/>
        <v>3.5034722219279502E-2</v>
      </c>
      <c r="N225" s="7">
        <f t="shared" si="92"/>
        <v>50.449999995762482</v>
      </c>
      <c r="O225" s="7"/>
      <c r="P225" s="7"/>
      <c r="Q225" s="22"/>
      <c r="R225" s="190"/>
      <c r="S225" s="196">
        <f t="shared" si="93"/>
        <v>0</v>
      </c>
      <c r="T225" s="190" t="e">
        <f t="shared" si="81"/>
        <v>#VALUE!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1" t="str">
        <f t="shared" si="82"/>
        <v>https://d0f6bd738d7f1b3e5a7ca70fe4ff75f0.us-east-1.aws.found.io/app/kibana#/discover/Steve-Slow-Train-Analysis-(2080s-and-2083s)?_g=(refreshInterval:(display:Off,pause:!f,section:0,value:0),time:(from:'2017-05-20T22:30:03-0600',mode:absolute,to:'2017-05-21T01:22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5" s="192" t="str">
        <f t="shared" si="83"/>
        <v>N</v>
      </c>
      <c r="X225" s="192" t="e">
        <f t="shared" si="84"/>
        <v>#VALUE!</v>
      </c>
      <c r="Y225" s="192">
        <f t="shared" si="85"/>
        <v>23.298100000000002</v>
      </c>
      <c r="Z225" s="192">
        <f t="shared" si="86"/>
        <v>1.41E-2</v>
      </c>
      <c r="AA225" s="192">
        <f t="shared" si="87"/>
        <v>23.284000000000002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88"/>
        <v>80-20</v>
      </c>
      <c r="AE225" s="80" t="str">
        <f t="shared" si="89"/>
        <v>aws s3 cp s3://rtdc.mdm.uploadarchive.raw/RTDC4061/ "%USERPROFILE%\AppData\Local\Temp\OnboardLogs"\RTDC4061\2017-05-20 --exclude "*" --recursive --include "*20170520*" &amp; "%USERPROFILE%\Documents\GitHub\mrs-test-scripts\Headless Mode &amp; Sideloading\WalkAndUnGZ.bat" "%USERPROFILE%\AppData\Local\Temp\OnboardLogs"\RTDC4061\2017-05-20 &amp; aws s3 cp s3://rtdc.mdm.uploadarchive.raw/RTDC4061/ "%USERPROFILE%\AppData\Local\Temp\OnboardLogs"\RTDC4061\2017-05-21 --exclude "*" --recursive --include "*20170521*" &amp; "%USERPROFILE%\Documents\GitHub\mrs-test-scripts\Headless Mode &amp; Sideloading\WalkAndUnGZ.bat" "%USERPROFILE%\AppData\Local\Temp\OnboardLogs"\RTDC4061\2017-05-21</v>
      </c>
      <c r="AF225" s="77" t="str">
        <f t="shared" si="90"/>
        <v>"C:\Program Files (x86)\AstroGrep\AstroGrep.exe" /e /r /s /spath="%USERPROFILE%\AppData\Local\Temp\OnboardLogs" /stypes="app*4061*20170521*" /stext=" 06:.+((SYSTEM_STATE.+slice.+state.+changed )|(ment ac)|(multiple cpu faults)|(system.+state.+changed )|(\[timeout)|(PRM\|1\|D)|(kpr)|(kdp)|(train st.+moving)|(\|lc)|(penalty))"</v>
      </c>
      <c r="AG225" s="1" t="str">
        <f t="shared" si="91"/>
        <v>Other</v>
      </c>
      <c r="AH225" s="81" t="str">
        <f t="shared" si="75"/>
        <v>"%USERPROFILE%\Documents\GitHub\eaglep3\Utilities\RefineRTDCRunTimes.py" --tripid 80-20 --locoid 4061 --swversion DE.1.0.9.0 --startMP 204:232981 --initTime 2017-05-20T23:30:03 --startdatetime 2017-05-20T23:32:26 --delay 1 --endMP 204:141 --enddatetime 2017-05-21T00:22:53 --enforcementcount 0 &gt;&gt;C:\Users\stu\Documents\GitHub\eaglep3-reporting\EC\2017-05-20-refined-times.txt</v>
      </c>
      <c r="AI225" s="99" t="str">
        <f t="shared" si="76"/>
        <v>echo {"issue":{"subject":"","project_id":79,"tracker_id":40,"status_id":1,"priority_id":2,"assigned_to_id":23,"start_date":"2017-05-21","description":"","custom_fields":[{"id":1,"name":"Subdivision","value":"Other"},{"id":4,"name":"Milepost","value":"0.0141"},{"id":17,"name":"Train ID","value":"80-20"},{"id":16,"name":"Locomotive ID","value":"4061"},{"id":130,"name":"Impact","value":""},{"id":150,"name":"Time of Event (Mountain Time)","value":"00:22:53"},{"id":151,"name":"Denver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77"/>
        <v>start /low /b %USERPROFILE%\Documents\GitHub\eaglep3\Utilities\DownloadLogsFromS3.py --loco 4061 --day 2017-05-20</v>
      </c>
      <c r="AN225" s="154" t="str">
        <f t="shared" si="78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06:22:53"},{"id":29,"name":"Sharepoint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640</v>
      </c>
      <c r="B226" s="7">
        <v>4061</v>
      </c>
      <c r="C226" s="21" t="s">
        <v>206</v>
      </c>
      <c r="D226" s="21" t="s">
        <v>421</v>
      </c>
      <c r="E226" s="13">
        <v>42875.900173611109</v>
      </c>
      <c r="F226" s="13">
        <v>42875.90179398148</v>
      </c>
      <c r="G226" s="7">
        <v>1</v>
      </c>
      <c r="H226" s="21" t="s">
        <v>354</v>
      </c>
      <c r="I226" s="13">
        <v>42875.931898148148</v>
      </c>
      <c r="J226" s="7">
        <v>0</v>
      </c>
      <c r="K226" s="92" t="str">
        <f t="shared" si="79"/>
        <v>4061/4062</v>
      </c>
      <c r="L226" s="21" t="str">
        <f>VLOOKUP(A226,'Trips&amp;Operators'!$C$1:$G$99999,5,FALSE)</f>
        <v>SULLIVAN BRANDON</v>
      </c>
      <c r="M226" s="6">
        <f t="shared" si="80"/>
        <v>3.0104166668024845E-2</v>
      </c>
      <c r="N226" s="7">
        <f t="shared" si="92"/>
        <v>43.350000001955777</v>
      </c>
      <c r="O226" s="7"/>
      <c r="P226" s="7"/>
      <c r="Q226" s="22"/>
      <c r="R226" s="190"/>
      <c r="S226" s="196">
        <f t="shared" si="93"/>
        <v>0</v>
      </c>
      <c r="T226" s="190" t="e">
        <f t="shared" si="81"/>
        <v>#VALUE!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1" t="str">
        <f t="shared" si="82"/>
        <v>https://d0f6bd738d7f1b3e5a7ca70fe4ff75f0.us-east-1.aws.found.io/app/kibana#/discover/Steve-Slow-Train-Analysis-(2080s-and-2083s)?_g=(refreshInterval:(display:Off,pause:!f,section:0,value:0),time:(from:'2017-05-20T20:36:15-0600',mode:absolute,to:'2017-05-20T23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6" s="192" t="str">
        <f t="shared" si="83"/>
        <v>N</v>
      </c>
      <c r="X226" s="192" t="e">
        <f t="shared" si="84"/>
        <v>#VALUE!</v>
      </c>
      <c r="Y226" s="192">
        <f t="shared" si="85"/>
        <v>23.298200000000001</v>
      </c>
      <c r="Z226" s="192">
        <f t="shared" si="86"/>
        <v>1.6E-2</v>
      </c>
      <c r="AA226" s="192">
        <f t="shared" si="87"/>
        <v>23.282200000000003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88"/>
        <v>80-20</v>
      </c>
      <c r="AE226" s="80" t="str">
        <f t="shared" si="89"/>
        <v>aws s3 cp s3://rtdc.mdm.uploadarchive.raw/RTDC4061/ "%USERPROFILE%\AppData\Local\Temp\OnboardLogs"\RTDC4061\2017-05-20 --exclude "*" --recursive --include "*20170520*" &amp; "%USERPROFILE%\Documents\GitHub\mrs-test-scripts\Headless Mode &amp; Sideloading\WalkAndUnGZ.bat" "%USERPROFILE%\AppData\Local\Temp\OnboardLogs"\RTDC4061\2017-05-20 &amp; aws s3 cp s3://rtdc.mdm.uploadarchive.raw/RTDC4061/ "%USERPROFILE%\AppData\Local\Temp\OnboardLogs"\RTDC4061\2017-05-21 --exclude "*" --recursive --include "*20170521*" &amp; "%USERPROFILE%\Documents\GitHub\mrs-test-scripts\Headless Mode &amp; Sideloading\WalkAndUnGZ.bat" "%USERPROFILE%\AppData\Local\Temp\OnboardLogs"\RTDC4061\2017-05-21</v>
      </c>
      <c r="AF226" s="77" t="str">
        <f t="shared" si="90"/>
        <v>"C:\Program Files (x86)\AstroGrep\AstroGrep.exe" /e /r /s /spath="%USERPROFILE%\AppData\Local\Temp\OnboardLogs" /stypes="app*4061*20170521*" /stext=" 04:.+((SYSTEM_STATE.+slice.+state.+changed )|(ment ac)|(multiple cpu faults)|(system.+state.+changed )|(\[timeout)|(PRM\|1\|D)|(kpr)|(kdp)|(train st.+moving)|(\|lc)|(penalty))"</v>
      </c>
      <c r="AG226" s="1" t="str">
        <f t="shared" si="91"/>
        <v>Other</v>
      </c>
      <c r="AH226" s="81" t="str">
        <f t="shared" si="75"/>
        <v>"%USERPROFILE%\Documents\GitHub\eaglep3\Utilities\RefineRTDCRunTimes.py" --tripid 80-20 --locoid 4061 --swversion DE.1.0.9.0 --startMP 204:232982 --initTime 2017-05-20T21:36:15 --startdatetime 2017-05-20T21:38:35 --delay 1 --endMP 204:160 --enddatetime 2017-05-20T22:21:56 --enforcementcount 0 &gt;&gt;C:\Users\stu\Documents\GitHub\eaglep3-reporting\EC\2017-05-20-refined-times.txt</v>
      </c>
      <c r="AI226" s="99" t="str">
        <f t="shared" si="76"/>
        <v>echo {"issue":{"subject":"","project_id":79,"tracker_id":40,"status_id":1,"priority_id":2,"assigned_to_id":23,"start_date":"2017-05-20","description":"","custom_fields":[{"id":1,"name":"Subdivision","value":"Other"},{"id":4,"name":"Milepost","value":"0.016"},{"id":17,"name":"Train ID","value":"80-20"},{"id":16,"name":"Locomotive ID","value":"4061"},{"id":130,"name":"Impact","value":""},{"id":150,"name":"Time of Event (Mountain Time)","value":"22:21:56"},{"id":151,"name":"Denver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77"/>
        <v>start /low /b %USERPROFILE%\Documents\GitHub\eaglep3\Utilities\DownloadLogsFromS3.py --loco 4061 --day 2017-05-20</v>
      </c>
      <c r="AN226" s="154" t="str">
        <f t="shared" si="78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04:21:56"},{"id":29,"name":"Sharepoint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640</v>
      </c>
      <c r="B227" s="7">
        <v>4061</v>
      </c>
      <c r="C227" s="21" t="s">
        <v>206</v>
      </c>
      <c r="D227" s="21" t="s">
        <v>421</v>
      </c>
      <c r="E227" s="13">
        <v>42876.061018518521</v>
      </c>
      <c r="F227" s="13">
        <v>42876.062465277777</v>
      </c>
      <c r="G227" s="7">
        <v>1</v>
      </c>
      <c r="H227" s="21" t="s">
        <v>354</v>
      </c>
      <c r="I227" s="13">
        <v>42876.093275462961</v>
      </c>
      <c r="J227" s="7">
        <v>0</v>
      </c>
      <c r="K227" s="92" t="str">
        <f t="shared" si="79"/>
        <v>4061/4062</v>
      </c>
      <c r="L227" s="21" t="str">
        <f>VLOOKUP(A227,'Trips&amp;Operators'!$C$1:$G$99999,5,FALSE)</f>
        <v>SULLIVAN BRANDON</v>
      </c>
      <c r="M227" s="6">
        <f t="shared" si="80"/>
        <v>3.0810185184236616E-2</v>
      </c>
      <c r="N227" s="7">
        <f t="shared" si="92"/>
        <v>44.366666665300727</v>
      </c>
      <c r="O227" s="7"/>
      <c r="P227" s="7"/>
      <c r="Q227" s="22"/>
      <c r="R227" s="190"/>
      <c r="S227" s="196">
        <f t="shared" si="93"/>
        <v>0</v>
      </c>
      <c r="T227" s="190" t="e">
        <f t="shared" si="81"/>
        <v>#VALUE!</v>
      </c>
      <c r="U227" s="19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1" t="str">
        <f t="shared" si="82"/>
        <v>https://d0f6bd738d7f1b3e5a7ca70fe4ff75f0.us-east-1.aws.found.io/app/kibana#/discover/Steve-Slow-Train-Analysis-(2080s-and-2083s)?_g=(refreshInterval:(display:Off,pause:!f,section:0,value:0),time:(from:'2017-05-21T00:27:52-0600',mode:absolute,to:'2017-05-21T03:14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7" s="192" t="str">
        <f t="shared" si="83"/>
        <v>N</v>
      </c>
      <c r="X227" s="192" t="e">
        <f t="shared" si="84"/>
        <v>#VALUE!</v>
      </c>
      <c r="Y227" s="192">
        <f t="shared" si="85"/>
        <v>23.298200000000001</v>
      </c>
      <c r="Z227" s="192">
        <f t="shared" si="86"/>
        <v>1.6E-2</v>
      </c>
      <c r="AA227" s="192">
        <f t="shared" si="87"/>
        <v>23.282200000000003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88"/>
        <v>80-20</v>
      </c>
      <c r="AE227" s="80" t="str">
        <f t="shared" si="89"/>
        <v>aws s3 cp s3://rtdc.mdm.uploadarchive.raw/RTDC4061/ "%USERPROFILE%\AppData\Local\Temp\OnboardLogs"\RTDC4061\2017-05-21 --exclude "*" --recursive --include "*20170521*" &amp; "%USERPROFILE%\Documents\GitHub\mrs-test-scripts\Headless Mode &amp; Sideloading\WalkAndUnGZ.bat" "%USERPROFILE%\AppData\Local\Temp\OnboardLogs"\RTDC4061\2017-05-21 &amp; aws s3 cp s3://rtdc.mdm.uploadarchive.raw/RTDC4061/ "%USERPROFILE%\AppData\Local\Temp\OnboardLogs"\RTDC4061\2017-05-22 --exclude "*" --recursive --include "*20170522*" &amp; "%USERPROFILE%\Documents\GitHub\mrs-test-scripts\Headless Mode &amp; Sideloading\WalkAndUnGZ.bat" "%USERPROFILE%\AppData\Local\Temp\OnboardLogs"\RTDC4061\2017-05-22</v>
      </c>
      <c r="AF227" s="77" t="str">
        <f t="shared" si="90"/>
        <v>"C:\Program Files (x86)\AstroGrep\AstroGrep.exe" /e /r /s /spath="%USERPROFILE%\AppData\Local\Temp\OnboardLogs" /stypes="app*4061*20170521*" /stext=" 08:.+((SYSTEM_STATE.+slice.+state.+changed )|(ment ac)|(multiple cpu faults)|(system.+state.+changed )|(\[timeout)|(PRM\|1\|D)|(kpr)|(kdp)|(train st.+moving)|(\|lc)|(penalty))"</v>
      </c>
      <c r="AG227" s="1" t="str">
        <f t="shared" si="91"/>
        <v>Other</v>
      </c>
      <c r="AH227" s="81" t="str">
        <f t="shared" si="75"/>
        <v>"%USERPROFILE%\Documents\GitHub\eaglep3\Utilities\RefineRTDCRunTimes.py" --tripid 80-20 --locoid 4061 --swversion DE.1.0.9.0 --startMP 204:232982 --initTime 2017-05-21T01:27:52 --startdatetime 2017-05-21T01:29:57 --delay 1 --endMP 204:160 --enddatetime 2017-05-21T02:14:19 --enforcementcount 0 &gt;&gt;C:\Users\stu\Documents\GitHub\eaglep3-reporting\EC\2017-05-20-refined-times.txt</v>
      </c>
      <c r="AI227" s="99" t="str">
        <f t="shared" si="76"/>
        <v>echo {"issue":{"subject":"","project_id":79,"tracker_id":40,"status_id":1,"priority_id":2,"assigned_to_id":23,"start_date":"2017-05-21","description":"","custom_fields":[{"id":1,"name":"Subdivision","value":"Other"},{"id":4,"name":"Milepost","value":"0.016"},{"id":17,"name":"Train ID","value":"80-20"},{"id":16,"name":"Locomotive ID","value":"4061"},{"id":130,"name":"Impact","value":""},{"id":150,"name":"Time of Event (Mountain Time)","value":"02:14:19"},{"id":151,"name":"Denver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77"/>
        <v>start /low /b %USERPROFILE%\Documents\GitHub\eaglep3\Utilities\DownloadLogsFromS3.py --loco 4061 --day 2017-05-21</v>
      </c>
      <c r="AN227" s="154" t="str">
        <f t="shared" si="78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08:14:19"},{"id":29,"name":"Sharepoint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640</v>
      </c>
      <c r="B228" s="7">
        <v>4061</v>
      </c>
      <c r="C228" s="21" t="s">
        <v>206</v>
      </c>
      <c r="D228" s="21" t="s">
        <v>1006</v>
      </c>
      <c r="E228" s="13">
        <v>42875.838842592595</v>
      </c>
      <c r="F228" s="13">
        <v>42875.843414351853</v>
      </c>
      <c r="G228" s="7">
        <v>6</v>
      </c>
      <c r="H228" s="21" t="s">
        <v>1007</v>
      </c>
      <c r="I228" s="13">
        <v>42875.849502314813</v>
      </c>
      <c r="J228" s="7">
        <v>0</v>
      </c>
      <c r="K228" s="92" t="str">
        <f t="shared" si="79"/>
        <v>4061/4062</v>
      </c>
      <c r="L228" s="21" t="str">
        <f>VLOOKUP(A228,'Trips&amp;Operators'!$C$1:$G$99999,5,FALSE)</f>
        <v>SULLIVAN BRANDON</v>
      </c>
      <c r="M228" s="6">
        <f t="shared" si="80"/>
        <v>6.0879629600094631E-3</v>
      </c>
      <c r="N228" s="7">
        <f t="shared" si="92"/>
        <v>8.7666666624136269</v>
      </c>
      <c r="O228" s="7"/>
      <c r="P228" s="7"/>
      <c r="Q228" s="22"/>
      <c r="R228" s="190"/>
      <c r="S228" s="196">
        <f t="shared" si="93"/>
        <v>0</v>
      </c>
      <c r="T228" s="190" t="e">
        <f t="shared" si="81"/>
        <v>#VALUE!</v>
      </c>
      <c r="U228" s="19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1" t="str">
        <f t="shared" si="82"/>
        <v>https://d0f6bd738d7f1b3e5a7ca70fe4ff75f0.us-east-1.aws.found.io/app/kibana#/discover/Steve-Slow-Train-Analysis-(2080s-and-2083s)?_g=(refreshInterval:(display:Off,pause:!f,section:0,value:0),time:(from:'2017-05-20T19:07:56-0600',mode:absolute,to:'2017-05-20T21:23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8" s="192" t="str">
        <f t="shared" si="83"/>
        <v>Y</v>
      </c>
      <c r="X228" s="192" t="e">
        <f t="shared" si="84"/>
        <v>#VALUE!</v>
      </c>
      <c r="Y228" s="192">
        <f t="shared" si="85"/>
        <v>2.3561000000000001</v>
      </c>
      <c r="Z228" s="192">
        <f t="shared" si="86"/>
        <v>8.8400000000000006E-2</v>
      </c>
      <c r="AA228" s="192">
        <f t="shared" si="87"/>
        <v>2.2677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88"/>
        <v>80-20</v>
      </c>
      <c r="AE228" s="80" t="str">
        <f t="shared" si="89"/>
        <v>aws s3 cp s3://rtdc.mdm.uploadarchive.raw/RTDC4061/ "%USERPROFILE%\AppData\Local\Temp\OnboardLogs"\RTDC4061\2017-05-20 --exclude "*" --recursive --include "*20170520*" &amp; "%USERPROFILE%\Documents\GitHub\mrs-test-scripts\Headless Mode &amp; Sideloading\WalkAndUnGZ.bat" "%USERPROFILE%\AppData\Local\Temp\OnboardLogs"\RTDC4061\2017-05-20 &amp; aws s3 cp s3://rtdc.mdm.uploadarchive.raw/RTDC4061/ "%USERPROFILE%\AppData\Local\Temp\OnboardLogs"\RTDC4061\2017-05-21 --exclude "*" --recursive --include "*20170521*" &amp; "%USERPROFILE%\Documents\GitHub\mrs-test-scripts\Headless Mode &amp; Sideloading\WalkAndUnGZ.bat" "%USERPROFILE%\AppData\Local\Temp\OnboardLogs"\RTDC4061\2017-05-21</v>
      </c>
      <c r="AF228" s="77" t="str">
        <f t="shared" si="90"/>
        <v>"C:\Program Files (x86)\AstroGrep\AstroGrep.exe" /e /r /s /spath="%USERPROFILE%\AppData\Local\Temp\OnboardLogs" /stypes="app*4061*20170521*" /stext=" 02:.+((SYSTEM_STATE.+slice.+state.+changed )|(ment ac)|(multiple cpu faults)|(system.+state.+changed )|(\[timeout)|(PRM\|1\|D)|(kpr)|(kdp)|(train st.+moving)|(\|lc)|(penalty))"</v>
      </c>
      <c r="AG228" s="1" t="str">
        <f t="shared" si="91"/>
        <v>Other</v>
      </c>
      <c r="AH228" s="81" t="str">
        <f t="shared" si="75"/>
        <v>"%USERPROFILE%\Documents\GitHub\eaglep3\Utilities\RefineRTDCRunTimes.py" --tripid 80-20 --locoid 4061 --swversion DE.1.0.9.0 --startMP 300:23561 --initTime 2017-05-20T20:07:56 --startdatetime 2017-05-20T20:14:31 --delay 6 --endMP 204:884 --enddatetime 2017-05-20T20:23:17 --enforcementcount 0 &gt;&gt;C:\Users\stu\Documents\GitHub\eaglep3-reporting\EC\2017-05-20-refined-times.txt</v>
      </c>
      <c r="AI228" s="99" t="str">
        <f t="shared" si="76"/>
        <v>echo {"issue":{"subject":"","project_id":79,"tracker_id":40,"status_id":1,"priority_id":2,"assigned_to_id":23,"start_date":"2017-05-20","description":"","custom_fields":[{"id":1,"name":"Subdivision","value":"Other"},{"id":4,"name":"Milepost","value":"0.0884"},{"id":17,"name":"Train ID","value":"80-20"},{"id":16,"name":"Locomotive ID","value":"4061"},{"id":130,"name":"Impact","value":""},{"id":150,"name":"Time of Event (Mountain Time)","value":"20:23:17"},{"id":151,"name":"Denver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77"/>
        <v>start /low /b %USERPROFILE%\Documents\GitHub\eaglep3\Utilities\DownloadLogsFromS3.py --loco 4061 --day 2017-05-20</v>
      </c>
      <c r="AN228" s="154" t="str">
        <f t="shared" si="78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02:23:17"},{"id":29,"name":"Sharepoint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643</v>
      </c>
      <c r="B229" s="7">
        <v>4062</v>
      </c>
      <c r="C229" s="21" t="s">
        <v>206</v>
      </c>
      <c r="D229" s="21" t="s">
        <v>1008</v>
      </c>
      <c r="E229" s="13">
        <v>42875.851759259262</v>
      </c>
      <c r="F229" s="13">
        <v>42875.861446759256</v>
      </c>
      <c r="G229" s="7">
        <v>1</v>
      </c>
      <c r="H229" s="21" t="s">
        <v>431</v>
      </c>
      <c r="I229" s="13">
        <v>42875.888726851852</v>
      </c>
      <c r="J229" s="7">
        <v>0</v>
      </c>
      <c r="K229" s="92" t="str">
        <f t="shared" si="79"/>
        <v>4061/4062</v>
      </c>
      <c r="L229" s="21" t="str">
        <f>VLOOKUP(A229,'Trips&amp;Operators'!$C$1:$G$99999,5,FALSE)</f>
        <v>SULLIVAN BRANDON</v>
      </c>
      <c r="M229" s="6">
        <f t="shared" si="80"/>
        <v>2.7280092595901806E-2</v>
      </c>
      <c r="N229" s="7">
        <f t="shared" si="92"/>
        <v>39.283333338098601</v>
      </c>
      <c r="O229" s="7"/>
      <c r="P229" s="7"/>
      <c r="Q229" s="22"/>
      <c r="R229" s="190"/>
      <c r="S229" s="196">
        <f t="shared" si="93"/>
        <v>0</v>
      </c>
      <c r="T229" s="190" t="e">
        <f t="shared" si="81"/>
        <v>#VALUE!</v>
      </c>
      <c r="U229" s="19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1" t="str">
        <f t="shared" si="82"/>
        <v>https://d0f6bd738d7f1b3e5a7ca70fe4ff75f0.us-east-1.aws.found.io/app/kibana#/discover/Steve-Slow-Train-Analysis-(2080s-and-2083s)?_g=(refreshInterval:(display:Off,pause:!f,section:0,value:0),time:(from:'2017-05-20T19:26:32-0600',mode:absolute,to:'2017-05-20T22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9" s="192" t="str">
        <f t="shared" si="83"/>
        <v>N</v>
      </c>
      <c r="X229" s="192" t="e">
        <f t="shared" si="84"/>
        <v>#VALUE!</v>
      </c>
      <c r="Y229" s="192">
        <f t="shared" si="85"/>
        <v>0.1203</v>
      </c>
      <c r="Z229" s="192">
        <f t="shared" si="86"/>
        <v>23.330300000000001</v>
      </c>
      <c r="AA229" s="192">
        <f t="shared" si="87"/>
        <v>23.21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88"/>
        <v>81-20</v>
      </c>
      <c r="AE229" s="80" t="str">
        <f t="shared" si="89"/>
        <v>aws s3 cp s3://rtdc.mdm.uploadarchive.raw/RTDC4062/ "%USERPROFILE%\AppData\Local\Temp\OnboardLogs"\RTDC4062\2017-05-20 --exclude "*" --recursive --include "*20170520*" &amp; "%USERPROFILE%\Documents\GitHub\mrs-test-scripts\Headless Mode &amp; Sideloading\WalkAndUnGZ.bat" "%USERPROFILE%\AppData\Local\Temp\OnboardLogs"\RTDC4062\2017-05-20 &amp; aws s3 cp s3://rtdc.mdm.uploadarchive.raw/RTDC4062/ "%USERPROFILE%\AppData\Local\Temp\OnboardLogs"\RTDC4062\2017-05-21 --exclude "*" --recursive --include "*20170521*" &amp; "%USERPROFILE%\Documents\GitHub\mrs-test-scripts\Headless Mode &amp; Sideloading\WalkAndUnGZ.bat" "%USERPROFILE%\AppData\Local\Temp\OnboardLogs"\RTDC4062\2017-05-21</v>
      </c>
      <c r="AF229" s="77" t="str">
        <f t="shared" si="90"/>
        <v>"C:\Program Files (x86)\AstroGrep\AstroGrep.exe" /e /r /s /spath="%USERPROFILE%\AppData\Local\Temp\OnboardLogs" /stypes="app*4062*20170521*" /stext=" 03:.+((SYSTEM_STATE.+slice.+state.+changed )|(ment ac)|(multiple cpu faults)|(system.+state.+changed )|(\[timeout)|(PRM\|1\|D)|(kpr)|(kdp)|(train st.+moving)|(\|lc)|(penalty))"</v>
      </c>
      <c r="AG229" s="1" t="str">
        <f t="shared" si="91"/>
        <v>Other</v>
      </c>
      <c r="AH229" s="81" t="str">
        <f t="shared" si="75"/>
        <v>"%USERPROFILE%\Documents\GitHub\eaglep3\Utilities\RefineRTDCRunTimes.py" --tripid 81-20 --locoid 4062 --swversion DE.1.0.9.0 --startMP 204:1203 --initTime 2017-05-20T20:26:32 --startdatetime 2017-05-20T20:40:29 --delay 1 --endMP 204:233303 --enddatetime 2017-05-20T21:19:46 --enforcementcount 0 &gt;&gt;C:\Users\stu\Documents\GitHub\eaglep3-reporting\EC\2017-05-20-refined-times.txt</v>
      </c>
      <c r="AI229" s="99" t="str">
        <f t="shared" si="76"/>
        <v>echo {"issue":{"subject":"","project_id":79,"tracker_id":40,"status_id":1,"priority_id":2,"assigned_to_id":23,"start_date":"2017-05-20","description":"","custom_fields":[{"id":1,"name":"Subdivision","value":"Other"},{"id":4,"name":"Milepost","value":"23.3303"},{"id":17,"name":"Train ID","value":"81-20"},{"id":16,"name":"Locomotive ID","value":"4062"},{"id":130,"name":"Impact","value":""},{"id":150,"name":"Time of Event (Mountain Time)","value":"21:19:46"},{"id":151,"name":"Denver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77"/>
        <v>start /low /b %USERPROFILE%\Documents\GitHub\eaglep3\Utilities\DownloadLogsFromS3.py --loco 4062 --day 2017-05-20</v>
      </c>
      <c r="AN229" s="154" t="str">
        <f t="shared" si="78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03:19:46"},{"id":29,"name":"Sharepoint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643</v>
      </c>
      <c r="B230" s="7">
        <v>4062</v>
      </c>
      <c r="C230" s="21" t="s">
        <v>206</v>
      </c>
      <c r="D230" s="21" t="s">
        <v>364</v>
      </c>
      <c r="E230" s="13">
        <v>42876.021562499998</v>
      </c>
      <c r="F230" s="13">
        <v>42876.023993055554</v>
      </c>
      <c r="G230" s="7">
        <v>1</v>
      </c>
      <c r="H230" s="21" t="s">
        <v>419</v>
      </c>
      <c r="I230" s="13">
        <v>42876.055196759262</v>
      </c>
      <c r="J230" s="7">
        <v>0</v>
      </c>
      <c r="K230" s="92" t="str">
        <f t="shared" si="79"/>
        <v>4061/4062</v>
      </c>
      <c r="L230" s="21" t="str">
        <f>VLOOKUP(A230,'Trips&amp;Operators'!$C$1:$G$99999,5,FALSE)</f>
        <v>SULLIVAN BRANDON</v>
      </c>
      <c r="M230" s="6">
        <f t="shared" si="80"/>
        <v>3.1203703707433306E-2</v>
      </c>
      <c r="N230" s="7">
        <f t="shared" si="92"/>
        <v>44.93333333870396</v>
      </c>
      <c r="O230" s="7"/>
      <c r="P230" s="7"/>
      <c r="Q230" s="22"/>
      <c r="R230" s="190"/>
      <c r="S230" s="196">
        <f t="shared" si="93"/>
        <v>0</v>
      </c>
      <c r="T230" s="190" t="e">
        <f t="shared" si="81"/>
        <v>#VALUE!</v>
      </c>
      <c r="U230" s="19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1" t="str">
        <f t="shared" si="82"/>
        <v>https://d0f6bd738d7f1b3e5a7ca70fe4ff75f0.us-east-1.aws.found.io/app/kibana#/discover/Steve-Slow-Train-Analysis-(2080s-and-2083s)?_g=(refreshInterval:(display:Off,pause:!f,section:0,value:0),time:(from:'2017-05-20T23:31:03-0600',mode:absolute,to:'2017-05-21T02:19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0" s="192" t="str">
        <f t="shared" si="83"/>
        <v>N</v>
      </c>
      <c r="X230" s="192" t="e">
        <f t="shared" si="84"/>
        <v>#VALUE!</v>
      </c>
      <c r="Y230" s="192">
        <f t="shared" si="85"/>
        <v>4.53E-2</v>
      </c>
      <c r="Z230" s="192">
        <f t="shared" si="86"/>
        <v>23.329499999999999</v>
      </c>
      <c r="AA230" s="192">
        <f t="shared" si="87"/>
        <v>23.284199999999998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88"/>
        <v>81-20</v>
      </c>
      <c r="AE230" s="80" t="str">
        <f t="shared" si="89"/>
        <v>aws s3 cp s3://rtdc.mdm.uploadarchive.raw/RTDC4062/ "%USERPROFILE%\AppData\Local\Temp\OnboardLogs"\RTDC4062\2017-05-21 --exclude "*" --recursive --include "*20170521*" &amp; "%USERPROFILE%\Documents\GitHub\mrs-test-scripts\Headless Mode &amp; Sideloading\WalkAndUnGZ.bat" "%USERPROFILE%\AppData\Local\Temp\OnboardLogs"\RTDC4062\2017-05-21 &amp; aws s3 cp s3://rtdc.mdm.uploadarchive.raw/RTDC4062/ "%USERPROFILE%\AppData\Local\Temp\OnboardLogs"\RTDC4062\2017-05-22 --exclude "*" --recursive --include "*20170522*" &amp; "%USERPROFILE%\Documents\GitHub\mrs-test-scripts\Headless Mode &amp; Sideloading\WalkAndUnGZ.bat" "%USERPROFILE%\AppData\Local\Temp\OnboardLogs"\RTDC4062\2017-05-22</v>
      </c>
      <c r="AF230" s="77" t="str">
        <f t="shared" si="90"/>
        <v>"C:\Program Files (x86)\AstroGrep\AstroGrep.exe" /e /r /s /spath="%USERPROFILE%\AppData\Local\Temp\OnboardLogs" /stypes="app*4062*20170521*" /stext=" 07:.+((SYSTEM_STATE.+slice.+state.+changed )|(ment ac)|(multiple cpu faults)|(system.+state.+changed )|(\[timeout)|(PRM\|1\|D)|(kpr)|(kdp)|(train st.+moving)|(\|lc)|(penalty))"</v>
      </c>
      <c r="AG230" s="1" t="str">
        <f t="shared" si="91"/>
        <v>Other</v>
      </c>
      <c r="AH230" s="81" t="str">
        <f t="shared" si="75"/>
        <v>"%USERPROFILE%\Documents\GitHub\eaglep3\Utilities\RefineRTDCRunTimes.py" --tripid 81-20 --locoid 4062 --swversion DE.1.0.9.0 --startMP 204:453 --initTime 2017-05-21T00:31:03 --startdatetime 2017-05-21T00:34:33 --delay 1 --endMP 204:233295 --enddatetime 2017-05-21T01:19:29 --enforcementcount 0 &gt;&gt;C:\Users\stu\Documents\GitHub\eaglep3-reporting\EC\2017-05-20-refined-times.txt</v>
      </c>
      <c r="AI230" s="99" t="str">
        <f t="shared" si="76"/>
        <v>echo {"issue":{"subject":"","project_id":79,"tracker_id":40,"status_id":1,"priority_id":2,"assigned_to_id":23,"start_date":"2017-05-21","description":"","custom_fields":[{"id":1,"name":"Subdivision","value":"Other"},{"id":4,"name":"Milepost","value":"23.3295"},{"id":17,"name":"Train ID","value":"81-20"},{"id":16,"name":"Locomotive ID","value":"4062"},{"id":130,"name":"Impact","value":""},{"id":150,"name":"Time of Event (Mountain Time)","value":"01:19:29"},{"id":151,"name":"Denver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77"/>
        <v>start /low /b %USERPROFILE%\Documents\GitHub\eaglep3\Utilities\DownloadLogsFromS3.py --loco 4062 --day 2017-05-21</v>
      </c>
      <c r="AN230" s="154" t="str">
        <f t="shared" si="78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07:19:29"},{"id":29,"name":"Sharepoint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643</v>
      </c>
      <c r="B231" s="7">
        <v>4062</v>
      </c>
      <c r="C231" s="21" t="s">
        <v>206</v>
      </c>
      <c r="D231" s="21" t="s">
        <v>856</v>
      </c>
      <c r="E231" s="13">
        <v>42875.943298611113</v>
      </c>
      <c r="F231" s="13">
        <v>42875.944780092592</v>
      </c>
      <c r="G231" s="7">
        <v>1</v>
      </c>
      <c r="H231" s="21" t="s">
        <v>419</v>
      </c>
      <c r="I231" s="13">
        <v>42875.972488425927</v>
      </c>
      <c r="J231" s="7">
        <v>0</v>
      </c>
      <c r="K231" s="92" t="str">
        <f t="shared" si="79"/>
        <v>4061/4062</v>
      </c>
      <c r="L231" s="21" t="str">
        <f>VLOOKUP(A231,'Trips&amp;Operators'!$C$1:$G$99999,5,FALSE)</f>
        <v>SULLIVAN BRANDON</v>
      </c>
      <c r="M231" s="6">
        <f t="shared" si="80"/>
        <v>2.7708333334885538E-2</v>
      </c>
      <c r="N231" s="7">
        <f t="shared" si="92"/>
        <v>39.900000002235174</v>
      </c>
      <c r="O231" s="7"/>
      <c r="P231" s="7"/>
      <c r="Q231" s="22"/>
      <c r="R231" s="190"/>
      <c r="S231" s="196">
        <f t="shared" si="93"/>
        <v>0</v>
      </c>
      <c r="T231" s="190" t="e">
        <f t="shared" si="81"/>
        <v>#VALUE!</v>
      </c>
      <c r="U231" s="19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1" t="str">
        <f t="shared" si="82"/>
        <v>https://d0f6bd738d7f1b3e5a7ca70fe4ff75f0.us-east-1.aws.found.io/app/kibana#/discover/Steve-Slow-Train-Analysis-(2080s-and-2083s)?_g=(refreshInterval:(display:Off,pause:!f,section:0,value:0),time:(from:'2017-05-20T21:38:21-0600',mode:absolute,to:'2017-05-21T00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1" s="192" t="str">
        <f t="shared" si="83"/>
        <v>N</v>
      </c>
      <c r="X231" s="192" t="e">
        <f t="shared" si="84"/>
        <v>#VALUE!</v>
      </c>
      <c r="Y231" s="192">
        <f t="shared" si="85"/>
        <v>4.6699999999999998E-2</v>
      </c>
      <c r="Z231" s="192">
        <f t="shared" si="86"/>
        <v>23.329499999999999</v>
      </c>
      <c r="AA231" s="192">
        <f t="shared" si="87"/>
        <v>23.282799999999998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88"/>
        <v>81-20</v>
      </c>
      <c r="AE231" s="80" t="str">
        <f t="shared" si="89"/>
        <v>aws s3 cp s3://rtdc.mdm.uploadarchive.raw/RTDC4062/ "%USERPROFILE%\AppData\Local\Temp\OnboardLogs"\RTDC4062\2017-05-20 --exclude "*" --recursive --include "*20170520*" &amp; "%USERPROFILE%\Documents\GitHub\mrs-test-scripts\Headless Mode &amp; Sideloading\WalkAndUnGZ.bat" "%USERPROFILE%\AppData\Local\Temp\OnboardLogs"\RTDC4062\2017-05-20 &amp; aws s3 cp s3://rtdc.mdm.uploadarchive.raw/RTDC4062/ "%USERPROFILE%\AppData\Local\Temp\OnboardLogs"\RTDC4062\2017-05-21 --exclude "*" --recursive --include "*20170521*" &amp; "%USERPROFILE%\Documents\GitHub\mrs-test-scripts\Headless Mode &amp; Sideloading\WalkAndUnGZ.bat" "%USERPROFILE%\AppData\Local\Temp\OnboardLogs"\RTDC4062\2017-05-21</v>
      </c>
      <c r="AF231" s="77" t="str">
        <f t="shared" si="90"/>
        <v>"C:\Program Files (x86)\AstroGrep\AstroGrep.exe" /e /r /s /spath="%USERPROFILE%\AppData\Local\Temp\OnboardLogs" /stypes="app*4062*20170521*" /stext=" 05:.+((SYSTEM_STATE.+slice.+state.+changed )|(ment ac)|(multiple cpu faults)|(system.+state.+changed )|(\[timeout)|(PRM\|1\|D)|(kpr)|(kdp)|(train st.+moving)|(\|lc)|(penalty))"</v>
      </c>
      <c r="AG231" s="1" t="str">
        <f t="shared" si="91"/>
        <v>Other</v>
      </c>
      <c r="AH231" s="81" t="str">
        <f t="shared" si="75"/>
        <v>"%USERPROFILE%\Documents\GitHub\eaglep3\Utilities\RefineRTDCRunTimes.py" --tripid 81-20 --locoid 4062 --swversion DE.1.0.9.0 --startMP 204:467 --initTime 2017-05-20T22:38:21 --startdatetime 2017-05-20T22:40:29 --delay 1 --endMP 204:233295 --enddatetime 2017-05-20T23:20:23 --enforcementcount 0 &gt;&gt;C:\Users\stu\Documents\GitHub\eaglep3-reporting\EC\2017-05-20-refined-times.txt</v>
      </c>
      <c r="AI231" s="99" t="str">
        <f t="shared" si="76"/>
        <v>echo {"issue":{"subject":"","project_id":79,"tracker_id":40,"status_id":1,"priority_id":2,"assigned_to_id":23,"start_date":"2017-05-20","description":"","custom_fields":[{"id":1,"name":"Subdivision","value":"Other"},{"id":4,"name":"Milepost","value":"23.3295"},{"id":17,"name":"Train ID","value":"81-20"},{"id":16,"name":"Locomotive ID","value":"4062"},{"id":130,"name":"Impact","value":""},{"id":150,"name":"Time of Event (Mountain Time)","value":"23:20:23"},{"id":151,"name":"Denver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77"/>
        <v>start /low /b %USERPROFILE%\Documents\GitHub\eaglep3\Utilities\DownloadLogsFromS3.py --loco 4062 --day 2017-05-20</v>
      </c>
      <c r="AN231" s="154" t="str">
        <f t="shared" si="78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05:20:23"},{"id":29,"name":"Sharepoint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643</v>
      </c>
      <c r="B232" s="7">
        <v>4062</v>
      </c>
      <c r="C232" s="21" t="s">
        <v>206</v>
      </c>
      <c r="D232" s="21" t="s">
        <v>430</v>
      </c>
      <c r="E232" s="13">
        <v>42876.094907407409</v>
      </c>
      <c r="F232" s="13">
        <v>42876.096215277779</v>
      </c>
      <c r="G232" s="7">
        <v>0</v>
      </c>
      <c r="H232" s="21" t="s">
        <v>361</v>
      </c>
      <c r="I232" s="13">
        <v>42876.104259259257</v>
      </c>
      <c r="J232" s="7">
        <v>0</v>
      </c>
      <c r="K232" s="92" t="str">
        <f t="shared" si="79"/>
        <v>4061/4062</v>
      </c>
      <c r="L232" s="21" t="str">
        <f>VLOOKUP(A232,'Trips&amp;Operators'!$C$1:$G$99999,5,FALSE)</f>
        <v>SULLIVAN BRANDON</v>
      </c>
      <c r="M232" s="6">
        <f t="shared" si="80"/>
        <v>8.0439814773853868E-3</v>
      </c>
      <c r="N232" s="7">
        <f t="shared" si="92"/>
        <v>11.583333327434957</v>
      </c>
      <c r="O232" s="7"/>
      <c r="P232" s="7"/>
      <c r="Q232" s="22"/>
      <c r="R232" s="190"/>
      <c r="S232" s="196">
        <f t="shared" si="93"/>
        <v>0</v>
      </c>
      <c r="T232" s="190" t="e">
        <f t="shared" si="81"/>
        <v>#VALUE!</v>
      </c>
      <c r="U232" s="19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1" t="str">
        <f t="shared" si="82"/>
        <v>https://d0f6bd738d7f1b3e5a7ca70fe4ff75f0.us-east-1.aws.found.io/app/kibana#/discover/Steve-Slow-Train-Analysis-(2080s-and-2083s)?_g=(refreshInterval:(display:Off,pause:!f,section:0,value:0),time:(from:'2017-05-21T01:16:40-0600',mode:absolute,to:'2017-05-21T03:30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2" s="192" t="str">
        <f t="shared" si="83"/>
        <v>Y</v>
      </c>
      <c r="X232" s="192" t="e">
        <f t="shared" si="84"/>
        <v>#VALUE!</v>
      </c>
      <c r="Y232" s="192">
        <f t="shared" si="85"/>
        <v>4.6899999999999997E-2</v>
      </c>
      <c r="Z232" s="192">
        <f t="shared" si="86"/>
        <v>2.3346</v>
      </c>
      <c r="AA232" s="192">
        <f t="shared" si="87"/>
        <v>2.2877000000000001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88"/>
        <v>81-20</v>
      </c>
      <c r="AE232" s="80" t="str">
        <f t="shared" si="89"/>
        <v>aws s3 cp s3://rtdc.mdm.uploadarchive.raw/RTDC4062/ "%USERPROFILE%\AppData\Local\Temp\OnboardLogs"\RTDC4062\2017-05-21 --exclude "*" --recursive --include "*20170521*" &amp; "%USERPROFILE%\Documents\GitHub\mrs-test-scripts\Headless Mode &amp; Sideloading\WalkAndUnGZ.bat" "%USERPROFILE%\AppData\Local\Temp\OnboardLogs"\RTDC4062\2017-05-21 &amp; aws s3 cp s3://rtdc.mdm.uploadarchive.raw/RTDC4062/ "%USERPROFILE%\AppData\Local\Temp\OnboardLogs"\RTDC4062\2017-05-22 --exclude "*" --recursive --include "*20170522*" &amp; "%USERPROFILE%\Documents\GitHub\mrs-test-scripts\Headless Mode &amp; Sideloading\WalkAndUnGZ.bat" "%USERPROFILE%\AppData\Local\Temp\OnboardLogs"\RTDC4062\2017-05-22</v>
      </c>
      <c r="AF232" s="77" t="str">
        <f t="shared" si="90"/>
        <v>"C:\Program Files (x86)\AstroGrep\AstroGrep.exe" /e /r /s /spath="%USERPROFILE%\AppData\Local\Temp\OnboardLogs" /stypes="app*4062*20170521*" /stext=" 08:.+((SYSTEM_STATE.+slice.+state.+changed )|(ment ac)|(multiple cpu faults)|(system.+state.+changed )|(\[timeout)|(PRM\|1\|D)|(kpr)|(kdp)|(train st.+moving)|(\|lc)|(penalty))"</v>
      </c>
      <c r="AG232" s="1" t="str">
        <f t="shared" si="91"/>
        <v>Other</v>
      </c>
      <c r="AH232" s="81" t="str">
        <f t="shared" si="75"/>
        <v>"%USERPROFILE%\Documents\GitHub\eaglep3\Utilities\RefineRTDCRunTimes.py" --tripid 81-20 --locoid 4062 --swversion DE.1.0.9.0 --startMP 204:469 --initTime 2017-05-21T02:16:40 --startdatetime 2017-05-21T02:18:33 --delay 0 --endMP 300:23346 --enddatetime 2017-05-21T02:30:08 --enforcementcount 0 &gt;&gt;C:\Users\stu\Documents\GitHub\eaglep3-reporting\EC\2017-05-20-refined-times.txt</v>
      </c>
      <c r="AI232" s="99" t="str">
        <f t="shared" si="76"/>
        <v>echo {"issue":{"subject":"","project_id":79,"tracker_id":40,"status_id":1,"priority_id":2,"assigned_to_id":23,"start_date":"2017-05-21","description":"","custom_fields":[{"id":1,"name":"Subdivision","value":"Other"},{"id":4,"name":"Milepost","value":"2.3346"},{"id":17,"name":"Train ID","value":"81-20"},{"id":16,"name":"Locomotive ID","value":"4062"},{"id":130,"name":"Impact","value":""},{"id":150,"name":"Time of Event (Mountain Time)","value":"02:30:08"},{"id":151,"name":"Denver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77"/>
        <v>start /low /b %USERPROFILE%\Documents\GitHub\eaglep3\Utilities\DownloadLogsFromS3.py --loco 4062 --day 2017-05-21</v>
      </c>
      <c r="AN232" s="154" t="str">
        <f t="shared" si="78"/>
        <v>echo {"issue":{"subject":"","project_id":30,"tracker_id":4,"status_id":1,"priority_id":1,"assigned_to_id":10,"start_date":"2017-05-21","description":"","custom_fields":[{"id":30,"name":"Category","value":"Issue"},{"id":3,"name":"Functional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UTC","value":"2017-05-21 08:30:08"},{"id":29,"name":"Sharepoint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</sheetData>
  <autoFilter ref="A12:AG263"/>
  <sortState ref="A13:AH200">
    <sortCondition ref="AG13:AG200"/>
    <sortCondition ref="AD13:AD200"/>
  </sortState>
  <mergeCells count="1">
    <mergeCell ref="A11:P11"/>
  </mergeCells>
  <conditionalFormatting sqref="W11:W12 W264:X1048576 W13:X232">
    <cfRule type="cellIs" dxfId="10" priority="401" operator="equal">
      <formula>"Y"</formula>
    </cfRule>
  </conditionalFormatting>
  <conditionalFormatting sqref="X264:X1048576 X13:X232">
    <cfRule type="cellIs" dxfId="9" priority="384" operator="greaterThan">
      <formula>1</formula>
    </cfRule>
  </conditionalFormatting>
  <conditionalFormatting sqref="X264:X1048576 X12:X232">
    <cfRule type="cellIs" dxfId="8" priority="381" operator="equal">
      <formula>0</formula>
    </cfRule>
  </conditionalFormatting>
  <conditionalFormatting sqref="A13:S232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AK13:AK232</xm:sqref>
        </x14:dataValidation>
        <x14:dataValidation type="list" allowBlank="1" showInputMessage="1" showErrorMessage="1">
          <x14:formula1>
            <xm:f>'Redmine List Values'!$C$2:$C$15</xm:f>
          </x14:formula1>
          <xm:sqref>AL13:AL232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9"/>
  <sheetViews>
    <sheetView tabSelected="1" topLeftCell="A41" zoomScaleNormal="100" workbookViewId="0">
      <selection activeCell="P64" sqref="P64:P67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COUNTIF($O$7:$O$288,"=Y")</f>
        <v>27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COUNTA($O$7:$O$288)-O2</f>
        <v>46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9" t="str">
        <f>"Eagle P3 Braking Events - "&amp;TEXT(Variables!$A$2,"YYYY-mm-dd")</f>
        <v>Eagle P3 Braking Events - 2017-05-20</v>
      </c>
      <c r="B5" s="209"/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199</v>
      </c>
    </row>
    <row r="7" spans="1:32" s="1" customFormat="1" x14ac:dyDescent="0.25">
      <c r="A7" s="31">
        <v>42875.707592592589</v>
      </c>
      <c r="B7" s="30" t="s">
        <v>381</v>
      </c>
      <c r="C7" s="30" t="s">
        <v>616</v>
      </c>
      <c r="D7" s="30" t="s">
        <v>49</v>
      </c>
      <c r="E7" s="30" t="s">
        <v>191</v>
      </c>
      <c r="F7" s="42">
        <v>0</v>
      </c>
      <c r="G7" s="42">
        <v>138</v>
      </c>
      <c r="H7" s="42">
        <v>27353</v>
      </c>
      <c r="I7" s="42">
        <v>27177</v>
      </c>
      <c r="J7" s="30" t="s">
        <v>192</v>
      </c>
      <c r="K7" s="42">
        <v>27350</v>
      </c>
      <c r="L7" s="134" t="s">
        <v>51</v>
      </c>
      <c r="M7" s="135">
        <f t="shared" ref="M7:M38" si="0">CONVERT((I7-K7)/10000,"mi","ft")*IF(L7="Increasing Mileposts (1)",-1,1)</f>
        <v>-91.343999999999994</v>
      </c>
      <c r="N7" s="136" t="str">
        <f>VLOOKUP(C7,'Trips&amp;Operators'!$C$1:$G$99999,5,FALSE)</f>
        <v>PERKINS DARREN</v>
      </c>
      <c r="O7" s="207" t="s">
        <v>184</v>
      </c>
      <c r="P7" s="137" t="s">
        <v>418</v>
      </c>
      <c r="Q7" s="30"/>
      <c r="R7" s="84" t="e">
        <f>IF(VLOOKUP(C7,'Train Runs'!$A$13:$AE$9922,1,1)=C7,VLOOKUP(C7,'Train Runs'!$A$13:$AE$9922,31,1),NA())</f>
        <v>#N/A</v>
      </c>
      <c r="S7" s="87" t="str">
        <f>VLOOKUP(C7,'Train Runs'!$A$13:$AE$9922,22,0)</f>
        <v>https://d0f6bd738d7f1b3e5a7ca70fe4ff75f0.us-east-1.aws.found.io/app/kibana#/discover/Steve-Slow-Train-Analysis-(2080s-and-2083s)?_g=(refreshInterval:(display:Off,pause:!f,section:0,value:0),time:(from:'2017-05-20T15:16:17-0600',mode:absolute,to:'2017-05-20T18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7" s="89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/stypes="*4013*201705202*" /stext=" 22:.+((SYSTEM_STATE.+slice.+state.+changed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4013</v>
      </c>
      <c r="V7" s="31">
        <f t="shared" ref="V7:V38" si="3">A7-utc_offset/24</f>
        <v>42875.957592592589</v>
      </c>
      <c r="W7" s="45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38" si="5">IF(AND(E7="TRACK WARRANT AUTHORITY",G7&lt;10),"OMIT","KEEP")</f>
        <v>KEEP</v>
      </c>
      <c r="Y7" s="99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arrival","project_id":79,"tracker_id":40,"status_id":1,"priority_id":2,"assigned_to_id":23,"start_date":"2017-05-20","description":"","custom_fields":[{"id":1,"name":"Subdivision","value":"EC"},{"id":4,"name":"Milepost","value":"2.735"},{"id":17,"name":"Train ID","value":"196-20"},{"id":16,"name":"Locomotive ID","value":"4013"},{"id":130,"name":"Impact","value":""},{"id":150,"name":"Time of Event (Mountain Time)","value":"16:58:56"},{"id":151,"name":"Denver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38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/cygdrive/c/Users/stu/AppData/Local/Temp/OnboardLogs/RTDC4013 --include="*4013*201705202*"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"%USERPROFILE%\AppData\Local\Temp\OnboardLogs"\RTDC4013\*4013*201705202* &gt;&gt; 2017-05-20-SliceDisagreementCheck.txt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4013 --day 2017-05-20</v>
      </c>
    </row>
    <row r="8" spans="1:32" s="1" customFormat="1" x14ac:dyDescent="0.25">
      <c r="A8" s="31">
        <v>42875.496689814812</v>
      </c>
      <c r="B8" s="30" t="s">
        <v>436</v>
      </c>
      <c r="C8" s="30" t="s">
        <v>605</v>
      </c>
      <c r="D8" s="30" t="s">
        <v>49</v>
      </c>
      <c r="E8" s="30" t="s">
        <v>191</v>
      </c>
      <c r="F8" s="42">
        <v>0</v>
      </c>
      <c r="G8" s="42">
        <v>204</v>
      </c>
      <c r="H8" s="42">
        <v>31036</v>
      </c>
      <c r="I8" s="42">
        <v>30792</v>
      </c>
      <c r="J8" s="30" t="s">
        <v>192</v>
      </c>
      <c r="K8" s="42">
        <v>30970</v>
      </c>
      <c r="L8" s="134" t="s">
        <v>51</v>
      </c>
      <c r="M8" s="135">
        <f t="shared" si="0"/>
        <v>-93.983999999999995</v>
      </c>
      <c r="N8" s="136" t="str">
        <f>VLOOKUP(C8,'Trips&amp;Operators'!$C$1:$G$99999,5,FALSE)</f>
        <v>ROMERO CHAD</v>
      </c>
      <c r="O8" s="207" t="s">
        <v>184</v>
      </c>
      <c r="P8" s="137" t="s">
        <v>418</v>
      </c>
      <c r="Q8" s="30"/>
      <c r="R8" s="84" t="str">
        <f>IF(VLOOKUP(C8,'Train Runs'!$A$13:$AE$9922,1,1)=C8,VLOOKUP(C8,'Train Runs'!$A$13:$AE$9922,31,1),NA())</f>
        <v>aws s3 cp s3://rtdc.mdm.uploadarchive.raw/RTDC4007/ "%USERPROFILE%\AppData\Local\Temp\OnboardLogs"\RTDC4007\2017-05-20 --exclude "*" --recursive --include "*20170520*" &amp; "%USERPROFILE%\Documents\GitHub\mrs-test-scripts\Headless Mode &amp; Sideloading\WalkAndUnGZ.bat" "%USERPROFILE%\AppData\Local\Temp\OnboardLogs"\RTDC4007\2017-05-20 &amp; aws s3 cp s3://rtdc.mdm.uploadarchive.raw/RTDC4007/ "%USERPROFILE%\AppData\Local\Temp\OnboardLogs"\RTDC4007\2017-05-21 --exclude "*" --recursive --include "*20170521*" &amp; "%USERPROFILE%\Documents\GitHub\mrs-test-scripts\Headless Mode &amp; Sideloading\WalkAndUnGZ.bat" "%USERPROFILE%\AppData\Local\Temp\OnboardLogs"\RTDC4007\2017-05-21</v>
      </c>
      <c r="S8" s="87" t="str">
        <f>VLOOKUP(C8,'Train Runs'!$A$13:$AE$9922,22,0)</f>
        <v>https://d0f6bd738d7f1b3e5a7ca70fe4ff75f0.us-east-1.aws.found.io/app/kibana#/discover/Steve-Slow-Train-Analysis-(2080s-and-2083s)?_g=(refreshInterval:(display:Off,pause:!f,section:0,value:0),time:(from:'2017-05-20T10:09:29-0600',mode:absolute,to:'2017-05-20T13:03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8" s="89" t="str">
        <f t="shared" si="1"/>
        <v>"C:\Program Files (x86)\AstroGrep\AstroGrep.exe" /e /r /s /spath="%USERPROFILE%\AppData\Local\Temp\OnboardLogs" /stypes="*4007*201705201*" /stext=" 17:.+((SYSTEM_STATE.+slice.+state.+changed )|(ment ac)|(multiple cpu faults)|(system.+state.+changed )|(\[timeout)|(PRM\|1\|D)|(kpr)|(kdp)|(train st.+moving)|(\|lc)|(penalty))"</v>
      </c>
      <c r="U8" s="9" t="str">
        <f t="shared" si="2"/>
        <v>4007</v>
      </c>
      <c r="V8" s="31">
        <f t="shared" si="3"/>
        <v>42875.746689814812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arrival","project_id":79,"tracker_id":40,"status_id":1,"priority_id":2,"assigned_to_id":23,"start_date":"2017-05-20","description":"","custom_fields":[{"id":1,"name":"Subdivision","value":"EC"},{"id":4,"name":"Milepost","value":"3.097"},{"id":17,"name":"Train ID","value":"156-20"},{"id":16,"name":"Locomotive ID","value":"4007"},{"id":130,"name":"Impact","value":""},{"id":150,"name":"Time of Event (Mountain Time)","value":"11:55:14"},{"id":151,"name":"Denver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/cygdrive/c/Users/stu/AppData/Local/Temp/OnboardLogs/RTDC4007 --include="*4007*201705201*"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"%USERPROFILE%\AppData\Local\Temp\OnboardLogs"\RTDC4007\*4007*201705201* &gt;&gt; 2017-05-20-SliceDisagreementCheck.txt</v>
      </c>
      <c r="AE8" s="148" t="str">
        <f t="shared" ref="AE8:AE71" si="9">"start /low /b "&amp;dls3logs&amp;" --loco "&amp;U8&amp;" --day "&amp;TEXT(V8,"YYYY-MM-DD")</f>
        <v>start /low /b %USERPROFILE%\Documents\GitHub\eaglep3\Utilities\DownloadLogsFromS3.py --loco 4007 --day 2017-05-20</v>
      </c>
    </row>
    <row r="9" spans="1:32" s="1" customFormat="1" x14ac:dyDescent="0.25">
      <c r="A9" s="31">
        <v>42875.443935185183</v>
      </c>
      <c r="B9" s="30" t="s">
        <v>435</v>
      </c>
      <c r="C9" s="30" t="s">
        <v>602</v>
      </c>
      <c r="D9" s="30" t="s">
        <v>49</v>
      </c>
      <c r="E9" s="30" t="s">
        <v>191</v>
      </c>
      <c r="F9" s="42">
        <v>380</v>
      </c>
      <c r="G9" s="42">
        <v>436</v>
      </c>
      <c r="H9" s="42">
        <v>32674</v>
      </c>
      <c r="I9" s="42">
        <v>33795</v>
      </c>
      <c r="J9" s="30" t="s">
        <v>192</v>
      </c>
      <c r="K9" s="42">
        <v>33137</v>
      </c>
      <c r="L9" s="134" t="s">
        <v>50</v>
      </c>
      <c r="M9" s="135">
        <f t="shared" si="0"/>
        <v>-347.42399999999998</v>
      </c>
      <c r="N9" s="136" t="str">
        <f>VLOOKUP(C9,'Trips&amp;Operators'!$C$1:$G$99999,5,FALSE)</f>
        <v>ROMERO CHAD</v>
      </c>
      <c r="O9" s="207" t="s">
        <v>184</v>
      </c>
      <c r="P9" s="137" t="s">
        <v>418</v>
      </c>
      <c r="Q9" s="30"/>
      <c r="R9" s="84" t="str">
        <f>IF(VLOOKUP(C9,'Train Runs'!$A$13:$AE$9922,1,1)=C9,VLOOKUP(C9,'Train Runs'!$A$13:$AE$9922,31,1),NA())</f>
        <v>aws s3 cp s3://rtdc.mdm.uploadarchive.raw/RTDC4008/ "%USERPROFILE%\AppData\Local\Temp\OnboardLogs"\RTDC4008\2017-05-20 --exclude "*" --recursive --include "*20170520*" &amp; "%USERPROFILE%\Documents\GitHub\mrs-test-scripts\Headless Mode &amp; Sideloading\WalkAndUnGZ.bat" "%USERPROFILE%\AppData\Local\Temp\OnboardLogs"\RTDC4008\2017-05-20 &amp; aws s3 cp s3://rtdc.mdm.uploadarchive.raw/RTDC4008/ "%USERPROFILE%\AppData\Local\Temp\OnboardLogs"\RTDC4008\2017-05-21 --exclude "*" --recursive --include "*20170521*" &amp; "%USERPROFILE%\Documents\GitHub\mrs-test-scripts\Headless Mode &amp; Sideloading\WalkAndUnGZ.bat" "%USERPROFILE%\AppData\Local\Temp\OnboardLogs"\RTDC4008\2017-05-21</v>
      </c>
      <c r="S9" s="87" t="str">
        <f>VLOOKUP(C9,'Train Runs'!$A$13:$AE$9922,22,0)</f>
        <v>https://d0f6bd738d7f1b3e5a7ca70fe4ff75f0.us-east-1.aws.found.io/app/kibana#/discover/Steve-Slow-Train-Analysis-(2080s-and-2083s)?_g=(refreshInterval:(display:Off,pause:!f,section:0,value:0),time:(from:'2017-05-20T09:25:03-0600',mode:absolute,to:'2017-05-20T12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9" s="89" t="str">
        <f t="shared" si="1"/>
        <v>"C:\Program Files (x86)\AstroGrep\AstroGrep.exe" /e /r /s /spath="%USERPROFILE%\AppData\Local\Temp\OnboardLogs" /stypes="*4008*201705201*" /stext=" 16:.+((SYSTEM_STATE.+slice.+state.+changed )|(ment ac)|(multiple cpu faults)|(system.+state.+changed )|(\[timeout)|(PRM\|1\|D)|(kpr)|(kdp)|(train st.+moving)|(\|lc)|(penalty))"</v>
      </c>
      <c r="U9" s="9" t="str">
        <f t="shared" si="2"/>
        <v>4008</v>
      </c>
      <c r="V9" s="31">
        <f t="shared" si="3"/>
        <v>42875.693935185183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arrival","project_id":79,"tracker_id":40,"status_id":1,"priority_id":2,"assigned_to_id":23,"start_date":"2017-05-20","description":"","custom_fields":[{"id":1,"name":"Subdivision","value":"EC"},{"id":4,"name":"Milepost","value":"3.3137"},{"id":17,"name":"Train ID","value":"155-20"},{"id":16,"name":"Locomotive ID","value":"4008"},{"id":130,"name":"Impact","value":""},{"id":150,"name":"Time of Event (Mountain Time)","value":"10:39:16"},{"id":151,"name":"Denver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/cygdrive/c/Users/stu/AppData/Local/Temp/OnboardLogs/RTDC4008 --include="*4008*201705201*"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"%USERPROFILE%\AppData\Local\Temp\OnboardLogs"\RTDC4008\*4008*201705201* &gt;&gt; 2017-05-20-SliceDisagreementCheck.txt</v>
      </c>
      <c r="AE9" s="148" t="str">
        <f t="shared" si="9"/>
        <v>start /low /b %USERPROFILE%\Documents\GitHub\eaglep3\Utilities\DownloadLogsFromS3.py --loco 4008 --day 2017-05-20</v>
      </c>
    </row>
    <row r="10" spans="1:32" s="1" customFormat="1" x14ac:dyDescent="0.25">
      <c r="A10" s="31">
        <v>42876.007893518516</v>
      </c>
      <c r="B10" s="30" t="s">
        <v>445</v>
      </c>
      <c r="C10" s="30" t="s">
        <v>642</v>
      </c>
      <c r="D10" s="30" t="s">
        <v>98</v>
      </c>
      <c r="E10" s="30" t="s">
        <v>191</v>
      </c>
      <c r="F10" s="42">
        <v>300</v>
      </c>
      <c r="G10" s="42">
        <v>351</v>
      </c>
      <c r="H10" s="42">
        <v>42951</v>
      </c>
      <c r="I10" s="42">
        <v>44186</v>
      </c>
      <c r="J10" s="30" t="s">
        <v>192</v>
      </c>
      <c r="K10" s="42">
        <v>42779</v>
      </c>
      <c r="L10" s="134" t="s">
        <v>50</v>
      </c>
      <c r="M10" s="135">
        <f t="shared" si="0"/>
        <v>-742.89599999999996</v>
      </c>
      <c r="N10" s="136" t="str">
        <f>VLOOKUP(C10,'Trips&amp;Operators'!$C$1:$G$99999,5,FALSE)</f>
        <v>STAMBAUGH JAMES</v>
      </c>
      <c r="O10" s="207" t="s">
        <v>184</v>
      </c>
      <c r="P10" s="137" t="s">
        <v>418</v>
      </c>
      <c r="Q10" s="30"/>
      <c r="R10" s="84" t="e">
        <f>IF(VLOOKUP(C10,'Train Runs'!$A$13:$AE$9922,1,1)=C10,VLOOKUP(C10,'Train Runs'!$A$13:$AE$9922,31,1),NA())</f>
        <v>#N/A</v>
      </c>
      <c r="S10" s="87" t="str">
        <f>VLOOKUP(C10,'Train Runs'!$A$13:$AE$9922,22,0)</f>
        <v>https://d0f6bd738d7f1b3e5a7ca70fe4ff75f0.us-east-1.aws.found.io/app/kibana#/discover/Steve-Slow-Train-Analysis-(2080s-and-2083s)?_g=(refreshInterval:(display:Off,pause:!f,section:0,value:0),time:(from:'2017-05-20T22:39:52-0600',mode:absolute,to:'2017-05-21T01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0" s="89" t="str">
        <f t="shared" si="1"/>
        <v>"C:\Program Files (x86)\AstroGrep\AstroGrep.exe" /e /r /s /spath="%USERPROFILE%\AppData\Local\Temp\OnboardLogs" /stypes="*4012*201705210*" /stext=" 06:.+((SYSTEM_STATE.+slice.+state.+changed )|(ment ac)|(multiple cpu faults)|(system.+state.+changed )|(\[timeout)|(PRM\|1\|D)|(kpr)|(kdp)|(train st.+moving)|(\|lc)|(penalty))"</v>
      </c>
      <c r="U10" s="9" t="str">
        <f t="shared" si="2"/>
        <v>4012</v>
      </c>
      <c r="V10" s="31">
        <f t="shared" si="3"/>
        <v>42876.257893518516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arrival","project_id":79,"tracker_id":40,"status_id":1,"priority_id":2,"assigned_to_id":23,"start_date":"2017-05-21","description":"","custom_fields":[{"id":1,"name":"Subdivision","value":"EC"},{"id":4,"name":"Milepost","value":"4.2779"},{"id":17,"name":"Train ID","value":"241-20"},{"id":16,"name":"Locomotive ID","value":"4012"},{"id":130,"name":"Impact","value":""},{"id":150,"name":"Time of Event (Mountain Time)","value":"00:11:22"},{"id":151,"name":"Denver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/cygdrive/c/Users/stu/AppData/Local/Temp/OnboardLogs/RTDC4012 --include="*4012*201705210*"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"%USERPROFILE%\AppData\Local\Temp\OnboardLogs"\RTDC4012\*4012*201705210* &gt;&gt; 2017-05-20-SliceDisagreementCheck.txt</v>
      </c>
      <c r="AE10" s="148" t="str">
        <f t="shared" si="9"/>
        <v>start /low /b %USERPROFILE%\Documents\GitHub\eaglep3\Utilities\DownloadLogsFromS3.py --loco 4012 --day 2017-05-21</v>
      </c>
    </row>
    <row r="11" spans="1:32" s="1" customFormat="1" x14ac:dyDescent="0.25">
      <c r="A11" s="31">
        <v>42875.770439814813</v>
      </c>
      <c r="B11" s="30" t="s">
        <v>445</v>
      </c>
      <c r="C11" s="30" t="s">
        <v>625</v>
      </c>
      <c r="D11" s="30" t="s">
        <v>49</v>
      </c>
      <c r="E11" s="30" t="s">
        <v>191</v>
      </c>
      <c r="F11" s="42">
        <v>0</v>
      </c>
      <c r="G11" s="42">
        <v>37</v>
      </c>
      <c r="H11" s="42">
        <v>58097</v>
      </c>
      <c r="I11" s="42">
        <v>58150</v>
      </c>
      <c r="J11" s="30" t="s">
        <v>192</v>
      </c>
      <c r="K11" s="42">
        <v>58118</v>
      </c>
      <c r="L11" s="134" t="s">
        <v>50</v>
      </c>
      <c r="M11" s="135">
        <f t="shared" si="0"/>
        <v>-16.896000000000001</v>
      </c>
      <c r="N11" s="136" t="str">
        <f>VLOOKUP(C11,'Trips&amp;Operators'!$C$1:$G$99999,5,FALSE)</f>
        <v>STAMBAUGH JAMES</v>
      </c>
      <c r="O11" s="207" t="s">
        <v>184</v>
      </c>
      <c r="P11" s="137" t="s">
        <v>418</v>
      </c>
      <c r="Q11" s="30"/>
      <c r="R11" s="84" t="e">
        <f>IF(VLOOKUP(C11,'Train Runs'!$A$13:$AE$9922,1,1)=C11,VLOOKUP(C11,'Train Runs'!$A$13:$AE$9922,31,1),NA())</f>
        <v>#N/A</v>
      </c>
      <c r="S11" s="87" t="str">
        <f>VLOOKUP(C11,'Train Runs'!$A$13:$AE$9922,22,0)</f>
        <v>https://d0f6bd738d7f1b3e5a7ca70fe4ff75f0.us-east-1.aws.found.io/app/kibana#/discover/Steve-Slow-Train-Analysis-(2080s-and-2083s)?_g=(refreshInterval:(display:Off,pause:!f,section:0,value:0),time:(from:'2017-05-20T17:10:58-0600',mode:absolute,to:'2017-05-20T19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1" s="89" t="str">
        <f t="shared" si="1"/>
        <v>"C:\Program Files (x86)\AstroGrep\AstroGrep.exe" /e /r /s /spath="%USERPROFILE%\AppData\Local\Temp\OnboardLogs" /stypes="*4012*201705210*" /stext=" 00:.+((SYSTEM_STATE.+slice.+state.+changed )|(ment ac)|(multiple cpu faults)|(system.+state.+changed )|(\[timeout)|(PRM\|1\|D)|(kpr)|(kdp)|(train st.+moving)|(\|lc)|(penalty))"</v>
      </c>
      <c r="U11" s="9" t="str">
        <f t="shared" si="2"/>
        <v>4012</v>
      </c>
      <c r="V11" s="31">
        <f t="shared" si="3"/>
        <v>42876.020439814813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arrival","project_id":79,"tracker_id":40,"status_id":1,"priority_id":2,"assigned_to_id":23,"start_date":"2017-05-20","description":"","custom_fields":[{"id":1,"name":"Subdivision","value":"EC"},{"id":4,"name":"Milepost","value":"5.8118"},{"id":17,"name":"Train ID","value":"217-20"},{"id":16,"name":"Locomotive ID","value":"4012"},{"id":130,"name":"Impact","value":""},{"id":150,"name":"Time of Event (Mountain Time)","value":"18:29:26"},{"id":151,"name":"Denver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/cygdrive/c/Users/stu/AppData/Local/Temp/OnboardLogs/RTDC4012 --include="*4012*201705210*"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"%USERPROFILE%\AppData\Local\Temp\OnboardLogs"\RTDC4012\*4012*201705210* &gt;&gt; 2017-05-20-SliceDisagreementCheck.txt</v>
      </c>
      <c r="AE11" s="148" t="str">
        <f t="shared" si="9"/>
        <v>start /low /b %USERPROFILE%\Documents\GitHub\eaglep3\Utilities\DownloadLogsFromS3.py --loco 4012 --day 2017-05-21</v>
      </c>
    </row>
    <row r="12" spans="1:32" s="1" customFormat="1" x14ac:dyDescent="0.25">
      <c r="A12" s="31">
        <v>42875.317256944443</v>
      </c>
      <c r="B12" s="30" t="s">
        <v>376</v>
      </c>
      <c r="C12" s="30" t="s">
        <v>592</v>
      </c>
      <c r="D12" s="30" t="s">
        <v>49</v>
      </c>
      <c r="E12" s="30" t="s">
        <v>191</v>
      </c>
      <c r="F12" s="42">
        <v>0</v>
      </c>
      <c r="G12" s="42">
        <v>444</v>
      </c>
      <c r="H12" s="42">
        <v>58855</v>
      </c>
      <c r="I12" s="42">
        <v>57541</v>
      </c>
      <c r="J12" s="30" t="s">
        <v>192</v>
      </c>
      <c r="K12" s="42">
        <v>58301</v>
      </c>
      <c r="L12" s="134" t="s">
        <v>51</v>
      </c>
      <c r="M12" s="135">
        <f t="shared" si="0"/>
        <v>-401.28</v>
      </c>
      <c r="N12" s="136" t="str">
        <f>VLOOKUP(C12,'Trips&amp;Operators'!$C$1:$G$99999,5,FALSE)</f>
        <v>DAVIS WENDY</v>
      </c>
      <c r="O12" s="207" t="s">
        <v>184</v>
      </c>
      <c r="P12" s="137" t="s">
        <v>418</v>
      </c>
      <c r="Q12" s="30"/>
      <c r="R12" s="84" t="str">
        <f>IF(VLOOKUP(C12,'Train Runs'!$A$13:$AE$9922,1,1)=C12,VLOOKUP(C12,'Train Runs'!$A$13:$AE$9922,31,1),NA())</f>
        <v>aws s3 cp s3://rtdc.mdm.uploadarchive.raw/RTDC4021/ "%USERPROFILE%\AppData\Local\Temp\OnboardLogs"\RTDC4021\2017-05-20 --exclude "*" --recursive --include "*20170520*" &amp; "%USERPROFILE%\Documents\GitHub\mrs-test-scripts\Headless Mode &amp; Sideloading\WalkAndUnGZ.bat" "%USERPROFILE%\AppData\Local\Temp\OnboardLogs"\RTDC4021\2017-05-20 &amp; aws s3 cp s3://rtdc.mdm.uploadarchive.raw/RTDC4021/ "%USERPROFILE%\AppData\Local\Temp\OnboardLogs"\RTDC4021\2017-05-21 --exclude "*" --recursive --include "*20170521*" &amp; "%USERPROFILE%\Documents\GitHub\mrs-test-scripts\Headless Mode &amp; Sideloading\WalkAndUnGZ.bat" "%USERPROFILE%\AppData\Local\Temp\OnboardLogs"\RTDC4021\2017-05-21</v>
      </c>
      <c r="S12" s="87" t="str">
        <f>VLOOKUP(C12,'Train Runs'!$A$13:$AE$9922,22,0)</f>
        <v>https://d0f6bd738d7f1b3e5a7ca70fe4ff75f0.us-east-1.aws.found.io/app/kibana#/discover/Steve-Slow-Train-Analysis-(2080s-and-2083s)?_g=(refreshInterval:(display:Off,pause:!f,section:0,value:0),time:(from:'2017-05-20T06:07:11-0600',mode:absolute,to:'2017-05-20T08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2" s="89" t="str">
        <f t="shared" si="1"/>
        <v>"C:\Program Files (x86)\AstroGrep\AstroGrep.exe" /e /r /s /spath="%USERPROFILE%\AppData\Local\Temp\OnboardLogs" /stypes="*4021*201705201*" /stext=" 13:.+((SYSTEM_STATE.+slice.+state.+changed )|(ment ac)|(multiple cpu faults)|(system.+state.+changed )|(\[timeout)|(PRM\|1\|D)|(kpr)|(kdp)|(train st.+moving)|(\|lc)|(penalty))"</v>
      </c>
      <c r="U12" s="9" t="str">
        <f t="shared" si="2"/>
        <v>4021</v>
      </c>
      <c r="V12" s="31">
        <f t="shared" si="3"/>
        <v>42875.567256944443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arrival","project_id":79,"tracker_id":40,"status_id":1,"priority_id":2,"assigned_to_id":23,"start_date":"2017-05-20","description":"","custom_fields":[{"id":1,"name":"Subdivision","value":"EC"},{"id":4,"name":"Milepost","value":"5.8301"},{"id":17,"name":"Train ID","value":"122-20"},{"id":16,"name":"Locomotive ID","value":"4021"},{"id":130,"name":"Impact","value":""},{"id":150,"name":"Time of Event (Mountain Time)","value":"07:36:51"},{"id":151,"name":"Denver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/cygdrive/c/Users/stu/AppData/Local/Temp/OnboardLogs/RTDC4021 --include="*4021*201705201*"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"%USERPROFILE%\AppData\Local\Temp\OnboardLogs"\RTDC4021\*4021*201705201* &gt;&gt; 2017-05-20-SliceDisagreementCheck.txt</v>
      </c>
      <c r="AE12" s="148" t="str">
        <f t="shared" si="9"/>
        <v>start /low /b %USERPROFILE%\Documents\GitHub\eaglep3\Utilities\DownloadLogsFromS3.py --loco 4021 --day 2017-05-20</v>
      </c>
    </row>
    <row r="13" spans="1:32" s="1" customFormat="1" x14ac:dyDescent="0.25">
      <c r="A13" s="31">
        <v>42875.24527777778</v>
      </c>
      <c r="B13" s="30" t="s">
        <v>376</v>
      </c>
      <c r="C13" s="30" t="s">
        <v>589</v>
      </c>
      <c r="D13" s="30" t="s">
        <v>49</v>
      </c>
      <c r="E13" s="30" t="s">
        <v>191</v>
      </c>
      <c r="F13" s="42">
        <v>360</v>
      </c>
      <c r="G13" s="42">
        <v>429</v>
      </c>
      <c r="H13" s="42">
        <v>59088</v>
      </c>
      <c r="I13" s="42">
        <v>57605</v>
      </c>
      <c r="J13" s="30" t="s">
        <v>192</v>
      </c>
      <c r="K13" s="42">
        <v>58301</v>
      </c>
      <c r="L13" s="134" t="s">
        <v>51</v>
      </c>
      <c r="M13" s="135">
        <f t="shared" si="0"/>
        <v>-367.488</v>
      </c>
      <c r="N13" s="136" t="str">
        <f>VLOOKUP(C13,'Trips&amp;Operators'!$C$1:$G$99999,5,FALSE)</f>
        <v>DAVIS WENDY</v>
      </c>
      <c r="O13" s="207" t="s">
        <v>184</v>
      </c>
      <c r="P13" s="137" t="s">
        <v>418</v>
      </c>
      <c r="Q13" s="30"/>
      <c r="R13" s="84" t="str">
        <f>IF(VLOOKUP(C13,'Train Runs'!$A$13:$AE$9922,1,1)=C13,VLOOKUP(C13,'Train Runs'!$A$13:$AE$9922,31,1),NA())</f>
        <v>aws s3 cp s3://rtdc.mdm.uploadarchive.raw/RTDC4021/ "%USERPROFILE%\AppData\Local\Temp\OnboardLogs"\RTDC4021\2017-05-20 --exclude "*" --recursive --include "*20170520*" &amp; "%USERPROFILE%\Documents\GitHub\mrs-test-scripts\Headless Mode &amp; Sideloading\WalkAndUnGZ.bat" "%USERPROFILE%\AppData\Local\Temp\OnboardLogs"\RTDC4021\2017-05-20 &amp; aws s3 cp s3://rtdc.mdm.uploadarchive.raw/RTDC4021/ "%USERPROFILE%\AppData\Local\Temp\OnboardLogs"\RTDC4021\2017-05-21 --exclude "*" --recursive --include "*20170521*" &amp; "%USERPROFILE%\Documents\GitHub\mrs-test-scripts\Headless Mode &amp; Sideloading\WalkAndUnGZ.bat" "%USERPROFILE%\AppData\Local\Temp\OnboardLogs"\RTDC4021\2017-05-21</v>
      </c>
      <c r="S13" s="87" t="str">
        <f>VLOOKUP(C13,'Train Runs'!$A$13:$AE$9922,22,0)</f>
        <v>https://d0f6bd738d7f1b3e5a7ca70fe4ff75f0.us-east-1.aws.found.io/app/kibana#/discover/Steve-Slow-Train-Analysis-(2080s-and-2083s)?_g=(refreshInterval:(display:Off,pause:!f,section:0,value:0),time:(from:'2017-05-20T04:20:56-0600',mode:absolute,to:'2017-05-20T07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3" s="89" t="str">
        <f t="shared" si="1"/>
        <v>"C:\Program Files (x86)\AstroGrep\AstroGrep.exe" /e /r /s /spath="%USERPROFILE%\AppData\Local\Temp\OnboardLogs" /stypes="*4021*201705201*" /stext=" 11:.+((SYSTEM_STATE.+slice.+state.+changed )|(ment ac)|(multiple cpu faults)|(system.+state.+changed )|(\[timeout)|(PRM\|1\|D)|(kpr)|(kdp)|(train st.+moving)|(\|lc)|(penalty))"</v>
      </c>
      <c r="U13" s="9" t="str">
        <f t="shared" si="2"/>
        <v>4021</v>
      </c>
      <c r="V13" s="31">
        <f t="shared" si="3"/>
        <v>42875.49527777778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{"issue":{"subject":"Early arrival","project_id":79,"tracker_id":40,"status_id":1,"priority_id":2,"assigned_to_id":23,"start_date":"2017-05-20","description":"","custom_fields":[{"id":1,"name":"Subdivision","value":"EC"},{"id":4,"name":"Milepost","value":"5.8301"},{"id":17,"name":"Train ID","value":"108-20"},{"id":16,"name":"Locomotive ID","value":"4021"},{"id":130,"name":"Impact","value":""},{"id":150,"name":"Time of Event (Mountain Time)","value":"05:53:12"},{"id":151,"name":"Denver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/cygdrive/c/Users/stu/AppData/Local/Temp/OnboardLogs/RTDC4021 --include="*4021*201705201*"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"%USERPROFILE%\AppData\Local\Temp\OnboardLogs"\RTDC4021\*4021*201705201* &gt;&gt; 2017-05-20-SliceDisagreementCheck.txt</v>
      </c>
      <c r="AE13" s="148" t="str">
        <f t="shared" si="9"/>
        <v>start /low /b %USERPROFILE%\Documents\GitHub\eaglep3\Utilities\DownloadLogsFromS3.py --loco 4021 --day 2017-05-20</v>
      </c>
    </row>
    <row r="14" spans="1:32" x14ac:dyDescent="0.25">
      <c r="A14" s="31">
        <v>42875.509027777778</v>
      </c>
      <c r="B14" s="30" t="s">
        <v>479</v>
      </c>
      <c r="C14" s="30" t="s">
        <v>606</v>
      </c>
      <c r="D14" s="30" t="s">
        <v>49</v>
      </c>
      <c r="E14" s="30" t="s">
        <v>191</v>
      </c>
      <c r="F14" s="42">
        <v>490</v>
      </c>
      <c r="G14" s="42">
        <v>549</v>
      </c>
      <c r="H14" s="42">
        <v>57368</v>
      </c>
      <c r="I14" s="42">
        <v>59168</v>
      </c>
      <c r="J14" s="30" t="s">
        <v>192</v>
      </c>
      <c r="K14" s="42">
        <v>58783</v>
      </c>
      <c r="L14" s="134" t="s">
        <v>50</v>
      </c>
      <c r="M14" s="135">
        <f t="shared" si="0"/>
        <v>-203.28</v>
      </c>
      <c r="N14" s="136" t="str">
        <f>VLOOKUP(C14,'Trips&amp;Operators'!$C$1:$G$99999,5,FALSE)</f>
        <v>PERKINS DARREN</v>
      </c>
      <c r="O14" s="207" t="s">
        <v>184</v>
      </c>
      <c r="P14" s="137" t="s">
        <v>418</v>
      </c>
      <c r="Q14" s="30"/>
      <c r="R14" s="84" t="str">
        <f>IF(VLOOKUP(C14,'Train Runs'!$A$13:$AE$9922,1,1)=C14,VLOOKUP(C14,'Train Runs'!$A$13:$AE$9922,31,1),NA())</f>
        <v>aws s3 cp s3://rtdc.mdm.uploadarchive.raw/RTDC4056/ "%USERPROFILE%\AppData\Local\Temp\OnboardLogs"\RTDC4056\2017-05-20 --exclude "*" --recursive --include "*20170520*" &amp; "%USERPROFILE%\Documents\GitHub\mrs-test-scripts\Headless Mode &amp; Sideloading\WalkAndUnGZ.bat" "%USERPROFILE%\AppData\Local\Temp\OnboardLogs"\RTDC4056\2017-05-20 &amp; aws s3 cp s3://rtdc.mdm.uploadarchive.raw/RTDC4056/ "%USERPROFILE%\AppData\Local\Temp\OnboardLogs"\RTDC4056\2017-05-21 --exclude "*" --recursive --include "*20170521*" &amp; "%USERPROFILE%\Documents\GitHub\mrs-test-scripts\Headless Mode &amp; Sideloading\WalkAndUnGZ.bat" "%USERPROFILE%\AppData\Local\Temp\OnboardLogs"\RTDC4056\2017-05-21</v>
      </c>
      <c r="S14" s="87" t="str">
        <f>VLOOKUP(C14,'Train Runs'!$A$13:$AE$9922,22,0)</f>
        <v>https://d0f6bd738d7f1b3e5a7ca70fe4ff75f0.us-east-1.aws.found.io/app/kibana#/discover/Steve-Slow-Train-Analysis-(2080s-and-2083s)?_g=(refreshInterval:(display:Off,pause:!f,section:0,value:0),time:(from:'2017-05-20T10:53:09-0600',mode:absolute,to:'2017-05-20T13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4" s="89" t="str">
        <f t="shared" si="1"/>
        <v>"C:\Program Files (x86)\AstroGrep\AstroGrep.exe" /e /r /s /spath="%USERPROFILE%\AppData\Local\Temp\OnboardLogs" /stypes="*4056*201705201*" /stext=" 18:.+((SYSTEM_STATE.+slice.+state.+changed )|(ment ac)|(multiple cpu faults)|(system.+state.+changed )|(\[timeout)|(PRM\|1\|D)|(kpr)|(kdp)|(train st.+moving)|(\|lc)|(penalty))"</v>
      </c>
      <c r="U14" s="9" t="str">
        <f t="shared" si="2"/>
        <v>4056</v>
      </c>
      <c r="V14" s="31">
        <f t="shared" si="3"/>
        <v>42875.759027777778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{"issue":{"subject":"Early arrival","project_id":79,"tracker_id":40,"status_id":1,"priority_id":2,"assigned_to_id":23,"start_date":"2017-05-20","description":"","custom_fields":[{"id":1,"name":"Subdivision","value":"EC"},{"id":4,"name":"Milepost","value":"5.8783"},{"id":17,"name":"Train ID","value":"167-20"},{"id":16,"name":"Locomotive ID","value":"4056"},{"id":130,"name":"Impact","value":""},{"id":150,"name":"Time of Event (Mountain Time)","value":"12:13:00"},{"id":151,"name":"Denver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/cygdrive/c/Users/stu/AppData/Local/Temp/OnboardLogs/RTDC4056 --include="*4056*201705201*"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"%USERPROFILE%\AppData\Local\Temp\OnboardLogs"\RTDC4056\*4056*201705201* &gt;&gt; 2017-05-20-SliceDisagreementCheck.txt</v>
      </c>
      <c r="AE14" s="148" t="str">
        <f t="shared" si="9"/>
        <v>start /low /b %USERPROFILE%\Documents\GitHub\eaglep3\Utilities\DownloadLogsFromS3.py --loco 4056 --day 2017-05-20</v>
      </c>
      <c r="AF14" s="1"/>
    </row>
    <row r="15" spans="1:32" x14ac:dyDescent="0.25">
      <c r="A15" s="31">
        <v>42875.736585648148</v>
      </c>
      <c r="B15" s="30" t="s">
        <v>514</v>
      </c>
      <c r="C15" s="30" t="s">
        <v>619</v>
      </c>
      <c r="D15" s="30" t="s">
        <v>49</v>
      </c>
      <c r="E15" s="30" t="s">
        <v>191</v>
      </c>
      <c r="F15" s="42">
        <v>0</v>
      </c>
      <c r="G15" s="42">
        <v>87</v>
      </c>
      <c r="H15" s="42">
        <v>59189</v>
      </c>
      <c r="I15" s="42">
        <v>59073</v>
      </c>
      <c r="J15" s="30" t="s">
        <v>192</v>
      </c>
      <c r="K15" s="42">
        <v>58904</v>
      </c>
      <c r="L15" s="134" t="s">
        <v>51</v>
      </c>
      <c r="M15" s="135">
        <f t="shared" si="0"/>
        <v>89.231999999999985</v>
      </c>
      <c r="N15" s="136" t="str">
        <f>VLOOKUP(C15,'Trips&amp;Operators'!$C$1:$G$99999,5,FALSE)</f>
        <v>STEWART MICHAEL</v>
      </c>
      <c r="O15" s="207" t="s">
        <v>184</v>
      </c>
      <c r="P15" s="137" t="s">
        <v>418</v>
      </c>
      <c r="Q15" s="30"/>
      <c r="R15" s="84" t="e">
        <f>IF(VLOOKUP(C15,'Train Runs'!$A$13:$AE$9922,1,1)=C15,VLOOKUP(C15,'Train Runs'!$A$13:$AE$9922,31,1),NA())</f>
        <v>#N/A</v>
      </c>
      <c r="S15" s="87" t="str">
        <f>VLOOKUP(C15,'Train Runs'!$A$13:$AE$9922,22,0)</f>
        <v>https://d0f6bd738d7f1b3e5a7ca70fe4ff75f0.us-east-1.aws.found.io/app/kibana#/discover/Steve-Slow-Train-Analysis-(2080s-and-2083s)?_g=(refreshInterval:(display:Off,pause:!f,section:0,value:0),time:(from:'2017-05-20T16:07:58-0600',mode:absolute,to:'2017-05-20T18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5" s="89" t="str">
        <f t="shared" si="1"/>
        <v>"C:\Program Files (x86)\AstroGrep\AstroGrep.exe" /e /r /s /spath="%USERPROFILE%\AppData\Local\Temp\OnboardLogs" /stypes="*4009*201705202*" /stext=" 23:.+((SYSTEM_STATE.+slice.+state.+changed )|(ment ac)|(multiple cpu faults)|(system.+state.+changed )|(\[timeout)|(PRM\|1\|D)|(kpr)|(kdp)|(train st.+moving)|(\|lc)|(penalty))"</v>
      </c>
      <c r="U15" s="9" t="str">
        <f t="shared" si="2"/>
        <v>4009</v>
      </c>
      <c r="V15" s="31">
        <f t="shared" si="3"/>
        <v>42875.986585648148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{"issue":{"subject":"Early arrival","project_id":79,"tracker_id":40,"status_id":1,"priority_id":2,"assigned_to_id":23,"start_date":"2017-05-20","description":"","custom_fields":[{"id":1,"name":"Subdivision","value":"EC"},{"id":4,"name":"Milepost","value":"5.8904"},{"id":17,"name":"Train ID","value":"202-20"},{"id":16,"name":"Locomotive ID","value":"4009"},{"id":130,"name":"Impact","value":""},{"id":150,"name":"Time of Event (Mountain Time)","value":"17:40:41"},{"id":151,"name":"Denver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/cygdrive/c/Users/stu/AppData/Local/Temp/OnboardLogs/RTDC4009 --include="*4009*201705202*"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"%USERPROFILE%\AppData\Local\Temp\OnboardLogs"\RTDC4009\*4009*201705202* &gt;&gt; 2017-05-20-SliceDisagreementCheck.txt</v>
      </c>
      <c r="AE15" s="148" t="str">
        <f t="shared" si="9"/>
        <v>start /low /b %USERPROFILE%\Documents\GitHub\eaglep3\Utilities\DownloadLogsFromS3.py --loco 4009 --day 2017-05-20</v>
      </c>
      <c r="AF15" s="1"/>
    </row>
    <row r="16" spans="1:32" x14ac:dyDescent="0.25">
      <c r="A16" s="31">
        <v>42875.384629629632</v>
      </c>
      <c r="B16" s="30" t="s">
        <v>376</v>
      </c>
      <c r="C16" s="30" t="s">
        <v>596</v>
      </c>
      <c r="D16" s="30" t="s">
        <v>49</v>
      </c>
      <c r="E16" s="30" t="s">
        <v>191</v>
      </c>
      <c r="F16" s="42">
        <v>360</v>
      </c>
      <c r="G16" s="42">
        <v>412</v>
      </c>
      <c r="H16" s="42">
        <v>110198</v>
      </c>
      <c r="I16" s="42">
        <v>108967</v>
      </c>
      <c r="J16" s="30" t="s">
        <v>192</v>
      </c>
      <c r="K16" s="42">
        <v>109135</v>
      </c>
      <c r="L16" s="134" t="s">
        <v>51</v>
      </c>
      <c r="M16" s="135">
        <f t="shared" si="0"/>
        <v>-88.703999999999994</v>
      </c>
      <c r="N16" s="136" t="str">
        <f>VLOOKUP(C16,'Trips&amp;Operators'!$C$1:$G$99999,5,FALSE)</f>
        <v>DAVIS WENDY</v>
      </c>
      <c r="O16" s="207" t="s">
        <v>184</v>
      </c>
      <c r="P16" s="137" t="s">
        <v>418</v>
      </c>
      <c r="Q16" s="30"/>
      <c r="R16" s="84" t="str">
        <f>IF(VLOOKUP(C16,'Train Runs'!$A$13:$AE$9922,1,1)=C16,VLOOKUP(C16,'Train Runs'!$A$13:$AE$9922,31,1),NA())</f>
        <v>aws s3 cp s3://rtdc.mdm.uploadarchive.raw/RTDC4021/ "%USERPROFILE%\AppData\Local\Temp\OnboardLogs"\RTDC4021\2017-05-20 --exclude "*" --recursive --include "*20170520*" &amp; "%USERPROFILE%\Documents\GitHub\mrs-test-scripts\Headless Mode &amp; Sideloading\WalkAndUnGZ.bat" "%USERPROFILE%\AppData\Local\Temp\OnboardLogs"\RTDC4021\2017-05-20 &amp; aws s3 cp s3://rtdc.mdm.uploadarchive.raw/RTDC4021/ "%USERPROFILE%\AppData\Local\Temp\OnboardLogs"\RTDC4021\2017-05-21 --exclude "*" --recursive --include "*20170521*" &amp; "%USERPROFILE%\Documents\GitHub\mrs-test-scripts\Headless Mode &amp; Sideloading\WalkAndUnGZ.bat" "%USERPROFILE%\AppData\Local\Temp\OnboardLogs"\RTDC4021\2017-05-21</v>
      </c>
      <c r="S16" s="87" t="str">
        <f>VLOOKUP(C16,'Train Runs'!$A$13:$AE$9922,22,0)</f>
        <v>https://d0f6bd738d7f1b3e5a7ca70fe4ff75f0.us-east-1.aws.found.io/app/kibana#/discover/Steve-Slow-Train-Analysis-(2080s-and-2083s)?_g=(refreshInterval:(display:Off,pause:!f,section:0,value:0),time:(from:'2017-05-20T07:51:57-0600',mode:absolute,to:'2017-05-20T10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6" s="89" t="str">
        <f t="shared" si="1"/>
        <v>"C:\Program Files (x86)\AstroGrep\AstroGrep.exe" /e /r /s /spath="%USERPROFILE%\AppData\Local\Temp\OnboardLogs" /stypes="*4021*201705201*" /stext=" 15:.+((SYSTEM_STATE.+slice.+state.+changed )|(ment ac)|(multiple cpu faults)|(system.+state.+changed )|(\[timeout)|(PRM\|1\|D)|(kpr)|(kdp)|(train st.+moving)|(\|lc)|(penalty))"</v>
      </c>
      <c r="U16" s="9" t="str">
        <f t="shared" si="2"/>
        <v>4021</v>
      </c>
      <c r="V16" s="31">
        <f t="shared" si="3"/>
        <v>42875.634629629632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{"issue":{"subject":"Early arrival","project_id":79,"tracker_id":40,"status_id":1,"priority_id":2,"assigned_to_id":23,"start_date":"2017-05-20","description":"","custom_fields":[{"id":1,"name":"Subdivision","value":"EC"},{"id":4,"name":"Milepost","value":"10.9135"},{"id":17,"name":"Train ID","value":"136-20"},{"id":16,"name":"Locomotive ID","value":"4021"},{"id":130,"name":"Impact","value":""},{"id":150,"name":"Time of Event (Mountain Time)","value":"09:13:52"},{"id":151,"name":"Denver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/cygdrive/c/Users/stu/AppData/Local/Temp/OnboardLogs/RTDC4021 --include="*4021*201705201*"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"%USERPROFILE%\AppData\Local\Temp\OnboardLogs"\RTDC4021\*4021*201705201* &gt;&gt; 2017-05-20-SliceDisagreementCheck.txt</v>
      </c>
      <c r="AE16" s="148" t="str">
        <f t="shared" si="9"/>
        <v>start /low /b %USERPROFILE%\Documents\GitHub\eaglep3\Utilities\DownloadLogsFromS3.py --loco 4021 --day 2017-05-20</v>
      </c>
      <c r="AF16" s="1"/>
    </row>
    <row r="17" spans="1:32" x14ac:dyDescent="0.25">
      <c r="A17" s="31">
        <v>42875.198518518519</v>
      </c>
      <c r="B17" s="30" t="s">
        <v>436</v>
      </c>
      <c r="C17" s="30" t="s">
        <v>587</v>
      </c>
      <c r="D17" s="30" t="s">
        <v>49</v>
      </c>
      <c r="E17" s="30" t="s">
        <v>204</v>
      </c>
      <c r="F17" s="42">
        <v>300</v>
      </c>
      <c r="G17" s="42">
        <v>410</v>
      </c>
      <c r="H17" s="42">
        <v>23358</v>
      </c>
      <c r="I17" s="42">
        <v>22103</v>
      </c>
      <c r="J17" s="30" t="s">
        <v>205</v>
      </c>
      <c r="K17" s="42">
        <v>21848</v>
      </c>
      <c r="L17" s="134" t="s">
        <v>51</v>
      </c>
      <c r="M17" s="135">
        <f t="shared" si="0"/>
        <v>134.63999999999999</v>
      </c>
      <c r="N17" s="136" t="str">
        <f>VLOOKUP(C17,'Trips&amp;Operators'!$C$1:$G$99999,5,FALSE)</f>
        <v>BADERTSCHER DIANE</v>
      </c>
      <c r="O17" s="207" t="s">
        <v>184</v>
      </c>
      <c r="P17" s="137"/>
      <c r="Q17" s="30"/>
      <c r="R17" s="84" t="str">
        <f>IF(VLOOKUP(C17,'Train Runs'!$A$13:$AE$9922,1,1)=C17,VLOOKUP(C17,'Train Runs'!$A$13:$AE$9922,31,1),NA())</f>
        <v>aws s3 cp s3://rtdc.mdm.uploadarchive.raw/RTDC4007/ "%USERPROFILE%\AppData\Local\Temp\OnboardLogs"\RTDC4007\2017-05-20 --exclude "*" --recursive --include "*20170520*" &amp; "%USERPROFILE%\Documents\GitHub\mrs-test-scripts\Headless Mode &amp; Sideloading\WalkAndUnGZ.bat" "%USERPROFILE%\AppData\Local\Temp\OnboardLogs"\RTDC4007\2017-05-20 &amp; aws s3 cp s3://rtdc.mdm.uploadarchive.raw/RTDC4007/ "%USERPROFILE%\AppData\Local\Temp\OnboardLogs"\RTDC4007\2017-05-21 --exclude "*" --recursive --include "*20170521*" &amp; "%USERPROFILE%\Documents\GitHub\mrs-test-scripts\Headless Mode &amp; Sideloading\WalkAndUnGZ.bat" "%USERPROFILE%\AppData\Local\Temp\OnboardLogs"\RTDC4007\2017-05-21</v>
      </c>
      <c r="S17" s="87" t="str">
        <f>VLOOKUP(C17,'Train Runs'!$A$13:$AE$9922,22,0)</f>
        <v>https://d0f6bd738d7f1b3e5a7ca70fe4ff75f0.us-east-1.aws.found.io/app/kibana#/discover/Steve-Slow-Train-Analysis-(2080s-and-2083s)?_g=(refreshInterval:(display:Off,pause:!f,section:0,value:0),time:(from:'2017-05-20T03:03:28-0600',mode:absolute,to:'2017-05-20T05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7" s="89" t="str">
        <f t="shared" si="1"/>
        <v>"C:\Program Files (x86)\AstroGrep\AstroGrep.exe" /e /r /s /spath="%USERPROFILE%\AppData\Local\Temp\OnboardLogs" /stypes="*4007*201705201*" /stext=" 10:.+((SYSTEM_STATE.+slice.+state.+changed )|(ment ac)|(multiple cpu faults)|(system.+state.+changed )|(\[timeout)|(PRM\|1\|D)|(kpr)|(kdp)|(train st.+moving)|(\|lc)|(penalty))"</v>
      </c>
      <c r="U17" s="9" t="str">
        <f t="shared" si="2"/>
        <v>4007</v>
      </c>
      <c r="V17" s="31">
        <f t="shared" si="3"/>
        <v>42875.448518518519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{"issue":{"subject":"","project_id":79,"tracker_id":40,"status_id":1,"priority_id":2,"assigned_to_id":23,"start_date":"2017-05-20","description":"","custom_fields":[{"id":1,"name":"Subdivision","value":"EC"},{"id":4,"name":"Milepost","value":"2.1848"},{"id":17,"name":"Train ID","value":"102-20"},{"id":16,"name":"Locomotive ID","value":"4007"},{"id":130,"name":"Impact","value":""},{"id":150,"name":"Time of Event (Mountain Time)","value":"04:45:52"},{"id":151,"name":"Denver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/cygdrive/c/Users/stu/AppData/Local/Temp/OnboardLogs/RTDC4007 --include="*4007*201705201*"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"%USERPROFILE%\AppData\Local\Temp\OnboardLogs"\RTDC4007\*4007*201705201* &gt;&gt; 2017-05-20-SliceDisagreementCheck.txt</v>
      </c>
      <c r="AE17" s="148" t="str">
        <f t="shared" si="9"/>
        <v>start /low /b %USERPROFILE%\Documents\GitHub\eaglep3\Utilities\DownloadLogsFromS3.py --loco 4007 --day 2017-05-20</v>
      </c>
      <c r="AF17" s="1"/>
    </row>
    <row r="18" spans="1:32" x14ac:dyDescent="0.25">
      <c r="A18" s="31">
        <v>42875.762604166666</v>
      </c>
      <c r="B18" s="30" t="s">
        <v>381</v>
      </c>
      <c r="C18" s="30" t="s">
        <v>623</v>
      </c>
      <c r="D18" s="30" t="s">
        <v>98</v>
      </c>
      <c r="E18" s="30" t="s">
        <v>204</v>
      </c>
      <c r="F18" s="42">
        <v>600</v>
      </c>
      <c r="G18" s="42">
        <v>657</v>
      </c>
      <c r="H18" s="42">
        <v>184276</v>
      </c>
      <c r="I18" s="42">
        <v>180904</v>
      </c>
      <c r="J18" s="30" t="s">
        <v>205</v>
      </c>
      <c r="K18" s="42">
        <v>190834</v>
      </c>
      <c r="L18" s="134" t="s">
        <v>51</v>
      </c>
      <c r="M18" s="135">
        <f t="shared" si="0"/>
        <v>-5243.04</v>
      </c>
      <c r="N18" s="136" t="str">
        <f>VLOOKUP(C18,'Trips&amp;Operators'!$C$1:$G$99999,5,FALSE)</f>
        <v>PERKINS DARREN</v>
      </c>
      <c r="O18" s="207" t="s">
        <v>184</v>
      </c>
      <c r="P18" s="137"/>
      <c r="Q18" s="30"/>
      <c r="R18" s="84" t="e">
        <f>IF(VLOOKUP(C18,'Train Runs'!$A$13:$AE$9922,1,1)=C18,VLOOKUP(C18,'Train Runs'!$A$13:$AE$9922,31,1),NA())</f>
        <v>#N/A</v>
      </c>
      <c r="S18" s="87" t="str">
        <f>VLOOKUP(C18,'Train Runs'!$A$13:$AE$9922,22,0)</f>
        <v>https://d0f6bd738d7f1b3e5a7ca70fe4ff75f0.us-east-1.aws.found.io/app/kibana#/discover/Steve-Slow-Train-Analysis-(2080s-and-2083s)?_g=(refreshInterval:(display:Off,pause:!f,section:0,value:0),time:(from:'2017-05-20T17:04:43-0600',mode:absolute,to:'2017-05-20T19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8" s="89" t="str">
        <f t="shared" si="1"/>
        <v>"C:\Program Files (x86)\AstroGrep\AstroGrep.exe" /e /r /s /spath="%USERPROFILE%\AppData\Local\Temp\OnboardLogs" /stypes="*4013*201705210*" /stext=" 00:.+((SYSTEM_STATE.+slice.+state.+changed )|(ment ac)|(multiple cpu faults)|(system.+state.+changed )|(\[timeout)|(PRM\|1\|D)|(kpr)|(kdp)|(train st.+moving)|(\|lc)|(penalty))"</v>
      </c>
      <c r="U18" s="9" t="str">
        <f t="shared" si="2"/>
        <v>4013</v>
      </c>
      <c r="V18" s="31">
        <f t="shared" si="3"/>
        <v>42876.012604166666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{"issue":{"subject":"","project_id":79,"tracker_id":40,"status_id":1,"priority_id":2,"assigned_to_id":23,"start_date":"2017-05-20","description":"","custom_fields":[{"id":1,"name":"Subdivision","value":"EC"},{"id":4,"name":"Milepost","value":"19.0834"},{"id":17,"name":"Train ID","value":"210-20"},{"id":16,"name":"Locomotive ID","value":"4013"},{"id":130,"name":"Impact","value":""},{"id":150,"name":"Time of Event (Mountain Time)","value":"18:18:09"},{"id":151,"name":"Denver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/cygdrive/c/Users/stu/AppData/Local/Temp/OnboardLogs/RTDC4013 --include="*4013*201705210*"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"%USERPROFILE%\AppData\Local\Temp\OnboardLogs"\RTDC4013\*4013*201705210* &gt;&gt; 2017-05-20-SliceDisagreementCheck.txt</v>
      </c>
      <c r="AE18" s="148" t="str">
        <f t="shared" si="9"/>
        <v>start /low /b %USERPROFILE%\Documents\GitHub\eaglep3\Utilities\DownloadLogsFromS3.py --loco 4013 --day 2017-05-21</v>
      </c>
      <c r="AF18" s="1"/>
    </row>
    <row r="19" spans="1:32" x14ac:dyDescent="0.25">
      <c r="A19" s="31">
        <v>42875.796678240738</v>
      </c>
      <c r="B19" s="30" t="s">
        <v>514</v>
      </c>
      <c r="C19" s="30" t="s">
        <v>629</v>
      </c>
      <c r="D19" s="30" t="s">
        <v>49</v>
      </c>
      <c r="E19" s="30" t="s">
        <v>204</v>
      </c>
      <c r="F19" s="42">
        <v>450</v>
      </c>
      <c r="G19" s="42">
        <v>501</v>
      </c>
      <c r="H19" s="42">
        <v>191962</v>
      </c>
      <c r="I19" s="42">
        <v>190548</v>
      </c>
      <c r="J19" s="30" t="s">
        <v>205</v>
      </c>
      <c r="K19" s="42">
        <v>191108</v>
      </c>
      <c r="L19" s="134" t="s">
        <v>51</v>
      </c>
      <c r="M19" s="135">
        <f t="shared" si="0"/>
        <v>-295.68</v>
      </c>
      <c r="N19" s="136" t="str">
        <f>VLOOKUP(C19,'Trips&amp;Operators'!$C$1:$G$99999,5,FALSE)</f>
        <v>MOSES BRADLEY</v>
      </c>
      <c r="O19" s="207" t="s">
        <v>184</v>
      </c>
      <c r="P19" s="137"/>
      <c r="Q19" s="30"/>
      <c r="R19" s="84" t="e">
        <f>IF(VLOOKUP(C19,'Train Runs'!$A$13:$AE$9922,1,1)=C19,VLOOKUP(C19,'Train Runs'!$A$13:$AE$9922,31,1),NA())</f>
        <v>#N/A</v>
      </c>
      <c r="S19" s="87" t="str">
        <f>VLOOKUP(C19,'Train Runs'!$A$13:$AE$9922,22,0)</f>
        <v>https://d0f6bd738d7f1b3e5a7ca70fe4ff75f0.us-east-1.aws.found.io/app/kibana#/discover/Steve-Slow-Train-Analysis-(2080s-and-2083s)?_g=(refreshInterval:(display:Off,pause:!f,section:0,value:0),time:(from:'2017-05-20T17:51:06-0600',mode:absolute,to:'2017-05-20T20:39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9" s="89" t="str">
        <f t="shared" si="1"/>
        <v>"C:\Program Files (x86)\AstroGrep\AstroGrep.exe" /e /r /s /spath="%USERPROFILE%\AppData\Local\Temp\OnboardLogs" /stypes="*4009*201705210*" /stext=" 01:.+((SYSTEM_STATE.+slice.+state.+changed )|(ment ac)|(multiple cpu faults)|(system.+state.+changed )|(\[timeout)|(PRM\|1\|D)|(kpr)|(kdp)|(train st.+moving)|(\|lc)|(penalty))"</v>
      </c>
      <c r="U19" s="9" t="str">
        <f t="shared" si="2"/>
        <v>4009</v>
      </c>
      <c r="V19" s="31">
        <f t="shared" si="3"/>
        <v>42876.046678240738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{"issue":{"subject":"","project_id":79,"tracker_id":40,"status_id":1,"priority_id":2,"assigned_to_id":23,"start_date":"2017-05-20","description":"","custom_fields":[{"id":1,"name":"Subdivision","value":"EC"},{"id":4,"name":"Milepost","value":"19.1108"},{"id":17,"name":"Train ID","value":"216-20"},{"id":16,"name":"Locomotive ID","value":"4009"},{"id":130,"name":"Impact","value":""},{"id":150,"name":"Time of Event (Mountain Time)","value":"19:07:13"},{"id":151,"name":"Denver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/cygdrive/c/Users/stu/AppData/Local/Temp/OnboardLogs/RTDC4009 --include="*4009*201705210*"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"%USERPROFILE%\AppData\Local\Temp\OnboardLogs"\RTDC4009\*4009*201705210* &gt;&gt; 2017-05-20-SliceDisagreementCheck.txt</v>
      </c>
      <c r="AE19" s="148" t="str">
        <f t="shared" si="9"/>
        <v>start /low /b %USERPROFILE%\Documents\GitHub\eaglep3\Utilities\DownloadLogsFromS3.py --loco 4009 --day 2017-05-21</v>
      </c>
      <c r="AF19" s="1"/>
    </row>
    <row r="20" spans="1:32" x14ac:dyDescent="0.25">
      <c r="A20" s="31">
        <v>42875.686597222222</v>
      </c>
      <c r="B20" s="30" t="s">
        <v>381</v>
      </c>
      <c r="C20" s="30" t="s">
        <v>616</v>
      </c>
      <c r="D20" s="30" t="s">
        <v>98</v>
      </c>
      <c r="E20" s="30" t="s">
        <v>204</v>
      </c>
      <c r="F20" s="42">
        <v>350</v>
      </c>
      <c r="G20" s="42">
        <v>400</v>
      </c>
      <c r="H20" s="42">
        <v>226075</v>
      </c>
      <c r="I20" s="42">
        <v>224900</v>
      </c>
      <c r="J20" s="30" t="s">
        <v>205</v>
      </c>
      <c r="K20" s="42">
        <v>230436</v>
      </c>
      <c r="L20" s="134" t="s">
        <v>51</v>
      </c>
      <c r="M20" s="135">
        <f t="shared" si="0"/>
        <v>-2923.0079999999998</v>
      </c>
      <c r="N20" s="136" t="str">
        <f>VLOOKUP(C20,'Trips&amp;Operators'!$C$1:$G$99999,5,FALSE)</f>
        <v>PERKINS DARREN</v>
      </c>
      <c r="O20" s="207" t="s">
        <v>184</v>
      </c>
      <c r="P20" s="137"/>
      <c r="Q20" s="30"/>
      <c r="R20" s="84" t="e">
        <f>IF(VLOOKUP(C20,'Train Runs'!$A$13:$AE$9922,1,1)=C20,VLOOKUP(C20,'Train Runs'!$A$13:$AE$9922,31,1),NA())</f>
        <v>#N/A</v>
      </c>
      <c r="S20" s="87" t="str">
        <f>VLOOKUP(C20,'Train Runs'!$A$13:$AE$9922,22,0)</f>
        <v>https://d0f6bd738d7f1b3e5a7ca70fe4ff75f0.us-east-1.aws.found.io/app/kibana#/discover/Steve-Slow-Train-Analysis-(2080s-and-2083s)?_g=(refreshInterval:(display:Off,pause:!f,section:0,value:0),time:(from:'2017-05-20T15:16:17-0600',mode:absolute,to:'2017-05-20T18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0" s="89" t="str">
        <f t="shared" si="1"/>
        <v>"C:\Program Files (x86)\AstroGrep\AstroGrep.exe" /e /r /s /spath="%USERPROFILE%\AppData\Local\Temp\OnboardLogs" /stypes="*4013*201705202*" /stext=" 22:.+((SYSTEM_STATE.+slice.+state.+changed )|(ment ac)|(multiple cpu faults)|(system.+state.+changed )|(\[timeout)|(PRM\|1\|D)|(kpr)|(kdp)|(train st.+moving)|(\|lc)|(penalty))"</v>
      </c>
      <c r="U20" s="9" t="str">
        <f t="shared" si="2"/>
        <v>4013</v>
      </c>
      <c r="V20" s="31">
        <f t="shared" si="3"/>
        <v>42875.936597222222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{"issue":{"subject":"","project_id":79,"tracker_id":40,"status_id":1,"priority_id":2,"assigned_to_id":23,"start_date":"2017-05-20","description":"","custom_fields":[{"id":1,"name":"Subdivision","value":"EC"},{"id":4,"name":"Milepost","value":"23.0436"},{"id":17,"name":"Train ID","value":"196-20"},{"id":16,"name":"Locomotive ID","value":"4013"},{"id":130,"name":"Impact","value":""},{"id":150,"name":"Time of Event (Mountain Time)","value":"16:28:42"},{"id":151,"name":"Denver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/cygdrive/c/Users/stu/AppData/Local/Temp/OnboardLogs/RTDC4013 --include="*4013*201705202*"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"%USERPROFILE%\AppData\Local\Temp\OnboardLogs"\RTDC4013\*4013*201705202* &gt;&gt; 2017-05-20-SliceDisagreementCheck.txt</v>
      </c>
      <c r="AE20" s="148" t="str">
        <f t="shared" si="9"/>
        <v>start /low /b %USERPROFILE%\Documents\GitHub\eaglep3\Utilities\DownloadLogsFromS3.py --loco 4013 --day 2017-05-20</v>
      </c>
      <c r="AF20" s="1"/>
    </row>
    <row r="21" spans="1:32" x14ac:dyDescent="0.25">
      <c r="A21" s="31">
        <v>42875.350219907406</v>
      </c>
      <c r="B21" s="30" t="s">
        <v>516</v>
      </c>
      <c r="C21" s="30" t="s">
        <v>594</v>
      </c>
      <c r="D21" s="30" t="s">
        <v>49</v>
      </c>
      <c r="E21" s="30" t="s">
        <v>371</v>
      </c>
      <c r="F21" s="42">
        <v>0</v>
      </c>
      <c r="G21" s="42">
        <v>580</v>
      </c>
      <c r="H21" s="42">
        <v>133611</v>
      </c>
      <c r="I21" s="42">
        <v>131599</v>
      </c>
      <c r="J21" s="30" t="s">
        <v>372</v>
      </c>
      <c r="K21" s="42">
        <v>133166</v>
      </c>
      <c r="L21" s="134" t="s">
        <v>51</v>
      </c>
      <c r="M21" s="135">
        <f t="shared" si="0"/>
        <v>-827.37599999999998</v>
      </c>
      <c r="N21" s="136" t="str">
        <f>VLOOKUP(C21,'Trips&amp;Operators'!$C$1:$G$99999,5,FALSE)</f>
        <v>GEBRETEKLE DAGNEW</v>
      </c>
      <c r="O21" s="207" t="s">
        <v>481</v>
      </c>
      <c r="P21" s="137" t="s">
        <v>512</v>
      </c>
      <c r="Q21" s="30"/>
      <c r="R21" s="84" t="str">
        <f>IF(VLOOKUP(C21,'Train Runs'!$A$13:$AE$9922,1,1)=C21,VLOOKUP(C21,'Train Runs'!$A$13:$AE$9922,31,1),NA())</f>
        <v>aws s3 cp s3://rtdc.mdm.uploadarchive.raw/RTDC4025/ "%USERPROFILE%\AppData\Local\Temp\OnboardLogs"\RTDC4025\2017-05-20 --exclude "*" --recursive --include "*20170520*" &amp; "%USERPROFILE%\Documents\GitHub\mrs-test-scripts\Headless Mode &amp; Sideloading\WalkAndUnGZ.bat" "%USERPROFILE%\AppData\Local\Temp\OnboardLogs"\RTDC4025\2017-05-20 &amp; aws s3 cp s3://rtdc.mdm.uploadarchive.raw/RTDC4025/ "%USERPROFILE%\AppData\Local\Temp\OnboardLogs"\RTDC4025\2017-05-21 --exclude "*" --recursive --include "*20170521*" &amp; "%USERPROFILE%\Documents\GitHub\mrs-test-scripts\Headless Mode &amp; Sideloading\WalkAndUnGZ.bat" "%USERPROFILE%\AppData\Local\Temp\OnboardLogs"\RTDC4025\2017-05-21</v>
      </c>
      <c r="S21" s="87" t="str">
        <f>VLOOKUP(C21,'Train Runs'!$A$13:$AE$9922,22,0)</f>
        <v>https://d0f6bd738d7f1b3e5a7ca70fe4ff75f0.us-east-1.aws.found.io/app/kibana#/discover/Steve-Slow-Train-Analysis-(2080s-and-2083s)?_g=(refreshInterval:(display:Off,pause:!f,section:0,value:0),time:(from:'2017-05-20T07:26:30-0600',mode:absolute,to:'2017-05-20T09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1" s="89" t="str">
        <f t="shared" si="1"/>
        <v>"C:\Program Files (x86)\AstroGrep\AstroGrep.exe" /e /r /s /spath="%USERPROFILE%\AppData\Local\Temp\OnboardLogs" /stypes="*4025*201705201*" /stext=" 14:.+((SYSTEM_STATE.+slice.+state.+changed )|(ment ac)|(multiple cpu faults)|(system.+state.+changed )|(\[timeout)|(PRM\|1\|D)|(kpr)|(kdp)|(train st.+moving)|(\|lc)|(penalty))"</v>
      </c>
      <c r="U21" s="9" t="str">
        <f t="shared" si="2"/>
        <v>4025</v>
      </c>
      <c r="V21" s="31">
        <f t="shared" si="3"/>
        <v>42875.600219907406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{"issue":{"subject":"Wi-MAX data drop","project_id":79,"tracker_id":40,"status_id":1,"priority_id":2,"assigned_to_id":23,"start_date":"2017-05-20","description":"","custom_fields":[{"id":1,"name":"Subdivision","value":"EC"},{"id":4,"name":"Milepost","value":"13.3166"},{"id":17,"name":"Train ID","value":"130-20"},{"id":16,"name":"Locomotive ID","value":"4025"},{"id":130,"name":"Impact","value":""},{"id":150,"name":"Time of Event (Mountain Time)","value":"08:24:19"},{"id":151,"name":"Denver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/cygdrive/c/Users/stu/AppData/Local/Temp/OnboardLogs/RTDC4025 --include="*4025*201705201*"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"%USERPROFILE%\AppData\Local\Temp\OnboardLogs"\RTDC4025\*4025*201705201* &gt;&gt; 2017-05-20-SliceDisagreementCheck.txt</v>
      </c>
      <c r="AE21" s="148" t="str">
        <f t="shared" si="9"/>
        <v>start /low /b %USERPROFILE%\Documents\GitHub\eaglep3\Utilities\DownloadLogsFromS3.py --loco 4025 --day 2017-05-20</v>
      </c>
      <c r="AF21" s="1"/>
    </row>
    <row r="22" spans="1:32" x14ac:dyDescent="0.25">
      <c r="A22" s="31">
        <v>42875.391655092593</v>
      </c>
      <c r="B22" s="30" t="s">
        <v>411</v>
      </c>
      <c r="C22" s="30" t="s">
        <v>597</v>
      </c>
      <c r="D22" s="30" t="s">
        <v>49</v>
      </c>
      <c r="E22" s="30" t="s">
        <v>371</v>
      </c>
      <c r="F22" s="42">
        <v>0</v>
      </c>
      <c r="G22" s="42">
        <v>603</v>
      </c>
      <c r="H22" s="42">
        <v>135231</v>
      </c>
      <c r="I22" s="42">
        <v>132903</v>
      </c>
      <c r="J22" s="30" t="s">
        <v>372</v>
      </c>
      <c r="K22" s="42">
        <v>133166</v>
      </c>
      <c r="L22" s="134" t="s">
        <v>51</v>
      </c>
      <c r="M22" s="135">
        <f t="shared" si="0"/>
        <v>-138.864</v>
      </c>
      <c r="N22" s="136" t="str">
        <f>VLOOKUP(C22,'Trips&amp;Operators'!$C$1:$G$99999,5,FALSE)</f>
        <v>SANTIZO D. EDY</v>
      </c>
      <c r="O22" s="207" t="s">
        <v>481</v>
      </c>
      <c r="P22" s="137" t="s">
        <v>512</v>
      </c>
      <c r="Q22" s="30"/>
      <c r="R22" s="84" t="str">
        <f>IF(VLOOKUP(C22,'Train Runs'!$A$13:$AE$9922,1,1)=C22,VLOOKUP(C22,'Train Runs'!$A$13:$AE$9922,31,1),NA())</f>
        <v>aws s3 cp s3://rtdc.mdm.uploadarchive.raw/RTDC4001/ "%USERPROFILE%\AppData\Local\Temp\OnboardLogs"\RTDC4001\2017-05-20 --exclude "*" --recursive --include "*20170520*" &amp; "%USERPROFILE%\Documents\GitHub\mrs-test-scripts\Headless Mode &amp; Sideloading\WalkAndUnGZ.bat" "%USERPROFILE%\AppData\Local\Temp\OnboardLogs"\RTDC4001\2017-05-20 &amp; aws s3 cp s3://rtdc.mdm.uploadarchive.raw/RTDC4001/ "%USERPROFILE%\AppData\Local\Temp\OnboardLogs"\RTDC4001\2017-05-21 --exclude "*" --recursive --include "*20170521*" &amp; "%USERPROFILE%\Documents\GitHub\mrs-test-scripts\Headless Mode &amp; Sideloading\WalkAndUnGZ.bat" "%USERPROFILE%\AppData\Local\Temp\OnboardLogs"\RTDC4001\2017-05-21</v>
      </c>
      <c r="S22" s="87" t="str">
        <f>VLOOKUP(C22,'Train Runs'!$A$13:$AE$9922,22,0)</f>
        <v>https://d0f6bd738d7f1b3e5a7ca70fe4ff75f0.us-east-1.aws.found.io/app/kibana#/discover/Steve-Slow-Train-Analysis-(2080s-and-2083s)?_g=(refreshInterval:(display:Off,pause:!f,section:0,value:0),time:(from:'2017-05-20T07:51:54-0600',mode:absolute,to:'2017-05-20T10:50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2" s="89" t="str">
        <f t="shared" si="1"/>
        <v>"C:\Program Files (x86)\AstroGrep\AstroGrep.exe" /e /r /s /spath="%USERPROFILE%\AppData\Local\Temp\OnboardLogs" /stypes="*4001*201705201*" /stext=" 15:.+((SYSTEM_STATE.+slice.+state.+changed )|(ment ac)|(multiple cpu faults)|(system.+state.+changed )|(\[timeout)|(PRM\|1\|D)|(kpr)|(kdp)|(train st.+moving)|(\|lc)|(penalty))"</v>
      </c>
      <c r="U22" s="9" t="str">
        <f t="shared" si="2"/>
        <v>4001</v>
      </c>
      <c r="V22" s="31">
        <f t="shared" si="3"/>
        <v>42875.641655092593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{"issue":{"subject":"Wi-MAX data drop","project_id":79,"tracker_id":40,"status_id":1,"priority_id":2,"assigned_to_id":23,"start_date":"2017-05-20","description":"","custom_fields":[{"id":1,"name":"Subdivision","value":"EC"},{"id":4,"name":"Milepost","value":"13.3166"},{"id":17,"name":"Train ID","value":"138-20"},{"id":16,"name":"Locomotive ID","value":"4001"},{"id":130,"name":"Impact","value":""},{"id":150,"name":"Time of Event (Mountain Time)","value":"09:23:59"},{"id":151,"name":"Denver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/cygdrive/c/Users/stu/AppData/Local/Temp/OnboardLogs/RTDC4001 --include="*4001*201705201*"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"%USERPROFILE%\AppData\Local\Temp\OnboardLogs"\RTDC4001\*4001*201705201* &gt;&gt; 2017-05-20-SliceDisagreementCheck.txt</v>
      </c>
      <c r="AE22" s="148" t="str">
        <f t="shared" si="9"/>
        <v>start /low /b %USERPROFILE%\Documents\GitHub\eaglep3\Utilities\DownloadLogsFromS3.py --loco 4001 --day 2017-05-20</v>
      </c>
      <c r="AF22" s="1"/>
    </row>
    <row r="23" spans="1:32" x14ac:dyDescent="0.25">
      <c r="A23" s="31">
        <v>42875.511238425926</v>
      </c>
      <c r="B23" s="30" t="s">
        <v>446</v>
      </c>
      <c r="C23" s="30" t="s">
        <v>607</v>
      </c>
      <c r="D23" s="30" t="s">
        <v>49</v>
      </c>
      <c r="E23" s="30" t="s">
        <v>371</v>
      </c>
      <c r="F23" s="42">
        <v>0</v>
      </c>
      <c r="G23" s="42">
        <v>582</v>
      </c>
      <c r="H23" s="42">
        <v>206672</v>
      </c>
      <c r="I23" s="42">
        <v>204140</v>
      </c>
      <c r="J23" s="30" t="s">
        <v>372</v>
      </c>
      <c r="K23" s="42">
        <v>204340</v>
      </c>
      <c r="L23" s="134" t="s">
        <v>51</v>
      </c>
      <c r="M23" s="135">
        <f t="shared" si="0"/>
        <v>-105.6</v>
      </c>
      <c r="N23" s="136" t="str">
        <f>VLOOKUP(C23,'Trips&amp;Operators'!$C$1:$G$99999,5,FALSE)</f>
        <v>MCREYNOLDS KYLE</v>
      </c>
      <c r="O23" s="207" t="s">
        <v>481</v>
      </c>
      <c r="P23" s="137" t="s">
        <v>1037</v>
      </c>
      <c r="Q23" s="30"/>
      <c r="R23" s="84" t="str">
        <f>IF(VLOOKUP(C23,'Train Runs'!$A$13:$AE$9922,1,1)=C23,VLOOKUP(C23,'Train Runs'!$A$13:$AE$9922,31,1),NA())</f>
        <v>aws s3 cp s3://rtdc.mdm.uploadarchive.raw/RTDC4011/ "%USERPROFILE%\AppData\Local\Temp\OnboardLogs"\RTDC4011\2017-05-20 --exclude "*" --recursive --include "*20170520*" &amp; "%USERPROFILE%\Documents\GitHub\mrs-test-scripts\Headless Mode &amp; Sideloading\WalkAndUnGZ.bat" "%USERPROFILE%\AppData\Local\Temp\OnboardLogs"\RTDC4011\2017-05-20 &amp; aws s3 cp s3://rtdc.mdm.uploadarchive.raw/RTDC4011/ "%USERPROFILE%\AppData\Local\Temp\OnboardLogs"\RTDC4011\2017-05-21 --exclude "*" --recursive --include "*20170521*" &amp; "%USERPROFILE%\Documents\GitHub\mrs-test-scripts\Headless Mode &amp; Sideloading\WalkAndUnGZ.bat" "%USERPROFILE%\AppData\Local\Temp\OnboardLogs"\RTDC4011\2017-05-21</v>
      </c>
      <c r="S23" s="87" t="str">
        <f>VLOOKUP(C23,'Train Runs'!$A$13:$AE$9922,22,0)</f>
        <v>https://d0f6bd738d7f1b3e5a7ca70fe4ff75f0.us-east-1.aws.found.io/app/kibana#/discover/Steve-Slow-Train-Analysis-(2080s-and-2083s)?_g=(refreshInterval:(display:Off,pause:!f,section:0,value:0),time:(from:'2017-05-20T10:56:37-0600',mode:absolute,to:'2017-05-20T13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3" s="89" t="str">
        <f t="shared" si="1"/>
        <v>"C:\Program Files (x86)\AstroGrep\AstroGrep.exe" /e /r /s /spath="%USERPROFILE%\AppData\Local\Temp\OnboardLogs" /stypes="*4011*201705201*" /stext=" 18:.+((SYSTEM_STATE.+slice.+state.+changed )|(ment ac)|(multiple cpu faults)|(system.+state.+changed )|(\[timeout)|(PRM\|1\|D)|(kpr)|(kdp)|(train st.+moving)|(\|lc)|(penalty))"</v>
      </c>
      <c r="U23" s="9" t="str">
        <f t="shared" si="2"/>
        <v>4011</v>
      </c>
      <c r="V23" s="31">
        <f t="shared" si="3"/>
        <v>42875.761238425926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{"issue":{"subject":"Wi-MAX data drop (78th radio down)","project_id":79,"tracker_id":40,"status_id":1,"priority_id":2,"assigned_to_id":23,"start_date":"2017-05-20","description":"","custom_fields":[{"id":1,"name":"Subdivision","value":"EC"},{"id":4,"name":"Milepost","value":"20.434"},{"id":17,"name":"Train ID","value":"162-20"},{"id":16,"name":"Locomotive ID","value":"4011"},{"id":130,"name":"Impact","value":""},{"id":150,"name":"Time of Event (Mountain Time)","value":"12:16:11"},{"id":151,"name":"Denver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/cygdrive/c/Users/stu/AppData/Local/Temp/OnboardLogs/RTDC4011 --include="*4011*201705201*"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"%USERPROFILE%\AppData\Local\Temp\OnboardLogs"\RTDC4011\*4011*201705201* &gt;&gt; 2017-05-20-SliceDisagreementCheck.txt</v>
      </c>
      <c r="AE23" s="148" t="str">
        <f t="shared" si="9"/>
        <v>start /low /b %USERPROFILE%\Documents\GitHub\eaglep3\Utilities\DownloadLogsFromS3.py --loco 4011 --day 2017-05-20</v>
      </c>
      <c r="AF23" s="1"/>
    </row>
    <row r="24" spans="1:32" x14ac:dyDescent="0.25">
      <c r="A24" s="31">
        <v>42875.541643518518</v>
      </c>
      <c r="B24" s="30" t="s">
        <v>480</v>
      </c>
      <c r="C24" s="30" t="s">
        <v>609</v>
      </c>
      <c r="D24" s="30" t="s">
        <v>49</v>
      </c>
      <c r="E24" s="30" t="s">
        <v>371</v>
      </c>
      <c r="F24" s="42">
        <v>0</v>
      </c>
      <c r="G24" s="42">
        <v>747</v>
      </c>
      <c r="H24" s="42">
        <v>209518</v>
      </c>
      <c r="I24" s="42">
        <v>206456</v>
      </c>
      <c r="J24" s="30" t="s">
        <v>372</v>
      </c>
      <c r="K24" s="42">
        <v>204340</v>
      </c>
      <c r="L24" s="134" t="s">
        <v>51</v>
      </c>
      <c r="M24" s="135">
        <f t="shared" si="0"/>
        <v>1117.248</v>
      </c>
      <c r="N24" s="136" t="str">
        <f>VLOOKUP(C24,'Trips&amp;Operators'!$C$1:$G$99999,5,FALSE)</f>
        <v>PERKINS DARREN</v>
      </c>
      <c r="O24" s="207" t="s">
        <v>481</v>
      </c>
      <c r="P24" s="137" t="s">
        <v>1037</v>
      </c>
      <c r="Q24" s="30"/>
      <c r="R24" s="84" t="str">
        <f>IF(VLOOKUP(C24,'Train Runs'!$A$13:$AE$9922,1,1)=C24,VLOOKUP(C24,'Train Runs'!$A$13:$AE$9922,31,1),NA())</f>
        <v>aws s3 cp s3://rtdc.mdm.uploadarchive.raw/RTDC4055/ "%USERPROFILE%\AppData\Local\Temp\OnboardLogs"\RTDC4055\2017-05-20 --exclude "*" --recursive --include "*20170520*" &amp; "%USERPROFILE%\Documents\GitHub\mrs-test-scripts\Headless Mode &amp; Sideloading\WalkAndUnGZ.bat" "%USERPROFILE%\AppData\Local\Temp\OnboardLogs"\RTDC4055\2017-05-20 &amp; aws s3 cp s3://rtdc.mdm.uploadarchive.raw/RTDC4055/ "%USERPROFILE%\AppData\Local\Temp\OnboardLogs"\RTDC4055\2017-05-21 --exclude "*" --recursive --include "*20170521*" &amp; "%USERPROFILE%\Documents\GitHub\mrs-test-scripts\Headless Mode &amp; Sideloading\WalkAndUnGZ.bat" "%USERPROFILE%\AppData\Local\Temp\OnboardLogs"\RTDC4055\2017-05-21</v>
      </c>
      <c r="S24" s="87" t="str">
        <f>VLOOKUP(C24,'Train Runs'!$A$13:$AE$9922,22,0)</f>
        <v>https://d0f6bd738d7f1b3e5a7ca70fe4ff75f0.us-east-1.aws.found.io/app/kibana#/discover/Steve-Slow-Train-Analysis-(2080s-and-2083s)?_g=(refreshInterval:(display:Off,pause:!f,section:0,value:0),time:(from:'2017-05-20T11:47:53-0600',mode:absolute,to:'2017-05-20T14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4" s="89" t="str">
        <f t="shared" si="1"/>
        <v>"C:\Program Files (x86)\AstroGrep\AstroGrep.exe" /e /r /s /spath="%USERPROFILE%\AppData\Local\Temp\OnboardLogs" /stypes="*4055*201705201*" /stext=" 18:.+((SYSTEM_STATE.+slice.+state.+changed )|(ment ac)|(multiple cpu faults)|(system.+state.+changed )|(\[timeout)|(PRM\|1\|D)|(kpr)|(kdp)|(train st.+moving)|(\|lc)|(penalty))"</v>
      </c>
      <c r="U24" s="9" t="str">
        <f t="shared" si="2"/>
        <v>4055</v>
      </c>
      <c r="V24" s="31">
        <f t="shared" si="3"/>
        <v>42875.791643518518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{"issue":{"subject":"Wi-MAX data drop (78th radio down)","project_id":79,"tracker_id":40,"status_id":1,"priority_id":2,"assigned_to_id":23,"start_date":"2017-05-20","description":"","custom_fields":[{"id":1,"name":"Subdivision","value":"EC"},{"id":4,"name":"Milepost","value":"20.434"},{"id":17,"name":"Train ID","value":"168-20"},{"id":16,"name":"Locomotive ID","value":"4055"},{"id":130,"name":"Impact","value":""},{"id":150,"name":"Time of Event (Mountain Time)","value":"12:59:58"},{"id":151,"name":"Denver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/cygdrive/c/Users/stu/AppData/Local/Temp/OnboardLogs/RTDC4055 --include="*4055*201705201*"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"%USERPROFILE%\AppData\Local\Temp\OnboardLogs"\RTDC4055\*4055*201705201* &gt;&gt; 2017-05-20-SliceDisagreementCheck.txt</v>
      </c>
      <c r="AE24" s="148" t="str">
        <f t="shared" si="9"/>
        <v>start /low /b %USERPROFILE%\Documents\GitHub\eaglep3\Utilities\DownloadLogsFromS3.py --loco 4055 --day 2017-05-20</v>
      </c>
      <c r="AF24" s="1"/>
    </row>
    <row r="25" spans="1:32" x14ac:dyDescent="0.25">
      <c r="A25" s="31">
        <v>42875.635891203703</v>
      </c>
      <c r="B25" s="30" t="s">
        <v>516</v>
      </c>
      <c r="C25" s="30" t="s">
        <v>614</v>
      </c>
      <c r="D25" s="30" t="s">
        <v>49</v>
      </c>
      <c r="E25" s="30" t="s">
        <v>371</v>
      </c>
      <c r="F25" s="42">
        <v>0</v>
      </c>
      <c r="G25" s="42">
        <v>599</v>
      </c>
      <c r="H25" s="42">
        <v>207795</v>
      </c>
      <c r="I25" s="42">
        <v>205327</v>
      </c>
      <c r="J25" s="30" t="s">
        <v>372</v>
      </c>
      <c r="K25" s="42">
        <v>204340</v>
      </c>
      <c r="L25" s="134" t="s">
        <v>51</v>
      </c>
      <c r="M25" s="135">
        <f t="shared" si="0"/>
        <v>521.13599999999997</v>
      </c>
      <c r="N25" s="136" t="str">
        <f>VLOOKUP(C25,'Trips&amp;Operators'!$C$1:$G$99999,5,FALSE)</f>
        <v>MOSES BRADLEY</v>
      </c>
      <c r="O25" s="207" t="s">
        <v>481</v>
      </c>
      <c r="P25" s="137" t="s">
        <v>1037</v>
      </c>
      <c r="Q25" s="30"/>
      <c r="R25" s="84" t="e">
        <f>IF(VLOOKUP(C25,'Train Runs'!$A$13:$AE$9922,1,1)=C25,VLOOKUP(C25,'Train Runs'!$A$13:$AE$9922,31,1),NA())</f>
        <v>#N/A</v>
      </c>
      <c r="S25" s="87" t="str">
        <f>VLOOKUP(C25,'Train Runs'!$A$13:$AE$9922,22,0)</f>
        <v>https://d0f6bd738d7f1b3e5a7ca70fe4ff75f0.us-east-1.aws.found.io/app/kibana#/discover/Steve-Slow-Train-Analysis-(2080s-and-2083s)?_g=(refreshInterval:(display:Off,pause:!f,section:0,value:0),time:(from:'2017-05-20T14:07:12-0600',mode:absolute,to:'2017-05-20T16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5" s="89" t="str">
        <f t="shared" si="1"/>
        <v>"C:\Program Files (x86)\AstroGrep\AstroGrep.exe" /e /r /s /spath="%USERPROFILE%\AppData\Local\Temp\OnboardLogs" /stypes="*4025*201705202*" /stext=" 21:.+((SYSTEM_STATE.+slice.+state.+changed )|(ment ac)|(multiple cpu faults)|(system.+state.+changed )|(\[timeout)|(PRM\|1\|D)|(kpr)|(kdp)|(train st.+moving)|(\|lc)|(penalty))"</v>
      </c>
      <c r="U25" s="9" t="str">
        <f t="shared" si="2"/>
        <v>4025</v>
      </c>
      <c r="V25" s="31">
        <f t="shared" si="3"/>
        <v>42875.885891203703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{"issue":{"subject":"Wi-MAX data drop (78th radio down)","project_id":79,"tracker_id":40,"status_id":1,"priority_id":2,"assigned_to_id":23,"start_date":"2017-05-20","description":"","custom_fields":[{"id":1,"name":"Subdivision","value":"EC"},{"id":4,"name":"Milepost","value":"20.434"},{"id":17,"name":"Train ID","value":"186-20"},{"id":16,"name":"Locomotive ID","value":"4025"},{"id":130,"name":"Impact","value":""},{"id":150,"name":"Time of Event (Mountain Time)","value":"15:15:41"},{"id":151,"name":"Denver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/cygdrive/c/Users/stu/AppData/Local/Temp/OnboardLogs/RTDC4025 --include="*4025*201705202*"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"%USERPROFILE%\AppData\Local\Temp\OnboardLogs"\RTDC4025\*4025*201705202* &gt;&gt; 2017-05-20-SliceDisagreementCheck.txt</v>
      </c>
      <c r="AE25" s="148" t="str">
        <f t="shared" si="9"/>
        <v>start /low /b %USERPROFILE%\Documents\GitHub\eaglep3\Utilities\DownloadLogsFromS3.py --loco 4025 --day 2017-05-20</v>
      </c>
      <c r="AF25" s="1"/>
    </row>
    <row r="26" spans="1:32" x14ac:dyDescent="0.25">
      <c r="A26" s="31">
        <v>42875.771689814814</v>
      </c>
      <c r="B26" s="30" t="s">
        <v>436</v>
      </c>
      <c r="C26" s="30" t="s">
        <v>626</v>
      </c>
      <c r="D26" s="30" t="s">
        <v>49</v>
      </c>
      <c r="E26" s="30" t="s">
        <v>371</v>
      </c>
      <c r="F26" s="42">
        <v>0</v>
      </c>
      <c r="G26" s="42">
        <v>745</v>
      </c>
      <c r="H26" s="42">
        <v>208629</v>
      </c>
      <c r="I26" s="42">
        <v>205304</v>
      </c>
      <c r="J26" s="30" t="s">
        <v>372</v>
      </c>
      <c r="K26" s="42">
        <v>204340</v>
      </c>
      <c r="L26" s="134" t="s">
        <v>51</v>
      </c>
      <c r="M26" s="135">
        <f t="shared" si="0"/>
        <v>508.99200000000002</v>
      </c>
      <c r="N26" s="136" t="str">
        <f>VLOOKUP(C26,'Trips&amp;Operators'!$C$1:$G$99999,5,FALSE)</f>
        <v>ROMERO CHAD</v>
      </c>
      <c r="O26" s="207" t="s">
        <v>481</v>
      </c>
      <c r="P26" s="137" t="s">
        <v>1037</v>
      </c>
      <c r="Q26" s="30"/>
      <c r="R26" s="84" t="e">
        <f>IF(VLOOKUP(C26,'Train Runs'!$A$13:$AE$9922,1,1)=C26,VLOOKUP(C26,'Train Runs'!$A$13:$AE$9922,31,1),NA())</f>
        <v>#N/A</v>
      </c>
      <c r="S26" s="87" t="str">
        <f>VLOOKUP(C26,'Train Runs'!$A$13:$AE$9922,22,0)</f>
        <v>https://d0f6bd738d7f1b3e5a7ca70fe4ff75f0.us-east-1.aws.found.io/app/kibana#/discover/Steve-Slow-Train-Analysis-(2080s-and-2083s)?_g=(refreshInterval:(display:Off,pause:!f,section:0,value:0),time:(from:'2017-05-20T17:25:41-0600',mode:absolute,to:'2017-05-20T20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6" s="89" t="str">
        <f t="shared" si="1"/>
        <v>"C:\Program Files (x86)\AstroGrep\AstroGrep.exe" /e /r /s /spath="%USERPROFILE%\AppData\Local\Temp\OnboardLogs" /stypes="*4007*201705210*" /stext=" 00:.+((SYSTEM_STATE.+slice.+state.+changed )|(ment ac)|(multiple cpu faults)|(system.+state.+changed )|(\[timeout)|(PRM\|1\|D)|(kpr)|(kdp)|(train st.+moving)|(\|lc)|(penalty))"</v>
      </c>
      <c r="U26" s="9" t="str">
        <f t="shared" si="2"/>
        <v>4007</v>
      </c>
      <c r="V26" s="31">
        <f t="shared" si="3"/>
        <v>42876.021689814814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{"issue":{"subject":"Wi-MAX data drop (78th radio down)","project_id":79,"tracker_id":40,"status_id":1,"priority_id":2,"assigned_to_id":23,"start_date":"2017-05-20","description":"","custom_fields":[{"id":1,"name":"Subdivision","value":"EC"},{"id":4,"name":"Milepost","value":"20.434"},{"id":17,"name":"Train ID","value":"212-20"},{"id":16,"name":"Locomotive ID","value":"4007"},{"id":130,"name":"Impact","value":""},{"id":150,"name":"Time of Event (Mountain Time)","value":"18:31:14"},{"id":151,"name":"Denver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/cygdrive/c/Users/stu/AppData/Local/Temp/OnboardLogs/RTDC4007 --include="*4007*201705210*"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"%USERPROFILE%\AppData\Local\Temp\OnboardLogs"\RTDC4007\*4007*201705210* &gt;&gt; 2017-05-20-SliceDisagreementCheck.txt</v>
      </c>
      <c r="AE26" s="148" t="str">
        <f t="shared" si="9"/>
        <v>start /low /b %USERPROFILE%\Documents\GitHub\eaglep3\Utilities\DownloadLogsFromS3.py --loco 4007 --day 2017-05-21</v>
      </c>
      <c r="AF26" s="1"/>
    </row>
    <row r="27" spans="1:32" x14ac:dyDescent="0.25">
      <c r="A27" s="31">
        <v>42875.784166666665</v>
      </c>
      <c r="B27" s="30" t="s">
        <v>516</v>
      </c>
      <c r="C27" s="30" t="s">
        <v>628</v>
      </c>
      <c r="D27" s="30" t="s">
        <v>49</v>
      </c>
      <c r="E27" s="30" t="s">
        <v>371</v>
      </c>
      <c r="F27" s="42">
        <v>0</v>
      </c>
      <c r="G27" s="42">
        <v>784</v>
      </c>
      <c r="H27" s="42">
        <v>208954</v>
      </c>
      <c r="I27" s="42">
        <v>204943</v>
      </c>
      <c r="J27" s="30" t="s">
        <v>372</v>
      </c>
      <c r="K27" s="42">
        <v>204340</v>
      </c>
      <c r="L27" s="134" t="s">
        <v>51</v>
      </c>
      <c r="M27" s="135">
        <f t="shared" si="0"/>
        <v>318.38400000000001</v>
      </c>
      <c r="N27" s="136" t="str">
        <f>VLOOKUP(C27,'Trips&amp;Operators'!$C$1:$G$99999,5,FALSE)</f>
        <v>SMITH MICHAEL</v>
      </c>
      <c r="O27" s="207" t="s">
        <v>481</v>
      </c>
      <c r="P27" s="137" t="s">
        <v>1037</v>
      </c>
      <c r="Q27" s="30"/>
      <c r="R27" s="84" t="e">
        <f>IF(VLOOKUP(C27,'Train Runs'!$A$13:$AE$9922,1,1)=C27,VLOOKUP(C27,'Train Runs'!$A$13:$AE$9922,31,1),NA())</f>
        <v>#N/A</v>
      </c>
      <c r="S27" s="87" t="str">
        <f>VLOOKUP(C27,'Train Runs'!$A$13:$AE$9922,22,0)</f>
        <v>https://d0f6bd738d7f1b3e5a7ca70fe4ff75f0.us-east-1.aws.found.io/app/kibana#/discover/Steve-Slow-Train-Analysis-(2080s-and-2083s)?_g=(refreshInterval:(display:Off,pause:!f,section:0,value:0),time:(from:'2017-05-20T17:34:23-0600',mode:absolute,to:'2017-05-20T20:25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7" s="89" t="str">
        <f t="shared" si="1"/>
        <v>"C:\Program Files (x86)\AstroGrep\AstroGrep.exe" /e /r /s /spath="%USERPROFILE%\AppData\Local\Temp\OnboardLogs" /stypes="*4025*201705210*" /stext=" 00:.+((SYSTEM_STATE.+slice.+state.+changed )|(ment ac)|(multiple cpu faults)|(system.+state.+changed )|(\[timeout)|(PRM\|1\|D)|(kpr)|(kdp)|(train st.+moving)|(\|lc)|(penalty))"</v>
      </c>
      <c r="U27" s="9" t="str">
        <f t="shared" si="2"/>
        <v>4025</v>
      </c>
      <c r="V27" s="31">
        <f t="shared" si="3"/>
        <v>42876.034166666665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{"issue":{"subject":"Wi-MAX data drop (78th radio down)","project_id":79,"tracker_id":40,"status_id":1,"priority_id":2,"assigned_to_id":23,"start_date":"2017-05-20","description":"","custom_fields":[{"id":1,"name":"Subdivision","value":"EC"},{"id":4,"name":"Milepost","value":"20.434"},{"id":17,"name":"Train ID","value":"214-20"},{"id":16,"name":"Locomotive ID","value":"4025"},{"id":130,"name":"Impact","value":""},{"id":150,"name":"Time of Event (Mountain Time)","value":"18:49:12"},{"id":151,"name":"Denver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/cygdrive/c/Users/stu/AppData/Local/Temp/OnboardLogs/RTDC4025 --include="*4025*201705210*"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"%USERPROFILE%\AppData\Local\Temp\OnboardLogs"\RTDC4025\*4025*201705210* &gt;&gt; 2017-05-20-SliceDisagreementCheck.txt</v>
      </c>
      <c r="AE27" s="148" t="str">
        <f t="shared" si="9"/>
        <v>start /low /b %USERPROFILE%\Documents\GitHub\eaglep3\Utilities\DownloadLogsFromS3.py --loco 4025 --day 2017-05-21</v>
      </c>
      <c r="AF27" s="1"/>
    </row>
    <row r="28" spans="1:32" x14ac:dyDescent="0.25">
      <c r="A28" s="31">
        <v>42875.812951388885</v>
      </c>
      <c r="B28" s="30" t="s">
        <v>376</v>
      </c>
      <c r="C28" s="30" t="s">
        <v>631</v>
      </c>
      <c r="D28" s="30" t="s">
        <v>49</v>
      </c>
      <c r="E28" s="30" t="s">
        <v>371</v>
      </c>
      <c r="F28" s="42">
        <v>0</v>
      </c>
      <c r="G28" s="42">
        <v>573</v>
      </c>
      <c r="H28" s="42">
        <v>207672</v>
      </c>
      <c r="I28" s="42">
        <v>205446</v>
      </c>
      <c r="J28" s="30" t="s">
        <v>372</v>
      </c>
      <c r="K28" s="42">
        <v>204340</v>
      </c>
      <c r="L28" s="134" t="s">
        <v>51</v>
      </c>
      <c r="M28" s="135">
        <f t="shared" si="0"/>
        <v>583.96799999999996</v>
      </c>
      <c r="N28" s="136" t="str">
        <f>VLOOKUP(C28,'Trips&amp;Operators'!$C$1:$G$99999,5,FALSE)</f>
        <v>SWANSON BRYCE</v>
      </c>
      <c r="O28" s="207" t="s">
        <v>481</v>
      </c>
      <c r="P28" s="137" t="s">
        <v>1037</v>
      </c>
      <c r="Q28" s="30"/>
      <c r="R28" s="84" t="e">
        <f>IF(VLOOKUP(C28,'Train Runs'!$A$13:$AE$9922,1,1)=C28,VLOOKUP(C28,'Train Runs'!$A$13:$AE$9922,31,1),NA())</f>
        <v>#N/A</v>
      </c>
      <c r="S28" s="87" t="str">
        <f>VLOOKUP(C28,'Train Runs'!$A$13:$AE$9922,22,0)</f>
        <v>https://d0f6bd738d7f1b3e5a7ca70fe4ff75f0.us-east-1.aws.found.io/app/kibana#/discover/Steve-Slow-Train-Analysis-(2080s-and-2083s)?_g=(refreshInterval:(display:Off,pause:!f,section:0,value:0),time:(from:'2017-05-20T18:23:58-0600',mode:absolute,to:'2017-05-20T21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8" s="89" t="str">
        <f t="shared" si="1"/>
        <v>"C:\Program Files (x86)\AstroGrep\AstroGrep.exe" /e /r /s /spath="%USERPROFILE%\AppData\Local\Temp\OnboardLogs" /stypes="*4021*201705210*" /stext=" 01:.+((SYSTEM_STATE.+slice.+state.+changed )|(ment ac)|(multiple cpu faults)|(system.+state.+changed )|(\[timeout)|(PRM\|1\|D)|(kpr)|(kdp)|(train st.+moving)|(\|lc)|(penalty))"</v>
      </c>
      <c r="U28" s="9" t="str">
        <f t="shared" si="2"/>
        <v>4021</v>
      </c>
      <c r="V28" s="31">
        <f t="shared" si="3"/>
        <v>42876.062951388885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{"issue":{"subject":"Wi-MAX data drop (78th radio down)","project_id":79,"tracker_id":40,"status_id":1,"priority_id":2,"assigned_to_id":23,"start_date":"2017-05-20","description":"","custom_fields":[{"id":1,"name":"Subdivision","value":"EC"},{"id":4,"name":"Milepost","value":"20.434"},{"id":17,"name":"Train ID","value":"220-20"},{"id":16,"name":"Locomotive ID","value":"4021"},{"id":130,"name":"Impact","value":""},{"id":150,"name":"Time of Event (Mountain Time)","value":"19:30:39"},{"id":151,"name":"Denver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/cygdrive/c/Users/stu/AppData/Local/Temp/OnboardLogs/RTDC4021 --include="*4021*201705210*"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"%USERPROFILE%\AppData\Local\Temp\OnboardLogs"\RTDC4021\*4021*201705210* &gt;&gt; 2017-05-20-SliceDisagreementCheck.txt</v>
      </c>
      <c r="AE28" s="148" t="str">
        <f t="shared" si="9"/>
        <v>start /low /b %USERPROFILE%\Documents\GitHub\eaglep3\Utilities\DownloadLogsFromS3.py --loco 4021 --day 2017-05-21</v>
      </c>
      <c r="AF28" s="1"/>
    </row>
    <row r="29" spans="1:32" x14ac:dyDescent="0.25">
      <c r="A29" s="31">
        <v>42875.833495370367</v>
      </c>
      <c r="B29" s="30" t="s">
        <v>381</v>
      </c>
      <c r="C29" s="30" t="s">
        <v>633</v>
      </c>
      <c r="D29" s="30" t="s">
        <v>49</v>
      </c>
      <c r="E29" s="30" t="s">
        <v>371</v>
      </c>
      <c r="F29" s="42">
        <v>0</v>
      </c>
      <c r="G29" s="42">
        <v>693</v>
      </c>
      <c r="H29" s="42">
        <v>208845</v>
      </c>
      <c r="I29" s="42">
        <v>206020</v>
      </c>
      <c r="J29" s="30" t="s">
        <v>372</v>
      </c>
      <c r="K29" s="42">
        <v>204340</v>
      </c>
      <c r="L29" s="134" t="s">
        <v>51</v>
      </c>
      <c r="M29" s="135">
        <f t="shared" si="0"/>
        <v>887.04</v>
      </c>
      <c r="N29" s="136" t="str">
        <f>VLOOKUP(C29,'Trips&amp;Operators'!$C$1:$G$99999,5,FALSE)</f>
        <v>BROWN JACOB</v>
      </c>
      <c r="O29" s="207" t="s">
        <v>481</v>
      </c>
      <c r="P29" s="137" t="s">
        <v>1037</v>
      </c>
      <c r="Q29" s="30"/>
      <c r="R29" s="84" t="e">
        <f>IF(VLOOKUP(C29,'Train Runs'!$A$13:$AE$9922,1,1)=C29,VLOOKUP(C29,'Train Runs'!$A$13:$AE$9922,31,1),NA())</f>
        <v>#N/A</v>
      </c>
      <c r="S29" s="87" t="str">
        <f>VLOOKUP(C29,'Train Runs'!$A$13:$AE$9922,22,0)</f>
        <v>https://d0f6bd738d7f1b3e5a7ca70fe4ff75f0.us-east-1.aws.found.io/app/kibana#/discover/Steve-Slow-Train-Analysis-(2080s-and-2083s)?_g=(refreshInterval:(display:Off,pause:!f,section:0,value:0),time:(from:'2017-05-20T18:52:03-0600',mode:absolute,to:'2017-05-20T21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9" s="89" t="str">
        <f t="shared" si="1"/>
        <v>"C:\Program Files (x86)\AstroGrep\AstroGrep.exe" /e /r /s /spath="%USERPROFILE%\AppData\Local\Temp\OnboardLogs" /stypes="*4013*201705210*" /stext=" 02:.+((SYSTEM_STATE.+slice.+state.+changed )|(ment ac)|(multiple cpu faults)|(system.+state.+changed )|(\[timeout)|(PRM\|1\|D)|(kpr)|(kdp)|(train st.+moving)|(\|lc)|(penalty))"</v>
      </c>
      <c r="U29" s="9" t="str">
        <f t="shared" si="2"/>
        <v>4013</v>
      </c>
      <c r="V29" s="31">
        <f t="shared" si="3"/>
        <v>42876.083495370367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{"issue":{"subject":"Wi-MAX data drop (78th radio down)","project_id":79,"tracker_id":40,"status_id":1,"priority_id":2,"assigned_to_id":23,"start_date":"2017-05-20","description":"","custom_fields":[{"id":1,"name":"Subdivision","value":"EC"},{"id":4,"name":"Milepost","value":"20.434"},{"id":17,"name":"Train ID","value":"222-20"},{"id":16,"name":"Locomotive ID","value":"4013"},{"id":130,"name":"Impact","value":""},{"id":150,"name":"Time of Event (Mountain Time)","value":"20:00:14"},{"id":151,"name":"Denver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/cygdrive/c/Users/stu/AppData/Local/Temp/OnboardLogs/RTDC4013 --include="*4013*201705210*"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"%USERPROFILE%\AppData\Local\Temp\OnboardLogs"\RTDC4013\*4013*201705210* &gt;&gt; 2017-05-20-SliceDisagreementCheck.txt</v>
      </c>
      <c r="AE29" s="148" t="str">
        <f t="shared" si="9"/>
        <v>start /low /b %USERPROFILE%\Documents\GitHub\eaglep3\Utilities\DownloadLogsFromS3.py --loco 4013 --day 2017-05-21</v>
      </c>
      <c r="AF29" s="1"/>
    </row>
    <row r="30" spans="1:32" x14ac:dyDescent="0.25">
      <c r="A30" s="31">
        <v>42875.875196759262</v>
      </c>
      <c r="B30" s="30" t="s">
        <v>446</v>
      </c>
      <c r="C30" s="30" t="s">
        <v>635</v>
      </c>
      <c r="D30" s="30" t="s">
        <v>49</v>
      </c>
      <c r="E30" s="30" t="s">
        <v>371</v>
      </c>
      <c r="F30" s="42">
        <v>0</v>
      </c>
      <c r="G30" s="42">
        <v>710</v>
      </c>
      <c r="H30" s="42">
        <v>209128</v>
      </c>
      <c r="I30" s="42">
        <v>206331</v>
      </c>
      <c r="J30" s="30" t="s">
        <v>372</v>
      </c>
      <c r="K30" s="42">
        <v>204340</v>
      </c>
      <c r="L30" s="134" t="s">
        <v>51</v>
      </c>
      <c r="M30" s="135">
        <f t="shared" si="0"/>
        <v>1051.248</v>
      </c>
      <c r="N30" s="136" t="str">
        <f>VLOOKUP(C30,'Trips&amp;Operators'!$C$1:$G$99999,5,FALSE)</f>
        <v>STAMBAUGH JAMES</v>
      </c>
      <c r="O30" s="207" t="s">
        <v>481</v>
      </c>
      <c r="P30" s="137" t="s">
        <v>1037</v>
      </c>
      <c r="Q30" s="30"/>
      <c r="R30" s="84" t="e">
        <f>IF(VLOOKUP(C30,'Train Runs'!$A$13:$AE$9922,1,1)=C30,VLOOKUP(C30,'Train Runs'!$A$13:$AE$9922,31,1),NA())</f>
        <v>#N/A</v>
      </c>
      <c r="S30" s="87" t="str">
        <f>VLOOKUP(C30,'Train Runs'!$A$13:$AE$9922,22,0)</f>
        <v>https://d0f6bd738d7f1b3e5a7ca70fe4ff75f0.us-east-1.aws.found.io/app/kibana#/discover/Steve-Slow-Train-Analysis-(2080s-and-2083s)?_g=(refreshInterval:(display:Off,pause:!f,section:0,value:0),time:(from:'2017-05-20T19:48:47-0600',mode:absolute,to:'2017-05-20T22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0" s="89" t="str">
        <f t="shared" si="1"/>
        <v>"C:\Program Files (x86)\AstroGrep\AstroGrep.exe" /e /r /s /spath="%USERPROFILE%\AppData\Local\Temp\OnboardLogs" /stypes="*4011*201705210*" /stext=" 03:.+((SYSTEM_STATE.+slice.+state.+changed )|(ment ac)|(multiple cpu faults)|(system.+state.+changed )|(\[timeout)|(PRM\|1\|D)|(kpr)|(kdp)|(train st.+moving)|(\|lc)|(penalty))"</v>
      </c>
      <c r="U30" s="9" t="str">
        <f t="shared" si="2"/>
        <v>4011</v>
      </c>
      <c r="V30" s="31">
        <f t="shared" si="3"/>
        <v>42876.125196759262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{"issue":{"subject":"Wi-MAX data drop (78th radio down)","project_id":79,"tracker_id":40,"status_id":1,"priority_id":2,"assigned_to_id":23,"start_date":"2017-05-20","description":"","custom_fields":[{"id":1,"name":"Subdivision","value":"EC"},{"id":4,"name":"Milepost","value":"20.434"},{"id":17,"name":"Train ID","value":"226-20"},{"id":16,"name":"Locomotive ID","value":"4011"},{"id":130,"name":"Impact","value":""},{"id":150,"name":"Time of Event (Mountain Time)","value":"21:00:17"},{"id":151,"name":"Denver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/cygdrive/c/Users/stu/AppData/Local/Temp/OnboardLogs/RTDC4011 --include="*4011*201705210*"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"%USERPROFILE%\AppData\Local\Temp\OnboardLogs"\RTDC4011\*4011*201705210* &gt;&gt; 2017-05-20-SliceDisagreementCheck.txt</v>
      </c>
      <c r="AE30" s="148" t="str">
        <f t="shared" si="9"/>
        <v>start /low /b %USERPROFILE%\Documents\GitHub\eaglep3\Utilities\DownloadLogsFromS3.py --loco 4011 --day 2017-05-21</v>
      </c>
      <c r="AF30" s="1"/>
    </row>
    <row r="31" spans="1:32" x14ac:dyDescent="0.25">
      <c r="A31" s="31">
        <v>42876.000949074078</v>
      </c>
      <c r="B31" s="30" t="s">
        <v>381</v>
      </c>
      <c r="C31" s="30" t="s">
        <v>641</v>
      </c>
      <c r="D31" s="30" t="s">
        <v>49</v>
      </c>
      <c r="E31" s="30" t="s">
        <v>371</v>
      </c>
      <c r="F31" s="42">
        <v>0</v>
      </c>
      <c r="G31" s="42">
        <v>723</v>
      </c>
      <c r="H31" s="42">
        <v>209990</v>
      </c>
      <c r="I31" s="42">
        <v>206394</v>
      </c>
      <c r="J31" s="30" t="s">
        <v>372</v>
      </c>
      <c r="K31" s="42">
        <v>204340</v>
      </c>
      <c r="L31" s="134" t="s">
        <v>51</v>
      </c>
      <c r="M31" s="135">
        <f t="shared" si="0"/>
        <v>1084.5119999999999</v>
      </c>
      <c r="N31" s="136" t="str">
        <f>VLOOKUP(C31,'Trips&amp;Operators'!$C$1:$G$99999,5,FALSE)</f>
        <v>BROWN JACOB</v>
      </c>
      <c r="O31" s="207" t="s">
        <v>481</v>
      </c>
      <c r="P31" s="137" t="s">
        <v>1037</v>
      </c>
      <c r="Q31" s="30"/>
      <c r="R31" s="84" t="e">
        <f>IF(VLOOKUP(C31,'Train Runs'!$A$13:$AE$9922,1,1)=C31,VLOOKUP(C31,'Train Runs'!$A$13:$AE$9922,31,1),NA())</f>
        <v>#N/A</v>
      </c>
      <c r="S31" s="87" t="str">
        <f>VLOOKUP(C31,'Train Runs'!$A$13:$AE$9922,22,0)</f>
        <v>https://d0f6bd738d7f1b3e5a7ca70fe4ff75f0.us-east-1.aws.found.io/app/kibana#/discover/Steve-Slow-Train-Analysis-(2080s-and-2083s)?_g=(refreshInterval:(display:Off,pause:!f,section:0,value:0),time:(from:'2017-05-20T23:12:36-0600',mode:absolute,to:'2017-05-21T01:38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1" s="89" t="str">
        <f t="shared" si="1"/>
        <v>"C:\Program Files (x86)\AstroGrep\AstroGrep.exe" /e /r /s /spath="%USERPROFILE%\AppData\Local\Temp\OnboardLogs" /stypes="*4013*201705210*" /stext=" 06:.+((SYSTEM_STATE.+slice.+state.+changed )|(ment ac)|(multiple cpu faults)|(system.+state.+changed )|(\[timeout)|(PRM\|1\|D)|(kpr)|(kdp)|(train st.+moving)|(\|lc)|(penalty))"</v>
      </c>
      <c r="U31" s="9" t="str">
        <f t="shared" si="2"/>
        <v>4013</v>
      </c>
      <c r="V31" s="31">
        <f t="shared" si="3"/>
        <v>42876.250949074078</v>
      </c>
      <c r="W31" s="45" t="str">
        <f t="shared" si="4"/>
        <v>EC</v>
      </c>
      <c r="X31" s="45" t="str">
        <f t="shared" si="5"/>
        <v>KEEP</v>
      </c>
      <c r="Y31" s="99" t="str">
        <f t="shared" si="6"/>
        <v>echo {"issue":{"subject":"Wi-MAX data drop (78th radio down)","project_id":79,"tracker_id":40,"status_id":1,"priority_id":2,"assigned_to_id":23,"start_date":"2017-05-21","description":"","custom_fields":[{"id":1,"name":"Subdivision","value":"EC"},{"id":4,"name":"Milepost","value":"20.434"},{"id":17,"name":"Train ID","value":"238-20"},{"id":16,"name":"Locomotive ID","value":"4013"},{"id":130,"name":"Impact","value":""},{"id":150,"name":"Time of Event (Mountain Time)","value":"00:01:22"},{"id":151,"name":"Denver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/cygdrive/c/Users/stu/AppData/Local/Temp/OnboardLogs/RTDC4013 --include="*4013*201705210*"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"%USERPROFILE%\AppData\Local\Temp\OnboardLogs"\RTDC4013\*4013*201705210* &gt;&gt; 2017-05-20-SliceDisagreementCheck.txt</v>
      </c>
      <c r="AE31" s="148" t="str">
        <f t="shared" si="9"/>
        <v>start /low /b %USERPROFILE%\Documents\GitHub\eaglep3\Utilities\DownloadLogsFromS3.py --loco 4013 --day 2017-05-21</v>
      </c>
      <c r="AF31" s="1"/>
    </row>
    <row r="32" spans="1:32" x14ac:dyDescent="0.25">
      <c r="A32" s="31">
        <v>42875.65898148148</v>
      </c>
      <c r="B32" s="30" t="s">
        <v>416</v>
      </c>
      <c r="C32" s="30" t="s">
        <v>615</v>
      </c>
      <c r="D32" s="30" t="s">
        <v>49</v>
      </c>
      <c r="E32" s="30" t="s">
        <v>371</v>
      </c>
      <c r="F32" s="42">
        <v>0</v>
      </c>
      <c r="G32" s="42">
        <v>448</v>
      </c>
      <c r="H32" s="42">
        <v>212962</v>
      </c>
      <c r="I32" s="42">
        <v>214596</v>
      </c>
      <c r="J32" s="30" t="s">
        <v>372</v>
      </c>
      <c r="K32" s="42">
        <v>217106</v>
      </c>
      <c r="L32" s="134" t="s">
        <v>50</v>
      </c>
      <c r="M32" s="135">
        <f t="shared" si="0"/>
        <v>1325.28</v>
      </c>
      <c r="N32" s="136" t="str">
        <f>VLOOKUP(C32,'Trips&amp;Operators'!$C$1:$G$99999,5,FALSE)</f>
        <v>DAVIDSON DAVID</v>
      </c>
      <c r="O32" s="207" t="s">
        <v>481</v>
      </c>
      <c r="P32" s="137" t="s">
        <v>1037</v>
      </c>
      <c r="Q32" s="30"/>
      <c r="R32" s="84" t="e">
        <f>IF(VLOOKUP(C32,'Train Runs'!$A$13:$AE$9922,1,1)=C32,VLOOKUP(C32,'Train Runs'!$A$13:$AE$9922,31,1),NA())</f>
        <v>#N/A</v>
      </c>
      <c r="S32" s="87" t="str">
        <f>VLOOKUP(C32,'Train Runs'!$A$13:$AE$9922,22,0)</f>
        <v>https://d0f6bd738d7f1b3e5a7ca70fe4ff75f0.us-east-1.aws.found.io/app/kibana#/discover/Steve-Slow-Train-Analysis-(2080s-and-2083s)?_g=(refreshInterval:(display:Off,pause:!f,section:0,value:0),time:(from:'2017-05-20T14:12:02-0600',mode:absolute,to:'2017-05-20T16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2" s="89" t="str">
        <f t="shared" si="1"/>
        <v>"C:\Program Files (x86)\AstroGrep\AstroGrep.exe" /e /r /s /spath="%USERPROFILE%\AppData\Local\Temp\OnboardLogs" /stypes="*4002*201705202*" /stext=" 21:.+((SYSTEM_STATE.+slice.+state.+changed )|(ment ac)|(multiple cpu faults)|(system.+state.+changed )|(\[timeout)|(PRM\|1\|D)|(kpr)|(kdp)|(train st.+moving)|(\|lc)|(penalty))"</v>
      </c>
      <c r="U32" s="9" t="str">
        <f t="shared" si="2"/>
        <v>4002</v>
      </c>
      <c r="V32" s="31">
        <f t="shared" si="3"/>
        <v>42875.90898148148</v>
      </c>
      <c r="W32" s="45" t="str">
        <f t="shared" si="4"/>
        <v>EC</v>
      </c>
      <c r="X32" s="45" t="str">
        <f t="shared" si="5"/>
        <v>KEEP</v>
      </c>
      <c r="Y32" s="99" t="str">
        <f t="shared" si="6"/>
        <v>echo {"issue":{"subject":"Wi-MAX data drop (78th radio down)","project_id":79,"tracker_id":40,"status_id":1,"priority_id":2,"assigned_to_id":23,"start_date":"2017-05-20","description":"","custom_fields":[{"id":1,"name":"Subdivision","value":"EC"},{"id":4,"name":"Milepost","value":"21.7106"},{"id":17,"name":"Train ID","value":"193-20"},{"id":16,"name":"Locomotive ID","value":"4002"},{"id":130,"name":"Impact","value":""},{"id":150,"name":"Time of Event (Mountain Time)","value":"15:48:56"},{"id":151,"name":"Denver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/cygdrive/c/Users/stu/AppData/Local/Temp/OnboardLogs/RTDC4002 --include="*4002*201705202*"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"%USERPROFILE%\AppData\Local\Temp\OnboardLogs"\RTDC4002\*4002*201705202* &gt;&gt; 2017-05-20-SliceDisagreementCheck.txt</v>
      </c>
      <c r="AE32" s="148" t="str">
        <f t="shared" si="9"/>
        <v>start /low /b %USERPROFILE%\Documents\GitHub\eaglep3\Utilities\DownloadLogsFromS3.py --loco 4002 --day 2017-05-20</v>
      </c>
      <c r="AF32" s="1"/>
    </row>
    <row r="33" spans="1:32" x14ac:dyDescent="0.25">
      <c r="A33" s="31">
        <v>42875.981747685182</v>
      </c>
      <c r="B33" s="30" t="s">
        <v>387</v>
      </c>
      <c r="C33" s="30" t="s">
        <v>639</v>
      </c>
      <c r="D33" s="30" t="s">
        <v>98</v>
      </c>
      <c r="E33" s="30" t="s">
        <v>371</v>
      </c>
      <c r="F33" s="42">
        <v>0</v>
      </c>
      <c r="G33" s="42">
        <v>3</v>
      </c>
      <c r="H33" s="42">
        <v>219104</v>
      </c>
      <c r="I33" s="42">
        <v>219198</v>
      </c>
      <c r="J33" s="30" t="s">
        <v>372</v>
      </c>
      <c r="K33" s="42">
        <v>217106</v>
      </c>
      <c r="L33" s="134" t="s">
        <v>50</v>
      </c>
      <c r="M33" s="135">
        <f t="shared" si="0"/>
        <v>-1104.576</v>
      </c>
      <c r="N33" s="136" t="str">
        <f>VLOOKUP(C33,'Trips&amp;Operators'!$C$1:$G$99999,5,FALSE)</f>
        <v>BROWN JACOB</v>
      </c>
      <c r="O33" s="207" t="s">
        <v>481</v>
      </c>
      <c r="P33" s="137" t="s">
        <v>1037</v>
      </c>
      <c r="Q33" s="30"/>
      <c r="R33" s="84" t="e">
        <f>IF(VLOOKUP(C33,'Train Runs'!$A$13:$AE$9922,1,1)=C33,VLOOKUP(C33,'Train Runs'!$A$13:$AE$9922,31,1),NA())</f>
        <v>#N/A</v>
      </c>
      <c r="S33" s="87" t="str">
        <f>VLOOKUP(C33,'Train Runs'!$A$13:$AE$9922,22,0)</f>
        <v>https://d0f6bd738d7f1b3e5a7ca70fe4ff75f0.us-east-1.aws.found.io/app/kibana#/discover/Steve-Slow-Train-Analysis-(2080s-and-2083s)?_g=(refreshInterval:(display:Off,pause:!f,section:0,value:0),time:(from:'2017-05-20T21:55:06-0600',mode:absolute,to:'2017-05-21T00:33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3" s="89" t="str">
        <f t="shared" si="1"/>
        <v>"C:\Program Files (x86)\AstroGrep\AstroGrep.exe" /e /r /s /spath="%USERPROFILE%\AppData\Local\Temp\OnboardLogs" /stypes="*4014*201705210*" /stext=" 05:.+((SYSTEM_STATE.+slice.+state.+changed )|(ment ac)|(multiple cpu faults)|(system.+state.+changed )|(\[timeout)|(PRM\|1\|D)|(kpr)|(kdp)|(train st.+moving)|(\|lc)|(penalty))"</v>
      </c>
      <c r="U33" s="9" t="str">
        <f t="shared" si="2"/>
        <v>4014</v>
      </c>
      <c r="V33" s="31">
        <f t="shared" si="3"/>
        <v>42876.231747685182</v>
      </c>
      <c r="W33" s="45" t="str">
        <f t="shared" si="4"/>
        <v>EC</v>
      </c>
      <c r="X33" s="45" t="str">
        <f t="shared" si="5"/>
        <v>KEEP</v>
      </c>
      <c r="Y33" s="99" t="str">
        <f t="shared" si="6"/>
        <v>echo {"issue":{"subject":"Wi-MAX data drop (78th radio down)","project_id":79,"tracker_id":40,"status_id":1,"priority_id":2,"assigned_to_id":23,"start_date":"2017-05-20","description":"","custom_fields":[{"id":1,"name":"Subdivision","value":"EC"},{"id":4,"name":"Milepost","value":"21.7106"},{"id":17,"name":"Train ID","value":"237-20"},{"id":16,"name":"Locomotive ID","value":"4014"},{"id":130,"name":"Impact","value":""},{"id":150,"name":"Time of Event (Mountain Time)","value":"23:33:43"},{"id":151,"name":"Denver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/cygdrive/c/Users/stu/AppData/Local/Temp/OnboardLogs/RTDC4014 --include="*4014*201705210*"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"%USERPROFILE%\AppData\Local\Temp\OnboardLogs"\RTDC4014\*4014*201705210* &gt;&gt; 2017-05-20-SliceDisagreementCheck.txt</v>
      </c>
      <c r="AE33" s="148" t="str">
        <f t="shared" si="9"/>
        <v>start /low /b %USERPROFILE%\Documents\GitHub\eaglep3\Utilities\DownloadLogsFromS3.py --loco 4014 --day 2017-05-21</v>
      </c>
      <c r="AF33" s="1"/>
    </row>
    <row r="34" spans="1:32" x14ac:dyDescent="0.25">
      <c r="A34" s="31">
        <v>42875.589780092596</v>
      </c>
      <c r="B34" s="30" t="s">
        <v>416</v>
      </c>
      <c r="C34" s="30" t="s">
        <v>610</v>
      </c>
      <c r="D34" s="30" t="s">
        <v>49</v>
      </c>
      <c r="E34" s="30" t="s">
        <v>371</v>
      </c>
      <c r="F34" s="42">
        <v>0</v>
      </c>
      <c r="G34" s="42">
        <v>108</v>
      </c>
      <c r="H34" s="42">
        <v>227807</v>
      </c>
      <c r="I34" s="42">
        <v>228063</v>
      </c>
      <c r="J34" s="30" t="s">
        <v>372</v>
      </c>
      <c r="K34" s="42">
        <v>228572</v>
      </c>
      <c r="L34" s="134" t="s">
        <v>50</v>
      </c>
      <c r="M34" s="135">
        <f t="shared" si="0"/>
        <v>268.75200000000001</v>
      </c>
      <c r="N34" s="136" t="str">
        <f>VLOOKUP(C34,'Trips&amp;Operators'!$C$1:$G$99999,5,FALSE)</f>
        <v>DAVIDSON DAVID</v>
      </c>
      <c r="O34" s="207" t="s">
        <v>481</v>
      </c>
      <c r="P34" s="137" t="s">
        <v>1037</v>
      </c>
      <c r="Q34" s="30"/>
      <c r="R34" s="84" t="str">
        <f>IF(VLOOKUP(C34,'Train Runs'!$A$13:$AE$9922,1,1)=C34,VLOOKUP(C34,'Train Runs'!$A$13:$AE$9922,31,1),NA())</f>
        <v>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 &amp; aws s3 cp s3://rtdc.mdm.uploadarchive.raw/RTDC4002/ "%USERPROFILE%\AppData\Local\Temp\OnboardLogs"\RTDC4002\2017-05-21 --exclude "*" --recursive --include "*20170521*" &amp; "%USERPROFILE%\Documents\GitHub\mrs-test-scripts\Headless Mode &amp; Sideloading\WalkAndUnGZ.bat" "%USERPROFILE%\AppData\Local\Temp\OnboardLogs"\RTDC4002\2017-05-21</v>
      </c>
      <c r="S34" s="87" t="str">
        <f>VLOOKUP(C34,'Train Runs'!$A$13:$AE$9922,22,0)</f>
        <v>https://d0f6bd738d7f1b3e5a7ca70fe4ff75f0.us-east-1.aws.found.io/app/kibana#/discover/Steve-Slow-Train-Analysis-(2080s-and-2083s)?_g=(refreshInterval:(display:Off,pause:!f,section:0,value:0),time:(from:'2017-05-20T12:23:52-0600',mode:absolute,to:'2017-05-20T15:09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4" s="89" t="str">
        <f t="shared" si="1"/>
        <v>"C:\Program Files (x86)\AstroGrep\AstroGrep.exe" /e /r /s /spath="%USERPROFILE%\AppData\Local\Temp\OnboardLogs" /stypes="*4002*201705202*" /stext=" 20:.+((SYSTEM_STATE.+slice.+state.+changed )|(ment ac)|(multiple cpu faults)|(system.+state.+changed )|(\[timeout)|(PRM\|1\|D)|(kpr)|(kdp)|(train st.+moving)|(\|lc)|(penalty))"</v>
      </c>
      <c r="U34" s="9" t="str">
        <f t="shared" si="2"/>
        <v>4002</v>
      </c>
      <c r="V34" s="31">
        <f t="shared" si="3"/>
        <v>42875.839780092596</v>
      </c>
      <c r="W34" s="45" t="str">
        <f t="shared" si="4"/>
        <v>EC</v>
      </c>
      <c r="X34" s="45" t="str">
        <f t="shared" si="5"/>
        <v>KEEP</v>
      </c>
      <c r="Y34" s="99" t="str">
        <f t="shared" si="6"/>
        <v>echo {"issue":{"subject":"Wi-MAX data drop (78th radio down)","project_id":79,"tracker_id":40,"status_id":1,"priority_id":2,"assigned_to_id":23,"start_date":"2017-05-20","description":"","custom_fields":[{"id":1,"name":"Subdivision","value":"EC"},{"id":4,"name":"Milepost","value":"22.8572"},{"id":17,"name":"Train ID","value":"179-20"},{"id":16,"name":"Locomotive ID","value":"4002"},{"id":130,"name":"Impact","value":""},{"id":150,"name":"Time of Event (Mountain Time)","value":"14:09:17"},{"id":151,"name":"Denver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/cygdrive/c/Users/stu/AppData/Local/Temp/OnboardLogs/RTDC4002 --include="*4002*201705202*"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"%USERPROFILE%\AppData\Local\Temp\OnboardLogs"\RTDC4002\*4002*201705202* &gt;&gt; 2017-05-20-SliceDisagreementCheck.txt</v>
      </c>
      <c r="AE34" s="148" t="str">
        <f t="shared" si="9"/>
        <v>start /low /b %USERPROFILE%\Documents\GitHub\eaglep3\Utilities\DownloadLogsFromS3.py --loco 4002 --day 2017-05-20</v>
      </c>
      <c r="AF34" s="1"/>
    </row>
    <row r="35" spans="1:32" x14ac:dyDescent="0.25">
      <c r="A35" s="31">
        <v>42875.407824074071</v>
      </c>
      <c r="B35" s="30" t="s">
        <v>515</v>
      </c>
      <c r="C35" s="30" t="s">
        <v>599</v>
      </c>
      <c r="D35" s="30" t="s">
        <v>98</v>
      </c>
      <c r="E35" s="30" t="s">
        <v>600</v>
      </c>
      <c r="F35" s="42">
        <v>0</v>
      </c>
      <c r="G35" s="42">
        <v>616</v>
      </c>
      <c r="H35" s="42">
        <v>217404</v>
      </c>
      <c r="I35" s="42">
        <v>220064</v>
      </c>
      <c r="J35" s="30" t="s">
        <v>513</v>
      </c>
      <c r="K35" s="42">
        <v>217106</v>
      </c>
      <c r="L35" s="134" t="s">
        <v>50</v>
      </c>
      <c r="M35" s="135">
        <f t="shared" si="0"/>
        <v>-1561.8240000000001</v>
      </c>
      <c r="N35" s="136" t="str">
        <f>VLOOKUP(C35,'Trips&amp;Operators'!$C$1:$G$99999,5,FALSE)</f>
        <v>ROBINSON KADDIBA</v>
      </c>
      <c r="O35" s="207" t="s">
        <v>481</v>
      </c>
      <c r="P35" s="137" t="s">
        <v>1037</v>
      </c>
      <c r="Q35" s="30"/>
      <c r="R35" s="84" t="str">
        <f>IF(VLOOKUP(C35,'Train Runs'!$A$13:$AE$9922,1,1)=C35,VLOOKUP(C35,'Train Runs'!$A$13:$AE$9922,31,1),NA())</f>
        <v>aws s3 cp s3://rtdc.mdm.uploadarchive.raw/RTDC4010/ "%USERPROFILE%\AppData\Local\Temp\OnboardLogs"\RTDC4010\2017-05-20 --exclude "*" --recursive --include "*20170520*" &amp; "%USERPROFILE%\Documents\GitHub\mrs-test-scripts\Headless Mode &amp; Sideloading\WalkAndUnGZ.bat" "%USERPROFILE%\AppData\Local\Temp\OnboardLogs"\RTDC4010\2017-05-20 &amp; aws s3 cp s3://rtdc.mdm.uploadarchive.raw/RTDC4010/ "%USERPROFILE%\AppData\Local\Temp\OnboardLogs"\RTDC4010\2017-05-21 --exclude "*" --recursive --include "*20170521*" &amp; "%USERPROFILE%\Documents\GitHub\mrs-test-scripts\Headless Mode &amp; Sideloading\WalkAndUnGZ.bat" "%USERPROFILE%\AppData\Local\Temp\OnboardLogs"\RTDC4010\2017-05-21</v>
      </c>
      <c r="S35" s="87" t="str">
        <f>VLOOKUP(C35,'Train Runs'!$A$13:$AE$9922,22,0)</f>
        <v>https://d0f6bd738d7f1b3e5a7ca70fe4ff75f0.us-east-1.aws.found.io/app/kibana#/discover/Steve-Slow-Train-Analysis-(2080s-and-2083s)?_g=(refreshInterval:(display:Off,pause:!f,section:0,value:0),time:(from:'2017-05-20T08:07:17-0600',mode:absolute,to:'2017-05-20T10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5" s="89" t="str">
        <f t="shared" si="1"/>
        <v>"C:\Program Files (x86)\AstroGrep\AstroGrep.exe" /e /r /s /spath="%USERPROFILE%\AppData\Local\Temp\OnboardLogs" /stypes="*4010*201705201*" /stext=" 15:.+((SYSTEM_STATE.+slice.+state.+changed )|(ment ac)|(multiple cpu faults)|(system.+state.+changed )|(\[timeout)|(PRM\|1\|D)|(kpr)|(kdp)|(train st.+moving)|(\|lc)|(penalty))"</v>
      </c>
      <c r="U35" s="9" t="str">
        <f t="shared" si="2"/>
        <v>4010</v>
      </c>
      <c r="V35" s="31">
        <f t="shared" si="3"/>
        <v>42875.657824074071</v>
      </c>
      <c r="W35" s="45" t="str">
        <f t="shared" si="4"/>
        <v>EC</v>
      </c>
      <c r="X35" s="45" t="str">
        <f t="shared" si="5"/>
        <v>KEEP</v>
      </c>
      <c r="Y35" s="99" t="str">
        <f t="shared" si="6"/>
        <v>echo {"issue":{"subject":"Wi-MAX data drop (78th radio down)","project_id":79,"tracker_id":40,"status_id":1,"priority_id":2,"assigned_to_id":23,"start_date":"2017-05-20","description":"","custom_fields":[{"id":1,"name":"Subdivision","value":"EC"},{"id":4,"name":"Milepost","value":"21.7106"},{"id":17,"name":"Train ID","value":"145-20"},{"id":16,"name":"Locomotive ID","value":"4010"},{"id":130,"name":"Impact","value":""},{"id":150,"name":"Time of Event (Mountain Time)","value":"09:47:16"},{"id":151,"name":"Denver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/cygdrive/c/Users/stu/AppData/Local/Temp/OnboardLogs/RTDC4010 --include="*4010*201705201*"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"%USERPROFILE%\AppData\Local\Temp\OnboardLogs"\RTDC4010\*4010*201705201* &gt;&gt; 2017-05-20-SliceDisagreementCheck.txt</v>
      </c>
      <c r="AE35" s="148" t="str">
        <f t="shared" si="9"/>
        <v>start /low /b %USERPROFILE%\Documents\GitHub\eaglep3\Utilities\DownloadLogsFromS3.py --loco 4010 --day 2017-05-20</v>
      </c>
      <c r="AF35" s="1"/>
    </row>
    <row r="36" spans="1:32" x14ac:dyDescent="0.25">
      <c r="A36" s="31">
        <v>42875.460439814815</v>
      </c>
      <c r="B36" s="30" t="s">
        <v>435</v>
      </c>
      <c r="C36" s="30" t="s">
        <v>602</v>
      </c>
      <c r="D36" s="30" t="s">
        <v>98</v>
      </c>
      <c r="E36" s="30" t="s">
        <v>600</v>
      </c>
      <c r="F36" s="42">
        <v>0</v>
      </c>
      <c r="G36" s="42">
        <v>465</v>
      </c>
      <c r="H36" s="42">
        <v>217419</v>
      </c>
      <c r="I36" s="42">
        <v>218973</v>
      </c>
      <c r="J36" s="30" t="s">
        <v>513</v>
      </c>
      <c r="K36" s="42">
        <v>217106</v>
      </c>
      <c r="L36" s="134" t="s">
        <v>50</v>
      </c>
      <c r="M36" s="135">
        <f t="shared" si="0"/>
        <v>-985.77599999999995</v>
      </c>
      <c r="N36" s="136" t="str">
        <f>VLOOKUP(C36,'Trips&amp;Operators'!$C$1:$G$99999,5,FALSE)</f>
        <v>ROMERO CHAD</v>
      </c>
      <c r="O36" s="207" t="s">
        <v>481</v>
      </c>
      <c r="P36" s="137" t="s">
        <v>1037</v>
      </c>
      <c r="Q36" s="30"/>
      <c r="R36" s="84" t="str">
        <f>IF(VLOOKUP(C36,'Train Runs'!$A$13:$AE$9922,1,1)=C36,VLOOKUP(C36,'Train Runs'!$A$13:$AE$9922,31,1),NA())</f>
        <v>aws s3 cp s3://rtdc.mdm.uploadarchive.raw/RTDC4008/ "%USERPROFILE%\AppData\Local\Temp\OnboardLogs"\RTDC4008\2017-05-20 --exclude "*" --recursive --include "*20170520*" &amp; "%USERPROFILE%\Documents\GitHub\mrs-test-scripts\Headless Mode &amp; Sideloading\WalkAndUnGZ.bat" "%USERPROFILE%\AppData\Local\Temp\OnboardLogs"\RTDC4008\2017-05-20 &amp; aws s3 cp s3://rtdc.mdm.uploadarchive.raw/RTDC4008/ "%USERPROFILE%\AppData\Local\Temp\OnboardLogs"\RTDC4008\2017-05-21 --exclude "*" --recursive --include "*20170521*" &amp; "%USERPROFILE%\Documents\GitHub\mrs-test-scripts\Headless Mode &amp; Sideloading\WalkAndUnGZ.bat" "%USERPROFILE%\AppData\Local\Temp\OnboardLogs"\RTDC4008\2017-05-21</v>
      </c>
      <c r="S36" s="87" t="str">
        <f>VLOOKUP(C36,'Train Runs'!$A$13:$AE$9922,22,0)</f>
        <v>https://d0f6bd738d7f1b3e5a7ca70fe4ff75f0.us-east-1.aws.found.io/app/kibana#/discover/Steve-Slow-Train-Analysis-(2080s-and-2083s)?_g=(refreshInterval:(display:Off,pause:!f,section:0,value:0),time:(from:'2017-05-20T09:25:03-0600',mode:absolute,to:'2017-05-20T12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6" s="89" t="str">
        <f t="shared" si="1"/>
        <v>"C:\Program Files (x86)\AstroGrep\AstroGrep.exe" /e /r /s /spath="%USERPROFILE%\AppData\Local\Temp\OnboardLogs" /stypes="*4008*201705201*" /stext=" 17:.+((SYSTEM_STATE.+slice.+state.+changed )|(ment ac)|(multiple cpu faults)|(system.+state.+changed )|(\[timeout)|(PRM\|1\|D)|(kpr)|(kdp)|(train st.+moving)|(\|lc)|(penalty))"</v>
      </c>
      <c r="U36" s="9" t="str">
        <f t="shared" si="2"/>
        <v>4008</v>
      </c>
      <c r="V36" s="31">
        <f t="shared" si="3"/>
        <v>42875.710439814815</v>
      </c>
      <c r="W36" s="45" t="str">
        <f t="shared" si="4"/>
        <v>EC</v>
      </c>
      <c r="X36" s="45" t="str">
        <f t="shared" si="5"/>
        <v>KEEP</v>
      </c>
      <c r="Y36" s="99" t="str">
        <f t="shared" si="6"/>
        <v>echo {"issue":{"subject":"Wi-MAX data drop (78th radio down)","project_id":79,"tracker_id":40,"status_id":1,"priority_id":2,"assigned_to_id":23,"start_date":"2017-05-20","description":"","custom_fields":[{"id":1,"name":"Subdivision","value":"EC"},{"id":4,"name":"Milepost","value":"21.7106"},{"id":17,"name":"Train ID","value":"155-20"},{"id":16,"name":"Locomotive ID","value":"4008"},{"id":130,"name":"Impact","value":""},{"id":150,"name":"Time of Event (Mountain Time)","value":"11:03:02"},{"id":151,"name":"Denver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/cygdrive/c/Users/stu/AppData/Local/Temp/OnboardLogs/RTDC4008 --include="*4008*201705201*"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"%USERPROFILE%\AppData\Local\Temp\OnboardLogs"\RTDC4008\*4008*201705201* &gt;&gt; 2017-05-20-SliceDisagreementCheck.txt</v>
      </c>
      <c r="AE36" s="148" t="str">
        <f t="shared" si="9"/>
        <v>start /low /b %USERPROFILE%\Documents\GitHub\eaglep3\Utilities\DownloadLogsFromS3.py --loco 4008 --day 2017-05-20</v>
      </c>
      <c r="AF36" s="1"/>
    </row>
    <row r="37" spans="1:32" x14ac:dyDescent="0.25">
      <c r="A37" s="31">
        <v>42875.58625</v>
      </c>
      <c r="B37" s="30" t="s">
        <v>416</v>
      </c>
      <c r="C37" s="30" t="s">
        <v>610</v>
      </c>
      <c r="D37" s="30" t="s">
        <v>49</v>
      </c>
      <c r="E37" s="30" t="s">
        <v>600</v>
      </c>
      <c r="F37" s="42">
        <v>0</v>
      </c>
      <c r="G37" s="42">
        <v>452</v>
      </c>
      <c r="H37" s="42">
        <v>216412</v>
      </c>
      <c r="I37" s="42">
        <v>217988</v>
      </c>
      <c r="J37" s="30" t="s">
        <v>513</v>
      </c>
      <c r="K37" s="42">
        <v>217106</v>
      </c>
      <c r="L37" s="134" t="s">
        <v>50</v>
      </c>
      <c r="M37" s="135">
        <f t="shared" si="0"/>
        <v>-465.69600000000003</v>
      </c>
      <c r="N37" s="136" t="str">
        <f>VLOOKUP(C37,'Trips&amp;Operators'!$C$1:$G$99999,5,FALSE)</f>
        <v>DAVIDSON DAVID</v>
      </c>
      <c r="O37" s="207" t="s">
        <v>481</v>
      </c>
      <c r="P37" s="137" t="s">
        <v>1037</v>
      </c>
      <c r="Q37" s="30"/>
      <c r="R37" s="84" t="str">
        <f>IF(VLOOKUP(C37,'Train Runs'!$A$13:$AE$9922,1,1)=C37,VLOOKUP(C37,'Train Runs'!$A$13:$AE$9922,31,1),NA())</f>
        <v>aws s3 cp s3://rtdc.mdm.uploadarchive.raw/RTDC4002/ "%USERPROFILE%\AppData\Local\Temp\OnboardLogs"\RTDC4002\2017-05-20 --exclude "*" --recursive --include "*20170520*" &amp; "%USERPROFILE%\Documents\GitHub\mrs-test-scripts\Headless Mode &amp; Sideloading\WalkAndUnGZ.bat" "%USERPROFILE%\AppData\Local\Temp\OnboardLogs"\RTDC4002\2017-05-20 &amp; aws s3 cp s3://rtdc.mdm.uploadarchive.raw/RTDC4002/ "%USERPROFILE%\AppData\Local\Temp\OnboardLogs"\RTDC4002\2017-05-21 --exclude "*" --recursive --include "*20170521*" &amp; "%USERPROFILE%\Documents\GitHub\mrs-test-scripts\Headless Mode &amp; Sideloading\WalkAndUnGZ.bat" "%USERPROFILE%\AppData\Local\Temp\OnboardLogs"\RTDC4002\2017-05-21</v>
      </c>
      <c r="S37" s="87" t="str">
        <f>VLOOKUP(C37,'Train Runs'!$A$13:$AE$9922,22,0)</f>
        <v>https://d0f6bd738d7f1b3e5a7ca70fe4ff75f0.us-east-1.aws.found.io/app/kibana#/discover/Steve-Slow-Train-Analysis-(2080s-and-2083s)?_g=(refreshInterval:(display:Off,pause:!f,section:0,value:0),time:(from:'2017-05-20T12:23:52-0600',mode:absolute,to:'2017-05-20T15:09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7" s="89" t="str">
        <f t="shared" si="1"/>
        <v>"C:\Program Files (x86)\AstroGrep\AstroGrep.exe" /e /r /s /spath="%USERPROFILE%\AppData\Local\Temp\OnboardLogs" /stypes="*4002*201705202*" /stext=" 20:.+((SYSTEM_STATE.+slice.+state.+changed )|(ment ac)|(multiple cpu faults)|(system.+state.+changed )|(\[timeout)|(PRM\|1\|D)|(kpr)|(kdp)|(train st.+moving)|(\|lc)|(penalty))"</v>
      </c>
      <c r="U37" s="9" t="str">
        <f t="shared" si="2"/>
        <v>4002</v>
      </c>
      <c r="V37" s="31">
        <f t="shared" si="3"/>
        <v>42875.83625</v>
      </c>
      <c r="W37" s="45" t="str">
        <f t="shared" si="4"/>
        <v>EC</v>
      </c>
      <c r="X37" s="45" t="str">
        <f t="shared" si="5"/>
        <v>KEEP</v>
      </c>
      <c r="Y37" s="99" t="str">
        <f t="shared" si="6"/>
        <v>echo {"issue":{"subject":"Wi-MAX data drop (78th radio down)","project_id":79,"tracker_id":40,"status_id":1,"priority_id":2,"assigned_to_id":23,"start_date":"2017-05-20","description":"","custom_fields":[{"id":1,"name":"Subdivision","value":"EC"},{"id":4,"name":"Milepost","value":"21.7106"},{"id":17,"name":"Train ID","value":"179-20"},{"id":16,"name":"Locomotive ID","value":"4002"},{"id":130,"name":"Impact","value":""},{"id":150,"name":"Time of Event (Mountain Time)","value":"14:04:12"},{"id":151,"name":"Denver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/cygdrive/c/Users/stu/AppData/Local/Temp/OnboardLogs/RTDC4002 --include="*4002*201705202*"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"%USERPROFILE%\AppData\Local\Temp\OnboardLogs"\RTDC4002\*4002*201705202* &gt;&gt; 2017-05-20-SliceDisagreementCheck.txt</v>
      </c>
      <c r="AE37" s="148" t="str">
        <f t="shared" si="9"/>
        <v>start /low /b %USERPROFILE%\Documents\GitHub\eaglep3\Utilities\DownloadLogsFromS3.py --loco 4002 --day 2017-05-20</v>
      </c>
      <c r="AF37" s="1"/>
    </row>
    <row r="38" spans="1:32" x14ac:dyDescent="0.25">
      <c r="A38" s="31">
        <v>42875.62736111111</v>
      </c>
      <c r="B38" s="30" t="s">
        <v>515</v>
      </c>
      <c r="C38" s="30" t="s">
        <v>613</v>
      </c>
      <c r="D38" s="30" t="s">
        <v>98</v>
      </c>
      <c r="E38" s="30" t="s">
        <v>600</v>
      </c>
      <c r="F38" s="42">
        <v>0</v>
      </c>
      <c r="G38" s="42">
        <v>448</v>
      </c>
      <c r="H38" s="42">
        <v>217498</v>
      </c>
      <c r="I38" s="42">
        <v>219032</v>
      </c>
      <c r="J38" s="30" t="s">
        <v>513</v>
      </c>
      <c r="K38" s="42">
        <v>217106</v>
      </c>
      <c r="L38" s="134" t="s">
        <v>50</v>
      </c>
      <c r="M38" s="135">
        <f t="shared" si="0"/>
        <v>-1016.928</v>
      </c>
      <c r="N38" s="136" t="str">
        <f>VLOOKUP(C38,'Trips&amp;Operators'!$C$1:$G$99999,5,FALSE)</f>
        <v>STEWART MICHAEL</v>
      </c>
      <c r="O38" s="207" t="s">
        <v>481</v>
      </c>
      <c r="P38" s="137" t="s">
        <v>1037</v>
      </c>
      <c r="Q38" s="30"/>
      <c r="R38" s="84" t="e">
        <f>IF(VLOOKUP(C38,'Train Runs'!$A$13:$AE$9922,1,1)=C38,VLOOKUP(C38,'Train Runs'!$A$13:$AE$9922,31,1),NA())</f>
        <v>#N/A</v>
      </c>
      <c r="S38" s="87" t="str">
        <f>VLOOKUP(C38,'Train Runs'!$A$13:$AE$9922,22,0)</f>
        <v>https://d0f6bd738d7f1b3e5a7ca70fe4ff75f0.us-east-1.aws.found.io/app/kibana#/discover/Steve-Slow-Train-Analysis-(2080s-and-2083s)?_g=(refreshInterval:(display:Off,pause:!f,section:0,value:0),time:(from:'2017-05-20T13:27:42-0600',mode:absolute,to:'2017-05-20T16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8" s="89" t="str">
        <f t="shared" si="1"/>
        <v>"C:\Program Files (x86)\AstroGrep\AstroGrep.exe" /e /r /s /spath="%USERPROFILE%\AppData\Local\Temp\OnboardLogs" /stypes="*4010*201705202*" /stext=" 21:.+((SYSTEM_STATE.+slice.+state.+changed )|(ment ac)|(multiple cpu faults)|(system.+state.+changed )|(\[timeout)|(PRM\|1\|D)|(kpr)|(kdp)|(train st.+moving)|(\|lc)|(penalty))"</v>
      </c>
      <c r="U38" s="9" t="str">
        <f t="shared" si="2"/>
        <v>4010</v>
      </c>
      <c r="V38" s="31">
        <f t="shared" si="3"/>
        <v>42875.87736111111</v>
      </c>
      <c r="W38" s="45" t="str">
        <f t="shared" si="4"/>
        <v>EC</v>
      </c>
      <c r="X38" s="45" t="str">
        <f t="shared" si="5"/>
        <v>KEEP</v>
      </c>
      <c r="Y38" s="99" t="str">
        <f t="shared" si="6"/>
        <v>echo {"issue":{"subject":"Wi-MAX data drop (78th radio down)","project_id":79,"tracker_id":40,"status_id":1,"priority_id":2,"assigned_to_id":23,"start_date":"2017-05-20","description":"","custom_fields":[{"id":1,"name":"Subdivision","value":"EC"},{"id":4,"name":"Milepost","value":"21.7106"},{"id":17,"name":"Train ID","value":"187-20"},{"id":16,"name":"Locomotive ID","value":"4010"},{"id":130,"name":"Impact","value":""},{"id":150,"name":"Time of Event (Mountain Time)","value":"15:03:24"},{"id":151,"name":"Denver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/cygdrive/c/Users/stu/AppData/Local/Temp/OnboardLogs/RTDC4010 --include="*4010*201705202*"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"%USERPROFILE%\AppData\Local\Temp\OnboardLogs"\RTDC4010\*4010*201705202* &gt;&gt; 2017-05-20-SliceDisagreementCheck.txt</v>
      </c>
      <c r="AE38" s="148" t="str">
        <f t="shared" si="9"/>
        <v>start /low /b %USERPROFILE%\Documents\GitHub\eaglep3\Utilities\DownloadLogsFromS3.py --loco 4010 --day 2017-05-20</v>
      </c>
      <c r="AF38" s="1"/>
    </row>
    <row r="39" spans="1:32" x14ac:dyDescent="0.25">
      <c r="A39" s="31">
        <v>42875.711111111108</v>
      </c>
      <c r="B39" s="30" t="s">
        <v>445</v>
      </c>
      <c r="C39" s="30" t="s">
        <v>617</v>
      </c>
      <c r="D39" s="30" t="s">
        <v>98</v>
      </c>
      <c r="E39" s="30" t="s">
        <v>600</v>
      </c>
      <c r="F39" s="42">
        <v>0</v>
      </c>
      <c r="G39" s="42">
        <v>735</v>
      </c>
      <c r="H39" s="42">
        <v>217669</v>
      </c>
      <c r="I39" s="42">
        <v>220642</v>
      </c>
      <c r="J39" s="30" t="s">
        <v>513</v>
      </c>
      <c r="K39" s="42">
        <v>217106</v>
      </c>
      <c r="L39" s="134" t="s">
        <v>50</v>
      </c>
      <c r="M39" s="135">
        <f t="shared" ref="M39:M70" si="10">CONVERT((I39-K39)/10000,"mi","ft")*IF(L39="Increasing Mileposts (1)",-1,1)</f>
        <v>-1867.008</v>
      </c>
      <c r="N39" s="136" t="str">
        <f>VLOOKUP(C39,'Trips&amp;Operators'!$C$1:$G$99999,5,FALSE)</f>
        <v>MCREYNOLDS KYLE</v>
      </c>
      <c r="O39" s="207" t="s">
        <v>481</v>
      </c>
      <c r="P39" s="137" t="s">
        <v>1037</v>
      </c>
      <c r="Q39" s="30"/>
      <c r="R39" s="84" t="e">
        <f>IF(VLOOKUP(C39,'Train Runs'!$A$13:$AE$9922,1,1)=C39,VLOOKUP(C39,'Train Runs'!$A$13:$AE$9922,31,1),NA())</f>
        <v>#N/A</v>
      </c>
      <c r="S39" s="87" t="str">
        <f>VLOOKUP(C39,'Train Runs'!$A$13:$AE$9922,22,0)</f>
        <v>https://d0f6bd738d7f1b3e5a7ca70fe4ff75f0.us-east-1.aws.found.io/app/kibana#/discover/Steve-Slow-Train-Analysis-(2080s-and-2083s)?_g=(refreshInterval:(display:Off,pause:!f,section:0,value:0),time:(from:'2017-05-20T15:22:51-0600',mode:absolute,to:'2017-05-20T18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9" s="89" t="str">
        <f t="shared" ref="T39:T70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/stypes="*4012*201705202*" /stext=" 23:.+((SYSTEM_STATE.+slice.+state.+changed )|(ment ac)|(multiple cpu faults)|(system.+state.+changed )|(\[timeout)|(PRM\|1\|D)|(kpr)|(kdp)|(train st.+moving)|(\|lc)|(penalty))"</v>
      </c>
      <c r="U39" s="9" t="str">
        <f t="shared" ref="U39:U70" si="12">MID(B39,13,4)</f>
        <v>4012</v>
      </c>
      <c r="V39" s="31">
        <f t="shared" ref="V39:V70" si="13">A39-utc_offset/24</f>
        <v>42875.961111111108</v>
      </c>
      <c r="W39" s="45" t="str">
        <f t="shared" ref="W39:W70" si="14">IFERROR(IF(VALUE(LEFT(IF(LEN(C39)=6,"0"&amp;C39,C39),2))&lt;=2,"EC",IF(OR(VALUE(LEFT(IF(LEN(C39)=6,"0"&amp;C39,C39),2))=8,VALUE(LEFT(IF(LEN(C39)=6,"0"&amp;C39,C39),2))=18),"NW","Other")),"Other")</f>
        <v>EC</v>
      </c>
      <c r="X39" s="45" t="str">
        <f t="shared" ref="X39:X70" si="15">IF(AND(E39="TRACK WARRANT AUTHORITY",G39&lt;10),"OMIT","KEEP")</f>
        <v>KEEP</v>
      </c>
      <c r="Y39" s="99" t="str">
        <f t="shared" ref="Y39:Y70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{"issue":{"subject":"Wi-MAX data drop (78th radio down)","project_id":79,"tracker_id":40,"status_id":1,"priority_id":2,"assigned_to_id":23,"start_date":"2017-05-20","description":"","custom_fields":[{"id":1,"name":"Subdivision","value":"EC"},{"id":4,"name":"Milepost","value":"21.7106"},{"id":17,"name":"Train ID","value":"203-20"},{"id":16,"name":"Locomotive ID","value":"4012"},{"id":130,"name":"Impact","value":""},{"id":150,"name":"Time of Event (Mountain Time)","value":"17:04:00"},{"id":151,"name":"Denver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ref="AC39:AC70" si="17">"grep -hrE -A400 ""Enforcement Action"" "&amp;"/cygdrive/c/Users/stu/AppData/Local/Temp/OnboardLogs"&amp;"/RTDC"&amp;U39&amp;"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/cygdrive/c/Users/stu/AppData/Local/Temp/OnboardLogs/RTDC4012 --include="*4012*201705202*"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"%USERPROFILE%\AppData\Local\Temp\OnboardLogs"\RTDC4012\*4012*201705202* &gt;&gt; 2017-05-20-SliceDisagreementCheck.txt</v>
      </c>
      <c r="AE39" s="148" t="str">
        <f t="shared" si="9"/>
        <v>start /low /b %USERPROFILE%\Documents\GitHub\eaglep3\Utilities\DownloadLogsFromS3.py --loco 4012 --day 2017-05-20</v>
      </c>
      <c r="AF39" s="1"/>
    </row>
    <row r="40" spans="1:32" x14ac:dyDescent="0.25">
      <c r="A40" s="31">
        <v>42875.743969907409</v>
      </c>
      <c r="B40" s="30" t="s">
        <v>387</v>
      </c>
      <c r="C40" s="30" t="s">
        <v>622</v>
      </c>
      <c r="D40" s="30" t="s">
        <v>49</v>
      </c>
      <c r="E40" s="30" t="s">
        <v>600</v>
      </c>
      <c r="F40" s="42">
        <v>0</v>
      </c>
      <c r="G40" s="42">
        <v>448</v>
      </c>
      <c r="H40" s="42">
        <v>215691</v>
      </c>
      <c r="I40" s="42">
        <v>217080</v>
      </c>
      <c r="J40" s="30" t="s">
        <v>513</v>
      </c>
      <c r="K40" s="42">
        <v>217106</v>
      </c>
      <c r="L40" s="134" t="s">
        <v>50</v>
      </c>
      <c r="M40" s="135">
        <f t="shared" si="10"/>
        <v>13.728</v>
      </c>
      <c r="N40" s="136" t="str">
        <f>VLOOKUP(C40,'Trips&amp;Operators'!$C$1:$G$99999,5,FALSE)</f>
        <v>PERKINS DARREN</v>
      </c>
      <c r="O40" s="207" t="s">
        <v>481</v>
      </c>
      <c r="P40" s="137" t="s">
        <v>1037</v>
      </c>
      <c r="Q40" s="30"/>
      <c r="R40" s="84" t="e">
        <f>IF(VLOOKUP(C40,'Train Runs'!$A$13:$AE$9922,1,1)=C40,VLOOKUP(C40,'Train Runs'!$A$13:$AE$9922,31,1),NA())</f>
        <v>#N/A</v>
      </c>
      <c r="S40" s="87" t="str">
        <f>VLOOKUP(C40,'Train Runs'!$A$13:$AE$9922,22,0)</f>
        <v>https://d0f6bd738d7f1b3e5a7ca70fe4ff75f0.us-east-1.aws.found.io/app/kibana#/discover/Steve-Slow-Train-Analysis-(2080s-and-2083s)?_g=(refreshInterval:(display:Off,pause:!f,section:0,value:0),time:(from:'2017-05-20T16:09:16-0600',mode:absolute,to:'2017-05-20T18:56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0" s="89" t="str">
        <f t="shared" si="11"/>
        <v>"C:\Program Files (x86)\AstroGrep\AstroGrep.exe" /e /r /s /spath="%USERPROFILE%\AppData\Local\Temp\OnboardLogs" /stypes="*4014*201705202*" /stext=" 23:.+((SYSTEM_STATE.+slice.+state.+changed )|(ment ac)|(multiple cpu faults)|(system.+state.+changed )|(\[timeout)|(PRM\|1\|D)|(kpr)|(kdp)|(train st.+moving)|(\|lc)|(penalty))"</v>
      </c>
      <c r="U40" s="9" t="str">
        <f t="shared" si="12"/>
        <v>4014</v>
      </c>
      <c r="V40" s="31">
        <f t="shared" si="13"/>
        <v>42875.993969907409</v>
      </c>
      <c r="W40" s="45" t="str">
        <f t="shared" si="14"/>
        <v>EC</v>
      </c>
      <c r="X40" s="45" t="str">
        <f t="shared" si="15"/>
        <v>KEEP</v>
      </c>
      <c r="Y40" s="99" t="str">
        <f t="shared" si="16"/>
        <v>echo {"issue":{"subject":"Wi-MAX data drop (78th radio down)","project_id":79,"tracker_id":40,"status_id":1,"priority_id":2,"assigned_to_id":23,"start_date":"2017-05-20","description":"","custom_fields":[{"id":1,"name":"Subdivision","value":"EC"},{"id":4,"name":"Milepost","value":"21.7106"},{"id":17,"name":"Train ID","value":"209-20"},{"id":16,"name":"Locomotive ID","value":"4014"},{"id":130,"name":"Impact","value":""},{"id":150,"name":"Time of Event (Mountain Time)","value":"17:51:19"},{"id":151,"name":"Denver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17"/>
        <v>grep -hrE -A400 "Enforcement Action" /cygdrive/c/Users/stu/AppData/Local/Temp/OnboardLogs/RTDC4014 --include="*4014*201705202*"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"%USERPROFILE%\AppData\Local\Temp\OnboardLogs"\RTDC4014\*4014*201705202* &gt;&gt; 2017-05-20-SliceDisagreementCheck.txt</v>
      </c>
      <c r="AE40" s="148" t="str">
        <f t="shared" si="9"/>
        <v>start /low /b %USERPROFILE%\Documents\GitHub\eaglep3\Utilities\DownloadLogsFromS3.py --loco 4014 --day 2017-05-20</v>
      </c>
      <c r="AF40" s="1"/>
    </row>
    <row r="41" spans="1:32" x14ac:dyDescent="0.25">
      <c r="A41" s="31">
        <v>42875.775949074072</v>
      </c>
      <c r="B41" s="30" t="s">
        <v>515</v>
      </c>
      <c r="C41" s="30" t="s">
        <v>627</v>
      </c>
      <c r="D41" s="30" t="s">
        <v>98</v>
      </c>
      <c r="E41" s="30" t="s">
        <v>600</v>
      </c>
      <c r="F41" s="42">
        <v>0</v>
      </c>
      <c r="G41" s="42">
        <v>448</v>
      </c>
      <c r="H41" s="42">
        <v>217397</v>
      </c>
      <c r="I41" s="42">
        <v>218921</v>
      </c>
      <c r="J41" s="30" t="s">
        <v>513</v>
      </c>
      <c r="K41" s="42">
        <v>217106</v>
      </c>
      <c r="L41" s="134" t="s">
        <v>50</v>
      </c>
      <c r="M41" s="135">
        <f t="shared" si="10"/>
        <v>-958.32</v>
      </c>
      <c r="N41" s="136" t="str">
        <f>VLOOKUP(C41,'Trips&amp;Operators'!$C$1:$G$99999,5,FALSE)</f>
        <v>MOSES BRADLEY</v>
      </c>
      <c r="O41" s="207" t="s">
        <v>481</v>
      </c>
      <c r="P41" s="137" t="s">
        <v>1037</v>
      </c>
      <c r="Q41" s="30"/>
      <c r="R41" s="84" t="e">
        <f>IF(VLOOKUP(C41,'Train Runs'!$A$13:$AE$9922,1,1)=C41,VLOOKUP(C41,'Train Runs'!$A$13:$AE$9922,31,1),NA())</f>
        <v>#N/A</v>
      </c>
      <c r="S41" s="87" t="str">
        <f>VLOOKUP(C41,'Train Runs'!$A$13:$AE$9922,22,0)</f>
        <v>https://d0f6bd738d7f1b3e5a7ca70fe4ff75f0.us-east-1.aws.found.io/app/kibana#/discover/Steve-Slow-Train-Analysis-(2080s-and-2083s)?_g=(refreshInterval:(display:Off,pause:!f,section:0,value:0),time:(from:'2017-05-20T17:00:35-0600',mode:absolute,to:'2017-05-20T19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1" s="89" t="str">
        <f t="shared" si="11"/>
        <v>"C:\Program Files (x86)\AstroGrep\AstroGrep.exe" /e /r /s /spath="%USERPROFILE%\AppData\Local\Temp\OnboardLogs" /stypes="*4010*201705210*" /stext=" 00:.+((SYSTEM_STATE.+slice.+state.+changed )|(ment ac)|(multiple cpu faults)|(system.+state.+changed )|(\[timeout)|(PRM\|1\|D)|(kpr)|(kdp)|(train st.+moving)|(\|lc)|(penalty))"</v>
      </c>
      <c r="U41" s="9" t="str">
        <f t="shared" si="12"/>
        <v>4010</v>
      </c>
      <c r="V41" s="31">
        <f t="shared" si="13"/>
        <v>42876.025949074072</v>
      </c>
      <c r="W41" s="45" t="str">
        <f t="shared" si="14"/>
        <v>EC</v>
      </c>
      <c r="X41" s="45" t="str">
        <f t="shared" si="15"/>
        <v>KEEP</v>
      </c>
      <c r="Y41" s="99" t="str">
        <f t="shared" si="16"/>
        <v>echo {"issue":{"subject":"Wi-MAX data drop (78th radio down)","project_id":79,"tracker_id":40,"status_id":1,"priority_id":2,"assigned_to_id":23,"start_date":"2017-05-20","description":"","custom_fields":[{"id":1,"name":"Subdivision","value":"EC"},{"id":4,"name":"Milepost","value":"21.7106"},{"id":17,"name":"Train ID","value":"215-20"},{"id":16,"name":"Locomotive ID","value":"4010"},{"id":130,"name":"Impact","value":""},{"id":150,"name":"Time of Event (Mountain Time)","value":"18:37:22"},{"id":151,"name":"Denver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17"/>
        <v>grep -hrE -A400 "Enforcement Action" /cygdrive/c/Users/stu/AppData/Local/Temp/OnboardLogs/RTDC4010 --include="*4010*201705210*"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"%USERPROFILE%\AppData\Local\Temp\OnboardLogs"\RTDC4010\*4010*201705210* &gt;&gt; 2017-05-20-SliceDisagreementCheck.txt</v>
      </c>
      <c r="AE41" s="148" t="str">
        <f t="shared" si="9"/>
        <v>start /low /b %USERPROFILE%\Documents\GitHub\eaglep3\Utilities\DownloadLogsFromS3.py --loco 4010 --day 2017-05-21</v>
      </c>
      <c r="AF41" s="1"/>
    </row>
    <row r="42" spans="1:32" x14ac:dyDescent="0.25">
      <c r="A42" s="31">
        <v>42875.777002314811</v>
      </c>
      <c r="B42" s="30" t="s">
        <v>515</v>
      </c>
      <c r="C42" s="30" t="s">
        <v>627</v>
      </c>
      <c r="D42" s="30" t="s">
        <v>98</v>
      </c>
      <c r="E42" s="30" t="s">
        <v>600</v>
      </c>
      <c r="F42" s="42">
        <v>0</v>
      </c>
      <c r="G42" s="42">
        <v>94</v>
      </c>
      <c r="H42" s="42">
        <v>219317</v>
      </c>
      <c r="I42" s="42">
        <v>219467</v>
      </c>
      <c r="J42" s="30" t="s">
        <v>513</v>
      </c>
      <c r="K42" s="42">
        <v>217106</v>
      </c>
      <c r="L42" s="134" t="s">
        <v>50</v>
      </c>
      <c r="M42" s="135">
        <f t="shared" si="10"/>
        <v>-1246.6079999999999</v>
      </c>
      <c r="N42" s="136" t="str">
        <f>VLOOKUP(C42,'Trips&amp;Operators'!$C$1:$G$99999,5,FALSE)</f>
        <v>MOSES BRADLEY</v>
      </c>
      <c r="O42" s="207" t="s">
        <v>481</v>
      </c>
      <c r="P42" s="137" t="s">
        <v>1037</v>
      </c>
      <c r="Q42" s="30"/>
      <c r="R42" s="84" t="e">
        <f>IF(VLOOKUP(C42,'Train Runs'!$A$13:$AE$9922,1,1)=C42,VLOOKUP(C42,'Train Runs'!$A$13:$AE$9922,31,1),NA())</f>
        <v>#N/A</v>
      </c>
      <c r="S42" s="87" t="str">
        <f>VLOOKUP(C42,'Train Runs'!$A$13:$AE$9922,22,0)</f>
        <v>https://d0f6bd738d7f1b3e5a7ca70fe4ff75f0.us-east-1.aws.found.io/app/kibana#/discover/Steve-Slow-Train-Analysis-(2080s-and-2083s)?_g=(refreshInterval:(display:Off,pause:!f,section:0,value:0),time:(from:'2017-05-20T17:00:35-0600',mode:absolute,to:'2017-05-20T19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2" s="89" t="str">
        <f t="shared" si="11"/>
        <v>"C:\Program Files (x86)\AstroGrep\AstroGrep.exe" /e /r /s /spath="%USERPROFILE%\AppData\Local\Temp\OnboardLogs" /stypes="*4010*201705210*" /stext=" 00:.+((SYSTEM_STATE.+slice.+state.+changed )|(ment ac)|(multiple cpu faults)|(system.+state.+changed )|(\[timeout)|(PRM\|1\|D)|(kpr)|(kdp)|(train st.+moving)|(\|lc)|(penalty))"</v>
      </c>
      <c r="U42" s="9" t="str">
        <f t="shared" si="12"/>
        <v>4010</v>
      </c>
      <c r="V42" s="31">
        <f t="shared" si="13"/>
        <v>42876.027002314811</v>
      </c>
      <c r="W42" s="45" t="str">
        <f t="shared" si="14"/>
        <v>EC</v>
      </c>
      <c r="X42" s="45" t="str">
        <f t="shared" si="15"/>
        <v>KEEP</v>
      </c>
      <c r="Y42" s="99" t="str">
        <f t="shared" si="16"/>
        <v>echo {"issue":{"subject":"Wi-MAX data drop (78th radio down)","project_id":79,"tracker_id":40,"status_id":1,"priority_id":2,"assigned_to_id":23,"start_date":"2017-05-20","description":"","custom_fields":[{"id":1,"name":"Subdivision","value":"EC"},{"id":4,"name":"Milepost","value":"21.7106"},{"id":17,"name":"Train ID","value":"215-20"},{"id":16,"name":"Locomotive ID","value":"4010"},{"id":130,"name":"Impact","value":""},{"id":150,"name":"Time of Event (Mountain Time)","value":"18:38:53"},{"id":151,"name":"Denver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17"/>
        <v>grep -hrE -A400 "Enforcement Action" /cygdrive/c/Users/stu/AppData/Local/Temp/OnboardLogs/RTDC4010 --include="*4010*201705210*"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"%USERPROFILE%\AppData\Local\Temp\OnboardLogs"\RTDC4010\*4010*201705210* &gt;&gt; 2017-05-20-SliceDisagreementCheck.txt</v>
      </c>
      <c r="AE42" s="148" t="str">
        <f t="shared" si="9"/>
        <v>start /low /b %USERPROFILE%\Documents\GitHub\eaglep3\Utilities\DownloadLogsFromS3.py --loco 4010 --day 2017-05-21</v>
      </c>
      <c r="AF42" s="1"/>
    </row>
    <row r="43" spans="1:32" x14ac:dyDescent="0.25">
      <c r="A43" s="31">
        <v>42875.784803240742</v>
      </c>
      <c r="B43" s="30" t="s">
        <v>445</v>
      </c>
      <c r="C43" s="30" t="s">
        <v>625</v>
      </c>
      <c r="D43" s="30" t="s">
        <v>98</v>
      </c>
      <c r="E43" s="30" t="s">
        <v>600</v>
      </c>
      <c r="F43" s="42">
        <v>0</v>
      </c>
      <c r="G43" s="42">
        <v>758</v>
      </c>
      <c r="H43" s="42">
        <v>217733</v>
      </c>
      <c r="I43" s="42">
        <v>221261</v>
      </c>
      <c r="J43" s="30" t="s">
        <v>513</v>
      </c>
      <c r="K43" s="42">
        <v>217106</v>
      </c>
      <c r="L43" s="134" t="s">
        <v>50</v>
      </c>
      <c r="M43" s="135">
        <f t="shared" si="10"/>
        <v>-2193.84</v>
      </c>
      <c r="N43" s="136" t="str">
        <f>VLOOKUP(C43,'Trips&amp;Operators'!$C$1:$G$99999,5,FALSE)</f>
        <v>STAMBAUGH JAMES</v>
      </c>
      <c r="O43" s="207" t="s">
        <v>481</v>
      </c>
      <c r="P43" s="137" t="s">
        <v>1037</v>
      </c>
      <c r="Q43" s="30"/>
      <c r="R43" s="84" t="e">
        <f>IF(VLOOKUP(C43,'Train Runs'!$A$13:$AE$9922,1,1)=C43,VLOOKUP(C43,'Train Runs'!$A$13:$AE$9922,31,1),NA())</f>
        <v>#N/A</v>
      </c>
      <c r="S43" s="87" t="str">
        <f>VLOOKUP(C43,'Train Runs'!$A$13:$AE$9922,22,0)</f>
        <v>https://d0f6bd738d7f1b3e5a7ca70fe4ff75f0.us-east-1.aws.found.io/app/kibana#/discover/Steve-Slow-Train-Analysis-(2080s-and-2083s)?_g=(refreshInterval:(display:Off,pause:!f,section:0,value:0),time:(from:'2017-05-20T17:10:58-0600',mode:absolute,to:'2017-05-20T19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3" s="89" t="str">
        <f t="shared" si="11"/>
        <v>"C:\Program Files (x86)\AstroGrep\AstroGrep.exe" /e /r /s /spath="%USERPROFILE%\AppData\Local\Temp\OnboardLogs" /stypes="*4012*201705210*" /stext=" 00:.+((SYSTEM_STATE.+slice.+state.+changed )|(ment ac)|(multiple cpu faults)|(system.+state.+changed )|(\[timeout)|(PRM\|1\|D)|(kpr)|(kdp)|(train st.+moving)|(\|lc)|(penalty))"</v>
      </c>
      <c r="U43" s="9" t="str">
        <f t="shared" si="12"/>
        <v>4012</v>
      </c>
      <c r="V43" s="31">
        <f t="shared" si="13"/>
        <v>42876.034803240742</v>
      </c>
      <c r="W43" s="45" t="str">
        <f t="shared" si="14"/>
        <v>EC</v>
      </c>
      <c r="X43" s="45" t="str">
        <f t="shared" si="15"/>
        <v>KEEP</v>
      </c>
      <c r="Y43" s="99" t="str">
        <f t="shared" si="16"/>
        <v>echo {"issue":{"subject":"Wi-MAX data drop (78th radio down)","project_id":79,"tracker_id":40,"status_id":1,"priority_id":2,"assigned_to_id":23,"start_date":"2017-05-20","description":"","custom_fields":[{"id":1,"name":"Subdivision","value":"EC"},{"id":4,"name":"Milepost","value":"21.7106"},{"id":17,"name":"Train ID","value":"217-20"},{"id":16,"name":"Locomotive ID","value":"4012"},{"id":130,"name":"Impact","value":""},{"id":150,"name":"Time of Event (Mountain Time)","value":"18:50:07"},{"id":151,"name":"Denver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17"/>
        <v>grep -hrE -A400 "Enforcement Action" /cygdrive/c/Users/stu/AppData/Local/Temp/OnboardLogs/RTDC4012 --include="*4012*201705210*"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"%USERPROFILE%\AppData\Local\Temp\OnboardLogs"\RTDC4012\*4012*201705210* &gt;&gt; 2017-05-20-SliceDisagreementCheck.txt</v>
      </c>
      <c r="AE43" s="148" t="str">
        <f t="shared" si="9"/>
        <v>start /low /b %USERPROFILE%\Documents\GitHub\eaglep3\Utilities\DownloadLogsFromS3.py --loco 4012 --day 2017-05-21</v>
      </c>
      <c r="AF43" s="1"/>
    </row>
    <row r="44" spans="1:32" x14ac:dyDescent="0.25">
      <c r="A44" s="31">
        <v>42875.898229166669</v>
      </c>
      <c r="B44" s="30" t="s">
        <v>387</v>
      </c>
      <c r="C44" s="30" t="s">
        <v>637</v>
      </c>
      <c r="D44" s="30" t="s">
        <v>49</v>
      </c>
      <c r="E44" s="30" t="s">
        <v>600</v>
      </c>
      <c r="F44" s="42">
        <v>0</v>
      </c>
      <c r="G44" s="42">
        <v>457</v>
      </c>
      <c r="H44" s="42">
        <v>215390</v>
      </c>
      <c r="I44" s="42">
        <v>217023</v>
      </c>
      <c r="J44" s="30" t="s">
        <v>513</v>
      </c>
      <c r="K44" s="42">
        <v>217106</v>
      </c>
      <c r="L44" s="134" t="s">
        <v>50</v>
      </c>
      <c r="M44" s="135">
        <f t="shared" si="10"/>
        <v>43.823999999999998</v>
      </c>
      <c r="N44" s="136" t="str">
        <f>VLOOKUP(C44,'Trips&amp;Operators'!$C$1:$G$99999,5,FALSE)</f>
        <v>BROWN JACOB</v>
      </c>
      <c r="O44" s="207" t="s">
        <v>481</v>
      </c>
      <c r="P44" s="137" t="s">
        <v>1037</v>
      </c>
      <c r="Q44" s="30"/>
      <c r="R44" s="84" t="e">
        <f>IF(VLOOKUP(C44,'Train Runs'!$A$13:$AE$9922,1,1)=C44,VLOOKUP(C44,'Train Runs'!$A$13:$AE$9922,31,1),NA())</f>
        <v>#N/A</v>
      </c>
      <c r="S44" s="87" t="str">
        <f>VLOOKUP(C44,'Train Runs'!$A$13:$AE$9922,22,0)</f>
        <v>https://d0f6bd738d7f1b3e5a7ca70fe4ff75f0.us-east-1.aws.found.io/app/kibana#/discover/Steve-Slow-Train-Analysis-(2080s-and-2083s)?_g=(refreshInterval:(display:Off,pause:!f,section:0,value:0),time:(from:'2017-05-20T19:55:18-0600',mode:absolute,to:'2017-05-20T22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4" s="89" t="str">
        <f t="shared" si="11"/>
        <v>"C:\Program Files (x86)\AstroGrep\AstroGrep.exe" /e /r /s /spath="%USERPROFILE%\AppData\Local\Temp\OnboardLogs" /stypes="*4014*201705210*" /stext=" 03:.+((SYSTEM_STATE.+slice.+state.+changed )|(ment ac)|(multiple cpu faults)|(system.+state.+changed )|(\[timeout)|(PRM\|1\|D)|(kpr)|(kdp)|(train st.+moving)|(\|lc)|(penalty))"</v>
      </c>
      <c r="U44" s="9" t="str">
        <f t="shared" si="12"/>
        <v>4014</v>
      </c>
      <c r="V44" s="31">
        <f t="shared" si="13"/>
        <v>42876.148229166669</v>
      </c>
      <c r="W44" s="45" t="str">
        <f t="shared" si="14"/>
        <v>EC</v>
      </c>
      <c r="X44" s="45" t="str">
        <f t="shared" si="15"/>
        <v>KEEP</v>
      </c>
      <c r="Y44" s="99" t="str">
        <f t="shared" si="16"/>
        <v>echo {"issue":{"subject":"Wi-MAX data drop (78th radio down)","project_id":79,"tracker_id":40,"status_id":1,"priority_id":2,"assigned_to_id":23,"start_date":"2017-05-20","description":"","custom_fields":[{"id":1,"name":"Subdivision","value":"EC"},{"id":4,"name":"Milepost","value":"21.7106"},{"id":17,"name":"Train ID","value":"229-20"},{"id":16,"name":"Locomotive ID","value":"4014"},{"id":130,"name":"Impact","value":""},{"id":150,"name":"Time of Event (Mountain Time)","value":"21:33:27"},{"id":151,"name":"Denver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 t="shared" si="17"/>
        <v>grep -hrE -A400 "Enforcement Action" /cygdrive/c/Users/stu/AppData/Local/Temp/OnboardLogs/RTDC4014 --include="*4014*201705210*"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"%USERPROFILE%\AppData\Local\Temp\OnboardLogs"\RTDC4014\*4014*201705210* &gt;&gt; 2017-05-20-SliceDisagreementCheck.txt</v>
      </c>
      <c r="AE44" s="148" t="str">
        <f t="shared" si="9"/>
        <v>start /low /b %USERPROFILE%\Documents\GitHub\eaglep3\Utilities\DownloadLogsFromS3.py --loco 4014 --day 2017-05-21</v>
      </c>
      <c r="AF44" s="1"/>
    </row>
    <row r="45" spans="1:32" x14ac:dyDescent="0.25">
      <c r="A45" s="31">
        <v>42875.981388888889</v>
      </c>
      <c r="B45" s="30" t="s">
        <v>387</v>
      </c>
      <c r="C45" s="30" t="s">
        <v>639</v>
      </c>
      <c r="D45" s="30" t="s">
        <v>49</v>
      </c>
      <c r="E45" s="30" t="s">
        <v>600</v>
      </c>
      <c r="F45" s="42">
        <v>0</v>
      </c>
      <c r="G45" s="42">
        <v>636</v>
      </c>
      <c r="H45" s="42">
        <v>216565</v>
      </c>
      <c r="I45" s="42">
        <v>219104</v>
      </c>
      <c r="J45" s="30" t="s">
        <v>513</v>
      </c>
      <c r="K45" s="42">
        <v>217106</v>
      </c>
      <c r="L45" s="134" t="s">
        <v>50</v>
      </c>
      <c r="M45" s="135">
        <f t="shared" si="10"/>
        <v>-1054.944</v>
      </c>
      <c r="N45" s="136" t="str">
        <f>VLOOKUP(C45,'Trips&amp;Operators'!$C$1:$G$99999,5,FALSE)</f>
        <v>BROWN JACOB</v>
      </c>
      <c r="O45" s="207" t="s">
        <v>481</v>
      </c>
      <c r="P45" s="137" t="s">
        <v>1037</v>
      </c>
      <c r="Q45" s="30"/>
      <c r="R45" s="84" t="e">
        <f>IF(VLOOKUP(C45,'Train Runs'!$A$13:$AE$9922,1,1)=C45,VLOOKUP(C45,'Train Runs'!$A$13:$AE$9922,31,1),NA())</f>
        <v>#N/A</v>
      </c>
      <c r="S45" s="87" t="str">
        <f>VLOOKUP(C45,'Train Runs'!$A$13:$AE$9922,22,0)</f>
        <v>https://d0f6bd738d7f1b3e5a7ca70fe4ff75f0.us-east-1.aws.found.io/app/kibana#/discover/Steve-Slow-Train-Analysis-(2080s-and-2083s)?_g=(refreshInterval:(display:Off,pause:!f,section:0,value:0),time:(from:'2017-05-20T21:55:06-0600',mode:absolute,to:'2017-05-21T00:33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5" s="89" t="str">
        <f t="shared" si="11"/>
        <v>"C:\Program Files (x86)\AstroGrep\AstroGrep.exe" /e /r /s /spath="%USERPROFILE%\AppData\Local\Temp\OnboardLogs" /stypes="*4014*201705210*" /stext=" 05:.+((SYSTEM_STATE.+slice.+state.+changed )|(ment ac)|(multiple cpu faults)|(system.+state.+changed )|(\[timeout)|(PRM\|1\|D)|(kpr)|(kdp)|(train st.+moving)|(\|lc)|(penalty))"</v>
      </c>
      <c r="U45" s="9" t="str">
        <f t="shared" si="12"/>
        <v>4014</v>
      </c>
      <c r="V45" s="31">
        <f t="shared" si="13"/>
        <v>42876.231388888889</v>
      </c>
      <c r="W45" s="45" t="str">
        <f t="shared" si="14"/>
        <v>EC</v>
      </c>
      <c r="X45" s="45" t="str">
        <f t="shared" si="15"/>
        <v>KEEP</v>
      </c>
      <c r="Y45" s="99" t="str">
        <f t="shared" si="16"/>
        <v>echo {"issue":{"subject":"Wi-MAX data drop (78th radio down)","project_id":79,"tracker_id":40,"status_id":1,"priority_id":2,"assigned_to_id":23,"start_date":"2017-05-20","description":"","custom_fields":[{"id":1,"name":"Subdivision","value":"EC"},{"id":4,"name":"Milepost","value":"21.7106"},{"id":17,"name":"Train ID","value":"237-20"},{"id":16,"name":"Locomotive ID","value":"4014"},{"id":130,"name":"Impact","value":""},{"id":150,"name":"Time of Event (Mountain Time)","value":"23:33:12"},{"id":151,"name":"Denver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 t="shared" si="17"/>
        <v>grep -hrE -A400 "Enforcement Action" /cygdrive/c/Users/stu/AppData/Local/Temp/OnboardLogs/RTDC4014 --include="*4014*201705210*"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"%USERPROFILE%\AppData\Local\Temp\OnboardLogs"\RTDC4014\*4014*201705210* &gt;&gt; 2017-05-20-SliceDisagreementCheck.txt</v>
      </c>
      <c r="AE45" s="148" t="str">
        <f t="shared" si="9"/>
        <v>start /low /b %USERPROFILE%\Documents\GitHub\eaglep3\Utilities\DownloadLogsFromS3.py --loco 4014 --day 2017-05-21</v>
      </c>
      <c r="AF45" s="1"/>
    </row>
    <row r="46" spans="1:32" x14ac:dyDescent="0.25">
      <c r="A46" s="31">
        <v>42876.064236111109</v>
      </c>
      <c r="B46" s="30" t="s">
        <v>387</v>
      </c>
      <c r="C46" s="30" t="s">
        <v>644</v>
      </c>
      <c r="D46" s="30" t="s">
        <v>49</v>
      </c>
      <c r="E46" s="30" t="s">
        <v>600</v>
      </c>
      <c r="F46" s="42">
        <v>0</v>
      </c>
      <c r="G46" s="42">
        <v>443</v>
      </c>
      <c r="H46" s="42">
        <v>215388</v>
      </c>
      <c r="I46" s="42">
        <v>216942</v>
      </c>
      <c r="J46" s="30" t="s">
        <v>513</v>
      </c>
      <c r="K46" s="42">
        <v>217106</v>
      </c>
      <c r="L46" s="134" t="s">
        <v>50</v>
      </c>
      <c r="M46" s="135">
        <f t="shared" si="10"/>
        <v>86.592000000000013</v>
      </c>
      <c r="N46" s="136" t="str">
        <f>VLOOKUP(C46,'Trips&amp;Operators'!$C$1:$G$99999,5,FALSE)</f>
        <v>BROWN JACOB</v>
      </c>
      <c r="O46" s="207" t="s">
        <v>481</v>
      </c>
      <c r="P46" s="137" t="s">
        <v>1037</v>
      </c>
      <c r="Q46" s="30"/>
      <c r="R46" s="84" t="e">
        <f>IF(VLOOKUP(C46,'Train Runs'!$A$13:$AE$9922,1,1)=C46,VLOOKUP(C46,'Train Runs'!$A$13:$AE$9922,31,1),NA())</f>
        <v>#N/A</v>
      </c>
      <c r="S46" s="87" t="str">
        <f>VLOOKUP(C46,'Train Runs'!$A$13:$AE$9922,22,0)</f>
        <v>https://d0f6bd738d7f1b3e5a7ca70fe4ff75f0.us-east-1.aws.found.io/app/kibana#/discover/Steve-Slow-Train-Analysis-(2080s-and-2083s)?_g=(refreshInterval:(display:Off,pause:!f,section:0,value:0),time:(from:'2017-05-20T23:53:42-0600',mode:absolute,to:'2017-05-21T02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6" s="89" t="str">
        <f t="shared" si="11"/>
        <v>"C:\Program Files (x86)\AstroGrep\AstroGrep.exe" /e /r /s /spath="%USERPROFILE%\AppData\Local\Temp\OnboardLogs" /stypes="*4014*201705210*" /stext=" 07:.+((SYSTEM_STATE.+slice.+state.+changed )|(ment ac)|(multiple cpu faults)|(system.+state.+changed )|(\[timeout)|(PRM\|1\|D)|(kpr)|(kdp)|(train st.+moving)|(\|lc)|(penalty))"</v>
      </c>
      <c r="U46" s="9" t="str">
        <f t="shared" si="12"/>
        <v>4014</v>
      </c>
      <c r="V46" s="31">
        <f t="shared" si="13"/>
        <v>42876.314236111109</v>
      </c>
      <c r="W46" s="45" t="str">
        <f t="shared" si="14"/>
        <v>EC</v>
      </c>
      <c r="X46" s="45" t="str">
        <f t="shared" si="15"/>
        <v>KEEP</v>
      </c>
      <c r="Y46" s="99" t="str">
        <f t="shared" si="16"/>
        <v>echo {"issue":{"subject":"Wi-MAX data drop (78th radio down)","project_id":79,"tracker_id":40,"status_id":1,"priority_id":2,"assigned_to_id":23,"start_date":"2017-05-21","description":"","custom_fields":[{"id":1,"name":"Subdivision","value":"EC"},{"id":4,"name":"Milepost","value":"21.7106"},{"id":17,"name":"Train ID","value":"245-20"},{"id":16,"name":"Locomotive ID","value":"4014"},{"id":130,"name":"Impact","value":""},{"id":150,"name":"Time of Event (Mountain Time)","value":"01:32:30"},{"id":151,"name":"Denver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 t="shared" si="17"/>
        <v>grep -hrE -A400 "Enforcement Action" /cygdrive/c/Users/stu/AppData/Local/Temp/OnboardLogs/RTDC4014 --include="*4014*201705210*"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"%USERPROFILE%\AppData\Local\Temp\OnboardLogs"\RTDC4014\*4014*201705210* &gt;&gt; 2017-05-20-SliceDisagreementCheck.txt</v>
      </c>
      <c r="AE46" s="148" t="str">
        <f t="shared" si="9"/>
        <v>start /low /b %USERPROFILE%\Documents\GitHub\eaglep3\Utilities\DownloadLogsFromS3.py --loco 4014 --day 2017-05-21</v>
      </c>
      <c r="AF46" s="1"/>
    </row>
    <row r="47" spans="1:32" x14ac:dyDescent="0.25">
      <c r="A47" s="31">
        <v>42875.776307870372</v>
      </c>
      <c r="B47" s="30" t="s">
        <v>515</v>
      </c>
      <c r="C47" s="30" t="s">
        <v>627</v>
      </c>
      <c r="D47" s="30" t="s">
        <v>49</v>
      </c>
      <c r="E47" s="30" t="s">
        <v>600</v>
      </c>
      <c r="F47" s="42">
        <v>0</v>
      </c>
      <c r="G47" s="42">
        <v>19</v>
      </c>
      <c r="H47" s="42">
        <v>218923</v>
      </c>
      <c r="I47" s="42">
        <v>0</v>
      </c>
      <c r="J47" s="30" t="s">
        <v>513</v>
      </c>
      <c r="K47" s="42">
        <v>218954</v>
      </c>
      <c r="L47" s="134" t="s">
        <v>50</v>
      </c>
      <c r="M47" s="135">
        <f t="shared" si="10"/>
        <v>115607.712</v>
      </c>
      <c r="N47" s="136" t="str">
        <f>VLOOKUP(C47,'Trips&amp;Operators'!$C$1:$G$99999,5,FALSE)</f>
        <v>MOSES BRADLEY</v>
      </c>
      <c r="O47" s="207" t="s">
        <v>481</v>
      </c>
      <c r="P47" s="137" t="s">
        <v>1037</v>
      </c>
      <c r="Q47" s="30"/>
      <c r="R47" s="84" t="e">
        <f>IF(VLOOKUP(C47,'Train Runs'!$A$13:$AE$9922,1,1)=C47,VLOOKUP(C47,'Train Runs'!$A$13:$AE$9922,31,1),NA())</f>
        <v>#N/A</v>
      </c>
      <c r="S47" s="87" t="str">
        <f>VLOOKUP(C47,'Train Runs'!$A$13:$AE$9922,22,0)</f>
        <v>https://d0f6bd738d7f1b3e5a7ca70fe4ff75f0.us-east-1.aws.found.io/app/kibana#/discover/Steve-Slow-Train-Analysis-(2080s-and-2083s)?_g=(refreshInterval:(display:Off,pause:!f,section:0,value:0),time:(from:'2017-05-20T17:00:35-0600',mode:absolute,to:'2017-05-20T19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7" s="89" t="str">
        <f t="shared" si="11"/>
        <v>"C:\Program Files (x86)\AstroGrep\AstroGrep.exe" /e /r /s /spath="%USERPROFILE%\AppData\Local\Temp\OnboardLogs" /stypes="*4010*201705210*" /stext=" 00:.+((SYSTEM_STATE.+slice.+state.+changed )|(ment ac)|(multiple cpu faults)|(system.+state.+changed )|(\[timeout)|(PRM\|1\|D)|(kpr)|(kdp)|(train st.+moving)|(\|lc)|(penalty))"</v>
      </c>
      <c r="U47" s="9" t="str">
        <f t="shared" si="12"/>
        <v>4010</v>
      </c>
      <c r="V47" s="31">
        <f t="shared" si="13"/>
        <v>42876.026307870372</v>
      </c>
      <c r="W47" s="45" t="str">
        <f t="shared" si="14"/>
        <v>EC</v>
      </c>
      <c r="X47" s="45" t="str">
        <f t="shared" si="15"/>
        <v>KEEP</v>
      </c>
      <c r="Y47" s="99" t="str">
        <f t="shared" si="16"/>
        <v>echo {"issue":{"subject":"Wi-MAX data drop (78th radio down)","project_id":79,"tracker_id":40,"status_id":1,"priority_id":2,"assigned_to_id":23,"start_date":"2017-05-20","description":"","custom_fields":[{"id":1,"name":"Subdivision","value":"EC"},{"id":4,"name":"Milepost","value":"21.8954"},{"id":17,"name":"Train ID","value":"215-20"},{"id":16,"name":"Locomotive ID","value":"4010"},{"id":130,"name":"Impact","value":""},{"id":150,"name":"Time of Event (Mountain Time)","value":"18:37:53"},{"id":151,"name":"Denver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62"/>
      <c r="AA47" s="47"/>
      <c r="AB47" s="47"/>
      <c r="AC47" s="118" t="str">
        <f t="shared" si="17"/>
        <v>grep -hrE -A400 "Enforcement Action" /cygdrive/c/Users/stu/AppData/Local/Temp/OnboardLogs/RTDC4010 --include="*4010*201705210*"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"%USERPROFILE%\AppData\Local\Temp\OnboardLogs"\RTDC4010\*4010*201705210* &gt;&gt; 2017-05-20-SliceDisagreementCheck.txt</v>
      </c>
      <c r="AE47" s="148" t="str">
        <f t="shared" si="9"/>
        <v>start /low /b %USERPROFILE%\Documents\GitHub\eaglep3\Utilities\DownloadLogsFromS3.py --loco 4010 --day 2017-05-21</v>
      </c>
      <c r="AF47" s="1"/>
    </row>
    <row r="48" spans="1:32" x14ac:dyDescent="0.25">
      <c r="A48" s="31">
        <v>42875.48164351852</v>
      </c>
      <c r="B48" s="30" t="s">
        <v>411</v>
      </c>
      <c r="C48" s="30" t="s">
        <v>603</v>
      </c>
      <c r="D48" s="30" t="s">
        <v>49</v>
      </c>
      <c r="E48" s="30" t="s">
        <v>185</v>
      </c>
      <c r="F48" s="42">
        <v>0</v>
      </c>
      <c r="G48" s="42">
        <v>51</v>
      </c>
      <c r="H48" s="42">
        <v>187</v>
      </c>
      <c r="I48" s="42">
        <v>138</v>
      </c>
      <c r="J48" s="30" t="s">
        <v>186</v>
      </c>
      <c r="K48" s="42">
        <v>1</v>
      </c>
      <c r="L48" s="134" t="s">
        <v>51</v>
      </c>
      <c r="M48" s="135">
        <f t="shared" si="10"/>
        <v>72.335999999999999</v>
      </c>
      <c r="N48" s="136" t="str">
        <f>VLOOKUP(C48,'Trips&amp;Operators'!$C$1:$G$99999,5,FALSE)</f>
        <v>SANTIZO D. EDY</v>
      </c>
      <c r="O48" s="207" t="s">
        <v>184</v>
      </c>
      <c r="P48" s="137"/>
      <c r="Q48" s="30"/>
      <c r="R48" s="84" t="str">
        <f>IF(VLOOKUP(C48,'Train Runs'!$A$13:$AE$9922,1,1)=C48,VLOOKUP(C48,'Train Runs'!$A$13:$AE$9922,31,1),NA())</f>
        <v>aws s3 cp s3://rtdc.mdm.uploadarchive.raw/RTDC4001/ "%USERPROFILE%\AppData\Local\Temp\OnboardLogs"\RTDC4001\2017-05-20 --exclude "*" --recursive --include "*20170520*" &amp; "%USERPROFILE%\Documents\GitHub\mrs-test-scripts\Headless Mode &amp; Sideloading\WalkAndUnGZ.bat" "%USERPROFILE%\AppData\Local\Temp\OnboardLogs"\RTDC4001\2017-05-20 &amp; aws s3 cp s3://rtdc.mdm.uploadarchive.raw/RTDC4001/ "%USERPROFILE%\AppData\Local\Temp\OnboardLogs"\RTDC4001\2017-05-21 --exclude "*" --recursive --include "*20170521*" &amp; "%USERPROFILE%\Documents\GitHub\mrs-test-scripts\Headless Mode &amp; Sideloading\WalkAndUnGZ.bat" "%USERPROFILE%\AppData\Local\Temp\OnboardLogs"\RTDC4001\2017-05-21</v>
      </c>
      <c r="S48" s="87" t="str">
        <f>VLOOKUP(C48,'Train Runs'!$A$13:$AE$9922,22,0)</f>
        <v>https://d0f6bd738d7f1b3e5a7ca70fe4ff75f0.us-east-1.aws.found.io/app/kibana#/discover/Steve-Slow-Train-Analysis-(2080s-and-2083s)?_g=(refreshInterval:(display:Off,pause:!f,section:0,value:0),time:(from:'2017-05-20T09:37:46-0600',mode:absolute,to:'2017-05-20T12:33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48" s="89" t="str">
        <f t="shared" si="11"/>
        <v>"C:\Program Files (x86)\AstroGrep\AstroGrep.exe" /e /r /s /spath="%USERPROFILE%\AppData\Local\Temp\OnboardLogs" /stypes="*4001*201705201*" /stext=" 17:.+((SYSTEM_STATE.+slice.+state.+changed )|(ment ac)|(multiple cpu faults)|(system.+state.+changed )|(\[timeout)|(PRM\|1\|D)|(kpr)|(kdp)|(train st.+moving)|(\|lc)|(penalty))"</v>
      </c>
      <c r="U48" s="9" t="str">
        <f t="shared" si="12"/>
        <v>4001</v>
      </c>
      <c r="V48" s="31">
        <f t="shared" si="13"/>
        <v>42875.73164351852</v>
      </c>
      <c r="W48" s="45" t="str">
        <f t="shared" si="14"/>
        <v>EC</v>
      </c>
      <c r="X48" s="45" t="str">
        <f t="shared" si="15"/>
        <v>KEEP</v>
      </c>
      <c r="Y48" s="99" t="str">
        <f t="shared" si="16"/>
        <v>echo {"issue":{"subject":"","project_id":79,"tracker_id":40,"status_id":1,"priority_id":2,"assigned_to_id":23,"start_date":"2017-05-20","description":"","custom_fields":[{"id":1,"name":"Subdivision","value":"EC"},{"id":4,"name":"Milepost","value":"0.0001"},{"id":17,"name":"Train ID","value":"152-20"},{"id":16,"name":"Locomotive ID","value":"4001"},{"id":130,"name":"Impact","value":""},{"id":150,"name":"Time of Event (Mountain Time)","value":"11:33:34"},{"id":151,"name":"Denver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62"/>
      <c r="AA48" s="47"/>
      <c r="AB48" s="47"/>
      <c r="AC48" s="118" t="str">
        <f t="shared" si="17"/>
        <v>grep -hrE -A400 "Enforcement Action" /cygdrive/c/Users/stu/AppData/Local/Temp/OnboardLogs/RTDC4001 --include="*4001*201705201*"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"%USERPROFILE%\AppData\Local\Temp\OnboardLogs"\RTDC4001\*4001*201705201* &gt;&gt; 2017-05-20-SliceDisagreementCheck.txt</v>
      </c>
      <c r="AE48" s="148" t="str">
        <f t="shared" si="9"/>
        <v>start /low /b %USERPROFILE%\Documents\GitHub\eaglep3\Utilities\DownloadLogsFromS3.py --loco 4001 --day 2017-05-20</v>
      </c>
      <c r="AF48" s="1"/>
    </row>
    <row r="49" spans="1:32" x14ac:dyDescent="0.25">
      <c r="A49" s="31">
        <v>42875.4921412037</v>
      </c>
      <c r="B49" s="30" t="s">
        <v>480</v>
      </c>
      <c r="C49" s="30" t="s">
        <v>604</v>
      </c>
      <c r="D49" s="30" t="s">
        <v>49</v>
      </c>
      <c r="E49" s="30" t="s">
        <v>185</v>
      </c>
      <c r="F49" s="42">
        <v>0</v>
      </c>
      <c r="G49" s="42">
        <v>173</v>
      </c>
      <c r="H49" s="42">
        <v>992</v>
      </c>
      <c r="I49" s="42">
        <v>721</v>
      </c>
      <c r="J49" s="30" t="s">
        <v>186</v>
      </c>
      <c r="K49" s="42">
        <v>1</v>
      </c>
      <c r="L49" s="134" t="s">
        <v>51</v>
      </c>
      <c r="M49" s="135">
        <f t="shared" si="10"/>
        <v>380.16</v>
      </c>
      <c r="N49" s="136" t="str">
        <f>VLOOKUP(C49,'Trips&amp;Operators'!$C$1:$G$99999,5,FALSE)</f>
        <v>LOPES KIMBERLY</v>
      </c>
      <c r="O49" s="207" t="s">
        <v>184</v>
      </c>
      <c r="P49" s="137"/>
      <c r="Q49" s="30"/>
      <c r="R49" s="84" t="str">
        <f>IF(VLOOKUP(C49,'Train Runs'!$A$13:$AE$9922,1,1)=C49,VLOOKUP(C49,'Train Runs'!$A$13:$AE$9922,31,1),NA())</f>
        <v>aws s3 cp s3://rtdc.mdm.uploadarchive.raw/RTDC4055/ "%USERPROFILE%\AppData\Local\Temp\OnboardLogs"\RTDC4055\2017-05-20 --exclude "*" --recursive --include "*20170520*" &amp; "%USERPROFILE%\Documents\GitHub\mrs-test-scripts\Headless Mode &amp; Sideloading\WalkAndUnGZ.bat" "%USERPROFILE%\AppData\Local\Temp\OnboardLogs"\RTDC4055\2017-05-20 &amp; aws s3 cp s3://rtdc.mdm.uploadarchive.raw/RTDC4055/ "%USERPROFILE%\AppData\Local\Temp\OnboardLogs"\RTDC4055\2017-05-21 --exclude "*" --recursive --include "*20170521*" &amp; "%USERPROFILE%\Documents\GitHub\mrs-test-scripts\Headless Mode &amp; Sideloading\WalkAndUnGZ.bat" "%USERPROFILE%\AppData\Local\Temp\OnboardLogs"\RTDC4055\2017-05-21</v>
      </c>
      <c r="S49" s="87" t="str">
        <f>VLOOKUP(C49,'Train Runs'!$A$13:$AE$9922,22,0)</f>
        <v>https://d0f6bd738d7f1b3e5a7ca70fe4ff75f0.us-east-1.aws.found.io/app/kibana#/discover/Steve-Slow-Train-Analysis-(2080s-and-2083s)?_g=(refreshInterval:(display:Off,pause:!f,section:0,value:0),time:(from:'2017-05-20T09:59:26-0600',mode:absolute,to:'2017-05-20T12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49" s="89" t="str">
        <f t="shared" si="11"/>
        <v>"C:\Program Files (x86)\AstroGrep\AstroGrep.exe" /e /r /s /spath="%USERPROFILE%\AppData\Local\Temp\OnboardLogs" /stypes="*4055*201705201*" /stext=" 17:.+((SYSTEM_STATE.+slice.+state.+changed )|(ment ac)|(multiple cpu faults)|(system.+state.+changed )|(\[timeout)|(PRM\|1\|D)|(kpr)|(kdp)|(train st.+moving)|(\|lc)|(penalty))"</v>
      </c>
      <c r="U49" s="9" t="str">
        <f t="shared" si="12"/>
        <v>4055</v>
      </c>
      <c r="V49" s="31">
        <f t="shared" si="13"/>
        <v>42875.7421412037</v>
      </c>
      <c r="W49" s="45" t="str">
        <f t="shared" si="14"/>
        <v>EC</v>
      </c>
      <c r="X49" s="45" t="str">
        <f t="shared" si="15"/>
        <v>KEEP</v>
      </c>
      <c r="Y49" s="99" t="str">
        <f t="shared" si="16"/>
        <v>echo {"issue":{"subject":"","project_id":79,"tracker_id":40,"status_id":1,"priority_id":2,"assigned_to_id":23,"start_date":"2017-05-20","description":"","custom_fields":[{"id":1,"name":"Subdivision","value":"EC"},{"id":4,"name":"Milepost","value":"0.0001"},{"id":17,"name":"Train ID","value":"154-20"},{"id":16,"name":"Locomotive ID","value":"4055"},{"id":130,"name":"Impact","value":""},{"id":150,"name":"Time of Event (Mountain Time)","value":"11:48:41"},{"id":151,"name":"Denver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62"/>
      <c r="AA49" s="47"/>
      <c r="AB49" s="47"/>
      <c r="AC49" s="118" t="str">
        <f t="shared" si="17"/>
        <v>grep -hrE -A400 "Enforcement Action" /cygdrive/c/Users/stu/AppData/Local/Temp/OnboardLogs/RTDC4055 --include="*4055*201705201*"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"%USERPROFILE%\AppData\Local\Temp\OnboardLogs"\RTDC4055\*4055*201705201* &gt;&gt; 2017-05-20-SliceDisagreementCheck.txt</v>
      </c>
      <c r="AE49" s="148" t="str">
        <f t="shared" si="9"/>
        <v>start /low /b %USERPROFILE%\Documents\GitHub\eaglep3\Utilities\DownloadLogsFromS3.py --loco 4055 --day 2017-05-20</v>
      </c>
      <c r="AF49" s="1"/>
    </row>
    <row r="50" spans="1:32" x14ac:dyDescent="0.25">
      <c r="A50" s="31">
        <v>42875.493101851855</v>
      </c>
      <c r="B50" s="30" t="s">
        <v>480</v>
      </c>
      <c r="C50" s="30" t="s">
        <v>604</v>
      </c>
      <c r="D50" s="30" t="s">
        <v>49</v>
      </c>
      <c r="E50" s="30" t="s">
        <v>185</v>
      </c>
      <c r="F50" s="42">
        <v>0</v>
      </c>
      <c r="G50" s="42">
        <v>60</v>
      </c>
      <c r="H50" s="42">
        <v>225</v>
      </c>
      <c r="I50" s="42">
        <v>178</v>
      </c>
      <c r="J50" s="30" t="s">
        <v>186</v>
      </c>
      <c r="K50" s="42">
        <v>1</v>
      </c>
      <c r="L50" s="134" t="s">
        <v>51</v>
      </c>
      <c r="M50" s="135">
        <f t="shared" si="10"/>
        <v>93.456000000000003</v>
      </c>
      <c r="N50" s="136" t="str">
        <f>VLOOKUP(C50,'Trips&amp;Operators'!$C$1:$G$99999,5,FALSE)</f>
        <v>LOPES KIMBERLY</v>
      </c>
      <c r="O50" s="207" t="s">
        <v>184</v>
      </c>
      <c r="P50" s="137"/>
      <c r="Q50" s="30"/>
      <c r="R50" s="84" t="str">
        <f>IF(VLOOKUP(C50,'Train Runs'!$A$13:$AE$9922,1,1)=C50,VLOOKUP(C50,'Train Runs'!$A$13:$AE$9922,31,1),NA())</f>
        <v>aws s3 cp s3://rtdc.mdm.uploadarchive.raw/RTDC4055/ "%USERPROFILE%\AppData\Local\Temp\OnboardLogs"\RTDC4055\2017-05-20 --exclude "*" --recursive --include "*20170520*" &amp; "%USERPROFILE%\Documents\GitHub\mrs-test-scripts\Headless Mode &amp; Sideloading\WalkAndUnGZ.bat" "%USERPROFILE%\AppData\Local\Temp\OnboardLogs"\RTDC4055\2017-05-20 &amp; aws s3 cp s3://rtdc.mdm.uploadarchive.raw/RTDC4055/ "%USERPROFILE%\AppData\Local\Temp\OnboardLogs"\RTDC4055\2017-05-21 --exclude "*" --recursive --include "*20170521*" &amp; "%USERPROFILE%\Documents\GitHub\mrs-test-scripts\Headless Mode &amp; Sideloading\WalkAndUnGZ.bat" "%USERPROFILE%\AppData\Local\Temp\OnboardLogs"\RTDC4055\2017-05-21</v>
      </c>
      <c r="S50" s="87" t="str">
        <f>VLOOKUP(C50,'Train Runs'!$A$13:$AE$9922,22,0)</f>
        <v>https://d0f6bd738d7f1b3e5a7ca70fe4ff75f0.us-east-1.aws.found.io/app/kibana#/discover/Steve-Slow-Train-Analysis-(2080s-and-2083s)?_g=(refreshInterval:(display:Off,pause:!f,section:0,value:0),time:(from:'2017-05-20T09:59:26-0600',mode:absolute,to:'2017-05-20T12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50" s="89" t="str">
        <f t="shared" si="11"/>
        <v>"C:\Program Files (x86)\AstroGrep\AstroGrep.exe" /e /r /s /spath="%USERPROFILE%\AppData\Local\Temp\OnboardLogs" /stypes="*4055*201705201*" /stext=" 17:.+((SYSTEM_STATE.+slice.+state.+changed )|(ment ac)|(multiple cpu faults)|(system.+state.+changed )|(\[timeout)|(PRM\|1\|D)|(kpr)|(kdp)|(train st.+moving)|(\|lc)|(penalty))"</v>
      </c>
      <c r="U50" s="9" t="str">
        <f t="shared" si="12"/>
        <v>4055</v>
      </c>
      <c r="V50" s="31">
        <f t="shared" si="13"/>
        <v>42875.743101851855</v>
      </c>
      <c r="W50" s="45" t="str">
        <f t="shared" si="14"/>
        <v>EC</v>
      </c>
      <c r="X50" s="45" t="str">
        <f t="shared" si="15"/>
        <v>KEEP</v>
      </c>
      <c r="Y50" s="99" t="str">
        <f t="shared" si="16"/>
        <v>echo {"issue":{"subject":"","project_id":79,"tracker_id":40,"status_id":1,"priority_id":2,"assigned_to_id":23,"start_date":"2017-05-20","description":"","custom_fields":[{"id":1,"name":"Subdivision","value":"EC"},{"id":4,"name":"Milepost","value":"0.0001"},{"id":17,"name":"Train ID","value":"154-20"},{"id":16,"name":"Locomotive ID","value":"4055"},{"id":130,"name":"Impact","value":""},{"id":150,"name":"Time of Event (Mountain Time)","value":"11:50:04"},{"id":151,"name":"Denver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62"/>
      <c r="AA50" s="47"/>
      <c r="AB50" s="47"/>
      <c r="AC50" s="118" t="str">
        <f t="shared" si="17"/>
        <v>grep -hrE -A400 "Enforcement Action" /cygdrive/c/Users/stu/AppData/Local/Temp/OnboardLogs/RTDC4055 --include="*4055*201705201*"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"%USERPROFILE%\AppData\Local\Temp\OnboardLogs"\RTDC4055\*4055*201705201* &gt;&gt; 2017-05-20-SliceDisagreementCheck.txt</v>
      </c>
      <c r="AE50" s="148" t="str">
        <f t="shared" si="9"/>
        <v>start /low /b %USERPROFILE%\Documents\GitHub\eaglep3\Utilities\DownloadLogsFromS3.py --loco 4055 --day 2017-05-20</v>
      </c>
      <c r="AF50" s="1"/>
    </row>
    <row r="51" spans="1:32" x14ac:dyDescent="0.25">
      <c r="A51" s="31">
        <v>42875.524340277778</v>
      </c>
      <c r="B51" s="30" t="s">
        <v>514</v>
      </c>
      <c r="C51" s="30" t="s">
        <v>608</v>
      </c>
      <c r="D51" s="30" t="s">
        <v>49</v>
      </c>
      <c r="E51" s="30" t="s">
        <v>185</v>
      </c>
      <c r="F51" s="42">
        <v>0</v>
      </c>
      <c r="G51" s="42">
        <v>134</v>
      </c>
      <c r="H51" s="42">
        <v>675</v>
      </c>
      <c r="I51" s="42">
        <v>488</v>
      </c>
      <c r="J51" s="30" t="s">
        <v>186</v>
      </c>
      <c r="K51" s="42">
        <v>1</v>
      </c>
      <c r="L51" s="134" t="s">
        <v>51</v>
      </c>
      <c r="M51" s="135">
        <f t="shared" si="10"/>
        <v>257.13600000000002</v>
      </c>
      <c r="N51" s="136" t="str">
        <f>VLOOKUP(C51,'Trips&amp;Operators'!$C$1:$G$99999,5,FALSE)</f>
        <v>STEWART MICHAEL</v>
      </c>
      <c r="O51" s="207" t="s">
        <v>184</v>
      </c>
      <c r="P51" s="137"/>
      <c r="Q51" s="30"/>
      <c r="R51" s="84" t="str">
        <f>IF(VLOOKUP(C51,'Train Runs'!$A$13:$AE$9922,1,1)=C51,VLOOKUP(C51,'Train Runs'!$A$13:$AE$9922,31,1),NA())</f>
        <v>aws s3 cp s3://rtdc.mdm.uploadarchive.raw/RTDC4009/ "%USERPROFILE%\AppData\Local\Temp\OnboardLogs"\RTDC4009\2017-05-20 --exclude "*" --recursive --include "*20170520*" &amp; "%USERPROFILE%\Documents\GitHub\mrs-test-scripts\Headless Mode &amp; Sideloading\WalkAndUnGZ.bat" "%USERPROFILE%\AppData\Local\Temp\OnboardLogs"\RTDC4009\2017-05-20 &amp; aws s3 cp s3://rtdc.mdm.uploadarchive.raw/RTDC4009/ "%USERPROFILE%\AppData\Local\Temp\OnboardLogs"\RTDC4009\2017-05-21 --exclude "*" --recursive --include "*20170521*" &amp; "%USERPROFILE%\Documents\GitHub\mrs-test-scripts\Headless Mode &amp; Sideloading\WalkAndUnGZ.bat" "%USERPROFILE%\AppData\Local\Temp\OnboardLogs"\RTDC4009\2017-05-21</v>
      </c>
      <c r="S51" s="87" t="str">
        <f>VLOOKUP(C51,'Train Runs'!$A$13:$AE$9922,22,0)</f>
        <v>https://d0f6bd738d7f1b3e5a7ca70fe4ff75f0.us-east-1.aws.found.io/app/kibana#/discover/Steve-Slow-Train-Analysis-(2080s-and-2083s)?_g=(refreshInterval:(display:Off,pause:!f,section:0,value:0),time:(from:'2017-05-20T10:50:01-0600',mode:absolute,to:'2017-05-20T13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51" s="89" t="str">
        <f t="shared" si="11"/>
        <v>"C:\Program Files (x86)\AstroGrep\AstroGrep.exe" /e /r /s /spath="%USERPROFILE%\AppData\Local\Temp\OnboardLogs" /stypes="*4009*201705201*" /stext=" 18:.+((SYSTEM_STATE.+slice.+state.+changed )|(ment ac)|(multiple cpu faults)|(system.+state.+changed )|(\[timeout)|(PRM\|1\|D)|(kpr)|(kdp)|(train st.+moving)|(\|lc)|(penalty))"</v>
      </c>
      <c r="U51" s="9" t="str">
        <f t="shared" si="12"/>
        <v>4009</v>
      </c>
      <c r="V51" s="31">
        <f t="shared" si="13"/>
        <v>42875.774340277778</v>
      </c>
      <c r="W51" s="45" t="str">
        <f t="shared" si="14"/>
        <v>EC</v>
      </c>
      <c r="X51" s="45" t="str">
        <f t="shared" si="15"/>
        <v>KEEP</v>
      </c>
      <c r="Y51" s="99" t="str">
        <f t="shared" si="16"/>
        <v>echo {"issue":{"subject":"","project_id":79,"tracker_id":40,"status_id":1,"priority_id":2,"assigned_to_id":23,"start_date":"2017-05-20","description":"","custom_fields":[{"id":1,"name":"Subdivision","value":"EC"},{"id":4,"name":"Milepost","value":"0.0001"},{"id":17,"name":"Train ID","value":"160-20"},{"id":16,"name":"Locomotive ID","value":"4009"},{"id":130,"name":"Impact","value":""},{"id":150,"name":"Time of Event (Mountain Time)","value":"12:35:03"},{"id":151,"name":"Denver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62"/>
      <c r="AA51" s="47"/>
      <c r="AB51" s="47"/>
      <c r="AC51" s="118" t="str">
        <f t="shared" si="17"/>
        <v>grep -hrE -A400 "Enforcement Action" /cygdrive/c/Users/stu/AppData/Local/Temp/OnboardLogs/RTDC4009 --include="*4009*201705201*"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"%USERPROFILE%\AppData\Local\Temp\OnboardLogs"\RTDC4009\*4009*201705201* &gt;&gt; 2017-05-20-SliceDisagreementCheck.txt</v>
      </c>
      <c r="AE51" s="148" t="str">
        <f t="shared" si="9"/>
        <v>start /low /b %USERPROFILE%\Documents\GitHub\eaglep3\Utilities\DownloadLogsFromS3.py --loco 4009 --day 2017-05-20</v>
      </c>
      <c r="AF51" s="1"/>
    </row>
    <row r="52" spans="1:32" x14ac:dyDescent="0.25">
      <c r="A52" s="31">
        <v>42875.566990740743</v>
      </c>
      <c r="B52" s="30" t="s">
        <v>480</v>
      </c>
      <c r="C52" s="30" t="s">
        <v>609</v>
      </c>
      <c r="D52" s="30" t="s">
        <v>49</v>
      </c>
      <c r="E52" s="30" t="s">
        <v>185</v>
      </c>
      <c r="F52" s="42">
        <v>0</v>
      </c>
      <c r="G52" s="42">
        <v>136</v>
      </c>
      <c r="H52" s="42">
        <v>675</v>
      </c>
      <c r="I52" s="42">
        <v>531</v>
      </c>
      <c r="J52" s="30" t="s">
        <v>186</v>
      </c>
      <c r="K52" s="42">
        <v>1</v>
      </c>
      <c r="L52" s="134" t="s">
        <v>51</v>
      </c>
      <c r="M52" s="135">
        <f t="shared" si="10"/>
        <v>279.83999999999997</v>
      </c>
      <c r="N52" s="136" t="str">
        <f>VLOOKUP(C52,'Trips&amp;Operators'!$C$1:$G$99999,5,FALSE)</f>
        <v>PERKINS DARREN</v>
      </c>
      <c r="O52" s="207" t="s">
        <v>184</v>
      </c>
      <c r="P52" s="137"/>
      <c r="Q52" s="30"/>
      <c r="R52" s="84" t="str">
        <f>IF(VLOOKUP(C52,'Train Runs'!$A$13:$AE$9922,1,1)=C52,VLOOKUP(C52,'Train Runs'!$A$13:$AE$9922,31,1),NA())</f>
        <v>aws s3 cp s3://rtdc.mdm.uploadarchive.raw/RTDC4055/ "%USERPROFILE%\AppData\Local\Temp\OnboardLogs"\RTDC4055\2017-05-20 --exclude "*" --recursive --include "*20170520*" &amp; "%USERPROFILE%\Documents\GitHub\mrs-test-scripts\Headless Mode &amp; Sideloading\WalkAndUnGZ.bat" "%USERPROFILE%\AppData\Local\Temp\OnboardLogs"\RTDC4055\2017-05-20 &amp; aws s3 cp s3://rtdc.mdm.uploadarchive.raw/RTDC4055/ "%USERPROFILE%\AppData\Local\Temp\OnboardLogs"\RTDC4055\2017-05-21 --exclude "*" --recursive --include "*20170521*" &amp; "%USERPROFILE%\Documents\GitHub\mrs-test-scripts\Headless Mode &amp; Sideloading\WalkAndUnGZ.bat" "%USERPROFILE%\AppData\Local\Temp\OnboardLogs"\RTDC4055\2017-05-21</v>
      </c>
      <c r="S52" s="87" t="str">
        <f>VLOOKUP(C52,'Train Runs'!$A$13:$AE$9922,22,0)</f>
        <v>https://d0f6bd738d7f1b3e5a7ca70fe4ff75f0.us-east-1.aws.found.io/app/kibana#/discover/Steve-Slow-Train-Analysis-(2080s-and-2083s)?_g=(refreshInterval:(display:Off,pause:!f,section:0,value:0),time:(from:'2017-05-20T11:47:53-0600',mode:absolute,to:'2017-05-20T14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52" s="89" t="str">
        <f t="shared" si="11"/>
        <v>"C:\Program Files (x86)\AstroGrep\AstroGrep.exe" /e /r /s /spath="%USERPROFILE%\AppData\Local\Temp\OnboardLogs" /stypes="*4055*201705201*" /stext=" 19:.+((SYSTEM_STATE.+slice.+state.+changed )|(ment ac)|(multiple cpu faults)|(system.+state.+changed )|(\[timeout)|(PRM\|1\|D)|(kpr)|(kdp)|(train st.+moving)|(\|lc)|(penalty))"</v>
      </c>
      <c r="U52" s="9" t="str">
        <f t="shared" si="12"/>
        <v>4055</v>
      </c>
      <c r="V52" s="31">
        <f t="shared" si="13"/>
        <v>42875.816990740743</v>
      </c>
      <c r="W52" s="45" t="str">
        <f t="shared" si="14"/>
        <v>EC</v>
      </c>
      <c r="X52" s="45" t="str">
        <f t="shared" si="15"/>
        <v>KEEP</v>
      </c>
      <c r="Y52" s="99" t="str">
        <f t="shared" si="16"/>
        <v>echo {"issue":{"subject":"","project_id":79,"tracker_id":40,"status_id":1,"priority_id":2,"assigned_to_id":23,"start_date":"2017-05-20","description":"","custom_fields":[{"id":1,"name":"Subdivision","value":"EC"},{"id":4,"name":"Milepost","value":"0.0001"},{"id":17,"name":"Train ID","value":"168-20"},{"id":16,"name":"Locomotive ID","value":"4055"},{"id":130,"name":"Impact","value":""},{"id":150,"name":"Time of Event (Mountain Time)","value":"13:36:28"},{"id":151,"name":"Denver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62"/>
      <c r="AA52" s="47"/>
      <c r="AB52" s="47"/>
      <c r="AC52" s="118" t="str">
        <f t="shared" si="17"/>
        <v>grep -hrE -A400 "Enforcement Action" /cygdrive/c/Users/stu/AppData/Local/Temp/OnboardLogs/RTDC4055 --include="*4055*201705201*"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"%USERPROFILE%\AppData\Local\Temp\OnboardLogs"\RTDC4055\*4055*201705201* &gt;&gt; 2017-05-20-SliceDisagreementCheck.txt</v>
      </c>
      <c r="AE52" s="148" t="str">
        <f t="shared" si="9"/>
        <v>start /low /b %USERPROFILE%\Documents\GitHub\eaglep3\Utilities\DownloadLogsFromS3.py --loco 4055 --day 2017-05-20</v>
      </c>
      <c r="AF52" s="1"/>
    </row>
    <row r="53" spans="1:32" x14ac:dyDescent="0.25">
      <c r="A53" s="31">
        <v>42875.567395833335</v>
      </c>
      <c r="B53" s="30" t="s">
        <v>480</v>
      </c>
      <c r="C53" s="30" t="s">
        <v>609</v>
      </c>
      <c r="D53" s="30" t="s">
        <v>49</v>
      </c>
      <c r="E53" s="30" t="s">
        <v>185</v>
      </c>
      <c r="F53" s="42">
        <v>0</v>
      </c>
      <c r="G53" s="42">
        <v>48</v>
      </c>
      <c r="H53" s="42">
        <v>488</v>
      </c>
      <c r="I53" s="42">
        <v>384</v>
      </c>
      <c r="J53" s="30" t="s">
        <v>186</v>
      </c>
      <c r="K53" s="42">
        <v>1</v>
      </c>
      <c r="L53" s="134" t="s">
        <v>51</v>
      </c>
      <c r="M53" s="135">
        <f t="shared" si="10"/>
        <v>202.22399999999999</v>
      </c>
      <c r="N53" s="136" t="str">
        <f>VLOOKUP(C53,'Trips&amp;Operators'!$C$1:$G$99999,5,FALSE)</f>
        <v>PERKINS DARREN</v>
      </c>
      <c r="O53" s="207" t="s">
        <v>184</v>
      </c>
      <c r="P53" s="137"/>
      <c r="Q53" s="30"/>
      <c r="R53" s="84" t="str">
        <f>IF(VLOOKUP(C53,'Train Runs'!$A$13:$AE$9922,1,1)=C53,VLOOKUP(C53,'Train Runs'!$A$13:$AE$9922,31,1),NA())</f>
        <v>aws s3 cp s3://rtdc.mdm.uploadarchive.raw/RTDC4055/ "%USERPROFILE%\AppData\Local\Temp\OnboardLogs"\RTDC4055\2017-05-20 --exclude "*" --recursive --include "*20170520*" &amp; "%USERPROFILE%\Documents\GitHub\mrs-test-scripts\Headless Mode &amp; Sideloading\WalkAndUnGZ.bat" "%USERPROFILE%\AppData\Local\Temp\OnboardLogs"\RTDC4055\2017-05-20 &amp; aws s3 cp s3://rtdc.mdm.uploadarchive.raw/RTDC4055/ "%USERPROFILE%\AppData\Local\Temp\OnboardLogs"\RTDC4055\2017-05-21 --exclude "*" --recursive --include "*20170521*" &amp; "%USERPROFILE%\Documents\GitHub\mrs-test-scripts\Headless Mode &amp; Sideloading\WalkAndUnGZ.bat" "%USERPROFILE%\AppData\Local\Temp\OnboardLogs"\RTDC4055\2017-05-21</v>
      </c>
      <c r="S53" s="87" t="str">
        <f>VLOOKUP(C53,'Train Runs'!$A$13:$AE$9922,22,0)</f>
        <v>https://d0f6bd738d7f1b3e5a7ca70fe4ff75f0.us-east-1.aws.found.io/app/kibana#/discover/Steve-Slow-Train-Analysis-(2080s-and-2083s)?_g=(refreshInterval:(display:Off,pause:!f,section:0,value:0),time:(from:'2017-05-20T11:47:53-0600',mode:absolute,to:'2017-05-20T14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53" s="89" t="str">
        <f t="shared" si="11"/>
        <v>"C:\Program Files (x86)\AstroGrep\AstroGrep.exe" /e /r /s /spath="%USERPROFILE%\AppData\Local\Temp\OnboardLogs" /stypes="*4055*201705201*" /stext=" 19:.+((SYSTEM_STATE.+slice.+state.+changed )|(ment ac)|(multiple cpu faults)|(system.+state.+changed )|(\[timeout)|(PRM\|1\|D)|(kpr)|(kdp)|(train st.+moving)|(\|lc)|(penalty))"</v>
      </c>
      <c r="U53" s="9" t="str">
        <f t="shared" si="12"/>
        <v>4055</v>
      </c>
      <c r="V53" s="31">
        <f t="shared" si="13"/>
        <v>42875.817395833335</v>
      </c>
      <c r="W53" s="45" t="str">
        <f t="shared" si="14"/>
        <v>EC</v>
      </c>
      <c r="X53" s="45" t="str">
        <f t="shared" si="15"/>
        <v>KEEP</v>
      </c>
      <c r="Y53" s="99" t="str">
        <f t="shared" si="16"/>
        <v>echo {"issue":{"subject":"","project_id":79,"tracker_id":40,"status_id":1,"priority_id":2,"assigned_to_id":23,"start_date":"2017-05-20","description":"","custom_fields":[{"id":1,"name":"Subdivision","value":"EC"},{"id":4,"name":"Milepost","value":"0.0001"},{"id":17,"name":"Train ID","value":"168-20"},{"id":16,"name":"Locomotive ID","value":"4055"},{"id":130,"name":"Impact","value":""},{"id":150,"name":"Time of Event (Mountain Time)","value":"13:37:03"},{"id":151,"name":"Denver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62"/>
      <c r="AA53" s="47"/>
      <c r="AB53" s="47"/>
      <c r="AC53" s="118" t="str">
        <f t="shared" si="17"/>
        <v>grep -hrE -A400 "Enforcement Action" /cygdrive/c/Users/stu/AppData/Local/Temp/OnboardLogs/RTDC4055 --include="*4055*201705201*"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"%USERPROFILE%\AppData\Local\Temp\OnboardLogs"\RTDC4055\*4055*201705201* &gt;&gt; 2017-05-20-SliceDisagreementCheck.txt</v>
      </c>
      <c r="AE53" s="148" t="str">
        <f t="shared" si="9"/>
        <v>start /low /b %USERPROFILE%\Documents\GitHub\eaglep3\Utilities\DownloadLogsFromS3.py --loco 4055 --day 2017-05-20</v>
      </c>
      <c r="AF53" s="1"/>
    </row>
    <row r="54" spans="1:32" x14ac:dyDescent="0.25">
      <c r="A54" s="31">
        <v>42875.567766203705</v>
      </c>
      <c r="B54" s="30" t="s">
        <v>480</v>
      </c>
      <c r="C54" s="30" t="s">
        <v>609</v>
      </c>
      <c r="D54" s="30" t="s">
        <v>49</v>
      </c>
      <c r="E54" s="30" t="s">
        <v>185</v>
      </c>
      <c r="F54" s="42">
        <v>0</v>
      </c>
      <c r="G54" s="42">
        <v>52</v>
      </c>
      <c r="H54" s="42">
        <v>303</v>
      </c>
      <c r="I54" s="42">
        <v>278</v>
      </c>
      <c r="J54" s="30" t="s">
        <v>186</v>
      </c>
      <c r="K54" s="42">
        <v>1</v>
      </c>
      <c r="L54" s="134" t="s">
        <v>51</v>
      </c>
      <c r="M54" s="135">
        <f t="shared" si="10"/>
        <v>146.256</v>
      </c>
      <c r="N54" s="136" t="str">
        <f>VLOOKUP(C54,'Trips&amp;Operators'!$C$1:$G$99999,5,FALSE)</f>
        <v>PERKINS DARREN</v>
      </c>
      <c r="O54" s="207" t="s">
        <v>184</v>
      </c>
      <c r="P54" s="137"/>
      <c r="Q54" s="30"/>
      <c r="R54" s="84" t="str">
        <f>IF(VLOOKUP(C54,'Train Runs'!$A$13:$AE$9922,1,1)=C54,VLOOKUP(C54,'Train Runs'!$A$13:$AE$9922,31,1),NA())</f>
        <v>aws s3 cp s3://rtdc.mdm.uploadarchive.raw/RTDC4055/ "%USERPROFILE%\AppData\Local\Temp\OnboardLogs"\RTDC4055\2017-05-20 --exclude "*" --recursive --include "*20170520*" &amp; "%USERPROFILE%\Documents\GitHub\mrs-test-scripts\Headless Mode &amp; Sideloading\WalkAndUnGZ.bat" "%USERPROFILE%\AppData\Local\Temp\OnboardLogs"\RTDC4055\2017-05-20 &amp; aws s3 cp s3://rtdc.mdm.uploadarchive.raw/RTDC4055/ "%USERPROFILE%\AppData\Local\Temp\OnboardLogs"\RTDC4055\2017-05-21 --exclude "*" --recursive --include "*20170521*" &amp; "%USERPROFILE%\Documents\GitHub\mrs-test-scripts\Headless Mode &amp; Sideloading\WalkAndUnGZ.bat" "%USERPROFILE%\AppData\Local\Temp\OnboardLogs"\RTDC4055\2017-05-21</v>
      </c>
      <c r="S54" s="87" t="str">
        <f>VLOOKUP(C54,'Train Runs'!$A$13:$AE$9922,22,0)</f>
        <v>https://d0f6bd738d7f1b3e5a7ca70fe4ff75f0.us-east-1.aws.found.io/app/kibana#/discover/Steve-Slow-Train-Analysis-(2080s-and-2083s)?_g=(refreshInterval:(display:Off,pause:!f,section:0,value:0),time:(from:'2017-05-20T11:47:53-0600',mode:absolute,to:'2017-05-20T14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54" s="89" t="str">
        <f t="shared" si="11"/>
        <v>"C:\Program Files (x86)\AstroGrep\AstroGrep.exe" /e /r /s /spath="%USERPROFILE%\AppData\Local\Temp\OnboardLogs" /stypes="*4055*201705201*" /stext=" 19:.+((SYSTEM_STATE.+slice.+state.+changed )|(ment ac)|(multiple cpu faults)|(system.+state.+changed )|(\[timeout)|(PRM\|1\|D)|(kpr)|(kdp)|(train st.+moving)|(\|lc)|(penalty))"</v>
      </c>
      <c r="U54" s="9" t="str">
        <f t="shared" si="12"/>
        <v>4055</v>
      </c>
      <c r="V54" s="31">
        <f t="shared" si="13"/>
        <v>42875.817766203705</v>
      </c>
      <c r="W54" s="45" t="str">
        <f t="shared" si="14"/>
        <v>EC</v>
      </c>
      <c r="X54" s="45" t="str">
        <f t="shared" si="15"/>
        <v>KEEP</v>
      </c>
      <c r="Y54" s="99" t="str">
        <f t="shared" si="16"/>
        <v>echo {"issue":{"subject":"","project_id":79,"tracker_id":40,"status_id":1,"priority_id":2,"assigned_to_id":23,"start_date":"2017-05-20","description":"","custom_fields":[{"id":1,"name":"Subdivision","value":"EC"},{"id":4,"name":"Milepost","value":"0.0001"},{"id":17,"name":"Train ID","value":"168-20"},{"id":16,"name":"Locomotive ID","value":"4055"},{"id":130,"name":"Impact","value":""},{"id":150,"name":"Time of Event (Mountain Time)","value":"13:37:35"},{"id":151,"name":"Denver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62"/>
      <c r="AA54" s="47"/>
      <c r="AB54" s="47"/>
      <c r="AC54" s="118" t="str">
        <f t="shared" si="17"/>
        <v>grep -hrE -A400 "Enforcement Action" /cygdrive/c/Users/stu/AppData/Local/Temp/OnboardLogs/RTDC4055 --include="*4055*201705201*"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"%USERPROFILE%\AppData\Local\Temp\OnboardLogs"\RTDC4055\*4055*201705201* &gt;&gt; 2017-05-20-SliceDisagreementCheck.txt</v>
      </c>
      <c r="AE54" s="148" t="str">
        <f t="shared" si="9"/>
        <v>start /low /b %USERPROFILE%\Documents\GitHub\eaglep3\Utilities\DownloadLogsFromS3.py --loco 4055 --day 2017-05-20</v>
      </c>
      <c r="AF54" s="1"/>
    </row>
    <row r="55" spans="1:32" x14ac:dyDescent="0.25">
      <c r="A55" s="31">
        <v>42875.721875000003</v>
      </c>
      <c r="B55" s="30" t="s">
        <v>436</v>
      </c>
      <c r="C55" s="30" t="s">
        <v>618</v>
      </c>
      <c r="D55" s="30" t="s">
        <v>49</v>
      </c>
      <c r="E55" s="30" t="s">
        <v>185</v>
      </c>
      <c r="F55" s="42">
        <v>0</v>
      </c>
      <c r="G55" s="42">
        <v>141</v>
      </c>
      <c r="H55" s="42">
        <v>677</v>
      </c>
      <c r="I55" s="42">
        <v>513</v>
      </c>
      <c r="J55" s="30" t="s">
        <v>186</v>
      </c>
      <c r="K55" s="42">
        <v>1</v>
      </c>
      <c r="L55" s="134" t="s">
        <v>51</v>
      </c>
      <c r="M55" s="135">
        <f t="shared" si="10"/>
        <v>270.33600000000001</v>
      </c>
      <c r="N55" s="136" t="str">
        <f>VLOOKUP(C55,'Trips&amp;Operators'!$C$1:$G$99999,5,FALSE)</f>
        <v>ROMERO CHAD</v>
      </c>
      <c r="O55" s="207" t="s">
        <v>184</v>
      </c>
      <c r="P55" s="137"/>
      <c r="Q55" s="30"/>
      <c r="R55" s="84" t="e">
        <f>IF(VLOOKUP(C55,'Train Runs'!$A$13:$AE$9922,1,1)=C55,VLOOKUP(C55,'Train Runs'!$A$13:$AE$9922,31,1),NA())</f>
        <v>#N/A</v>
      </c>
      <c r="S55" s="87" t="str">
        <f>VLOOKUP(C55,'Train Runs'!$A$13:$AE$9922,22,0)</f>
        <v>https://d0f6bd738d7f1b3e5a7ca70fe4ff75f0.us-east-1.aws.found.io/app/kibana#/discover/Steve-Slow-Train-Analysis-(2080s-and-2083s)?_g=(refreshInterval:(display:Off,pause:!f,section:0,value:0),time:(from:'2017-05-20T15:22:15-0600',mode:absolute,to:'2017-05-20T18:19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55" s="89" t="str">
        <f t="shared" si="11"/>
        <v>"C:\Program Files (x86)\AstroGrep\AstroGrep.exe" /e /r /s /spath="%USERPROFILE%\AppData\Local\Temp\OnboardLogs" /stypes="*4007*201705202*" /stext=" 23:.+((SYSTEM_STATE.+slice.+state.+changed )|(ment ac)|(multiple cpu faults)|(system.+state.+changed )|(\[timeout)|(PRM\|1\|D)|(kpr)|(kdp)|(train st.+moving)|(\|lc)|(penalty))"</v>
      </c>
      <c r="U55" s="9" t="str">
        <f t="shared" si="12"/>
        <v>4007</v>
      </c>
      <c r="V55" s="31">
        <f t="shared" si="13"/>
        <v>42875.971875000003</v>
      </c>
      <c r="W55" s="45" t="str">
        <f t="shared" si="14"/>
        <v>EC</v>
      </c>
      <c r="X55" s="45" t="str">
        <f t="shared" si="15"/>
        <v>KEEP</v>
      </c>
      <c r="Y55" s="99" t="str">
        <f t="shared" si="16"/>
        <v>echo {"issue":{"subject":"","project_id":79,"tracker_id":40,"status_id":1,"priority_id":2,"assigned_to_id":23,"start_date":"2017-05-20","description":"","custom_fields":[{"id":1,"name":"Subdivision","value":"EC"},{"id":4,"name":"Milepost","value":"0.0001"},{"id":17,"name":"Train ID","value":"198-20"},{"id":16,"name":"Locomotive ID","value":"4007"},{"id":130,"name":"Impact","value":""},{"id":150,"name":"Time of Event (Mountain Time)","value":"17:19:30"},{"id":151,"name":"Denver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62"/>
      <c r="AA55" s="47"/>
      <c r="AB55" s="47"/>
      <c r="AC55" s="118" t="str">
        <f t="shared" si="17"/>
        <v>grep -hrE -A400 "Enforcement Action" /cygdrive/c/Users/stu/AppData/Local/Temp/OnboardLogs/RTDC4007 --include="*4007*201705202*"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"%USERPROFILE%\AppData\Local\Temp\OnboardLogs"\RTDC4007\*4007*201705202* &gt;&gt; 2017-05-20-SliceDisagreementCheck.txt</v>
      </c>
      <c r="AE55" s="148" t="str">
        <f t="shared" si="9"/>
        <v>start /low /b %USERPROFILE%\Documents\GitHub\eaglep3\Utilities\DownloadLogsFromS3.py --loco 4007 --day 2017-05-20</v>
      </c>
      <c r="AF55" s="1"/>
    </row>
    <row r="56" spans="1:32" x14ac:dyDescent="0.25">
      <c r="A56" s="31">
        <v>42875.899317129632</v>
      </c>
      <c r="B56" s="30" t="s">
        <v>446</v>
      </c>
      <c r="C56" s="30" t="s">
        <v>635</v>
      </c>
      <c r="D56" s="30" t="s">
        <v>49</v>
      </c>
      <c r="E56" s="30" t="s">
        <v>185</v>
      </c>
      <c r="F56" s="42">
        <v>0</v>
      </c>
      <c r="G56" s="42">
        <v>25</v>
      </c>
      <c r="H56" s="42">
        <v>47</v>
      </c>
      <c r="I56" s="42">
        <v>25</v>
      </c>
      <c r="J56" s="30" t="s">
        <v>186</v>
      </c>
      <c r="K56" s="42">
        <v>1</v>
      </c>
      <c r="L56" s="134" t="s">
        <v>51</v>
      </c>
      <c r="M56" s="135">
        <f t="shared" si="10"/>
        <v>12.672000000000001</v>
      </c>
      <c r="N56" s="136" t="str">
        <f>VLOOKUP(C56,'Trips&amp;Operators'!$C$1:$G$99999,5,FALSE)</f>
        <v>STAMBAUGH JAMES</v>
      </c>
      <c r="O56" s="207" t="s">
        <v>184</v>
      </c>
      <c r="P56" s="137"/>
      <c r="Q56" s="30"/>
      <c r="R56" s="84" t="e">
        <f>IF(VLOOKUP(C56,'Train Runs'!$A$13:$AE$9922,1,1)=C56,VLOOKUP(C56,'Train Runs'!$A$13:$AE$9922,31,1),NA())</f>
        <v>#N/A</v>
      </c>
      <c r="S56" s="87" t="str">
        <f>VLOOKUP(C56,'Train Runs'!$A$13:$AE$9922,22,0)</f>
        <v>https://d0f6bd738d7f1b3e5a7ca70fe4ff75f0.us-east-1.aws.found.io/app/kibana#/discover/Steve-Slow-Train-Analysis-(2080s-and-2083s)?_g=(refreshInterval:(display:Off,pause:!f,section:0,value:0),time:(from:'2017-05-20T19:48:47-0600',mode:absolute,to:'2017-05-20T22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56" s="89" t="str">
        <f t="shared" si="11"/>
        <v>"C:\Program Files (x86)\AstroGrep\AstroGrep.exe" /e /r /s /spath="%USERPROFILE%\AppData\Local\Temp\OnboardLogs" /stypes="*4011*201705210*" /stext=" 03:.+((SYSTEM_STATE.+slice.+state.+changed )|(ment ac)|(multiple cpu faults)|(system.+state.+changed )|(\[timeout)|(PRM\|1\|D)|(kpr)|(kdp)|(train st.+moving)|(\|lc)|(penalty))"</v>
      </c>
      <c r="U56" s="9" t="str">
        <f t="shared" si="12"/>
        <v>4011</v>
      </c>
      <c r="V56" s="31">
        <f t="shared" si="13"/>
        <v>42876.149317129632</v>
      </c>
      <c r="W56" s="45" t="str">
        <f t="shared" si="14"/>
        <v>EC</v>
      </c>
      <c r="X56" s="45" t="str">
        <f t="shared" si="15"/>
        <v>KEEP</v>
      </c>
      <c r="Y56" s="99" t="str">
        <f t="shared" si="16"/>
        <v>echo {"issue":{"subject":"","project_id":79,"tracker_id":40,"status_id":1,"priority_id":2,"assigned_to_id":23,"start_date":"2017-05-20","description":"","custom_fields":[{"id":1,"name":"Subdivision","value":"EC"},{"id":4,"name":"Milepost","value":"0.0001"},{"id":17,"name":"Train ID","value":"226-20"},{"id":16,"name":"Locomotive ID","value":"4011"},{"id":130,"name":"Impact","value":""},{"id":150,"name":"Time of Event (Mountain Time)","value":"21:35:01"},{"id":151,"name":"Denver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62"/>
      <c r="AA56" s="47"/>
      <c r="AB56" s="47"/>
      <c r="AC56" s="118" t="str">
        <f t="shared" si="17"/>
        <v>grep -hrE -A400 "Enforcement Action" /cygdrive/c/Users/stu/AppData/Local/Temp/OnboardLogs/RTDC4011 --include="*4011*201705210*"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"%USERPROFILE%\AppData\Local\Temp\OnboardLogs"\RTDC4011\*4011*201705210* &gt;&gt; 2017-05-20-SliceDisagreementCheck.txt</v>
      </c>
      <c r="AE56" s="148" t="str">
        <f t="shared" si="9"/>
        <v>start /low /b %USERPROFILE%\Documents\GitHub\eaglep3\Utilities\DownloadLogsFromS3.py --loco 4011 --day 2017-05-21</v>
      </c>
      <c r="AF56" s="1"/>
    </row>
    <row r="57" spans="1:32" x14ac:dyDescent="0.25">
      <c r="A57" s="31">
        <v>42875.275127314817</v>
      </c>
      <c r="B57" s="30" t="s">
        <v>445</v>
      </c>
      <c r="C57" s="30" t="s">
        <v>590</v>
      </c>
      <c r="D57" s="30" t="s">
        <v>49</v>
      </c>
      <c r="E57" s="30" t="s">
        <v>185</v>
      </c>
      <c r="F57" s="42">
        <v>0</v>
      </c>
      <c r="G57" s="42">
        <v>38</v>
      </c>
      <c r="H57" s="42">
        <v>233357</v>
      </c>
      <c r="I57" s="42">
        <v>233385</v>
      </c>
      <c r="J57" s="30" t="s">
        <v>186</v>
      </c>
      <c r="K57" s="42">
        <v>233491</v>
      </c>
      <c r="L57" s="134" t="s">
        <v>50</v>
      </c>
      <c r="M57" s="135">
        <f t="shared" si="10"/>
        <v>55.968000000000004</v>
      </c>
      <c r="N57" s="136" t="str">
        <f>VLOOKUP(C57,'Trips&amp;Operators'!$C$1:$G$99999,5,FALSE)</f>
        <v>MAELZER KURT</v>
      </c>
      <c r="O57" s="207" t="s">
        <v>184</v>
      </c>
      <c r="P57" s="137"/>
      <c r="Q57" s="30"/>
      <c r="R57" s="84" t="str">
        <f>IF(VLOOKUP(C57,'Train Runs'!$A$13:$AE$9922,1,1)=C57,VLOOKUP(C57,'Train Runs'!$A$13:$AE$9922,31,1),NA())</f>
        <v>aws s3 cp s3://rtdc.mdm.uploadarchive.raw/RTDC4012/ "%USERPROFILE%\AppData\Local\Temp\OnboardLogs"\RTDC4012\2017-05-20 --exclude "*" --recursive --include "*20170520*" &amp; "%USERPROFILE%\Documents\GitHub\mrs-test-scripts\Headless Mode &amp; Sideloading\WalkAndUnGZ.bat" "%USERPROFILE%\AppData\Local\Temp\OnboardLogs"\RTDC4012\2017-05-20 &amp; aws s3 cp s3://rtdc.mdm.uploadarchive.raw/RTDC4012/ "%USERPROFILE%\AppData\Local\Temp\OnboardLogs"\RTDC4012\2017-05-21 --exclude "*" --recursive --include "*20170521*" &amp; "%USERPROFILE%\Documents\GitHub\mrs-test-scripts\Headless Mode &amp; Sideloading\WalkAndUnGZ.bat" "%USERPROFILE%\AppData\Local\Temp\OnboardLogs"\RTDC4012\2017-05-21</v>
      </c>
      <c r="S57" s="87" t="str">
        <f>VLOOKUP(C57,'Train Runs'!$A$13:$AE$9922,22,0)</f>
        <v>https://d0f6bd738d7f1b3e5a7ca70fe4ff75f0.us-east-1.aws.found.io/app/kibana#/discover/Steve-Slow-Train-Analysis-(2080s-and-2083s)?_g=(refreshInterval:(display:Off,pause:!f,section:0,value:0),time:(from:'2017-05-20T04:55:52-0600',mode:absolute,to:'2017-05-20T07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57" s="89" t="str">
        <f t="shared" si="11"/>
        <v>"C:\Program Files (x86)\AstroGrep\AstroGrep.exe" /e /r /s /spath="%USERPROFILE%\AppData\Local\Temp\OnboardLogs" /stypes="*4012*201705201*" /stext=" 12:.+((SYSTEM_STATE.+slice.+state.+changed )|(ment ac)|(multiple cpu faults)|(system.+state.+changed )|(\[timeout)|(PRM\|1\|D)|(kpr)|(kdp)|(train st.+moving)|(\|lc)|(penalty))"</v>
      </c>
      <c r="U57" s="9" t="str">
        <f t="shared" si="12"/>
        <v>4012</v>
      </c>
      <c r="V57" s="31">
        <f t="shared" si="13"/>
        <v>42875.525127314817</v>
      </c>
      <c r="W57" s="45" t="str">
        <f t="shared" si="14"/>
        <v>EC</v>
      </c>
      <c r="X57" s="45" t="str">
        <f t="shared" si="15"/>
        <v>KEEP</v>
      </c>
      <c r="Y57" s="99" t="str">
        <f t="shared" si="16"/>
        <v>echo {"issue":{"subject":"","project_id":79,"tracker_id":40,"status_id":1,"priority_id":2,"assigned_to_id":23,"start_date":"2017-05-20","description":"","custom_fields":[{"id":1,"name":"Subdivision","value":"EC"},{"id":4,"name":"Milepost","value":"23.3491"},{"id":17,"name":"Train ID","value":"119-20"},{"id":16,"name":"Locomotive ID","value":"4012"},{"id":130,"name":"Impact","value":""},{"id":150,"name":"Time of Event (Mountain Time)","value":"06:36:11"},{"id":151,"name":"Denver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162"/>
      <c r="AA57" s="47"/>
      <c r="AB57" s="47"/>
      <c r="AC57" s="118" t="str">
        <f t="shared" si="17"/>
        <v>grep -hrE -A400 "Enforcement Action" /cygdrive/c/Users/stu/AppData/Local/Temp/OnboardLogs/RTDC4012 --include="*4012*201705201*" | grep -E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"%USERPROFILE%\AppData\Local\Temp\OnboardLogs"\RTDC4012\*4012*201705201* &gt;&gt; 2017-05-20-SliceDisagreementCheck.txt</v>
      </c>
      <c r="AE57" s="148" t="str">
        <f t="shared" si="9"/>
        <v>start /low /b %USERPROFILE%\Documents\GitHub\eaglep3\Utilities\DownloadLogsFromS3.py --loco 4012 --day 2017-05-20</v>
      </c>
      <c r="AF57" s="1"/>
    </row>
    <row r="58" spans="1:32" x14ac:dyDescent="0.25">
      <c r="A58" s="31">
        <v>42875.526087962964</v>
      </c>
      <c r="B58" s="30" t="s">
        <v>479</v>
      </c>
      <c r="C58" s="30" t="s">
        <v>606</v>
      </c>
      <c r="D58" s="30" t="s">
        <v>49</v>
      </c>
      <c r="E58" s="30" t="s">
        <v>185</v>
      </c>
      <c r="F58" s="42">
        <v>0</v>
      </c>
      <c r="G58" s="42">
        <v>102</v>
      </c>
      <c r="H58" s="42">
        <v>233100</v>
      </c>
      <c r="I58" s="42">
        <v>233240</v>
      </c>
      <c r="J58" s="30" t="s">
        <v>186</v>
      </c>
      <c r="K58" s="42">
        <v>233491</v>
      </c>
      <c r="L58" s="134" t="s">
        <v>50</v>
      </c>
      <c r="M58" s="135">
        <f t="shared" si="10"/>
        <v>132.52799999999999</v>
      </c>
      <c r="N58" s="136" t="str">
        <f>VLOOKUP(C58,'Trips&amp;Operators'!$C$1:$G$99999,5,FALSE)</f>
        <v>PERKINS DARREN</v>
      </c>
      <c r="O58" s="207" t="s">
        <v>184</v>
      </c>
      <c r="P58" s="137"/>
      <c r="Q58" s="30"/>
      <c r="R58" s="84" t="str">
        <f>IF(VLOOKUP(C58,'Train Runs'!$A$13:$AE$9922,1,1)=C58,VLOOKUP(C58,'Train Runs'!$A$13:$AE$9922,31,1),NA())</f>
        <v>aws s3 cp s3://rtdc.mdm.uploadarchive.raw/RTDC4056/ "%USERPROFILE%\AppData\Local\Temp\OnboardLogs"\RTDC4056\2017-05-20 --exclude "*" --recursive --include "*20170520*" &amp; "%USERPROFILE%\Documents\GitHub\mrs-test-scripts\Headless Mode &amp; Sideloading\WalkAndUnGZ.bat" "%USERPROFILE%\AppData\Local\Temp\OnboardLogs"\RTDC4056\2017-05-20 &amp; aws s3 cp s3://rtdc.mdm.uploadarchive.raw/RTDC4056/ "%USERPROFILE%\AppData\Local\Temp\OnboardLogs"\RTDC4056\2017-05-21 --exclude "*" --recursive --include "*20170521*" &amp; "%USERPROFILE%\Documents\GitHub\mrs-test-scripts\Headless Mode &amp; Sideloading\WalkAndUnGZ.bat" "%USERPROFILE%\AppData\Local\Temp\OnboardLogs"\RTDC4056\2017-05-21</v>
      </c>
      <c r="S58" s="87" t="str">
        <f>VLOOKUP(C58,'Train Runs'!$A$13:$AE$9922,22,0)</f>
        <v>https://d0f6bd738d7f1b3e5a7ca70fe4ff75f0.us-east-1.aws.found.io/app/kibana#/discover/Steve-Slow-Train-Analysis-(2080s-and-2083s)?_g=(refreshInterval:(display:Off,pause:!f,section:0,value:0),time:(from:'2017-05-20T10:53:09-0600',mode:absolute,to:'2017-05-20T13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58" s="89" t="str">
        <f t="shared" si="11"/>
        <v>"C:\Program Files (x86)\AstroGrep\AstroGrep.exe" /e /r /s /spath="%USERPROFILE%\AppData\Local\Temp\OnboardLogs" /stypes="*4056*201705201*" /stext=" 18:.+((SYSTEM_STATE.+slice.+state.+changed )|(ment ac)|(multiple cpu faults)|(system.+state.+changed )|(\[timeout)|(PRM\|1\|D)|(kpr)|(kdp)|(train st.+moving)|(\|lc)|(penalty))"</v>
      </c>
      <c r="U58" s="9" t="str">
        <f t="shared" si="12"/>
        <v>4056</v>
      </c>
      <c r="V58" s="31">
        <f t="shared" si="13"/>
        <v>42875.776087962964</v>
      </c>
      <c r="W58" s="45" t="str">
        <f t="shared" si="14"/>
        <v>EC</v>
      </c>
      <c r="X58" s="45" t="str">
        <f t="shared" si="15"/>
        <v>KEEP</v>
      </c>
      <c r="Y58" s="99" t="str">
        <f t="shared" si="16"/>
        <v>echo {"issue":{"subject":"","project_id":79,"tracker_id":40,"status_id":1,"priority_id":2,"assigned_to_id":23,"start_date":"2017-05-20","description":"","custom_fields":[{"id":1,"name":"Subdivision","value":"EC"},{"id":4,"name":"Milepost","value":"23.3491"},{"id":17,"name":"Train ID","value":"167-20"},{"id":16,"name":"Locomotive ID","value":"4056"},{"id":130,"name":"Impact","value":""},{"id":150,"name":"Time of Event (Mountain Time)","value":"12:37:34"},{"id":151,"name":"Denver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162"/>
      <c r="AA58" s="47"/>
      <c r="AB58" s="47"/>
      <c r="AC58" s="118" t="str">
        <f t="shared" si="17"/>
        <v>grep -hrE -A400 "Enforcement Action" /cygdrive/c/Users/stu/AppData/Local/Temp/OnboardLogs/RTDC4056 --include="*4056*201705201*" | grep -E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"%USERPROFILE%\AppData\Local\Temp\OnboardLogs"\RTDC4056\*4056*201705201* &gt;&gt; 2017-05-20-SliceDisagreementCheck.txt</v>
      </c>
      <c r="AE58" s="148" t="str">
        <f t="shared" si="9"/>
        <v>start /low /b %USERPROFILE%\Documents\GitHub\eaglep3\Utilities\DownloadLogsFromS3.py --loco 4056 --day 2017-05-20</v>
      </c>
      <c r="AF58" s="1"/>
    </row>
    <row r="59" spans="1:32" x14ac:dyDescent="0.25">
      <c r="A59" s="31">
        <v>42875.799710648149</v>
      </c>
      <c r="B59" s="30" t="s">
        <v>345</v>
      </c>
      <c r="C59" s="30" t="s">
        <v>630</v>
      </c>
      <c r="D59" s="30" t="s">
        <v>49</v>
      </c>
      <c r="E59" s="30" t="s">
        <v>185</v>
      </c>
      <c r="F59" s="42">
        <v>0</v>
      </c>
      <c r="G59" s="42">
        <v>155</v>
      </c>
      <c r="H59" s="42">
        <v>232942</v>
      </c>
      <c r="I59" s="42">
        <v>233121</v>
      </c>
      <c r="J59" s="30" t="s">
        <v>186</v>
      </c>
      <c r="K59" s="42">
        <v>233491</v>
      </c>
      <c r="L59" s="134" t="s">
        <v>50</v>
      </c>
      <c r="M59" s="135">
        <f t="shared" si="10"/>
        <v>195.36</v>
      </c>
      <c r="N59" s="136" t="str">
        <f>VLOOKUP(C59,'Trips&amp;Operators'!$C$1:$G$99999,5,FALSE)</f>
        <v>SWANSON BRYCE</v>
      </c>
      <c r="O59" s="207" t="s">
        <v>184</v>
      </c>
      <c r="P59" s="137"/>
      <c r="Q59" s="30"/>
      <c r="R59" s="84" t="e">
        <f>IF(VLOOKUP(C59,'Train Runs'!$A$13:$AE$9922,1,1)=C59,VLOOKUP(C59,'Train Runs'!$A$13:$AE$9922,31,1),NA())</f>
        <v>#N/A</v>
      </c>
      <c r="S59" s="87" t="str">
        <f>VLOOKUP(C59,'Train Runs'!$A$13:$AE$9922,22,0)</f>
        <v>https://d0f6bd738d7f1b3e5a7ca70fe4ff75f0.us-east-1.aws.found.io/app/kibana#/discover/Steve-Slow-Train-Analysis-(2080s-and-2083s)?_g=(refreshInterval:(display:Off,pause:!f,section:0,value:0),time:(from:'2017-05-20T17:27:56-0600',mode:absolute,to:'2017-05-20T20:12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59" s="89" t="str">
        <f t="shared" si="11"/>
        <v>"C:\Program Files (x86)\AstroGrep\AstroGrep.exe" /e /r /s /spath="%USERPROFILE%\AppData\Local\Temp\OnboardLogs" /stypes="*4022*201705210*" /stext=" 01:.+((SYSTEM_STATE.+slice.+state.+changed )|(ment ac)|(multiple cpu faults)|(system.+state.+changed )|(\[timeout)|(PRM\|1\|D)|(kpr)|(kdp)|(train st.+moving)|(\|lc)|(penalty))"</v>
      </c>
      <c r="U59" s="9" t="str">
        <f t="shared" si="12"/>
        <v>4022</v>
      </c>
      <c r="V59" s="31">
        <f t="shared" si="13"/>
        <v>42876.049710648149</v>
      </c>
      <c r="W59" s="45" t="str">
        <f t="shared" si="14"/>
        <v>EC</v>
      </c>
      <c r="X59" s="45" t="str">
        <f t="shared" si="15"/>
        <v>KEEP</v>
      </c>
      <c r="Y59" s="99" t="str">
        <f t="shared" si="16"/>
        <v>echo {"issue":{"subject":"","project_id":79,"tracker_id":40,"status_id":1,"priority_id":2,"assigned_to_id":23,"start_date":"2017-05-20","description":"","custom_fields":[{"id":1,"name":"Subdivision","value":"EC"},{"id":4,"name":"Milepost","value":"23.3491"},{"id":17,"name":"Train ID","value":"219-20"},{"id":16,"name":"Locomotive ID","value":"4022"},{"id":130,"name":"Impact","value":""},{"id":150,"name":"Time of Event (Mountain Time)","value":"19:11:35"},{"id":151,"name":"Denver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162"/>
      <c r="AA59" s="47"/>
      <c r="AB59" s="47"/>
      <c r="AC59" s="118" t="str">
        <f t="shared" si="17"/>
        <v>grep -hrE -A400 "Enforcement Action" /cygdrive/c/Users/stu/AppData/Local/Temp/OnboardLogs/RTDC4022 --include="*4022*201705210*" | grep -E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"%USERPROFILE%\AppData\Local\Temp\OnboardLogs"\RTDC4022\*4022*201705210* &gt;&gt; 2017-05-20-SliceDisagreementCheck.txt</v>
      </c>
      <c r="AE59" s="148" t="str">
        <f t="shared" si="9"/>
        <v>start /low /b %USERPROFILE%\Documents\GitHub\eaglep3\Utilities\DownloadLogsFromS3.py --loco 4022 --day 2017-05-21</v>
      </c>
      <c r="AF59" s="1"/>
    </row>
    <row r="60" spans="1:32" x14ac:dyDescent="0.25">
      <c r="A60" s="31">
        <v>42875.880335648151</v>
      </c>
      <c r="B60" s="30" t="s">
        <v>345</v>
      </c>
      <c r="C60" s="30" t="s">
        <v>636</v>
      </c>
      <c r="D60" s="30" t="s">
        <v>49</v>
      </c>
      <c r="E60" s="30" t="s">
        <v>185</v>
      </c>
      <c r="F60" s="42">
        <v>0</v>
      </c>
      <c r="G60" s="42">
        <v>14</v>
      </c>
      <c r="H60" s="42">
        <v>233472</v>
      </c>
      <c r="I60" s="42">
        <v>233465</v>
      </c>
      <c r="J60" s="30" t="s">
        <v>186</v>
      </c>
      <c r="K60" s="42">
        <v>233491</v>
      </c>
      <c r="L60" s="134" t="s">
        <v>50</v>
      </c>
      <c r="M60" s="135">
        <f t="shared" si="10"/>
        <v>13.728</v>
      </c>
      <c r="N60" s="136" t="str">
        <f>VLOOKUP(C60,'Trips&amp;Operators'!$C$1:$G$99999,5,FALSE)</f>
        <v>SWANSON BRYCE</v>
      </c>
      <c r="O60" s="207" t="s">
        <v>184</v>
      </c>
      <c r="P60" s="137"/>
      <c r="Q60" s="30"/>
      <c r="R60" s="84" t="e">
        <f>IF(VLOOKUP(C60,'Train Runs'!$A$13:$AE$9922,1,1)=C60,VLOOKUP(C60,'Train Runs'!$A$13:$AE$9922,31,1),NA())</f>
        <v>#N/A</v>
      </c>
      <c r="S60" s="87" t="str">
        <f>VLOOKUP(C60,'Train Runs'!$A$13:$AE$9922,22,0)</f>
        <v>https://d0f6bd738d7f1b3e5a7ca70fe4ff75f0.us-east-1.aws.found.io/app/kibana#/discover/Steve-Slow-Train-Analysis-(2080s-and-2083s)?_g=(refreshInterval:(display:Off,pause:!f,section:0,value:0),time:(from:'2017-05-20T19:25:12-0600',mode:absolute,to:'2017-05-20T22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60" s="89" t="str">
        <f t="shared" si="11"/>
        <v>"C:\Program Files (x86)\AstroGrep\AstroGrep.exe" /e /r /s /spath="%USERPROFILE%\AppData\Local\Temp\OnboardLogs" /stypes="*4022*201705210*" /stext=" 03:.+((SYSTEM_STATE.+slice.+state.+changed )|(ment ac)|(multiple cpu faults)|(system.+state.+changed )|(\[timeout)|(PRM\|1\|D)|(kpr)|(kdp)|(train st.+moving)|(\|lc)|(penalty))"</v>
      </c>
      <c r="U60" s="9" t="str">
        <f t="shared" si="12"/>
        <v>4022</v>
      </c>
      <c r="V60" s="31">
        <f t="shared" si="13"/>
        <v>42876.130335648151</v>
      </c>
      <c r="W60" s="45" t="str">
        <f t="shared" si="14"/>
        <v>EC</v>
      </c>
      <c r="X60" s="45" t="str">
        <f t="shared" si="15"/>
        <v>KEEP</v>
      </c>
      <c r="Y60" s="99" t="str">
        <f t="shared" si="16"/>
        <v>echo {"issue":{"subject":"","project_id":79,"tracker_id":40,"status_id":1,"priority_id":2,"assigned_to_id":23,"start_date":"2017-05-20","description":"","custom_fields":[{"id":1,"name":"Subdivision","value":"EC"},{"id":4,"name":"Milepost","value":"23.3491"},{"id":17,"name":"Train ID","value":"227-20"},{"id":16,"name":"Locomotive ID","value":"4022"},{"id":130,"name":"Impact","value":""},{"id":150,"name":"Time of Event (Mountain Time)","value":"21:07:41"},{"id":151,"name":"Denver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162"/>
      <c r="AA60" s="47"/>
      <c r="AB60" s="47"/>
      <c r="AC60" s="118" t="str">
        <f t="shared" si="17"/>
        <v>grep -hrE -A400 "Enforcement Action" /cygdrive/c/Users/stu/AppData/Local/Temp/OnboardLogs/RTDC4022 --include="*4022*201705210*" | grep -E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"%USERPROFILE%\AppData\Local\Temp\OnboardLogs"\RTDC4022\*4022*201705210* &gt;&gt; 2017-05-20-SliceDisagreementCheck.txt</v>
      </c>
      <c r="AE60" s="148" t="str">
        <f t="shared" si="9"/>
        <v>start /low /b %USERPROFILE%\Documents\GitHub\eaglep3\Utilities\DownloadLogsFromS3.py --loco 4022 --day 2017-05-21</v>
      </c>
      <c r="AF60" s="1"/>
    </row>
    <row r="61" spans="1:32" x14ac:dyDescent="0.25">
      <c r="A61" s="31">
        <v>42875.943171296298</v>
      </c>
      <c r="B61" s="30" t="s">
        <v>445</v>
      </c>
      <c r="C61" s="30" t="s">
        <v>638</v>
      </c>
      <c r="D61" s="30" t="s">
        <v>49</v>
      </c>
      <c r="E61" s="30" t="s">
        <v>185</v>
      </c>
      <c r="F61" s="42">
        <v>0</v>
      </c>
      <c r="G61" s="42">
        <v>131</v>
      </c>
      <c r="H61" s="42">
        <v>232851</v>
      </c>
      <c r="I61" s="42">
        <v>232985</v>
      </c>
      <c r="J61" s="30" t="s">
        <v>186</v>
      </c>
      <c r="K61" s="42">
        <v>233491</v>
      </c>
      <c r="L61" s="134" t="s">
        <v>50</v>
      </c>
      <c r="M61" s="135">
        <f t="shared" si="10"/>
        <v>267.16800000000001</v>
      </c>
      <c r="N61" s="136" t="str">
        <f>VLOOKUP(C61,'Trips&amp;Operators'!$C$1:$G$99999,5,FALSE)</f>
        <v>STAMBAUGH JAMES</v>
      </c>
      <c r="O61" s="207" t="s">
        <v>184</v>
      </c>
      <c r="P61" s="137"/>
      <c r="Q61" s="30"/>
      <c r="R61" s="84" t="e">
        <f>IF(VLOOKUP(C61,'Train Runs'!$A$13:$AE$9922,1,1)=C61,VLOOKUP(C61,'Train Runs'!$A$13:$AE$9922,31,1),NA())</f>
        <v>#N/A</v>
      </c>
      <c r="S61" s="87" t="str">
        <f>VLOOKUP(C61,'Train Runs'!$A$13:$AE$9922,22,0)</f>
        <v>https://d0f6bd738d7f1b3e5a7ca70fe4ff75f0.us-east-1.aws.found.io/app/kibana#/discover/Steve-Slow-Train-Analysis-(2080s-and-2083s)?_g=(refreshInterval:(display:Off,pause:!f,section:0,value:0),time:(from:'2017-05-20T20:54:05-0600',mode:absolute,to:'2017-05-20T23:38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61" s="89" t="str">
        <f t="shared" si="11"/>
        <v>"C:\Program Files (x86)\AstroGrep\AstroGrep.exe" /e /r /s /spath="%USERPROFILE%\AppData\Local\Temp\OnboardLogs" /stypes="*4012*201705210*" /stext=" 04:.+((SYSTEM_STATE.+slice.+state.+changed )|(ment ac)|(multiple cpu faults)|(system.+state.+changed )|(\[timeout)|(PRM\|1\|D)|(kpr)|(kdp)|(train st.+moving)|(\|lc)|(penalty))"</v>
      </c>
      <c r="U61" s="9" t="str">
        <f t="shared" si="12"/>
        <v>4012</v>
      </c>
      <c r="V61" s="31">
        <f t="shared" si="13"/>
        <v>42876.193171296298</v>
      </c>
      <c r="W61" s="45" t="str">
        <f t="shared" si="14"/>
        <v>EC</v>
      </c>
      <c r="X61" s="45" t="str">
        <f t="shared" si="15"/>
        <v>KEEP</v>
      </c>
      <c r="Y61" s="99" t="str">
        <f t="shared" si="16"/>
        <v>echo {"issue":{"subject":"","project_id":79,"tracker_id":40,"status_id":1,"priority_id":2,"assigned_to_id":23,"start_date":"2017-05-20","description":"","custom_fields":[{"id":1,"name":"Subdivision","value":"EC"},{"id":4,"name":"Milepost","value":"23.3491"},{"id":17,"name":"Train ID","value":"233-20"},{"id":16,"name":"Locomotive ID","value":"4012"},{"id":130,"name":"Impact","value":""},{"id":150,"name":"Time of Event (Mountain Time)","value":"22:38:10"},{"id":151,"name":"Denver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162"/>
      <c r="AA61" s="47"/>
      <c r="AB61" s="47"/>
      <c r="AC61" s="118" t="str">
        <f t="shared" si="17"/>
        <v>grep -hrE -A400 "Enforcement Action" /cygdrive/c/Users/stu/AppData/Local/Temp/OnboardLogs/RTDC4012 --include="*4012*201705210*" | grep -E "((Enforcement Ac)|(PRM))" -</v>
      </c>
      <c r="AD61" s="1" t="str">
        <f>"grep -hSE ""Enforcement Action"" "&amp;search_path&amp;"\RTDC"&amp;U61&amp;"\*"&amp;U61&amp;"*"&amp;TEXT(A61-utc_offset/24,"YYYYMMDD")&amp;LEFT(TEXT(A61-utc_offset/24,"HH"),1)&amp;"* &gt;&gt; "&amp;TEXT(Variables!$A$2,"YYYY-MM-DD")&amp;"-SliceDisagreementCheck.txt"</f>
        <v>grep -hSE "Enforcement Action" "%USERPROFILE%\AppData\Local\Temp\OnboardLogs"\RTDC4012\*4012*201705210* &gt;&gt; 2017-05-20-SliceDisagreementCheck.txt</v>
      </c>
      <c r="AE61" s="148" t="str">
        <f t="shared" si="9"/>
        <v>start /low /b %USERPROFILE%\Documents\GitHub\eaglep3\Utilities\DownloadLogsFromS3.py --loco 4012 --day 2017-05-21</v>
      </c>
      <c r="AF61" s="1"/>
    </row>
    <row r="62" spans="1:32" x14ac:dyDescent="0.25">
      <c r="A62" s="31">
        <v>42875.943773148145</v>
      </c>
      <c r="B62" s="30" t="s">
        <v>445</v>
      </c>
      <c r="C62" s="30" t="s">
        <v>638</v>
      </c>
      <c r="D62" s="30" t="s">
        <v>49</v>
      </c>
      <c r="E62" s="30" t="s">
        <v>185</v>
      </c>
      <c r="F62" s="42">
        <v>0</v>
      </c>
      <c r="G62" s="42">
        <v>51</v>
      </c>
      <c r="H62" s="42">
        <v>233304</v>
      </c>
      <c r="I62" s="42">
        <v>233344</v>
      </c>
      <c r="J62" s="30" t="s">
        <v>186</v>
      </c>
      <c r="K62" s="42">
        <v>233491</v>
      </c>
      <c r="L62" s="134" t="s">
        <v>50</v>
      </c>
      <c r="M62" s="135">
        <f t="shared" si="10"/>
        <v>77.616</v>
      </c>
      <c r="N62" s="136" t="str">
        <f>VLOOKUP(C62,'Trips&amp;Operators'!$C$1:$G$99999,5,FALSE)</f>
        <v>STAMBAUGH JAMES</v>
      </c>
      <c r="O62" s="207" t="s">
        <v>184</v>
      </c>
      <c r="P62" s="137"/>
      <c r="Q62" s="30"/>
      <c r="R62" s="84" t="e">
        <f>IF(VLOOKUP(C62,'Train Runs'!$A$13:$AE$9922,1,1)=C62,VLOOKUP(C62,'Train Runs'!$A$13:$AE$9922,31,1),NA())</f>
        <v>#N/A</v>
      </c>
      <c r="S62" s="87" t="str">
        <f>VLOOKUP(C62,'Train Runs'!$A$13:$AE$9922,22,0)</f>
        <v>https://d0f6bd738d7f1b3e5a7ca70fe4ff75f0.us-east-1.aws.found.io/app/kibana#/discover/Steve-Slow-Train-Analysis-(2080s-and-2083s)?_g=(refreshInterval:(display:Off,pause:!f,section:0,value:0),time:(from:'2017-05-20T20:54:05-0600',mode:absolute,to:'2017-05-20T23:38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62" s="89" t="str">
        <f t="shared" si="11"/>
        <v>"C:\Program Files (x86)\AstroGrep\AstroGrep.exe" /e /r /s /spath="%USERPROFILE%\AppData\Local\Temp\OnboardLogs" /stypes="*4012*201705210*" /stext=" 04:.+((SYSTEM_STATE.+slice.+state.+changed )|(ment ac)|(multiple cpu faults)|(system.+state.+changed )|(\[timeout)|(PRM\|1\|D)|(kpr)|(kdp)|(train st.+moving)|(\|lc)|(penalty))"</v>
      </c>
      <c r="U62" s="9" t="str">
        <f t="shared" si="12"/>
        <v>4012</v>
      </c>
      <c r="V62" s="31">
        <f t="shared" si="13"/>
        <v>42876.193773148145</v>
      </c>
      <c r="W62" s="45" t="str">
        <f t="shared" si="14"/>
        <v>EC</v>
      </c>
      <c r="X62" s="45" t="str">
        <f t="shared" si="15"/>
        <v>KEEP</v>
      </c>
      <c r="Y62" s="99" t="str">
        <f t="shared" si="16"/>
        <v>echo {"issue":{"subject":"","project_id":79,"tracker_id":40,"status_id":1,"priority_id":2,"assigned_to_id":23,"start_date":"2017-05-20","description":"","custom_fields":[{"id":1,"name":"Subdivision","value":"EC"},{"id":4,"name":"Milepost","value":"23.3491"},{"id":17,"name":"Train ID","value":"233-20"},{"id":16,"name":"Locomotive ID","value":"4012"},{"id":130,"name":"Impact","value":""},{"id":150,"name":"Time of Event (Mountain Time)","value":"22:39:02"},{"id":151,"name":"Denver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162"/>
      <c r="AA62" s="47"/>
      <c r="AB62" s="47"/>
      <c r="AC62" s="118" t="str">
        <f t="shared" si="17"/>
        <v>grep -hrE -A400 "Enforcement Action" /cygdrive/c/Users/stu/AppData/Local/Temp/OnboardLogs/RTDC4012 --include="*4012*201705210*" | grep -E "((Enforcement Ac)|(PRM))" -</v>
      </c>
      <c r="AD62" s="1" t="str">
        <f>"grep -hSE ""Enforcement Action"" "&amp;search_path&amp;"\RTDC"&amp;U62&amp;"\*"&amp;U62&amp;"*"&amp;TEXT(A62-utc_offset/24,"YYYYMMDD")&amp;LEFT(TEXT(A62-utc_offset/24,"HH"),1)&amp;"* &gt;&gt; "&amp;TEXT(Variables!$A$2,"YYYY-MM-DD")&amp;"-SliceDisagreementCheck.txt"</f>
        <v>grep -hSE "Enforcement Action" "%USERPROFILE%\AppData\Local\Temp\OnboardLogs"\RTDC4012\*4012*201705210* &gt;&gt; 2017-05-20-SliceDisagreementCheck.txt</v>
      </c>
      <c r="AE62" s="148" t="str">
        <f t="shared" si="9"/>
        <v>start /low /b %USERPROFILE%\Documents\GitHub\eaglep3\Utilities\DownloadLogsFromS3.py --loco 4012 --day 2017-05-21</v>
      </c>
      <c r="AF62" s="1"/>
    </row>
    <row r="63" spans="1:32" x14ac:dyDescent="0.25">
      <c r="A63" s="31">
        <v>42876.067337962966</v>
      </c>
      <c r="B63" s="30" t="s">
        <v>387</v>
      </c>
      <c r="C63" s="30" t="s">
        <v>644</v>
      </c>
      <c r="D63" s="30" t="s">
        <v>49</v>
      </c>
      <c r="E63" s="30" t="s">
        <v>185</v>
      </c>
      <c r="F63" s="42">
        <v>0</v>
      </c>
      <c r="G63" s="42">
        <v>46</v>
      </c>
      <c r="H63" s="42">
        <v>233346</v>
      </c>
      <c r="I63" s="42">
        <v>233372</v>
      </c>
      <c r="J63" s="30" t="s">
        <v>186</v>
      </c>
      <c r="K63" s="42">
        <v>233491</v>
      </c>
      <c r="L63" s="134" t="s">
        <v>50</v>
      </c>
      <c r="M63" s="135">
        <f t="shared" si="10"/>
        <v>62.832000000000001</v>
      </c>
      <c r="N63" s="136" t="str">
        <f>VLOOKUP(C63,'Trips&amp;Operators'!$C$1:$G$99999,5,FALSE)</f>
        <v>BROWN JACOB</v>
      </c>
      <c r="O63" s="207" t="s">
        <v>184</v>
      </c>
      <c r="P63" s="137"/>
      <c r="Q63" s="30"/>
      <c r="R63" s="84" t="e">
        <f>IF(VLOOKUP(C63,'Train Runs'!$A$13:$AE$9922,1,1)=C63,VLOOKUP(C63,'Train Runs'!$A$13:$AE$9922,31,1),NA())</f>
        <v>#N/A</v>
      </c>
      <c r="S63" s="87" t="str">
        <f>VLOOKUP(C63,'Train Runs'!$A$13:$AE$9922,22,0)</f>
        <v>https://d0f6bd738d7f1b3e5a7ca70fe4ff75f0.us-east-1.aws.found.io/app/kibana#/discover/Steve-Slow-Train-Analysis-(2080s-and-2083s)?_g=(refreshInterval:(display:Off,pause:!f,section:0,value:0),time:(from:'2017-05-20T23:53:42-0600',mode:absolute,to:'2017-05-21T02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63" s="89" t="str">
        <f t="shared" si="11"/>
        <v>"C:\Program Files (x86)\AstroGrep\AstroGrep.exe" /e /r /s /spath="%USERPROFILE%\AppData\Local\Temp\OnboardLogs" /stypes="*4014*201705210*" /stext=" 07:.+((SYSTEM_STATE.+slice.+state.+changed )|(ment ac)|(multiple cpu faults)|(system.+state.+changed )|(\[timeout)|(PRM\|1\|D)|(kpr)|(kdp)|(train st.+moving)|(\|lc)|(penalty))"</v>
      </c>
      <c r="U63" s="9" t="str">
        <f t="shared" si="12"/>
        <v>4014</v>
      </c>
      <c r="V63" s="31">
        <f t="shared" si="13"/>
        <v>42876.317337962966</v>
      </c>
      <c r="W63" s="45" t="str">
        <f t="shared" si="14"/>
        <v>EC</v>
      </c>
      <c r="X63" s="45" t="str">
        <f t="shared" si="15"/>
        <v>KEEP</v>
      </c>
      <c r="Y63" s="99" t="str">
        <f t="shared" si="16"/>
        <v>echo {"issue":{"subject":"","project_id":79,"tracker_id":40,"status_id":1,"priority_id":2,"assigned_to_id":23,"start_date":"2017-05-21","description":"","custom_fields":[{"id":1,"name":"Subdivision","value":"EC"},{"id":4,"name":"Milepost","value":"23.3491"},{"id":17,"name":"Train ID","value":"245-20"},{"id":16,"name":"Locomotive ID","value":"4014"},{"id":130,"name":"Impact","value":""},{"id":150,"name":"Time of Event (Mountain Time)","value":"01:36:58"},{"id":151,"name":"Denver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162"/>
      <c r="AA63" s="47"/>
      <c r="AB63" s="47"/>
      <c r="AC63" s="118" t="str">
        <f t="shared" si="17"/>
        <v>grep -hrE -A400 "Enforcement Action" /cygdrive/c/Users/stu/AppData/Local/Temp/OnboardLogs/RTDC4014 --include="*4014*201705210*" | grep -E "((Enforcement Ac)|(PRM))" -</v>
      </c>
      <c r="AD63" s="1" t="str">
        <f>"grep -hSE ""Enforcement Action"" "&amp;search_path&amp;"\RTDC"&amp;U63&amp;"\*"&amp;U63&amp;"*"&amp;TEXT(A63-utc_offset/24,"YYYYMMDD")&amp;LEFT(TEXT(A63-utc_offset/24,"HH"),1)&amp;"* &gt;&gt; "&amp;TEXT(Variables!$A$2,"YYYY-MM-DD")&amp;"-SliceDisagreementCheck.txt"</f>
        <v>grep -hSE "Enforcement Action" "%USERPROFILE%\AppData\Local\Temp\OnboardLogs"\RTDC4014\*4014*201705210* &gt;&gt; 2017-05-20-SliceDisagreementCheck.txt</v>
      </c>
      <c r="AE63" s="148" t="str">
        <f t="shared" si="9"/>
        <v>start /low /b %USERPROFILE%\Documents\GitHub\eaglep3\Utilities\DownloadLogsFromS3.py --loco 4014 --day 2017-05-21</v>
      </c>
      <c r="AF63" s="1"/>
    </row>
    <row r="64" spans="1:32" x14ac:dyDescent="0.25">
      <c r="A64" s="31">
        <v>42875.435081018521</v>
      </c>
      <c r="B64" s="30" t="s">
        <v>406</v>
      </c>
      <c r="C64" s="30" t="s">
        <v>601</v>
      </c>
      <c r="D64" s="30" t="s">
        <v>98</v>
      </c>
      <c r="E64" s="30" t="s">
        <v>191</v>
      </c>
      <c r="F64" s="42">
        <v>10</v>
      </c>
      <c r="G64" s="42">
        <v>73</v>
      </c>
      <c r="H64" s="42">
        <v>10737</v>
      </c>
      <c r="I64" s="42">
        <v>10862</v>
      </c>
      <c r="J64" s="30" t="s">
        <v>192</v>
      </c>
      <c r="K64" s="42">
        <v>10714</v>
      </c>
      <c r="L64" s="134" t="s">
        <v>50</v>
      </c>
      <c r="M64" s="135">
        <f t="shared" si="10"/>
        <v>-78.144000000000005</v>
      </c>
      <c r="N64" s="136" t="str">
        <f>VLOOKUP(C64,'Trips&amp;Operators'!$C$1:$G$99999,5,FALSE)</f>
        <v>COOPER AARON</v>
      </c>
      <c r="O64" s="207" t="s">
        <v>184</v>
      </c>
      <c r="P64" s="137" t="s">
        <v>418</v>
      </c>
      <c r="Q64" s="30"/>
      <c r="R64" s="84" t="str">
        <f>IF(VLOOKUP(C64,'Train Runs'!$A$13:$AE$9922,1,1)=C64,VLOOKUP(C64,'Train Runs'!$A$13:$AE$9922,31,1),NA())</f>
        <v>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 &amp; aws s3 cp s3://rtdc.mdm.uploadarchive.raw/RTDC4006/ "%USERPROFILE%\AppData\Local\Temp\OnboardLogs"\RTDC4006\2017-05-21 --exclude "*" --recursive --include "*20170521*" &amp; "%USERPROFILE%\Documents\GitHub\mrs-test-scripts\Headless Mode &amp; Sideloading\WalkAndUnGZ.bat" "%USERPROFILE%\AppData\Local\Temp\OnboardLogs"\RTDC4006\2017-05-21</v>
      </c>
      <c r="S64" s="87" t="str">
        <f>VLOOKUP(C64,'Train Runs'!$A$13:$AE$9922,22,0)</f>
        <v>https://d0f6bd738d7f1b3e5a7ca70fe4ff75f0.us-east-1.aws.found.io/app/kibana#/discover/Steve-Slow-Train-Analysis-(2080s-and-2083s)?_g=(refreshInterval:(display:Off,pause:!f,section:0,value:0),time:(from:'2017-05-20T09:12:17-0600',mode:absolute,to:'2017-05-20T11:39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64" s="89" t="str">
        <f t="shared" si="11"/>
        <v>"C:\Program Files (x86)\AstroGrep\AstroGrep.exe" /e /r /s /spath="%USERPROFILE%\AppData\Local\Temp\OnboardLogs" /stypes="*4006*201705201*" /stext=" 16:.+((SYSTEM_STATE.+slice.+state.+changed )|(ment ac)|(multiple cpu faults)|(system.+state.+changed )|(\[timeout)|(PRM\|1\|D)|(kpr)|(kdp)|(train st.+moving)|(\|lc)|(penalty))"</v>
      </c>
      <c r="U64" s="9" t="str">
        <f t="shared" si="12"/>
        <v>4006</v>
      </c>
      <c r="V64" s="31">
        <f t="shared" si="13"/>
        <v>42875.685081018521</v>
      </c>
      <c r="W64" s="45" t="str">
        <f t="shared" si="14"/>
        <v>NW</v>
      </c>
      <c r="X64" s="45" t="str">
        <f t="shared" si="15"/>
        <v>KEEP</v>
      </c>
      <c r="Y64" s="99" t="str">
        <f t="shared" si="16"/>
        <v>echo {"issue":{"subject":"Early arrival","project_id":79,"tracker_id":40,"status_id":1,"priority_id":2,"assigned_to_id":23,"start_date":"2017-05-20","description":"","custom_fields":[{"id":1,"name":"Subdivision","value":"NW"},{"id":4,"name":"Milepost","value":"1.0714"},{"id":17,"name":"Train ID","value":"1809-20"},{"id":16,"name":"Locomotive ID","value":"4006"},{"id":130,"name":"Impact","value":""},{"id":150,"name":"Time of Event (Mountain Time)","value":"10:26:31"},{"id":151,"name":"Denver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162"/>
      <c r="AA64" s="47"/>
      <c r="AB64" s="47"/>
      <c r="AC64" s="118" t="str">
        <f t="shared" si="17"/>
        <v>grep -hrE -A400 "Enforcement Action" /cygdrive/c/Users/stu/AppData/Local/Temp/OnboardLogs/RTDC4006 --include="*4006*201705201*" | grep -E "((Enforcement Ac)|(PRM))" -</v>
      </c>
      <c r="AD64" s="1" t="str">
        <f>"grep -hSE ""Enforcement Action"" "&amp;search_path&amp;"\RTDC"&amp;U64&amp;"\*"&amp;U64&amp;"*"&amp;TEXT(A64-utc_offset/24,"YYYYMMDD")&amp;LEFT(TEXT(A64-utc_offset/24,"HH"),1)&amp;"* &gt;&gt; "&amp;TEXT(Variables!$A$2,"YYYY-MM-DD")&amp;"-SliceDisagreementCheck.txt"</f>
        <v>grep -hSE "Enforcement Action" "%USERPROFILE%\AppData\Local\Temp\OnboardLogs"\RTDC4006\*4006*201705201* &gt;&gt; 2017-05-20-SliceDisagreementCheck.txt</v>
      </c>
      <c r="AE64" s="148" t="str">
        <f t="shared" si="9"/>
        <v>start /low /b %USERPROFILE%\Documents\GitHub\eaglep3\Utilities\DownloadLogsFromS3.py --loco 4006 --day 2017-05-20</v>
      </c>
      <c r="AF64" s="1"/>
    </row>
    <row r="65" spans="1:32" x14ac:dyDescent="0.25">
      <c r="A65" s="31">
        <v>42875.767337962963</v>
      </c>
      <c r="B65" s="30" t="s">
        <v>406</v>
      </c>
      <c r="C65" s="30" t="s">
        <v>624</v>
      </c>
      <c r="D65" s="30" t="s">
        <v>49</v>
      </c>
      <c r="E65" s="30" t="s">
        <v>191</v>
      </c>
      <c r="F65" s="42">
        <v>50</v>
      </c>
      <c r="G65" s="42">
        <v>109</v>
      </c>
      <c r="H65" s="42">
        <v>10105</v>
      </c>
      <c r="I65" s="42">
        <v>10289</v>
      </c>
      <c r="J65" s="30" t="s">
        <v>192</v>
      </c>
      <c r="K65" s="42">
        <v>10714</v>
      </c>
      <c r="L65" s="134" t="s">
        <v>50</v>
      </c>
      <c r="M65" s="135">
        <f t="shared" si="10"/>
        <v>224.4</v>
      </c>
      <c r="N65" s="136" t="str">
        <f>VLOOKUP(C65,'Trips&amp;Operators'!$C$1:$G$99999,5,FALSE)</f>
        <v>HELVIE ADAM</v>
      </c>
      <c r="O65" s="207" t="s">
        <v>184</v>
      </c>
      <c r="P65" s="137" t="s">
        <v>418</v>
      </c>
      <c r="Q65" s="30"/>
      <c r="R65" s="84" t="str">
        <f>IF(VLOOKUP(C65,'Train Runs'!$A$13:$AE$9922,1,1)=C65,VLOOKUP(C65,'Train Runs'!$A$13:$AE$9922,31,1),NA())</f>
        <v>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 &amp; aws s3 cp s3://rtdc.mdm.uploadarchive.raw/RTDC4006/ "%USERPROFILE%\AppData\Local\Temp\OnboardLogs"\RTDC4006\2017-05-21 --exclude "*" --recursive --include "*20170521*" &amp; "%USERPROFILE%\Documents\GitHub\mrs-test-scripts\Headless Mode &amp; Sideloading\WalkAndUnGZ.bat" "%USERPROFILE%\AppData\Local\Temp\OnboardLogs"\RTDC4006\2017-05-21</v>
      </c>
      <c r="S65" s="87" t="str">
        <f>VLOOKUP(C65,'Train Runs'!$A$13:$AE$9922,22,0)</f>
        <v>https://d0f6bd738d7f1b3e5a7ca70fe4ff75f0.us-east-1.aws.found.io/app/kibana#/discover/Steve-Slow-Train-Analysis-(2080s-and-2083s)?_g=(refreshInterval:(display:Off,pause:!f,section:0,value:0),time:(from:'2017-05-20T17:19:29-0600',mode:absolute,to:'2017-05-20T19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65" s="89" t="str">
        <f t="shared" si="11"/>
        <v>"C:\Program Files (x86)\AstroGrep\AstroGrep.exe" /e /r /s /spath="%USERPROFILE%\AppData\Local\Temp\OnboardLogs" /stypes="*4006*201705210*" /stext=" 00:.+((SYSTEM_STATE.+slice.+state.+changed )|(ment ac)|(multiple cpu faults)|(system.+state.+changed )|(\[timeout)|(PRM\|1\|D)|(kpr)|(kdp)|(train st.+moving)|(\|lc)|(penalty))"</v>
      </c>
      <c r="U65" s="9" t="str">
        <f t="shared" si="12"/>
        <v>4006</v>
      </c>
      <c r="V65" s="31">
        <f t="shared" si="13"/>
        <v>42876.017337962963</v>
      </c>
      <c r="W65" s="45" t="str">
        <f t="shared" si="14"/>
        <v>NW</v>
      </c>
      <c r="X65" s="45" t="str">
        <f t="shared" si="15"/>
        <v>KEEP</v>
      </c>
      <c r="Y65" s="99" t="str">
        <f t="shared" si="16"/>
        <v>echo {"issue":{"subject":"Early arrival","project_id":79,"tracker_id":40,"status_id":1,"priority_id":2,"assigned_to_id":23,"start_date":"2017-05-20","description":"","custom_fields":[{"id":1,"name":"Subdivision","value":"NW"},{"id":4,"name":"Milepost","value":"1.0714"},{"id":17,"name":"Train ID","value":"1825-20"},{"id":16,"name":"Locomotive ID","value":"4006"},{"id":130,"name":"Impact","value":""},{"id":150,"name":"Time of Event (Mountain Time)","value":"18:24:58"},{"id":151,"name":"Denver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5" s="162"/>
      <c r="AA65" s="47"/>
      <c r="AB65" s="47"/>
      <c r="AC65" s="118" t="str">
        <f t="shared" si="17"/>
        <v>grep -hrE -A400 "Enforcement Action" /cygdrive/c/Users/stu/AppData/Local/Temp/OnboardLogs/RTDC4006 --include="*4006*201705210*" | grep -E "((Enforcement Ac)|(PRM))" -</v>
      </c>
      <c r="AD65" s="1" t="str">
        <f>"grep -hSE ""Enforcement Action"" "&amp;search_path&amp;"\RTDC"&amp;U65&amp;"\*"&amp;U65&amp;"*"&amp;TEXT(A65-utc_offset/24,"YYYYMMDD")&amp;LEFT(TEXT(A65-utc_offset/24,"HH"),1)&amp;"* &gt;&gt; "&amp;TEXT(Variables!$A$2,"YYYY-MM-DD")&amp;"-SliceDisagreementCheck.txt"</f>
        <v>grep -hSE "Enforcement Action" "%USERPROFILE%\AppData\Local\Temp\OnboardLogs"\RTDC4006\*4006*201705210* &gt;&gt; 2017-05-20-SliceDisagreementCheck.txt</v>
      </c>
      <c r="AE65" s="148" t="str">
        <f t="shared" si="9"/>
        <v>start /low /b %USERPROFILE%\Documents\GitHub\eaglep3\Utilities\DownloadLogsFromS3.py --loco 4006 --day 2017-05-21</v>
      </c>
      <c r="AF65" s="1"/>
    </row>
    <row r="66" spans="1:32" x14ac:dyDescent="0.25">
      <c r="A66" s="31">
        <v>42875.434641203705</v>
      </c>
      <c r="B66" s="30" t="s">
        <v>406</v>
      </c>
      <c r="C66" s="30" t="s">
        <v>601</v>
      </c>
      <c r="D66" s="30" t="s">
        <v>49</v>
      </c>
      <c r="E66" s="30" t="s">
        <v>191</v>
      </c>
      <c r="F66" s="42">
        <v>90</v>
      </c>
      <c r="G66" s="42">
        <v>226</v>
      </c>
      <c r="H66" s="42">
        <v>10329</v>
      </c>
      <c r="I66" s="42">
        <v>10703</v>
      </c>
      <c r="J66" s="30" t="s">
        <v>192</v>
      </c>
      <c r="K66" s="42">
        <v>10714</v>
      </c>
      <c r="L66" s="134" t="s">
        <v>50</v>
      </c>
      <c r="M66" s="135">
        <f t="shared" si="10"/>
        <v>5.8079999999999998</v>
      </c>
      <c r="N66" s="136" t="str">
        <f>VLOOKUP(C66,'Trips&amp;Operators'!$C$1:$G$99999,5,FALSE)</f>
        <v>COOPER AARON</v>
      </c>
      <c r="O66" s="207" t="s">
        <v>184</v>
      </c>
      <c r="P66" s="137" t="s">
        <v>418</v>
      </c>
      <c r="Q66" s="30"/>
      <c r="R66" s="84" t="str">
        <f>IF(VLOOKUP(C66,'Train Runs'!$A$13:$AE$9922,1,1)=C66,VLOOKUP(C66,'Train Runs'!$A$13:$AE$9922,31,1),NA())</f>
        <v>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 &amp; aws s3 cp s3://rtdc.mdm.uploadarchive.raw/RTDC4006/ "%USERPROFILE%\AppData\Local\Temp\OnboardLogs"\RTDC4006\2017-05-21 --exclude "*" --recursive --include "*20170521*" &amp; "%USERPROFILE%\Documents\GitHub\mrs-test-scripts\Headless Mode &amp; Sideloading\WalkAndUnGZ.bat" "%USERPROFILE%\AppData\Local\Temp\OnboardLogs"\RTDC4006\2017-05-21</v>
      </c>
      <c r="S66" s="87" t="str">
        <f>VLOOKUP(C66,'Train Runs'!$A$13:$AE$9922,22,0)</f>
        <v>https://d0f6bd738d7f1b3e5a7ca70fe4ff75f0.us-east-1.aws.found.io/app/kibana#/discover/Steve-Slow-Train-Analysis-(2080s-and-2083s)?_g=(refreshInterval:(display:Off,pause:!f,section:0,value:0),time:(from:'2017-05-20T09:12:17-0600',mode:absolute,to:'2017-05-20T11:39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66" s="89" t="str">
        <f t="shared" si="11"/>
        <v>"C:\Program Files (x86)\AstroGrep\AstroGrep.exe" /e /r /s /spath="%USERPROFILE%\AppData\Local\Temp\OnboardLogs" /stypes="*4006*201705201*" /stext=" 16:.+((SYSTEM_STATE.+slice.+state.+changed )|(ment ac)|(multiple cpu faults)|(system.+state.+changed )|(\[timeout)|(PRM\|1\|D)|(kpr)|(kdp)|(train st.+moving)|(\|lc)|(penalty))"</v>
      </c>
      <c r="U66" s="9" t="str">
        <f t="shared" si="12"/>
        <v>4006</v>
      </c>
      <c r="V66" s="31">
        <f t="shared" si="13"/>
        <v>42875.684641203705</v>
      </c>
      <c r="W66" s="45" t="str">
        <f t="shared" si="14"/>
        <v>NW</v>
      </c>
      <c r="X66" s="45" t="str">
        <f t="shared" si="15"/>
        <v>KEEP</v>
      </c>
      <c r="Y66" s="99" t="str">
        <f t="shared" si="16"/>
        <v>echo {"issue":{"subject":"Early arrival","project_id":79,"tracker_id":40,"status_id":1,"priority_id":2,"assigned_to_id":23,"start_date":"2017-05-20","description":"","custom_fields":[{"id":1,"name":"Subdivision","value":"NW"},{"id":4,"name":"Milepost","value":"1.0714"},{"id":17,"name":"Train ID","value":"1809-20"},{"id":16,"name":"Locomotive ID","value":"4006"},{"id":130,"name":"Impact","value":""},{"id":150,"name":"Time of Event (Mountain Time)","value":"10:25:53"},{"id":151,"name":"Denver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6" s="162"/>
      <c r="AA66" s="47"/>
      <c r="AB66" s="47"/>
      <c r="AC66" s="118" t="str">
        <f t="shared" si="17"/>
        <v>grep -hrE -A400 "Enforcement Action" /cygdrive/c/Users/stu/AppData/Local/Temp/OnboardLogs/RTDC4006 --include="*4006*201705201*" | grep -E "((Enforcement Ac)|(PRM))" -</v>
      </c>
      <c r="AD66" s="1" t="str">
        <f>"grep -hSE ""Enforcement Action"" "&amp;search_path&amp;"\RTDC"&amp;U66&amp;"\*"&amp;U66&amp;"*"&amp;TEXT(A66-utc_offset/24,"YYYYMMDD")&amp;LEFT(TEXT(A66-utc_offset/24,"HH"),1)&amp;"* &gt;&gt; "&amp;TEXT(Variables!$A$2,"YYYY-MM-DD")&amp;"-SliceDisagreementCheck.txt"</f>
        <v>grep -hSE "Enforcement Action" "%USERPROFILE%\AppData\Local\Temp\OnboardLogs"\RTDC4006\*4006*201705201* &gt;&gt; 2017-05-20-SliceDisagreementCheck.txt</v>
      </c>
      <c r="AE66" s="148" t="str">
        <f t="shared" si="9"/>
        <v>start /low /b %USERPROFILE%\Documents\GitHub\eaglep3\Utilities\DownloadLogsFromS3.py --loco 4006 --day 2017-05-20</v>
      </c>
      <c r="AF66" s="1"/>
    </row>
    <row r="67" spans="1:32" x14ac:dyDescent="0.25">
      <c r="A67" s="31">
        <v>42875.619895833333</v>
      </c>
      <c r="B67" s="30" t="s">
        <v>434</v>
      </c>
      <c r="C67" s="30" t="s">
        <v>612</v>
      </c>
      <c r="D67" s="30" t="s">
        <v>98</v>
      </c>
      <c r="E67" s="30" t="s">
        <v>191</v>
      </c>
      <c r="F67" s="42">
        <v>260</v>
      </c>
      <c r="G67" s="42">
        <v>311</v>
      </c>
      <c r="H67" s="42">
        <v>10980</v>
      </c>
      <c r="I67" s="42">
        <v>10369</v>
      </c>
      <c r="J67" s="30" t="s">
        <v>192</v>
      </c>
      <c r="K67" s="42">
        <v>10988</v>
      </c>
      <c r="L67" s="134" t="s">
        <v>51</v>
      </c>
      <c r="M67" s="135">
        <f t="shared" si="10"/>
        <v>-326.83199999999999</v>
      </c>
      <c r="N67" s="136" t="str">
        <f>VLOOKUP(C67,'Trips&amp;Operators'!$C$1:$G$99999,5,FALSE)</f>
        <v>WILLIAMS DONTE</v>
      </c>
      <c r="O67" s="207" t="s">
        <v>184</v>
      </c>
      <c r="P67" s="137" t="s">
        <v>418</v>
      </c>
      <c r="Q67" s="30"/>
      <c r="R67" s="84" t="str">
        <f>IF(VLOOKUP(C67,'Train Runs'!$A$13:$AE$9922,1,1)=C67,VLOOKUP(C67,'Train Runs'!$A$13:$AE$9922,31,1),NA())</f>
        <v>aws s3 cp s3://rtdc.mdm.uploadarchive.raw/RTDC4005/ "%USERPROFILE%\AppData\Local\Temp\OnboardLogs"\RTDC4005\2017-05-20 --exclude "*" --recursive --include "*20170520*" &amp; "%USERPROFILE%\Documents\GitHub\mrs-test-scripts\Headless Mode &amp; Sideloading\WalkAndUnGZ.bat" "%USERPROFILE%\AppData\Local\Temp\OnboardLogs"\RTDC4005\2017-05-20 &amp; aws s3 cp s3://rtdc.mdm.uploadarchive.raw/RTDC4005/ "%USERPROFILE%\AppData\Local\Temp\OnboardLogs"\RTDC4005\2017-05-21 --exclude "*" --recursive --include "*20170521*" &amp; "%USERPROFILE%\Documents\GitHub\mrs-test-scripts\Headless Mode &amp; Sideloading\WalkAndUnGZ.bat" "%USERPROFILE%\AppData\Local\Temp\OnboardLogs"\RTDC4005\2017-05-21</v>
      </c>
      <c r="S67" s="87" t="str">
        <f>VLOOKUP(C67,'Train Runs'!$A$13:$AE$9922,22,0)</f>
        <v>https://d0f6bd738d7f1b3e5a7ca70fe4ff75f0.us-east-1.aws.found.io/app/kibana#/discover/Steve-Slow-Train-Analysis-(2080s-and-2083s)?_g=(refreshInterval:(display:Off,pause:!f,section:0,value:0),time:(from:'2017-05-20T13:38:24-0600',mode:absolute,to:'2017-05-20T15:57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67" s="89" t="str">
        <f t="shared" si="11"/>
        <v>"C:\Program Files (x86)\AstroGrep\AstroGrep.exe" /e /r /s /spath="%USERPROFILE%\AppData\Local\Temp\OnboardLogs" /stypes="*4005*201705202*" /stext=" 20:.+((SYSTEM_STATE.+slice.+state.+changed )|(ment ac)|(multiple cpu faults)|(system.+state.+changed )|(\[timeout)|(PRM\|1\|D)|(kpr)|(kdp)|(train st.+moving)|(\|lc)|(penalty))"</v>
      </c>
      <c r="U67" s="9" t="str">
        <f t="shared" si="12"/>
        <v>4005</v>
      </c>
      <c r="V67" s="31">
        <f t="shared" si="13"/>
        <v>42875.869895833333</v>
      </c>
      <c r="W67" s="45" t="str">
        <f t="shared" si="14"/>
        <v>NW</v>
      </c>
      <c r="X67" s="45" t="str">
        <f t="shared" si="15"/>
        <v>KEEP</v>
      </c>
      <c r="Y67" s="99" t="str">
        <f t="shared" si="16"/>
        <v>echo {"issue":{"subject":"Early arrival","project_id":79,"tracker_id":40,"status_id":1,"priority_id":2,"assigned_to_id":23,"start_date":"2017-05-20","description":"","custom_fields":[{"id":1,"name":"Subdivision","value":"NW"},{"id":4,"name":"Milepost","value":"1.0988"},{"id":17,"name":"Train ID","value":"1818-20"},{"id":16,"name":"Locomotive ID","value":"4005"},{"id":130,"name":"Impact","value":""},{"id":150,"name":"Time of Event (Mountain Time)","value":"14:52:39"},{"id":151,"name":"Denver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7" s="162"/>
      <c r="AA67" s="47"/>
      <c r="AB67" s="47"/>
      <c r="AC67" s="118" t="str">
        <f t="shared" si="17"/>
        <v>grep -hrE -A400 "Enforcement Action" /cygdrive/c/Users/stu/AppData/Local/Temp/OnboardLogs/RTDC4005 --include="*4005*201705202*" | grep -E "((Enforcement Ac)|(PRM))" -</v>
      </c>
      <c r="AD67" s="1" t="str">
        <f>"grep -hSE ""Enforcement Action"" "&amp;search_path&amp;"\RTDC"&amp;U67&amp;"\*"&amp;U67&amp;"*"&amp;TEXT(A67-utc_offset/24,"YYYYMMDD")&amp;LEFT(TEXT(A67-utc_offset/24,"HH"),1)&amp;"* &gt;&gt; "&amp;TEXT(Variables!$A$2,"YYYY-MM-DD")&amp;"-SliceDisagreementCheck.txt"</f>
        <v>grep -hSE "Enforcement Action" "%USERPROFILE%\AppData\Local\Temp\OnboardLogs"\RTDC4005\*4005*201705202* &gt;&gt; 2017-05-20-SliceDisagreementCheck.txt</v>
      </c>
      <c r="AE67" s="148" t="str">
        <f t="shared" si="9"/>
        <v>start /low /b %USERPROFILE%\Documents\GitHub\eaglep3\Utilities\DownloadLogsFromS3.py --loco 4005 --day 2017-05-20</v>
      </c>
      <c r="AF67" s="1"/>
    </row>
    <row r="68" spans="1:32" x14ac:dyDescent="0.25">
      <c r="A68" s="31">
        <v>42875.242071759261</v>
      </c>
      <c r="B68" s="30" t="s">
        <v>434</v>
      </c>
      <c r="C68" s="30" t="s">
        <v>588</v>
      </c>
      <c r="D68" s="30" t="s">
        <v>49</v>
      </c>
      <c r="E68" s="30" t="s">
        <v>204</v>
      </c>
      <c r="F68" s="42">
        <v>300</v>
      </c>
      <c r="G68" s="42">
        <v>570</v>
      </c>
      <c r="H68" s="42">
        <v>25679</v>
      </c>
      <c r="I68" s="42">
        <v>23794</v>
      </c>
      <c r="J68" s="30" t="s">
        <v>205</v>
      </c>
      <c r="K68" s="42">
        <v>23561</v>
      </c>
      <c r="L68" s="134" t="s">
        <v>51</v>
      </c>
      <c r="M68" s="135">
        <f t="shared" si="10"/>
        <v>123.024</v>
      </c>
      <c r="N68" s="136" t="str">
        <f>VLOOKUP(C68,'Trips&amp;Operators'!$C$1:$G$99999,5,FALSE)</f>
        <v>MACDONALD THOMAS</v>
      </c>
      <c r="O68" s="207" t="s">
        <v>184</v>
      </c>
      <c r="P68" s="137"/>
      <c r="Q68" s="30"/>
      <c r="R68" s="84" t="e">
        <f>IF(VLOOKUP(C68,'Train Runs'!$A$13:$AE$9922,1,1)=C68,VLOOKUP(C68,'Train Runs'!$A$13:$AE$9922,31,1),NA())</f>
        <v>#N/A</v>
      </c>
      <c r="S68" s="87" t="str">
        <f>VLOOKUP(C68,'Train Runs'!$A$13:$AE$9922,22,0)</f>
        <v>https://d0f6bd738d7f1b3e5a7ca70fe4ff75f0.us-east-1.aws.found.io/app/kibana#/discover/Steve-Slow-Train-Analysis-(2080s-and-2083s)?_g=(refreshInterval:(display:Off,pause:!f,section:0,value:0),time:(from:'2017-05-20T04:34:36-0600',mode:absolute,to:'2017-05-20T06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68" s="89" t="str">
        <f t="shared" si="11"/>
        <v>"C:\Program Files (x86)\AstroGrep\AstroGrep.exe" /e /r /s /spath="%USERPROFILE%\AppData\Local\Temp\OnboardLogs" /stypes="*4005*201705201*" /stext=" 11:.+((SYSTEM_STATE.+slice.+state.+changed )|(ment ac)|(multiple cpu faults)|(system.+state.+changed )|(\[timeout)|(PRM\|1\|D)|(kpr)|(kdp)|(train st.+moving)|(\|lc)|(penalty))"</v>
      </c>
      <c r="U68" s="9" t="str">
        <f t="shared" si="12"/>
        <v>4005</v>
      </c>
      <c r="V68" s="31">
        <f t="shared" si="13"/>
        <v>42875.492071759261</v>
      </c>
      <c r="W68" s="45" t="str">
        <f t="shared" si="14"/>
        <v>NW</v>
      </c>
      <c r="X68" s="45" t="str">
        <f t="shared" si="15"/>
        <v>KEEP</v>
      </c>
      <c r="Y68" s="99" t="str">
        <f t="shared" si="16"/>
        <v>echo {"issue":{"subject":"","project_id":79,"tracker_id":40,"status_id":1,"priority_id":2,"assigned_to_id":23,"start_date":"2017-05-20","description":"","custom_fields":[{"id":1,"name":"Subdivision","value":"NW"},{"id":4,"name":"Milepost","value":"2.3561"},{"id":17,"name":"Train ID","value":"1800-20"},{"id":16,"name":"Locomotive ID","value":"4005"},{"id":130,"name":"Impact","value":""},{"id":150,"name":"Time of Event (Mountain Time)","value":"05:48:35"},{"id":151,"name":"Denver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8" s="162"/>
      <c r="AA68" s="47"/>
      <c r="AB68" s="47"/>
      <c r="AC68" s="118" t="str">
        <f t="shared" si="17"/>
        <v>grep -hrE -A400 "Enforcement Action" /cygdrive/c/Users/stu/AppData/Local/Temp/OnboardLogs/RTDC4005 --include="*4005*201705201*" | grep -E "((Enforcement Ac)|(PRM))" -</v>
      </c>
      <c r="AD68" s="1" t="str">
        <f>"grep -hSE ""Enforcement Action"" "&amp;search_path&amp;"\RTDC"&amp;U68&amp;"\*"&amp;U68&amp;"*"&amp;TEXT(A68-utc_offset/24,"YYYYMMDD")&amp;LEFT(TEXT(A68-utc_offset/24,"HH"),1)&amp;"* &gt;&gt; "&amp;TEXT(Variables!$A$2,"YYYY-MM-DD")&amp;"-SliceDisagreementCheck.txt"</f>
        <v>grep -hSE "Enforcement Action" "%USERPROFILE%\AppData\Local\Temp\OnboardLogs"\RTDC4005\*4005*201705201* &gt;&gt; 2017-05-20-SliceDisagreementCheck.txt</v>
      </c>
      <c r="AE68" s="148" t="str">
        <f t="shared" si="9"/>
        <v>start /low /b %USERPROFILE%\Documents\GitHub\eaglep3\Utilities\DownloadLogsFromS3.py --loco 4005 --day 2017-05-20</v>
      </c>
      <c r="AF68" s="1"/>
    </row>
    <row r="69" spans="1:32" x14ac:dyDescent="0.25">
      <c r="A69" s="31">
        <v>42875.616307870368</v>
      </c>
      <c r="B69" s="30" t="s">
        <v>434</v>
      </c>
      <c r="C69" s="30" t="s">
        <v>612</v>
      </c>
      <c r="D69" s="30" t="s">
        <v>98</v>
      </c>
      <c r="E69" s="30" t="s">
        <v>204</v>
      </c>
      <c r="F69" s="42">
        <v>400</v>
      </c>
      <c r="G69" s="42">
        <v>451</v>
      </c>
      <c r="H69" s="42">
        <v>38603</v>
      </c>
      <c r="I69" s="42">
        <v>37350</v>
      </c>
      <c r="J69" s="30" t="s">
        <v>205</v>
      </c>
      <c r="K69" s="42">
        <v>40977</v>
      </c>
      <c r="L69" s="134" t="s">
        <v>51</v>
      </c>
      <c r="M69" s="135">
        <f t="shared" si="10"/>
        <v>-1915.056</v>
      </c>
      <c r="N69" s="136" t="str">
        <f>VLOOKUP(C69,'Trips&amp;Operators'!$C$1:$G$99999,5,FALSE)</f>
        <v>WILLIAMS DONTE</v>
      </c>
      <c r="O69" s="207" t="s">
        <v>184</v>
      </c>
      <c r="P69" s="137"/>
      <c r="Q69" s="30"/>
      <c r="R69" s="84" t="str">
        <f>IF(VLOOKUP(C69,'Train Runs'!$A$13:$AE$9922,1,1)=C69,VLOOKUP(C69,'Train Runs'!$A$13:$AE$9922,31,1),NA())</f>
        <v>aws s3 cp s3://rtdc.mdm.uploadarchive.raw/RTDC4005/ "%USERPROFILE%\AppData\Local\Temp\OnboardLogs"\RTDC4005\2017-05-20 --exclude "*" --recursive --include "*20170520*" &amp; "%USERPROFILE%\Documents\GitHub\mrs-test-scripts\Headless Mode &amp; Sideloading\WalkAndUnGZ.bat" "%USERPROFILE%\AppData\Local\Temp\OnboardLogs"\RTDC4005\2017-05-20 &amp; aws s3 cp s3://rtdc.mdm.uploadarchive.raw/RTDC4005/ "%USERPROFILE%\AppData\Local\Temp\OnboardLogs"\RTDC4005\2017-05-21 --exclude "*" --recursive --include "*20170521*" &amp; "%USERPROFILE%\Documents\GitHub\mrs-test-scripts\Headless Mode &amp; Sideloading\WalkAndUnGZ.bat" "%USERPROFILE%\AppData\Local\Temp\OnboardLogs"\RTDC4005\2017-05-21</v>
      </c>
      <c r="S69" s="87" t="str">
        <f>VLOOKUP(C69,'Train Runs'!$A$13:$AE$9922,22,0)</f>
        <v>https://d0f6bd738d7f1b3e5a7ca70fe4ff75f0.us-east-1.aws.found.io/app/kibana#/discover/Steve-Slow-Train-Analysis-(2080s-and-2083s)?_g=(refreshInterval:(display:Off,pause:!f,section:0,value:0),time:(from:'2017-05-20T13:38:24-0600',mode:absolute,to:'2017-05-20T15:57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69" s="89" t="str">
        <f t="shared" si="11"/>
        <v>"C:\Program Files (x86)\AstroGrep\AstroGrep.exe" /e /r /s /spath="%USERPROFILE%\AppData\Local\Temp\OnboardLogs" /stypes="*4005*201705202*" /stext=" 20:.+((SYSTEM_STATE.+slice.+state.+changed )|(ment ac)|(multiple cpu faults)|(system.+state.+changed )|(\[timeout)|(PRM\|1\|D)|(kpr)|(kdp)|(train st.+moving)|(\|lc)|(penalty))"</v>
      </c>
      <c r="U69" s="9" t="str">
        <f t="shared" si="12"/>
        <v>4005</v>
      </c>
      <c r="V69" s="31">
        <f t="shared" si="13"/>
        <v>42875.866307870368</v>
      </c>
      <c r="W69" s="45" t="str">
        <f t="shared" si="14"/>
        <v>NW</v>
      </c>
      <c r="X69" s="45" t="str">
        <f t="shared" si="15"/>
        <v>KEEP</v>
      </c>
      <c r="Y69" s="99" t="str">
        <f t="shared" si="16"/>
        <v>echo {"issue":{"subject":"","project_id":79,"tracker_id":40,"status_id":1,"priority_id":2,"assigned_to_id":23,"start_date":"2017-05-20","description":"","custom_fields":[{"id":1,"name":"Subdivision","value":"NW"},{"id":4,"name":"Milepost","value":"4.0977"},{"id":17,"name":"Train ID","value":"1818-20"},{"id":16,"name":"Locomotive ID","value":"4005"},{"id":130,"name":"Impact","value":""},{"id":150,"name":"Time of Event (Mountain Time)","value":"14:47:29"},{"id":151,"name":"Denver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9" s="162"/>
      <c r="AA69" s="47"/>
      <c r="AB69" s="47"/>
      <c r="AC69" s="118" t="str">
        <f t="shared" si="17"/>
        <v>grep -hrE -A400 "Enforcement Action" /cygdrive/c/Users/stu/AppData/Local/Temp/OnboardLogs/RTDC4005 --include="*4005*201705202*" | grep -E "((Enforcement Ac)|(PRM))" -</v>
      </c>
      <c r="AD69" s="1" t="str">
        <f>"grep -hSE ""Enforcement Action"" "&amp;search_path&amp;"\RTDC"&amp;U69&amp;"\*"&amp;U69&amp;"*"&amp;TEXT(A69-utc_offset/24,"YYYYMMDD")&amp;LEFT(TEXT(A69-utc_offset/24,"HH"),1)&amp;"* &gt;&gt; "&amp;TEXT(Variables!$A$2,"YYYY-MM-DD")&amp;"-SliceDisagreementCheck.txt"</f>
        <v>grep -hSE "Enforcement Action" "%USERPROFILE%\AppData\Local\Temp\OnboardLogs"\RTDC4005\*4005*201705202* &gt;&gt; 2017-05-20-SliceDisagreementCheck.txt</v>
      </c>
      <c r="AE69" s="148" t="str">
        <f t="shared" si="9"/>
        <v>start /low /b %USERPROFILE%\Documents\GitHub\eaglep3\Utilities\DownloadLogsFromS3.py --loco 4005 --day 2017-05-20</v>
      </c>
      <c r="AF69" s="1"/>
    </row>
    <row r="70" spans="1:32" x14ac:dyDescent="0.25">
      <c r="A70" s="31">
        <v>42875.854560185187</v>
      </c>
      <c r="B70" s="30" t="s">
        <v>406</v>
      </c>
      <c r="C70" s="30" t="s">
        <v>634</v>
      </c>
      <c r="D70" s="30" t="s">
        <v>49</v>
      </c>
      <c r="E70" s="30" t="s">
        <v>204</v>
      </c>
      <c r="F70" s="42">
        <v>400</v>
      </c>
      <c r="G70" s="42">
        <v>471</v>
      </c>
      <c r="H70" s="42">
        <v>46672</v>
      </c>
      <c r="I70" s="42">
        <v>48024</v>
      </c>
      <c r="J70" s="30" t="s">
        <v>205</v>
      </c>
      <c r="K70" s="42">
        <v>47810</v>
      </c>
      <c r="L70" s="134" t="s">
        <v>50</v>
      </c>
      <c r="M70" s="135">
        <f t="shared" si="10"/>
        <v>-112.992</v>
      </c>
      <c r="N70" s="136" t="str">
        <f>VLOOKUP(C70,'Trips&amp;Operators'!$C$1:$G$99999,5,FALSE)</f>
        <v>HELVIE ADAM</v>
      </c>
      <c r="O70" s="207" t="s">
        <v>184</v>
      </c>
      <c r="P70" s="137"/>
      <c r="Q70" s="30"/>
      <c r="R70" s="84" t="str">
        <f>IF(VLOOKUP(C70,'Train Runs'!$A$13:$AE$9922,1,1)=C70,VLOOKUP(C70,'Train Runs'!$A$13:$AE$9922,31,1),NA())</f>
        <v>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 &amp; aws s3 cp s3://rtdc.mdm.uploadarchive.raw/RTDC4006/ "%USERPROFILE%\AppData\Local\Temp\OnboardLogs"\RTDC4006\2017-05-21 --exclude "*" --recursive --include "*20170521*" &amp; "%USERPROFILE%\Documents\GitHub\mrs-test-scripts\Headless Mode &amp; Sideloading\WalkAndUnGZ.bat" "%USERPROFILE%\AppData\Local\Temp\OnboardLogs"\RTDC4006\2017-05-21</v>
      </c>
      <c r="S70" s="87" t="str">
        <f>VLOOKUP(C70,'Train Runs'!$A$13:$AE$9922,22,0)</f>
        <v>https://d0f6bd738d7f1b3e5a7ca70fe4ff75f0.us-east-1.aws.found.io/app/kibana#/discover/Steve-Slow-Train-Analysis-(2080s-and-2083s)?_g=(refreshInterval:(display:Off,pause:!f,section:0,value:0),time:(from:'2017-05-20T19:19:43-0600',mode:absolute,to:'2017-05-20T21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70" s="89" t="str">
        <f t="shared" si="11"/>
        <v>"C:\Program Files (x86)\AstroGrep\AstroGrep.exe" /e /r /s /spath="%USERPROFILE%\AppData\Local\Temp\OnboardLogs" /stypes="*4006*201705210*" /stext=" 02:.+((SYSTEM_STATE.+slice.+state.+changed )|(ment ac)|(multiple cpu faults)|(system.+state.+changed )|(\[timeout)|(PRM\|1\|D)|(kpr)|(kdp)|(train st.+moving)|(\|lc)|(penalty))"</v>
      </c>
      <c r="U70" s="9" t="str">
        <f t="shared" si="12"/>
        <v>4006</v>
      </c>
      <c r="V70" s="31">
        <f t="shared" si="13"/>
        <v>42876.104560185187</v>
      </c>
      <c r="W70" s="45" t="str">
        <f t="shared" si="14"/>
        <v>NW</v>
      </c>
      <c r="X70" s="45" t="str">
        <f t="shared" si="15"/>
        <v>KEEP</v>
      </c>
      <c r="Y70" s="99" t="str">
        <f t="shared" si="16"/>
        <v>echo {"issue":{"subject":"","project_id":79,"tracker_id":40,"status_id":1,"priority_id":2,"assigned_to_id":23,"start_date":"2017-05-20","description":"","custom_fields":[{"id":1,"name":"Subdivision","value":"NW"},{"id":4,"name":"Milepost","value":"4.781"},{"id":17,"name":"Train ID","value":"1829-20"},{"id":16,"name":"Locomotive ID","value":"4006"},{"id":130,"name":"Impact","value":""},{"id":150,"name":"Time of Event (Mountain Time)","value":"20:30:34"},{"id":151,"name":"Denver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0" s="162"/>
      <c r="AA70" s="47"/>
      <c r="AB70" s="47"/>
      <c r="AC70" s="118" t="str">
        <f t="shared" si="17"/>
        <v>grep -hrE -A400 "Enforcement Action" /cygdrive/c/Users/stu/AppData/Local/Temp/OnboardLogs/RTDC4006 --include="*4006*201705210*" | grep -E "((Enforcement Ac)|(PRM))" -</v>
      </c>
      <c r="AD70" s="1" t="str">
        <f>"grep -hSE ""Enforcement Action"" "&amp;search_path&amp;"\RTDC"&amp;U70&amp;"\*"&amp;U70&amp;"*"&amp;TEXT(A70-utc_offset/24,"YYYYMMDD")&amp;LEFT(TEXT(A70-utc_offset/24,"HH"),1)&amp;"* &gt;&gt; "&amp;TEXT(Variables!$A$2,"YYYY-MM-DD")&amp;"-SliceDisagreementCheck.txt"</f>
        <v>grep -hSE "Enforcement Action" "%USERPROFILE%\AppData\Local\Temp\OnboardLogs"\RTDC4006\*4006*201705210* &gt;&gt; 2017-05-20-SliceDisagreementCheck.txt</v>
      </c>
      <c r="AE70" s="148" t="str">
        <f t="shared" si="9"/>
        <v>start /low /b %USERPROFILE%\Documents\GitHub\eaglep3\Utilities\DownloadLogsFromS3.py --loco 4006 --day 2017-05-21</v>
      </c>
      <c r="AF70" s="1"/>
    </row>
    <row r="71" spans="1:32" x14ac:dyDescent="0.25">
      <c r="A71" s="31">
        <v>42875.315138888887</v>
      </c>
      <c r="B71" s="30" t="s">
        <v>406</v>
      </c>
      <c r="C71" s="30" t="s">
        <v>591</v>
      </c>
      <c r="D71" s="30" t="s">
        <v>49</v>
      </c>
      <c r="E71" s="30" t="s">
        <v>185</v>
      </c>
      <c r="F71" s="42">
        <v>0</v>
      </c>
      <c r="G71" s="42">
        <v>82</v>
      </c>
      <c r="H71" s="42">
        <v>58808</v>
      </c>
      <c r="I71" s="42">
        <v>58874</v>
      </c>
      <c r="J71" s="30" t="s">
        <v>186</v>
      </c>
      <c r="K71" s="42">
        <v>59058</v>
      </c>
      <c r="L71" s="134" t="s">
        <v>50</v>
      </c>
      <c r="M71" s="135">
        <f t="shared" ref="M71:M102" si="18">CONVERT((I71-K71)/10000,"mi","ft")*IF(L71="Increasing Mileposts (1)",-1,1)</f>
        <v>97.152000000000001</v>
      </c>
      <c r="N71" s="136" t="str">
        <f>VLOOKUP(C71,'Trips&amp;Operators'!$C$1:$G$99999,5,FALSE)</f>
        <v>MACDONALD THOMAS</v>
      </c>
      <c r="O71" s="207" t="s">
        <v>184</v>
      </c>
      <c r="P71" s="137"/>
      <c r="Q71" s="30"/>
      <c r="R71" s="84" t="e">
        <f>IF(VLOOKUP(C71,'Train Runs'!$A$13:$AE$9922,1,1)=C71,VLOOKUP(C71,'Train Runs'!$A$13:$AE$9922,31,1),NA())</f>
        <v>#N/A</v>
      </c>
      <c r="S71" s="87" t="str">
        <f>VLOOKUP(C71,'Train Runs'!$A$13:$AE$9922,22,0)</f>
        <v>https://d0f6bd738d7f1b3e5a7ca70fe4ff75f0.us-east-1.aws.found.io/app/kibana#/discover/Steve-Slow-Train-Analysis-(2080s-and-2083s)?_g=(refreshInterval:(display:Off,pause:!f,section:0,value:0),time:(from:'2017-05-20T05:56:11-0600',mode:absolute,to:'2017-05-20T08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71" s="89" t="str">
        <f t="shared" ref="T71:T102" si="19">astrogrep_path&amp;" /e /r /s /spath="&amp;search_path&amp;" /stypes=""*"&amp;U71&amp;"*"&amp;TEXT(A71-utc_offset/24,"YYYYMMDD")&amp;LEFT(TEXT(A71-utc_offset/24,"HH"),1)&amp;"*"" /stext="" "&amp;TEXT(A71-utc_offset/24,"HH")&amp;search_regexp&amp;""""</f>
        <v>"C:\Program Files (x86)\AstroGrep\AstroGrep.exe" /e /r /s /spath="%USERPROFILE%\AppData\Local\Temp\OnboardLogs" /stypes="*4006*201705201*" /stext=" 13:.+((SYSTEM_STATE.+slice.+state.+changed )|(ment ac)|(multiple cpu faults)|(system.+state.+changed )|(\[timeout)|(PRM\|1\|D)|(kpr)|(kdp)|(train st.+moving)|(\|lc)|(penalty))"</v>
      </c>
      <c r="U71" s="9" t="str">
        <f t="shared" ref="U71:U79" si="20">MID(B71,13,4)</f>
        <v>4006</v>
      </c>
      <c r="V71" s="31">
        <f t="shared" ref="V71:V79" si="21">A71-utc_offset/24</f>
        <v>42875.565138888887</v>
      </c>
      <c r="W71" s="45" t="str">
        <f t="shared" ref="W71:W79" si="22">IFERROR(IF(VALUE(LEFT(IF(LEN(C71)=6,"0"&amp;C71,C71),2))&lt;=2,"EC",IF(OR(VALUE(LEFT(IF(LEN(C71)=6,"0"&amp;C71,C71),2))=8,VALUE(LEFT(IF(LEN(C71)=6,"0"&amp;C71,C71),2))=18),"NW","Other")),"Other")</f>
        <v>NW</v>
      </c>
      <c r="X71" s="45" t="str">
        <f t="shared" ref="X71:X79" si="23">IF(AND(E71="TRACK WARRANT AUTHORITY",G71&lt;10),"OMIT","KEEP")</f>
        <v>KEEP</v>
      </c>
      <c r="Y71" s="99" t="str">
        <f t="shared" ref="Y71:Y102" si="24">"echo {""issue"":{""subject"":"""&amp;P71&amp;""",""project_id"":79,""tracker_id"":40,""status_id"":"&amp;redmine_status&amp;",""priority_id"":"&amp;redmine_priority&amp;",""assigned_to_id"":"&amp;redmine_assignee&amp;",""start_date"":"""&amp;TEXT(A71,"YYYY-mm-dd")&amp;""",""description"":"""&amp;Z71&amp;""",""custom_fields"":[{""id"":1,""name"":""Subdivision"",""value"":"""&amp;W71&amp;"""},{""id"":4,""name"":""Milepost"",""value"":"""&amp;K71/10000&amp;"""},{""id"":17,""name"":""Train ID"",""value"":"""&amp;C71&amp;"""},{""id"":16,""name"":""Locomotive ID"",""value"":"""&amp;U71&amp;"""},{""id"":130,""name"":""Impact"",""value"":"""&amp;AA71&amp;"""},{""id"":150,""name"":""Time of Event (Mountain Time)"",""value"":"""&amp;TEXT(A71,"hh:mm:ss")&amp;"""},{""id"":151,""name"":""Denver Issue ID"",""value"":"""&amp;"""},{""id"":178,""name"":""Operational Impact"",""value"":"""&amp;redmine_op_impact&amp;"""},{""id"":179,""name"":""Denver Segment Assigned"",""value"":"""&amp;AB71&amp;"""}]}}"&amp;"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{"issue":{"subject":"","project_id":79,"tracker_id":40,"status_id":1,"priority_id":2,"assigned_to_id":23,"start_date":"2017-05-20","description":"","custom_fields":[{"id":1,"name":"Subdivision","value":"NW"},{"id":4,"name":"Milepost","value":"5.9058"},{"id":17,"name":"Train ID","value":"1803-20"},{"id":16,"name":"Locomotive ID","value":"4006"},{"id":130,"name":"Impact","value":""},{"id":150,"name":"Time of Event (Mountain Time)","value":"07:33:48"},{"id":151,"name":"Denver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1" s="162"/>
      <c r="AA71" s="47"/>
      <c r="AB71" s="47"/>
      <c r="AC71" s="118" t="str">
        <f t="shared" ref="AC71:AC79" si="25">"grep -hrE -A400 ""Enforcement Action"" "&amp;"/cygdrive/c/Users/stu/AppData/Local/Temp/OnboardLogs"&amp;"/RTDC"&amp;U71&amp;" --include=""*"&amp;U71&amp;"*"&amp;TEXT(A71-utc_offset/24,"YYYYMMDD")&amp;LEFT(TEXT(A71-utc_offset/24,"HH"),1)&amp;"*"" | grep -E ""((Enforcement Ac)|(PRM))"" -"</f>
        <v>grep -hrE -A400 "Enforcement Action" /cygdrive/c/Users/stu/AppData/Local/Temp/OnboardLogs/RTDC4006 --include="*4006*201705201*" | grep -E "((Enforcement Ac)|(PRM))" -</v>
      </c>
      <c r="AD71" s="1" t="str">
        <f>"grep -hSE ""Enforcement Action"" "&amp;search_path&amp;"\RTDC"&amp;U71&amp;"\*"&amp;U71&amp;"*"&amp;TEXT(A71-utc_offset/24,"YYYYMMDD")&amp;LEFT(TEXT(A71-utc_offset/24,"HH"),1)&amp;"* &gt;&gt; "&amp;TEXT(Variables!$A$2,"YYYY-MM-DD")&amp;"-SliceDisagreementCheck.txt"</f>
        <v>grep -hSE "Enforcement Action" "%USERPROFILE%\AppData\Local\Temp\OnboardLogs"\RTDC4006\*4006*201705201* &gt;&gt; 2017-05-20-SliceDisagreementCheck.txt</v>
      </c>
      <c r="AE71" s="148" t="str">
        <f t="shared" si="9"/>
        <v>start /low /b %USERPROFILE%\Documents\GitHub\eaglep3\Utilities\DownloadLogsFromS3.py --loco 4006 --day 2017-05-20</v>
      </c>
      <c r="AF71" s="1"/>
    </row>
    <row r="72" spans="1:32" x14ac:dyDescent="0.25">
      <c r="A72" s="31">
        <v>42875.358252314814</v>
      </c>
      <c r="B72" s="30" t="s">
        <v>406</v>
      </c>
      <c r="C72" s="30" t="s">
        <v>595</v>
      </c>
      <c r="D72" s="30" t="s">
        <v>49</v>
      </c>
      <c r="E72" s="30" t="s">
        <v>185</v>
      </c>
      <c r="F72" s="42">
        <v>0</v>
      </c>
      <c r="G72" s="42">
        <v>37</v>
      </c>
      <c r="H72" s="42">
        <v>58975</v>
      </c>
      <c r="I72" s="42">
        <v>58999</v>
      </c>
      <c r="J72" s="30" t="s">
        <v>186</v>
      </c>
      <c r="K72" s="42">
        <v>59058</v>
      </c>
      <c r="L72" s="134" t="s">
        <v>50</v>
      </c>
      <c r="M72" s="135">
        <f t="shared" si="18"/>
        <v>31.152000000000001</v>
      </c>
      <c r="N72" s="136" t="str">
        <f>VLOOKUP(C72,'Trips&amp;Operators'!$C$1:$G$99999,5,FALSE)</f>
        <v>MACDONALD THOMAS</v>
      </c>
      <c r="O72" s="207" t="s">
        <v>184</v>
      </c>
      <c r="P72" s="137"/>
      <c r="Q72" s="30"/>
      <c r="R72" s="84" t="str">
        <f>IF(VLOOKUP(C72,'Train Runs'!$A$13:$AE$9922,1,1)=C72,VLOOKUP(C72,'Train Runs'!$A$13:$AE$9922,31,1),NA())</f>
        <v>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 &amp; aws s3 cp s3://rtdc.mdm.uploadarchive.raw/RTDC4006/ "%USERPROFILE%\AppData\Local\Temp\OnboardLogs"\RTDC4006\2017-05-21 --exclude "*" --recursive --include "*20170521*" &amp; "%USERPROFILE%\Documents\GitHub\mrs-test-scripts\Headless Mode &amp; Sideloading\WalkAndUnGZ.bat" "%USERPROFILE%\AppData\Local\Temp\OnboardLogs"\RTDC4006\2017-05-21</v>
      </c>
      <c r="S72" s="87" t="str">
        <f>VLOOKUP(C72,'Train Runs'!$A$13:$AE$9922,22,0)</f>
        <v>https://d0f6bd738d7f1b3e5a7ca70fe4ff75f0.us-east-1.aws.found.io/app/kibana#/discover/Steve-Slow-Train-Analysis-(2080s-and-2083s)?_g=(refreshInterval:(display:Off,pause:!f,section:0,value:0),time:(from:'2017-05-20T07:15:34-0600',mode:absolute,to:'2017-05-20T09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72" s="89" t="str">
        <f t="shared" si="19"/>
        <v>"C:\Program Files (x86)\AstroGrep\AstroGrep.exe" /e /r /s /spath="%USERPROFILE%\AppData\Local\Temp\OnboardLogs" /stypes="*4006*201705201*" /stext=" 14:.+((SYSTEM_STATE.+slice.+state.+changed )|(ment ac)|(multiple cpu faults)|(system.+state.+changed )|(\[timeout)|(PRM\|1\|D)|(kpr)|(kdp)|(train st.+moving)|(\|lc)|(penalty))"</v>
      </c>
      <c r="U72" s="9" t="str">
        <f t="shared" si="20"/>
        <v>4006</v>
      </c>
      <c r="V72" s="31">
        <f t="shared" si="21"/>
        <v>42875.608252314814</v>
      </c>
      <c r="W72" s="45" t="str">
        <f t="shared" si="22"/>
        <v>NW</v>
      </c>
      <c r="X72" s="45" t="str">
        <f t="shared" si="23"/>
        <v>KEEP</v>
      </c>
      <c r="Y72" s="99" t="str">
        <f t="shared" si="24"/>
        <v>echo {"issue":{"subject":"","project_id":79,"tracker_id":40,"status_id":1,"priority_id":2,"assigned_to_id":23,"start_date":"2017-05-20","description":"","custom_fields":[{"id":1,"name":"Subdivision","value":"NW"},{"id":4,"name":"Milepost","value":"5.9058"},{"id":17,"name":"Train ID","value":"1805-20"},{"id":16,"name":"Locomotive ID","value":"4006"},{"id":130,"name":"Impact","value":""},{"id":150,"name":"Time of Event (Mountain Time)","value":"08:35:53"},{"id":151,"name":"Denver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2" s="162"/>
      <c r="AA72" s="47"/>
      <c r="AB72" s="47"/>
      <c r="AC72" s="118" t="str">
        <f t="shared" si="25"/>
        <v>grep -hrE -A400 "Enforcement Action" /cygdrive/c/Users/stu/AppData/Local/Temp/OnboardLogs/RTDC4006 --include="*4006*201705201*" | grep -E "((Enforcement Ac)|(PRM))" -</v>
      </c>
      <c r="AD72" s="1" t="str">
        <f>"grep -hSE ""Enforcement Action"" "&amp;search_path&amp;"\RTDC"&amp;U72&amp;"\*"&amp;U72&amp;"*"&amp;TEXT(A72-utc_offset/24,"YYYYMMDD")&amp;LEFT(TEXT(A72-utc_offset/24,"HH"),1)&amp;"* &gt;&gt; "&amp;TEXT(Variables!$A$2,"YYYY-MM-DD")&amp;"-SliceDisagreementCheck.txt"</f>
        <v>grep -hSE "Enforcement Action" "%USERPROFILE%\AppData\Local\Temp\OnboardLogs"\RTDC4006\*4006*201705201* &gt;&gt; 2017-05-20-SliceDisagreementCheck.txt</v>
      </c>
      <c r="AE72" s="148" t="str">
        <f t="shared" ref="AE72:AE79" si="26">"start /low /b "&amp;dls3logs&amp;" --loco "&amp;U72&amp;" --day "&amp;TEXT(V72,"YYYY-MM-DD")</f>
        <v>start /low /b %USERPROFILE%\Documents\GitHub\eaglep3\Utilities\DownloadLogsFromS3.py --loco 4006 --day 2017-05-20</v>
      </c>
      <c r="AF72" s="1"/>
    </row>
    <row r="73" spans="1:32" x14ac:dyDescent="0.25">
      <c r="A73" s="31">
        <v>42875.399375000001</v>
      </c>
      <c r="B73" s="30" t="s">
        <v>406</v>
      </c>
      <c r="C73" s="30" t="s">
        <v>598</v>
      </c>
      <c r="D73" s="30" t="s">
        <v>49</v>
      </c>
      <c r="E73" s="30" t="s">
        <v>185</v>
      </c>
      <c r="F73" s="42">
        <v>0</v>
      </c>
      <c r="G73" s="42">
        <v>127</v>
      </c>
      <c r="H73" s="42">
        <v>58470</v>
      </c>
      <c r="I73" s="42">
        <v>58628</v>
      </c>
      <c r="J73" s="30" t="s">
        <v>186</v>
      </c>
      <c r="K73" s="42">
        <v>59058</v>
      </c>
      <c r="L73" s="134" t="s">
        <v>50</v>
      </c>
      <c r="M73" s="135">
        <f t="shared" si="18"/>
        <v>227.04</v>
      </c>
      <c r="N73" s="136" t="str">
        <f>VLOOKUP(C73,'Trips&amp;Operators'!$C$1:$G$99999,5,FALSE)</f>
        <v>MACDONALD THOMAS</v>
      </c>
      <c r="O73" s="207" t="s">
        <v>184</v>
      </c>
      <c r="P73" s="137"/>
      <c r="Q73" s="30"/>
      <c r="R73" s="84" t="str">
        <f>IF(VLOOKUP(C73,'Train Runs'!$A$13:$AE$9922,1,1)=C73,VLOOKUP(C73,'Train Runs'!$A$13:$AE$9922,31,1),NA())</f>
        <v>aws s3 cp s3://rtdc.mdm.uploadarchive.raw/RTDC4006/ "%USERPROFILE%\AppData\Local\Temp\OnboardLogs"\RTDC4006\2017-05-20 --exclude "*" --recursive --include "*20170520*" &amp; "%USERPROFILE%\Documents\GitHub\mrs-test-scripts\Headless Mode &amp; Sideloading\WalkAndUnGZ.bat" "%USERPROFILE%\AppData\Local\Temp\OnboardLogs"\RTDC4006\2017-05-20 &amp; aws s3 cp s3://rtdc.mdm.uploadarchive.raw/RTDC4006/ "%USERPROFILE%\AppData\Local\Temp\OnboardLogs"\RTDC4006\2017-05-21 --exclude "*" --recursive --include "*20170521*" &amp; "%USERPROFILE%\Documents\GitHub\mrs-test-scripts\Headless Mode &amp; Sideloading\WalkAndUnGZ.bat" "%USERPROFILE%\AppData\Local\Temp\OnboardLogs"\RTDC4006\2017-05-21</v>
      </c>
      <c r="S73" s="87" t="str">
        <f>VLOOKUP(C73,'Train Runs'!$A$13:$AE$9922,22,0)</f>
        <v>https://d0f6bd738d7f1b3e5a7ca70fe4ff75f0.us-east-1.aws.found.io/app/kibana#/discover/Steve-Slow-Train-Analysis-(2080s-and-2083s)?_g=(refreshInterval:(display:Off,pause:!f,section:0,value:0),time:(from:'2017-05-20T08:08:08-0600',mode:absolute,to:'2017-05-20T10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73" s="89" t="str">
        <f t="shared" si="19"/>
        <v>"C:\Program Files (x86)\AstroGrep\AstroGrep.exe" /e /r /s /spath="%USERPROFILE%\AppData\Local\Temp\OnboardLogs" /stypes="*4006*201705201*" /stext=" 15:.+((SYSTEM_STATE.+slice.+state.+changed )|(ment ac)|(multiple cpu faults)|(system.+state.+changed )|(\[timeout)|(PRM\|1\|D)|(kpr)|(kdp)|(train st.+moving)|(\|lc)|(penalty))"</v>
      </c>
      <c r="U73" s="9" t="str">
        <f t="shared" si="20"/>
        <v>4006</v>
      </c>
      <c r="V73" s="31">
        <f t="shared" si="21"/>
        <v>42875.649375000001</v>
      </c>
      <c r="W73" s="45" t="str">
        <f t="shared" si="22"/>
        <v>NW</v>
      </c>
      <c r="X73" s="45" t="str">
        <f t="shared" si="23"/>
        <v>KEEP</v>
      </c>
      <c r="Y73" s="99" t="str">
        <f t="shared" si="24"/>
        <v>echo {"issue":{"subject":"","project_id":79,"tracker_id":40,"status_id":1,"priority_id":2,"assigned_to_id":23,"start_date":"2017-05-20","description":"","custom_fields":[{"id":1,"name":"Subdivision","value":"NW"},{"id":4,"name":"Milepost","value":"5.9058"},{"id":17,"name":"Train ID","value":"1807-20"},{"id":16,"name":"Locomotive ID","value":"4006"},{"id":130,"name":"Impact","value":""},{"id":150,"name":"Time of Event (Mountain Time)","value":"09:35:06"},{"id":151,"name":"Denver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3" s="162"/>
      <c r="AA73" s="47"/>
      <c r="AB73" s="47"/>
      <c r="AC73" s="118" t="str">
        <f t="shared" si="25"/>
        <v>grep -hrE -A400 "Enforcement Action" /cygdrive/c/Users/stu/AppData/Local/Temp/OnboardLogs/RTDC4006 --include="*4006*201705201*" | grep -E "((Enforcement Ac)|(PRM))" -</v>
      </c>
      <c r="AD73" s="1" t="str">
        <f>"grep -hSE ""Enforcement Action"" "&amp;search_path&amp;"\RTDC"&amp;U73&amp;"\*"&amp;U73&amp;"*"&amp;TEXT(A73-utc_offset/24,"YYYYMMDD")&amp;LEFT(TEXT(A73-utc_offset/24,"HH"),1)&amp;"* &gt;&gt; "&amp;TEXT(Variables!$A$2,"YYYY-MM-DD")&amp;"-SliceDisagreementCheck.txt"</f>
        <v>grep -hSE "Enforcement Action" "%USERPROFILE%\AppData\Local\Temp\OnboardLogs"\RTDC4006\*4006*201705201* &gt;&gt; 2017-05-20-SliceDisagreementCheck.txt</v>
      </c>
      <c r="AE73" s="148" t="str">
        <f t="shared" si="26"/>
        <v>start /low /b %USERPROFILE%\Documents\GitHub\eaglep3\Utilities\DownloadLogsFromS3.py --loco 4006 --day 2017-05-20</v>
      </c>
      <c r="AF73" s="1"/>
    </row>
    <row r="74" spans="1:32" x14ac:dyDescent="0.25">
      <c r="A74" s="31">
        <v>42875.33902777778</v>
      </c>
      <c r="B74" s="30" t="s">
        <v>480</v>
      </c>
      <c r="C74" s="30" t="s">
        <v>593</v>
      </c>
      <c r="D74" s="30" t="s">
        <v>98</v>
      </c>
      <c r="E74" s="30" t="s">
        <v>371</v>
      </c>
      <c r="F74" s="42">
        <v>0</v>
      </c>
      <c r="G74" s="42">
        <v>27</v>
      </c>
      <c r="H74" s="42">
        <v>2820</v>
      </c>
      <c r="I74" s="42">
        <v>2728</v>
      </c>
      <c r="J74" s="30" t="s">
        <v>372</v>
      </c>
      <c r="K74" s="42">
        <v>2822</v>
      </c>
      <c r="L74" s="134" t="s">
        <v>51</v>
      </c>
      <c r="M74" s="135">
        <f t="shared" si="18"/>
        <v>-49.631999999999998</v>
      </c>
      <c r="N74" s="136" t="str">
        <f>VLOOKUP(C74,'Trips&amp;Operators'!$C$1:$G$99999,5,FALSE)</f>
        <v>BEAM ROSS</v>
      </c>
      <c r="O74" s="207" t="s">
        <v>184</v>
      </c>
      <c r="P74" s="137"/>
      <c r="Q74" s="30"/>
      <c r="R74" s="84" t="str">
        <f>IF(VLOOKUP(C74,'Train Runs'!$A$13:$AE$9922,1,1)=C74,VLOOKUP(C74,'Train Runs'!$A$13:$AE$9922,31,1),NA())</f>
        <v>aws s3 cp s3://rtdc.mdm.uploadarchive.raw/RTDC4056/ "%USERPROFILE%\AppData\Local\Temp\OnboardLogs"\RTDC4056\2017-05-20 --exclude "*" --recursive --include "*20170520*" &amp; "%USERPROFILE%\Documents\GitHub\mrs-test-scripts\Headless Mode &amp; Sideloading\WalkAndUnGZ.bat" "%USERPROFILE%\AppData\Local\Temp\OnboardLogs"\RTDC4056\2017-05-20 &amp; aws s3 cp s3://rtdc.mdm.uploadarchive.raw/RTDC4056/ "%USERPROFILE%\AppData\Local\Temp\OnboardLogs"\RTDC4056\2017-05-21 --exclude "*" --recursive --include "*20170521*" &amp; "%USERPROFILE%\Documents\GitHub\mrs-test-scripts\Headless Mode &amp; Sideloading\WalkAndUnGZ.bat" "%USERPROFILE%\AppData\Local\Temp\OnboardLogs"\RTDC4056\2017-05-21</v>
      </c>
      <c r="S74" s="87" t="str">
        <f>VLOOKUP(C74,'Train Runs'!$A$13:$AE$9922,22,0)</f>
        <v>https://d0f6bd738d7f1b3e5a7ca70fe4ff75f0.us-east-1.aws.found.io/app/kibana#/discover/Steve-Slow-Train-Analysis-(2080s-and-2083s)?_g=(refreshInterval:(display:Off,pause:!f,section:0,value:0),time:(from:'2017-05-20T07:06:18-0600',mode:absolute,to:'2017-05-20T09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74" s="89" t="str">
        <f t="shared" si="19"/>
        <v>"C:\Program Files (x86)\AstroGrep\AstroGrep.exe" /e /r /s /spath="%USERPROFILE%\AppData\Local\Temp\OnboardLogs" /stypes="*4055*201705201*" /stext=" 14:.+((SYSTEM_STATE.+slice.+state.+changed )|(ment ac)|(multiple cpu faults)|(system.+state.+changed )|(\[timeout)|(PRM\|1\|D)|(kpr)|(kdp)|(train st.+moving)|(\|lc)|(penalty))"</v>
      </c>
      <c r="U74" s="9" t="str">
        <f t="shared" si="20"/>
        <v>4055</v>
      </c>
      <c r="V74" s="31">
        <f t="shared" si="21"/>
        <v>42875.58902777778</v>
      </c>
      <c r="W74" s="45" t="str">
        <f t="shared" si="22"/>
        <v>Other</v>
      </c>
      <c r="X74" s="45" t="str">
        <f t="shared" si="23"/>
        <v>KEEP</v>
      </c>
      <c r="Y74" s="99" t="str">
        <f t="shared" si="24"/>
        <v>echo {"issue":{"subject":"","project_id":79,"tracker_id":40,"status_id":1,"priority_id":2,"assigned_to_id":23,"start_date":"2017-05-20","description":"","custom_fields":[{"id":1,"name":"Subdivision","value":"Other"},{"id":4,"name":"Milepost","value":"0.2822"},{"id":17,"name":"Train ID","value":"53-20"},{"id":16,"name":"Locomotive ID","value":"4055"},{"id":130,"name":"Impact","value":""},{"id":150,"name":"Time of Event (Mountain Time)","value":"08:08:12"},{"id":151,"name":"Denver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4" s="162"/>
      <c r="AA74" s="47"/>
      <c r="AB74" s="47"/>
      <c r="AC74" s="118" t="str">
        <f t="shared" si="25"/>
        <v>grep -hrE -A400 "Enforcement Action" /cygdrive/c/Users/stu/AppData/Local/Temp/OnboardLogs/RTDC4055 --include="*4055*201705201*" | grep -E "((Enforcement Ac)|(PRM))" -</v>
      </c>
      <c r="AD74" s="1" t="str">
        <f>"grep -hSE ""Enforcement Action"" "&amp;search_path&amp;"\RTDC"&amp;U74&amp;"\*"&amp;U74&amp;"*"&amp;TEXT(A74-utc_offset/24,"YYYYMMDD")&amp;LEFT(TEXT(A74-utc_offset/24,"HH"),1)&amp;"* &gt;&gt; "&amp;TEXT(Variables!$A$2,"YYYY-MM-DD")&amp;"-SliceDisagreementCheck.txt"</f>
        <v>grep -hSE "Enforcement Action" "%USERPROFILE%\AppData\Local\Temp\OnboardLogs"\RTDC4055\*4055*201705201* &gt;&gt; 2017-05-20-SliceDisagreementCheck.txt</v>
      </c>
      <c r="AE74" s="148" t="str">
        <f t="shared" si="26"/>
        <v>start /low /b %USERPROFILE%\Documents\GitHub\eaglep3\Utilities\DownloadLogsFromS3.py --loco 4055 --day 2017-05-20</v>
      </c>
      <c r="AF74" s="1"/>
    </row>
    <row r="75" spans="1:32" x14ac:dyDescent="0.25">
      <c r="A75" s="31">
        <v>42875.983703703707</v>
      </c>
      <c r="B75" s="30" t="s">
        <v>534</v>
      </c>
      <c r="C75" s="30" t="s">
        <v>640</v>
      </c>
      <c r="D75" s="30" t="s">
        <v>49</v>
      </c>
      <c r="E75" s="30" t="s">
        <v>371</v>
      </c>
      <c r="F75" s="42">
        <v>0</v>
      </c>
      <c r="G75" s="42">
        <v>670</v>
      </c>
      <c r="H75" s="42">
        <v>208445</v>
      </c>
      <c r="I75" s="42">
        <v>205905</v>
      </c>
      <c r="J75" s="30" t="s">
        <v>372</v>
      </c>
      <c r="K75" s="42">
        <v>204340</v>
      </c>
      <c r="L75" s="134" t="s">
        <v>51</v>
      </c>
      <c r="M75" s="135">
        <f t="shared" si="18"/>
        <v>826.32</v>
      </c>
      <c r="N75" s="136" t="str">
        <f>VLOOKUP(C75,'Trips&amp;Operators'!$C$1:$G$99999,5,FALSE)</f>
        <v>SULLIVAN BRANDON</v>
      </c>
      <c r="O75" s="207" t="s">
        <v>184</v>
      </c>
      <c r="P75" s="137"/>
      <c r="Q75" s="30"/>
      <c r="R75" s="84" t="str">
        <f>IF(VLOOKUP(C75,'Train Runs'!$A$13:$AE$9922,1,1)=C75,VLOOKUP(C75,'Train Runs'!$A$13:$AE$9922,31,1),NA())</f>
        <v>aws s3 cp s3://rtdc.mdm.uploadarchive.raw/RTDC4061/ "%USERPROFILE%\AppData\Local\Temp\OnboardLogs"\RTDC4061\2017-05-20 --exclude "*" --recursive --include "*20170520*" &amp; "%USERPROFILE%\Documents\GitHub\mrs-test-scripts\Headless Mode &amp; Sideloading\WalkAndUnGZ.bat" "%USERPROFILE%\AppData\Local\Temp\OnboardLogs"\RTDC4061\2017-05-20 &amp; aws s3 cp s3://rtdc.mdm.uploadarchive.raw/RTDC4061/ "%USERPROFILE%\AppData\Local\Temp\OnboardLogs"\RTDC4061\2017-05-21 --exclude "*" --recursive --include "*20170521*" &amp; "%USERPROFILE%\Documents\GitHub\mrs-test-scripts\Headless Mode &amp; Sideloading\WalkAndUnGZ.bat" "%USERPROFILE%\AppData\Local\Temp\OnboardLogs"\RTDC4061\2017-05-21</v>
      </c>
      <c r="S75" s="87" t="str">
        <f>VLOOKUP(C75,'Train Runs'!$A$13:$AE$9922,22,0)</f>
        <v>https://d0f6bd738d7f1b3e5a7ca70fe4ff75f0.us-east-1.aws.found.io/app/kibana#/discover/Steve-Slow-Train-Analysis-(2080s-and-2083s)?_g=(refreshInterval:(display:Off,pause:!f,section:0,value:0),time:(from:'2017-05-20T22:30:03-0600',mode:absolute,to:'2017-05-21T01:22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75" s="89" t="str">
        <f t="shared" si="19"/>
        <v>"C:\Program Files (x86)\AstroGrep\AstroGrep.exe" /e /r /s /spath="%USERPROFILE%\AppData\Local\Temp\OnboardLogs" /stypes="*4061*201705210*" /stext=" 05:.+((SYSTEM_STATE.+slice.+state.+changed )|(ment ac)|(multiple cpu faults)|(system.+state.+changed )|(\[timeout)|(PRM\|1\|D)|(kpr)|(kdp)|(train st.+moving)|(\|lc)|(penalty))"</v>
      </c>
      <c r="U75" s="9" t="str">
        <f t="shared" si="20"/>
        <v>4061</v>
      </c>
      <c r="V75" s="31">
        <f t="shared" si="21"/>
        <v>42876.233703703707</v>
      </c>
      <c r="W75" s="45" t="str">
        <f t="shared" si="22"/>
        <v>Other</v>
      </c>
      <c r="X75" s="45" t="str">
        <f t="shared" si="23"/>
        <v>KEEP</v>
      </c>
      <c r="Y75" s="99" t="str">
        <f t="shared" si="24"/>
        <v>echo {"issue":{"subject":"","project_id":79,"tracker_id":40,"status_id":1,"priority_id":2,"assigned_to_id":23,"start_date":"2017-05-20","description":"","custom_fields":[{"id":1,"name":"Subdivision","value":"Other"},{"id":4,"name":"Milepost","value":"20.434"},{"id":17,"name":"Train ID","value":"80-20"},{"id":16,"name":"Locomotive ID","value":"4061"},{"id":130,"name":"Impact","value":""},{"id":150,"name":"Time of Event (Mountain Time)","value":"23:36:32"},{"id":151,"name":"Denver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5" s="162"/>
      <c r="AA75" s="47"/>
      <c r="AB75" s="47"/>
      <c r="AC75" s="118" t="str">
        <f t="shared" si="25"/>
        <v>grep -hrE -A400 "Enforcement Action" /cygdrive/c/Users/stu/AppData/Local/Temp/OnboardLogs/RTDC4061 --include="*4061*201705210*" | grep -E "((Enforcement Ac)|(PRM))" -</v>
      </c>
      <c r="AD75" s="1" t="str">
        <f>"grep -hSE ""Enforcement Action"" "&amp;search_path&amp;"\RTDC"&amp;U75&amp;"\*"&amp;U75&amp;"*"&amp;TEXT(A75-utc_offset/24,"YYYYMMDD")&amp;LEFT(TEXT(A75-utc_offset/24,"HH"),1)&amp;"* &gt;&gt; "&amp;TEXT(Variables!$A$2,"YYYY-MM-DD")&amp;"-SliceDisagreementCheck.txt"</f>
        <v>grep -hSE "Enforcement Action" "%USERPROFILE%\AppData\Local\Temp\OnboardLogs"\RTDC4061\*4061*201705210* &gt;&gt; 2017-05-20-SliceDisagreementCheck.txt</v>
      </c>
      <c r="AE75" s="148" t="str">
        <f t="shared" si="26"/>
        <v>start /low /b %USERPROFILE%\Documents\GitHub\eaglep3\Utilities\DownloadLogsFromS3.py --loco 4061 --day 2017-05-21</v>
      </c>
      <c r="AF75" s="1"/>
    </row>
    <row r="76" spans="1:32" x14ac:dyDescent="0.25">
      <c r="A76" s="31">
        <v>42876.052060185182</v>
      </c>
      <c r="B76" s="30" t="s">
        <v>518</v>
      </c>
      <c r="C76" s="30" t="s">
        <v>643</v>
      </c>
      <c r="D76" s="30" t="s">
        <v>49</v>
      </c>
      <c r="E76" s="30" t="s">
        <v>600</v>
      </c>
      <c r="F76" s="42">
        <v>0</v>
      </c>
      <c r="G76" s="42">
        <v>588</v>
      </c>
      <c r="H76" s="42">
        <v>216475</v>
      </c>
      <c r="I76" s="42">
        <v>218403</v>
      </c>
      <c r="J76" s="30" t="s">
        <v>513</v>
      </c>
      <c r="K76" s="42">
        <v>217106</v>
      </c>
      <c r="L76" s="134" t="s">
        <v>50</v>
      </c>
      <c r="M76" s="135">
        <f t="shared" si="18"/>
        <v>-684.81600000000003</v>
      </c>
      <c r="N76" s="136" t="str">
        <f>VLOOKUP(C76,'Trips&amp;Operators'!$C$1:$G$99999,5,FALSE)</f>
        <v>SULLIVAN BRANDON</v>
      </c>
      <c r="O76" s="207" t="s">
        <v>184</v>
      </c>
      <c r="P76" s="137"/>
      <c r="Q76" s="30"/>
      <c r="R76" s="84" t="str">
        <f>IF(VLOOKUP(C76,'Train Runs'!$A$13:$AE$9922,1,1)=C76,VLOOKUP(C76,'Train Runs'!$A$13:$AE$9922,31,1),NA())</f>
        <v>aws s3 cp s3://rtdc.mdm.uploadarchive.raw/RTDC4062/ "%USERPROFILE%\AppData\Local\Temp\OnboardLogs"\RTDC4062\2017-05-21 --exclude "*" --recursive --include "*20170521*" &amp; "%USERPROFILE%\Documents\GitHub\mrs-test-scripts\Headless Mode &amp; Sideloading\WalkAndUnGZ.bat" "%USERPROFILE%\AppData\Local\Temp\OnboardLogs"\RTDC4062\2017-05-21 &amp; aws s3 cp s3://rtdc.mdm.uploadarchive.raw/RTDC4062/ "%USERPROFILE%\AppData\Local\Temp\OnboardLogs"\RTDC4062\2017-05-22 --exclude "*" --recursive --include "*20170522*" &amp; "%USERPROFILE%\Documents\GitHub\mrs-test-scripts\Headless Mode &amp; Sideloading\WalkAndUnGZ.bat" "%USERPROFILE%\AppData\Local\Temp\OnboardLogs"\RTDC4062\2017-05-22</v>
      </c>
      <c r="S76" s="87" t="str">
        <f>VLOOKUP(C76,'Train Runs'!$A$13:$AE$9922,22,0)</f>
        <v>https://d0f6bd738d7f1b3e5a7ca70fe4ff75f0.us-east-1.aws.found.io/app/kibana#/discover/Steve-Slow-Train-Analysis-(2080s-and-2083s)?_g=(refreshInterval:(display:Off,pause:!f,section:0,value:0),time:(from:'2017-05-20T19:26:32-0600',mode:absolute,to:'2017-05-20T22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76" s="89" t="str">
        <f t="shared" si="19"/>
        <v>"C:\Program Files (x86)\AstroGrep\AstroGrep.exe" /e /r /s /spath="%USERPROFILE%\AppData\Local\Temp\OnboardLogs" /stypes="*4062*201705210*" /stext=" 07:.+((SYSTEM_STATE.+slice.+state.+changed )|(ment ac)|(multiple cpu faults)|(system.+state.+changed )|(\[timeout)|(PRM\|1\|D)|(kpr)|(kdp)|(train st.+moving)|(\|lc)|(penalty))"</v>
      </c>
      <c r="U76" s="9" t="str">
        <f t="shared" si="20"/>
        <v>4062</v>
      </c>
      <c r="V76" s="31">
        <f t="shared" si="21"/>
        <v>42876.302060185182</v>
      </c>
      <c r="W76" s="45" t="str">
        <f t="shared" si="22"/>
        <v>Other</v>
      </c>
      <c r="X76" s="45" t="str">
        <f t="shared" si="23"/>
        <v>KEEP</v>
      </c>
      <c r="Y76" s="99" t="str">
        <f t="shared" si="24"/>
        <v>echo {"issue":{"subject":"","project_id":79,"tracker_id":40,"status_id":1,"priority_id":2,"assigned_to_id":23,"start_date":"2017-05-21","description":"","custom_fields":[{"id":1,"name":"Subdivision","value":"Other"},{"id":4,"name":"Milepost","value":"21.7106"},{"id":17,"name":"Train ID","value":"81-20"},{"id":16,"name":"Locomotive ID","value":"4062"},{"id":130,"name":"Impact","value":""},{"id":150,"name":"Time of Event (Mountain Time)","value":"01:14:58"},{"id":151,"name":"Denver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6" s="162"/>
      <c r="AA76" s="47"/>
      <c r="AB76" s="47"/>
      <c r="AC76" s="118" t="str">
        <f t="shared" si="25"/>
        <v>grep -hrE -A400 "Enforcement Action" /cygdrive/c/Users/stu/AppData/Local/Temp/OnboardLogs/RTDC4062 --include="*4062*201705210*" | grep -E "((Enforcement Ac)|(PRM))" -</v>
      </c>
      <c r="AD76" s="1" t="str">
        <f>"grep -hSE ""Enforcement Action"" "&amp;search_path&amp;"\RTDC"&amp;U76&amp;"\*"&amp;U76&amp;"*"&amp;TEXT(A76-utc_offset/24,"YYYYMMDD")&amp;LEFT(TEXT(A76-utc_offset/24,"HH"),1)&amp;"* &gt;&gt; "&amp;TEXT(Variables!$A$2,"YYYY-MM-DD")&amp;"-SliceDisagreementCheck.txt"</f>
        <v>grep -hSE "Enforcement Action" "%USERPROFILE%\AppData\Local\Temp\OnboardLogs"\RTDC4062\*4062*201705210* &gt;&gt; 2017-05-20-SliceDisagreementCheck.txt</v>
      </c>
      <c r="AE76" s="148" t="str">
        <f t="shared" si="26"/>
        <v>start /low /b %USERPROFILE%\Documents\GitHub\eaglep3\Utilities\DownloadLogsFromS3.py --loco 4062 --day 2017-05-21</v>
      </c>
      <c r="AF76" s="1"/>
    </row>
    <row r="77" spans="1:32" x14ac:dyDescent="0.25">
      <c r="A77" s="31">
        <v>42875.595081018517</v>
      </c>
      <c r="B77" s="30" t="s">
        <v>480</v>
      </c>
      <c r="C77" s="30" t="s">
        <v>611</v>
      </c>
      <c r="D77" s="30" t="s">
        <v>49</v>
      </c>
      <c r="E77" s="30" t="s">
        <v>185</v>
      </c>
      <c r="F77" s="42">
        <v>0</v>
      </c>
      <c r="G77" s="42">
        <v>9</v>
      </c>
      <c r="H77" s="42">
        <v>845</v>
      </c>
      <c r="I77" s="42">
        <v>837</v>
      </c>
      <c r="J77" s="30" t="s">
        <v>186</v>
      </c>
      <c r="K77" s="42">
        <v>826</v>
      </c>
      <c r="L77" s="134" t="s">
        <v>51</v>
      </c>
      <c r="M77" s="135">
        <f t="shared" si="18"/>
        <v>5.8079999999999998</v>
      </c>
      <c r="N77" s="136" t="str">
        <f>VLOOKUP(C77,'Trips&amp;Operators'!$C$1:$G$99999,5,FALSE)</f>
        <v>LOPES KIMBERLY</v>
      </c>
      <c r="O77" s="207" t="s">
        <v>184</v>
      </c>
      <c r="P77" s="137"/>
      <c r="Q77" s="30"/>
      <c r="R77" s="84" t="str">
        <f>IF(VLOOKUP(C77,'Train Runs'!$A$13:$AE$9922,1,1)=C77,VLOOKUP(C77,'Train Runs'!$A$13:$AE$9922,31,1),NA())</f>
        <v>aws s3 cp s3://rtdc.mdm.uploadarchive.raw/RTDC4056/ "%USERPROFILE%\AppData\Local\Temp\OnboardLogs"\RTDC4056\2017-05-20 --exclude "*" --recursive --include "*20170520*" &amp; "%USERPROFILE%\Documents\GitHub\mrs-test-scripts\Headless Mode &amp; Sideloading\WalkAndUnGZ.bat" "%USERPROFILE%\AppData\Local\Temp\OnboardLogs"\RTDC4056\2017-05-20 &amp; aws s3 cp s3://rtdc.mdm.uploadarchive.raw/RTDC4056/ "%USERPROFILE%\AppData\Local\Temp\OnboardLogs"\RTDC4056\2017-05-21 --exclude "*" --recursive --include "*20170521*" &amp; "%USERPROFILE%\Documents\GitHub\mrs-test-scripts\Headless Mode &amp; Sideloading\WalkAndUnGZ.bat" "%USERPROFILE%\AppData\Local\Temp\OnboardLogs"\RTDC4056\2017-05-21</v>
      </c>
      <c r="S77" s="87" t="str">
        <f>VLOOKUP(C77,'Train Runs'!$A$13:$AE$9922,22,0)</f>
        <v>https://d0f6bd738d7f1b3e5a7ca70fe4ff75f0.us-east-1.aws.found.io/app/kibana#/discover/Steve-Slow-Train-Analysis-(2080s-and-2083s)?_g=(refreshInterval:(display:Off,pause:!f,section:0,value:0),time:(from:'2017-05-20T13:11:57-0600',mode:absolute,to:'2017-05-20T15:15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77" s="89" t="str">
        <f t="shared" si="19"/>
        <v>"C:\Program Files (x86)\AstroGrep\AstroGrep.exe" /e /r /s /spath="%USERPROFILE%\AppData\Local\Temp\OnboardLogs" /stypes="*4055*201705202*" /stext=" 20:.+((SYSTEM_STATE.+slice.+state.+changed )|(ment ac)|(multiple cpu faults)|(system.+state.+changed )|(\[timeout)|(PRM\|1\|D)|(kpr)|(kdp)|(train st.+moving)|(\|lc)|(penalty))"</v>
      </c>
      <c r="U77" s="9" t="str">
        <f t="shared" si="20"/>
        <v>4055</v>
      </c>
      <c r="V77" s="31">
        <f t="shared" si="21"/>
        <v>42875.845081018517</v>
      </c>
      <c r="W77" s="45" t="str">
        <f t="shared" si="22"/>
        <v>Other</v>
      </c>
      <c r="X77" s="45" t="str">
        <f t="shared" si="23"/>
        <v>OMIT</v>
      </c>
      <c r="Y77" s="99" t="str">
        <f t="shared" si="24"/>
        <v>echo {"issue":{"subject":"","project_id":79,"tracker_id":40,"status_id":1,"priority_id":2,"assigned_to_id":23,"start_date":"2017-05-20","description":"","custom_fields":[{"id":1,"name":"Subdivision","value":"Other"},{"id":4,"name":"Milepost","value":"0.0826"},{"id":17,"name":"Train ID","value":"61-20"},{"id":16,"name":"Locomotive ID","value":"4055"},{"id":130,"name":"Impact","value":""},{"id":150,"name":"Time of Event (Mountain Time)","value":"14:16:55"},{"id":151,"name":"Denver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7" s="162"/>
      <c r="AA77" s="47"/>
      <c r="AB77" s="47"/>
      <c r="AC77" s="118" t="str">
        <f t="shared" si="25"/>
        <v>grep -hrE -A400 "Enforcement Action" /cygdrive/c/Users/stu/AppData/Local/Temp/OnboardLogs/RTDC4055 --include="*4055*201705202*" | grep -E "((Enforcement Ac)|(PRM))" -</v>
      </c>
      <c r="AD77" s="1" t="str">
        <f>"grep -hSE ""Enforcement Action"" "&amp;search_path&amp;"\RTDC"&amp;U77&amp;"\*"&amp;U77&amp;"*"&amp;TEXT(A77-utc_offset/24,"YYYYMMDD")&amp;LEFT(TEXT(A77-utc_offset/24,"HH"),1)&amp;"* &gt;&gt; "&amp;TEXT(Variables!$A$2,"YYYY-MM-DD")&amp;"-SliceDisagreementCheck.txt"</f>
        <v>grep -hSE "Enforcement Action" "%USERPROFILE%\AppData\Local\Temp\OnboardLogs"\RTDC4055\*4055*201705202* &gt;&gt; 2017-05-20-SliceDisagreementCheck.txt</v>
      </c>
      <c r="AE77" s="148" t="str">
        <f t="shared" si="26"/>
        <v>start /low /b %USERPROFILE%\Documents\GitHub\eaglep3\Utilities\DownloadLogsFromS3.py --loco 4055 --day 2017-05-20</v>
      </c>
      <c r="AF77" s="1"/>
    </row>
    <row r="78" spans="1:32" x14ac:dyDescent="0.25">
      <c r="A78" s="31">
        <v>42875.738067129627</v>
      </c>
      <c r="B78" s="30" t="s">
        <v>620</v>
      </c>
      <c r="C78" s="30" t="s">
        <v>621</v>
      </c>
      <c r="D78" s="30" t="s">
        <v>49</v>
      </c>
      <c r="E78" s="30" t="s">
        <v>185</v>
      </c>
      <c r="F78" s="42">
        <v>0</v>
      </c>
      <c r="G78" s="42">
        <v>21</v>
      </c>
      <c r="H78" s="42">
        <v>887</v>
      </c>
      <c r="I78" s="42">
        <v>876</v>
      </c>
      <c r="J78" s="30" t="s">
        <v>186</v>
      </c>
      <c r="K78" s="42">
        <v>826</v>
      </c>
      <c r="L78" s="134" t="s">
        <v>51</v>
      </c>
      <c r="M78" s="135">
        <f t="shared" si="18"/>
        <v>26.4</v>
      </c>
      <c r="N78" s="136" t="str">
        <f>VLOOKUP(C78,'Trips&amp;Operators'!$C$1:$G$99999,5,FALSE)</f>
        <v>FORTUNATO FRANK</v>
      </c>
      <c r="O78" s="207" t="s">
        <v>184</v>
      </c>
      <c r="P78" s="137"/>
      <c r="Q78" s="30"/>
      <c r="R78" s="84" t="str">
        <f>IF(VLOOKUP(C78,'Train Runs'!$A$13:$AE$9922,1,1)=C78,VLOOKUP(C78,'Train Runs'!$A$13:$AE$9922,31,1),NA())</f>
        <v>aws s3 cp s3://rtdc.mdm.uploadarchive.raw/RTDC4017/ "%USERPROFILE%\AppData\Local\Temp\OnboardLogs"\RTDC4017\2017-05-20 --exclude "*" --recursive --include "*20170520*" &amp; "%USERPROFILE%\Documents\GitHub\mrs-test-scripts\Headless Mode &amp; Sideloading\WalkAndUnGZ.bat" "%USERPROFILE%\AppData\Local\Temp\OnboardLogs"\RTDC4017\2017-05-20 &amp; aws s3 cp s3://rtdc.mdm.uploadarchive.raw/RTDC4017/ "%USERPROFILE%\AppData\Local\Temp\OnboardLogs"\RTDC4017\2017-05-21 --exclude "*" --recursive --include "*20170521*" &amp; "%USERPROFILE%\Documents\GitHub\mrs-test-scripts\Headless Mode &amp; Sideloading\WalkAndUnGZ.bat" "%USERPROFILE%\AppData\Local\Temp\OnboardLogs"\RTDC4017\2017-05-21</v>
      </c>
      <c r="S78" s="87" t="str">
        <f>VLOOKUP(C78,'Train Runs'!$A$13:$AE$9922,22,0)</f>
        <v>https://d0f6bd738d7f1b3e5a7ca70fe4ff75f0.us-east-1.aws.found.io/app/kibana#/discover/Steve-Slow-Train-Analysis-(2080s-and-2083s)?_g=(refreshInterval:(display:Off,pause:!f,section:0,value:0),time:(from:'2017-05-20T16:28:02-0600',mode:absolute,to:'2017-05-20T18:42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78" s="89" t="str">
        <f t="shared" si="19"/>
        <v>"C:\Program Files (x86)\AstroGrep\AstroGrep.exe" /e /r /s /spath="%USERPROFILE%\AppData\Local\Temp\OnboardLogs" /stypes="*4017*201705202*" /stext=" 23:.+((SYSTEM_STATE.+slice.+state.+changed )|(ment ac)|(multiple cpu faults)|(system.+state.+changed )|(\[timeout)|(PRM\|1\|D)|(kpr)|(kdp)|(train st.+moving)|(\|lc)|(penalty))"</v>
      </c>
      <c r="U78" s="9" t="str">
        <f t="shared" si="20"/>
        <v>4017</v>
      </c>
      <c r="V78" s="31">
        <f t="shared" si="21"/>
        <v>42875.988067129627</v>
      </c>
      <c r="W78" s="45" t="str">
        <f t="shared" si="22"/>
        <v>Other</v>
      </c>
      <c r="X78" s="45" t="str">
        <f t="shared" si="23"/>
        <v>KEEP</v>
      </c>
      <c r="Y78" s="99" t="str">
        <f t="shared" si="24"/>
        <v>echo {"issue":{"subject":"","project_id":79,"tracker_id":40,"status_id":1,"priority_id":2,"assigned_to_id":23,"start_date":"2017-05-20","description":"","custom_fields":[{"id":1,"name":"Subdivision","value":"Other"},{"id":4,"name":"Milepost","value":"0.0826"},{"id":17,"name":"Train ID","value":"72-20"},{"id":16,"name":"Locomotive ID","value":"4017"},{"id":130,"name":"Impact","value":""},{"id":150,"name":"Time of Event (Mountain Time)","value":"17:42:49"},{"id":151,"name":"Denver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8" s="162"/>
      <c r="AA78" s="47"/>
      <c r="AB78" s="47"/>
      <c r="AC78" s="118" t="str">
        <f t="shared" si="25"/>
        <v>grep -hrE -A400 "Enforcement Action" /cygdrive/c/Users/stu/AppData/Local/Temp/OnboardLogs/RTDC4017 --include="*4017*201705202*" | grep -E "((Enforcement Ac)|(PRM))" -</v>
      </c>
      <c r="AD78" s="1" t="str">
        <f>"grep -hSE ""Enforcement Action"" "&amp;search_path&amp;"\RTDC"&amp;U78&amp;"\*"&amp;U78&amp;"*"&amp;TEXT(A78-utc_offset/24,"YYYYMMDD")&amp;LEFT(TEXT(A78-utc_offset/24,"HH"),1)&amp;"* &gt;&gt; "&amp;TEXT(Variables!$A$2,"YYYY-MM-DD")&amp;"-SliceDisagreementCheck.txt"</f>
        <v>grep -hSE "Enforcement Action" "%USERPROFILE%\AppData\Local\Temp\OnboardLogs"\RTDC4017\*4017*201705202* &gt;&gt; 2017-05-20-SliceDisagreementCheck.txt</v>
      </c>
      <c r="AE78" s="148" t="str">
        <f t="shared" si="26"/>
        <v>start /low /b %USERPROFILE%\Documents\GitHub\eaglep3\Utilities\DownloadLogsFromS3.py --loco 4017 --day 2017-05-20</v>
      </c>
      <c r="AF78" s="1"/>
    </row>
    <row r="79" spans="1:32" x14ac:dyDescent="0.25">
      <c r="A79" s="31">
        <v>42875.82472222222</v>
      </c>
      <c r="B79" s="30" t="s">
        <v>620</v>
      </c>
      <c r="C79" s="30" t="s">
        <v>632</v>
      </c>
      <c r="D79" s="30" t="s">
        <v>49</v>
      </c>
      <c r="E79" s="30" t="s">
        <v>185</v>
      </c>
      <c r="F79" s="42">
        <v>0</v>
      </c>
      <c r="G79" s="42">
        <v>39</v>
      </c>
      <c r="H79" s="42">
        <v>973</v>
      </c>
      <c r="I79" s="42">
        <v>937</v>
      </c>
      <c r="J79" s="30" t="s">
        <v>186</v>
      </c>
      <c r="K79" s="42">
        <v>839</v>
      </c>
      <c r="L79" s="134" t="s">
        <v>51</v>
      </c>
      <c r="M79" s="135">
        <f t="shared" si="18"/>
        <v>51.744</v>
      </c>
      <c r="N79" s="136" t="str">
        <f>VLOOKUP(C79,'Trips&amp;Operators'!$C$1:$G$99999,5,FALSE)</f>
        <v>FORTUNATO FRANK</v>
      </c>
      <c r="O79" s="207" t="s">
        <v>184</v>
      </c>
      <c r="P79" s="137"/>
      <c r="Q79" s="30"/>
      <c r="R79" s="84" t="str">
        <f>IF(VLOOKUP(C79,'Train Runs'!$A$13:$AE$9922,1,1)=C79,VLOOKUP(C79,'Train Runs'!$A$13:$AE$9922,31,1),NA())</f>
        <v>aws s3 cp s3://rtdc.mdm.uploadarchive.raw/RTDC4018/ "%USERPROFILE%\AppData\Local\Temp\OnboardLogs"\RTDC4018\2017-05-20 --exclude "*" --recursive --include "*20170520*" &amp; "%USERPROFILE%\Documents\GitHub\mrs-test-scripts\Headless Mode &amp; Sideloading\WalkAndUnGZ.bat" "%USERPROFILE%\AppData\Local\Temp\OnboardLogs"\RTDC4018\2017-05-20 &amp; aws s3 cp s3://rtdc.mdm.uploadarchive.raw/RTDC4018/ "%USERPROFILE%\AppData\Local\Temp\OnboardLogs"\RTDC4018\2017-05-21 --exclude "*" --recursive --include "*20170521*" &amp; "%USERPROFILE%\Documents\GitHub\mrs-test-scripts\Headless Mode &amp; Sideloading\WalkAndUnGZ.bat" "%USERPROFILE%\AppData\Local\Temp\OnboardLogs"\RTDC4018\2017-05-21</v>
      </c>
      <c r="S79" s="87" t="str">
        <f>VLOOKUP(C79,'Train Runs'!$A$13:$AE$9922,22,0)</f>
        <v>https://d0f6bd738d7f1b3e5a7ca70fe4ff75f0.us-east-1.aws.found.io/app/kibana#/discover/Steve-Slow-Train-Analysis-(2080s-and-2083s)?_g=(refreshInterval:(display:Off,pause:!f,section:0,value:0),time:(from:'2017-05-20T18:43:00-0600',mode:absolute,to:'2017-05-20T20:47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79" s="89" t="str">
        <f t="shared" si="19"/>
        <v>"C:\Program Files (x86)\AstroGrep\AstroGrep.exe" /e /r /s /spath="%USERPROFILE%\AppData\Local\Temp\OnboardLogs" /stypes="*4017*201705210*" /stext=" 01:.+((SYSTEM_STATE.+slice.+state.+changed )|(ment ac)|(multiple cpu faults)|(system.+state.+changed )|(\[timeout)|(PRM\|1\|D)|(kpr)|(kdp)|(train st.+moving)|(\|lc)|(penalty))"</v>
      </c>
      <c r="U79" s="9" t="str">
        <f t="shared" si="20"/>
        <v>4017</v>
      </c>
      <c r="V79" s="31">
        <f t="shared" si="21"/>
        <v>42876.07472222222</v>
      </c>
      <c r="W79" s="45" t="str">
        <f t="shared" si="22"/>
        <v>Other</v>
      </c>
      <c r="X79" s="45" t="str">
        <f t="shared" si="23"/>
        <v>KEEP</v>
      </c>
      <c r="Y79" s="99" t="str">
        <f t="shared" si="24"/>
        <v>echo {"issue":{"subject":"","project_id":79,"tracker_id":40,"status_id":1,"priority_id":2,"assigned_to_id":23,"start_date":"2017-05-20","description":"","custom_fields":[{"id":1,"name":"Subdivision","value":"Other"},{"id":4,"name":"Milepost","value":"0.0839"},{"id":17,"name":"Train ID","value":"73-20"},{"id":16,"name":"Locomotive ID","value":"4017"},{"id":130,"name":"Impact","value":""},{"id":150,"name":"Time of Event (Mountain Time)","value":"19:47:36"},{"id":151,"name":"Denver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9" s="162"/>
      <c r="AA79" s="47"/>
      <c r="AB79" s="47"/>
      <c r="AC79" s="118" t="str">
        <f t="shared" si="25"/>
        <v>grep -hrE -A400 "Enforcement Action" /cygdrive/c/Users/stu/AppData/Local/Temp/OnboardLogs/RTDC4017 --include="*4017*201705210*" | grep -E "((Enforcement Ac)|(PRM))" -</v>
      </c>
      <c r="AD79" s="1" t="str">
        <f>"grep -hSE ""Enforcement Action"" "&amp;search_path&amp;"\RTDC"&amp;U79&amp;"\*"&amp;U79&amp;"*"&amp;TEXT(A79-utc_offset/24,"YYYYMMDD")&amp;LEFT(TEXT(A79-utc_offset/24,"HH"),1)&amp;"* &gt;&gt; "&amp;TEXT(Variables!$A$2,"YYYY-MM-DD")&amp;"-SliceDisagreementCheck.txt"</f>
        <v>grep -hSE "Enforcement Action" "%USERPROFILE%\AppData\Local\Temp\OnboardLogs"\RTDC4017\*4017*201705210* &gt;&gt; 2017-05-20-SliceDisagreementCheck.txt</v>
      </c>
      <c r="AE79" s="148" t="str">
        <f t="shared" si="26"/>
        <v>start /low /b %USERPROFILE%\Documents\GitHub\eaglep3\Utilities\DownloadLogsFromS3.py --loco 4017 --day 2017-05-21</v>
      </c>
      <c r="AF79" s="1"/>
    </row>
  </sheetData>
  <autoFilter ref="A6:AC60">
    <sortState ref="A7:AC79">
      <sortCondition ref="W7:W79"/>
      <sortCondition ref="E7:E79"/>
      <sortCondition ref="K7:K79"/>
      <sortCondition ref="F7:F79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:O104857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79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AA7:AA79</xm:sqref>
        </x14:dataValidation>
        <x14:dataValidation type="list" allowBlank="1" showInputMessage="1" showErrorMessage="1">
          <x14:formula1>
            <xm:f>'Redmine List Values'!$C$2:$C$15</xm:f>
          </x14:formula1>
          <xm:sqref>AB7:AB79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4"/>
  <sheetViews>
    <sheetView workbookViewId="0">
      <selection activeCell="E3" sqref="E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10" t="str">
        <f>"Trips that did not appear in PTC Data "&amp;TEXT(Variables!$A$2,"YYYY-mm-dd")</f>
        <v>Trips that did not appear in PTC Data 2017-05-20</v>
      </c>
      <c r="C1" s="210"/>
      <c r="D1" s="210"/>
      <c r="E1" s="210"/>
      <c r="F1" s="210"/>
    </row>
    <row r="2" spans="1:10" s="23" customFormat="1" ht="45" x14ac:dyDescent="0.25">
      <c r="A2" s="202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/>
      <c r="B3" s="42" t="str">
        <f>A3&amp;"-"&amp;IF(DAY(Variables!$A$2)&lt;10,0,"")&amp;DAY(Variables!$A$2)</f>
        <v>-20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5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" s="30" t="e">
        <f>VLOOKUP(B3,'Train Runs'!$A$13:$A$99919,1,FALSE)</f>
        <v>#N/A</v>
      </c>
    </row>
    <row r="4" spans="1:10" x14ac:dyDescent="0.25">
      <c r="A4" s="190"/>
      <c r="B4" s="42" t="str">
        <f>A4&amp;"-"&amp;IF(DAY(Variables!$A$2)&lt;10,0,"")&amp;DAY(Variables!$A$2)</f>
        <v>-20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" s="30" t="e">
        <f>VLOOKUP(B4,'Train Runs'!$A$13:$A$99919,1,FALSE)</f>
        <v>#N/A</v>
      </c>
    </row>
    <row r="5" spans="1:10" x14ac:dyDescent="0.25">
      <c r="A5" s="190"/>
      <c r="B5" s="42" t="str">
        <f>A5&amp;"-"&amp;IF(DAY(Variables!$A$2)&lt;10,0,"")&amp;DAY(Variables!$A$2)</f>
        <v>-20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" s="30" t="e">
        <f>VLOOKUP(B5,'Train Runs'!$A$13:$A$99919,1,FALSE)</f>
        <v>#N/A</v>
      </c>
    </row>
    <row r="6" spans="1:10" x14ac:dyDescent="0.25">
      <c r="A6" s="190"/>
      <c r="B6" s="42" t="str">
        <f>A6&amp;"-"&amp;IF(DAY(Variables!$A$2)&lt;10,0,"")&amp;DAY(Variables!$A$2)</f>
        <v>-20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ref="I6:I4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" s="30" t="e">
        <f>VLOOKUP(B6,'Train Runs'!$A$13:$A$99919,1,FALSE)</f>
        <v>#N/A</v>
      </c>
    </row>
    <row r="7" spans="1:10" x14ac:dyDescent="0.25">
      <c r="A7" s="190"/>
      <c r="B7" s="42" t="str">
        <f>A7&amp;"-"&amp;IF(DAY(Variables!$A$2)&lt;10,0,"")&amp;DAY(Variables!$A$2)</f>
        <v>-20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" s="30" t="e">
        <f>VLOOKUP(B7,'Train Runs'!$A$13:$A$99919,1,FALSE)</f>
        <v>#N/A</v>
      </c>
    </row>
    <row r="8" spans="1:10" x14ac:dyDescent="0.25">
      <c r="A8" s="190"/>
      <c r="B8" s="42" t="str">
        <f>A8&amp;"-"&amp;IF(DAY(Variables!$A$2)&lt;10,0,"")&amp;DAY(Variables!$A$2)</f>
        <v>-20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" s="30" t="e">
        <f>VLOOKUP(B8,'Train Runs'!$A$13:$A$99919,1,FALSE)</f>
        <v>#N/A</v>
      </c>
    </row>
    <row r="9" spans="1:10" x14ac:dyDescent="0.25">
      <c r="A9" s="190"/>
      <c r="B9" s="42" t="str">
        <f>A9&amp;"-"&amp;IF(DAY(Variables!$A$2)&lt;10,0,"")&amp;DAY(Variables!$A$2)</f>
        <v>-20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" s="30" t="e">
        <f>VLOOKUP(B9,'Train Runs'!$A$13:$A$99919,1,FALSE)</f>
        <v>#N/A</v>
      </c>
    </row>
    <row r="10" spans="1:10" x14ac:dyDescent="0.25">
      <c r="A10" s="190"/>
      <c r="B10" s="42" t="str">
        <f>A10&amp;"-"&amp;IF(DAY(Variables!$A$2)&lt;10,0,"")&amp;DAY(Variables!$A$2)</f>
        <v>-20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" s="30" t="e">
        <f>VLOOKUP(B10,'Train Runs'!$A$13:$A$99919,1,FALSE)</f>
        <v>#N/A</v>
      </c>
    </row>
    <row r="11" spans="1:10" x14ac:dyDescent="0.25">
      <c r="A11" s="190"/>
      <c r="B11" s="42" t="str">
        <f>A11&amp;"-"&amp;IF(DAY(Variables!$A$2)&lt;10,0,"")&amp;DAY(Variables!$A$2)</f>
        <v>-20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" s="30" t="e">
        <f>VLOOKUP(B11,'Train Runs'!$A$13:$A$99919,1,FALSE)</f>
        <v>#N/A</v>
      </c>
    </row>
    <row r="12" spans="1:10" x14ac:dyDescent="0.25">
      <c r="A12" s="190"/>
      <c r="B12" s="42" t="str">
        <f>A12&amp;"-"&amp;IF(DAY(Variables!$A$2)&lt;10,0,"")&amp;DAY(Variables!$A$2)</f>
        <v>-20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" s="30" t="e">
        <f>VLOOKUP(B12,'Train Runs'!$A$13:$A$99919,1,FALSE)</f>
        <v>#N/A</v>
      </c>
    </row>
    <row r="13" spans="1:10" x14ac:dyDescent="0.25">
      <c r="A13" s="190"/>
      <c r="B13" s="42" t="str">
        <f>A13&amp;"-"&amp;IF(DAY(Variables!$A$2)&lt;10,0,"")&amp;DAY(Variables!$A$2)</f>
        <v>-20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3" s="30" t="e">
        <f>VLOOKUP(B13,'Train Runs'!$A$13:$A$99919,1,FALSE)</f>
        <v>#N/A</v>
      </c>
    </row>
    <row r="14" spans="1:10" x14ac:dyDescent="0.25">
      <c r="A14" s="190"/>
      <c r="B14" s="42" t="str">
        <f>A14&amp;"-"&amp;IF(DAY(Variables!$A$2)&lt;10,0,"")&amp;DAY(Variables!$A$2)</f>
        <v>-20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4" s="30" t="e">
        <f>VLOOKUP(B14,'Train Runs'!$A$13:$A$99919,1,FALSE)</f>
        <v>#N/A</v>
      </c>
    </row>
    <row r="15" spans="1:10" x14ac:dyDescent="0.25">
      <c r="A15" s="190"/>
      <c r="B15" s="42" t="str">
        <f>A15&amp;"-"&amp;IF(DAY(Variables!$A$2)&lt;10,0,"")&amp;DAY(Variables!$A$2)</f>
        <v>-20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5" s="30" t="e">
        <f>VLOOKUP(B15,'Train Runs'!$A$13:$A$99919,1,FALSE)</f>
        <v>#N/A</v>
      </c>
    </row>
    <row r="16" spans="1:10" x14ac:dyDescent="0.25">
      <c r="A16" s="190"/>
      <c r="B16" s="42" t="str">
        <f>A16&amp;"-"&amp;IF(DAY(Variables!$A$2)&lt;10,0,"")&amp;DAY(Variables!$A$2)</f>
        <v>-20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6" s="30" t="e">
        <f>VLOOKUP(B16,'Train Runs'!$A$13:$A$99919,1,FALSE)</f>
        <v>#N/A</v>
      </c>
    </row>
    <row r="17" spans="1:10" x14ac:dyDescent="0.25">
      <c r="A17" s="190"/>
      <c r="B17" s="42" t="str">
        <f>A17&amp;"-"&amp;IF(DAY(Variables!$A$2)&lt;10,0,"")&amp;DAY(Variables!$A$2)</f>
        <v>-20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7" s="30" t="e">
        <f>VLOOKUP(B17,'Train Runs'!$A$13:$A$99919,1,FALSE)</f>
        <v>#N/A</v>
      </c>
    </row>
    <row r="18" spans="1:10" x14ac:dyDescent="0.25">
      <c r="A18" s="190"/>
      <c r="B18" s="42" t="str">
        <f>A18&amp;"-"&amp;IF(DAY(Variables!$A$2)&lt;10,0,"")&amp;DAY(Variables!$A$2)</f>
        <v>-20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8" s="30" t="e">
        <f>VLOOKUP(B18,'Train Runs'!$A$13:$A$99919,1,FALSE)</f>
        <v>#N/A</v>
      </c>
    </row>
    <row r="19" spans="1:10" x14ac:dyDescent="0.25">
      <c r="A19" s="190"/>
      <c r="B19" s="42" t="str">
        <f>A19&amp;"-"&amp;IF(DAY(Variables!$A$2)&lt;10,0,"")&amp;DAY(Variables!$A$2)</f>
        <v>-20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9" s="30" t="e">
        <f>VLOOKUP(B19,'Train Runs'!$A$13:$A$99919,1,FALSE)</f>
        <v>#N/A</v>
      </c>
    </row>
    <row r="20" spans="1:10" x14ac:dyDescent="0.25">
      <c r="A20" s="190"/>
      <c r="B20" s="42" t="str">
        <f>A20&amp;"-"&amp;IF(DAY(Variables!$A$2)&lt;10,0,"")&amp;DAY(Variables!$A$2)</f>
        <v>-20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0" s="30" t="e">
        <f>VLOOKUP(B20,'Train Runs'!$A$13:$A$99919,1,FALSE)</f>
        <v>#N/A</v>
      </c>
    </row>
    <row r="21" spans="1:10" x14ac:dyDescent="0.25">
      <c r="A21" s="190"/>
      <c r="B21" s="42" t="str">
        <f>A21&amp;"-"&amp;IF(DAY(Variables!$A$2)&lt;10,0,"")&amp;DAY(Variables!$A$2)</f>
        <v>-20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1" s="30" t="e">
        <f>VLOOKUP(B21,'Train Runs'!$A$13:$A$99919,1,FALSE)</f>
        <v>#N/A</v>
      </c>
    </row>
    <row r="22" spans="1:10" x14ac:dyDescent="0.25">
      <c r="A22" s="190"/>
      <c r="B22" s="42" t="str">
        <f>A22&amp;"-"&amp;IF(DAY(Variables!$A$2)&lt;10,0,"")&amp;DAY(Variables!$A$2)</f>
        <v>-20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2" s="30" t="e">
        <f>VLOOKUP(B22,'Train Runs'!$A$13:$A$99919,1,FALSE)</f>
        <v>#N/A</v>
      </c>
    </row>
    <row r="23" spans="1:10" x14ac:dyDescent="0.25">
      <c r="A23" s="190"/>
      <c r="B23" s="42" t="str">
        <f>A23&amp;"-"&amp;IF(DAY(Variables!$A$2)&lt;10,0,"")&amp;DAY(Variables!$A$2)</f>
        <v>-20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3" s="30" t="e">
        <f>VLOOKUP(B23,'Train Runs'!$A$13:$A$99919,1,FALSE)</f>
        <v>#N/A</v>
      </c>
    </row>
    <row r="24" spans="1:10" x14ac:dyDescent="0.25">
      <c r="A24" s="190"/>
      <c r="B24" s="42" t="str">
        <f>A24&amp;"-"&amp;IF(DAY(Variables!$A$2)&lt;10,0,"")&amp;DAY(Variables!$A$2)</f>
        <v>-20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4" s="30" t="e">
        <f>VLOOKUP(B24,'Train Runs'!$A$13:$A$99919,1,FALSE)</f>
        <v>#N/A</v>
      </c>
    </row>
    <row r="25" spans="1:10" x14ac:dyDescent="0.25">
      <c r="A25" s="190"/>
      <c r="B25" s="42" t="str">
        <f>A25&amp;"-"&amp;IF(DAY(Variables!$A$2)&lt;10,0,"")&amp;DAY(Variables!$A$2)</f>
        <v>-20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5" s="30" t="e">
        <f>VLOOKUP(B25,'Train Runs'!$A$13:$A$99919,1,FALSE)</f>
        <v>#N/A</v>
      </c>
    </row>
    <row r="26" spans="1:10" x14ac:dyDescent="0.25">
      <c r="A26" s="190"/>
      <c r="B26" s="42" t="str">
        <f>A26&amp;"-"&amp;IF(DAY(Variables!$A$2)&lt;10,0,"")&amp;DAY(Variables!$A$2)</f>
        <v>-20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6" s="30" t="e">
        <f>VLOOKUP(B26,'Train Runs'!$A$13:$A$99919,1,FALSE)</f>
        <v>#N/A</v>
      </c>
    </row>
    <row r="27" spans="1:10" x14ac:dyDescent="0.25">
      <c r="A27" s="190"/>
      <c r="B27" s="42" t="str">
        <f>A27&amp;"-"&amp;IF(DAY(Variables!$A$2)&lt;10,0,"")&amp;DAY(Variables!$A$2)</f>
        <v>-20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7" s="30" t="e">
        <f>VLOOKUP(B27,'Train Runs'!$A$13:$A$99919,1,FALSE)</f>
        <v>#N/A</v>
      </c>
    </row>
    <row r="28" spans="1:10" x14ac:dyDescent="0.25">
      <c r="A28" s="190"/>
      <c r="B28" s="42" t="str">
        <f>A28&amp;"-"&amp;IF(DAY(Variables!$A$2)&lt;10,0,"")&amp;DAY(Variables!$A$2)</f>
        <v>-20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8" s="30" t="e">
        <f>VLOOKUP(B28,'Train Runs'!$A$13:$A$99919,1,FALSE)</f>
        <v>#N/A</v>
      </c>
    </row>
    <row r="29" spans="1:10" x14ac:dyDescent="0.25">
      <c r="A29" s="190"/>
      <c r="B29" s="42" t="str">
        <f>A29&amp;"-"&amp;IF(DAY(Variables!$A$2)&lt;10,0,"")&amp;DAY(Variables!$A$2)</f>
        <v>-20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9" s="30" t="e">
        <f>VLOOKUP(B29,'Train Runs'!$A$13:$A$99919,1,FALSE)</f>
        <v>#N/A</v>
      </c>
    </row>
    <row r="30" spans="1:10" x14ac:dyDescent="0.25">
      <c r="A30" s="190"/>
      <c r="B30" s="42" t="str">
        <f>A30&amp;"-"&amp;IF(DAY(Variables!$A$2)&lt;10,0,"")&amp;DAY(Variables!$A$2)</f>
        <v>-20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0" s="30" t="e">
        <f>VLOOKUP(B30,'Train Runs'!$A$13:$A$99919,1,FALSE)</f>
        <v>#N/A</v>
      </c>
    </row>
    <row r="31" spans="1:10" x14ac:dyDescent="0.25">
      <c r="A31" s="190"/>
      <c r="B31" s="42" t="str">
        <f>A31&amp;"-"&amp;IF(DAY(Variables!$A$2)&lt;10,0,"")&amp;DAY(Variables!$A$2)</f>
        <v>-20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1" s="30" t="e">
        <f>VLOOKUP(B31,'Train Runs'!$A$13:$A$99919,1,FALSE)</f>
        <v>#N/A</v>
      </c>
    </row>
    <row r="32" spans="1:10" x14ac:dyDescent="0.25">
      <c r="A32" s="190"/>
      <c r="B32" s="42" t="str">
        <f>A32&amp;"-"&amp;IF(DAY(Variables!$A$2)&lt;10,0,"")&amp;DAY(Variables!$A$2)</f>
        <v>-20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2" s="30" t="e">
        <f>VLOOKUP(B32,'Train Runs'!$A$13:$A$99919,1,FALSE)</f>
        <v>#N/A</v>
      </c>
    </row>
    <row r="33" spans="1:10" x14ac:dyDescent="0.25">
      <c r="A33" s="190"/>
      <c r="B33" s="42" t="str">
        <f>A33&amp;"-"&amp;IF(DAY(Variables!$A$2)&lt;10,0,"")&amp;DAY(Variables!$A$2)</f>
        <v>-20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3" s="30" t="e">
        <f>VLOOKUP(B33,'Train Runs'!$A$13:$A$99919,1,FALSE)</f>
        <v>#N/A</v>
      </c>
    </row>
    <row r="34" spans="1:10" x14ac:dyDescent="0.25">
      <c r="A34" s="190"/>
      <c r="B34" s="42" t="str">
        <f>A34&amp;"-"&amp;IF(DAY(Variables!$A$2)&lt;10,0,"")&amp;DAY(Variables!$A$2)</f>
        <v>-20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4" s="30" t="e">
        <f>VLOOKUP(B34,'Train Runs'!$A$13:$A$99919,1,FALSE)</f>
        <v>#N/A</v>
      </c>
    </row>
    <row r="35" spans="1:10" x14ac:dyDescent="0.25">
      <c r="A35" s="190"/>
      <c r="B35" s="42" t="str">
        <f>A35&amp;"-"&amp;IF(DAY(Variables!$A$2)&lt;10,0,"")&amp;DAY(Variables!$A$2)</f>
        <v>-20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5" s="30" t="e">
        <f>VLOOKUP(B35,'Train Runs'!$A$13:$A$99919,1,FALSE)</f>
        <v>#N/A</v>
      </c>
    </row>
    <row r="36" spans="1:10" x14ac:dyDescent="0.25">
      <c r="A36" s="190"/>
      <c r="B36" s="42" t="str">
        <f>A36&amp;"-"&amp;IF(DAY(Variables!$A$2)&lt;10,0,"")&amp;DAY(Variables!$A$2)</f>
        <v>-20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6" s="30" t="e">
        <f>VLOOKUP(B36,'Train Runs'!$A$13:$A$99919,1,FALSE)</f>
        <v>#N/A</v>
      </c>
    </row>
    <row r="37" spans="1:10" x14ac:dyDescent="0.25">
      <c r="A37" s="190"/>
      <c r="B37" s="42" t="str">
        <f>A37&amp;"-"&amp;IF(DAY(Variables!$A$2)&lt;10,0,"")&amp;DAY(Variables!$A$2)</f>
        <v>-20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7" s="30" t="e">
        <f>VLOOKUP(B37,'Train Runs'!$A$13:$A$99919,1,FALSE)</f>
        <v>#N/A</v>
      </c>
    </row>
    <row r="38" spans="1:10" x14ac:dyDescent="0.25">
      <c r="A38" s="190"/>
      <c r="B38" s="42" t="str">
        <f>A38&amp;"-"&amp;IF(DAY(Variables!$A$2)&lt;10,0,"")&amp;DAY(Variables!$A$2)</f>
        <v>-20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8" s="30" t="e">
        <f>VLOOKUP(B38,'Train Runs'!$A$13:$A$99919,1,FALSE)</f>
        <v>#N/A</v>
      </c>
    </row>
    <row r="39" spans="1:10" x14ac:dyDescent="0.25">
      <c r="A39" s="190"/>
      <c r="B39" s="42" t="str">
        <f>A39&amp;"-"&amp;IF(DAY(Variables!$A$2)&lt;10,0,"")&amp;DAY(Variables!$A$2)</f>
        <v>-20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9" s="30" t="e">
        <f>VLOOKUP(B39,'Train Runs'!$A$13:$A$99919,1,FALSE)</f>
        <v>#N/A</v>
      </c>
    </row>
    <row r="40" spans="1:10" x14ac:dyDescent="0.25">
      <c r="A40" s="190"/>
      <c r="B40" s="42" t="str">
        <f>A40&amp;"-"&amp;IF(DAY(Variables!$A$2)&lt;10,0,"")&amp;DAY(Variables!$A$2)</f>
        <v>-20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0" s="30" t="e">
        <f>VLOOKUP(B40,'Train Runs'!$A$13:$A$99919,1,FALSE)</f>
        <v>#N/A</v>
      </c>
    </row>
    <row r="41" spans="1:10" x14ac:dyDescent="0.25">
      <c r="A41" s="190"/>
      <c r="B41" s="42" t="str">
        <f>A41&amp;"-"&amp;IF(DAY(Variables!$A$2)&lt;10,0,"")&amp;DAY(Variables!$A$2)</f>
        <v>-20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1" s="30" t="e">
        <f>VLOOKUP(B41,'Train Runs'!$A$13:$A$99919,1,FALSE)</f>
        <v>#N/A</v>
      </c>
    </row>
    <row r="42" spans="1:10" x14ac:dyDescent="0.25">
      <c r="A42" s="190"/>
      <c r="B42" s="42" t="str">
        <f>A42&amp;"-"&amp;IF(DAY(Variables!$A$2)&lt;10,0,"")&amp;DAY(Variables!$A$2)</f>
        <v>-20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2" s="30" t="e">
        <f>VLOOKUP(B42,'Train Runs'!$A$13:$A$99919,1,FALSE)</f>
        <v>#N/A</v>
      </c>
    </row>
    <row r="43" spans="1:10" x14ac:dyDescent="0.25">
      <c r="A43" s="190"/>
      <c r="B43" s="42" t="str">
        <f>A43&amp;"-"&amp;IF(DAY(Variables!$A$2)&lt;10,0,"")&amp;DAY(Variables!$A$2)</f>
        <v>-20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3" s="30" t="e">
        <f>VLOOKUP(B43,'Train Runs'!$A$13:$A$99919,1,FALSE)</f>
        <v>#N/A</v>
      </c>
    </row>
    <row r="44" spans="1:10" x14ac:dyDescent="0.25">
      <c r="A44" s="190"/>
      <c r="B44" s="42" t="str">
        <f>A44&amp;"-"&amp;IF(DAY(Variables!$A$2)&lt;10,0,"")&amp;DAY(Variables!$A$2)</f>
        <v>-20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4" s="30" t="e">
        <f>VLOOKUP(B44,'Train Runs'!$A$13:$A$99919,1,FALSE)</f>
        <v>#N/A</v>
      </c>
    </row>
    <row r="45" spans="1:10" x14ac:dyDescent="0.25">
      <c r="A45" s="190"/>
      <c r="B45" s="42" t="str">
        <f>A45&amp;"-"&amp;IF(DAY(Variables!$A$2)&lt;10,0,"")&amp;DAY(Variables!$A$2)</f>
        <v>-20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5" s="30" t="e">
        <f>VLOOKUP(B45,'Train Runs'!$A$13:$A$99919,1,FALSE)</f>
        <v>#N/A</v>
      </c>
    </row>
    <row r="46" spans="1:10" x14ac:dyDescent="0.25">
      <c r="A46" s="190"/>
      <c r="B46" s="42" t="str">
        <f>A46&amp;"-"&amp;IF(DAY(Variables!$A$2)&lt;10,0,"")&amp;DAY(Variables!$A$2)</f>
        <v>-20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6" s="30" t="e">
        <f>VLOOKUP(B46,'Train Runs'!$A$13:$A$99919,1,FALSE)</f>
        <v>#N/A</v>
      </c>
    </row>
    <row r="47" spans="1:10" x14ac:dyDescent="0.25">
      <c r="A47" s="190"/>
      <c r="B47" s="42" t="str">
        <f>A47&amp;"-"&amp;IF(DAY(Variables!$A$2)&lt;10,0,"")&amp;DAY(Variables!$A$2)</f>
        <v>-20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7" s="30" t="e">
        <f>VLOOKUP(B47,'Train Runs'!$A$13:$A$99919,1,FALSE)</f>
        <v>#N/A</v>
      </c>
    </row>
    <row r="48" spans="1:10" x14ac:dyDescent="0.25">
      <c r="A48" s="190"/>
      <c r="B48" s="42" t="str">
        <f>A48&amp;"-"&amp;IF(DAY(Variables!$A$2)&lt;10,0,"")&amp;DAY(Variables!$A$2)</f>
        <v>-20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ref="I48:I68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8" s="30" t="e">
        <f>VLOOKUP(B48,'Train Runs'!$A$13:$A$99919,1,FALSE)</f>
        <v>#N/A</v>
      </c>
    </row>
    <row r="49" spans="1:10" x14ac:dyDescent="0.25">
      <c r="A49" s="190"/>
      <c r="B49" s="42" t="str">
        <f>A49&amp;"-"&amp;IF(DAY(Variables!$A$2)&lt;10,0,"")&amp;DAY(Variables!$A$2)</f>
        <v>-20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9" s="30" t="e">
        <f>VLOOKUP(B49,'Train Runs'!$A$13:$A$99919,1,FALSE)</f>
        <v>#N/A</v>
      </c>
    </row>
    <row r="50" spans="1:10" x14ac:dyDescent="0.25">
      <c r="A50" s="190"/>
      <c r="B50" s="42" t="str">
        <f>A50&amp;"-"&amp;IF(DAY(Variables!$A$2)&lt;10,0,"")&amp;DAY(Variables!$A$2)</f>
        <v>-20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0" s="30" t="e">
        <f>VLOOKUP(B50,'Train Runs'!$A$13:$A$99919,1,FALSE)</f>
        <v>#N/A</v>
      </c>
    </row>
    <row r="51" spans="1:10" x14ac:dyDescent="0.25">
      <c r="A51" s="190"/>
      <c r="B51" s="42" t="str">
        <f>A51&amp;"-"&amp;IF(DAY(Variables!$A$2)&lt;10,0,"")&amp;DAY(Variables!$A$2)</f>
        <v>-20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1" s="30" t="e">
        <f>VLOOKUP(B51,'Train Runs'!$A$13:$A$99919,1,FALSE)</f>
        <v>#N/A</v>
      </c>
    </row>
    <row r="52" spans="1:10" x14ac:dyDescent="0.25">
      <c r="A52" s="190"/>
      <c r="B52" s="42" t="str">
        <f>A52&amp;"-"&amp;IF(DAY(Variables!$A$2)&lt;10,0,"")&amp;DAY(Variables!$A$2)</f>
        <v>-20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2" s="30" t="e">
        <f>VLOOKUP(B52,'Train Runs'!$A$13:$A$99919,1,FALSE)</f>
        <v>#N/A</v>
      </c>
    </row>
    <row r="53" spans="1:10" x14ac:dyDescent="0.25">
      <c r="A53" s="190"/>
      <c r="B53" s="42" t="str">
        <f>A53&amp;"-"&amp;IF(DAY(Variables!$A$2)&lt;10,0,"")&amp;DAY(Variables!$A$2)</f>
        <v>-20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3" s="30" t="e">
        <f>VLOOKUP(B53,'Train Runs'!$A$13:$A$99919,1,FALSE)</f>
        <v>#N/A</v>
      </c>
    </row>
    <row r="54" spans="1:10" x14ac:dyDescent="0.25">
      <c r="A54" s="190"/>
      <c r="B54" s="42" t="str">
        <f>A54&amp;"-"&amp;IF(DAY(Variables!$A$2)&lt;10,0,"")&amp;DAY(Variables!$A$2)</f>
        <v>-20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4" s="30" t="e">
        <f>VLOOKUP(B54,'Train Runs'!$A$13:$A$99919,1,FALSE)</f>
        <v>#N/A</v>
      </c>
    </row>
    <row r="55" spans="1:10" x14ac:dyDescent="0.25">
      <c r="A55" s="190"/>
      <c r="B55" s="42" t="str">
        <f>A55&amp;"-"&amp;IF(DAY(Variables!$A$2)&lt;10,0,"")&amp;DAY(Variables!$A$2)</f>
        <v>-20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5" s="30" t="e">
        <f>VLOOKUP(B55,'Train Runs'!$A$13:$A$99919,1,FALSE)</f>
        <v>#N/A</v>
      </c>
    </row>
    <row r="56" spans="1:10" x14ac:dyDescent="0.25">
      <c r="A56" s="190"/>
      <c r="B56" s="42" t="str">
        <f>A56&amp;"-"&amp;IF(DAY(Variables!$A$2)&lt;10,0,"")&amp;DAY(Variables!$A$2)</f>
        <v>-20</v>
      </c>
      <c r="C56" s="138"/>
      <c r="D56" s="156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6" s="30" t="e">
        <f>VLOOKUP(B56,'Train Runs'!$A$13:$A$99919,1,FALSE)</f>
        <v>#N/A</v>
      </c>
    </row>
    <row r="57" spans="1:10" x14ac:dyDescent="0.25">
      <c r="A57" s="190"/>
      <c r="B57" s="42" t="str">
        <f>A57&amp;"-"&amp;IF(DAY(Variables!$A$2)&lt;10,0,"")&amp;DAY(Variables!$A$2)</f>
        <v>-20</v>
      </c>
      <c r="C57" s="138"/>
      <c r="D57" s="156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7" s="30" t="e">
        <f>VLOOKUP(B57,'Train Runs'!$A$13:$A$99919,1,FALSE)</f>
        <v>#N/A</v>
      </c>
    </row>
    <row r="58" spans="1:10" x14ac:dyDescent="0.25">
      <c r="A58" s="190"/>
      <c r="B58" s="42" t="str">
        <f>A58&amp;"-"&amp;IF(DAY(Variables!$A$2)&lt;10,0,"")&amp;DAY(Variables!$A$2)</f>
        <v>-20</v>
      </c>
      <c r="C58" s="138"/>
      <c r="D58" s="156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8" s="30" t="e">
        <f>VLOOKUP(B58,'Train Runs'!$A$13:$A$99919,1,FALSE)</f>
        <v>#N/A</v>
      </c>
    </row>
    <row r="59" spans="1:10" x14ac:dyDescent="0.25">
      <c r="A59" s="190"/>
      <c r="B59" s="42" t="str">
        <f>A59&amp;"-"&amp;IF(DAY(Variables!$A$2)&lt;10,0,"")&amp;DAY(Variables!$A$2)</f>
        <v>-20</v>
      </c>
      <c r="C59" s="138"/>
      <c r="D59" s="156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9" s="30" t="e">
        <f>VLOOKUP(B59,'Train Runs'!$A$13:$A$99919,1,FALSE)</f>
        <v>#N/A</v>
      </c>
    </row>
    <row r="60" spans="1:10" x14ac:dyDescent="0.25">
      <c r="A60" s="190"/>
      <c r="B60" s="42" t="str">
        <f>A60&amp;"-"&amp;IF(DAY(Variables!$A$2)&lt;10,0,"")&amp;DAY(Variables!$A$2)</f>
        <v>-20</v>
      </c>
      <c r="C60" s="138"/>
      <c r="D60" s="156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0" s="30" t="e">
        <f>VLOOKUP(B60,'Train Runs'!$A$13:$A$99919,1,FALSE)</f>
        <v>#N/A</v>
      </c>
    </row>
    <row r="61" spans="1:10" x14ac:dyDescent="0.25">
      <c r="A61" s="190"/>
      <c r="B61" s="42" t="str">
        <f>A61&amp;"-"&amp;IF(DAY(Variables!$A$2)&lt;10,0,"")&amp;DAY(Variables!$A$2)</f>
        <v>-20</v>
      </c>
      <c r="C61" s="138"/>
      <c r="D61" s="156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1" s="30" t="e">
        <f>VLOOKUP(B61,'Train Runs'!$A$13:$A$99919,1,FALSE)</f>
        <v>#N/A</v>
      </c>
    </row>
    <row r="62" spans="1:10" x14ac:dyDescent="0.25">
      <c r="A62" s="190"/>
      <c r="B62" s="42" t="str">
        <f>A62&amp;"-"&amp;IF(DAY(Variables!$A$2)&lt;10,0,"")&amp;DAY(Variables!$A$2)</f>
        <v>-20</v>
      </c>
      <c r="C62" s="138"/>
      <c r="D62" s="156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2" s="30" t="e">
        <f>VLOOKUP(B62,'Train Runs'!$A$13:$A$99919,1,FALSE)</f>
        <v>#N/A</v>
      </c>
    </row>
    <row r="63" spans="1:10" x14ac:dyDescent="0.25">
      <c r="A63" s="190"/>
      <c r="B63" s="42" t="str">
        <f>A63&amp;"-"&amp;IF(DAY(Variables!$A$2)&lt;10,0,"")&amp;DAY(Variables!$A$2)</f>
        <v>-20</v>
      </c>
      <c r="C63" s="138"/>
      <c r="D63" s="156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3" s="30" t="e">
        <f>VLOOKUP(B63,'Train Runs'!$A$13:$A$99919,1,FALSE)</f>
        <v>#N/A</v>
      </c>
    </row>
    <row r="64" spans="1:10" x14ac:dyDescent="0.25">
      <c r="A64" s="190"/>
      <c r="B64" s="42" t="str">
        <f>A64&amp;"-"&amp;IF(DAY(Variables!$A$2)&lt;10,0,"")&amp;DAY(Variables!$A$2)</f>
        <v>-20</v>
      </c>
      <c r="C64" s="138"/>
      <c r="D64" s="156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4" s="30" t="e">
        <f>VLOOKUP(B64,'Train Runs'!$A$13:$A$99919,1,FALSE)</f>
        <v>#N/A</v>
      </c>
    </row>
    <row r="65" spans="1:10" x14ac:dyDescent="0.25">
      <c r="A65" s="190"/>
      <c r="B65" s="42" t="str">
        <f>A65&amp;"-"&amp;IF(DAY(Variables!$A$2)&lt;10,0,"")&amp;DAY(Variables!$A$2)</f>
        <v>-20</v>
      </c>
      <c r="C65" s="138"/>
      <c r="D65" s="156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5" s="30" t="e">
        <f>VLOOKUP(B65,'Train Runs'!$A$13:$A$99919,1,FALSE)</f>
        <v>#N/A</v>
      </c>
    </row>
    <row r="66" spans="1:10" x14ac:dyDescent="0.25">
      <c r="A66" s="190"/>
      <c r="B66" s="42" t="str">
        <f>A66&amp;"-"&amp;IF(DAY(Variables!$A$2)&lt;10,0,"")&amp;DAY(Variables!$A$2)</f>
        <v>-20</v>
      </c>
      <c r="C66" s="138"/>
      <c r="D66" s="156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6" s="30" t="e">
        <f>VLOOKUP(B66,'Train Runs'!$A$13:$A$99919,1,FALSE)</f>
        <v>#N/A</v>
      </c>
    </row>
    <row r="67" spans="1:10" x14ac:dyDescent="0.25">
      <c r="A67" s="190"/>
      <c r="B67" s="42" t="str">
        <f>A67&amp;"-"&amp;IF(DAY(Variables!$A$2)&lt;10,0,"")&amp;DAY(Variables!$A$2)</f>
        <v>-20</v>
      </c>
      <c r="C67" s="138"/>
      <c r="D67" s="156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7" s="30" t="e">
        <f>VLOOKUP(B67,'Train Runs'!$A$13:$A$99919,1,FALSE)</f>
        <v>#N/A</v>
      </c>
    </row>
    <row r="68" spans="1:10" x14ac:dyDescent="0.25">
      <c r="A68" s="190"/>
      <c r="B68" s="42" t="str">
        <f>A68&amp;"-"&amp;IF(DAY(Variables!$A$2)&lt;10,0,"")&amp;DAY(Variables!$A$2)</f>
        <v>-20</v>
      </c>
      <c r="C68" s="138"/>
      <c r="D68" s="156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8" s="30" t="e">
        <f>VLOOKUP(B68,'Train Runs'!$A$13:$A$99919,1,FALSE)</f>
        <v>#N/A</v>
      </c>
    </row>
    <row r="69" spans="1:10" x14ac:dyDescent="0.25">
      <c r="A69" s="190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90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190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190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190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190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190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190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190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190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190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190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190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190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190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190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190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190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190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190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190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190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190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190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190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190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190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190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190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190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190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190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190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190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190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190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190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190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190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190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190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190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190"/>
      <c r="B111" s="42"/>
      <c r="C111" s="138"/>
      <c r="D111" s="156"/>
      <c r="E111" s="30"/>
      <c r="F111" s="21"/>
      <c r="G111" s="21"/>
      <c r="H111" s="29"/>
      <c r="I111" s="45"/>
      <c r="J111" s="30"/>
    </row>
    <row r="112" spans="1:10" x14ac:dyDescent="0.25">
      <c r="A112" s="190"/>
      <c r="B112" s="42"/>
      <c r="C112" s="138"/>
      <c r="D112" s="156"/>
      <c r="E112" s="30"/>
      <c r="F112" s="21"/>
      <c r="G112" s="21"/>
      <c r="H112" s="29"/>
      <c r="I112" s="45"/>
      <c r="J112" s="30"/>
    </row>
    <row r="113" spans="1:10" x14ac:dyDescent="0.25">
      <c r="A113" s="190"/>
      <c r="B113" s="42"/>
      <c r="C113" s="138"/>
      <c r="D113" s="156"/>
      <c r="E113" s="30"/>
      <c r="F113" s="21"/>
      <c r="G113" s="21"/>
      <c r="H113" s="29"/>
      <c r="I113" s="45"/>
      <c r="J113" s="30"/>
    </row>
    <row r="114" spans="1:10" x14ac:dyDescent="0.25">
      <c r="A114" s="190"/>
      <c r="B114" s="42"/>
      <c r="C114" s="138"/>
      <c r="D114" s="156"/>
      <c r="E114" s="30"/>
      <c r="F114" s="21"/>
      <c r="G114" s="21"/>
      <c r="H114" s="29"/>
      <c r="I114" s="45"/>
      <c r="J114" s="30"/>
    </row>
    <row r="115" spans="1:10" x14ac:dyDescent="0.25">
      <c r="A115" s="190"/>
      <c r="B115" s="42"/>
      <c r="C115" s="138"/>
      <c r="D115" s="156"/>
      <c r="E115" s="30"/>
      <c r="F115" s="21"/>
      <c r="G115" s="21"/>
      <c r="H115" s="29"/>
      <c r="I115" s="45"/>
      <c r="J115" s="30"/>
    </row>
    <row r="116" spans="1:10" x14ac:dyDescent="0.25">
      <c r="A116" s="190"/>
      <c r="B116" s="42"/>
      <c r="C116" s="138"/>
      <c r="D116" s="156"/>
      <c r="E116" s="30"/>
      <c r="F116" s="21"/>
      <c r="G116" s="21"/>
      <c r="H116" s="29"/>
      <c r="I116" s="45"/>
      <c r="J116" s="30"/>
    </row>
    <row r="117" spans="1:10" x14ac:dyDescent="0.25">
      <c r="A117" s="190"/>
      <c r="B117" s="42"/>
      <c r="C117" s="138"/>
      <c r="D117" s="156"/>
      <c r="E117" s="30"/>
      <c r="F117" s="21"/>
      <c r="G117" s="21"/>
      <c r="H117" s="29"/>
      <c r="I117" s="45"/>
      <c r="J117" s="30"/>
    </row>
    <row r="118" spans="1:10" x14ac:dyDescent="0.25">
      <c r="A118" s="190"/>
      <c r="B118" s="42"/>
      <c r="C118" s="138"/>
      <c r="D118" s="156"/>
      <c r="E118" s="30"/>
      <c r="F118" s="21"/>
      <c r="G118" s="21"/>
      <c r="H118" s="29"/>
      <c r="I118" s="45"/>
      <c r="J118" s="30"/>
    </row>
    <row r="119" spans="1:10" x14ac:dyDescent="0.25">
      <c r="A119" s="190"/>
      <c r="B119" s="42"/>
      <c r="C119" s="138"/>
      <c r="D119" s="156"/>
      <c r="E119" s="30"/>
      <c r="F119" s="21"/>
      <c r="G119" s="21"/>
      <c r="H119" s="29"/>
      <c r="I119" s="45"/>
      <c r="J119" s="30"/>
    </row>
    <row r="120" spans="1:10" x14ac:dyDescent="0.25">
      <c r="A120" s="190"/>
      <c r="B120" s="42"/>
      <c r="C120" s="138"/>
      <c r="D120" s="156"/>
      <c r="E120" s="30"/>
      <c r="F120" s="21"/>
      <c r="G120" s="21"/>
      <c r="H120" s="29"/>
      <c r="I120" s="45"/>
      <c r="J120" s="30"/>
    </row>
    <row r="121" spans="1:10" x14ac:dyDescent="0.25">
      <c r="A121" s="190"/>
      <c r="B121" s="42"/>
      <c r="C121" s="138"/>
      <c r="D121" s="156"/>
      <c r="E121" s="30"/>
      <c r="F121" s="21"/>
      <c r="G121" s="21"/>
      <c r="H121" s="29"/>
      <c r="I121" s="45"/>
      <c r="J121" s="30"/>
    </row>
    <row r="122" spans="1:10" x14ac:dyDescent="0.25">
      <c r="A122" s="190"/>
      <c r="B122" s="42"/>
      <c r="C122" s="138"/>
      <c r="D122" s="156"/>
      <c r="E122" s="30"/>
      <c r="F122" s="21"/>
      <c r="G122" s="21"/>
      <c r="H122" s="29"/>
      <c r="I122" s="45"/>
      <c r="J122" s="30"/>
    </row>
    <row r="123" spans="1:10" x14ac:dyDescent="0.25">
      <c r="A123" s="190"/>
      <c r="B123" s="42"/>
      <c r="C123" s="138"/>
      <c r="D123" s="156"/>
      <c r="E123" s="30"/>
      <c r="F123" s="21"/>
      <c r="G123" s="21"/>
      <c r="H123" s="29"/>
      <c r="I123" s="45"/>
      <c r="J123" s="30"/>
    </row>
    <row r="124" spans="1:10" x14ac:dyDescent="0.25">
      <c r="A124" s="190"/>
      <c r="B124" s="42"/>
      <c r="C124" s="138"/>
      <c r="D124" s="156"/>
      <c r="E124" s="30"/>
      <c r="F124" s="21"/>
      <c r="G124" s="21"/>
      <c r="H124" s="29"/>
      <c r="I124" s="45"/>
      <c r="J124" s="30"/>
    </row>
  </sheetData>
  <autoFilter ref="A2:J76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42875.033645833333</v>
      </c>
      <c r="B2" s="20" t="s">
        <v>620</v>
      </c>
      <c r="C2" s="20" t="s">
        <v>645</v>
      </c>
      <c r="D2" s="141">
        <v>3090000</v>
      </c>
      <c r="E2" s="20" t="s">
        <v>388</v>
      </c>
      <c r="F2" s="20" t="s">
        <v>389</v>
      </c>
      <c r="G2" s="8" t="str">
        <f>E2&amp;" "&amp;F2</f>
        <v>LAMAR NEKESHA</v>
      </c>
    </row>
    <row r="3" spans="1:7" x14ac:dyDescent="0.25">
      <c r="A3" s="8">
        <v>42875.037974537037</v>
      </c>
      <c r="B3" s="20" t="s">
        <v>439</v>
      </c>
      <c r="C3" s="20" t="s">
        <v>646</v>
      </c>
      <c r="D3" s="141">
        <v>2270000</v>
      </c>
      <c r="E3" s="20" t="s">
        <v>412</v>
      </c>
      <c r="F3" s="20" t="s">
        <v>413</v>
      </c>
      <c r="G3" s="8" t="str">
        <f t="shared" ref="G3:G66" si="0">E3&amp;" "&amp;F3</f>
        <v>BROWN JACOB</v>
      </c>
    </row>
    <row r="4" spans="1:7" x14ac:dyDescent="0.25">
      <c r="A4" s="8">
        <v>42875.048043981478</v>
      </c>
      <c r="B4" s="20" t="s">
        <v>385</v>
      </c>
      <c r="C4" s="20" t="s">
        <v>647</v>
      </c>
      <c r="D4" s="141">
        <v>2630000</v>
      </c>
      <c r="E4" s="20" t="s">
        <v>648</v>
      </c>
      <c r="F4" s="20" t="s">
        <v>649</v>
      </c>
      <c r="G4" s="8" t="str">
        <f t="shared" si="0"/>
        <v>SAFIEF AEIMEN</v>
      </c>
    </row>
    <row r="5" spans="1:7" x14ac:dyDescent="0.25">
      <c r="A5" s="8">
        <v>42875.058217592596</v>
      </c>
      <c r="B5" s="20" t="s">
        <v>650</v>
      </c>
      <c r="C5" s="20" t="s">
        <v>651</v>
      </c>
      <c r="D5" s="141">
        <v>2150000</v>
      </c>
      <c r="E5" s="20" t="s">
        <v>407</v>
      </c>
      <c r="F5" s="20" t="s">
        <v>408</v>
      </c>
      <c r="G5" s="8" t="str">
        <f t="shared" si="0"/>
        <v>SWANSON BRYCE</v>
      </c>
    </row>
    <row r="6" spans="1:7" x14ac:dyDescent="0.25">
      <c r="A6" s="8">
        <v>42875.066782407404</v>
      </c>
      <c r="B6" s="20" t="s">
        <v>437</v>
      </c>
      <c r="C6" s="20" t="s">
        <v>652</v>
      </c>
      <c r="D6" s="141">
        <v>3090000</v>
      </c>
      <c r="E6" s="20" t="s">
        <v>388</v>
      </c>
      <c r="F6" s="20" t="s">
        <v>389</v>
      </c>
      <c r="G6" s="8" t="str">
        <f t="shared" si="0"/>
        <v>LAMAR NEKESHA</v>
      </c>
    </row>
    <row r="7" spans="1:7" x14ac:dyDescent="0.25">
      <c r="A7" s="8">
        <v>42875.077534722222</v>
      </c>
      <c r="B7" s="20" t="s">
        <v>438</v>
      </c>
      <c r="C7" s="20" t="s">
        <v>653</v>
      </c>
      <c r="D7" s="141">
        <v>2270000</v>
      </c>
      <c r="E7" s="20" t="s">
        <v>412</v>
      </c>
      <c r="F7" s="20" t="s">
        <v>413</v>
      </c>
      <c r="G7" s="8" t="str">
        <f t="shared" si="0"/>
        <v>BROWN JACOB</v>
      </c>
    </row>
    <row r="8" spans="1:7" x14ac:dyDescent="0.25">
      <c r="A8" s="8">
        <v>42875.090358796297</v>
      </c>
      <c r="B8" s="20" t="s">
        <v>654</v>
      </c>
      <c r="C8" s="20" t="s">
        <v>655</v>
      </c>
      <c r="D8" s="141">
        <v>2150000</v>
      </c>
      <c r="E8" s="20" t="s">
        <v>407</v>
      </c>
      <c r="F8" s="20" t="s">
        <v>408</v>
      </c>
      <c r="G8" s="8" t="str">
        <f t="shared" si="0"/>
        <v>SWANSON BRYCE</v>
      </c>
    </row>
    <row r="9" spans="1:7" ht="15.75" thickBot="1" x14ac:dyDescent="0.3">
      <c r="A9" s="24">
        <v>42875.123206018521</v>
      </c>
      <c r="B9" s="20" t="s">
        <v>436</v>
      </c>
      <c r="C9" s="20" t="s">
        <v>656</v>
      </c>
      <c r="D9" s="141">
        <v>2550000</v>
      </c>
      <c r="E9" s="20" t="s">
        <v>482</v>
      </c>
      <c r="F9" s="20" t="s">
        <v>483</v>
      </c>
      <c r="G9" s="8" t="str">
        <f t="shared" si="0"/>
        <v>BADERTSCHER DIANE</v>
      </c>
    </row>
    <row r="10" spans="1:7" x14ac:dyDescent="0.25">
      <c r="A10" s="8">
        <v>42875.13453703704</v>
      </c>
      <c r="B10" s="20" t="s">
        <v>343</v>
      </c>
      <c r="C10" s="20" t="s">
        <v>657</v>
      </c>
      <c r="D10" s="141">
        <v>2550000</v>
      </c>
      <c r="E10" s="20" t="s">
        <v>482</v>
      </c>
      <c r="F10" s="20" t="s">
        <v>483</v>
      </c>
      <c r="G10" s="8" t="str">
        <f t="shared" si="0"/>
        <v>BADERTSCHER DIANE</v>
      </c>
    </row>
    <row r="11" spans="1:7" x14ac:dyDescent="0.25">
      <c r="A11" s="8">
        <v>42875.139004629629</v>
      </c>
      <c r="B11" s="20" t="s">
        <v>514</v>
      </c>
      <c r="C11" s="20" t="s">
        <v>658</v>
      </c>
      <c r="D11" s="141">
        <v>2140000</v>
      </c>
      <c r="E11" s="20" t="s">
        <v>520</v>
      </c>
      <c r="F11" s="20" t="s">
        <v>521</v>
      </c>
      <c r="G11" s="8" t="str">
        <f t="shared" si="0"/>
        <v>ROBINSON KADDIBA</v>
      </c>
    </row>
    <row r="12" spans="1:7" x14ac:dyDescent="0.25">
      <c r="A12" s="8">
        <v>42875.152083333334</v>
      </c>
      <c r="B12" s="20" t="s">
        <v>523</v>
      </c>
      <c r="C12" s="20" t="s">
        <v>659</v>
      </c>
      <c r="D12" s="141">
        <v>2140000</v>
      </c>
      <c r="E12" s="20" t="s">
        <v>520</v>
      </c>
      <c r="F12" s="20" t="s">
        <v>521</v>
      </c>
      <c r="G12" s="8" t="str">
        <f t="shared" si="0"/>
        <v>ROBINSON KADDIBA</v>
      </c>
    </row>
    <row r="13" spans="1:7" x14ac:dyDescent="0.25">
      <c r="A13" s="8">
        <v>42875.162546296298</v>
      </c>
      <c r="B13" s="20" t="s">
        <v>480</v>
      </c>
      <c r="C13" s="20" t="s">
        <v>660</v>
      </c>
      <c r="D13" s="141">
        <v>2010000</v>
      </c>
      <c r="E13" s="20" t="s">
        <v>661</v>
      </c>
      <c r="F13" s="20" t="s">
        <v>662</v>
      </c>
      <c r="G13" s="8" t="str">
        <f t="shared" si="0"/>
        <v>MAELZER KURT</v>
      </c>
    </row>
    <row r="14" spans="1:7" x14ac:dyDescent="0.25">
      <c r="A14" s="8">
        <v>42875.169421296298</v>
      </c>
      <c r="B14" s="20" t="s">
        <v>436</v>
      </c>
      <c r="C14" s="20" t="s">
        <v>587</v>
      </c>
      <c r="D14" s="141">
        <v>2550000</v>
      </c>
      <c r="E14" s="20" t="s">
        <v>482</v>
      </c>
      <c r="F14" s="20" t="s">
        <v>483</v>
      </c>
      <c r="G14" s="8" t="str">
        <f t="shared" si="0"/>
        <v>BADERTSCHER DIANE</v>
      </c>
    </row>
    <row r="15" spans="1:7" x14ac:dyDescent="0.25">
      <c r="A15" s="8">
        <v>42875.173344907409</v>
      </c>
      <c r="B15" s="20" t="s">
        <v>376</v>
      </c>
      <c r="C15" s="20" t="s">
        <v>663</v>
      </c>
      <c r="D15" s="141">
        <v>1990000</v>
      </c>
      <c r="E15" s="20" t="s">
        <v>664</v>
      </c>
      <c r="F15" s="20" t="s">
        <v>665</v>
      </c>
      <c r="G15" s="8" t="str">
        <f t="shared" si="0"/>
        <v>DAVIS WENDY</v>
      </c>
    </row>
    <row r="16" spans="1:7" x14ac:dyDescent="0.25">
      <c r="A16" s="8">
        <v>42875.174155092594</v>
      </c>
      <c r="B16" s="20" t="s">
        <v>445</v>
      </c>
      <c r="C16" s="20" t="s">
        <v>666</v>
      </c>
      <c r="D16" s="141">
        <v>2010000</v>
      </c>
      <c r="E16" s="20" t="s">
        <v>661</v>
      </c>
      <c r="F16" s="20" t="s">
        <v>662</v>
      </c>
      <c r="G16" s="8" t="str">
        <f t="shared" si="0"/>
        <v>MAELZER KURT</v>
      </c>
    </row>
    <row r="17" spans="1:7" x14ac:dyDescent="0.25">
      <c r="A17" s="8">
        <v>42875.175092592595</v>
      </c>
      <c r="B17" s="20" t="s">
        <v>376</v>
      </c>
      <c r="C17" s="20" t="s">
        <v>667</v>
      </c>
      <c r="D17" s="141">
        <v>1990000</v>
      </c>
      <c r="E17" s="20" t="s">
        <v>664</v>
      </c>
      <c r="F17" s="20" t="s">
        <v>665</v>
      </c>
      <c r="G17" s="8" t="str">
        <f t="shared" si="0"/>
        <v>DAVIS WENDY</v>
      </c>
    </row>
    <row r="18" spans="1:7" x14ac:dyDescent="0.25">
      <c r="A18" s="8">
        <v>42875.178773148145</v>
      </c>
      <c r="B18" s="20" t="s">
        <v>411</v>
      </c>
      <c r="C18" s="20" t="s">
        <v>668</v>
      </c>
      <c r="D18" s="141">
        <v>1360000</v>
      </c>
      <c r="E18" s="20" t="s">
        <v>669</v>
      </c>
      <c r="F18" s="20" t="s">
        <v>670</v>
      </c>
      <c r="G18" s="8" t="str">
        <f t="shared" si="0"/>
        <v>SANTIZO D. EDY</v>
      </c>
    </row>
    <row r="19" spans="1:7" x14ac:dyDescent="0.25">
      <c r="A19" s="8">
        <v>42875.18513888889</v>
      </c>
      <c r="B19" s="20" t="s">
        <v>345</v>
      </c>
      <c r="C19" s="20" t="s">
        <v>663</v>
      </c>
      <c r="D19" s="141">
        <v>1990000</v>
      </c>
      <c r="E19" s="20" t="s">
        <v>664</v>
      </c>
      <c r="F19" s="20" t="s">
        <v>665</v>
      </c>
      <c r="G19" s="8" t="str">
        <f t="shared" si="0"/>
        <v>DAVIS WENDY</v>
      </c>
    </row>
    <row r="20" spans="1:7" x14ac:dyDescent="0.25">
      <c r="A20" s="8">
        <v>42875.189097222225</v>
      </c>
      <c r="B20" s="20" t="s">
        <v>514</v>
      </c>
      <c r="C20" s="20" t="s">
        <v>671</v>
      </c>
      <c r="D20" s="141">
        <v>2140000</v>
      </c>
      <c r="E20" s="20" t="s">
        <v>520</v>
      </c>
      <c r="F20" s="20" t="s">
        <v>521</v>
      </c>
      <c r="G20" s="8" t="str">
        <f t="shared" si="0"/>
        <v>ROBINSON KADDIBA</v>
      </c>
    </row>
    <row r="21" spans="1:7" x14ac:dyDescent="0.25">
      <c r="A21" s="8">
        <v>42875.189444444448</v>
      </c>
      <c r="B21" s="20" t="s">
        <v>416</v>
      </c>
      <c r="C21" s="20" t="s">
        <v>672</v>
      </c>
      <c r="D21" s="141">
        <v>1360000</v>
      </c>
      <c r="E21" s="20" t="s">
        <v>669</v>
      </c>
      <c r="F21" s="20" t="s">
        <v>670</v>
      </c>
      <c r="G21" s="8" t="str">
        <f t="shared" si="0"/>
        <v>SANTIZO D. EDY</v>
      </c>
    </row>
    <row r="22" spans="1:7" x14ac:dyDescent="0.25">
      <c r="A22" s="26">
        <v>42875.20988425926</v>
      </c>
      <c r="B22" s="20" t="s">
        <v>343</v>
      </c>
      <c r="C22" s="20" t="s">
        <v>673</v>
      </c>
      <c r="D22" s="141">
        <v>890000</v>
      </c>
      <c r="E22" s="20" t="s">
        <v>443</v>
      </c>
      <c r="F22" s="20" t="s">
        <v>444</v>
      </c>
      <c r="G22" s="8" t="str">
        <f t="shared" si="0"/>
        <v>LOZA FIDEL</v>
      </c>
    </row>
    <row r="23" spans="1:7" x14ac:dyDescent="0.25">
      <c r="A23" s="8">
        <v>42875.211053240739</v>
      </c>
      <c r="B23" s="20" t="s">
        <v>480</v>
      </c>
      <c r="C23" s="20" t="s">
        <v>674</v>
      </c>
      <c r="D23" s="141">
        <v>2010000</v>
      </c>
      <c r="E23" s="20" t="s">
        <v>661</v>
      </c>
      <c r="F23" s="20" t="s">
        <v>662</v>
      </c>
      <c r="G23" s="8" t="str">
        <f t="shared" si="0"/>
        <v>MAELZER KURT</v>
      </c>
    </row>
    <row r="24" spans="1:7" x14ac:dyDescent="0.25">
      <c r="A24" s="8">
        <v>42875.212835648148</v>
      </c>
      <c r="B24" s="20" t="s">
        <v>435</v>
      </c>
      <c r="C24" s="20" t="s">
        <v>675</v>
      </c>
      <c r="D24" s="141">
        <v>2370000</v>
      </c>
      <c r="E24" s="20" t="s">
        <v>488</v>
      </c>
      <c r="F24" s="20" t="s">
        <v>489</v>
      </c>
      <c r="G24" s="8" t="str">
        <f t="shared" si="0"/>
        <v>DELGADO DIANAH</v>
      </c>
    </row>
    <row r="25" spans="1:7" x14ac:dyDescent="0.25">
      <c r="A25" s="8">
        <v>42875.22320601852</v>
      </c>
      <c r="B25" s="20" t="s">
        <v>376</v>
      </c>
      <c r="C25" s="20" t="s">
        <v>589</v>
      </c>
      <c r="D25" s="141">
        <v>1990000</v>
      </c>
      <c r="E25" s="20" t="s">
        <v>664</v>
      </c>
      <c r="F25" s="20" t="s">
        <v>665</v>
      </c>
      <c r="G25" s="8" t="str">
        <f t="shared" si="0"/>
        <v>DAVIS WENDY</v>
      </c>
    </row>
    <row r="26" spans="1:7" x14ac:dyDescent="0.25">
      <c r="A26" s="8">
        <v>42875.223379629628</v>
      </c>
      <c r="B26" s="20" t="s">
        <v>406</v>
      </c>
      <c r="C26" s="20" t="s">
        <v>676</v>
      </c>
      <c r="D26" s="141">
        <v>2560000</v>
      </c>
      <c r="E26" s="20" t="s">
        <v>522</v>
      </c>
      <c r="F26" s="20" t="s">
        <v>377</v>
      </c>
      <c r="G26" s="8" t="str">
        <f t="shared" si="0"/>
        <v>MACDONALD THOMAS</v>
      </c>
    </row>
    <row r="27" spans="1:7" x14ac:dyDescent="0.25">
      <c r="A27" s="8">
        <v>42875.22451388889</v>
      </c>
      <c r="B27" s="20" t="s">
        <v>411</v>
      </c>
      <c r="C27" s="20" t="s">
        <v>677</v>
      </c>
      <c r="D27" s="141">
        <v>1360000</v>
      </c>
      <c r="E27" s="20" t="s">
        <v>669</v>
      </c>
      <c r="F27" s="20" t="s">
        <v>670</v>
      </c>
      <c r="G27" s="8" t="str">
        <f t="shared" si="0"/>
        <v>SANTIZO D. EDY</v>
      </c>
    </row>
    <row r="28" spans="1:7" x14ac:dyDescent="0.25">
      <c r="A28" s="8">
        <v>42875.225729166668</v>
      </c>
      <c r="B28" s="20" t="s">
        <v>523</v>
      </c>
      <c r="C28" s="20" t="s">
        <v>678</v>
      </c>
      <c r="D28" s="141">
        <v>1100000</v>
      </c>
      <c r="E28" s="20" t="s">
        <v>484</v>
      </c>
      <c r="F28" s="20" t="s">
        <v>485</v>
      </c>
      <c r="G28" s="8" t="str">
        <f t="shared" si="0"/>
        <v>GEBRETEKLE DAGNEW</v>
      </c>
    </row>
    <row r="29" spans="1:7" x14ac:dyDescent="0.25">
      <c r="A29" s="8">
        <v>42875.232511574075</v>
      </c>
      <c r="B29" s="20" t="s">
        <v>515</v>
      </c>
      <c r="C29" s="20" t="s">
        <v>679</v>
      </c>
      <c r="D29" s="141">
        <v>2140000</v>
      </c>
      <c r="E29" s="20" t="s">
        <v>520</v>
      </c>
      <c r="F29" s="20" t="s">
        <v>521</v>
      </c>
      <c r="G29" s="8" t="str">
        <f t="shared" si="0"/>
        <v>ROBINSON KADDIBA</v>
      </c>
    </row>
    <row r="30" spans="1:7" x14ac:dyDescent="0.25">
      <c r="A30" s="8">
        <v>42875.234131944446</v>
      </c>
      <c r="B30" s="20" t="s">
        <v>434</v>
      </c>
      <c r="C30" s="20" t="s">
        <v>588</v>
      </c>
      <c r="D30" s="141">
        <v>2560000</v>
      </c>
      <c r="E30" s="20" t="s">
        <v>522</v>
      </c>
      <c r="F30" s="20" t="s">
        <v>377</v>
      </c>
      <c r="G30" s="8" t="str">
        <f t="shared" si="0"/>
        <v>MACDONALD THOMAS</v>
      </c>
    </row>
    <row r="31" spans="1:7" x14ac:dyDescent="0.25">
      <c r="A31" s="8">
        <v>42875.246504629627</v>
      </c>
      <c r="B31" s="20" t="s">
        <v>344</v>
      </c>
      <c r="C31" s="20" t="s">
        <v>680</v>
      </c>
      <c r="D31" s="141">
        <v>890000</v>
      </c>
      <c r="E31" s="20" t="s">
        <v>443</v>
      </c>
      <c r="F31" s="20" t="s">
        <v>444</v>
      </c>
      <c r="G31" s="8" t="str">
        <f t="shared" si="0"/>
        <v>LOZA FIDEL</v>
      </c>
    </row>
    <row r="32" spans="1:7" x14ac:dyDescent="0.25">
      <c r="A32" s="8">
        <v>42875.247557870367</v>
      </c>
      <c r="B32" s="20" t="s">
        <v>445</v>
      </c>
      <c r="C32" s="20" t="s">
        <v>590</v>
      </c>
      <c r="D32" s="141">
        <v>2010000</v>
      </c>
      <c r="E32" s="20" t="s">
        <v>661</v>
      </c>
      <c r="F32" s="20" t="s">
        <v>662</v>
      </c>
      <c r="G32" s="8" t="str">
        <f t="shared" si="0"/>
        <v>MAELZER KURT</v>
      </c>
    </row>
    <row r="33" spans="1:7" x14ac:dyDescent="0.25">
      <c r="A33" s="8">
        <v>42875.249988425923</v>
      </c>
      <c r="B33" s="20" t="s">
        <v>479</v>
      </c>
      <c r="C33" s="20" t="s">
        <v>681</v>
      </c>
      <c r="D33" s="141">
        <v>1340000</v>
      </c>
      <c r="E33" s="20" t="s">
        <v>682</v>
      </c>
      <c r="F33" s="20" t="s">
        <v>683</v>
      </c>
      <c r="G33" s="8" t="str">
        <f t="shared" si="0"/>
        <v>BEAM ROSS</v>
      </c>
    </row>
    <row r="34" spans="1:7" x14ac:dyDescent="0.25">
      <c r="A34" s="8">
        <v>42875.254583333335</v>
      </c>
      <c r="B34" s="20" t="s">
        <v>436</v>
      </c>
      <c r="C34" s="20" t="s">
        <v>684</v>
      </c>
      <c r="D34" s="141">
        <v>2370000</v>
      </c>
      <c r="E34" s="20" t="s">
        <v>488</v>
      </c>
      <c r="F34" s="20" t="s">
        <v>489</v>
      </c>
      <c r="G34" s="8" t="str">
        <f t="shared" si="0"/>
        <v>DELGADO DIANAH</v>
      </c>
    </row>
    <row r="35" spans="1:7" x14ac:dyDescent="0.25">
      <c r="A35" s="8">
        <v>42875.257187499999</v>
      </c>
      <c r="B35" s="20" t="s">
        <v>345</v>
      </c>
      <c r="C35" s="20" t="s">
        <v>685</v>
      </c>
      <c r="D35" s="141">
        <v>1990000</v>
      </c>
      <c r="E35" s="20" t="s">
        <v>664</v>
      </c>
      <c r="F35" s="20" t="s">
        <v>665</v>
      </c>
      <c r="G35" s="8" t="str">
        <f t="shared" si="0"/>
        <v>DAVIS WENDY</v>
      </c>
    </row>
    <row r="36" spans="1:7" x14ac:dyDescent="0.25">
      <c r="A36" s="8">
        <v>42875.257627314815</v>
      </c>
      <c r="B36" s="20" t="s">
        <v>480</v>
      </c>
      <c r="C36" s="20" t="s">
        <v>681</v>
      </c>
      <c r="D36" s="141">
        <v>1340000</v>
      </c>
      <c r="E36" s="20" t="s">
        <v>682</v>
      </c>
      <c r="F36" s="20" t="s">
        <v>683</v>
      </c>
      <c r="G36" s="8" t="str">
        <f t="shared" si="0"/>
        <v>BEAM ROSS</v>
      </c>
    </row>
    <row r="37" spans="1:7" x14ac:dyDescent="0.25">
      <c r="A37" s="8">
        <v>42875.264537037037</v>
      </c>
      <c r="B37" s="20" t="s">
        <v>406</v>
      </c>
      <c r="C37" s="20" t="s">
        <v>686</v>
      </c>
      <c r="D37" s="141">
        <v>2560000</v>
      </c>
      <c r="E37" s="20" t="s">
        <v>522</v>
      </c>
      <c r="F37" s="20" t="s">
        <v>377</v>
      </c>
      <c r="G37" s="8" t="str">
        <f t="shared" si="0"/>
        <v>MACDONALD THOMAS</v>
      </c>
    </row>
    <row r="38" spans="1:7" x14ac:dyDescent="0.25">
      <c r="A38" s="8">
        <v>42875.265567129631</v>
      </c>
      <c r="B38" s="20" t="s">
        <v>516</v>
      </c>
      <c r="C38" s="20" t="s">
        <v>687</v>
      </c>
      <c r="D38" s="141">
        <v>1100000</v>
      </c>
      <c r="E38" s="20" t="s">
        <v>484</v>
      </c>
      <c r="F38" s="20" t="s">
        <v>485</v>
      </c>
      <c r="G38" s="8" t="str">
        <f t="shared" si="0"/>
        <v>GEBRETEKLE DAGNEW</v>
      </c>
    </row>
    <row r="39" spans="1:7" x14ac:dyDescent="0.25">
      <c r="A39" s="8">
        <v>42875.266400462962</v>
      </c>
      <c r="B39" s="20" t="s">
        <v>516</v>
      </c>
      <c r="C39" s="20" t="s">
        <v>687</v>
      </c>
      <c r="D39" s="141">
        <v>1100000</v>
      </c>
      <c r="E39" s="20" t="s">
        <v>484</v>
      </c>
      <c r="F39" s="20" t="s">
        <v>485</v>
      </c>
      <c r="G39" s="8" t="str">
        <f t="shared" si="0"/>
        <v>GEBRETEKLE DAGNEW</v>
      </c>
    </row>
    <row r="40" spans="1:7" x14ac:dyDescent="0.25">
      <c r="A40" s="8">
        <v>42875.266956018517</v>
      </c>
      <c r="B40" s="25" t="s">
        <v>416</v>
      </c>
      <c r="C40" s="20" t="s">
        <v>688</v>
      </c>
      <c r="D40" s="141">
        <v>1780000</v>
      </c>
      <c r="E40" s="20" t="s">
        <v>689</v>
      </c>
      <c r="F40" s="20" t="s">
        <v>690</v>
      </c>
      <c r="G40" s="8" t="str">
        <f t="shared" si="0"/>
        <v>DE LA ROSA ALEX</v>
      </c>
    </row>
    <row r="41" spans="1:7" x14ac:dyDescent="0.25">
      <c r="A41" s="8">
        <v>42875.272326388891</v>
      </c>
      <c r="B41" s="20" t="s">
        <v>514</v>
      </c>
      <c r="C41" s="20" t="s">
        <v>691</v>
      </c>
      <c r="D41" s="141">
        <v>2140000</v>
      </c>
      <c r="E41" s="20" t="s">
        <v>520</v>
      </c>
      <c r="F41" s="20" t="s">
        <v>521</v>
      </c>
      <c r="G41" s="8" t="str">
        <f t="shared" si="0"/>
        <v>ROBINSON KADDIBA</v>
      </c>
    </row>
    <row r="42" spans="1:7" x14ac:dyDescent="0.25">
      <c r="A42" s="8">
        <v>42875.275231481479</v>
      </c>
      <c r="B42" s="20" t="s">
        <v>434</v>
      </c>
      <c r="C42" s="20" t="s">
        <v>692</v>
      </c>
      <c r="D42" s="141">
        <v>2560000</v>
      </c>
      <c r="E42" s="20" t="s">
        <v>522</v>
      </c>
      <c r="F42" s="20" t="s">
        <v>377</v>
      </c>
      <c r="G42" s="8" t="str">
        <f t="shared" si="0"/>
        <v>MACDONALD THOMAS</v>
      </c>
    </row>
    <row r="43" spans="1:7" x14ac:dyDescent="0.25">
      <c r="A43" s="8">
        <v>42875.278009259258</v>
      </c>
      <c r="B43" s="20" t="s">
        <v>516</v>
      </c>
      <c r="C43" s="20" t="s">
        <v>687</v>
      </c>
      <c r="D43" s="141">
        <v>1100000</v>
      </c>
      <c r="E43" s="20" t="s">
        <v>484</v>
      </c>
      <c r="F43" s="20" t="s">
        <v>485</v>
      </c>
      <c r="G43" s="8" t="str">
        <f t="shared" si="0"/>
        <v>GEBRETEKLE DAGNEW</v>
      </c>
    </row>
    <row r="44" spans="1:7" x14ac:dyDescent="0.25">
      <c r="A44" s="8">
        <v>42875.279872685183</v>
      </c>
      <c r="B44" s="20" t="s">
        <v>343</v>
      </c>
      <c r="C44" s="20" t="s">
        <v>693</v>
      </c>
      <c r="D44" s="141">
        <v>890000</v>
      </c>
      <c r="E44" s="20" t="s">
        <v>443</v>
      </c>
      <c r="F44" s="20" t="s">
        <v>444</v>
      </c>
      <c r="G44" s="8" t="str">
        <f t="shared" si="0"/>
        <v>LOZA FIDEL</v>
      </c>
    </row>
    <row r="45" spans="1:7" x14ac:dyDescent="0.25">
      <c r="A45" s="8">
        <v>42875.283414351848</v>
      </c>
      <c r="B45" s="20" t="s">
        <v>446</v>
      </c>
      <c r="C45" s="20" t="s">
        <v>694</v>
      </c>
      <c r="D45" s="141">
        <v>2010000</v>
      </c>
      <c r="E45" s="20" t="s">
        <v>661</v>
      </c>
      <c r="F45" s="20" t="s">
        <v>662</v>
      </c>
      <c r="G45" s="8" t="str">
        <f t="shared" si="0"/>
        <v>MAELZER KURT</v>
      </c>
    </row>
    <row r="46" spans="1:7" x14ac:dyDescent="0.25">
      <c r="A46" s="8">
        <v>42875.287673611114</v>
      </c>
      <c r="B46" s="20" t="s">
        <v>435</v>
      </c>
      <c r="C46" s="20" t="s">
        <v>695</v>
      </c>
      <c r="D46" s="141">
        <v>2370000</v>
      </c>
      <c r="E46" s="20" t="s">
        <v>488</v>
      </c>
      <c r="F46" s="20" t="s">
        <v>489</v>
      </c>
      <c r="G46" s="8" t="str">
        <f t="shared" si="0"/>
        <v>DELGADO DIANAH</v>
      </c>
    </row>
    <row r="47" spans="1:7" x14ac:dyDescent="0.25">
      <c r="A47" s="8">
        <v>42875.289444444446</v>
      </c>
      <c r="B47" s="20" t="s">
        <v>406</v>
      </c>
      <c r="C47" s="20" t="s">
        <v>591</v>
      </c>
      <c r="D47" s="141">
        <v>2560000</v>
      </c>
      <c r="E47" s="20" t="s">
        <v>522</v>
      </c>
      <c r="F47" s="20" t="s">
        <v>377</v>
      </c>
      <c r="G47" s="8" t="str">
        <f t="shared" si="0"/>
        <v>MACDONALD THOMAS</v>
      </c>
    </row>
    <row r="48" spans="1:7" x14ac:dyDescent="0.25">
      <c r="A48" s="8">
        <v>42875.297037037039</v>
      </c>
      <c r="B48" s="20" t="s">
        <v>376</v>
      </c>
      <c r="C48" s="20" t="s">
        <v>592</v>
      </c>
      <c r="D48" s="141">
        <v>1990000</v>
      </c>
      <c r="E48" s="20" t="s">
        <v>664</v>
      </c>
      <c r="F48" s="20" t="s">
        <v>665</v>
      </c>
      <c r="G48" s="8" t="str">
        <f t="shared" si="0"/>
        <v>DAVIS WENDY</v>
      </c>
    </row>
    <row r="49" spans="1:7" x14ac:dyDescent="0.25">
      <c r="A49" s="8">
        <v>42875.298368055555</v>
      </c>
      <c r="B49" s="20" t="s">
        <v>411</v>
      </c>
      <c r="C49" s="20" t="s">
        <v>696</v>
      </c>
      <c r="D49" s="141">
        <v>1780000</v>
      </c>
      <c r="E49" s="20" t="s">
        <v>689</v>
      </c>
      <c r="F49" s="20" t="s">
        <v>690</v>
      </c>
      <c r="G49" s="8" t="str">
        <f t="shared" si="0"/>
        <v>DE LA ROSA ALEX</v>
      </c>
    </row>
    <row r="50" spans="1:7" x14ac:dyDescent="0.25">
      <c r="A50" s="8">
        <v>42875.29965277778</v>
      </c>
      <c r="B50" s="20" t="s">
        <v>523</v>
      </c>
      <c r="C50" s="20" t="s">
        <v>697</v>
      </c>
      <c r="D50" s="141">
        <v>1100000</v>
      </c>
      <c r="E50" s="20" t="s">
        <v>484</v>
      </c>
      <c r="F50" s="20" t="s">
        <v>485</v>
      </c>
      <c r="G50" s="8" t="str">
        <f t="shared" si="0"/>
        <v>GEBRETEKLE DAGNEW</v>
      </c>
    </row>
    <row r="51" spans="1:7" x14ac:dyDescent="0.25">
      <c r="A51" s="8">
        <v>42875.30777777778</v>
      </c>
      <c r="B51" s="20" t="s">
        <v>515</v>
      </c>
      <c r="C51" s="20" t="s">
        <v>698</v>
      </c>
      <c r="D51" s="141">
        <v>2140000</v>
      </c>
      <c r="E51" s="20" t="s">
        <v>520</v>
      </c>
      <c r="F51" s="20" t="s">
        <v>521</v>
      </c>
      <c r="G51" s="8" t="str">
        <f t="shared" si="0"/>
        <v>ROBINSON KADDIBA</v>
      </c>
    </row>
    <row r="52" spans="1:7" x14ac:dyDescent="0.25">
      <c r="A52" s="8">
        <v>42875.316759259258</v>
      </c>
      <c r="B52" s="20" t="s">
        <v>434</v>
      </c>
      <c r="C52" s="20" t="s">
        <v>699</v>
      </c>
      <c r="D52" s="141">
        <v>2560000</v>
      </c>
      <c r="E52" s="20" t="s">
        <v>522</v>
      </c>
      <c r="F52" s="20" t="s">
        <v>377</v>
      </c>
      <c r="G52" s="8" t="str">
        <f t="shared" si="0"/>
        <v>MACDONALD THOMAS</v>
      </c>
    </row>
    <row r="53" spans="1:7" x14ac:dyDescent="0.25">
      <c r="A53" s="8">
        <v>42875.317291666666</v>
      </c>
      <c r="B53" s="20" t="s">
        <v>344</v>
      </c>
      <c r="C53" s="20" t="s">
        <v>700</v>
      </c>
      <c r="D53" s="141">
        <v>890000</v>
      </c>
      <c r="E53" s="20" t="s">
        <v>443</v>
      </c>
      <c r="F53" s="20" t="s">
        <v>444</v>
      </c>
      <c r="G53" s="8" t="str">
        <f t="shared" si="0"/>
        <v>LOZA FIDEL</v>
      </c>
    </row>
    <row r="54" spans="1:7" x14ac:dyDescent="0.25">
      <c r="A54" s="8">
        <v>42875.320879629631</v>
      </c>
      <c r="B54" s="20" t="s">
        <v>445</v>
      </c>
      <c r="C54" s="20" t="s">
        <v>701</v>
      </c>
      <c r="D54" s="141">
        <v>2010000</v>
      </c>
      <c r="E54" s="20" t="s">
        <v>661</v>
      </c>
      <c r="F54" s="20" t="s">
        <v>662</v>
      </c>
      <c r="G54" s="8" t="str">
        <f t="shared" si="0"/>
        <v>MAELZER KURT</v>
      </c>
    </row>
    <row r="55" spans="1:7" x14ac:dyDescent="0.25">
      <c r="A55" s="8">
        <v>42875.327824074076</v>
      </c>
      <c r="B55" s="20" t="s">
        <v>436</v>
      </c>
      <c r="C55" s="20" t="s">
        <v>702</v>
      </c>
      <c r="D55" s="141">
        <v>2370000</v>
      </c>
      <c r="E55" s="20" t="s">
        <v>488</v>
      </c>
      <c r="F55" s="20" t="s">
        <v>489</v>
      </c>
      <c r="G55" s="8" t="str">
        <f t="shared" si="0"/>
        <v>DELGADO DIANAH</v>
      </c>
    </row>
    <row r="56" spans="1:7" x14ac:dyDescent="0.25">
      <c r="A56" s="8">
        <v>42875.327939814815</v>
      </c>
      <c r="B56" s="20" t="s">
        <v>479</v>
      </c>
      <c r="C56" s="20" t="s">
        <v>593</v>
      </c>
      <c r="D56" s="141">
        <v>1340000</v>
      </c>
      <c r="E56" s="20" t="s">
        <v>682</v>
      </c>
      <c r="F56" s="20" t="s">
        <v>683</v>
      </c>
      <c r="G56" s="8" t="str">
        <f t="shared" si="0"/>
        <v>BEAM ROSS</v>
      </c>
    </row>
    <row r="57" spans="1:7" x14ac:dyDescent="0.25">
      <c r="A57" s="8">
        <v>42875.33017361111</v>
      </c>
      <c r="B57" s="20" t="s">
        <v>345</v>
      </c>
      <c r="C57" s="20" t="s">
        <v>703</v>
      </c>
      <c r="D57" s="141">
        <v>1990000</v>
      </c>
      <c r="E57" s="20" t="s">
        <v>664</v>
      </c>
      <c r="F57" s="20" t="s">
        <v>665</v>
      </c>
      <c r="G57" s="8" t="str">
        <f t="shared" si="0"/>
        <v>DAVIS WENDY</v>
      </c>
    </row>
    <row r="58" spans="1:7" x14ac:dyDescent="0.25">
      <c r="A58" s="8">
        <v>42875.331666666665</v>
      </c>
      <c r="B58" s="20" t="s">
        <v>406</v>
      </c>
      <c r="C58" s="20" t="s">
        <v>595</v>
      </c>
      <c r="D58" s="141">
        <v>2560000</v>
      </c>
      <c r="E58" s="20" t="s">
        <v>522</v>
      </c>
      <c r="F58" s="20" t="s">
        <v>377</v>
      </c>
      <c r="G58" s="8" t="str">
        <f t="shared" si="0"/>
        <v>MACDONALD THOMAS</v>
      </c>
    </row>
    <row r="59" spans="1:7" x14ac:dyDescent="0.25">
      <c r="A59" s="8">
        <v>42875.336493055554</v>
      </c>
      <c r="B59" s="20" t="s">
        <v>516</v>
      </c>
      <c r="C59" s="20" t="s">
        <v>594</v>
      </c>
      <c r="D59" s="141">
        <v>1100000</v>
      </c>
      <c r="E59" s="20" t="s">
        <v>484</v>
      </c>
      <c r="F59" s="20" t="s">
        <v>485</v>
      </c>
      <c r="G59" s="8" t="str">
        <f t="shared" si="0"/>
        <v>GEBRETEKLE DAGNEW</v>
      </c>
    </row>
    <row r="60" spans="1:7" x14ac:dyDescent="0.25">
      <c r="A60" s="8">
        <v>42875.338113425925</v>
      </c>
      <c r="B60" s="20" t="s">
        <v>480</v>
      </c>
      <c r="C60" s="20" t="s">
        <v>593</v>
      </c>
      <c r="D60" s="141">
        <v>1340000</v>
      </c>
      <c r="E60" s="20" t="s">
        <v>682</v>
      </c>
      <c r="F60" s="20" t="s">
        <v>683</v>
      </c>
      <c r="G60" s="8" t="str">
        <f t="shared" si="0"/>
        <v>BEAM ROSS</v>
      </c>
    </row>
    <row r="61" spans="1:7" x14ac:dyDescent="0.25">
      <c r="A61" s="8">
        <v>42875.340312499997</v>
      </c>
      <c r="B61" s="20" t="s">
        <v>416</v>
      </c>
      <c r="C61" s="20" t="s">
        <v>704</v>
      </c>
      <c r="D61" s="141">
        <v>1360000</v>
      </c>
      <c r="E61" s="20" t="s">
        <v>669</v>
      </c>
      <c r="F61" s="20" t="s">
        <v>670</v>
      </c>
      <c r="G61" s="8" t="str">
        <f t="shared" si="0"/>
        <v>SANTIZO D. EDY</v>
      </c>
    </row>
    <row r="62" spans="1:7" x14ac:dyDescent="0.25">
      <c r="A62" s="8">
        <v>42875.345011574071</v>
      </c>
      <c r="B62" s="20" t="s">
        <v>406</v>
      </c>
      <c r="C62" s="20" t="s">
        <v>595</v>
      </c>
      <c r="D62" s="141">
        <v>860000</v>
      </c>
      <c r="E62" s="20" t="s">
        <v>705</v>
      </c>
      <c r="F62" s="20" t="s">
        <v>706</v>
      </c>
      <c r="G62" s="8" t="str">
        <f t="shared" si="0"/>
        <v>ARNOLD PAUL</v>
      </c>
    </row>
    <row r="63" spans="1:7" x14ac:dyDescent="0.25">
      <c r="A63" s="8">
        <v>42875.349166666667</v>
      </c>
      <c r="B63" s="20" t="s">
        <v>514</v>
      </c>
      <c r="C63" s="20" t="s">
        <v>707</v>
      </c>
      <c r="D63" s="141">
        <v>2140000</v>
      </c>
      <c r="E63" s="20" t="s">
        <v>520</v>
      </c>
      <c r="F63" s="20" t="s">
        <v>521</v>
      </c>
      <c r="G63" s="8" t="str">
        <f t="shared" si="0"/>
        <v>ROBINSON KADDIBA</v>
      </c>
    </row>
    <row r="64" spans="1:7" x14ac:dyDescent="0.25">
      <c r="A64" s="26">
        <v>42875.351458333331</v>
      </c>
      <c r="B64" s="20" t="s">
        <v>479</v>
      </c>
      <c r="C64" s="20" t="s">
        <v>708</v>
      </c>
      <c r="D64" s="141">
        <v>890000</v>
      </c>
      <c r="E64" s="20" t="s">
        <v>443</v>
      </c>
      <c r="F64" s="20" t="s">
        <v>444</v>
      </c>
      <c r="G64" s="8" t="str">
        <f t="shared" si="0"/>
        <v>LOZA FIDEL</v>
      </c>
    </row>
    <row r="65" spans="1:7" x14ac:dyDescent="0.25">
      <c r="A65" s="8">
        <v>42875.351909722223</v>
      </c>
      <c r="B65" s="20" t="s">
        <v>516</v>
      </c>
      <c r="C65" s="20" t="s">
        <v>594</v>
      </c>
      <c r="D65" s="141">
        <v>1100000</v>
      </c>
      <c r="E65" s="20" t="s">
        <v>484</v>
      </c>
      <c r="F65" s="20" t="s">
        <v>485</v>
      </c>
      <c r="G65" s="8" t="str">
        <f t="shared" si="0"/>
        <v>GEBRETEKLE DAGNEW</v>
      </c>
    </row>
    <row r="66" spans="1:7" x14ac:dyDescent="0.25">
      <c r="A66" s="8">
        <v>42875.353055555555</v>
      </c>
      <c r="B66" s="20" t="s">
        <v>446</v>
      </c>
      <c r="C66" s="20" t="s">
        <v>709</v>
      </c>
      <c r="D66" s="141">
        <v>2010000</v>
      </c>
      <c r="E66" s="20" t="s">
        <v>661</v>
      </c>
      <c r="F66" s="20" t="s">
        <v>662</v>
      </c>
      <c r="G66" s="8" t="str">
        <f t="shared" si="0"/>
        <v>MAELZER KURT</v>
      </c>
    </row>
    <row r="67" spans="1:7" x14ac:dyDescent="0.25">
      <c r="A67" s="8">
        <v>42875.360451388886</v>
      </c>
      <c r="B67" s="20" t="s">
        <v>435</v>
      </c>
      <c r="C67" s="20" t="s">
        <v>710</v>
      </c>
      <c r="D67" s="141">
        <v>2550000</v>
      </c>
      <c r="E67" s="20" t="s">
        <v>482</v>
      </c>
      <c r="F67" s="20" t="s">
        <v>483</v>
      </c>
      <c r="G67" s="8" t="str">
        <f t="shared" ref="G67:G130" si="1">E67&amp;" "&amp;F67</f>
        <v>BADERTSCHER DIANE</v>
      </c>
    </row>
    <row r="68" spans="1:7" x14ac:dyDescent="0.25">
      <c r="A68" s="8">
        <v>42875.360509259262</v>
      </c>
      <c r="B68" s="20" t="s">
        <v>434</v>
      </c>
      <c r="C68" s="20" t="s">
        <v>711</v>
      </c>
      <c r="D68" s="141">
        <v>860000</v>
      </c>
      <c r="E68" s="20" t="s">
        <v>705</v>
      </c>
      <c r="F68" s="20" t="s">
        <v>706</v>
      </c>
      <c r="G68" s="8" t="str">
        <f t="shared" si="1"/>
        <v>ARNOLD PAUL</v>
      </c>
    </row>
    <row r="69" spans="1:7" x14ac:dyDescent="0.25">
      <c r="A69" s="8">
        <v>42875.369849537034</v>
      </c>
      <c r="B69" s="20" t="s">
        <v>376</v>
      </c>
      <c r="C69" s="20" t="s">
        <v>596</v>
      </c>
      <c r="D69" s="141">
        <v>1990000</v>
      </c>
      <c r="E69" s="20" t="s">
        <v>664</v>
      </c>
      <c r="F69" s="20" t="s">
        <v>665</v>
      </c>
      <c r="G69" s="8" t="str">
        <f t="shared" si="1"/>
        <v>DAVIS WENDY</v>
      </c>
    </row>
    <row r="70" spans="1:7" x14ac:dyDescent="0.25">
      <c r="A70" s="8">
        <v>42875.36986111111</v>
      </c>
      <c r="B70" s="20" t="s">
        <v>411</v>
      </c>
      <c r="C70" s="20" t="s">
        <v>597</v>
      </c>
      <c r="D70" s="141">
        <v>1360000</v>
      </c>
      <c r="E70" s="20" t="s">
        <v>669</v>
      </c>
      <c r="F70" s="20" t="s">
        <v>670</v>
      </c>
      <c r="G70" s="8" t="str">
        <f t="shared" si="1"/>
        <v>SANTIZO D. EDY</v>
      </c>
    </row>
    <row r="71" spans="1:7" x14ac:dyDescent="0.25">
      <c r="A71" s="8">
        <v>42875.37222222222</v>
      </c>
      <c r="B71" s="20" t="s">
        <v>523</v>
      </c>
      <c r="C71" s="20" t="s">
        <v>712</v>
      </c>
      <c r="D71" s="141">
        <v>1100000</v>
      </c>
      <c r="E71" s="20" t="s">
        <v>484</v>
      </c>
      <c r="F71" s="20" t="s">
        <v>485</v>
      </c>
      <c r="G71" s="8" t="str">
        <f t="shared" si="1"/>
        <v>GEBRETEKLE DAGNEW</v>
      </c>
    </row>
    <row r="72" spans="1:7" x14ac:dyDescent="0.25">
      <c r="A72" s="8">
        <v>42875.373043981483</v>
      </c>
      <c r="B72" s="20" t="s">
        <v>343</v>
      </c>
      <c r="C72" s="20" t="s">
        <v>713</v>
      </c>
      <c r="D72" s="141">
        <v>1340000</v>
      </c>
      <c r="E72" s="20" t="s">
        <v>682</v>
      </c>
      <c r="F72" s="20" t="s">
        <v>683</v>
      </c>
      <c r="G72" s="8" t="str">
        <f t="shared" si="1"/>
        <v>BEAM ROSS</v>
      </c>
    </row>
    <row r="73" spans="1:7" x14ac:dyDescent="0.25">
      <c r="A73" s="8">
        <v>42875.380462962959</v>
      </c>
      <c r="B73" s="20" t="s">
        <v>515</v>
      </c>
      <c r="C73" s="20" t="s">
        <v>599</v>
      </c>
      <c r="D73" s="141">
        <v>2140000</v>
      </c>
      <c r="E73" s="20" t="s">
        <v>520</v>
      </c>
      <c r="F73" s="20" t="s">
        <v>521</v>
      </c>
      <c r="G73" s="8" t="str">
        <f t="shared" si="1"/>
        <v>ROBINSON KADDIBA</v>
      </c>
    </row>
    <row r="74" spans="1:7" x14ac:dyDescent="0.25">
      <c r="A74" s="8">
        <v>42875.381226851852</v>
      </c>
      <c r="B74" s="20" t="s">
        <v>406</v>
      </c>
      <c r="C74" s="20" t="s">
        <v>598</v>
      </c>
      <c r="D74" s="141">
        <v>2560000</v>
      </c>
      <c r="E74" s="20" t="s">
        <v>522</v>
      </c>
      <c r="F74" s="20" t="s">
        <v>377</v>
      </c>
      <c r="G74" s="8" t="str">
        <f t="shared" si="1"/>
        <v>MACDONALD THOMAS</v>
      </c>
    </row>
    <row r="75" spans="1:7" x14ac:dyDescent="0.25">
      <c r="A75" s="8">
        <v>42875.382453703707</v>
      </c>
      <c r="B75" s="20" t="s">
        <v>480</v>
      </c>
      <c r="C75" s="20" t="s">
        <v>714</v>
      </c>
      <c r="D75" s="141">
        <v>890000</v>
      </c>
      <c r="E75" s="20" t="s">
        <v>443</v>
      </c>
      <c r="F75" s="20" t="s">
        <v>444</v>
      </c>
      <c r="G75" s="8" t="str">
        <f t="shared" si="1"/>
        <v>LOZA FIDEL</v>
      </c>
    </row>
    <row r="76" spans="1:7" x14ac:dyDescent="0.25">
      <c r="A76" s="8">
        <v>42875.392858796295</v>
      </c>
      <c r="B76" s="20" t="s">
        <v>445</v>
      </c>
      <c r="C76" s="20" t="s">
        <v>715</v>
      </c>
      <c r="D76" s="141">
        <v>2010000</v>
      </c>
      <c r="E76" s="20" t="s">
        <v>661</v>
      </c>
      <c r="F76" s="20" t="s">
        <v>662</v>
      </c>
      <c r="G76" s="8" t="str">
        <f t="shared" si="1"/>
        <v>MAELZER KURT</v>
      </c>
    </row>
    <row r="77" spans="1:7" x14ac:dyDescent="0.25">
      <c r="A77" s="8">
        <v>42875.394363425927</v>
      </c>
      <c r="B77" s="20" t="s">
        <v>387</v>
      </c>
      <c r="C77" s="20" t="s">
        <v>716</v>
      </c>
      <c r="D77" s="141">
        <v>1340000</v>
      </c>
      <c r="E77" s="20" t="s">
        <v>682</v>
      </c>
      <c r="F77" s="20" t="s">
        <v>683</v>
      </c>
      <c r="G77" s="8" t="str">
        <f t="shared" si="1"/>
        <v>BEAM ROSS</v>
      </c>
    </row>
    <row r="78" spans="1:7" x14ac:dyDescent="0.25">
      <c r="A78" s="8">
        <v>42875.396886574075</v>
      </c>
      <c r="B78" s="20" t="s">
        <v>436</v>
      </c>
      <c r="C78" s="20" t="s">
        <v>717</v>
      </c>
      <c r="D78" s="141">
        <v>2550000</v>
      </c>
      <c r="E78" s="20" t="s">
        <v>482</v>
      </c>
      <c r="F78" s="20" t="s">
        <v>483</v>
      </c>
      <c r="G78" s="8" t="str">
        <f t="shared" si="1"/>
        <v>BADERTSCHER DIANE</v>
      </c>
    </row>
    <row r="79" spans="1:7" x14ac:dyDescent="0.25">
      <c r="A79" s="8">
        <v>42875.399027777778</v>
      </c>
      <c r="B79" s="20" t="s">
        <v>381</v>
      </c>
      <c r="C79" s="20" t="s">
        <v>716</v>
      </c>
      <c r="D79" s="141">
        <v>1340000</v>
      </c>
      <c r="E79" s="20" t="s">
        <v>682</v>
      </c>
      <c r="F79" s="20" t="s">
        <v>683</v>
      </c>
      <c r="G79" s="8" t="str">
        <f t="shared" si="1"/>
        <v>BEAM ROSS</v>
      </c>
    </row>
    <row r="80" spans="1:7" x14ac:dyDescent="0.25">
      <c r="A80" s="8">
        <v>42875.40184027778</v>
      </c>
      <c r="B80" s="20" t="s">
        <v>434</v>
      </c>
      <c r="C80" s="20" t="s">
        <v>718</v>
      </c>
      <c r="D80" s="141">
        <v>2560000</v>
      </c>
      <c r="E80" s="20" t="s">
        <v>522</v>
      </c>
      <c r="F80" s="20" t="s">
        <v>377</v>
      </c>
      <c r="G80" s="8" t="str">
        <f t="shared" si="1"/>
        <v>MACDONALD THOMAS</v>
      </c>
    </row>
    <row r="81" spans="1:7" x14ac:dyDescent="0.25">
      <c r="A81" s="8">
        <v>42875.402037037034</v>
      </c>
      <c r="B81" s="20" t="s">
        <v>345</v>
      </c>
      <c r="C81" s="20" t="s">
        <v>719</v>
      </c>
      <c r="D81" s="141">
        <v>1990000</v>
      </c>
      <c r="E81" s="20" t="s">
        <v>664</v>
      </c>
      <c r="F81" s="20" t="s">
        <v>665</v>
      </c>
      <c r="G81" s="8" t="str">
        <f t="shared" si="1"/>
        <v>DAVIS WENDY</v>
      </c>
    </row>
    <row r="82" spans="1:7" x14ac:dyDescent="0.25">
      <c r="A82" s="8">
        <v>42875.411006944443</v>
      </c>
      <c r="B82" s="20" t="s">
        <v>516</v>
      </c>
      <c r="C82" s="20" t="s">
        <v>720</v>
      </c>
      <c r="D82" s="141">
        <v>1100000</v>
      </c>
      <c r="E82" s="20" t="s">
        <v>484</v>
      </c>
      <c r="F82" s="20" t="s">
        <v>485</v>
      </c>
      <c r="G82" s="8" t="str">
        <f t="shared" si="1"/>
        <v>GEBRETEKLE DAGNEW</v>
      </c>
    </row>
    <row r="83" spans="1:7" x14ac:dyDescent="0.25">
      <c r="A83" s="8">
        <v>42875.411689814813</v>
      </c>
      <c r="B83" s="20" t="s">
        <v>416</v>
      </c>
      <c r="C83" s="20" t="s">
        <v>721</v>
      </c>
      <c r="D83" s="141">
        <v>1360000</v>
      </c>
      <c r="E83" s="20" t="s">
        <v>669</v>
      </c>
      <c r="F83" s="20" t="s">
        <v>670</v>
      </c>
      <c r="G83" s="8" t="str">
        <f t="shared" si="1"/>
        <v>SANTIZO D. EDY</v>
      </c>
    </row>
    <row r="84" spans="1:7" x14ac:dyDescent="0.25">
      <c r="A84" s="8">
        <v>42875.422199074077</v>
      </c>
      <c r="B84" s="20" t="s">
        <v>479</v>
      </c>
      <c r="C84" s="20" t="s">
        <v>722</v>
      </c>
      <c r="D84" s="141">
        <v>890000</v>
      </c>
      <c r="E84" s="20" t="s">
        <v>443</v>
      </c>
      <c r="F84" s="20" t="s">
        <v>444</v>
      </c>
      <c r="G84" s="8" t="str">
        <f t="shared" si="1"/>
        <v>LOZA FIDEL</v>
      </c>
    </row>
    <row r="85" spans="1:7" x14ac:dyDescent="0.25">
      <c r="A85" s="8">
        <v>42875.423090277778</v>
      </c>
      <c r="B85" s="20" t="s">
        <v>514</v>
      </c>
      <c r="C85" s="20" t="s">
        <v>723</v>
      </c>
      <c r="D85" s="141">
        <v>2140000</v>
      </c>
      <c r="E85" s="20" t="s">
        <v>520</v>
      </c>
      <c r="F85" s="20" t="s">
        <v>521</v>
      </c>
      <c r="G85" s="8" t="str">
        <f t="shared" si="1"/>
        <v>ROBINSON KADDIBA</v>
      </c>
    </row>
    <row r="86" spans="1:7" x14ac:dyDescent="0.25">
      <c r="A86" s="8">
        <v>42875.425104166665</v>
      </c>
      <c r="B86" s="20" t="s">
        <v>446</v>
      </c>
      <c r="C86" s="20" t="s">
        <v>724</v>
      </c>
      <c r="D86" s="141">
        <v>2010000</v>
      </c>
      <c r="E86" s="20" t="s">
        <v>661</v>
      </c>
      <c r="F86" s="20" t="s">
        <v>662</v>
      </c>
      <c r="G86" s="8" t="str">
        <f t="shared" si="1"/>
        <v>MAELZER KURT</v>
      </c>
    </row>
    <row r="87" spans="1:7" x14ac:dyDescent="0.25">
      <c r="A87" s="8">
        <v>42875.425717592596</v>
      </c>
      <c r="B87" s="20" t="s">
        <v>479</v>
      </c>
      <c r="C87" s="20" t="s">
        <v>722</v>
      </c>
      <c r="D87" s="141">
        <v>2440000</v>
      </c>
      <c r="E87" s="20" t="s">
        <v>524</v>
      </c>
      <c r="F87" s="20" t="s">
        <v>525</v>
      </c>
      <c r="G87" s="8" t="str">
        <f t="shared" si="1"/>
        <v>LOPES KIMBERLY</v>
      </c>
    </row>
    <row r="88" spans="1:7" x14ac:dyDescent="0.25">
      <c r="A88" s="8">
        <v>42875.42596064815</v>
      </c>
      <c r="B88" s="20" t="s">
        <v>406</v>
      </c>
      <c r="C88" s="20" t="s">
        <v>601</v>
      </c>
      <c r="D88" s="141">
        <v>1170000</v>
      </c>
      <c r="E88" s="20" t="s">
        <v>725</v>
      </c>
      <c r="F88" s="20" t="s">
        <v>726</v>
      </c>
      <c r="G88" s="8" t="str">
        <f t="shared" si="1"/>
        <v>COOPER AARON</v>
      </c>
    </row>
    <row r="89" spans="1:7" x14ac:dyDescent="0.25">
      <c r="A89" s="8">
        <v>42875.434791666667</v>
      </c>
      <c r="B89" s="20" t="s">
        <v>435</v>
      </c>
      <c r="C89" s="20" t="s">
        <v>602</v>
      </c>
      <c r="D89" s="141">
        <v>2470000</v>
      </c>
      <c r="E89" s="20" t="s">
        <v>727</v>
      </c>
      <c r="F89" s="20" t="s">
        <v>728</v>
      </c>
      <c r="G89" s="8" t="str">
        <f t="shared" si="1"/>
        <v>ROMERO CHAD</v>
      </c>
    </row>
    <row r="90" spans="1:7" x14ac:dyDescent="0.25">
      <c r="A90" s="8">
        <v>42875.44321759259</v>
      </c>
      <c r="B90" s="20" t="s">
        <v>411</v>
      </c>
      <c r="C90" s="20" t="s">
        <v>603</v>
      </c>
      <c r="D90" s="141">
        <v>1360000</v>
      </c>
      <c r="E90" s="20" t="s">
        <v>669</v>
      </c>
      <c r="F90" s="20" t="s">
        <v>670</v>
      </c>
      <c r="G90" s="8" t="str">
        <f t="shared" si="1"/>
        <v>SANTIZO D. EDY</v>
      </c>
    </row>
    <row r="91" spans="1:7" x14ac:dyDescent="0.25">
      <c r="A91" s="8">
        <v>42875.443912037037</v>
      </c>
      <c r="B91" s="20" t="s">
        <v>376</v>
      </c>
      <c r="C91" s="20" t="s">
        <v>729</v>
      </c>
      <c r="D91" s="141">
        <v>1990000</v>
      </c>
      <c r="E91" s="20" t="s">
        <v>664</v>
      </c>
      <c r="F91" s="20" t="s">
        <v>665</v>
      </c>
      <c r="G91" s="8" t="str">
        <f t="shared" si="1"/>
        <v>DAVIS WENDY</v>
      </c>
    </row>
    <row r="92" spans="1:7" x14ac:dyDescent="0.25">
      <c r="A92" s="8">
        <v>42875.445069444446</v>
      </c>
      <c r="B92" s="20" t="s">
        <v>523</v>
      </c>
      <c r="C92" s="20" t="s">
        <v>730</v>
      </c>
      <c r="D92" s="141">
        <v>1100000</v>
      </c>
      <c r="E92" s="20" t="s">
        <v>484</v>
      </c>
      <c r="F92" s="20" t="s">
        <v>485</v>
      </c>
      <c r="G92" s="8" t="str">
        <f t="shared" si="1"/>
        <v>GEBRETEKLE DAGNEW</v>
      </c>
    </row>
    <row r="93" spans="1:7" x14ac:dyDescent="0.25">
      <c r="A93" s="8">
        <v>42875.447002314817</v>
      </c>
      <c r="B93" s="20" t="s">
        <v>434</v>
      </c>
      <c r="C93" s="20" t="s">
        <v>731</v>
      </c>
      <c r="D93" s="141">
        <v>1170000</v>
      </c>
      <c r="E93" s="20" t="s">
        <v>725</v>
      </c>
      <c r="F93" s="20" t="s">
        <v>726</v>
      </c>
      <c r="G93" s="8" t="str">
        <f t="shared" si="1"/>
        <v>COOPER AARON</v>
      </c>
    </row>
    <row r="94" spans="1:7" x14ac:dyDescent="0.25">
      <c r="A94" s="8">
        <v>42875.454641203702</v>
      </c>
      <c r="B94" s="20" t="s">
        <v>515</v>
      </c>
      <c r="C94" s="20" t="s">
        <v>732</v>
      </c>
      <c r="D94" s="141">
        <v>880000</v>
      </c>
      <c r="E94" s="20" t="s">
        <v>733</v>
      </c>
      <c r="F94" s="20" t="s">
        <v>196</v>
      </c>
      <c r="G94" s="8" t="str">
        <f t="shared" si="1"/>
        <v>STEWART MICHAEL</v>
      </c>
    </row>
    <row r="95" spans="1:7" x14ac:dyDescent="0.25">
      <c r="A95" s="8">
        <v>42875.458368055559</v>
      </c>
      <c r="B95" s="20" t="s">
        <v>480</v>
      </c>
      <c r="C95" s="20" t="s">
        <v>604</v>
      </c>
      <c r="D95" s="141">
        <v>2440000</v>
      </c>
      <c r="E95" s="20" t="s">
        <v>524</v>
      </c>
      <c r="F95" s="20" t="s">
        <v>525</v>
      </c>
      <c r="G95" s="8" t="str">
        <f t="shared" si="1"/>
        <v>LOPES KIMBERLY</v>
      </c>
    </row>
    <row r="96" spans="1:7" x14ac:dyDescent="0.25">
      <c r="A96" s="8">
        <v>42875.458541666667</v>
      </c>
      <c r="B96" s="20" t="s">
        <v>406</v>
      </c>
      <c r="C96" s="20" t="s">
        <v>734</v>
      </c>
      <c r="D96" s="141">
        <v>2560000</v>
      </c>
      <c r="E96" s="20" t="s">
        <v>522</v>
      </c>
      <c r="F96" s="20" t="s">
        <v>377</v>
      </c>
      <c r="G96" s="8" t="str">
        <f t="shared" si="1"/>
        <v>MACDONALD THOMAS</v>
      </c>
    </row>
    <row r="97" spans="1:7" x14ac:dyDescent="0.25">
      <c r="A97" s="8">
        <v>42875.464375000003</v>
      </c>
      <c r="B97" s="20" t="s">
        <v>445</v>
      </c>
      <c r="C97" s="20" t="s">
        <v>735</v>
      </c>
      <c r="D97" s="141">
        <v>2540000</v>
      </c>
      <c r="E97" s="20" t="s">
        <v>736</v>
      </c>
      <c r="F97" s="20" t="s">
        <v>737</v>
      </c>
      <c r="G97" s="8" t="str">
        <f t="shared" si="1"/>
        <v>MCREYNOLDS KYLE</v>
      </c>
    </row>
    <row r="98" spans="1:7" x14ac:dyDescent="0.25">
      <c r="A98" s="8">
        <v>42875.465960648151</v>
      </c>
      <c r="B98" s="20" t="s">
        <v>436</v>
      </c>
      <c r="C98" s="20" t="s">
        <v>605</v>
      </c>
      <c r="D98" s="141">
        <v>2470000</v>
      </c>
      <c r="E98" s="20" t="s">
        <v>727</v>
      </c>
      <c r="F98" s="20" t="s">
        <v>728</v>
      </c>
      <c r="G98" s="8" t="str">
        <f t="shared" si="1"/>
        <v>ROMERO CHAD</v>
      </c>
    </row>
    <row r="99" spans="1:7" x14ac:dyDescent="0.25">
      <c r="A99" s="8">
        <v>42875.477118055554</v>
      </c>
      <c r="B99" s="20" t="s">
        <v>345</v>
      </c>
      <c r="C99" s="20" t="s">
        <v>738</v>
      </c>
      <c r="D99" s="141">
        <v>1770000</v>
      </c>
      <c r="E99" s="20" t="s">
        <v>739</v>
      </c>
      <c r="F99" s="20" t="s">
        <v>740</v>
      </c>
      <c r="G99" s="8" t="str">
        <f t="shared" si="1"/>
        <v>BRUDER RICHARD</v>
      </c>
    </row>
    <row r="100" spans="1:7" x14ac:dyDescent="0.25">
      <c r="A100" s="8">
        <v>42875.482476851852</v>
      </c>
      <c r="B100" s="20" t="s">
        <v>516</v>
      </c>
      <c r="C100" s="20" t="s">
        <v>741</v>
      </c>
      <c r="D100" s="141">
        <v>1100000</v>
      </c>
      <c r="E100" s="20" t="s">
        <v>484</v>
      </c>
      <c r="F100" s="20" t="s">
        <v>485</v>
      </c>
      <c r="G100" s="8" t="str">
        <f t="shared" si="1"/>
        <v>GEBRETEKLE DAGNEW</v>
      </c>
    </row>
    <row r="101" spans="1:7" x14ac:dyDescent="0.25">
      <c r="A101" s="8">
        <v>42875.483715277776</v>
      </c>
      <c r="B101" s="20" t="s">
        <v>434</v>
      </c>
      <c r="C101" s="20" t="s">
        <v>742</v>
      </c>
      <c r="D101" s="141">
        <v>2560000</v>
      </c>
      <c r="E101" s="20" t="s">
        <v>522</v>
      </c>
      <c r="F101" s="20" t="s">
        <v>377</v>
      </c>
      <c r="G101" s="8" t="str">
        <f t="shared" si="1"/>
        <v>MACDONALD THOMAS</v>
      </c>
    </row>
    <row r="102" spans="1:7" x14ac:dyDescent="0.25">
      <c r="A102" s="8">
        <v>42875.488043981481</v>
      </c>
      <c r="B102" s="20" t="s">
        <v>416</v>
      </c>
      <c r="C102" s="20" t="s">
        <v>743</v>
      </c>
      <c r="D102" s="141">
        <v>2600000</v>
      </c>
      <c r="E102" s="20" t="s">
        <v>744</v>
      </c>
      <c r="F102" s="20" t="s">
        <v>745</v>
      </c>
      <c r="G102" s="8" t="str">
        <f t="shared" si="1"/>
        <v>DAVIDSON DAVID</v>
      </c>
    </row>
    <row r="103" spans="1:7" x14ac:dyDescent="0.25">
      <c r="A103" s="8">
        <v>42875.494027777779</v>
      </c>
      <c r="B103" s="20" t="s">
        <v>514</v>
      </c>
      <c r="C103" s="20" t="s">
        <v>608</v>
      </c>
      <c r="D103" s="141">
        <v>880000</v>
      </c>
      <c r="E103" s="20" t="s">
        <v>733</v>
      </c>
      <c r="F103" s="20" t="s">
        <v>196</v>
      </c>
      <c r="G103" s="8" t="str">
        <f t="shared" si="1"/>
        <v>STEWART MICHAEL</v>
      </c>
    </row>
    <row r="104" spans="1:7" x14ac:dyDescent="0.25">
      <c r="A104" s="8">
        <v>42875.496134259258</v>
      </c>
      <c r="B104" s="20" t="s">
        <v>479</v>
      </c>
      <c r="C104" s="20" t="s">
        <v>606</v>
      </c>
      <c r="D104" s="141">
        <v>2620000</v>
      </c>
      <c r="E104" s="20" t="s">
        <v>532</v>
      </c>
      <c r="F104" s="20" t="s">
        <v>533</v>
      </c>
      <c r="G104" s="8" t="str">
        <f t="shared" si="1"/>
        <v>PERKINS DARREN</v>
      </c>
    </row>
    <row r="105" spans="1:7" x14ac:dyDescent="0.25">
      <c r="A105" s="8">
        <v>42875.498495370368</v>
      </c>
      <c r="B105" s="20" t="s">
        <v>446</v>
      </c>
      <c r="C105" s="20" t="s">
        <v>607</v>
      </c>
      <c r="D105" s="141">
        <v>2540000</v>
      </c>
      <c r="E105" s="20" t="s">
        <v>736</v>
      </c>
      <c r="F105" s="20" t="s">
        <v>737</v>
      </c>
      <c r="G105" s="8" t="str">
        <f t="shared" si="1"/>
        <v>MCREYNOLDS KYLE</v>
      </c>
    </row>
    <row r="106" spans="1:7" x14ac:dyDescent="0.25">
      <c r="A106" s="8">
        <v>42875.504594907405</v>
      </c>
      <c r="B106" s="20" t="s">
        <v>435</v>
      </c>
      <c r="C106" s="20" t="s">
        <v>746</v>
      </c>
      <c r="D106" s="141">
        <v>2480000</v>
      </c>
      <c r="E106" s="20" t="s">
        <v>528</v>
      </c>
      <c r="F106" s="20" t="s">
        <v>529</v>
      </c>
      <c r="G106" s="8" t="str">
        <f t="shared" si="1"/>
        <v>WHITED DUSTIN</v>
      </c>
    </row>
    <row r="107" spans="1:7" x14ac:dyDescent="0.25">
      <c r="A107" s="8">
        <v>42875.511921296296</v>
      </c>
      <c r="B107" s="20" t="s">
        <v>406</v>
      </c>
      <c r="C107" s="20" t="s">
        <v>747</v>
      </c>
      <c r="D107" s="141">
        <v>2560000</v>
      </c>
      <c r="E107" s="20" t="s">
        <v>522</v>
      </c>
      <c r="F107" s="20" t="s">
        <v>377</v>
      </c>
      <c r="G107" s="8" t="str">
        <f t="shared" si="1"/>
        <v>MACDONALD THOMAS</v>
      </c>
    </row>
    <row r="108" spans="1:7" x14ac:dyDescent="0.25">
      <c r="A108" s="8">
        <v>42875.514872685184</v>
      </c>
      <c r="B108" s="20" t="s">
        <v>376</v>
      </c>
      <c r="C108" s="20" t="s">
        <v>748</v>
      </c>
      <c r="D108" s="141">
        <v>1770000</v>
      </c>
      <c r="E108" s="20" t="s">
        <v>739</v>
      </c>
      <c r="F108" s="20" t="s">
        <v>740</v>
      </c>
      <c r="G108" s="8" t="str">
        <f t="shared" si="1"/>
        <v>BRUDER RICHARD</v>
      </c>
    </row>
    <row r="109" spans="1:7" x14ac:dyDescent="0.25">
      <c r="A109" s="8">
        <v>42875.518287037034</v>
      </c>
      <c r="B109" s="20" t="s">
        <v>523</v>
      </c>
      <c r="C109" s="20" t="s">
        <v>749</v>
      </c>
      <c r="D109" s="141">
        <v>2040000</v>
      </c>
      <c r="E109" s="20" t="s">
        <v>526</v>
      </c>
      <c r="F109" s="20" t="s">
        <v>527</v>
      </c>
      <c r="G109" s="8" t="str">
        <f t="shared" si="1"/>
        <v>MOSES BRADLEY</v>
      </c>
    </row>
    <row r="110" spans="1:7" x14ac:dyDescent="0.25">
      <c r="A110" s="8">
        <v>42875.523414351854</v>
      </c>
      <c r="B110" s="20" t="s">
        <v>411</v>
      </c>
      <c r="C110" s="20" t="s">
        <v>750</v>
      </c>
      <c r="D110" s="141">
        <v>2600000</v>
      </c>
      <c r="E110" s="20" t="s">
        <v>744</v>
      </c>
      <c r="F110" s="20" t="s">
        <v>745</v>
      </c>
      <c r="G110" s="8" t="str">
        <f t="shared" si="1"/>
        <v>DAVIDSON DAVID</v>
      </c>
    </row>
    <row r="111" spans="1:7" x14ac:dyDescent="0.25">
      <c r="A111" s="8">
        <v>42875.525706018518</v>
      </c>
      <c r="B111" s="20" t="s">
        <v>434</v>
      </c>
      <c r="C111" s="20" t="s">
        <v>751</v>
      </c>
      <c r="D111" s="141">
        <v>2560000</v>
      </c>
      <c r="E111" s="20" t="s">
        <v>522</v>
      </c>
      <c r="F111" s="20" t="s">
        <v>377</v>
      </c>
      <c r="G111" s="8" t="str">
        <f t="shared" si="1"/>
        <v>MACDONALD THOMAS</v>
      </c>
    </row>
    <row r="112" spans="1:7" x14ac:dyDescent="0.25">
      <c r="A112" s="8">
        <v>42875.527870370373</v>
      </c>
      <c r="B112" s="20" t="s">
        <v>515</v>
      </c>
      <c r="C112" s="20" t="s">
        <v>752</v>
      </c>
      <c r="D112" s="141">
        <v>880000</v>
      </c>
      <c r="E112" s="20" t="s">
        <v>733</v>
      </c>
      <c r="F112" s="20" t="s">
        <v>196</v>
      </c>
      <c r="G112" s="8" t="str">
        <f t="shared" si="1"/>
        <v>STEWART MICHAEL</v>
      </c>
    </row>
    <row r="113" spans="1:7" x14ac:dyDescent="0.25">
      <c r="A113" s="8">
        <v>42875.533854166664</v>
      </c>
      <c r="B113" s="20" t="s">
        <v>480</v>
      </c>
      <c r="C113" s="20" t="s">
        <v>609</v>
      </c>
      <c r="D113" s="141">
        <v>2620000</v>
      </c>
      <c r="E113" s="20" t="s">
        <v>532</v>
      </c>
      <c r="F113" s="20" t="s">
        <v>533</v>
      </c>
      <c r="G113" s="8" t="str">
        <f t="shared" si="1"/>
        <v>PERKINS DARREN</v>
      </c>
    </row>
    <row r="114" spans="1:7" x14ac:dyDescent="0.25">
      <c r="A114" s="8">
        <v>42875.53707175926</v>
      </c>
      <c r="B114" s="20" t="s">
        <v>445</v>
      </c>
      <c r="C114" s="20" t="s">
        <v>753</v>
      </c>
      <c r="D114" s="141">
        <v>2540000</v>
      </c>
      <c r="E114" s="20" t="s">
        <v>736</v>
      </c>
      <c r="F114" s="20" t="s">
        <v>737</v>
      </c>
      <c r="G114" s="8" t="str">
        <f t="shared" si="1"/>
        <v>MCREYNOLDS KYLE</v>
      </c>
    </row>
    <row r="115" spans="1:7" x14ac:dyDescent="0.25">
      <c r="A115" s="8">
        <v>42875.542719907404</v>
      </c>
      <c r="B115" s="20" t="s">
        <v>406</v>
      </c>
      <c r="C115" s="20" t="s">
        <v>754</v>
      </c>
      <c r="D115" s="141">
        <v>2560000</v>
      </c>
      <c r="E115" s="20" t="s">
        <v>522</v>
      </c>
      <c r="F115" s="20" t="s">
        <v>377</v>
      </c>
      <c r="G115" s="8" t="str">
        <f t="shared" si="1"/>
        <v>MACDONALD THOMAS</v>
      </c>
    </row>
    <row r="116" spans="1:7" x14ac:dyDescent="0.25">
      <c r="A116" s="8">
        <v>42875.544236111113</v>
      </c>
      <c r="B116" s="20" t="s">
        <v>436</v>
      </c>
      <c r="C116" s="20" t="s">
        <v>755</v>
      </c>
      <c r="D116" s="141">
        <v>2480000</v>
      </c>
      <c r="E116" s="20" t="s">
        <v>528</v>
      </c>
      <c r="F116" s="20" t="s">
        <v>529</v>
      </c>
      <c r="G116" s="8" t="str">
        <f t="shared" si="1"/>
        <v>WHITED DUSTIN</v>
      </c>
    </row>
    <row r="117" spans="1:7" x14ac:dyDescent="0.25">
      <c r="A117" s="8">
        <v>42875.5471875</v>
      </c>
      <c r="B117" s="20" t="s">
        <v>345</v>
      </c>
      <c r="C117" s="20" t="s">
        <v>756</v>
      </c>
      <c r="D117" s="141">
        <v>1770000</v>
      </c>
      <c r="E117" s="20" t="s">
        <v>739</v>
      </c>
      <c r="F117" s="20" t="s">
        <v>740</v>
      </c>
      <c r="G117" s="8" t="str">
        <f t="shared" si="1"/>
        <v>BRUDER RICHARD</v>
      </c>
    </row>
    <row r="118" spans="1:7" x14ac:dyDescent="0.25">
      <c r="A118" s="8">
        <v>42875.557199074072</v>
      </c>
      <c r="B118" s="20" t="s">
        <v>516</v>
      </c>
      <c r="C118" s="20" t="s">
        <v>757</v>
      </c>
      <c r="D118" s="141">
        <v>2040000</v>
      </c>
      <c r="E118" s="20" t="s">
        <v>526</v>
      </c>
      <c r="F118" s="20" t="s">
        <v>527</v>
      </c>
      <c r="G118" s="8" t="str">
        <f t="shared" si="1"/>
        <v>MOSES BRADLEY</v>
      </c>
    </row>
    <row r="119" spans="1:7" x14ac:dyDescent="0.25">
      <c r="A119" s="8">
        <v>42875.55877314815</v>
      </c>
      <c r="B119" s="20" t="s">
        <v>416</v>
      </c>
      <c r="C119" s="20" t="s">
        <v>610</v>
      </c>
      <c r="D119" s="141">
        <v>2600000</v>
      </c>
      <c r="E119" s="20" t="s">
        <v>744</v>
      </c>
      <c r="F119" s="20" t="s">
        <v>745</v>
      </c>
      <c r="G119" s="8" t="str">
        <f t="shared" si="1"/>
        <v>DAVIDSON DAVID</v>
      </c>
    </row>
    <row r="120" spans="1:7" x14ac:dyDescent="0.25">
      <c r="A120" s="8">
        <v>42875.567523148151</v>
      </c>
      <c r="B120" s="20" t="s">
        <v>434</v>
      </c>
      <c r="C120" s="20" t="s">
        <v>758</v>
      </c>
      <c r="D120" s="141">
        <v>2560000</v>
      </c>
      <c r="E120" s="20" t="s">
        <v>522</v>
      </c>
      <c r="F120" s="20" t="s">
        <v>377</v>
      </c>
      <c r="G120" s="8" t="str">
        <f t="shared" si="1"/>
        <v>MACDONALD THOMAS</v>
      </c>
    </row>
    <row r="121" spans="1:7" x14ac:dyDescent="0.25">
      <c r="A121" s="8">
        <v>42875.568518518521</v>
      </c>
      <c r="B121" s="20" t="s">
        <v>514</v>
      </c>
      <c r="C121" s="20" t="s">
        <v>759</v>
      </c>
      <c r="D121" s="141">
        <v>880000</v>
      </c>
      <c r="E121" s="20" t="s">
        <v>733</v>
      </c>
      <c r="F121" s="20" t="s">
        <v>196</v>
      </c>
      <c r="G121" s="8" t="str">
        <f t="shared" si="1"/>
        <v>STEWART MICHAEL</v>
      </c>
    </row>
    <row r="122" spans="1:7" x14ac:dyDescent="0.25">
      <c r="A122" s="8">
        <v>42875.570509259262</v>
      </c>
      <c r="B122" s="25" t="s">
        <v>479</v>
      </c>
      <c r="C122" s="20" t="s">
        <v>760</v>
      </c>
      <c r="D122" s="141">
        <v>2620000</v>
      </c>
      <c r="E122" s="20" t="s">
        <v>532</v>
      </c>
      <c r="F122" s="20" t="s">
        <v>533</v>
      </c>
      <c r="G122" s="8" t="str">
        <f t="shared" si="1"/>
        <v>PERKINS DARREN</v>
      </c>
    </row>
    <row r="123" spans="1:7" x14ac:dyDescent="0.25">
      <c r="A123" s="8">
        <v>42875.573495370372</v>
      </c>
      <c r="B123" s="20" t="s">
        <v>446</v>
      </c>
      <c r="C123" s="20" t="s">
        <v>761</v>
      </c>
      <c r="D123" s="141">
        <v>2540000</v>
      </c>
      <c r="E123" s="20" t="s">
        <v>736</v>
      </c>
      <c r="F123" s="20" t="s">
        <v>737</v>
      </c>
      <c r="G123" s="8" t="str">
        <f t="shared" si="1"/>
        <v>MCREYNOLDS KYLE</v>
      </c>
    </row>
    <row r="124" spans="1:7" x14ac:dyDescent="0.25">
      <c r="A124" s="8">
        <v>42875.579548611109</v>
      </c>
      <c r="B124" s="20" t="s">
        <v>435</v>
      </c>
      <c r="C124" s="20" t="s">
        <v>762</v>
      </c>
      <c r="D124" s="141">
        <v>2470000</v>
      </c>
      <c r="E124" s="20" t="s">
        <v>727</v>
      </c>
      <c r="F124" s="20" t="s">
        <v>728</v>
      </c>
      <c r="G124" s="8" t="str">
        <f t="shared" si="1"/>
        <v>ROMERO CHAD</v>
      </c>
    </row>
    <row r="125" spans="1:7" x14ac:dyDescent="0.25">
      <c r="A125" s="8">
        <v>42875.579780092594</v>
      </c>
      <c r="B125" s="20" t="s">
        <v>387</v>
      </c>
      <c r="C125" s="20" t="s">
        <v>760</v>
      </c>
      <c r="D125" s="141">
        <v>2620000</v>
      </c>
      <c r="E125" s="20" t="s">
        <v>532</v>
      </c>
      <c r="F125" s="20" t="s">
        <v>533</v>
      </c>
      <c r="G125" s="8" t="str">
        <f t="shared" si="1"/>
        <v>PERKINS DARREN</v>
      </c>
    </row>
    <row r="126" spans="1:7" x14ac:dyDescent="0.25">
      <c r="A126" s="8">
        <v>42875.583344907405</v>
      </c>
      <c r="B126" s="20" t="s">
        <v>479</v>
      </c>
      <c r="C126" s="20" t="s">
        <v>611</v>
      </c>
      <c r="D126" s="141">
        <v>2440000</v>
      </c>
      <c r="E126" s="20" t="s">
        <v>524</v>
      </c>
      <c r="F126" s="20" t="s">
        <v>525</v>
      </c>
      <c r="G126" s="8" t="str">
        <f t="shared" si="1"/>
        <v>LOPES KIMBERLY</v>
      </c>
    </row>
    <row r="127" spans="1:7" x14ac:dyDescent="0.25">
      <c r="A127" s="8">
        <v>42875.587939814817</v>
      </c>
      <c r="B127" s="20" t="s">
        <v>376</v>
      </c>
      <c r="C127" s="20" t="s">
        <v>763</v>
      </c>
      <c r="D127" s="141">
        <v>1770000</v>
      </c>
      <c r="E127" s="20" t="s">
        <v>739</v>
      </c>
      <c r="F127" s="20" t="s">
        <v>740</v>
      </c>
      <c r="G127" s="8" t="str">
        <f t="shared" si="1"/>
        <v>BRUDER RICHARD</v>
      </c>
    </row>
    <row r="128" spans="1:7" x14ac:dyDescent="0.25">
      <c r="A128" s="8">
        <v>42875.591689814813</v>
      </c>
      <c r="B128" s="20" t="s">
        <v>523</v>
      </c>
      <c r="C128" s="20" t="s">
        <v>764</v>
      </c>
      <c r="D128" s="141">
        <v>2040000</v>
      </c>
      <c r="E128" s="20" t="s">
        <v>526</v>
      </c>
      <c r="F128" s="20" t="s">
        <v>527</v>
      </c>
      <c r="G128" s="8" t="str">
        <f t="shared" si="1"/>
        <v>MOSES BRADLEY</v>
      </c>
    </row>
    <row r="129" spans="1:7" x14ac:dyDescent="0.25">
      <c r="A129" s="8">
        <v>42875.591967592591</v>
      </c>
      <c r="B129" s="20" t="s">
        <v>480</v>
      </c>
      <c r="C129" s="20" t="s">
        <v>611</v>
      </c>
      <c r="D129" s="141">
        <v>2440000</v>
      </c>
      <c r="E129" s="20" t="s">
        <v>524</v>
      </c>
      <c r="F129" s="20" t="s">
        <v>525</v>
      </c>
      <c r="G129" s="8" t="str">
        <f t="shared" si="1"/>
        <v>LOPES KIMBERLY</v>
      </c>
    </row>
    <row r="130" spans="1:7" x14ac:dyDescent="0.25">
      <c r="A130" s="8">
        <v>42875.597592592596</v>
      </c>
      <c r="B130" s="20" t="s">
        <v>411</v>
      </c>
      <c r="C130" s="20" t="s">
        <v>765</v>
      </c>
      <c r="D130" s="141">
        <v>2600000</v>
      </c>
      <c r="E130" s="20" t="s">
        <v>744</v>
      </c>
      <c r="F130" s="20" t="s">
        <v>745</v>
      </c>
      <c r="G130" s="8" t="str">
        <f t="shared" si="1"/>
        <v>DAVIDSON DAVID</v>
      </c>
    </row>
    <row r="131" spans="1:7" x14ac:dyDescent="0.25">
      <c r="A131" s="8">
        <v>42875.597812499997</v>
      </c>
      <c r="B131" s="20" t="s">
        <v>406</v>
      </c>
      <c r="C131" s="20" t="s">
        <v>766</v>
      </c>
      <c r="D131" s="141">
        <v>3040000</v>
      </c>
      <c r="E131" s="20" t="s">
        <v>395</v>
      </c>
      <c r="F131" s="20" t="s">
        <v>396</v>
      </c>
      <c r="G131" s="8" t="str">
        <f t="shared" ref="G131:G194" si="2">E131&amp;" "&amp;F131</f>
        <v>WILLIAMS DONTE</v>
      </c>
    </row>
    <row r="132" spans="1:7" x14ac:dyDescent="0.25">
      <c r="A132" s="8">
        <v>42875.603229166663</v>
      </c>
      <c r="B132" s="20" t="s">
        <v>515</v>
      </c>
      <c r="C132" s="20" t="s">
        <v>613</v>
      </c>
      <c r="D132" s="141">
        <v>880000</v>
      </c>
      <c r="E132" s="20" t="s">
        <v>733</v>
      </c>
      <c r="F132" s="20" t="s">
        <v>196</v>
      </c>
      <c r="G132" s="8" t="str">
        <f t="shared" si="2"/>
        <v>STEWART MICHAEL</v>
      </c>
    </row>
    <row r="133" spans="1:7" x14ac:dyDescent="0.25">
      <c r="A133" s="8">
        <v>42875.610625000001</v>
      </c>
      <c r="B133" s="20" t="s">
        <v>381</v>
      </c>
      <c r="C133" s="20" t="s">
        <v>767</v>
      </c>
      <c r="D133" s="141">
        <v>2620000</v>
      </c>
      <c r="E133" s="20" t="s">
        <v>532</v>
      </c>
      <c r="F133" s="20" t="s">
        <v>533</v>
      </c>
      <c r="G133" s="8" t="str">
        <f t="shared" si="2"/>
        <v>PERKINS DARREN</v>
      </c>
    </row>
    <row r="134" spans="1:7" x14ac:dyDescent="0.25">
      <c r="A134" s="8">
        <v>42875.610763888886</v>
      </c>
      <c r="B134" s="20" t="s">
        <v>434</v>
      </c>
      <c r="C134" s="20" t="s">
        <v>612</v>
      </c>
      <c r="D134" s="141">
        <v>3040000</v>
      </c>
      <c r="E134" s="20" t="s">
        <v>395</v>
      </c>
      <c r="F134" s="20" t="s">
        <v>396</v>
      </c>
      <c r="G134" s="8" t="str">
        <f t="shared" si="2"/>
        <v>WILLIAMS DONTE</v>
      </c>
    </row>
    <row r="135" spans="1:7" x14ac:dyDescent="0.25">
      <c r="A135" s="8">
        <v>42875.611076388886</v>
      </c>
      <c r="B135" s="20" t="s">
        <v>445</v>
      </c>
      <c r="C135" s="20" t="s">
        <v>768</v>
      </c>
      <c r="D135" s="141">
        <v>2540000</v>
      </c>
      <c r="E135" s="20" t="s">
        <v>736</v>
      </c>
      <c r="F135" s="20" t="s">
        <v>737</v>
      </c>
      <c r="G135" s="8" t="str">
        <f t="shared" si="2"/>
        <v>MCREYNOLDS KYLE</v>
      </c>
    </row>
    <row r="136" spans="1:7" x14ac:dyDescent="0.25">
      <c r="A136" s="8">
        <v>42875.612349537034</v>
      </c>
      <c r="B136" s="20" t="s">
        <v>436</v>
      </c>
      <c r="C136" s="20" t="s">
        <v>769</v>
      </c>
      <c r="D136" s="141">
        <v>2470000</v>
      </c>
      <c r="E136" s="20" t="s">
        <v>727</v>
      </c>
      <c r="F136" s="20" t="s">
        <v>728</v>
      </c>
      <c r="G136" s="8" t="str">
        <f t="shared" si="2"/>
        <v>ROMERO CHAD</v>
      </c>
    </row>
    <row r="137" spans="1:7" x14ac:dyDescent="0.25">
      <c r="A137" s="8">
        <v>42875.621400462966</v>
      </c>
      <c r="B137" s="20" t="s">
        <v>345</v>
      </c>
      <c r="C137" s="20" t="s">
        <v>770</v>
      </c>
      <c r="D137" s="141">
        <v>1770000</v>
      </c>
      <c r="E137" s="20" t="s">
        <v>739</v>
      </c>
      <c r="F137" s="20" t="s">
        <v>740</v>
      </c>
      <c r="G137" s="8" t="str">
        <f t="shared" si="2"/>
        <v>BRUDER RICHARD</v>
      </c>
    </row>
    <row r="138" spans="1:7" x14ac:dyDescent="0.25">
      <c r="A138" s="8">
        <v>42875.630497685182</v>
      </c>
      <c r="B138" s="20" t="s">
        <v>516</v>
      </c>
      <c r="C138" s="20" t="s">
        <v>614</v>
      </c>
      <c r="D138" s="141">
        <v>2040000</v>
      </c>
      <c r="E138" s="20" t="s">
        <v>526</v>
      </c>
      <c r="F138" s="20" t="s">
        <v>527</v>
      </c>
      <c r="G138" s="8" t="str">
        <f t="shared" si="2"/>
        <v>MOSES BRADLEY</v>
      </c>
    </row>
    <row r="139" spans="1:7" x14ac:dyDescent="0.25">
      <c r="A139" s="8">
        <v>42875.633425925924</v>
      </c>
      <c r="B139" s="20" t="s">
        <v>406</v>
      </c>
      <c r="C139" s="20" t="s">
        <v>771</v>
      </c>
      <c r="D139" s="141">
        <v>3040000</v>
      </c>
      <c r="E139" s="20" t="s">
        <v>395</v>
      </c>
      <c r="F139" s="20" t="s">
        <v>396</v>
      </c>
      <c r="G139" s="8" t="str">
        <f t="shared" si="2"/>
        <v>WILLIAMS DONTE</v>
      </c>
    </row>
    <row r="140" spans="1:7" x14ac:dyDescent="0.25">
      <c r="A140" s="8">
        <v>42875.633773148147</v>
      </c>
      <c r="B140" s="20" t="s">
        <v>416</v>
      </c>
      <c r="C140" s="20" t="s">
        <v>615</v>
      </c>
      <c r="D140" s="141">
        <v>2600000</v>
      </c>
      <c r="E140" s="20" t="s">
        <v>744</v>
      </c>
      <c r="F140" s="20" t="s">
        <v>745</v>
      </c>
      <c r="G140" s="8" t="str">
        <f t="shared" si="2"/>
        <v>DAVIDSON DAVID</v>
      </c>
    </row>
    <row r="141" spans="1:7" x14ac:dyDescent="0.25">
      <c r="A141" s="8">
        <v>42875.641284722224</v>
      </c>
      <c r="B141" s="20" t="s">
        <v>514</v>
      </c>
      <c r="C141" s="20" t="s">
        <v>772</v>
      </c>
      <c r="D141" s="141">
        <v>880000</v>
      </c>
      <c r="E141" s="20" t="s">
        <v>733</v>
      </c>
      <c r="F141" s="20" t="s">
        <v>196</v>
      </c>
      <c r="G141" s="8" t="str">
        <f t="shared" si="2"/>
        <v>STEWART MICHAEL</v>
      </c>
    </row>
    <row r="142" spans="1:7" x14ac:dyDescent="0.25">
      <c r="A142" s="8">
        <v>42875.64203703704</v>
      </c>
      <c r="B142" s="20" t="s">
        <v>387</v>
      </c>
      <c r="C142" s="20" t="s">
        <v>773</v>
      </c>
      <c r="D142" s="141">
        <v>2620000</v>
      </c>
      <c r="E142" s="20" t="s">
        <v>532</v>
      </c>
      <c r="F142" s="20" t="s">
        <v>533</v>
      </c>
      <c r="G142" s="8" t="str">
        <f t="shared" si="2"/>
        <v>PERKINS DARREN</v>
      </c>
    </row>
    <row r="143" spans="1:7" x14ac:dyDescent="0.25">
      <c r="A143" s="8">
        <v>42875.647962962961</v>
      </c>
      <c r="B143" s="20" t="s">
        <v>446</v>
      </c>
      <c r="C143" s="20" t="s">
        <v>774</v>
      </c>
      <c r="D143" s="141">
        <v>2540000</v>
      </c>
      <c r="E143" s="20" t="s">
        <v>736</v>
      </c>
      <c r="F143" s="20" t="s">
        <v>737</v>
      </c>
      <c r="G143" s="8" t="str">
        <f t="shared" si="2"/>
        <v>MCREYNOLDS KYLE</v>
      </c>
    </row>
    <row r="144" spans="1:7" x14ac:dyDescent="0.25">
      <c r="A144" s="8">
        <v>42875.65115740741</v>
      </c>
      <c r="B144" s="20" t="s">
        <v>435</v>
      </c>
      <c r="C144" s="20" t="s">
        <v>775</v>
      </c>
      <c r="D144" s="141">
        <v>2470000</v>
      </c>
      <c r="E144" s="20" t="s">
        <v>727</v>
      </c>
      <c r="F144" s="20" t="s">
        <v>728</v>
      </c>
      <c r="G144" s="8" t="str">
        <f t="shared" si="2"/>
        <v>ROMERO CHAD</v>
      </c>
    </row>
    <row r="145" spans="1:7" x14ac:dyDescent="0.25">
      <c r="A145" s="8">
        <v>42875.651469907411</v>
      </c>
      <c r="B145" s="20" t="s">
        <v>434</v>
      </c>
      <c r="C145" s="20" t="s">
        <v>776</v>
      </c>
      <c r="D145" s="141">
        <v>3040000</v>
      </c>
      <c r="E145" s="20" t="s">
        <v>395</v>
      </c>
      <c r="F145" s="20" t="s">
        <v>396</v>
      </c>
      <c r="G145" s="8" t="str">
        <f t="shared" si="2"/>
        <v>WILLIAMS DONTE</v>
      </c>
    </row>
    <row r="146" spans="1:7" x14ac:dyDescent="0.25">
      <c r="A146" s="8">
        <v>42875.660162037035</v>
      </c>
      <c r="B146" s="20" t="s">
        <v>376</v>
      </c>
      <c r="C146" s="20" t="s">
        <v>777</v>
      </c>
      <c r="D146" s="141">
        <v>1770000</v>
      </c>
      <c r="E146" s="20" t="s">
        <v>739</v>
      </c>
      <c r="F146" s="20" t="s">
        <v>740</v>
      </c>
      <c r="G146" s="8" t="str">
        <f t="shared" si="2"/>
        <v>BRUDER RICHARD</v>
      </c>
    </row>
    <row r="147" spans="1:7" x14ac:dyDescent="0.25">
      <c r="A147" s="8">
        <v>42875.664247685185</v>
      </c>
      <c r="B147" s="20" t="s">
        <v>523</v>
      </c>
      <c r="C147" s="20" t="s">
        <v>778</v>
      </c>
      <c r="D147" s="141">
        <v>2040000</v>
      </c>
      <c r="E147" s="20" t="s">
        <v>526</v>
      </c>
      <c r="F147" s="20" t="s">
        <v>527</v>
      </c>
      <c r="G147" s="8" t="str">
        <f t="shared" si="2"/>
        <v>MOSES BRADLEY</v>
      </c>
    </row>
    <row r="148" spans="1:7" x14ac:dyDescent="0.25">
      <c r="A148" s="8">
        <v>42875.669293981482</v>
      </c>
      <c r="B148" s="20" t="s">
        <v>411</v>
      </c>
      <c r="C148" s="20" t="s">
        <v>779</v>
      </c>
      <c r="D148" s="141">
        <v>2600000</v>
      </c>
      <c r="E148" s="20" t="s">
        <v>744</v>
      </c>
      <c r="F148" s="20" t="s">
        <v>745</v>
      </c>
      <c r="G148" s="8" t="str">
        <f t="shared" si="2"/>
        <v>DAVIDSON DAVID</v>
      </c>
    </row>
    <row r="149" spans="1:7" x14ac:dyDescent="0.25">
      <c r="A149" s="8">
        <v>42875.673530092594</v>
      </c>
      <c r="B149" s="20" t="s">
        <v>515</v>
      </c>
      <c r="C149" s="20" t="s">
        <v>780</v>
      </c>
      <c r="D149" s="141">
        <v>880000</v>
      </c>
      <c r="E149" s="20" t="s">
        <v>733</v>
      </c>
      <c r="F149" s="20" t="s">
        <v>196</v>
      </c>
      <c r="G149" s="8" t="str">
        <f t="shared" si="2"/>
        <v>STEWART MICHAEL</v>
      </c>
    </row>
    <row r="150" spans="1:7" x14ac:dyDescent="0.25">
      <c r="A150" s="8">
        <v>42875.678356481483</v>
      </c>
      <c r="B150" s="20" t="s">
        <v>381</v>
      </c>
      <c r="C150" s="20" t="s">
        <v>616</v>
      </c>
      <c r="D150" s="141">
        <v>2620000</v>
      </c>
      <c r="E150" s="20" t="s">
        <v>532</v>
      </c>
      <c r="F150" s="20" t="s">
        <v>533</v>
      </c>
      <c r="G150" s="8" t="str">
        <f t="shared" si="2"/>
        <v>PERKINS DARREN</v>
      </c>
    </row>
    <row r="151" spans="1:7" x14ac:dyDescent="0.25">
      <c r="A151" s="8">
        <v>42875.6797337963</v>
      </c>
      <c r="B151" s="20" t="s">
        <v>479</v>
      </c>
      <c r="C151" s="20" t="s">
        <v>611</v>
      </c>
      <c r="D151" s="141">
        <v>2440000</v>
      </c>
      <c r="E151" s="20" t="s">
        <v>524</v>
      </c>
      <c r="F151" s="20" t="s">
        <v>525</v>
      </c>
      <c r="G151" s="8" t="str">
        <f t="shared" si="2"/>
        <v>LOPES KIMBERLY</v>
      </c>
    </row>
    <row r="152" spans="1:7" x14ac:dyDescent="0.25">
      <c r="A152" s="8">
        <v>42875.681226851855</v>
      </c>
      <c r="B152" s="20" t="s">
        <v>406</v>
      </c>
      <c r="C152" s="20" t="s">
        <v>781</v>
      </c>
      <c r="D152" s="141">
        <v>1540000</v>
      </c>
      <c r="E152" s="20" t="s">
        <v>486</v>
      </c>
      <c r="F152" s="20" t="s">
        <v>487</v>
      </c>
      <c r="G152" s="8" t="str">
        <f t="shared" si="2"/>
        <v>HELVIE ADAM</v>
      </c>
    </row>
    <row r="153" spans="1:7" x14ac:dyDescent="0.25">
      <c r="A153" s="8">
        <v>42875.682673611111</v>
      </c>
      <c r="B153" s="20" t="s">
        <v>436</v>
      </c>
      <c r="C153" s="20" t="s">
        <v>618</v>
      </c>
      <c r="D153" s="141">
        <v>2470000</v>
      </c>
      <c r="E153" s="20" t="s">
        <v>727</v>
      </c>
      <c r="F153" s="20" t="s">
        <v>728</v>
      </c>
      <c r="G153" s="8" t="str">
        <f t="shared" si="2"/>
        <v>ROMERO CHAD</v>
      </c>
    </row>
    <row r="154" spans="1:7" x14ac:dyDescent="0.25">
      <c r="A154" s="8">
        <v>42875.682974537034</v>
      </c>
      <c r="B154" s="20" t="s">
        <v>445</v>
      </c>
      <c r="C154" s="20" t="s">
        <v>617</v>
      </c>
      <c r="D154" s="141">
        <v>2540000</v>
      </c>
      <c r="E154" s="20" t="s">
        <v>736</v>
      </c>
      <c r="F154" s="20" t="s">
        <v>737</v>
      </c>
      <c r="G154" s="8" t="str">
        <f t="shared" si="2"/>
        <v>MCREYNOLDS KYLE</v>
      </c>
    </row>
    <row r="155" spans="1:7" x14ac:dyDescent="0.25">
      <c r="A155" s="8">
        <v>42875.694108796299</v>
      </c>
      <c r="B155" s="20" t="s">
        <v>434</v>
      </c>
      <c r="C155" s="20" t="s">
        <v>782</v>
      </c>
      <c r="D155" s="141">
        <v>1540000</v>
      </c>
      <c r="E155" s="20" t="s">
        <v>486</v>
      </c>
      <c r="F155" s="20" t="s">
        <v>487</v>
      </c>
      <c r="G155" s="8" t="str">
        <f t="shared" si="2"/>
        <v>HELVIE ADAM</v>
      </c>
    </row>
    <row r="156" spans="1:7" x14ac:dyDescent="0.25">
      <c r="A156" s="8">
        <v>42875.694780092592</v>
      </c>
      <c r="B156" s="20" t="s">
        <v>345</v>
      </c>
      <c r="C156" s="20" t="s">
        <v>783</v>
      </c>
      <c r="D156" s="141">
        <v>1770000</v>
      </c>
      <c r="E156" s="20" t="s">
        <v>739</v>
      </c>
      <c r="F156" s="20" t="s">
        <v>740</v>
      </c>
      <c r="G156" s="8" t="str">
        <f t="shared" si="2"/>
        <v>BRUDER RICHARD</v>
      </c>
    </row>
    <row r="157" spans="1:7" x14ac:dyDescent="0.25">
      <c r="A157" s="8">
        <v>42875.703032407408</v>
      </c>
      <c r="B157" s="20" t="s">
        <v>516</v>
      </c>
      <c r="C157" s="20" t="s">
        <v>784</v>
      </c>
      <c r="D157" s="141">
        <v>2040000</v>
      </c>
      <c r="E157" s="20" t="s">
        <v>526</v>
      </c>
      <c r="F157" s="20" t="s">
        <v>527</v>
      </c>
      <c r="G157" s="8" t="str">
        <f t="shared" si="2"/>
        <v>MOSES BRADLEY</v>
      </c>
    </row>
    <row r="158" spans="1:7" x14ac:dyDescent="0.25">
      <c r="A158" s="8">
        <v>42875.708020833335</v>
      </c>
      <c r="B158" s="20" t="s">
        <v>439</v>
      </c>
      <c r="C158" s="20" t="s">
        <v>785</v>
      </c>
      <c r="D158" s="141">
        <v>2480000</v>
      </c>
      <c r="E158" s="20" t="s">
        <v>528</v>
      </c>
      <c r="F158" s="20" t="s">
        <v>529</v>
      </c>
      <c r="G158" s="8" t="str">
        <f t="shared" si="2"/>
        <v>WHITED DUSTIN</v>
      </c>
    </row>
    <row r="159" spans="1:7" x14ac:dyDescent="0.25">
      <c r="A159" s="8">
        <v>42875.708958333336</v>
      </c>
      <c r="B159" s="20" t="s">
        <v>439</v>
      </c>
      <c r="C159" s="20" t="s">
        <v>785</v>
      </c>
      <c r="D159" s="141">
        <v>2480000</v>
      </c>
      <c r="E159" s="20" t="s">
        <v>528</v>
      </c>
      <c r="F159" s="20" t="s">
        <v>529</v>
      </c>
      <c r="G159" s="8" t="str">
        <f t="shared" si="2"/>
        <v>WHITED DUSTIN</v>
      </c>
    </row>
    <row r="160" spans="1:7" x14ac:dyDescent="0.25">
      <c r="A160" s="8">
        <v>42875.709849537037</v>
      </c>
      <c r="B160" s="20" t="s">
        <v>439</v>
      </c>
      <c r="C160" s="20" t="s">
        <v>785</v>
      </c>
      <c r="D160" s="141">
        <v>2480000</v>
      </c>
      <c r="E160" s="20" t="s">
        <v>528</v>
      </c>
      <c r="F160" s="20" t="s">
        <v>529</v>
      </c>
      <c r="G160" s="8" t="str">
        <f t="shared" si="2"/>
        <v>WHITED DUSTIN</v>
      </c>
    </row>
    <row r="161" spans="1:7" x14ac:dyDescent="0.25">
      <c r="A161" s="8">
        <v>42875.711041666669</v>
      </c>
      <c r="B161" s="20" t="s">
        <v>416</v>
      </c>
      <c r="C161" s="20" t="s">
        <v>786</v>
      </c>
      <c r="D161" s="141">
        <v>2600000</v>
      </c>
      <c r="E161" s="20" t="s">
        <v>744</v>
      </c>
      <c r="F161" s="20" t="s">
        <v>745</v>
      </c>
      <c r="G161" s="8" t="str">
        <f t="shared" si="2"/>
        <v>DAVIDSON DAVID</v>
      </c>
    </row>
    <row r="162" spans="1:7" x14ac:dyDescent="0.25">
      <c r="A162" s="8">
        <v>42875.711817129632</v>
      </c>
      <c r="B162" s="20" t="s">
        <v>439</v>
      </c>
      <c r="C162" s="20" t="s">
        <v>785</v>
      </c>
      <c r="D162" s="141">
        <v>2480000</v>
      </c>
      <c r="E162" s="20" t="s">
        <v>528</v>
      </c>
      <c r="F162" s="20" t="s">
        <v>529</v>
      </c>
      <c r="G162" s="8" t="str">
        <f t="shared" si="2"/>
        <v>WHITED DUSTIN</v>
      </c>
    </row>
    <row r="163" spans="1:7" x14ac:dyDescent="0.25">
      <c r="A163" s="8">
        <v>42875.713090277779</v>
      </c>
      <c r="B163" s="20" t="s">
        <v>439</v>
      </c>
      <c r="C163" s="20" t="s">
        <v>785</v>
      </c>
      <c r="D163" s="141">
        <v>2480000</v>
      </c>
      <c r="E163" s="20" t="s">
        <v>528</v>
      </c>
      <c r="F163" s="20" t="s">
        <v>529</v>
      </c>
      <c r="G163" s="8" t="str">
        <f t="shared" si="2"/>
        <v>WHITED DUSTIN</v>
      </c>
    </row>
    <row r="164" spans="1:7" x14ac:dyDescent="0.25">
      <c r="A164" s="8">
        <v>42875.714467592596</v>
      </c>
      <c r="B164" s="20" t="s">
        <v>514</v>
      </c>
      <c r="C164" s="20" t="s">
        <v>619</v>
      </c>
      <c r="D164" s="141">
        <v>880000</v>
      </c>
      <c r="E164" s="20" t="s">
        <v>733</v>
      </c>
      <c r="F164" s="20" t="s">
        <v>196</v>
      </c>
      <c r="G164" s="8" t="str">
        <f t="shared" si="2"/>
        <v>STEWART MICHAEL</v>
      </c>
    </row>
    <row r="165" spans="1:7" x14ac:dyDescent="0.25">
      <c r="A165" s="8">
        <v>42875.715208333335</v>
      </c>
      <c r="B165" s="20" t="s">
        <v>387</v>
      </c>
      <c r="C165" s="20" t="s">
        <v>622</v>
      </c>
      <c r="D165" s="141">
        <v>2620000</v>
      </c>
      <c r="E165" s="20" t="s">
        <v>532</v>
      </c>
      <c r="F165" s="20" t="s">
        <v>533</v>
      </c>
      <c r="G165" s="8" t="str">
        <f t="shared" si="2"/>
        <v>PERKINS DARREN</v>
      </c>
    </row>
    <row r="166" spans="1:7" x14ac:dyDescent="0.25">
      <c r="A166" s="8">
        <v>42875.717037037037</v>
      </c>
      <c r="B166" s="20" t="s">
        <v>439</v>
      </c>
      <c r="C166" s="20" t="s">
        <v>785</v>
      </c>
      <c r="D166" s="141">
        <v>2480000</v>
      </c>
      <c r="E166" s="20" t="s">
        <v>528</v>
      </c>
      <c r="F166" s="20" t="s">
        <v>529</v>
      </c>
      <c r="G166" s="8" t="str">
        <f t="shared" si="2"/>
        <v>WHITED DUSTIN</v>
      </c>
    </row>
    <row r="167" spans="1:7" x14ac:dyDescent="0.25">
      <c r="A167" s="8">
        <v>42875.719027777777</v>
      </c>
      <c r="B167" s="20" t="s">
        <v>446</v>
      </c>
      <c r="C167" s="20" t="s">
        <v>787</v>
      </c>
      <c r="D167" s="141">
        <v>2540000</v>
      </c>
      <c r="E167" s="20" t="s">
        <v>736</v>
      </c>
      <c r="F167" s="20" t="s">
        <v>737</v>
      </c>
      <c r="G167" s="8" t="str">
        <f t="shared" si="2"/>
        <v>MCREYNOLDS KYLE</v>
      </c>
    </row>
    <row r="168" spans="1:7" x14ac:dyDescent="0.25">
      <c r="A168" s="8">
        <v>42875.722129629627</v>
      </c>
      <c r="B168" s="20" t="s">
        <v>406</v>
      </c>
      <c r="C168" s="20" t="s">
        <v>788</v>
      </c>
      <c r="D168" s="141">
        <v>1540000</v>
      </c>
      <c r="E168" s="20" t="s">
        <v>486</v>
      </c>
      <c r="F168" s="20" t="s">
        <v>487</v>
      </c>
      <c r="G168" s="8" t="str">
        <f t="shared" si="2"/>
        <v>HELVIE ADAM</v>
      </c>
    </row>
    <row r="169" spans="1:7" x14ac:dyDescent="0.25">
      <c r="A169" s="8">
        <v>42875.726284722223</v>
      </c>
      <c r="B169" s="20" t="s">
        <v>435</v>
      </c>
      <c r="C169" s="20" t="s">
        <v>789</v>
      </c>
      <c r="D169" s="141">
        <v>2470000</v>
      </c>
      <c r="E169" s="20" t="s">
        <v>727</v>
      </c>
      <c r="F169" s="20" t="s">
        <v>728</v>
      </c>
      <c r="G169" s="8" t="str">
        <f t="shared" si="2"/>
        <v>ROMERO CHAD</v>
      </c>
    </row>
    <row r="170" spans="1:7" x14ac:dyDescent="0.25">
      <c r="A170" s="8">
        <v>42875.728206018517</v>
      </c>
      <c r="B170" s="20" t="s">
        <v>620</v>
      </c>
      <c r="C170" s="20" t="s">
        <v>621</v>
      </c>
      <c r="D170" s="141">
        <v>3000000</v>
      </c>
      <c r="E170" s="20" t="s">
        <v>409</v>
      </c>
      <c r="F170" s="20" t="s">
        <v>410</v>
      </c>
      <c r="G170" s="8" t="str">
        <f t="shared" si="2"/>
        <v>FORTUNATO FRANK</v>
      </c>
    </row>
    <row r="171" spans="1:7" x14ac:dyDescent="0.25">
      <c r="A171" s="8">
        <v>42875.731400462966</v>
      </c>
      <c r="B171" s="20" t="s">
        <v>376</v>
      </c>
      <c r="C171" s="20" t="s">
        <v>790</v>
      </c>
      <c r="D171" s="141">
        <v>1770000</v>
      </c>
      <c r="E171" s="20" t="s">
        <v>739</v>
      </c>
      <c r="F171" s="20" t="s">
        <v>740</v>
      </c>
      <c r="G171" s="8" t="str">
        <f t="shared" si="2"/>
        <v>BRUDER RICHARD</v>
      </c>
    </row>
    <row r="172" spans="1:7" x14ac:dyDescent="0.25">
      <c r="A172" s="8">
        <v>42875.7346875</v>
      </c>
      <c r="B172" s="20" t="s">
        <v>434</v>
      </c>
      <c r="C172" s="20" t="s">
        <v>791</v>
      </c>
      <c r="D172" s="141">
        <v>1540000</v>
      </c>
      <c r="E172" s="20" t="s">
        <v>486</v>
      </c>
      <c r="F172" s="20" t="s">
        <v>487</v>
      </c>
      <c r="G172" s="8" t="str">
        <f t="shared" si="2"/>
        <v>HELVIE ADAM</v>
      </c>
    </row>
    <row r="173" spans="1:7" x14ac:dyDescent="0.25">
      <c r="A173" s="8">
        <v>42875.737118055556</v>
      </c>
      <c r="B173" s="20" t="s">
        <v>523</v>
      </c>
      <c r="C173" s="20" t="s">
        <v>792</v>
      </c>
      <c r="D173" s="141">
        <v>2230000</v>
      </c>
      <c r="E173" s="20" t="s">
        <v>346</v>
      </c>
      <c r="F173" s="20" t="s">
        <v>196</v>
      </c>
      <c r="G173" s="8" t="str">
        <f t="shared" si="2"/>
        <v>SMITH MICHAEL</v>
      </c>
    </row>
    <row r="174" spans="1:7" x14ac:dyDescent="0.25">
      <c r="A174" s="8">
        <v>42875.743310185186</v>
      </c>
      <c r="B174" s="20" t="s">
        <v>411</v>
      </c>
      <c r="C174" s="20" t="s">
        <v>793</v>
      </c>
      <c r="D174" s="141">
        <v>2600000</v>
      </c>
      <c r="E174" s="20" t="s">
        <v>744</v>
      </c>
      <c r="F174" s="20" t="s">
        <v>745</v>
      </c>
      <c r="G174" s="8" t="str">
        <f t="shared" si="2"/>
        <v>DAVIDSON DAVID</v>
      </c>
    </row>
    <row r="175" spans="1:7" x14ac:dyDescent="0.25">
      <c r="A175" s="8">
        <v>42875.751018518517</v>
      </c>
      <c r="B175" s="20" t="s">
        <v>515</v>
      </c>
      <c r="C175" s="20" t="s">
        <v>627</v>
      </c>
      <c r="D175" s="141">
        <v>2040000</v>
      </c>
      <c r="E175" s="20" t="s">
        <v>526</v>
      </c>
      <c r="F175" s="20" t="s">
        <v>527</v>
      </c>
      <c r="G175" s="8" t="str">
        <f t="shared" si="2"/>
        <v>MOSES BRADLEY</v>
      </c>
    </row>
    <row r="176" spans="1:7" x14ac:dyDescent="0.25">
      <c r="A176" s="8">
        <v>42875.753587962965</v>
      </c>
      <c r="B176" s="20" t="s">
        <v>381</v>
      </c>
      <c r="C176" s="20" t="s">
        <v>623</v>
      </c>
      <c r="D176" s="141">
        <v>2620000</v>
      </c>
      <c r="E176" s="20" t="s">
        <v>532</v>
      </c>
      <c r="F176" s="20" t="s">
        <v>533</v>
      </c>
      <c r="G176" s="8" t="str">
        <f t="shared" si="2"/>
        <v>PERKINS DARREN</v>
      </c>
    </row>
    <row r="177" spans="1:7" x14ac:dyDescent="0.25">
      <c r="A177" s="8">
        <v>42875.758171296293</v>
      </c>
      <c r="B177" s="20" t="s">
        <v>445</v>
      </c>
      <c r="C177" s="20" t="s">
        <v>625</v>
      </c>
      <c r="D177" s="141">
        <v>2000000</v>
      </c>
      <c r="E177" s="20" t="s">
        <v>794</v>
      </c>
      <c r="F177" s="20" t="s">
        <v>193</v>
      </c>
      <c r="G177" s="8" t="str">
        <f t="shared" si="2"/>
        <v>STAMBAUGH JAMES</v>
      </c>
    </row>
    <row r="178" spans="1:7" x14ac:dyDescent="0.25">
      <c r="A178" s="8">
        <v>42875.763854166667</v>
      </c>
      <c r="B178" s="20" t="s">
        <v>406</v>
      </c>
      <c r="C178" s="20" t="s">
        <v>624</v>
      </c>
      <c r="D178" s="141">
        <v>1540000</v>
      </c>
      <c r="E178" s="20" t="s">
        <v>486</v>
      </c>
      <c r="F178" s="20" t="s">
        <v>487</v>
      </c>
      <c r="G178" s="8" t="str">
        <f t="shared" si="2"/>
        <v>HELVIE ADAM</v>
      </c>
    </row>
    <row r="179" spans="1:7" x14ac:dyDescent="0.25">
      <c r="A179" s="8">
        <v>42875.768125000002</v>
      </c>
      <c r="B179" s="20" t="s">
        <v>436</v>
      </c>
      <c r="C179" s="20" t="s">
        <v>626</v>
      </c>
      <c r="D179" s="141">
        <v>2470000</v>
      </c>
      <c r="E179" s="20" t="s">
        <v>727</v>
      </c>
      <c r="F179" s="20" t="s">
        <v>728</v>
      </c>
      <c r="G179" s="8" t="str">
        <f t="shared" si="2"/>
        <v>ROMERO CHAD</v>
      </c>
    </row>
    <row r="180" spans="1:7" x14ac:dyDescent="0.25">
      <c r="A180" s="8">
        <v>42875.769861111112</v>
      </c>
      <c r="B180" s="20" t="s">
        <v>345</v>
      </c>
      <c r="C180" s="20" t="s">
        <v>630</v>
      </c>
      <c r="D180" s="141">
        <v>2150000</v>
      </c>
      <c r="E180" s="20" t="s">
        <v>407</v>
      </c>
      <c r="F180" s="20" t="s">
        <v>408</v>
      </c>
      <c r="G180" s="8" t="str">
        <f t="shared" si="2"/>
        <v>SWANSON BRYCE</v>
      </c>
    </row>
    <row r="181" spans="1:7" x14ac:dyDescent="0.25">
      <c r="A181" s="8">
        <v>42875.774687500001</v>
      </c>
      <c r="B181" s="20" t="s">
        <v>516</v>
      </c>
      <c r="C181" s="20" t="s">
        <v>628</v>
      </c>
      <c r="D181" s="141">
        <v>2230000</v>
      </c>
      <c r="E181" s="20" t="s">
        <v>346</v>
      </c>
      <c r="F181" s="20" t="s">
        <v>196</v>
      </c>
      <c r="G181" s="8" t="str">
        <f t="shared" si="2"/>
        <v>SMITH MICHAEL</v>
      </c>
    </row>
    <row r="182" spans="1:7" x14ac:dyDescent="0.25">
      <c r="A182" s="8">
        <v>42875.776863425926</v>
      </c>
      <c r="B182" s="20" t="s">
        <v>434</v>
      </c>
      <c r="C182" s="20" t="s">
        <v>795</v>
      </c>
      <c r="D182" s="141">
        <v>1540000</v>
      </c>
      <c r="E182" s="20" t="s">
        <v>486</v>
      </c>
      <c r="F182" s="20" t="s">
        <v>487</v>
      </c>
      <c r="G182" s="8" t="str">
        <f t="shared" si="2"/>
        <v>HELVIE ADAM</v>
      </c>
    </row>
    <row r="183" spans="1:7" x14ac:dyDescent="0.25">
      <c r="A183" s="8">
        <v>42875.782488425924</v>
      </c>
      <c r="B183" s="20" t="s">
        <v>416</v>
      </c>
      <c r="C183" s="20" t="s">
        <v>796</v>
      </c>
      <c r="D183" s="141">
        <v>2600000</v>
      </c>
      <c r="E183" s="20" t="s">
        <v>744</v>
      </c>
      <c r="F183" s="20" t="s">
        <v>745</v>
      </c>
      <c r="G183" s="8" t="str">
        <f t="shared" si="2"/>
        <v>DAVIDSON DAVID</v>
      </c>
    </row>
    <row r="184" spans="1:7" x14ac:dyDescent="0.25">
      <c r="A184" s="8">
        <v>42875.786053240743</v>
      </c>
      <c r="B184" s="20" t="s">
        <v>514</v>
      </c>
      <c r="C184" s="20" t="s">
        <v>629</v>
      </c>
      <c r="D184" s="141">
        <v>2040000</v>
      </c>
      <c r="E184" s="20" t="s">
        <v>526</v>
      </c>
      <c r="F184" s="20" t="s">
        <v>527</v>
      </c>
      <c r="G184" s="8" t="str">
        <f t="shared" si="2"/>
        <v>MOSES BRADLEY</v>
      </c>
    </row>
    <row r="185" spans="1:7" x14ac:dyDescent="0.25">
      <c r="A185" s="8">
        <v>42875.790381944447</v>
      </c>
      <c r="B185" s="20" t="s">
        <v>387</v>
      </c>
      <c r="C185" s="20" t="s">
        <v>797</v>
      </c>
      <c r="D185" s="141">
        <v>2270000</v>
      </c>
      <c r="E185" s="20" t="s">
        <v>412</v>
      </c>
      <c r="F185" s="20" t="s">
        <v>413</v>
      </c>
      <c r="G185" s="8" t="str">
        <f t="shared" si="2"/>
        <v>BROWN JACOB</v>
      </c>
    </row>
    <row r="186" spans="1:7" x14ac:dyDescent="0.25">
      <c r="A186" s="8">
        <v>42875.794328703705</v>
      </c>
      <c r="B186" s="20" t="s">
        <v>446</v>
      </c>
      <c r="C186" s="20" t="s">
        <v>798</v>
      </c>
      <c r="D186" s="141">
        <v>2000000</v>
      </c>
      <c r="E186" s="20" t="s">
        <v>794</v>
      </c>
      <c r="F186" s="20" t="s">
        <v>193</v>
      </c>
      <c r="G186" s="8" t="str">
        <f t="shared" si="2"/>
        <v>STAMBAUGH JAMES</v>
      </c>
    </row>
    <row r="187" spans="1:7" x14ac:dyDescent="0.25">
      <c r="A187" s="8">
        <v>42875.797766203701</v>
      </c>
      <c r="B187" s="20" t="s">
        <v>435</v>
      </c>
      <c r="C187" s="20" t="s">
        <v>799</v>
      </c>
      <c r="D187" s="141">
        <v>2470000</v>
      </c>
      <c r="E187" s="20" t="s">
        <v>727</v>
      </c>
      <c r="F187" s="20" t="s">
        <v>728</v>
      </c>
      <c r="G187" s="8" t="str">
        <f t="shared" si="2"/>
        <v>ROMERO CHAD</v>
      </c>
    </row>
    <row r="188" spans="1:7" x14ac:dyDescent="0.25">
      <c r="A188" s="8">
        <v>42875.805868055555</v>
      </c>
      <c r="B188" s="20" t="s">
        <v>406</v>
      </c>
      <c r="C188" s="20" t="s">
        <v>800</v>
      </c>
      <c r="D188" s="141">
        <v>1540000</v>
      </c>
      <c r="E188" s="20" t="s">
        <v>486</v>
      </c>
      <c r="F188" s="20" t="s">
        <v>487</v>
      </c>
      <c r="G188" s="8" t="str">
        <f t="shared" si="2"/>
        <v>HELVIE ADAM</v>
      </c>
    </row>
    <row r="189" spans="1:7" x14ac:dyDescent="0.25">
      <c r="A189" s="8">
        <v>42875.808831018519</v>
      </c>
      <c r="B189" s="20" t="s">
        <v>376</v>
      </c>
      <c r="C189" s="20" t="s">
        <v>631</v>
      </c>
      <c r="D189" s="141">
        <v>2150000</v>
      </c>
      <c r="E189" s="20" t="s">
        <v>407</v>
      </c>
      <c r="F189" s="20" t="s">
        <v>408</v>
      </c>
      <c r="G189" s="8" t="str">
        <f t="shared" si="2"/>
        <v>SWANSON BRYCE</v>
      </c>
    </row>
    <row r="190" spans="1:7" x14ac:dyDescent="0.25">
      <c r="A190" s="8">
        <v>42875.811319444445</v>
      </c>
      <c r="B190" s="20" t="s">
        <v>523</v>
      </c>
      <c r="C190" s="20" t="s">
        <v>801</v>
      </c>
      <c r="D190" s="141">
        <v>2230000</v>
      </c>
      <c r="E190" s="20" t="s">
        <v>346</v>
      </c>
      <c r="F190" s="20" t="s">
        <v>196</v>
      </c>
      <c r="G190" s="8" t="str">
        <f t="shared" si="2"/>
        <v>SMITH MICHAEL</v>
      </c>
    </row>
    <row r="191" spans="1:7" x14ac:dyDescent="0.25">
      <c r="A191" s="8">
        <v>42875.818252314813</v>
      </c>
      <c r="B191" s="20" t="s">
        <v>437</v>
      </c>
      <c r="C191" s="20" t="s">
        <v>632</v>
      </c>
      <c r="D191" s="141">
        <v>3000000</v>
      </c>
      <c r="E191" s="20" t="s">
        <v>409</v>
      </c>
      <c r="F191" s="20" t="s">
        <v>410</v>
      </c>
      <c r="G191" s="8" t="str">
        <f t="shared" si="2"/>
        <v>FORTUNATO FRANK</v>
      </c>
    </row>
    <row r="192" spans="1:7" x14ac:dyDescent="0.25">
      <c r="A192" s="8">
        <v>42875.818553240744</v>
      </c>
      <c r="B192" s="20" t="s">
        <v>434</v>
      </c>
      <c r="C192" s="20" t="s">
        <v>802</v>
      </c>
      <c r="D192" s="141">
        <v>1540000</v>
      </c>
      <c r="E192" s="20" t="s">
        <v>486</v>
      </c>
      <c r="F192" s="20" t="s">
        <v>487</v>
      </c>
      <c r="G192" s="8" t="str">
        <f t="shared" si="2"/>
        <v>HELVIE ADAM</v>
      </c>
    </row>
    <row r="193" spans="1:7" x14ac:dyDescent="0.25">
      <c r="A193" s="8">
        <v>42875.821782407409</v>
      </c>
      <c r="B193" s="20" t="s">
        <v>515</v>
      </c>
      <c r="C193" s="20" t="s">
        <v>803</v>
      </c>
      <c r="D193" s="141">
        <v>2040000</v>
      </c>
      <c r="E193" s="20" t="s">
        <v>526</v>
      </c>
      <c r="F193" s="20" t="s">
        <v>527</v>
      </c>
      <c r="G193" s="8" t="str">
        <f t="shared" si="2"/>
        <v>MOSES BRADLEY</v>
      </c>
    </row>
    <row r="194" spans="1:7" x14ac:dyDescent="0.25">
      <c r="A194" s="8">
        <v>42875.821921296294</v>
      </c>
      <c r="B194" s="20" t="s">
        <v>620</v>
      </c>
      <c r="C194" s="20" t="s">
        <v>632</v>
      </c>
      <c r="D194" s="141">
        <v>3000000</v>
      </c>
      <c r="E194" s="20" t="s">
        <v>409</v>
      </c>
      <c r="F194" s="20" t="s">
        <v>410</v>
      </c>
      <c r="G194" s="8" t="str">
        <f t="shared" si="2"/>
        <v>FORTUNATO FRANK</v>
      </c>
    </row>
    <row r="195" spans="1:7" x14ac:dyDescent="0.25">
      <c r="A195" s="8">
        <v>42875.82744212963</v>
      </c>
      <c r="B195" s="20" t="s">
        <v>445</v>
      </c>
      <c r="C195" s="20" t="s">
        <v>804</v>
      </c>
      <c r="D195" s="141">
        <v>2000000</v>
      </c>
      <c r="E195" s="20" t="s">
        <v>794</v>
      </c>
      <c r="F195" s="20" t="s">
        <v>193</v>
      </c>
      <c r="G195" s="8" t="str">
        <f t="shared" ref="G195:G258" si="3">E195&amp;" "&amp;F195</f>
        <v>STAMBAUGH JAMES</v>
      </c>
    </row>
    <row r="196" spans="1:7" x14ac:dyDescent="0.25">
      <c r="A196" s="8">
        <v>42875.828310185185</v>
      </c>
      <c r="B196" s="20" t="s">
        <v>381</v>
      </c>
      <c r="C196" s="20" t="s">
        <v>633</v>
      </c>
      <c r="D196" s="141">
        <v>2270000</v>
      </c>
      <c r="E196" s="20" t="s">
        <v>412</v>
      </c>
      <c r="F196" s="20" t="s">
        <v>413</v>
      </c>
      <c r="G196" s="8" t="str">
        <f t="shared" si="3"/>
        <v>BROWN JACOB</v>
      </c>
    </row>
    <row r="197" spans="1:7" x14ac:dyDescent="0.25">
      <c r="A197" s="8">
        <v>42875.839872685188</v>
      </c>
      <c r="B197" s="20" t="s">
        <v>534</v>
      </c>
      <c r="C197" s="20" t="s">
        <v>640</v>
      </c>
      <c r="D197" s="141">
        <v>3010000</v>
      </c>
      <c r="E197" s="20" t="s">
        <v>414</v>
      </c>
      <c r="F197" s="20" t="s">
        <v>415</v>
      </c>
      <c r="G197" s="8" t="str">
        <f t="shared" si="3"/>
        <v>SULLIVAN BRANDON</v>
      </c>
    </row>
    <row r="198" spans="1:7" x14ac:dyDescent="0.25">
      <c r="A198" s="8">
        <v>42875.844490740739</v>
      </c>
      <c r="B198" s="20" t="s">
        <v>516</v>
      </c>
      <c r="C198" s="20" t="s">
        <v>805</v>
      </c>
      <c r="D198" s="141">
        <v>2230000</v>
      </c>
      <c r="E198" s="20" t="s">
        <v>346</v>
      </c>
      <c r="F198" s="20" t="s">
        <v>196</v>
      </c>
      <c r="G198" s="8" t="str">
        <f t="shared" si="3"/>
        <v>SMITH MICHAEL</v>
      </c>
    </row>
    <row r="199" spans="1:7" x14ac:dyDescent="0.25">
      <c r="A199" s="8">
        <v>42875.847314814811</v>
      </c>
      <c r="B199" s="20" t="s">
        <v>406</v>
      </c>
      <c r="C199" s="20" t="s">
        <v>634</v>
      </c>
      <c r="D199" s="141">
        <v>1540000</v>
      </c>
      <c r="E199" s="20" t="s">
        <v>486</v>
      </c>
      <c r="F199" s="20" t="s">
        <v>487</v>
      </c>
      <c r="G199" s="8" t="str">
        <f t="shared" si="3"/>
        <v>HELVIE ADAM</v>
      </c>
    </row>
    <row r="200" spans="1:7" x14ac:dyDescent="0.25">
      <c r="A200" s="8">
        <v>42875.851423611108</v>
      </c>
      <c r="B200" s="20" t="s">
        <v>345</v>
      </c>
      <c r="C200" s="20" t="s">
        <v>636</v>
      </c>
      <c r="D200" s="141">
        <v>2150000</v>
      </c>
      <c r="E200" s="20" t="s">
        <v>407</v>
      </c>
      <c r="F200" s="20" t="s">
        <v>408</v>
      </c>
      <c r="G200" s="8" t="str">
        <f t="shared" si="3"/>
        <v>SWANSON BRYCE</v>
      </c>
    </row>
    <row r="201" spans="1:7" x14ac:dyDescent="0.25">
      <c r="A201" s="8">
        <v>42875.852418981478</v>
      </c>
      <c r="B201" s="20" t="s">
        <v>518</v>
      </c>
      <c r="C201" s="20" t="s">
        <v>643</v>
      </c>
      <c r="D201" s="141">
        <v>3010000</v>
      </c>
      <c r="E201" s="20" t="s">
        <v>414</v>
      </c>
      <c r="F201" s="20" t="s">
        <v>415</v>
      </c>
      <c r="G201" s="8" t="str">
        <f t="shared" si="3"/>
        <v>SULLIVAN BRANDON</v>
      </c>
    </row>
    <row r="202" spans="1:7" x14ac:dyDescent="0.25">
      <c r="A202" s="26">
        <v>42875.860115740739</v>
      </c>
      <c r="B202" s="20" t="s">
        <v>434</v>
      </c>
      <c r="C202" s="20" t="s">
        <v>806</v>
      </c>
      <c r="D202" s="141">
        <v>1540000</v>
      </c>
      <c r="E202" s="20" t="s">
        <v>486</v>
      </c>
      <c r="F202" s="20" t="s">
        <v>487</v>
      </c>
      <c r="G202" s="8" t="str">
        <f t="shared" si="3"/>
        <v>HELVIE ADAM</v>
      </c>
    </row>
    <row r="203" spans="1:7" x14ac:dyDescent="0.25">
      <c r="A203" s="8">
        <v>42875.867685185185</v>
      </c>
      <c r="B203" s="20" t="s">
        <v>446</v>
      </c>
      <c r="C203" s="20" t="s">
        <v>635</v>
      </c>
      <c r="D203" s="141">
        <v>2000000</v>
      </c>
      <c r="E203" s="20" t="s">
        <v>794</v>
      </c>
      <c r="F203" s="20" t="s">
        <v>193</v>
      </c>
      <c r="G203" s="8" t="str">
        <f t="shared" si="3"/>
        <v>STAMBAUGH JAMES</v>
      </c>
    </row>
    <row r="204" spans="1:7" x14ac:dyDescent="0.25">
      <c r="A204" s="8">
        <v>42875.872152777774</v>
      </c>
      <c r="B204" s="20" t="s">
        <v>387</v>
      </c>
      <c r="C204" s="20" t="s">
        <v>637</v>
      </c>
      <c r="D204" s="141">
        <v>2270000</v>
      </c>
      <c r="E204" s="20" t="s">
        <v>412</v>
      </c>
      <c r="F204" s="20" t="s">
        <v>413</v>
      </c>
      <c r="G204" s="8" t="str">
        <f t="shared" si="3"/>
        <v>BROWN JACOB</v>
      </c>
    </row>
    <row r="205" spans="1:7" x14ac:dyDescent="0.25">
      <c r="A205" s="8">
        <v>42875.888460648152</v>
      </c>
      <c r="B205" s="20" t="s">
        <v>523</v>
      </c>
      <c r="C205" s="20" t="s">
        <v>807</v>
      </c>
      <c r="D205" s="141">
        <v>2230000</v>
      </c>
      <c r="E205" s="20" t="s">
        <v>346</v>
      </c>
      <c r="F205" s="20" t="s">
        <v>196</v>
      </c>
      <c r="G205" s="8" t="str">
        <f t="shared" si="3"/>
        <v>SMITH MICHAEL</v>
      </c>
    </row>
    <row r="206" spans="1:7" x14ac:dyDescent="0.25">
      <c r="A206" s="8">
        <v>42875.889039351852</v>
      </c>
      <c r="B206" s="20" t="s">
        <v>406</v>
      </c>
      <c r="C206" s="20" t="s">
        <v>808</v>
      </c>
      <c r="D206" s="141">
        <v>1540000</v>
      </c>
      <c r="E206" s="20" t="s">
        <v>486</v>
      </c>
      <c r="F206" s="20" t="s">
        <v>487</v>
      </c>
      <c r="G206" s="8" t="str">
        <f t="shared" si="3"/>
        <v>HELVIE ADAM</v>
      </c>
    </row>
    <row r="207" spans="1:7" x14ac:dyDescent="0.25">
      <c r="A207" s="8">
        <v>42875.890127314815</v>
      </c>
      <c r="B207" s="20" t="s">
        <v>376</v>
      </c>
      <c r="C207" s="20" t="s">
        <v>809</v>
      </c>
      <c r="D207" s="141">
        <v>2150000</v>
      </c>
      <c r="E207" s="20" t="s">
        <v>407</v>
      </c>
      <c r="F207" s="20" t="s">
        <v>408</v>
      </c>
      <c r="G207" s="8" t="str">
        <f t="shared" si="3"/>
        <v>SWANSON BRYCE</v>
      </c>
    </row>
    <row r="208" spans="1:7" x14ac:dyDescent="0.25">
      <c r="A208" s="8">
        <v>42875.900277777779</v>
      </c>
      <c r="B208" s="20" t="s">
        <v>434</v>
      </c>
      <c r="C208" s="20" t="s">
        <v>810</v>
      </c>
      <c r="D208" s="141">
        <v>1540000</v>
      </c>
      <c r="E208" s="20" t="s">
        <v>486</v>
      </c>
      <c r="F208" s="20" t="s">
        <v>487</v>
      </c>
      <c r="G208" s="8" t="str">
        <f t="shared" si="3"/>
        <v>HELVIE ADAM</v>
      </c>
    </row>
    <row r="209" spans="1:7" x14ac:dyDescent="0.25">
      <c r="A209" s="8">
        <v>42875.90047453704</v>
      </c>
      <c r="B209" s="20" t="s">
        <v>534</v>
      </c>
      <c r="C209" s="20" t="s">
        <v>640</v>
      </c>
      <c r="D209" s="141">
        <v>3010000</v>
      </c>
      <c r="E209" s="20" t="s">
        <v>414</v>
      </c>
      <c r="F209" s="20" t="s">
        <v>415</v>
      </c>
      <c r="G209" s="8" t="str">
        <f t="shared" si="3"/>
        <v>SULLIVAN BRANDON</v>
      </c>
    </row>
    <row r="210" spans="1:7" x14ac:dyDescent="0.25">
      <c r="A210" s="8">
        <v>42875.912974537037</v>
      </c>
      <c r="B210" s="20" t="s">
        <v>445</v>
      </c>
      <c r="C210" s="20" t="s">
        <v>638</v>
      </c>
      <c r="D210" s="141">
        <v>2000000</v>
      </c>
      <c r="E210" s="20" t="s">
        <v>794</v>
      </c>
      <c r="F210" s="20" t="s">
        <v>193</v>
      </c>
      <c r="G210" s="8" t="str">
        <f t="shared" si="3"/>
        <v>STAMBAUGH JAMES</v>
      </c>
    </row>
    <row r="211" spans="1:7" x14ac:dyDescent="0.25">
      <c r="A211" s="8">
        <v>42875.913217592592</v>
      </c>
      <c r="B211" s="20" t="s">
        <v>381</v>
      </c>
      <c r="C211" s="20" t="s">
        <v>811</v>
      </c>
      <c r="D211" s="141">
        <v>2270000</v>
      </c>
      <c r="E211" s="20" t="s">
        <v>412</v>
      </c>
      <c r="F211" s="20" t="s">
        <v>413</v>
      </c>
      <c r="G211" s="8" t="str">
        <f t="shared" si="3"/>
        <v>BROWN JACOB</v>
      </c>
    </row>
    <row r="212" spans="1:7" x14ac:dyDescent="0.25">
      <c r="A212" s="8">
        <v>42875.929780092592</v>
      </c>
      <c r="B212" s="20" t="s">
        <v>516</v>
      </c>
      <c r="C212" s="20" t="s">
        <v>812</v>
      </c>
      <c r="D212" s="141">
        <v>2230000</v>
      </c>
      <c r="E212" s="20" t="s">
        <v>346</v>
      </c>
      <c r="F212" s="20" t="s">
        <v>196</v>
      </c>
      <c r="G212" s="8" t="str">
        <f t="shared" si="3"/>
        <v>SMITH MICHAEL</v>
      </c>
    </row>
    <row r="213" spans="1:7" x14ac:dyDescent="0.25">
      <c r="A213" s="8">
        <v>42875.930011574077</v>
      </c>
      <c r="B213" s="20" t="s">
        <v>406</v>
      </c>
      <c r="C213" s="20" t="s">
        <v>813</v>
      </c>
      <c r="D213" s="141">
        <v>1540000</v>
      </c>
      <c r="E213" s="20" t="s">
        <v>486</v>
      </c>
      <c r="F213" s="20" t="s">
        <v>487</v>
      </c>
      <c r="G213" s="8" t="str">
        <f t="shared" si="3"/>
        <v>HELVIE ADAM</v>
      </c>
    </row>
    <row r="214" spans="1:7" x14ac:dyDescent="0.25">
      <c r="A214" s="8">
        <v>42875.934988425928</v>
      </c>
      <c r="B214" s="20" t="s">
        <v>345</v>
      </c>
      <c r="C214" s="20" t="s">
        <v>814</v>
      </c>
      <c r="D214" s="141">
        <v>2150000</v>
      </c>
      <c r="E214" s="20" t="s">
        <v>407</v>
      </c>
      <c r="F214" s="20" t="s">
        <v>408</v>
      </c>
      <c r="G214" s="8" t="str">
        <f t="shared" si="3"/>
        <v>SWANSON BRYCE</v>
      </c>
    </row>
    <row r="215" spans="1:7" x14ac:dyDescent="0.25">
      <c r="A215" s="8">
        <v>42875.943344907406</v>
      </c>
      <c r="B215" s="20" t="s">
        <v>434</v>
      </c>
      <c r="C215" s="20" t="s">
        <v>815</v>
      </c>
      <c r="D215" s="141">
        <v>1540000</v>
      </c>
      <c r="E215" s="20" t="s">
        <v>486</v>
      </c>
      <c r="F215" s="20" t="s">
        <v>487</v>
      </c>
      <c r="G215" s="8" t="str">
        <f t="shared" si="3"/>
        <v>HELVIE ADAM</v>
      </c>
    </row>
    <row r="216" spans="1:7" x14ac:dyDescent="0.25">
      <c r="A216" s="8">
        <v>42875.943622685183</v>
      </c>
      <c r="B216" s="20" t="s">
        <v>518</v>
      </c>
      <c r="C216" s="20" t="s">
        <v>643</v>
      </c>
      <c r="D216" s="141">
        <v>3010000</v>
      </c>
      <c r="E216" s="20" t="s">
        <v>414</v>
      </c>
      <c r="F216" s="20" t="s">
        <v>415</v>
      </c>
      <c r="G216" s="8" t="str">
        <f t="shared" si="3"/>
        <v>SULLIVAN BRANDON</v>
      </c>
    </row>
    <row r="217" spans="1:7" x14ac:dyDescent="0.25">
      <c r="A217" s="8">
        <v>42875.95349537037</v>
      </c>
      <c r="B217" s="20" t="s">
        <v>446</v>
      </c>
      <c r="C217" s="20" t="s">
        <v>816</v>
      </c>
      <c r="D217" s="141">
        <v>2000000</v>
      </c>
      <c r="E217" s="20" t="s">
        <v>794</v>
      </c>
      <c r="F217" s="20" t="s">
        <v>193</v>
      </c>
      <c r="G217" s="8" t="str">
        <f t="shared" si="3"/>
        <v>STAMBAUGH JAMES</v>
      </c>
    </row>
    <row r="218" spans="1:7" x14ac:dyDescent="0.25">
      <c r="A218" s="8">
        <v>42875.955787037034</v>
      </c>
      <c r="B218" s="20" t="s">
        <v>387</v>
      </c>
      <c r="C218" s="20" t="s">
        <v>639</v>
      </c>
      <c r="D218" s="141">
        <v>2270000</v>
      </c>
      <c r="E218" s="20" t="s">
        <v>412</v>
      </c>
      <c r="F218" s="20" t="s">
        <v>413</v>
      </c>
      <c r="G218" s="8" t="str">
        <f t="shared" si="3"/>
        <v>BROWN JACOB</v>
      </c>
    </row>
    <row r="219" spans="1:7" x14ac:dyDescent="0.25">
      <c r="A219" s="8">
        <v>42875.971041666664</v>
      </c>
      <c r="B219" s="20" t="s">
        <v>523</v>
      </c>
      <c r="C219" s="20" t="s">
        <v>817</v>
      </c>
      <c r="D219" s="141">
        <v>2230000</v>
      </c>
      <c r="E219" s="20" t="s">
        <v>346</v>
      </c>
      <c r="F219" s="20" t="s">
        <v>196</v>
      </c>
      <c r="G219" s="8" t="str">
        <f t="shared" si="3"/>
        <v>SMITH MICHAEL</v>
      </c>
    </row>
    <row r="220" spans="1:7" x14ac:dyDescent="0.25">
      <c r="A220" s="8">
        <v>42875.97314814815</v>
      </c>
      <c r="B220" s="20" t="s">
        <v>376</v>
      </c>
      <c r="C220" s="20" t="s">
        <v>818</v>
      </c>
      <c r="D220" s="141">
        <v>2150000</v>
      </c>
      <c r="E220" s="20" t="s">
        <v>407</v>
      </c>
      <c r="F220" s="20" t="s">
        <v>408</v>
      </c>
      <c r="G220" s="8" t="str">
        <f t="shared" si="3"/>
        <v>SWANSON BRYCE</v>
      </c>
    </row>
    <row r="221" spans="1:7" x14ac:dyDescent="0.25">
      <c r="A221" s="8">
        <v>42875.979664351849</v>
      </c>
      <c r="B221" s="20" t="s">
        <v>534</v>
      </c>
      <c r="C221" s="20" t="s">
        <v>640</v>
      </c>
      <c r="D221" s="141">
        <v>3010000</v>
      </c>
      <c r="E221" s="20" t="s">
        <v>414</v>
      </c>
      <c r="F221" s="20" t="s">
        <v>415</v>
      </c>
      <c r="G221" s="8" t="str">
        <f t="shared" si="3"/>
        <v>SULLIVAN BRANDON</v>
      </c>
    </row>
    <row r="222" spans="1:7" x14ac:dyDescent="0.25">
      <c r="A222" s="8">
        <v>42875.986388888887</v>
      </c>
      <c r="B222" s="20" t="s">
        <v>445</v>
      </c>
      <c r="C222" s="20" t="s">
        <v>642</v>
      </c>
      <c r="D222" s="141">
        <v>2000000</v>
      </c>
      <c r="E222" s="20" t="s">
        <v>794</v>
      </c>
      <c r="F222" s="20" t="s">
        <v>193</v>
      </c>
      <c r="G222" s="8" t="str">
        <f t="shared" si="3"/>
        <v>STAMBAUGH JAMES</v>
      </c>
    </row>
    <row r="223" spans="1:7" x14ac:dyDescent="0.25">
      <c r="A223" s="8">
        <v>42875.99391203704</v>
      </c>
      <c r="B223" s="20" t="s">
        <v>381</v>
      </c>
      <c r="C223" s="20" t="s">
        <v>641</v>
      </c>
      <c r="D223" s="141">
        <v>2270000</v>
      </c>
      <c r="E223" s="20" t="s">
        <v>412</v>
      </c>
      <c r="F223" s="20" t="s">
        <v>413</v>
      </c>
      <c r="G223" s="8" t="str">
        <f t="shared" si="3"/>
        <v>BROWN JACOB</v>
      </c>
    </row>
    <row r="224" spans="1:7" x14ac:dyDescent="0.25">
      <c r="A224" s="8">
        <v>42876.008923611109</v>
      </c>
      <c r="B224" t="s">
        <v>381</v>
      </c>
      <c r="C224" t="s">
        <v>641</v>
      </c>
      <c r="D224" s="141">
        <v>2270000</v>
      </c>
      <c r="E224" t="s">
        <v>412</v>
      </c>
      <c r="F224" s="20" t="s">
        <v>413</v>
      </c>
      <c r="G224" s="8" t="str">
        <f t="shared" si="3"/>
        <v>BROWN JACOB</v>
      </c>
    </row>
    <row r="225" spans="1:7" x14ac:dyDescent="0.25">
      <c r="A225" s="8">
        <v>42876.009814814817</v>
      </c>
      <c r="B225" t="s">
        <v>516</v>
      </c>
      <c r="C225" t="s">
        <v>819</v>
      </c>
      <c r="D225" s="141">
        <v>2230000</v>
      </c>
      <c r="E225" t="s">
        <v>346</v>
      </c>
      <c r="F225" s="20" t="s">
        <v>196</v>
      </c>
      <c r="G225" s="8" t="str">
        <f t="shared" si="3"/>
        <v>SMITH MICHAEL</v>
      </c>
    </row>
    <row r="226" spans="1:7" x14ac:dyDescent="0.25">
      <c r="A226" s="8">
        <v>42876.012106481481</v>
      </c>
      <c r="B226" t="s">
        <v>345</v>
      </c>
      <c r="C226" t="s">
        <v>820</v>
      </c>
      <c r="D226" s="141">
        <v>2150000</v>
      </c>
      <c r="E226" t="s">
        <v>407</v>
      </c>
      <c r="F226" s="20" t="s">
        <v>408</v>
      </c>
      <c r="G226" s="8" t="str">
        <f t="shared" si="3"/>
        <v>SWANSON BRYCE</v>
      </c>
    </row>
    <row r="227" spans="1:7" x14ac:dyDescent="0.25">
      <c r="A227" s="8">
        <v>42876.021979166668</v>
      </c>
      <c r="B227" t="s">
        <v>518</v>
      </c>
      <c r="C227" t="s">
        <v>643</v>
      </c>
      <c r="D227" s="141">
        <v>3010000</v>
      </c>
      <c r="E227" t="s">
        <v>414</v>
      </c>
      <c r="F227" s="20" t="s">
        <v>415</v>
      </c>
      <c r="G227" s="8" t="str">
        <f t="shared" si="3"/>
        <v>SULLIVAN BRANDON</v>
      </c>
    </row>
    <row r="228" spans="1:7" x14ac:dyDescent="0.25">
      <c r="A228" s="8">
        <v>42876.03702546296</v>
      </c>
      <c r="B228" t="s">
        <v>446</v>
      </c>
      <c r="C228" t="s">
        <v>821</v>
      </c>
      <c r="D228" s="141">
        <v>2000000</v>
      </c>
      <c r="E228" t="s">
        <v>794</v>
      </c>
      <c r="F228" s="20" t="s">
        <v>193</v>
      </c>
      <c r="G228" s="8" t="str">
        <f t="shared" si="3"/>
        <v>STAMBAUGH JAMES</v>
      </c>
    </row>
    <row r="229" spans="1:7" x14ac:dyDescent="0.25">
      <c r="A229" s="8">
        <v>42876.037638888891</v>
      </c>
      <c r="B229" t="s">
        <v>387</v>
      </c>
      <c r="C229" t="s">
        <v>644</v>
      </c>
      <c r="D229" s="141">
        <v>2270000</v>
      </c>
      <c r="E229" t="s">
        <v>412</v>
      </c>
      <c r="F229" s="20" t="s">
        <v>413</v>
      </c>
      <c r="G229" s="8" t="str">
        <f t="shared" si="3"/>
        <v>BROWN JACOB</v>
      </c>
    </row>
    <row r="230" spans="1:7" x14ac:dyDescent="0.25">
      <c r="A230" s="8">
        <v>42876.048032407409</v>
      </c>
      <c r="B230" t="s">
        <v>523</v>
      </c>
      <c r="C230" t="s">
        <v>822</v>
      </c>
      <c r="D230" s="141">
        <v>2230000</v>
      </c>
      <c r="E230" t="s">
        <v>346</v>
      </c>
      <c r="F230" s="20" t="s">
        <v>196</v>
      </c>
      <c r="G230" s="8" t="str">
        <f t="shared" si="3"/>
        <v>SMITH MICHAEL</v>
      </c>
    </row>
    <row r="231" spans="1:7" x14ac:dyDescent="0.25">
      <c r="A231" s="8">
        <v>42876.058425925927</v>
      </c>
      <c r="B231" t="s">
        <v>376</v>
      </c>
      <c r="C231" t="s">
        <v>823</v>
      </c>
      <c r="D231" s="141">
        <v>2150000</v>
      </c>
      <c r="E231" t="s">
        <v>407</v>
      </c>
      <c r="F231" s="20" t="s">
        <v>408</v>
      </c>
      <c r="G231" s="8" t="str">
        <f t="shared" si="3"/>
        <v>SWANSON BRYCE</v>
      </c>
    </row>
    <row r="232" spans="1:7" x14ac:dyDescent="0.25">
      <c r="A232" s="8">
        <v>42876.061319444445</v>
      </c>
      <c r="B232" t="s">
        <v>534</v>
      </c>
      <c r="C232" t="s">
        <v>640</v>
      </c>
      <c r="D232" s="141">
        <v>3010000</v>
      </c>
      <c r="E232" t="s">
        <v>414</v>
      </c>
      <c r="F232" s="20" t="s">
        <v>415</v>
      </c>
      <c r="G232" s="8" t="str">
        <f t="shared" si="3"/>
        <v>SULLIVAN BRANDON</v>
      </c>
    </row>
    <row r="233" spans="1:7" x14ac:dyDescent="0.25">
      <c r="A233" s="8">
        <v>42876.067233796297</v>
      </c>
      <c r="B233" t="s">
        <v>445</v>
      </c>
      <c r="C233" t="s">
        <v>824</v>
      </c>
      <c r="D233" s="141">
        <v>2000000</v>
      </c>
      <c r="E233" t="s">
        <v>794</v>
      </c>
      <c r="F233" s="20" t="s">
        <v>193</v>
      </c>
      <c r="G233" s="8" t="str">
        <f t="shared" si="3"/>
        <v>STAMBAUGH JAMES</v>
      </c>
    </row>
    <row r="234" spans="1:7" x14ac:dyDescent="0.25">
      <c r="A234" s="8">
        <v>42876.076782407406</v>
      </c>
      <c r="B234" t="s">
        <v>381</v>
      </c>
      <c r="C234" t="s">
        <v>825</v>
      </c>
      <c r="D234" s="141">
        <v>2270000</v>
      </c>
      <c r="E234" t="s">
        <v>412</v>
      </c>
      <c r="F234" s="20" t="s">
        <v>413</v>
      </c>
      <c r="G234" s="8" t="str">
        <f t="shared" si="3"/>
        <v>BROWN JACOB</v>
      </c>
    </row>
    <row r="235" spans="1:7" x14ac:dyDescent="0.25">
      <c r="A235" s="8">
        <v>42876.091805555552</v>
      </c>
      <c r="B235" t="s">
        <v>345</v>
      </c>
      <c r="C235" t="s">
        <v>826</v>
      </c>
      <c r="D235" s="141">
        <v>2150000</v>
      </c>
      <c r="E235" t="s">
        <v>407</v>
      </c>
      <c r="F235" s="20" t="s">
        <v>408</v>
      </c>
      <c r="G235" s="8" t="str">
        <f t="shared" si="3"/>
        <v>SWANSON BRYCE</v>
      </c>
    </row>
    <row r="236" spans="1:7" x14ac:dyDescent="0.25">
      <c r="A236" s="8">
        <v>42876.095277777778</v>
      </c>
      <c r="B236" t="s">
        <v>518</v>
      </c>
      <c r="C236" t="s">
        <v>643</v>
      </c>
      <c r="D236" s="141">
        <v>3010000</v>
      </c>
      <c r="E236" t="s">
        <v>414</v>
      </c>
      <c r="F236" s="20" t="s">
        <v>415</v>
      </c>
      <c r="G236" s="8" t="str">
        <f t="shared" si="3"/>
        <v>SULLIVAN BRANDON</v>
      </c>
    </row>
    <row r="237" spans="1:7" x14ac:dyDescent="0.25">
      <c r="A237" s="8">
        <v>42876.110393518517</v>
      </c>
      <c r="B237" t="s">
        <v>387</v>
      </c>
      <c r="C237" t="s">
        <v>827</v>
      </c>
      <c r="D237" s="141">
        <v>2270000</v>
      </c>
      <c r="E237" t="s">
        <v>412</v>
      </c>
      <c r="F237" s="20" t="s">
        <v>413</v>
      </c>
      <c r="G237" s="8" t="str">
        <f t="shared" si="3"/>
        <v>BROWN JACOB</v>
      </c>
    </row>
    <row r="238" spans="1:7" x14ac:dyDescent="0.25">
      <c r="A238" s="8">
        <v>42873.944571759261</v>
      </c>
      <c r="B238" t="s">
        <v>480</v>
      </c>
      <c r="C238" t="s">
        <v>536</v>
      </c>
      <c r="D238" s="141">
        <v>2270000</v>
      </c>
      <c r="E238" t="s">
        <v>412</v>
      </c>
      <c r="F238" s="20" t="s">
        <v>413</v>
      </c>
      <c r="G238" s="8" t="str">
        <f t="shared" si="3"/>
        <v>BROWN JACOB</v>
      </c>
    </row>
    <row r="239" spans="1:7" x14ac:dyDescent="0.25">
      <c r="A239" s="8">
        <v>42873.950300925928</v>
      </c>
      <c r="B239" t="s">
        <v>523</v>
      </c>
      <c r="C239" t="s">
        <v>535</v>
      </c>
      <c r="D239" s="141">
        <v>3120000</v>
      </c>
      <c r="E239" t="s">
        <v>428</v>
      </c>
      <c r="F239" s="20" t="s">
        <v>429</v>
      </c>
      <c r="G239" s="8" t="str">
        <f t="shared" si="3"/>
        <v>THOMPSON LESTER</v>
      </c>
    </row>
    <row r="240" spans="1:7" x14ac:dyDescent="0.25">
      <c r="A240" s="8">
        <v>42873.953263888892</v>
      </c>
      <c r="B240" t="s">
        <v>480</v>
      </c>
      <c r="C240" t="s">
        <v>536</v>
      </c>
      <c r="D240" s="141">
        <v>2270000</v>
      </c>
      <c r="E240" t="s">
        <v>412</v>
      </c>
      <c r="F240" s="20" t="s">
        <v>413</v>
      </c>
      <c r="G240" s="8" t="str">
        <f t="shared" si="3"/>
        <v>BROWN JACOB</v>
      </c>
    </row>
    <row r="241" spans="1:7" x14ac:dyDescent="0.25">
      <c r="A241" s="8">
        <v>42873.954398148147</v>
      </c>
      <c r="B241" t="s">
        <v>435</v>
      </c>
      <c r="C241" t="s">
        <v>537</v>
      </c>
      <c r="D241" s="141">
        <v>1800000</v>
      </c>
      <c r="E241" t="s">
        <v>390</v>
      </c>
      <c r="F241" s="20" t="s">
        <v>391</v>
      </c>
      <c r="G241" s="8" t="str">
        <f t="shared" si="3"/>
        <v>CHANDLER KELVIN</v>
      </c>
    </row>
    <row r="242" spans="1:7" x14ac:dyDescent="0.25">
      <c r="A242" s="8">
        <v>42873.964791666665</v>
      </c>
      <c r="B242" t="s">
        <v>381</v>
      </c>
      <c r="C242" t="s">
        <v>538</v>
      </c>
      <c r="D242" s="141">
        <v>2150000</v>
      </c>
      <c r="E242" t="s">
        <v>407</v>
      </c>
      <c r="F242" s="20" t="s">
        <v>408</v>
      </c>
      <c r="G242" s="8" t="str">
        <f t="shared" si="3"/>
        <v>SWANSON BRYCE</v>
      </c>
    </row>
    <row r="243" spans="1:7" x14ac:dyDescent="0.25">
      <c r="A243" s="8">
        <v>42873.972928240742</v>
      </c>
      <c r="B243" t="s">
        <v>439</v>
      </c>
      <c r="C243" t="s">
        <v>539</v>
      </c>
      <c r="D243" s="141">
        <v>2730000</v>
      </c>
      <c r="E243" t="s">
        <v>530</v>
      </c>
      <c r="F243" s="20" t="s">
        <v>531</v>
      </c>
      <c r="G243" s="8" t="str">
        <f t="shared" si="3"/>
        <v>YANG JAN</v>
      </c>
    </row>
    <row r="244" spans="1:7" x14ac:dyDescent="0.25">
      <c r="A244" s="8">
        <v>42873.992025462961</v>
      </c>
      <c r="B244" t="s">
        <v>479</v>
      </c>
      <c r="C244" t="s">
        <v>517</v>
      </c>
      <c r="D244" s="141">
        <v>2270000</v>
      </c>
      <c r="E244" t="s">
        <v>412</v>
      </c>
      <c r="F244" s="20" t="s">
        <v>413</v>
      </c>
      <c r="G244" s="8" t="str">
        <f t="shared" si="3"/>
        <v>BROWN JACOB</v>
      </c>
    </row>
    <row r="245" spans="1:7" x14ac:dyDescent="0.25">
      <c r="A245" s="8">
        <v>42873.992789351854</v>
      </c>
      <c r="B245" t="s">
        <v>436</v>
      </c>
      <c r="C245" t="s">
        <v>519</v>
      </c>
      <c r="D245" s="141">
        <v>1800000</v>
      </c>
      <c r="E245" t="s">
        <v>390</v>
      </c>
      <c r="F245" s="20" t="s">
        <v>391</v>
      </c>
      <c r="G245" s="8" t="str">
        <f t="shared" si="3"/>
        <v>CHANDLER KELVIN</v>
      </c>
    </row>
    <row r="246" spans="1:7" x14ac:dyDescent="0.25">
      <c r="A246" s="8">
        <v>42874.006307870368</v>
      </c>
      <c r="B246" t="s">
        <v>387</v>
      </c>
      <c r="C246" t="s">
        <v>540</v>
      </c>
      <c r="D246" s="141">
        <v>2150000</v>
      </c>
      <c r="E246" t="s">
        <v>407</v>
      </c>
      <c r="F246" s="20" t="s">
        <v>408</v>
      </c>
      <c r="G246" s="8" t="str">
        <f t="shared" si="3"/>
        <v>SWANSON BRYCE</v>
      </c>
    </row>
    <row r="247" spans="1:7" x14ac:dyDescent="0.25">
      <c r="A247" s="8">
        <v>42874.013333333336</v>
      </c>
      <c r="B247" t="s">
        <v>438</v>
      </c>
      <c r="C247" t="s">
        <v>541</v>
      </c>
      <c r="D247" s="141">
        <v>2730000</v>
      </c>
      <c r="E247" t="s">
        <v>530</v>
      </c>
      <c r="F247" s="20" t="s">
        <v>531</v>
      </c>
      <c r="G247" s="8" t="str">
        <f t="shared" si="3"/>
        <v>YANG JAN</v>
      </c>
    </row>
    <row r="248" spans="1:7" x14ac:dyDescent="0.25">
      <c r="A248" s="8">
        <v>42874.026747685188</v>
      </c>
      <c r="B248" t="s">
        <v>534</v>
      </c>
      <c r="C248" t="s">
        <v>542</v>
      </c>
      <c r="D248" s="141">
        <v>3040000</v>
      </c>
      <c r="E248" t="s">
        <v>395</v>
      </c>
      <c r="F248" s="20" t="s">
        <v>396</v>
      </c>
      <c r="G248" s="8" t="str">
        <f t="shared" si="3"/>
        <v>WILLIAMS DONTE</v>
      </c>
    </row>
    <row r="249" spans="1:7" x14ac:dyDescent="0.25">
      <c r="A249" s="8">
        <v>42874.028668981482</v>
      </c>
      <c r="B249" t="s">
        <v>435</v>
      </c>
      <c r="C249" t="s">
        <v>543</v>
      </c>
      <c r="D249" s="141">
        <v>1800000</v>
      </c>
      <c r="E249" t="s">
        <v>390</v>
      </c>
      <c r="F249" s="20" t="s">
        <v>391</v>
      </c>
      <c r="G249" s="8" t="str">
        <f t="shared" si="3"/>
        <v>CHANDLER KELVIN</v>
      </c>
    </row>
    <row r="250" spans="1:7" x14ac:dyDescent="0.25">
      <c r="A250" s="8">
        <v>42874.034699074073</v>
      </c>
      <c r="B250" t="s">
        <v>480</v>
      </c>
      <c r="C250" t="s">
        <v>544</v>
      </c>
      <c r="D250" s="141">
        <v>2270000</v>
      </c>
      <c r="E250" t="s">
        <v>412</v>
      </c>
      <c r="F250" s="20" t="s">
        <v>413</v>
      </c>
      <c r="G250" s="8" t="str">
        <f t="shared" si="3"/>
        <v>BROWN JACOB</v>
      </c>
    </row>
    <row r="251" spans="1:7" x14ac:dyDescent="0.25">
      <c r="A251" s="8">
        <v>42874.048750000002</v>
      </c>
      <c r="B251" t="s">
        <v>439</v>
      </c>
      <c r="C251" t="s">
        <v>545</v>
      </c>
      <c r="D251" s="141">
        <v>2730000</v>
      </c>
      <c r="E251" t="s">
        <v>530</v>
      </c>
      <c r="F251" s="20" t="s">
        <v>531</v>
      </c>
      <c r="G251" s="8" t="str">
        <f t="shared" si="3"/>
        <v>YANG JAN</v>
      </c>
    </row>
    <row r="252" spans="1:7" x14ac:dyDescent="0.25">
      <c r="A252" s="8">
        <v>42874.057627314818</v>
      </c>
      <c r="B252" t="s">
        <v>381</v>
      </c>
      <c r="C252" t="s">
        <v>546</v>
      </c>
      <c r="D252" s="141">
        <v>2150000</v>
      </c>
      <c r="E252" t="s">
        <v>407</v>
      </c>
      <c r="F252" s="20" t="s">
        <v>408</v>
      </c>
      <c r="G252" s="8" t="str">
        <f t="shared" si="3"/>
        <v>SWANSON BRYCE</v>
      </c>
    </row>
    <row r="253" spans="1:7" x14ac:dyDescent="0.25">
      <c r="A253" s="8">
        <v>42874.060324074075</v>
      </c>
      <c r="B253" t="s">
        <v>534</v>
      </c>
      <c r="C253" t="s">
        <v>542</v>
      </c>
      <c r="D253" s="141">
        <v>3040000</v>
      </c>
      <c r="E253" t="s">
        <v>395</v>
      </c>
      <c r="F253" s="20" t="s">
        <v>396</v>
      </c>
      <c r="G253" s="8" t="str">
        <f t="shared" si="3"/>
        <v>WILLIAMS DONTE</v>
      </c>
    </row>
    <row r="254" spans="1:7" x14ac:dyDescent="0.25">
      <c r="A254" s="8">
        <v>42874.068240740744</v>
      </c>
      <c r="B254" t="s">
        <v>518</v>
      </c>
      <c r="C254" t="s">
        <v>547</v>
      </c>
      <c r="D254" s="141">
        <v>3040000</v>
      </c>
      <c r="E254" t="s">
        <v>395</v>
      </c>
      <c r="F254" s="20" t="s">
        <v>396</v>
      </c>
      <c r="G254" s="8" t="str">
        <f t="shared" si="3"/>
        <v>WILLIAMS DONTE</v>
      </c>
    </row>
    <row r="255" spans="1:7" x14ac:dyDescent="0.25">
      <c r="A255" s="8">
        <v>42874.069108796299</v>
      </c>
      <c r="B255" t="s">
        <v>479</v>
      </c>
      <c r="C255" t="s">
        <v>548</v>
      </c>
      <c r="D255" s="141">
        <v>2270000</v>
      </c>
      <c r="E255" t="s">
        <v>412</v>
      </c>
      <c r="F255" s="20" t="s">
        <v>413</v>
      </c>
      <c r="G255" s="8" t="str">
        <f t="shared" si="3"/>
        <v>BROWN JACOB</v>
      </c>
    </row>
    <row r="256" spans="1:7" x14ac:dyDescent="0.25">
      <c r="A256" s="8">
        <v>42874.109375</v>
      </c>
      <c r="B256" t="s">
        <v>387</v>
      </c>
      <c r="C256" t="s">
        <v>549</v>
      </c>
      <c r="D256" s="141">
        <v>1090000</v>
      </c>
      <c r="E256" t="s">
        <v>427</v>
      </c>
      <c r="F256" s="20" t="s">
        <v>196</v>
      </c>
      <c r="G256" s="8" t="str">
        <f t="shared" si="3"/>
        <v>SPECTOR MICHAEL</v>
      </c>
    </row>
    <row r="257" spans="1:7" x14ac:dyDescent="0.25">
      <c r="A257" s="8">
        <v>42871.949490740742</v>
      </c>
      <c r="B257" t="s">
        <v>437</v>
      </c>
      <c r="C257" t="s">
        <v>451</v>
      </c>
      <c r="D257" s="141">
        <v>2150000</v>
      </c>
      <c r="E257" t="s">
        <v>407</v>
      </c>
      <c r="F257" s="20" t="s">
        <v>408</v>
      </c>
      <c r="G257" s="8" t="str">
        <f t="shared" si="3"/>
        <v>SWANSON BRYCE</v>
      </c>
    </row>
    <row r="258" spans="1:7" x14ac:dyDescent="0.25">
      <c r="A258" s="8">
        <v>42871.953217592592</v>
      </c>
      <c r="B258" t="s">
        <v>436</v>
      </c>
      <c r="C258" t="s">
        <v>452</v>
      </c>
      <c r="D258" s="141">
        <v>3030000</v>
      </c>
      <c r="E258" t="s">
        <v>394</v>
      </c>
      <c r="F258" s="20" t="s">
        <v>377</v>
      </c>
      <c r="G258" s="8" t="str">
        <f t="shared" si="3"/>
        <v>BIRENBAUM THOMAS</v>
      </c>
    </row>
    <row r="259" spans="1:7" x14ac:dyDescent="0.25">
      <c r="A259" s="8">
        <v>42871.953240740739</v>
      </c>
      <c r="B259" t="s">
        <v>416</v>
      </c>
      <c r="C259" t="s">
        <v>453</v>
      </c>
      <c r="D259" s="141">
        <v>1800000</v>
      </c>
      <c r="E259" t="s">
        <v>390</v>
      </c>
      <c r="F259" s="20" t="s">
        <v>391</v>
      </c>
      <c r="G259" s="8" t="str">
        <f t="shared" ref="G259:G322" si="4">E259&amp;" "&amp;F259</f>
        <v>CHANDLER KELVIN</v>
      </c>
    </row>
    <row r="260" spans="1:7" x14ac:dyDescent="0.25">
      <c r="A260" s="8">
        <v>42871.953981481478</v>
      </c>
      <c r="B260" t="s">
        <v>426</v>
      </c>
      <c r="C260" t="s">
        <v>450</v>
      </c>
      <c r="D260" s="141">
        <v>3010000</v>
      </c>
      <c r="E260" t="s">
        <v>414</v>
      </c>
      <c r="F260" s="20" t="s">
        <v>415</v>
      </c>
      <c r="G260" s="8" t="str">
        <f t="shared" si="4"/>
        <v>SULLIVAN BRANDON</v>
      </c>
    </row>
    <row r="261" spans="1:7" x14ac:dyDescent="0.25">
      <c r="A261" s="8">
        <v>42871.962569444448</v>
      </c>
      <c r="B261" t="s">
        <v>440</v>
      </c>
      <c r="C261" t="s">
        <v>449</v>
      </c>
      <c r="D261" s="141">
        <v>2970000</v>
      </c>
      <c r="E261" t="s">
        <v>392</v>
      </c>
      <c r="F261" s="20" t="s">
        <v>393</v>
      </c>
      <c r="G261" s="8" t="str">
        <f t="shared" si="4"/>
        <v>GUZMAN DANNY</v>
      </c>
    </row>
    <row r="262" spans="1:7" x14ac:dyDescent="0.25">
      <c r="A262" s="8">
        <v>42871.964386574073</v>
      </c>
      <c r="B262" t="s">
        <v>440</v>
      </c>
      <c r="C262" t="s">
        <v>441</v>
      </c>
      <c r="D262" s="141">
        <v>2970000</v>
      </c>
      <c r="E262" t="s">
        <v>392</v>
      </c>
      <c r="F262" s="20" t="s">
        <v>393</v>
      </c>
      <c r="G262" s="8" t="str">
        <f t="shared" si="4"/>
        <v>GUZMAN DANNY</v>
      </c>
    </row>
    <row r="263" spans="1:7" x14ac:dyDescent="0.25">
      <c r="A263" s="8">
        <v>42871.96947916667</v>
      </c>
      <c r="B263" t="s">
        <v>344</v>
      </c>
      <c r="C263" t="s">
        <v>454</v>
      </c>
      <c r="D263" s="141">
        <v>3090000</v>
      </c>
      <c r="E263" t="s">
        <v>388</v>
      </c>
      <c r="F263" s="20" t="s">
        <v>389</v>
      </c>
      <c r="G263" s="8" t="str">
        <f t="shared" si="4"/>
        <v>LAMAR NEKESHA</v>
      </c>
    </row>
    <row r="264" spans="1:7" x14ac:dyDescent="0.25">
      <c r="A264" s="8">
        <v>42871.973587962966</v>
      </c>
      <c r="B264" t="s">
        <v>425</v>
      </c>
      <c r="C264" t="s">
        <v>447</v>
      </c>
      <c r="D264" s="141">
        <v>3010000</v>
      </c>
      <c r="E264" t="s">
        <v>414</v>
      </c>
      <c r="F264" s="20" t="s">
        <v>415</v>
      </c>
      <c r="G264" s="8" t="str">
        <f t="shared" si="4"/>
        <v>SULLIVAN BRANDON</v>
      </c>
    </row>
    <row r="265" spans="1:7" x14ac:dyDescent="0.25">
      <c r="A265" s="8">
        <v>42871.975798611114</v>
      </c>
      <c r="B265" t="s">
        <v>439</v>
      </c>
      <c r="C265" t="s">
        <v>455</v>
      </c>
      <c r="D265" s="141">
        <v>1810000</v>
      </c>
      <c r="E265" t="s">
        <v>378</v>
      </c>
      <c r="F265" s="20" t="s">
        <v>193</v>
      </c>
      <c r="G265" s="8" t="str">
        <f t="shared" si="4"/>
        <v>NEWELL JAMES</v>
      </c>
    </row>
    <row r="266" spans="1:7" x14ac:dyDescent="0.25">
      <c r="A266" s="8">
        <v>42871.992731481485</v>
      </c>
      <c r="B266" t="s">
        <v>448</v>
      </c>
      <c r="C266" t="s">
        <v>449</v>
      </c>
      <c r="D266" s="141">
        <v>2970000</v>
      </c>
      <c r="E266" t="s">
        <v>392</v>
      </c>
      <c r="F266" s="20" t="s">
        <v>393</v>
      </c>
      <c r="G266" s="8" t="str">
        <f t="shared" si="4"/>
        <v>GUZMAN DANNY</v>
      </c>
    </row>
    <row r="267" spans="1:7" x14ac:dyDescent="0.25">
      <c r="A267" s="8">
        <v>42871.995324074072</v>
      </c>
      <c r="B267" t="s">
        <v>435</v>
      </c>
      <c r="C267" t="s">
        <v>456</v>
      </c>
      <c r="D267" s="141">
        <v>3030000</v>
      </c>
      <c r="E267" t="s">
        <v>394</v>
      </c>
      <c r="F267" s="20" t="s">
        <v>377</v>
      </c>
      <c r="G267" s="8" t="str">
        <f t="shared" si="4"/>
        <v>BIRENBAUM THOMAS</v>
      </c>
    </row>
    <row r="268" spans="1:7" x14ac:dyDescent="0.25">
      <c r="A268" s="8">
        <v>42871.995393518519</v>
      </c>
      <c r="B268" t="s">
        <v>411</v>
      </c>
      <c r="C268" t="s">
        <v>457</v>
      </c>
      <c r="D268" s="141">
        <v>1800000</v>
      </c>
      <c r="E268" t="s">
        <v>390</v>
      </c>
      <c r="F268" s="20" t="s">
        <v>391</v>
      </c>
      <c r="G268" s="8" t="str">
        <f t="shared" si="4"/>
        <v>CHANDLER KELVIN</v>
      </c>
    </row>
    <row r="269" spans="1:7" x14ac:dyDescent="0.25">
      <c r="A269" s="8">
        <v>42872.004918981482</v>
      </c>
      <c r="B269" t="s">
        <v>343</v>
      </c>
      <c r="C269" t="s">
        <v>442</v>
      </c>
      <c r="D269" s="141">
        <v>3090000</v>
      </c>
      <c r="E269" t="s">
        <v>388</v>
      </c>
      <c r="F269" s="20" t="s">
        <v>389</v>
      </c>
      <c r="G269" s="8" t="str">
        <f t="shared" si="4"/>
        <v>LAMAR NEKESHA</v>
      </c>
    </row>
    <row r="270" spans="1:7" x14ac:dyDescent="0.25">
      <c r="A270" s="8">
        <v>42872.006157407406</v>
      </c>
      <c r="B270" t="s">
        <v>438</v>
      </c>
      <c r="C270" t="s">
        <v>458</v>
      </c>
      <c r="D270" s="141">
        <v>1810000</v>
      </c>
      <c r="E270" t="s">
        <v>378</v>
      </c>
      <c r="F270" s="20" t="s">
        <v>193</v>
      </c>
      <c r="G270" s="8" t="str">
        <f t="shared" si="4"/>
        <v>NEWELL JAMES</v>
      </c>
    </row>
    <row r="271" spans="1:7" x14ac:dyDescent="0.25">
      <c r="A271" s="8">
        <v>42872.014236111114</v>
      </c>
      <c r="B271" t="s">
        <v>440</v>
      </c>
      <c r="C271" t="s">
        <v>441</v>
      </c>
      <c r="D271" s="141">
        <v>2970000</v>
      </c>
      <c r="E271" t="s">
        <v>392</v>
      </c>
      <c r="F271" s="20" t="s">
        <v>393</v>
      </c>
      <c r="G271" s="8" t="str">
        <f t="shared" si="4"/>
        <v>GUZMAN DANNY</v>
      </c>
    </row>
    <row r="272" spans="1:7" x14ac:dyDescent="0.25">
      <c r="A272" s="8">
        <v>42872.015636574077</v>
      </c>
      <c r="B272" t="s">
        <v>426</v>
      </c>
      <c r="C272" t="s">
        <v>447</v>
      </c>
      <c r="D272" s="141">
        <v>3010000</v>
      </c>
      <c r="E272" t="s">
        <v>414</v>
      </c>
      <c r="F272" s="20" t="s">
        <v>415</v>
      </c>
      <c r="G272" s="8" t="str">
        <f t="shared" si="4"/>
        <v>SULLIVAN BRANDON</v>
      </c>
    </row>
    <row r="273" spans="1:7" x14ac:dyDescent="0.25">
      <c r="A273" s="8">
        <v>42872.026469907411</v>
      </c>
      <c r="B273" t="s">
        <v>448</v>
      </c>
      <c r="C273" t="s">
        <v>449</v>
      </c>
      <c r="D273" s="141">
        <v>2970000</v>
      </c>
      <c r="E273" t="s">
        <v>392</v>
      </c>
      <c r="F273" s="20" t="s">
        <v>393</v>
      </c>
      <c r="G273" s="8" t="str">
        <f t="shared" si="4"/>
        <v>GUZMAN DANNY</v>
      </c>
    </row>
    <row r="274" spans="1:7" x14ac:dyDescent="0.25">
      <c r="A274" s="8">
        <v>42872.028356481482</v>
      </c>
      <c r="B274" t="s">
        <v>416</v>
      </c>
      <c r="C274" t="s">
        <v>459</v>
      </c>
      <c r="D274" s="141">
        <v>1800000</v>
      </c>
      <c r="E274" t="s">
        <v>390</v>
      </c>
      <c r="F274" s="20" t="s">
        <v>391</v>
      </c>
      <c r="G274" s="8" t="str">
        <f t="shared" si="4"/>
        <v>CHANDLER KELVIN</v>
      </c>
    </row>
    <row r="275" spans="1:7" x14ac:dyDescent="0.25">
      <c r="A275" s="8">
        <v>42872.035462962966</v>
      </c>
      <c r="B275" t="s">
        <v>436</v>
      </c>
      <c r="C275" t="s">
        <v>460</v>
      </c>
      <c r="D275" s="141">
        <v>3030000</v>
      </c>
      <c r="E275" t="s">
        <v>394</v>
      </c>
      <c r="F275" s="20" t="s">
        <v>377</v>
      </c>
      <c r="G275" s="8" t="str">
        <f t="shared" si="4"/>
        <v>BIRENBAUM THOMAS</v>
      </c>
    </row>
    <row r="276" spans="1:7" x14ac:dyDescent="0.25">
      <c r="A276" s="8">
        <v>42872.036921296298</v>
      </c>
      <c r="B276" t="s">
        <v>425</v>
      </c>
      <c r="C276" t="s">
        <v>447</v>
      </c>
      <c r="D276" s="141">
        <v>3010000</v>
      </c>
      <c r="E276" t="s">
        <v>414</v>
      </c>
      <c r="F276" s="20" t="s">
        <v>415</v>
      </c>
      <c r="G276" s="8" t="str">
        <f t="shared" si="4"/>
        <v>SULLIVAN BRANDON</v>
      </c>
    </row>
    <row r="277" spans="1:7" x14ac:dyDescent="0.25">
      <c r="A277" s="8">
        <v>42872.037488425929</v>
      </c>
      <c r="B277" t="s">
        <v>425</v>
      </c>
      <c r="C277" t="s">
        <v>447</v>
      </c>
      <c r="D277" s="141">
        <v>3010000</v>
      </c>
      <c r="E277" t="s">
        <v>414</v>
      </c>
      <c r="F277" s="20" t="s">
        <v>415</v>
      </c>
      <c r="G277" s="8" t="str">
        <f t="shared" si="4"/>
        <v>SULLIVAN BRANDON</v>
      </c>
    </row>
    <row r="278" spans="1:7" x14ac:dyDescent="0.25">
      <c r="A278" s="8">
        <v>42872.041689814818</v>
      </c>
      <c r="B278" t="s">
        <v>440</v>
      </c>
      <c r="C278" t="s">
        <v>441</v>
      </c>
      <c r="D278" s="141">
        <v>2970000</v>
      </c>
      <c r="E278" t="s">
        <v>392</v>
      </c>
      <c r="F278" s="20" t="s">
        <v>393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439</v>
      </c>
      <c r="C279" t="s">
        <v>461</v>
      </c>
      <c r="D279" s="141">
        <v>1810000</v>
      </c>
      <c r="E279" t="s">
        <v>378</v>
      </c>
      <c r="F279" s="20" t="s">
        <v>193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344</v>
      </c>
      <c r="C280" t="s">
        <v>462</v>
      </c>
      <c r="D280" s="141">
        <v>3090000</v>
      </c>
      <c r="E280" t="s">
        <v>388</v>
      </c>
      <c r="F280" s="20" t="s">
        <v>389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426</v>
      </c>
      <c r="C281" t="s">
        <v>447</v>
      </c>
      <c r="D281" s="141">
        <v>3010000</v>
      </c>
      <c r="E281" t="s">
        <v>414</v>
      </c>
      <c r="F281" s="20" t="s">
        <v>415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448</v>
      </c>
      <c r="C282" t="s">
        <v>449</v>
      </c>
      <c r="D282" s="141">
        <v>2970000</v>
      </c>
      <c r="E282" t="s">
        <v>392</v>
      </c>
      <c r="F282" s="20" t="s">
        <v>393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425</v>
      </c>
      <c r="C283" t="s">
        <v>447</v>
      </c>
      <c r="D283" s="141">
        <v>3010000</v>
      </c>
      <c r="E283" t="s">
        <v>414</v>
      </c>
      <c r="F283" s="20" t="s">
        <v>415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435</v>
      </c>
      <c r="C284" t="s">
        <v>463</v>
      </c>
      <c r="D284" s="141">
        <v>3030000</v>
      </c>
      <c r="E284" t="s">
        <v>394</v>
      </c>
      <c r="F284" s="20" t="s">
        <v>377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425</v>
      </c>
      <c r="C285" t="s">
        <v>447</v>
      </c>
      <c r="D285" s="141">
        <v>3010000</v>
      </c>
      <c r="E285" t="s">
        <v>414</v>
      </c>
      <c r="F285" s="20" t="s">
        <v>415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440</v>
      </c>
      <c r="C286" t="s">
        <v>441</v>
      </c>
      <c r="D286" s="141">
        <v>2970000</v>
      </c>
      <c r="E286" t="s">
        <v>392</v>
      </c>
      <c r="F286" s="20" t="s">
        <v>393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448</v>
      </c>
      <c r="C287" t="s">
        <v>449</v>
      </c>
      <c r="D287" s="141">
        <v>2970000</v>
      </c>
      <c r="E287" t="s">
        <v>392</v>
      </c>
      <c r="F287" s="20" t="s">
        <v>393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343</v>
      </c>
      <c r="C288" t="s">
        <v>464</v>
      </c>
      <c r="D288" s="141">
        <v>3090000</v>
      </c>
      <c r="E288" t="s">
        <v>388</v>
      </c>
      <c r="F288" s="20" t="s">
        <v>389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440</v>
      </c>
      <c r="C289" t="s">
        <v>441</v>
      </c>
      <c r="D289" s="141">
        <v>2970000</v>
      </c>
      <c r="E289" t="s">
        <v>392</v>
      </c>
      <c r="F289" s="20" t="s">
        <v>393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426</v>
      </c>
      <c r="C290" t="s">
        <v>447</v>
      </c>
      <c r="D290" s="141">
        <v>3010000</v>
      </c>
      <c r="E290" t="s">
        <v>414</v>
      </c>
      <c r="F290" s="20" t="s">
        <v>415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426</v>
      </c>
      <c r="C291" t="s">
        <v>447</v>
      </c>
      <c r="D291" s="141">
        <v>3010000</v>
      </c>
      <c r="E291" t="s">
        <v>414</v>
      </c>
      <c r="F291" s="20" t="s">
        <v>415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426</v>
      </c>
      <c r="C292" t="s">
        <v>447</v>
      </c>
      <c r="D292" s="141">
        <v>3010000</v>
      </c>
      <c r="E292" t="s">
        <v>414</v>
      </c>
      <c r="F292" s="20" t="s">
        <v>415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426</v>
      </c>
      <c r="C293" t="s">
        <v>447</v>
      </c>
      <c r="D293" s="141">
        <v>3010000</v>
      </c>
      <c r="E293" t="s">
        <v>414</v>
      </c>
      <c r="F293" s="20" t="s">
        <v>415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448</v>
      </c>
      <c r="C294" t="s">
        <v>449</v>
      </c>
      <c r="D294" s="141">
        <v>2970000</v>
      </c>
      <c r="E294" t="s">
        <v>392</v>
      </c>
      <c r="F294" s="20" t="s">
        <v>393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343</v>
      </c>
      <c r="C295" t="s">
        <v>399</v>
      </c>
      <c r="D295" s="141">
        <v>1800000</v>
      </c>
      <c r="E295" t="s">
        <v>390</v>
      </c>
      <c r="F295" s="20" t="s">
        <v>391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376</v>
      </c>
      <c r="C296" t="s">
        <v>400</v>
      </c>
      <c r="D296" s="141">
        <v>3030000</v>
      </c>
      <c r="E296" t="s">
        <v>394</v>
      </c>
      <c r="F296" s="20" t="s">
        <v>377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387</v>
      </c>
      <c r="C297" t="s">
        <v>383</v>
      </c>
      <c r="D297" s="141">
        <v>2970000</v>
      </c>
      <c r="E297" t="s">
        <v>392</v>
      </c>
      <c r="F297" s="20" t="s">
        <v>393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367</v>
      </c>
      <c r="C298" t="s">
        <v>401</v>
      </c>
      <c r="D298" s="141">
        <v>2230000</v>
      </c>
      <c r="E298" t="s">
        <v>346</v>
      </c>
      <c r="F298" s="20" t="s">
        <v>196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381</v>
      </c>
      <c r="C299" t="s">
        <v>383</v>
      </c>
      <c r="D299" s="141">
        <v>2970000</v>
      </c>
      <c r="E299" t="s">
        <v>392</v>
      </c>
      <c r="F299" s="20" t="s">
        <v>393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382</v>
      </c>
      <c r="C300" t="s">
        <v>386</v>
      </c>
      <c r="D300" s="141">
        <v>3130000</v>
      </c>
      <c r="E300" t="s">
        <v>397</v>
      </c>
      <c r="F300" s="20" t="s">
        <v>398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381</v>
      </c>
      <c r="C301" t="s">
        <v>383</v>
      </c>
      <c r="D301" s="141">
        <v>2970000</v>
      </c>
      <c r="E301" t="s">
        <v>392</v>
      </c>
      <c r="F301" s="20" t="s">
        <v>393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373</v>
      </c>
      <c r="C302" t="s">
        <v>384</v>
      </c>
      <c r="D302" s="141">
        <v>3040000</v>
      </c>
      <c r="E302" t="s">
        <v>395</v>
      </c>
      <c r="F302" s="20" t="s">
        <v>396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373</v>
      </c>
      <c r="C303" t="s">
        <v>384</v>
      </c>
      <c r="D303" s="141">
        <v>3040000</v>
      </c>
      <c r="E303" t="s">
        <v>395</v>
      </c>
      <c r="F303" s="20" t="s">
        <v>396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345</v>
      </c>
      <c r="C304" t="s">
        <v>402</v>
      </c>
      <c r="D304" s="141">
        <v>3030000</v>
      </c>
      <c r="E304" t="s">
        <v>394</v>
      </c>
      <c r="F304" s="20" t="s">
        <v>377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387</v>
      </c>
      <c r="C305" t="s">
        <v>383</v>
      </c>
      <c r="D305" s="141">
        <v>2970000</v>
      </c>
      <c r="E305" t="s">
        <v>392</v>
      </c>
      <c r="F305" s="20" t="s">
        <v>393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381</v>
      </c>
      <c r="C306" t="s">
        <v>383</v>
      </c>
      <c r="D306" s="141">
        <v>2970000</v>
      </c>
      <c r="E306" t="s">
        <v>392</v>
      </c>
      <c r="F306" s="20" t="s">
        <v>393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374</v>
      </c>
      <c r="C307" t="s">
        <v>384</v>
      </c>
      <c r="D307" s="141">
        <v>3040000</v>
      </c>
      <c r="E307" t="s">
        <v>395</v>
      </c>
      <c r="F307" s="20" t="s">
        <v>396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385</v>
      </c>
      <c r="C308" t="s">
        <v>403</v>
      </c>
      <c r="D308" s="141">
        <v>3130000</v>
      </c>
      <c r="E308" t="s">
        <v>397</v>
      </c>
      <c r="F308" s="20" t="s">
        <v>398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373</v>
      </c>
      <c r="C309" t="s">
        <v>384</v>
      </c>
      <c r="D309" s="141">
        <v>3040000</v>
      </c>
      <c r="E309" t="s">
        <v>395</v>
      </c>
      <c r="F309" s="20" t="s">
        <v>396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387</v>
      </c>
      <c r="C310" t="s">
        <v>383</v>
      </c>
      <c r="D310" s="141">
        <v>2970000</v>
      </c>
      <c r="E310" t="s">
        <v>392</v>
      </c>
      <c r="F310" s="20" t="s">
        <v>393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381</v>
      </c>
      <c r="C311" t="s">
        <v>383</v>
      </c>
      <c r="D311" s="141">
        <v>2970000</v>
      </c>
      <c r="E311" t="s">
        <v>392</v>
      </c>
      <c r="F311" s="20" t="s">
        <v>393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activeCell="A5" sqref="A5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162</v>
      </c>
      <c r="B1" s="201" t="s">
        <v>165</v>
      </c>
      <c r="C1" s="201" t="s">
        <v>158</v>
      </c>
      <c r="D1" s="139" t="s">
        <v>170</v>
      </c>
      <c r="E1" s="201" t="s">
        <v>159</v>
      </c>
      <c r="F1" s="201" t="s">
        <v>157</v>
      </c>
      <c r="G1" s="201" t="s">
        <v>155</v>
      </c>
      <c r="H1" s="201" t="s">
        <v>168</v>
      </c>
      <c r="I1" s="201" t="s">
        <v>169</v>
      </c>
      <c r="J1" s="201" t="s">
        <v>379</v>
      </c>
      <c r="K1" s="201" t="s">
        <v>163</v>
      </c>
      <c r="L1" s="201" t="s">
        <v>161</v>
      </c>
      <c r="M1" s="201" t="s">
        <v>156</v>
      </c>
      <c r="N1" s="201" t="s">
        <v>166</v>
      </c>
      <c r="O1" s="201" t="s">
        <v>160</v>
      </c>
      <c r="P1" s="201" t="s">
        <v>167</v>
      </c>
      <c r="Q1" s="201" t="s">
        <v>164</v>
      </c>
      <c r="R1"/>
    </row>
    <row r="2" spans="1:18" x14ac:dyDescent="0.25">
      <c r="A2" s="168">
        <v>38.28</v>
      </c>
      <c r="B2" s="168">
        <v>0.78</v>
      </c>
      <c r="C2" s="168">
        <v>34.020000000000003</v>
      </c>
      <c r="D2" s="8">
        <v>42875</v>
      </c>
      <c r="E2" s="168">
        <v>0.84</v>
      </c>
      <c r="F2" s="168" t="s">
        <v>828</v>
      </c>
      <c r="G2" s="168">
        <v>397.48</v>
      </c>
      <c r="H2" s="168">
        <v>1.5E-3</v>
      </c>
      <c r="I2" s="168">
        <v>0.03</v>
      </c>
      <c r="J2" s="168" t="s">
        <v>380</v>
      </c>
      <c r="K2" s="168">
        <v>1021.45</v>
      </c>
      <c r="L2" s="168" t="s">
        <v>829</v>
      </c>
      <c r="M2" s="168">
        <v>38.28</v>
      </c>
      <c r="N2" s="168">
        <v>1495260000</v>
      </c>
      <c r="O2" s="168">
        <v>4</v>
      </c>
      <c r="P2" s="168">
        <v>312</v>
      </c>
      <c r="Q2" s="168">
        <v>1.72</v>
      </c>
      <c r="R2"/>
    </row>
    <row r="3" spans="1:18" x14ac:dyDescent="0.25">
      <c r="A3" s="168">
        <v>37.08</v>
      </c>
      <c r="B3" s="168">
        <v>0.67</v>
      </c>
      <c r="C3" s="168">
        <v>33.01</v>
      </c>
      <c r="D3" s="8">
        <v>42875.041666666664</v>
      </c>
      <c r="E3" s="168">
        <v>0.85</v>
      </c>
      <c r="F3" s="168" t="s">
        <v>828</v>
      </c>
      <c r="G3" s="168">
        <v>395.98</v>
      </c>
      <c r="H3" s="168">
        <v>1E-3</v>
      </c>
      <c r="I3" s="168">
        <v>0.01</v>
      </c>
      <c r="J3" s="168" t="s">
        <v>380</v>
      </c>
      <c r="K3" s="168">
        <v>1021.41</v>
      </c>
      <c r="L3" s="168" t="s">
        <v>829</v>
      </c>
      <c r="M3" s="168">
        <v>37.08</v>
      </c>
      <c r="N3" s="168">
        <v>1495263600</v>
      </c>
      <c r="O3" s="168">
        <v>4.26</v>
      </c>
      <c r="P3" s="168">
        <v>205</v>
      </c>
      <c r="Q3" s="168">
        <v>1.23</v>
      </c>
      <c r="R3"/>
    </row>
    <row r="4" spans="1:18" x14ac:dyDescent="0.25">
      <c r="A4" s="168">
        <v>36.57</v>
      </c>
      <c r="B4" s="168">
        <v>0.56000000000000005</v>
      </c>
      <c r="C4" s="168">
        <v>32.51</v>
      </c>
      <c r="D4" s="8">
        <v>42875.083333333336</v>
      </c>
      <c r="E4" s="168">
        <v>0.85</v>
      </c>
      <c r="F4" s="168" t="s">
        <v>828</v>
      </c>
      <c r="G4" s="168">
        <v>394.48</v>
      </c>
      <c r="H4" s="168">
        <v>0</v>
      </c>
      <c r="I4" s="168">
        <v>0</v>
      </c>
      <c r="J4" s="168"/>
      <c r="K4" s="168">
        <v>1021.39</v>
      </c>
      <c r="L4" s="168" t="s">
        <v>830</v>
      </c>
      <c r="M4" s="168">
        <v>36.57</v>
      </c>
      <c r="N4" s="168">
        <v>1495267200</v>
      </c>
      <c r="O4" s="168">
        <v>3.92</v>
      </c>
      <c r="P4" s="168">
        <v>283</v>
      </c>
      <c r="Q4" s="168">
        <v>1.87</v>
      </c>
      <c r="R4"/>
    </row>
    <row r="5" spans="1:18" x14ac:dyDescent="0.25">
      <c r="A5" s="168">
        <v>36.29</v>
      </c>
      <c r="B5" s="168">
        <v>0.48</v>
      </c>
      <c r="C5" s="168">
        <v>32.39</v>
      </c>
      <c r="D5" s="8">
        <v>42875.125</v>
      </c>
      <c r="E5" s="168">
        <v>0.86</v>
      </c>
      <c r="F5" s="168" t="s">
        <v>828</v>
      </c>
      <c r="G5" s="168">
        <v>392.98</v>
      </c>
      <c r="H5" s="168">
        <v>0</v>
      </c>
      <c r="I5" s="168">
        <v>0</v>
      </c>
      <c r="J5" s="168"/>
      <c r="K5" s="168">
        <v>1021.44</v>
      </c>
      <c r="L5" s="168" t="s">
        <v>830</v>
      </c>
      <c r="M5" s="168">
        <v>36.29</v>
      </c>
      <c r="N5" s="168">
        <v>1495270800</v>
      </c>
      <c r="O5" s="168">
        <v>3.93</v>
      </c>
      <c r="P5" s="168">
        <v>309</v>
      </c>
      <c r="Q5" s="168">
        <v>0.63</v>
      </c>
      <c r="R5"/>
    </row>
    <row r="6" spans="1:18" x14ac:dyDescent="0.25">
      <c r="A6" s="168">
        <v>34.630000000000003</v>
      </c>
      <c r="B6" s="168">
        <v>0.49</v>
      </c>
      <c r="C6" s="168">
        <v>31.26</v>
      </c>
      <c r="D6" s="8">
        <v>42875.166666666664</v>
      </c>
      <c r="E6" s="168">
        <v>0.87</v>
      </c>
      <c r="F6" s="168" t="s">
        <v>828</v>
      </c>
      <c r="G6" s="168">
        <v>388.69</v>
      </c>
      <c r="H6" s="168">
        <v>0</v>
      </c>
      <c r="I6" s="168">
        <v>0</v>
      </c>
      <c r="J6" s="168"/>
      <c r="K6" s="168">
        <v>1021.38</v>
      </c>
      <c r="L6" s="168" t="s">
        <v>830</v>
      </c>
      <c r="M6" s="168">
        <v>34.630000000000003</v>
      </c>
      <c r="N6" s="168">
        <v>1495274400</v>
      </c>
      <c r="O6" s="168">
        <v>4.3099999999999996</v>
      </c>
      <c r="P6" s="168">
        <v>231</v>
      </c>
      <c r="Q6" s="168">
        <v>0.67</v>
      </c>
      <c r="R6"/>
    </row>
    <row r="7" spans="1:18" x14ac:dyDescent="0.25">
      <c r="A7" s="168">
        <v>33.200000000000003</v>
      </c>
      <c r="B7" s="168">
        <v>0.43</v>
      </c>
      <c r="C7" s="168">
        <v>30.1</v>
      </c>
      <c r="D7" s="8">
        <v>42875.208333333336</v>
      </c>
      <c r="E7" s="168">
        <v>0.88</v>
      </c>
      <c r="F7" s="168" t="s">
        <v>828</v>
      </c>
      <c r="G7" s="168">
        <v>383.39</v>
      </c>
      <c r="H7" s="168">
        <v>0</v>
      </c>
      <c r="I7" s="168">
        <v>0</v>
      </c>
      <c r="J7" s="168"/>
      <c r="K7" s="168">
        <v>1021.24</v>
      </c>
      <c r="L7" s="168" t="s">
        <v>830</v>
      </c>
      <c r="M7" s="168">
        <v>33.200000000000003</v>
      </c>
      <c r="N7" s="168">
        <v>1495278000</v>
      </c>
      <c r="O7" s="168">
        <v>5.64</v>
      </c>
      <c r="P7" s="168">
        <v>206</v>
      </c>
      <c r="Q7" s="168">
        <v>1.04</v>
      </c>
      <c r="R7"/>
    </row>
    <row r="8" spans="1:18" x14ac:dyDescent="0.25">
      <c r="A8" s="168">
        <v>30.55</v>
      </c>
      <c r="B8" s="168">
        <v>0.43</v>
      </c>
      <c r="C8" s="168">
        <v>29.92</v>
      </c>
      <c r="D8" s="8">
        <v>42875.25</v>
      </c>
      <c r="E8" s="168">
        <v>0.87</v>
      </c>
      <c r="F8" s="168" t="s">
        <v>831</v>
      </c>
      <c r="G8" s="168">
        <v>379.47</v>
      </c>
      <c r="H8" s="168">
        <v>0</v>
      </c>
      <c r="I8" s="168">
        <v>0</v>
      </c>
      <c r="J8" s="168"/>
      <c r="K8" s="168">
        <v>1020.79</v>
      </c>
      <c r="L8" s="168" t="s">
        <v>830</v>
      </c>
      <c r="M8" s="168">
        <v>33.299999999999997</v>
      </c>
      <c r="N8" s="168">
        <v>1495281600</v>
      </c>
      <c r="O8" s="168">
        <v>10</v>
      </c>
      <c r="P8" s="168">
        <v>254</v>
      </c>
      <c r="Q8" s="168">
        <v>3.19</v>
      </c>
      <c r="R8"/>
    </row>
    <row r="9" spans="1:18" x14ac:dyDescent="0.25">
      <c r="A9" s="168">
        <v>35.69</v>
      </c>
      <c r="B9" s="168">
        <v>0.49</v>
      </c>
      <c r="C9" s="168">
        <v>31.57</v>
      </c>
      <c r="D9" s="8">
        <v>42875.291666666664</v>
      </c>
      <c r="E9" s="168">
        <v>0.85</v>
      </c>
      <c r="F9" s="168" t="s">
        <v>831</v>
      </c>
      <c r="G9" s="168">
        <v>377.98</v>
      </c>
      <c r="H9" s="168">
        <v>0</v>
      </c>
      <c r="I9" s="168">
        <v>0</v>
      </c>
      <c r="J9" s="168"/>
      <c r="K9" s="168">
        <v>1019.71</v>
      </c>
      <c r="L9" s="168" t="s">
        <v>830</v>
      </c>
      <c r="M9" s="168">
        <v>35.69</v>
      </c>
      <c r="N9" s="168">
        <v>1495285200</v>
      </c>
      <c r="O9" s="168">
        <v>3.38</v>
      </c>
      <c r="P9" s="168">
        <v>246</v>
      </c>
      <c r="Q9" s="168">
        <v>2.4</v>
      </c>
      <c r="R9"/>
    </row>
    <row r="10" spans="1:18" x14ac:dyDescent="0.25">
      <c r="A10" s="168">
        <v>40.78</v>
      </c>
      <c r="B10" s="168">
        <v>0.49</v>
      </c>
      <c r="C10" s="168">
        <v>33.1</v>
      </c>
      <c r="D10" s="8">
        <v>42875.333333333336</v>
      </c>
      <c r="E10" s="168">
        <v>0.74</v>
      </c>
      <c r="F10" s="168" t="s">
        <v>831</v>
      </c>
      <c r="G10" s="168">
        <v>377.87</v>
      </c>
      <c r="H10" s="168">
        <v>0</v>
      </c>
      <c r="I10" s="168">
        <v>0</v>
      </c>
      <c r="J10" s="168"/>
      <c r="K10" s="168">
        <v>1018.23</v>
      </c>
      <c r="L10" s="168" t="s">
        <v>830</v>
      </c>
      <c r="M10" s="168">
        <v>40.78</v>
      </c>
      <c r="N10" s="168">
        <v>1495288800</v>
      </c>
      <c r="O10" s="168">
        <v>3.05</v>
      </c>
      <c r="P10" s="168">
        <v>207</v>
      </c>
      <c r="Q10" s="168">
        <v>2.5499999999999998</v>
      </c>
      <c r="R10"/>
    </row>
    <row r="11" spans="1:18" x14ac:dyDescent="0.25">
      <c r="A11" s="168">
        <v>45.61</v>
      </c>
      <c r="B11" s="168">
        <v>0.51</v>
      </c>
      <c r="C11" s="168">
        <v>33.1</v>
      </c>
      <c r="D11" s="8">
        <v>42875.375</v>
      </c>
      <c r="E11" s="168">
        <v>0.61</v>
      </c>
      <c r="F11" s="168" t="s">
        <v>831</v>
      </c>
      <c r="G11" s="168">
        <v>378.35</v>
      </c>
      <c r="H11" s="168">
        <v>0</v>
      </c>
      <c r="I11" s="168">
        <v>0</v>
      </c>
      <c r="J11" s="168"/>
      <c r="K11" s="168">
        <v>1016.97</v>
      </c>
      <c r="L11" s="168" t="s">
        <v>830</v>
      </c>
      <c r="M11" s="168">
        <v>45.61</v>
      </c>
      <c r="N11" s="168">
        <v>1495292400</v>
      </c>
      <c r="O11" s="168">
        <v>2.92</v>
      </c>
      <c r="P11" s="168">
        <v>190</v>
      </c>
      <c r="Q11" s="168">
        <v>2.2999999999999998</v>
      </c>
      <c r="R11"/>
    </row>
    <row r="12" spans="1:18" x14ac:dyDescent="0.25">
      <c r="A12" s="168">
        <v>49.81</v>
      </c>
      <c r="B12" s="168">
        <v>0.48</v>
      </c>
      <c r="C12" s="168">
        <v>32.67</v>
      </c>
      <c r="D12" s="8">
        <v>42875.416666666664</v>
      </c>
      <c r="E12" s="168">
        <v>0.52</v>
      </c>
      <c r="F12" s="168" t="s">
        <v>831</v>
      </c>
      <c r="G12" s="168">
        <v>379.98</v>
      </c>
      <c r="H12" s="168">
        <v>0</v>
      </c>
      <c r="I12" s="168">
        <v>0</v>
      </c>
      <c r="J12" s="168"/>
      <c r="K12" s="168">
        <v>1016.35</v>
      </c>
      <c r="L12" s="168" t="s">
        <v>830</v>
      </c>
      <c r="M12" s="168">
        <v>49.81</v>
      </c>
      <c r="N12" s="168">
        <v>1495296000</v>
      </c>
      <c r="O12" s="168">
        <v>10</v>
      </c>
      <c r="P12" s="168">
        <v>204</v>
      </c>
      <c r="Q12" s="168">
        <v>0.94</v>
      </c>
      <c r="R12"/>
    </row>
    <row r="13" spans="1:18" x14ac:dyDescent="0.25">
      <c r="A13" s="168">
        <v>53</v>
      </c>
      <c r="B13" s="168">
        <v>0.45</v>
      </c>
      <c r="C13" s="168">
        <v>32.61</v>
      </c>
      <c r="D13" s="8">
        <v>42875.458333333336</v>
      </c>
      <c r="E13" s="168">
        <v>0.46</v>
      </c>
      <c r="F13" s="168" t="s">
        <v>831</v>
      </c>
      <c r="G13" s="168">
        <v>382.19</v>
      </c>
      <c r="H13" s="168">
        <v>0</v>
      </c>
      <c r="I13" s="168">
        <v>0</v>
      </c>
      <c r="J13" s="168"/>
      <c r="K13" s="168">
        <v>1015.99</v>
      </c>
      <c r="L13" s="168" t="s">
        <v>830</v>
      </c>
      <c r="M13" s="168">
        <v>53</v>
      </c>
      <c r="N13" s="168">
        <v>1495299600</v>
      </c>
      <c r="O13" s="168">
        <v>3.07</v>
      </c>
      <c r="P13" s="168">
        <v>316</v>
      </c>
      <c r="Q13" s="168">
        <v>0.96</v>
      </c>
      <c r="R13"/>
    </row>
    <row r="14" spans="1:18" x14ac:dyDescent="0.25">
      <c r="A14" s="168">
        <v>55.71</v>
      </c>
      <c r="B14" s="168">
        <v>0.42</v>
      </c>
      <c r="C14" s="168">
        <v>33.08</v>
      </c>
      <c r="D14" s="8">
        <v>42875.5</v>
      </c>
      <c r="E14" s="168">
        <v>0.42</v>
      </c>
      <c r="F14" s="168" t="s">
        <v>831</v>
      </c>
      <c r="G14" s="168">
        <v>382.48</v>
      </c>
      <c r="H14" s="168">
        <v>0</v>
      </c>
      <c r="I14" s="168">
        <v>0</v>
      </c>
      <c r="J14" s="168"/>
      <c r="K14" s="168">
        <v>1015.59</v>
      </c>
      <c r="L14" s="168" t="s">
        <v>830</v>
      </c>
      <c r="M14" s="168">
        <v>55.71</v>
      </c>
      <c r="N14" s="168">
        <v>1495303200</v>
      </c>
      <c r="O14" s="168">
        <v>3.25</v>
      </c>
      <c r="P14" s="168">
        <v>285</v>
      </c>
      <c r="Q14" s="168">
        <v>2.0499999999999998</v>
      </c>
      <c r="R14"/>
    </row>
    <row r="15" spans="1:18" x14ac:dyDescent="0.25">
      <c r="A15" s="168">
        <v>58.64</v>
      </c>
      <c r="B15" s="168">
        <v>0.38</v>
      </c>
      <c r="C15" s="168">
        <v>33.42</v>
      </c>
      <c r="D15" s="8">
        <v>42875.541666666664</v>
      </c>
      <c r="E15" s="168">
        <v>0.38</v>
      </c>
      <c r="F15" s="168" t="s">
        <v>831</v>
      </c>
      <c r="G15" s="168">
        <v>379.54</v>
      </c>
      <c r="H15" s="168">
        <v>0</v>
      </c>
      <c r="I15" s="168">
        <v>0</v>
      </c>
      <c r="J15" s="168"/>
      <c r="K15" s="168">
        <v>1015.11</v>
      </c>
      <c r="L15" s="168" t="s">
        <v>830</v>
      </c>
      <c r="M15" s="168">
        <v>58.64</v>
      </c>
      <c r="N15" s="168">
        <v>1495306800</v>
      </c>
      <c r="O15" s="168">
        <v>3.4</v>
      </c>
      <c r="P15" s="168">
        <v>294</v>
      </c>
      <c r="Q15" s="168">
        <v>2.75</v>
      </c>
      <c r="R15"/>
    </row>
    <row r="16" spans="1:18" x14ac:dyDescent="0.25">
      <c r="A16" s="168">
        <v>60.37</v>
      </c>
      <c r="B16" s="168">
        <v>0.34</v>
      </c>
      <c r="C16" s="168">
        <v>31.58</v>
      </c>
      <c r="D16" s="8">
        <v>42875.583333333336</v>
      </c>
      <c r="E16" s="168">
        <v>0.34</v>
      </c>
      <c r="F16" s="168" t="s">
        <v>831</v>
      </c>
      <c r="G16" s="168">
        <v>374.67</v>
      </c>
      <c r="H16" s="168">
        <v>0</v>
      </c>
      <c r="I16" s="168">
        <v>0</v>
      </c>
      <c r="J16" s="168"/>
      <c r="K16" s="168">
        <v>1014.63</v>
      </c>
      <c r="L16" s="168" t="s">
        <v>830</v>
      </c>
      <c r="M16" s="168">
        <v>60.37</v>
      </c>
      <c r="N16" s="168">
        <v>1495310400</v>
      </c>
      <c r="O16" s="168">
        <v>3.06</v>
      </c>
      <c r="P16" s="168">
        <v>311</v>
      </c>
      <c r="Q16" s="168">
        <v>3.95</v>
      </c>
      <c r="R16"/>
    </row>
    <row r="17" spans="1:18" x14ac:dyDescent="0.25">
      <c r="A17" s="168">
        <v>61.23</v>
      </c>
      <c r="B17" s="168">
        <v>0.34</v>
      </c>
      <c r="C17" s="168">
        <v>31.59</v>
      </c>
      <c r="D17" s="8">
        <v>42875.625</v>
      </c>
      <c r="E17" s="168">
        <v>0.33</v>
      </c>
      <c r="F17" s="168" t="s">
        <v>831</v>
      </c>
      <c r="G17" s="168">
        <v>369.21</v>
      </c>
      <c r="H17" s="168">
        <v>0</v>
      </c>
      <c r="I17" s="168">
        <v>0</v>
      </c>
      <c r="J17" s="168"/>
      <c r="K17" s="168">
        <v>1014.29</v>
      </c>
      <c r="L17" s="168" t="s">
        <v>830</v>
      </c>
      <c r="M17" s="168">
        <v>61.23</v>
      </c>
      <c r="N17" s="168">
        <v>1495314000</v>
      </c>
      <c r="O17" s="168">
        <v>3</v>
      </c>
      <c r="P17" s="168">
        <v>324</v>
      </c>
      <c r="Q17" s="168">
        <v>5.09</v>
      </c>
      <c r="R17"/>
    </row>
    <row r="18" spans="1:18" x14ac:dyDescent="0.25">
      <c r="A18" s="168">
        <v>61.38</v>
      </c>
      <c r="B18" s="168">
        <v>0.39</v>
      </c>
      <c r="C18" s="168">
        <v>31.15</v>
      </c>
      <c r="D18" s="8">
        <v>42875.666666666664</v>
      </c>
      <c r="E18" s="168">
        <v>0.32</v>
      </c>
      <c r="F18" s="168" t="s">
        <v>831</v>
      </c>
      <c r="G18" s="168">
        <v>362.98</v>
      </c>
      <c r="H18" s="168">
        <v>0</v>
      </c>
      <c r="I18" s="168">
        <v>0</v>
      </c>
      <c r="J18" s="168"/>
      <c r="K18" s="168">
        <v>1014.09</v>
      </c>
      <c r="L18" s="168" t="s">
        <v>830</v>
      </c>
      <c r="M18" s="168">
        <v>61.38</v>
      </c>
      <c r="N18" s="168">
        <v>1495317600</v>
      </c>
      <c r="O18" s="168">
        <v>2.95</v>
      </c>
      <c r="P18" s="168">
        <v>341</v>
      </c>
      <c r="Q18" s="168">
        <v>4.33</v>
      </c>
      <c r="R18"/>
    </row>
    <row r="19" spans="1:18" x14ac:dyDescent="0.25">
      <c r="A19" s="168">
        <v>61.3</v>
      </c>
      <c r="B19" s="168">
        <v>0.45</v>
      </c>
      <c r="C19" s="168">
        <v>30.87</v>
      </c>
      <c r="D19" s="8">
        <v>42875.708333333336</v>
      </c>
      <c r="E19" s="168">
        <v>0.32</v>
      </c>
      <c r="F19" s="168" t="s">
        <v>831</v>
      </c>
      <c r="G19" s="168">
        <v>356.15</v>
      </c>
      <c r="H19" s="168">
        <v>0</v>
      </c>
      <c r="I19" s="168">
        <v>0</v>
      </c>
      <c r="J19" s="168"/>
      <c r="K19" s="168">
        <v>1014.06</v>
      </c>
      <c r="L19" s="168" t="s">
        <v>830</v>
      </c>
      <c r="M19" s="168">
        <v>61.3</v>
      </c>
      <c r="N19" s="168">
        <v>1495321200</v>
      </c>
      <c r="O19" s="168">
        <v>3.41</v>
      </c>
      <c r="P19" s="168">
        <v>333</v>
      </c>
      <c r="Q19" s="168">
        <v>4.09</v>
      </c>
      <c r="R19"/>
    </row>
    <row r="20" spans="1:18" x14ac:dyDescent="0.25">
      <c r="A20" s="168">
        <v>60.91</v>
      </c>
      <c r="B20" s="168">
        <v>0.39</v>
      </c>
      <c r="C20" s="168">
        <v>30.58</v>
      </c>
      <c r="D20" s="8">
        <v>42875.75</v>
      </c>
      <c r="E20" s="168">
        <v>0.32</v>
      </c>
      <c r="F20" s="168" t="s">
        <v>831</v>
      </c>
      <c r="G20" s="168">
        <v>350.67</v>
      </c>
      <c r="H20" s="168">
        <v>0</v>
      </c>
      <c r="I20" s="168">
        <v>0</v>
      </c>
      <c r="J20" s="168"/>
      <c r="K20" s="168">
        <v>1014.37</v>
      </c>
      <c r="L20" s="168" t="s">
        <v>830</v>
      </c>
      <c r="M20" s="168">
        <v>60.91</v>
      </c>
      <c r="N20" s="168">
        <v>1495324800</v>
      </c>
      <c r="O20" s="168">
        <v>10</v>
      </c>
      <c r="P20" s="168">
        <v>336</v>
      </c>
      <c r="Q20" s="168">
        <v>3.96</v>
      </c>
      <c r="R20"/>
    </row>
    <row r="21" spans="1:18" x14ac:dyDescent="0.25">
      <c r="A21" s="168">
        <v>59.27</v>
      </c>
      <c r="B21" s="168">
        <v>0.3</v>
      </c>
      <c r="C21" s="168">
        <v>30.72</v>
      </c>
      <c r="D21" s="8">
        <v>42875.791666666664</v>
      </c>
      <c r="E21" s="168">
        <v>0.34</v>
      </c>
      <c r="F21" s="168" t="s">
        <v>831</v>
      </c>
      <c r="G21" s="168">
        <v>347.37</v>
      </c>
      <c r="H21" s="168">
        <v>0</v>
      </c>
      <c r="I21" s="168">
        <v>0</v>
      </c>
      <c r="J21" s="168"/>
      <c r="K21" s="168">
        <v>1015.14</v>
      </c>
      <c r="L21" s="168" t="s">
        <v>830</v>
      </c>
      <c r="M21" s="168">
        <v>59.27</v>
      </c>
      <c r="N21" s="168">
        <v>1495328400</v>
      </c>
      <c r="O21" s="168">
        <v>3.95</v>
      </c>
      <c r="P21" s="168">
        <v>301</v>
      </c>
      <c r="Q21" s="168">
        <v>2.52</v>
      </c>
      <c r="R21"/>
    </row>
    <row r="22" spans="1:18" x14ac:dyDescent="0.25">
      <c r="A22" s="168">
        <v>55.87</v>
      </c>
      <c r="B22" s="168">
        <v>0.23</v>
      </c>
      <c r="C22" s="168">
        <v>32.340000000000003</v>
      </c>
      <c r="D22" s="8">
        <v>42875.833333333336</v>
      </c>
      <c r="E22" s="168">
        <v>0.41</v>
      </c>
      <c r="F22" s="168" t="s">
        <v>832</v>
      </c>
      <c r="G22" s="168">
        <v>345.41</v>
      </c>
      <c r="H22" s="168">
        <v>0</v>
      </c>
      <c r="I22" s="168">
        <v>0</v>
      </c>
      <c r="J22" s="168"/>
      <c r="K22" s="168">
        <v>1016.33</v>
      </c>
      <c r="L22" s="168" t="s">
        <v>833</v>
      </c>
      <c r="M22" s="168">
        <v>55.87</v>
      </c>
      <c r="N22" s="168">
        <v>1495332000</v>
      </c>
      <c r="O22" s="168">
        <v>4.6399999999999997</v>
      </c>
      <c r="P22" s="168">
        <v>313</v>
      </c>
      <c r="Q22" s="168">
        <v>2.29</v>
      </c>
      <c r="R22"/>
    </row>
    <row r="23" spans="1:18" x14ac:dyDescent="0.25">
      <c r="A23" s="168">
        <v>52.35</v>
      </c>
      <c r="B23" s="168">
        <v>0.23</v>
      </c>
      <c r="C23" s="168">
        <v>33.53</v>
      </c>
      <c r="D23" s="8">
        <v>42875.875</v>
      </c>
      <c r="E23" s="168">
        <v>0.49</v>
      </c>
      <c r="F23" s="168" t="s">
        <v>834</v>
      </c>
      <c r="G23" s="168">
        <v>344.15</v>
      </c>
      <c r="H23" s="168">
        <v>0</v>
      </c>
      <c r="I23" s="168">
        <v>0</v>
      </c>
      <c r="J23" s="168"/>
      <c r="K23" s="168">
        <v>1017.53</v>
      </c>
      <c r="L23" s="168" t="s">
        <v>833</v>
      </c>
      <c r="M23" s="168">
        <v>52.35</v>
      </c>
      <c r="N23" s="168">
        <v>1495335600</v>
      </c>
      <c r="O23" s="168">
        <v>10</v>
      </c>
      <c r="P23" s="168">
        <v>310</v>
      </c>
      <c r="Q23" s="168">
        <v>1.19</v>
      </c>
      <c r="R23"/>
    </row>
    <row r="24" spans="1:18" x14ac:dyDescent="0.25">
      <c r="A24" s="168">
        <v>50.88</v>
      </c>
      <c r="B24" s="168">
        <v>0.34</v>
      </c>
      <c r="C24" s="168">
        <v>33.57</v>
      </c>
      <c r="D24" s="8">
        <v>42875.916666666664</v>
      </c>
      <c r="E24" s="168">
        <v>0.51</v>
      </c>
      <c r="F24" s="168" t="s">
        <v>828</v>
      </c>
      <c r="G24" s="168">
        <v>343.47</v>
      </c>
      <c r="H24" s="168">
        <v>0</v>
      </c>
      <c r="I24" s="168">
        <v>0</v>
      </c>
      <c r="J24" s="168"/>
      <c r="K24" s="168">
        <v>1018.65</v>
      </c>
      <c r="L24" s="168" t="s">
        <v>830</v>
      </c>
      <c r="M24" s="168">
        <v>50.88</v>
      </c>
      <c r="N24" s="168">
        <v>1495339200</v>
      </c>
      <c r="O24" s="168">
        <v>4.6399999999999997</v>
      </c>
      <c r="P24" s="168">
        <v>35</v>
      </c>
      <c r="Q24" s="168">
        <v>0.34</v>
      </c>
      <c r="R24"/>
    </row>
    <row r="25" spans="1:18" x14ac:dyDescent="0.25">
      <c r="A25" s="168">
        <v>48.5</v>
      </c>
      <c r="B25" s="168">
        <v>0.36</v>
      </c>
      <c r="C25" s="168">
        <v>32.96</v>
      </c>
      <c r="D25" s="8">
        <v>42875.958333333336</v>
      </c>
      <c r="E25" s="168">
        <v>0.55000000000000004</v>
      </c>
      <c r="F25" s="168" t="s">
        <v>828</v>
      </c>
      <c r="G25" s="168">
        <v>343.49</v>
      </c>
      <c r="H25" s="168">
        <v>0</v>
      </c>
      <c r="I25" s="168">
        <v>0</v>
      </c>
      <c r="J25" s="168"/>
      <c r="K25" s="168">
        <v>1019.76</v>
      </c>
      <c r="L25" s="168" t="s">
        <v>830</v>
      </c>
      <c r="M25" s="168">
        <v>48.5</v>
      </c>
      <c r="N25" s="168">
        <v>1495342800</v>
      </c>
      <c r="O25" s="168">
        <v>3.05</v>
      </c>
      <c r="P25" s="168">
        <v>116</v>
      </c>
      <c r="Q25" s="168">
        <v>1.46</v>
      </c>
      <c r="R25"/>
    </row>
    <row r="26" spans="1:18" x14ac:dyDescent="0.25">
      <c r="A26" s="168">
        <v>46.54</v>
      </c>
      <c r="B26" s="168">
        <v>0.44</v>
      </c>
      <c r="C26" s="168">
        <v>32.9</v>
      </c>
      <c r="D26" s="8">
        <v>42876</v>
      </c>
      <c r="E26" s="168">
        <v>0.59</v>
      </c>
      <c r="F26" s="168" t="s">
        <v>828</v>
      </c>
      <c r="G26" s="168">
        <v>343.93</v>
      </c>
      <c r="H26" s="168">
        <v>0</v>
      </c>
      <c r="I26" s="168">
        <v>0</v>
      </c>
      <c r="J26" s="168"/>
      <c r="K26" s="168">
        <v>1020.74</v>
      </c>
      <c r="L26" s="168" t="s">
        <v>830</v>
      </c>
      <c r="M26" s="168">
        <v>46.54</v>
      </c>
      <c r="N26" s="168">
        <v>1495346400</v>
      </c>
      <c r="O26" s="168">
        <v>2.67</v>
      </c>
      <c r="P26" s="168">
        <v>188</v>
      </c>
      <c r="Q26" s="168">
        <v>2.8</v>
      </c>
      <c r="R26"/>
    </row>
    <row r="27" spans="1:18" x14ac:dyDescent="0.25">
      <c r="A27" s="168">
        <v>43.83</v>
      </c>
      <c r="B27" s="168">
        <v>0.54</v>
      </c>
      <c r="C27" s="168">
        <v>32.83</v>
      </c>
      <c r="D27" s="8">
        <v>42876.041666666664</v>
      </c>
      <c r="E27" s="168">
        <v>0.62</v>
      </c>
      <c r="F27" s="168" t="s">
        <v>828</v>
      </c>
      <c r="G27" s="168">
        <v>345.12</v>
      </c>
      <c r="H27" s="168">
        <v>0</v>
      </c>
      <c r="I27" s="168">
        <v>0</v>
      </c>
      <c r="J27" s="168"/>
      <c r="K27" s="168">
        <v>1021.3</v>
      </c>
      <c r="L27" s="168" t="s">
        <v>830</v>
      </c>
      <c r="M27" s="168">
        <v>45.08</v>
      </c>
      <c r="N27" s="168">
        <v>1495350000</v>
      </c>
      <c r="O27" s="168">
        <v>2.62</v>
      </c>
      <c r="P27" s="168">
        <v>165</v>
      </c>
      <c r="Q27" s="168">
        <v>3.28</v>
      </c>
      <c r="R27"/>
    </row>
    <row r="28" spans="1:18" x14ac:dyDescent="0.25">
      <c r="A28" s="168">
        <v>43.99</v>
      </c>
      <c r="B28" s="168">
        <v>0.57999999999999996</v>
      </c>
      <c r="C28" s="168">
        <v>32.92</v>
      </c>
      <c r="D28" s="8">
        <v>42876.083333333336</v>
      </c>
      <c r="E28" s="168">
        <v>0.65</v>
      </c>
      <c r="F28" s="168" t="s">
        <v>828</v>
      </c>
      <c r="G28" s="168">
        <v>346.3</v>
      </c>
      <c r="H28" s="168">
        <v>0</v>
      </c>
      <c r="I28" s="168">
        <v>0</v>
      </c>
      <c r="J28" s="168"/>
      <c r="K28" s="168">
        <v>1021.8</v>
      </c>
      <c r="L28" s="168" t="s">
        <v>830</v>
      </c>
      <c r="M28" s="168">
        <v>43.99</v>
      </c>
      <c r="N28" s="168">
        <v>1495353600</v>
      </c>
      <c r="O28" s="168">
        <v>2.38</v>
      </c>
      <c r="P28" s="168">
        <v>185</v>
      </c>
      <c r="Q28" s="168">
        <v>2.96</v>
      </c>
      <c r="R28"/>
    </row>
    <row r="29" spans="1:18" x14ac:dyDescent="0.25">
      <c r="A29" s="168">
        <v>40.58</v>
      </c>
      <c r="B29" s="168">
        <v>0.5</v>
      </c>
      <c r="C29" s="168">
        <v>32.119999999999997</v>
      </c>
      <c r="D29" s="8">
        <v>42876.125</v>
      </c>
      <c r="E29" s="168">
        <v>0.67</v>
      </c>
      <c r="F29" s="168" t="s">
        <v>828</v>
      </c>
      <c r="G29" s="168">
        <v>347.49</v>
      </c>
      <c r="H29" s="168">
        <v>0</v>
      </c>
      <c r="I29" s="168">
        <v>0</v>
      </c>
      <c r="J29" s="168"/>
      <c r="K29" s="168">
        <v>1022.27</v>
      </c>
      <c r="L29" s="168" t="s">
        <v>830</v>
      </c>
      <c r="M29" s="168">
        <v>42.38</v>
      </c>
      <c r="N29" s="168">
        <v>1495357200</v>
      </c>
      <c r="O29" s="168">
        <v>9.85</v>
      </c>
      <c r="P29" s="168">
        <v>171</v>
      </c>
      <c r="Q29" s="168">
        <v>3.45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5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338</v>
      </c>
      <c r="U1" s="159"/>
      <c r="V1" s="159"/>
      <c r="W1" s="159"/>
      <c r="X1" s="159"/>
    </row>
    <row r="2" spans="1:24" ht="15.75" thickBot="1" x14ac:dyDescent="0.3">
      <c r="A2" s="12">
        <v>42875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339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340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341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342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1009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1010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1011</v>
      </c>
      <c r="J20" s="143" t="s">
        <v>87</v>
      </c>
      <c r="M20" s="157" t="s">
        <v>370</v>
      </c>
      <c r="N20" s="157" t="s">
        <v>337</v>
      </c>
      <c r="T20" s="158"/>
      <c r="U20" s="158"/>
      <c r="V20" s="158"/>
      <c r="W20" s="158"/>
      <c r="X20" s="158"/>
    </row>
    <row r="21" spans="3:24" x14ac:dyDescent="0.25">
      <c r="C21" t="s">
        <v>1012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1013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1014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1015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1016</v>
      </c>
      <c r="J25" s="143" t="s">
        <v>150</v>
      </c>
      <c r="M25" s="157" t="b">
        <v>1</v>
      </c>
    </row>
    <row r="26" spans="3:24" x14ac:dyDescent="0.25">
      <c r="C26" t="s">
        <v>1017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C:\Users\stu\Documents\GitHub\eaglep3-reporting\EC\2017-05-20-refined-times.txt</v>
      </c>
    </row>
    <row r="27" spans="3:24" x14ac:dyDescent="0.25">
      <c r="C27" t="s">
        <v>1018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C:\Users\stu\Documents\GitHub\eaglep3-reporting\EC\2017-05-20-Enforcements.txt</v>
      </c>
    </row>
    <row r="28" spans="3:24" x14ac:dyDescent="0.25">
      <c r="C28" t="s">
        <v>1019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C:\Users\stu\Documents\GitHub\eaglep3-reporting\EC\2017-05-20-Runs-refined.txt</v>
      </c>
    </row>
    <row r="29" spans="3:24" x14ac:dyDescent="0.25">
      <c r="C29" t="s">
        <v>1020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C:\Users\stu\Documents\GitHub\eaglep3-reporting\EC\2017-05-20-Trips.txt</v>
      </c>
    </row>
    <row r="30" spans="3:24" x14ac:dyDescent="0.25">
      <c r="C30" t="s">
        <v>1021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C:\Users\stu\Documents\GitHub\eaglep3-reporting\EC\2017-05-20-Weather.txt</v>
      </c>
    </row>
    <row r="31" spans="3:24" x14ac:dyDescent="0.25">
      <c r="C31" t="s">
        <v>1022</v>
      </c>
      <c r="J31" s="143" t="s">
        <v>200</v>
      </c>
      <c r="M31" s="157" t="s">
        <v>201</v>
      </c>
    </row>
    <row r="32" spans="3:24" x14ac:dyDescent="0.25">
      <c r="C32" t="s">
        <v>1023</v>
      </c>
    </row>
    <row r="33" spans="3:3" x14ac:dyDescent="0.25">
      <c r="C33" t="s">
        <v>1024</v>
      </c>
    </row>
    <row r="34" spans="3:3" x14ac:dyDescent="0.25">
      <c r="C34" t="s">
        <v>1025</v>
      </c>
    </row>
    <row r="35" spans="3:3" x14ac:dyDescent="0.25">
      <c r="C35" t="s">
        <v>1026</v>
      </c>
    </row>
    <row r="36" spans="3:3" x14ac:dyDescent="0.25">
      <c r="C36" t="s">
        <v>1027</v>
      </c>
    </row>
    <row r="37" spans="3:3" x14ac:dyDescent="0.25">
      <c r="C37" t="s">
        <v>1028</v>
      </c>
    </row>
    <row r="38" spans="3:3" x14ac:dyDescent="0.25">
      <c r="C38" t="s">
        <v>1029</v>
      </c>
    </row>
    <row r="39" spans="3:3" x14ac:dyDescent="0.25">
      <c r="C39" t="s">
        <v>1030</v>
      </c>
    </row>
    <row r="40" spans="3:3" x14ac:dyDescent="0.25">
      <c r="C40" t="s">
        <v>1031</v>
      </c>
    </row>
    <row r="41" spans="3:3" x14ac:dyDescent="0.25">
      <c r="C41" t="s">
        <v>1032</v>
      </c>
    </row>
    <row r="42" spans="3:3" x14ac:dyDescent="0.25">
      <c r="C42" t="s">
        <v>1033</v>
      </c>
    </row>
    <row r="43" spans="3:3" x14ac:dyDescent="0.25">
      <c r="C43" t="s">
        <v>1034</v>
      </c>
    </row>
    <row r="44" spans="3:3" x14ac:dyDescent="0.25">
      <c r="C44" t="s">
        <v>1035</v>
      </c>
    </row>
    <row r="45" spans="3:3" x14ac:dyDescent="0.25">
      <c r="C45" t="s">
        <v>1036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350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351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2017-05-22T15:40:28Z</dcterms:modified>
</cp:coreProperties>
</file>