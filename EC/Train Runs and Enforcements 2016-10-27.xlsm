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1" i="1" l="1"/>
  <c r="L101" i="1"/>
  <c r="M101" i="1"/>
  <c r="V101" i="1"/>
  <c r="Z101" i="1"/>
  <c r="AA101" i="1" s="1"/>
  <c r="AB101" i="1"/>
  <c r="AC101" i="1"/>
  <c r="AD101" i="1"/>
  <c r="AE101" i="1"/>
  <c r="AF101" i="1"/>
  <c r="AH101" i="1"/>
  <c r="K35" i="1"/>
  <c r="L35" i="1"/>
  <c r="M35" i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V36" i="1"/>
  <c r="Y36" i="1"/>
  <c r="Z36" i="1"/>
  <c r="AB36" i="1"/>
  <c r="AC36" i="1"/>
  <c r="AD36" i="1"/>
  <c r="AG36" i="1" s="1"/>
  <c r="AE36" i="1"/>
  <c r="AF36" i="1"/>
  <c r="AH36" i="1"/>
  <c r="X72" i="1"/>
  <c r="K14" i="1"/>
  <c r="L14" i="1"/>
  <c r="M14" i="1"/>
  <c r="V14" i="1"/>
  <c r="Y14" i="1"/>
  <c r="Z14" i="1"/>
  <c r="AB14" i="1"/>
  <c r="AC14" i="1"/>
  <c r="AD14" i="1"/>
  <c r="AE14" i="1"/>
  <c r="AF14" i="1"/>
  <c r="AH14" i="1"/>
  <c r="K15" i="1"/>
  <c r="L15" i="1"/>
  <c r="M15" i="1"/>
  <c r="V15" i="1"/>
  <c r="Y15" i="1"/>
  <c r="Z15" i="1"/>
  <c r="AI15" i="1" s="1"/>
  <c r="AB15" i="1"/>
  <c r="AC15" i="1"/>
  <c r="AD15" i="1"/>
  <c r="AG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P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G18" i="1"/>
  <c r="AH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P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P24" i="1" s="1"/>
  <c r="V24" i="1"/>
  <c r="Y24" i="1"/>
  <c r="AA24" i="1" s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P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I27" i="1"/>
  <c r="K28" i="1"/>
  <c r="L28" i="1"/>
  <c r="M28" i="1"/>
  <c r="P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T30" i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R14" i="3" s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7" i="1"/>
  <c r="L37" i="1"/>
  <c r="M37" i="1"/>
  <c r="N37" i="1" s="1"/>
  <c r="V37" i="1"/>
  <c r="Y37" i="1"/>
  <c r="Z37" i="1"/>
  <c r="AI37" i="1" s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I41" i="1" s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R28" i="3" s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I45" i="1" s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A46" i="1" s="1"/>
  <c r="W46" i="1" s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R18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R10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R36" i="3" s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R15" i="3" s="1"/>
  <c r="AF66" i="1"/>
  <c r="AH66" i="1"/>
  <c r="K67" i="1"/>
  <c r="L67" i="1"/>
  <c r="M67" i="1"/>
  <c r="P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I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/>
  <c r="V78" i="1"/>
  <c r="Y78" i="1"/>
  <c r="Z78" i="1"/>
  <c r="AA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I80" i="1" s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I84" i="1" s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R12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AA90" i="1" s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T92" i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T96" i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I97" i="1" s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R7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R30" i="3" s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S13" i="3" s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AA111" i="1" s="1"/>
  <c r="Z111" i="1"/>
  <c r="AB111" i="1"/>
  <c r="AC111" i="1"/>
  <c r="AD111" i="1"/>
  <c r="AE111" i="1"/>
  <c r="AF111" i="1"/>
  <c r="AH111" i="1"/>
  <c r="K112" i="1"/>
  <c r="L112" i="1"/>
  <c r="M112" i="1"/>
  <c r="N112" i="1" s="1"/>
  <c r="T112" i="1"/>
  <c r="V112" i="1"/>
  <c r="Y112" i="1"/>
  <c r="Z112" i="1"/>
  <c r="AB112" i="1"/>
  <c r="AC112" i="1"/>
  <c r="AD112" i="1"/>
  <c r="AE112" i="1"/>
  <c r="R31" i="3" s="1"/>
  <c r="AF112" i="1"/>
  <c r="AH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I116" i="1" s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G127" i="1"/>
  <c r="AI127" i="1" s="1"/>
  <c r="AH127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R32" i="3" s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R8" i="3" s="1"/>
  <c r="AF137" i="1"/>
  <c r="AH137" i="1"/>
  <c r="K138" i="1"/>
  <c r="L138" i="1"/>
  <c r="M138" i="1"/>
  <c r="N138" i="1" s="1"/>
  <c r="V138" i="1"/>
  <c r="S33" i="3" s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I140" i="1" s="1"/>
  <c r="AE140" i="1"/>
  <c r="AF140" i="1"/>
  <c r="AH140" i="1"/>
  <c r="K141" i="1"/>
  <c r="L141" i="1"/>
  <c r="M141" i="1"/>
  <c r="N141" i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R19" i="3" s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R25" i="3" s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I148" i="1" s="1"/>
  <c r="AE148" i="1"/>
  <c r="R20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S26" i="3" s="1"/>
  <c r="Y156" i="1"/>
  <c r="Z156" i="1"/>
  <c r="AB156" i="1"/>
  <c r="AC156" i="1"/>
  <c r="AD156" i="1"/>
  <c r="AG156" i="1" s="1"/>
  <c r="AE156" i="1"/>
  <c r="R26" i="3" s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G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K217" i="1"/>
  <c r="L217" i="1"/>
  <c r="M217" i="1"/>
  <c r="N217" i="1" s="1"/>
  <c r="V217" i="1"/>
  <c r="Y217" i="1"/>
  <c r="Z217" i="1"/>
  <c r="AA217" i="1" s="1"/>
  <c r="W217" i="1" s="1"/>
  <c r="AB217" i="1"/>
  <c r="AC217" i="1"/>
  <c r="AD217" i="1"/>
  <c r="AG217" i="1" s="1"/>
  <c r="AE217" i="1"/>
  <c r="AF217" i="1"/>
  <c r="AH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K230" i="1"/>
  <c r="L230" i="1"/>
  <c r="M230" i="1"/>
  <c r="N230" i="1" s="1"/>
  <c r="T230" i="1"/>
  <c r="V230" i="1"/>
  <c r="Y230" i="1"/>
  <c r="Z230" i="1"/>
  <c r="AB230" i="1"/>
  <c r="AC230" i="1"/>
  <c r="AD230" i="1"/>
  <c r="AE230" i="1"/>
  <c r="R60" i="3" s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4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5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6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89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90" i="1"/>
  <c r="K159" i="1"/>
  <c r="L159" i="1"/>
  <c r="M159" i="1"/>
  <c r="N159" i="1" s="1"/>
  <c r="V159" i="1"/>
  <c r="Y159" i="1"/>
  <c r="Z159" i="1"/>
  <c r="AB159" i="1"/>
  <c r="AC159" i="1"/>
  <c r="AD159" i="1"/>
  <c r="AE159" i="1"/>
  <c r="R44" i="3" s="1"/>
  <c r="AF159" i="1"/>
  <c r="AH191" i="1"/>
  <c r="K160" i="1"/>
  <c r="L160" i="1"/>
  <c r="M160" i="1"/>
  <c r="N160" i="1" s="1"/>
  <c r="V160" i="1"/>
  <c r="S51" i="3" s="1"/>
  <c r="Y160" i="1"/>
  <c r="Z160" i="1"/>
  <c r="AB160" i="1"/>
  <c r="AC160" i="1"/>
  <c r="AD160" i="1"/>
  <c r="AG160" i="1" s="1"/>
  <c r="AI160" i="1" s="1"/>
  <c r="AE160" i="1"/>
  <c r="R51" i="3" s="1"/>
  <c r="AF160" i="1"/>
  <c r="AH192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3" i="1"/>
  <c r="K162" i="1"/>
  <c r="L162" i="1"/>
  <c r="M162" i="1"/>
  <c r="N162" i="1" s="1"/>
  <c r="V162" i="1"/>
  <c r="S52" i="3" s="1"/>
  <c r="Y162" i="1"/>
  <c r="Z162" i="1"/>
  <c r="AB162" i="1"/>
  <c r="AC162" i="1"/>
  <c r="AD162" i="1"/>
  <c r="AE162" i="1"/>
  <c r="R52" i="3" s="1"/>
  <c r="AF162" i="1"/>
  <c r="AH19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6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7" i="1"/>
  <c r="K166" i="1"/>
  <c r="L166" i="1"/>
  <c r="M166" i="1"/>
  <c r="N166" i="1" s="1"/>
  <c r="V166" i="1"/>
  <c r="Y166" i="1"/>
  <c r="AA166" i="1" s="1"/>
  <c r="Z166" i="1"/>
  <c r="AB166" i="1"/>
  <c r="AC166" i="1"/>
  <c r="AD166" i="1"/>
  <c r="AE166" i="1"/>
  <c r="AF166" i="1"/>
  <c r="AH19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0" i="1"/>
  <c r="K169" i="1"/>
  <c r="L169" i="1"/>
  <c r="M169" i="1"/>
  <c r="N169" i="1" s="1"/>
  <c r="V169" i="1"/>
  <c r="S40" i="3" s="1"/>
  <c r="Y169" i="1"/>
  <c r="Z169" i="1"/>
  <c r="AB169" i="1"/>
  <c r="AC169" i="1"/>
  <c r="AD169" i="1"/>
  <c r="AG169" i="1" s="1"/>
  <c r="AE169" i="1"/>
  <c r="R40" i="3" s="1"/>
  <c r="AF169" i="1"/>
  <c r="AH201" i="1"/>
  <c r="K170" i="1"/>
  <c r="L170" i="1"/>
  <c r="M170" i="1"/>
  <c r="N170" i="1" s="1"/>
  <c r="V170" i="1"/>
  <c r="S53" i="3" s="1"/>
  <c r="Y170" i="1"/>
  <c r="Z170" i="1"/>
  <c r="AB170" i="1"/>
  <c r="AC170" i="1"/>
  <c r="AD170" i="1"/>
  <c r="AG170" i="1" s="1"/>
  <c r="AE170" i="1"/>
  <c r="R53" i="3" s="1"/>
  <c r="AF170" i="1"/>
  <c r="AH20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3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204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G174" i="1"/>
  <c r="AH20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8" i="1"/>
  <c r="K177" i="1"/>
  <c r="L177" i="1"/>
  <c r="M177" i="1"/>
  <c r="N177" i="1" s="1"/>
  <c r="V177" i="1"/>
  <c r="S45" i="3" s="1"/>
  <c r="Y177" i="1"/>
  <c r="Z177" i="1"/>
  <c r="AB177" i="1"/>
  <c r="AC177" i="1"/>
  <c r="AD177" i="1"/>
  <c r="AG177" i="1" s="1"/>
  <c r="AE177" i="1"/>
  <c r="R45" i="3" s="1"/>
  <c r="AF177" i="1"/>
  <c r="AH209" i="1"/>
  <c r="K178" i="1"/>
  <c r="L178" i="1"/>
  <c r="M178" i="1"/>
  <c r="N178" i="1" s="1"/>
  <c r="V178" i="1"/>
  <c r="Y178" i="1"/>
  <c r="Z178" i="1"/>
  <c r="AA178" i="1" s="1"/>
  <c r="AB178" i="1"/>
  <c r="AC178" i="1"/>
  <c r="AD178" i="1"/>
  <c r="AE178" i="1"/>
  <c r="AF178" i="1"/>
  <c r="AH210" i="1"/>
  <c r="K179" i="1"/>
  <c r="L179" i="1"/>
  <c r="M179" i="1"/>
  <c r="N179" i="1" s="1"/>
  <c r="V179" i="1"/>
  <c r="Y179" i="1"/>
  <c r="Z179" i="1"/>
  <c r="AA179" i="1" s="1"/>
  <c r="AB179" i="1"/>
  <c r="AC179" i="1"/>
  <c r="AD179" i="1"/>
  <c r="X179" i="1" s="1"/>
  <c r="AE179" i="1"/>
  <c r="AF179" i="1"/>
  <c r="AH211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12" i="1"/>
  <c r="K181" i="1"/>
  <c r="L181" i="1"/>
  <c r="M181" i="1"/>
  <c r="N181" i="1" s="1"/>
  <c r="V181" i="1"/>
  <c r="S46" i="3" s="1"/>
  <c r="Y181" i="1"/>
  <c r="Z181" i="1"/>
  <c r="AB181" i="1"/>
  <c r="AC181" i="1"/>
  <c r="AD181" i="1"/>
  <c r="AG181" i="1" s="1"/>
  <c r="AE181" i="1"/>
  <c r="R46" i="3" s="1"/>
  <c r="AF181" i="1"/>
  <c r="AH213" i="1"/>
  <c r="K182" i="1"/>
  <c r="L182" i="1"/>
  <c r="M182" i="1"/>
  <c r="N182" i="1" s="1"/>
  <c r="V182" i="1"/>
  <c r="S41" i="3" s="1"/>
  <c r="Y182" i="1"/>
  <c r="Z182" i="1"/>
  <c r="AB182" i="1"/>
  <c r="AC182" i="1"/>
  <c r="AD182" i="1"/>
  <c r="AE182" i="1"/>
  <c r="R41" i="3" s="1"/>
  <c r="AF182" i="1"/>
  <c r="AH21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5" i="1"/>
  <c r="K184" i="1"/>
  <c r="L184" i="1"/>
  <c r="M184" i="1"/>
  <c r="N184" i="1" s="1"/>
  <c r="V184" i="1"/>
  <c r="S55" i="3" s="1"/>
  <c r="Y184" i="1"/>
  <c r="Z184" i="1"/>
  <c r="AB184" i="1"/>
  <c r="AC184" i="1"/>
  <c r="AD184" i="1"/>
  <c r="AE184" i="1"/>
  <c r="R54" i="3" s="1"/>
  <c r="AF184" i="1"/>
  <c r="AH216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7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9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0" i="1"/>
  <c r="K189" i="1"/>
  <c r="L189" i="1"/>
  <c r="M189" i="1"/>
  <c r="N189" i="1" s="1"/>
  <c r="V189" i="1"/>
  <c r="Y189" i="1"/>
  <c r="Z189" i="1"/>
  <c r="AA189" i="1" s="1"/>
  <c r="W189" i="1" s="1"/>
  <c r="AB189" i="1"/>
  <c r="AC189" i="1"/>
  <c r="AD189" i="1"/>
  <c r="AG189" i="1" s="1"/>
  <c r="AE189" i="1"/>
  <c r="AF189" i="1"/>
  <c r="AH22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2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3" i="1"/>
  <c r="K192" i="1"/>
  <c r="L192" i="1"/>
  <c r="M192" i="1"/>
  <c r="N192" i="1" s="1"/>
  <c r="V192" i="1"/>
  <c r="S56" i="3" s="1"/>
  <c r="Y192" i="1"/>
  <c r="Z192" i="1"/>
  <c r="AB192" i="1"/>
  <c r="AC192" i="1"/>
  <c r="AD192" i="1"/>
  <c r="T192" i="1" s="1"/>
  <c r="AE192" i="1"/>
  <c r="R57" i="3" s="1"/>
  <c r="AF192" i="1"/>
  <c r="AH224" i="1"/>
  <c r="K193" i="1"/>
  <c r="L193" i="1"/>
  <c r="M193" i="1"/>
  <c r="N193" i="1" s="1"/>
  <c r="V193" i="1"/>
  <c r="Y193" i="1"/>
  <c r="Z193" i="1"/>
  <c r="AA193" i="1" s="1"/>
  <c r="W193" i="1" s="1"/>
  <c r="AB193" i="1"/>
  <c r="AC193" i="1"/>
  <c r="AD193" i="1"/>
  <c r="AG193" i="1" s="1"/>
  <c r="AE193" i="1"/>
  <c r="AF193" i="1"/>
  <c r="AH22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7" i="1"/>
  <c r="K196" i="1"/>
  <c r="L196" i="1"/>
  <c r="M196" i="1"/>
  <c r="N196" i="1" s="1"/>
  <c r="V196" i="1"/>
  <c r="S58" i="3" s="1"/>
  <c r="Y196" i="1"/>
  <c r="Z196" i="1"/>
  <c r="AB196" i="1"/>
  <c r="AC196" i="1"/>
  <c r="AD196" i="1"/>
  <c r="T196" i="1" s="1"/>
  <c r="AE196" i="1"/>
  <c r="R42" i="3" s="1"/>
  <c r="AF196" i="1"/>
  <c r="AH228" i="1"/>
  <c r="K197" i="1"/>
  <c r="L197" i="1"/>
  <c r="M197" i="1"/>
  <c r="N197" i="1" s="1"/>
  <c r="V197" i="1"/>
  <c r="Y197" i="1"/>
  <c r="Z197" i="1"/>
  <c r="AB197" i="1"/>
  <c r="AC197" i="1"/>
  <c r="AD197" i="1"/>
  <c r="AG197" i="1" s="1"/>
  <c r="AI197" i="1" s="1"/>
  <c r="AE197" i="1"/>
  <c r="AF197" i="1"/>
  <c r="AH22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0" i="1"/>
  <c r="K199" i="1"/>
  <c r="L199" i="1"/>
  <c r="M199" i="1"/>
  <c r="N199" i="1" s="1"/>
  <c r="V199" i="1"/>
  <c r="Y199" i="1"/>
  <c r="AA199" i="1" s="1"/>
  <c r="Z199" i="1"/>
  <c r="AB199" i="1"/>
  <c r="AC199" i="1"/>
  <c r="AD199" i="1"/>
  <c r="AG199" i="1" s="1"/>
  <c r="AE199" i="1"/>
  <c r="AF199" i="1"/>
  <c r="AH231" i="1"/>
  <c r="K200" i="1"/>
  <c r="L200" i="1"/>
  <c r="M200" i="1"/>
  <c r="N200" i="1" s="1"/>
  <c r="V200" i="1"/>
  <c r="S43" i="3" s="1"/>
  <c r="Y200" i="1"/>
  <c r="Z200" i="1"/>
  <c r="AB200" i="1"/>
  <c r="AC200" i="1"/>
  <c r="AD200" i="1"/>
  <c r="AG200" i="1" s="1"/>
  <c r="AE200" i="1"/>
  <c r="R43" i="3" s="1"/>
  <c r="AF200" i="1"/>
  <c r="AH232" i="1"/>
  <c r="K201" i="1"/>
  <c r="L201" i="1"/>
  <c r="M201" i="1"/>
  <c r="N201" i="1" s="1"/>
  <c r="V201" i="1"/>
  <c r="S49" i="3" s="1"/>
  <c r="Y201" i="1"/>
  <c r="Z201" i="1"/>
  <c r="AB201" i="1"/>
  <c r="AC201" i="1"/>
  <c r="AD201" i="1"/>
  <c r="T201" i="1" s="1"/>
  <c r="AE201" i="1"/>
  <c r="R47" i="3" s="1"/>
  <c r="AF201" i="1"/>
  <c r="AH233" i="1"/>
  <c r="K202" i="1"/>
  <c r="L202" i="1"/>
  <c r="M202" i="1"/>
  <c r="N202" i="1" s="1"/>
  <c r="V202" i="1"/>
  <c r="S39" i="3" s="1"/>
  <c r="Y202" i="1"/>
  <c r="Z202" i="1"/>
  <c r="AB202" i="1"/>
  <c r="AC202" i="1"/>
  <c r="AD202" i="1"/>
  <c r="AG202" i="1" s="1"/>
  <c r="AE202" i="1"/>
  <c r="R39" i="3" s="1"/>
  <c r="AF202" i="1"/>
  <c r="AH23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3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8" i="1"/>
  <c r="K220" i="1"/>
  <c r="L220" i="1"/>
  <c r="M220" i="1"/>
  <c r="N220" i="1"/>
  <c r="V220" i="1"/>
  <c r="Y220" i="1"/>
  <c r="Z220" i="1"/>
  <c r="AB220" i="1"/>
  <c r="AC220" i="1"/>
  <c r="AD220" i="1"/>
  <c r="AG220" i="1" s="1"/>
  <c r="AE220" i="1"/>
  <c r="AF220" i="1"/>
  <c r="AH239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2" i="1"/>
  <c r="K224" i="1"/>
  <c r="L224" i="1"/>
  <c r="M224" i="1"/>
  <c r="N224" i="1" s="1"/>
  <c r="V224" i="1"/>
  <c r="Y224" i="1"/>
  <c r="Z224" i="1"/>
  <c r="AB224" i="1"/>
  <c r="AC224" i="1"/>
  <c r="AD224" i="1"/>
  <c r="AG224" i="1" s="1"/>
  <c r="AI224" i="1" s="1"/>
  <c r="AE224" i="1"/>
  <c r="AF224" i="1"/>
  <c r="AH243" i="1"/>
  <c r="M44" i="3"/>
  <c r="N44" i="3"/>
  <c r="S44" i="3"/>
  <c r="U44" i="3"/>
  <c r="T44" i="3" s="1"/>
  <c r="V44" i="3"/>
  <c r="W44" i="3"/>
  <c r="X44" i="3"/>
  <c r="AC44" i="3"/>
  <c r="M23" i="3"/>
  <c r="N23" i="3"/>
  <c r="R23" i="3"/>
  <c r="S23" i="3"/>
  <c r="U23" i="3"/>
  <c r="T23" i="3" s="1"/>
  <c r="V23" i="3"/>
  <c r="W23" i="3"/>
  <c r="X23" i="3"/>
  <c r="AC23" i="3"/>
  <c r="M14" i="3"/>
  <c r="N14" i="3"/>
  <c r="S14" i="3"/>
  <c r="U14" i="3"/>
  <c r="AC14" i="3" s="1"/>
  <c r="V14" i="3"/>
  <c r="W14" i="3"/>
  <c r="X14" i="3"/>
  <c r="M27" i="3"/>
  <c r="N27" i="3"/>
  <c r="R27" i="3"/>
  <c r="S27" i="3"/>
  <c r="U27" i="3"/>
  <c r="T27" i="3" s="1"/>
  <c r="V27" i="3"/>
  <c r="W27" i="3"/>
  <c r="X27" i="3"/>
  <c r="M51" i="3"/>
  <c r="N51" i="3"/>
  <c r="U51" i="3"/>
  <c r="T51" i="3" s="1"/>
  <c r="V51" i="3"/>
  <c r="W51" i="3"/>
  <c r="X51" i="3"/>
  <c r="AC51" i="3"/>
  <c r="M52" i="3"/>
  <c r="N52" i="3"/>
  <c r="U52" i="3"/>
  <c r="T52" i="3" s="1"/>
  <c r="V52" i="3"/>
  <c r="W52" i="3"/>
  <c r="X52" i="3"/>
  <c r="AC52" i="3"/>
  <c r="M21" i="3"/>
  <c r="N21" i="3"/>
  <c r="R21" i="3"/>
  <c r="S21" i="3"/>
  <c r="U21" i="3"/>
  <c r="AC21" i="3" s="1"/>
  <c r="V21" i="3"/>
  <c r="W21" i="3"/>
  <c r="X21" i="3"/>
  <c r="M28" i="3"/>
  <c r="N28" i="3"/>
  <c r="S28" i="3"/>
  <c r="U28" i="3"/>
  <c r="T28" i="3" s="1"/>
  <c r="V28" i="3"/>
  <c r="W28" i="3"/>
  <c r="X28" i="3"/>
  <c r="M11" i="3"/>
  <c r="N11" i="3"/>
  <c r="R11" i="3"/>
  <c r="S11" i="3"/>
  <c r="U11" i="3"/>
  <c r="T11" i="3" s="1"/>
  <c r="V11" i="3"/>
  <c r="W11" i="3"/>
  <c r="X11" i="3"/>
  <c r="AC11" i="3"/>
  <c r="M40" i="3"/>
  <c r="N40" i="3"/>
  <c r="U40" i="3"/>
  <c r="T40" i="3" s="1"/>
  <c r="V40" i="3"/>
  <c r="W40" i="3"/>
  <c r="X40" i="3"/>
  <c r="AC40" i="3"/>
  <c r="M53" i="3"/>
  <c r="N53" i="3"/>
  <c r="U53" i="3"/>
  <c r="AC53" i="3" s="1"/>
  <c r="V53" i="3"/>
  <c r="W53" i="3"/>
  <c r="X53" i="3"/>
  <c r="M34" i="3"/>
  <c r="N34" i="3"/>
  <c r="R34" i="3"/>
  <c r="S34" i="3"/>
  <c r="U34" i="3"/>
  <c r="T34" i="3" s="1"/>
  <c r="V34" i="3"/>
  <c r="W34" i="3"/>
  <c r="X34" i="3"/>
  <c r="M17" i="3"/>
  <c r="N17" i="3"/>
  <c r="R17" i="3"/>
  <c r="S17" i="3"/>
  <c r="U17" i="3"/>
  <c r="T17" i="3" s="1"/>
  <c r="V17" i="3"/>
  <c r="W17" i="3"/>
  <c r="X17" i="3"/>
  <c r="M9" i="3"/>
  <c r="N9" i="3"/>
  <c r="R9" i="3"/>
  <c r="S9" i="3"/>
  <c r="U9" i="3"/>
  <c r="T9" i="3" s="1"/>
  <c r="V9" i="3"/>
  <c r="W9" i="3"/>
  <c r="X9" i="3"/>
  <c r="AC9" i="3"/>
  <c r="M24" i="3"/>
  <c r="N24" i="3"/>
  <c r="R24" i="3"/>
  <c r="S24" i="3"/>
  <c r="U24" i="3"/>
  <c r="AC24" i="3" s="1"/>
  <c r="V24" i="3"/>
  <c r="W24" i="3"/>
  <c r="X24" i="3"/>
  <c r="M29" i="3"/>
  <c r="N29" i="3"/>
  <c r="R29" i="3"/>
  <c r="S29" i="3"/>
  <c r="U29" i="3"/>
  <c r="T29" i="3" s="1"/>
  <c r="V29" i="3"/>
  <c r="W29" i="3"/>
  <c r="X29" i="3"/>
  <c r="M18" i="3"/>
  <c r="N18" i="3"/>
  <c r="S18" i="3"/>
  <c r="U18" i="3"/>
  <c r="T18" i="3" s="1"/>
  <c r="V18" i="3"/>
  <c r="W18" i="3"/>
  <c r="X18" i="3"/>
  <c r="AC18" i="3"/>
  <c r="M35" i="3"/>
  <c r="N35" i="3"/>
  <c r="R35" i="3"/>
  <c r="S35" i="3"/>
  <c r="U35" i="3"/>
  <c r="T35" i="3" s="1"/>
  <c r="V35" i="3"/>
  <c r="W35" i="3"/>
  <c r="X35" i="3"/>
  <c r="AC35" i="3"/>
  <c r="M36" i="3"/>
  <c r="N36" i="3"/>
  <c r="S36" i="3"/>
  <c r="U36" i="3"/>
  <c r="AC36" i="3" s="1"/>
  <c r="V36" i="3"/>
  <c r="W36" i="3"/>
  <c r="X36" i="3"/>
  <c r="M10" i="3"/>
  <c r="N10" i="3"/>
  <c r="S10" i="3"/>
  <c r="U10" i="3"/>
  <c r="T10" i="3" s="1"/>
  <c r="V10" i="3"/>
  <c r="W10" i="3"/>
  <c r="X10" i="3"/>
  <c r="M22" i="3"/>
  <c r="N22" i="3"/>
  <c r="R22" i="3"/>
  <c r="S22" i="3"/>
  <c r="U22" i="3"/>
  <c r="T22" i="3" s="1"/>
  <c r="V22" i="3"/>
  <c r="W22" i="3"/>
  <c r="X22" i="3"/>
  <c r="AC22" i="3"/>
  <c r="M15" i="3"/>
  <c r="N15" i="3"/>
  <c r="S15" i="3"/>
  <c r="U15" i="3"/>
  <c r="T15" i="3" s="1"/>
  <c r="V15" i="3"/>
  <c r="W15" i="3"/>
  <c r="X15" i="3"/>
  <c r="AC15" i="3"/>
  <c r="M37" i="3"/>
  <c r="N37" i="3"/>
  <c r="R37" i="3"/>
  <c r="S37" i="3"/>
  <c r="U37" i="3"/>
  <c r="AC37" i="3" s="1"/>
  <c r="V37" i="3"/>
  <c r="W37" i="3"/>
  <c r="Y37" i="3" s="1"/>
  <c r="X37" i="3"/>
  <c r="M38" i="3"/>
  <c r="N38" i="3"/>
  <c r="R38" i="3"/>
  <c r="S38" i="3"/>
  <c r="U38" i="3"/>
  <c r="T38" i="3" s="1"/>
  <c r="V38" i="3"/>
  <c r="W38" i="3"/>
  <c r="X38" i="3"/>
  <c r="M45" i="3"/>
  <c r="N45" i="3"/>
  <c r="U45" i="3"/>
  <c r="T45" i="3" s="1"/>
  <c r="V45" i="3"/>
  <c r="W45" i="3"/>
  <c r="X45" i="3"/>
  <c r="AC45" i="3"/>
  <c r="M46" i="3"/>
  <c r="N46" i="3"/>
  <c r="U46" i="3"/>
  <c r="T46" i="3" s="1"/>
  <c r="V46" i="3"/>
  <c r="W46" i="3"/>
  <c r="X46" i="3"/>
  <c r="AC46" i="3"/>
  <c r="M12" i="3"/>
  <c r="N12" i="3"/>
  <c r="S12" i="3"/>
  <c r="U12" i="3"/>
  <c r="AC12" i="3" s="1"/>
  <c r="V12" i="3"/>
  <c r="W12" i="3"/>
  <c r="X12" i="3"/>
  <c r="M7" i="3"/>
  <c r="N7" i="3"/>
  <c r="S7" i="3"/>
  <c r="U7" i="3"/>
  <c r="T7" i="3" s="1"/>
  <c r="V7" i="3"/>
  <c r="W7" i="3"/>
  <c r="X7" i="3"/>
  <c r="M16" i="3"/>
  <c r="N16" i="3"/>
  <c r="S16" i="3"/>
  <c r="U16" i="3"/>
  <c r="T16" i="3" s="1"/>
  <c r="V16" i="3"/>
  <c r="W16" i="3"/>
  <c r="X16" i="3"/>
  <c r="AC16" i="3"/>
  <c r="M41" i="3"/>
  <c r="N41" i="3"/>
  <c r="U41" i="3"/>
  <c r="T41" i="3" s="1"/>
  <c r="V41" i="3"/>
  <c r="W41" i="3"/>
  <c r="X41" i="3"/>
  <c r="AC41" i="3"/>
  <c r="M54" i="3"/>
  <c r="N54" i="3"/>
  <c r="U54" i="3"/>
  <c r="AC54" i="3" s="1"/>
  <c r="V54" i="3"/>
  <c r="W54" i="3"/>
  <c r="Y54" i="3" s="1"/>
  <c r="X54" i="3"/>
  <c r="M55" i="3"/>
  <c r="N55" i="3"/>
  <c r="U55" i="3"/>
  <c r="T55" i="3" s="1"/>
  <c r="V55" i="3"/>
  <c r="W55" i="3"/>
  <c r="Y55" i="3" s="1"/>
  <c r="X55" i="3"/>
  <c r="M30" i="3"/>
  <c r="N30" i="3"/>
  <c r="S30" i="3"/>
  <c r="U30" i="3"/>
  <c r="T30" i="3" s="1"/>
  <c r="V30" i="3"/>
  <c r="W30" i="3"/>
  <c r="X30" i="3"/>
  <c r="AC30" i="3"/>
  <c r="M13" i="3"/>
  <c r="N13" i="3"/>
  <c r="R13" i="3"/>
  <c r="U13" i="3"/>
  <c r="T13" i="3" s="1"/>
  <c r="V13" i="3"/>
  <c r="W13" i="3"/>
  <c r="X13" i="3"/>
  <c r="M31" i="3"/>
  <c r="N31" i="3"/>
  <c r="S31" i="3"/>
  <c r="U31" i="3"/>
  <c r="AC31" i="3" s="1"/>
  <c r="V31" i="3"/>
  <c r="W31" i="3"/>
  <c r="X31" i="3"/>
  <c r="M56" i="3"/>
  <c r="N56" i="3"/>
  <c r="U56" i="3"/>
  <c r="T56" i="3" s="1"/>
  <c r="V56" i="3"/>
  <c r="W56" i="3"/>
  <c r="X56" i="3"/>
  <c r="M57" i="3"/>
  <c r="N57" i="3"/>
  <c r="U57" i="3"/>
  <c r="T57" i="3" s="1"/>
  <c r="V57" i="3"/>
  <c r="W57" i="3"/>
  <c r="X57" i="3"/>
  <c r="AC57" i="3"/>
  <c r="M60" i="3"/>
  <c r="N60" i="3"/>
  <c r="S60" i="3"/>
  <c r="U60" i="3"/>
  <c r="T60" i="3" s="1"/>
  <c r="V60" i="3"/>
  <c r="W60" i="3"/>
  <c r="Y60" i="3" s="1"/>
  <c r="X60" i="3"/>
  <c r="AC60" i="3"/>
  <c r="M42" i="3"/>
  <c r="N42" i="3"/>
  <c r="S42" i="3"/>
  <c r="U42" i="3"/>
  <c r="AC42" i="3" s="1"/>
  <c r="V42" i="3"/>
  <c r="W42" i="3"/>
  <c r="Y42" i="3" s="1"/>
  <c r="X42" i="3"/>
  <c r="M58" i="3"/>
  <c r="N58" i="3"/>
  <c r="U58" i="3"/>
  <c r="T58" i="3" s="1"/>
  <c r="V58" i="3"/>
  <c r="W58" i="3"/>
  <c r="X58" i="3"/>
  <c r="M32" i="3"/>
  <c r="N32" i="3"/>
  <c r="S32" i="3"/>
  <c r="U32" i="3"/>
  <c r="T32" i="3" s="1"/>
  <c r="V32" i="3"/>
  <c r="W32" i="3"/>
  <c r="X32" i="3"/>
  <c r="AC32" i="3"/>
  <c r="M43" i="3"/>
  <c r="N43" i="3"/>
  <c r="U43" i="3"/>
  <c r="T43" i="3" s="1"/>
  <c r="V43" i="3"/>
  <c r="W43" i="3"/>
  <c r="X43" i="3"/>
  <c r="AC43" i="3"/>
  <c r="M8" i="3"/>
  <c r="N8" i="3"/>
  <c r="S8" i="3"/>
  <c r="U8" i="3"/>
  <c r="AC8" i="3" s="1"/>
  <c r="V8" i="3"/>
  <c r="W8" i="3"/>
  <c r="X8" i="3"/>
  <c r="M39" i="3"/>
  <c r="N39" i="3"/>
  <c r="U39" i="3"/>
  <c r="T39" i="3" s="1"/>
  <c r="V39" i="3"/>
  <c r="W39" i="3"/>
  <c r="X39" i="3"/>
  <c r="M47" i="3"/>
  <c r="N47" i="3"/>
  <c r="U47" i="3"/>
  <c r="T47" i="3" s="1"/>
  <c r="V47" i="3"/>
  <c r="W47" i="3"/>
  <c r="X47" i="3"/>
  <c r="AC47" i="3"/>
  <c r="M48" i="3"/>
  <c r="N48" i="3"/>
  <c r="U48" i="3"/>
  <c r="T48" i="3" s="1"/>
  <c r="V48" i="3"/>
  <c r="W48" i="3"/>
  <c r="X48" i="3"/>
  <c r="AC48" i="3"/>
  <c r="M49" i="3"/>
  <c r="N49" i="3"/>
  <c r="U49" i="3"/>
  <c r="AC49" i="3" s="1"/>
  <c r="V49" i="3"/>
  <c r="W49" i="3"/>
  <c r="X49" i="3"/>
  <c r="M50" i="3"/>
  <c r="N50" i="3"/>
  <c r="U50" i="3"/>
  <c r="T50" i="3" s="1"/>
  <c r="V50" i="3"/>
  <c r="W50" i="3"/>
  <c r="X50" i="3"/>
  <c r="M33" i="3"/>
  <c r="N33" i="3"/>
  <c r="R33" i="3"/>
  <c r="U33" i="3"/>
  <c r="T33" i="3" s="1"/>
  <c r="V33" i="3"/>
  <c r="W33" i="3"/>
  <c r="X33" i="3"/>
  <c r="AC33" i="3"/>
  <c r="M19" i="3"/>
  <c r="N19" i="3"/>
  <c r="S19" i="3"/>
  <c r="U19" i="3"/>
  <c r="T19" i="3" s="1"/>
  <c r="V19" i="3"/>
  <c r="W19" i="3"/>
  <c r="X19" i="3"/>
  <c r="AC19" i="3"/>
  <c r="M25" i="3"/>
  <c r="N25" i="3"/>
  <c r="S25" i="3"/>
  <c r="U25" i="3"/>
  <c r="AC25" i="3" s="1"/>
  <c r="V25" i="3"/>
  <c r="W25" i="3"/>
  <c r="X25" i="3"/>
  <c r="M20" i="3"/>
  <c r="N20" i="3"/>
  <c r="S20" i="3"/>
  <c r="U20" i="3"/>
  <c r="T20" i="3" s="1"/>
  <c r="V20" i="3"/>
  <c r="W20" i="3"/>
  <c r="X20" i="3"/>
  <c r="M26" i="3"/>
  <c r="N26" i="3"/>
  <c r="U26" i="3"/>
  <c r="T26" i="3" s="1"/>
  <c r="V26" i="3"/>
  <c r="W26" i="3"/>
  <c r="X26" i="3"/>
  <c r="AC26" i="3"/>
  <c r="AA201" i="1" l="1"/>
  <c r="AA200" i="1"/>
  <c r="AI106" i="1"/>
  <c r="X88" i="1"/>
  <c r="AA87" i="1"/>
  <c r="AA86" i="1"/>
  <c r="AA85" i="1"/>
  <c r="AA67" i="1"/>
  <c r="AA66" i="1"/>
  <c r="W66" i="1" s="1"/>
  <c r="AI23" i="1"/>
  <c r="AI19" i="1"/>
  <c r="X73" i="1"/>
  <c r="P14" i="1"/>
  <c r="AI177" i="1"/>
  <c r="AA177" i="1"/>
  <c r="W177" i="1" s="1"/>
  <c r="T88" i="1"/>
  <c r="AA84" i="1"/>
  <c r="X19" i="1"/>
  <c r="W199" i="1"/>
  <c r="AA172" i="1"/>
  <c r="AA227" i="1"/>
  <c r="W227" i="1" s="1"/>
  <c r="AI217" i="1"/>
  <c r="X92" i="1"/>
  <c r="AA73" i="1"/>
  <c r="X58" i="1"/>
  <c r="AA32" i="1"/>
  <c r="X30" i="1"/>
  <c r="T36" i="1"/>
  <c r="AA196" i="1"/>
  <c r="AI193" i="1"/>
  <c r="AG151" i="1"/>
  <c r="AI151" i="1" s="1"/>
  <c r="X151" i="1"/>
  <c r="AI133" i="1"/>
  <c r="AG123" i="1"/>
  <c r="AI123" i="1" s="1"/>
  <c r="AA80" i="1"/>
  <c r="AA50" i="1"/>
  <c r="AA31" i="1"/>
  <c r="AA36" i="1"/>
  <c r="W36" i="1" s="1"/>
  <c r="X37" i="1"/>
  <c r="X101" i="1"/>
  <c r="AI220" i="1"/>
  <c r="X176" i="1"/>
  <c r="W127" i="1"/>
  <c r="AG88" i="1"/>
  <c r="AG67" i="1"/>
  <c r="U67" i="1" s="1"/>
  <c r="S67" i="1" s="1"/>
  <c r="AA63" i="1"/>
  <c r="AG57" i="1"/>
  <c r="U57" i="1" s="1"/>
  <c r="AA44" i="1"/>
  <c r="X71" i="1"/>
  <c r="X36" i="1"/>
  <c r="S54" i="3"/>
  <c r="AI189" i="1"/>
  <c r="AG241" i="1"/>
  <c r="AI128" i="1"/>
  <c r="AI205" i="1"/>
  <c r="AA204" i="1"/>
  <c r="AA160" i="1"/>
  <c r="W160" i="1" s="1"/>
  <c r="AA230" i="1"/>
  <c r="AA206" i="1"/>
  <c r="W206" i="1" s="1"/>
  <c r="AA123" i="1"/>
  <c r="AG92" i="1"/>
  <c r="U92" i="1" s="1"/>
  <c r="S92" i="1" s="1"/>
  <c r="AA81" i="1"/>
  <c r="W81" i="1" s="1"/>
  <c r="T65" i="1"/>
  <c r="U65" i="1" s="1"/>
  <c r="S65" i="1" s="1"/>
  <c r="X35" i="1"/>
  <c r="T101" i="1"/>
  <c r="X102" i="1"/>
  <c r="W101" i="1"/>
  <c r="AG101" i="1"/>
  <c r="U101" i="1"/>
  <c r="S101" i="1" s="1"/>
  <c r="AI101" i="1"/>
  <c r="AC13" i="3"/>
  <c r="Y10" i="3"/>
  <c r="Y27" i="3"/>
  <c r="Y20" i="3"/>
  <c r="Y34" i="3"/>
  <c r="Y53" i="3"/>
  <c r="Y21" i="3"/>
  <c r="Y30" i="3"/>
  <c r="AG22" i="1"/>
  <c r="U22" i="1" s="1"/>
  <c r="X22" i="1"/>
  <c r="AA35" i="1"/>
  <c r="W35" i="1" s="1"/>
  <c r="AG35" i="1"/>
  <c r="U35" i="1" s="1"/>
  <c r="S35" i="1" s="1"/>
  <c r="U36" i="1"/>
  <c r="S36" i="1" s="1"/>
  <c r="AI36" i="1"/>
  <c r="AI35" i="1"/>
  <c r="Y50" i="3"/>
  <c r="Y56" i="3"/>
  <c r="R16" i="3"/>
  <c r="Y15" i="3"/>
  <c r="Y18" i="3"/>
  <c r="Y29" i="3"/>
  <c r="Y24" i="3"/>
  <c r="Y44" i="3"/>
  <c r="Y33" i="3"/>
  <c r="R50" i="3"/>
  <c r="Y49" i="3"/>
  <c r="Y39" i="3"/>
  <c r="Y7" i="3"/>
  <c r="Y12" i="3"/>
  <c r="Y52" i="3"/>
  <c r="Y14" i="3"/>
  <c r="AA223" i="1"/>
  <c r="T202" i="1"/>
  <c r="U202" i="1" s="1"/>
  <c r="S202" i="1" s="1"/>
  <c r="AA192" i="1"/>
  <c r="T180" i="1"/>
  <c r="AA176" i="1"/>
  <c r="AI174" i="1"/>
  <c r="X168" i="1"/>
  <c r="U241" i="1"/>
  <c r="S241" i="1" s="1"/>
  <c r="AA235" i="1"/>
  <c r="AA234" i="1"/>
  <c r="W234" i="1" s="1"/>
  <c r="AA226" i="1"/>
  <c r="W226" i="1" s="1"/>
  <c r="AA216" i="1"/>
  <c r="T139" i="1"/>
  <c r="T80" i="1"/>
  <c r="AA55" i="1"/>
  <c r="AA54" i="1"/>
  <c r="AA53" i="1"/>
  <c r="AA52" i="1"/>
  <c r="T48" i="1"/>
  <c r="AA45" i="1"/>
  <c r="AA16" i="1"/>
  <c r="AA203" i="1"/>
  <c r="AA195" i="1"/>
  <c r="AA194" i="1"/>
  <c r="X191" i="1"/>
  <c r="AA182" i="1"/>
  <c r="AA181" i="1"/>
  <c r="W181" i="1" s="1"/>
  <c r="X159" i="1"/>
  <c r="AA212" i="1"/>
  <c r="AA211" i="1"/>
  <c r="W211" i="1" s="1"/>
  <c r="T211" i="1"/>
  <c r="AA158" i="1"/>
  <c r="X144" i="1"/>
  <c r="AA143" i="1"/>
  <c r="T143" i="1"/>
  <c r="AA140" i="1"/>
  <c r="W140" i="1" s="1"/>
  <c r="AA106" i="1"/>
  <c r="W106" i="1" s="1"/>
  <c r="AA100" i="1"/>
  <c r="AI81" i="1"/>
  <c r="X70" i="1"/>
  <c r="X40" i="1"/>
  <c r="AA25" i="1"/>
  <c r="Y8" i="3"/>
  <c r="AA221" i="1"/>
  <c r="AA188" i="1"/>
  <c r="AA186" i="1"/>
  <c r="AA170" i="1"/>
  <c r="W170" i="1" s="1"/>
  <c r="AA169" i="1"/>
  <c r="W169" i="1" s="1"/>
  <c r="AA161" i="1"/>
  <c r="W161" i="1" s="1"/>
  <c r="AG225" i="1"/>
  <c r="AI225" i="1" s="1"/>
  <c r="X211" i="1"/>
  <c r="AA207" i="1"/>
  <c r="W207" i="1" s="1"/>
  <c r="AG158" i="1"/>
  <c r="X158" i="1"/>
  <c r="AI156" i="1"/>
  <c r="AA155" i="1"/>
  <c r="W155" i="1" s="1"/>
  <c r="AA148" i="1"/>
  <c r="W148" i="1" s="1"/>
  <c r="AI144" i="1"/>
  <c r="AG143" i="1"/>
  <c r="U143" i="1" s="1"/>
  <c r="S143" i="1" s="1"/>
  <c r="AA137" i="1"/>
  <c r="W137" i="1" s="1"/>
  <c r="AA136" i="1"/>
  <c r="AA112" i="1"/>
  <c r="X84" i="1"/>
  <c r="AA70" i="1"/>
  <c r="W70" i="1" s="1"/>
  <c r="AA43" i="1"/>
  <c r="AA42" i="1"/>
  <c r="AG39" i="1"/>
  <c r="X39" i="1"/>
  <c r="AA28" i="1"/>
  <c r="AA23" i="1"/>
  <c r="W23" i="1" s="1"/>
  <c r="X184" i="1"/>
  <c r="T184" i="1"/>
  <c r="X192" i="1"/>
  <c r="X164" i="1"/>
  <c r="T164" i="1"/>
  <c r="U164" i="1" s="1"/>
  <c r="S164" i="1" s="1"/>
  <c r="AA224" i="1"/>
  <c r="W224" i="1" s="1"/>
  <c r="AA222" i="1"/>
  <c r="AG198" i="1"/>
  <c r="U198" i="1" s="1"/>
  <c r="S198" i="1" s="1"/>
  <c r="AA173" i="1"/>
  <c r="W173" i="1" s="1"/>
  <c r="T172" i="1"/>
  <c r="U172" i="1" s="1"/>
  <c r="S172" i="1" s="1"/>
  <c r="AI170" i="1"/>
  <c r="R49" i="3"/>
  <c r="R48" i="3"/>
  <c r="AA220" i="1"/>
  <c r="W220" i="1" s="1"/>
  <c r="X199" i="1"/>
  <c r="AG188" i="1"/>
  <c r="T188" i="1"/>
  <c r="AA175" i="1"/>
  <c r="AA205" i="1"/>
  <c r="W205" i="1" s="1"/>
  <c r="AA191" i="1"/>
  <c r="AA185" i="1"/>
  <c r="W185" i="1" s="1"/>
  <c r="AI181" i="1"/>
  <c r="AA165" i="1"/>
  <c r="W165" i="1" s="1"/>
  <c r="AA242" i="1"/>
  <c r="W242" i="1" s="1"/>
  <c r="X237" i="1"/>
  <c r="AA237" i="1"/>
  <c r="T234" i="1"/>
  <c r="X233" i="1"/>
  <c r="AA232" i="1"/>
  <c r="AA231" i="1"/>
  <c r="T229" i="1"/>
  <c r="U229" i="1" s="1"/>
  <c r="S229" i="1" s="1"/>
  <c r="X214" i="1"/>
  <c r="AA153" i="1"/>
  <c r="W153" i="1" s="1"/>
  <c r="T147" i="1"/>
  <c r="AA144" i="1"/>
  <c r="W144" i="1" s="1"/>
  <c r="AA139" i="1"/>
  <c r="W139" i="1" s="1"/>
  <c r="T135" i="1"/>
  <c r="AG126" i="1"/>
  <c r="X126" i="1"/>
  <c r="AA119" i="1"/>
  <c r="AA115" i="1"/>
  <c r="AA108" i="1"/>
  <c r="AG105" i="1"/>
  <c r="U105" i="1" s="1"/>
  <c r="S105" i="1" s="1"/>
  <c r="X105" i="1"/>
  <c r="AA104" i="1"/>
  <c r="AA103" i="1"/>
  <c r="W103" i="1" s="1"/>
  <c r="T100" i="1"/>
  <c r="AA98" i="1"/>
  <c r="X89" i="1"/>
  <c r="U80" i="1"/>
  <c r="S80" i="1" s="1"/>
  <c r="AG69" i="1"/>
  <c r="T66" i="1"/>
  <c r="AG63" i="1"/>
  <c r="U63" i="1" s="1"/>
  <c r="S63" i="1" s="1"/>
  <c r="AA61" i="1"/>
  <c r="AA57" i="1"/>
  <c r="AG44" i="1"/>
  <c r="X44" i="1"/>
  <c r="AG40" i="1"/>
  <c r="AI40" i="1" s="1"/>
  <c r="AA34" i="1"/>
  <c r="X226" i="1"/>
  <c r="U151" i="1"/>
  <c r="W45" i="1"/>
  <c r="AA18" i="1"/>
  <c r="AA15" i="1"/>
  <c r="AA163" i="1"/>
  <c r="AA162" i="1"/>
  <c r="AA241" i="1"/>
  <c r="AA239" i="1"/>
  <c r="AA238" i="1"/>
  <c r="W238" i="1" s="1"/>
  <c r="AG236" i="1"/>
  <c r="U236" i="1" s="1"/>
  <c r="S236" i="1" s="1"/>
  <c r="X236" i="1"/>
  <c r="AG210" i="1"/>
  <c r="U210" i="1" s="1"/>
  <c r="X210" i="1"/>
  <c r="AA152" i="1"/>
  <c r="AI149" i="1"/>
  <c r="AG147" i="1"/>
  <c r="AA146" i="1"/>
  <c r="AA145" i="1"/>
  <c r="AG135" i="1"/>
  <c r="AA134" i="1"/>
  <c r="AA131" i="1"/>
  <c r="X127" i="1"/>
  <c r="AA126" i="1"/>
  <c r="W126" i="1" s="1"/>
  <c r="AA120" i="1"/>
  <c r="AG100" i="1"/>
  <c r="AI100" i="1" s="1"/>
  <c r="AA96" i="1"/>
  <c r="AA94" i="1"/>
  <c r="AA93" i="1"/>
  <c r="T89" i="1"/>
  <c r="U89" i="1" s="1"/>
  <c r="S89" i="1" s="1"/>
  <c r="X83" i="1"/>
  <c r="AA74" i="1"/>
  <c r="X45" i="1"/>
  <c r="X41" i="1"/>
  <c r="AA26" i="1"/>
  <c r="X23" i="1"/>
  <c r="W63" i="1"/>
  <c r="AA22" i="1"/>
  <c r="AA19" i="1"/>
  <c r="W19" i="1" s="1"/>
  <c r="AI155" i="1"/>
  <c r="U188" i="1"/>
  <c r="S188" i="1" s="1"/>
  <c r="AI188" i="1"/>
  <c r="T220" i="1"/>
  <c r="T165" i="1"/>
  <c r="U165" i="1" s="1"/>
  <c r="S165" i="1" s="1"/>
  <c r="S48" i="3"/>
  <c r="R55" i="3"/>
  <c r="AA219" i="1"/>
  <c r="S57" i="3"/>
  <c r="X220" i="1"/>
  <c r="AG219" i="1"/>
  <c r="AI238" i="1" s="1"/>
  <c r="AA202" i="1"/>
  <c r="W202" i="1" s="1"/>
  <c r="R56" i="3"/>
  <c r="T224" i="1"/>
  <c r="U224" i="1" s="1"/>
  <c r="S224" i="1" s="1"/>
  <c r="X203" i="1"/>
  <c r="AA198" i="1"/>
  <c r="AA197" i="1"/>
  <c r="W197" i="1" s="1"/>
  <c r="X193" i="1"/>
  <c r="AG192" i="1"/>
  <c r="AA190" i="1"/>
  <c r="W190" i="1" s="1"/>
  <c r="X187" i="1"/>
  <c r="AI185" i="1"/>
  <c r="AA183" i="1"/>
  <c r="X177" i="1"/>
  <c r="AG176" i="1"/>
  <c r="U176" i="1" s="1"/>
  <c r="S176" i="1" s="1"/>
  <c r="AA174" i="1"/>
  <c r="W174" i="1" s="1"/>
  <c r="X171" i="1"/>
  <c r="AA167" i="1"/>
  <c r="X161" i="1"/>
  <c r="X160" i="1"/>
  <c r="AA159" i="1"/>
  <c r="T237" i="1"/>
  <c r="X234" i="1"/>
  <c r="AG233" i="1"/>
  <c r="U233" i="1" s="1"/>
  <c r="S233" i="1" s="1"/>
  <c r="AA228" i="1"/>
  <c r="X215" i="1"/>
  <c r="AG215" i="1"/>
  <c r="U215" i="1" s="1"/>
  <c r="S215" i="1" s="1"/>
  <c r="AA215" i="1"/>
  <c r="AA210" i="1"/>
  <c r="W210" i="1" s="1"/>
  <c r="X206" i="1"/>
  <c r="W158" i="1"/>
  <c r="AA156" i="1"/>
  <c r="W156" i="1" s="1"/>
  <c r="T155" i="1"/>
  <c r="U155" i="1" s="1"/>
  <c r="S155" i="1" s="1"/>
  <c r="AA151" i="1"/>
  <c r="AG150" i="1"/>
  <c r="U150" i="1" s="1"/>
  <c r="S150" i="1" s="1"/>
  <c r="X150" i="1"/>
  <c r="AA149" i="1"/>
  <c r="W149" i="1" s="1"/>
  <c r="X148" i="1"/>
  <c r="AG142" i="1"/>
  <c r="U142" i="1" s="1"/>
  <c r="S142" i="1" s="1"/>
  <c r="X142" i="1"/>
  <c r="AG132" i="1"/>
  <c r="AI132" i="1" s="1"/>
  <c r="X132" i="1"/>
  <c r="T132" i="1"/>
  <c r="AA124" i="1"/>
  <c r="W124" i="1" s="1"/>
  <c r="AI124" i="1"/>
  <c r="X119" i="1"/>
  <c r="AG119" i="1"/>
  <c r="AA102" i="1"/>
  <c r="W102" i="1" s="1"/>
  <c r="AI102" i="1"/>
  <c r="W98" i="1"/>
  <c r="U96" i="1"/>
  <c r="S96" i="1" s="1"/>
  <c r="AI96" i="1"/>
  <c r="W96" i="1"/>
  <c r="AG216" i="1"/>
  <c r="AI216" i="1" s="1"/>
  <c r="X216" i="1"/>
  <c r="X131" i="1"/>
  <c r="AG131" i="1"/>
  <c r="T181" i="1"/>
  <c r="U181" i="1" s="1"/>
  <c r="S181" i="1" s="1"/>
  <c r="R58" i="3"/>
  <c r="T203" i="1"/>
  <c r="U203" i="1" s="1"/>
  <c r="S203" i="1" s="1"/>
  <c r="W192" i="1"/>
  <c r="AA184" i="1"/>
  <c r="AG183" i="1"/>
  <c r="W183" i="1" s="1"/>
  <c r="X183" i="1"/>
  <c r="AA180" i="1"/>
  <c r="AA168" i="1"/>
  <c r="AG167" i="1"/>
  <c r="AI167" i="1" s="1"/>
  <c r="X167" i="1"/>
  <c r="AA164" i="1"/>
  <c r="T160" i="1"/>
  <c r="U160" i="1" s="1"/>
  <c r="S160" i="1" s="1"/>
  <c r="AG237" i="1"/>
  <c r="U237" i="1" s="1"/>
  <c r="S237" i="1" s="1"/>
  <c r="AA214" i="1"/>
  <c r="AG213" i="1"/>
  <c r="AI213" i="1" s="1"/>
  <c r="X213" i="1"/>
  <c r="T148" i="1"/>
  <c r="U148" i="1" s="1"/>
  <c r="S148" i="1" s="1"/>
  <c r="AI139" i="1"/>
  <c r="U139" i="1"/>
  <c r="S139" i="1" s="1"/>
  <c r="AG31" i="1"/>
  <c r="AI31" i="1" s="1"/>
  <c r="X31" i="1"/>
  <c r="T31" i="1"/>
  <c r="W188" i="1"/>
  <c r="W172" i="1"/>
  <c r="X224" i="1"/>
  <c r="AG223" i="1"/>
  <c r="W223" i="1" s="1"/>
  <c r="T199" i="1"/>
  <c r="AG184" i="1"/>
  <c r="U184" i="1" s="1"/>
  <c r="S184" i="1" s="1"/>
  <c r="X181" i="1"/>
  <c r="AG180" i="1"/>
  <c r="U180" i="1" s="1"/>
  <c r="S180" i="1" s="1"/>
  <c r="AG168" i="1"/>
  <c r="U168" i="1" s="1"/>
  <c r="S168" i="1" s="1"/>
  <c r="X165" i="1"/>
  <c r="AG164" i="1"/>
  <c r="AI164" i="1" s="1"/>
  <c r="AI190" i="1"/>
  <c r="AA233" i="1"/>
  <c r="AG230" i="1"/>
  <c r="AI230" i="1" s="1"/>
  <c r="X230" i="1"/>
  <c r="T226" i="1"/>
  <c r="U226" i="1" s="1"/>
  <c r="S226" i="1" s="1"/>
  <c r="AG214" i="1"/>
  <c r="U214" i="1" s="1"/>
  <c r="X207" i="1"/>
  <c r="AA157" i="1"/>
  <c r="W157" i="1" s="1"/>
  <c r="T131" i="1"/>
  <c r="X111" i="1"/>
  <c r="AG111" i="1"/>
  <c r="W111" i="1" s="1"/>
  <c r="T111" i="1"/>
  <c r="AA89" i="1"/>
  <c r="W89" i="1" s="1"/>
  <c r="AI89" i="1"/>
  <c r="AG53" i="1"/>
  <c r="AI53" i="1" s="1"/>
  <c r="X54" i="1"/>
  <c r="AG52" i="1"/>
  <c r="W52" i="1" s="1"/>
  <c r="T52" i="1"/>
  <c r="AA243" i="1"/>
  <c r="W243" i="1" s="1"/>
  <c r="X240" i="1"/>
  <c r="AA236" i="1"/>
  <c r="W236" i="1" s="1"/>
  <c r="AA229" i="1"/>
  <c r="W229" i="1" s="1"/>
  <c r="AA225" i="1"/>
  <c r="AA218" i="1"/>
  <c r="AA213" i="1"/>
  <c r="W213" i="1" s="1"/>
  <c r="AA209" i="1"/>
  <c r="AA208" i="1"/>
  <c r="AA150" i="1"/>
  <c r="AA147" i="1"/>
  <c r="W147" i="1" s="1"/>
  <c r="AA142" i="1"/>
  <c r="AA141" i="1"/>
  <c r="AA135" i="1"/>
  <c r="W135" i="1" s="1"/>
  <c r="AG134" i="1"/>
  <c r="AI134" i="1" s="1"/>
  <c r="X134" i="1"/>
  <c r="AA132" i="1"/>
  <c r="W132" i="1" s="1"/>
  <c r="X128" i="1"/>
  <c r="AA125" i="1"/>
  <c r="W125" i="1" s="1"/>
  <c r="AA121" i="1"/>
  <c r="W121" i="1" s="1"/>
  <c r="AA118" i="1"/>
  <c r="W118" i="1" s="1"/>
  <c r="AA117" i="1"/>
  <c r="X116" i="1"/>
  <c r="AG115" i="1"/>
  <c r="AA107" i="1"/>
  <c r="X106" i="1"/>
  <c r="X99" i="1"/>
  <c r="AA92" i="1"/>
  <c r="AG91" i="1"/>
  <c r="X91" i="1"/>
  <c r="W84" i="1"/>
  <c r="W80" i="1"/>
  <c r="AG73" i="1"/>
  <c r="AI73" i="1" s="1"/>
  <c r="T55" i="1"/>
  <c r="AG55" i="1"/>
  <c r="AA40" i="1"/>
  <c r="AA37" i="1"/>
  <c r="W37" i="1" s="1"/>
  <c r="AA27" i="1"/>
  <c r="W27" i="1" s="1"/>
  <c r="W133" i="1"/>
  <c r="AA116" i="1"/>
  <c r="W116" i="1" s="1"/>
  <c r="T116" i="1"/>
  <c r="AG112" i="1"/>
  <c r="AI112" i="1" s="1"/>
  <c r="X112" i="1"/>
  <c r="AA110" i="1"/>
  <c r="AA109" i="1"/>
  <c r="T106" i="1"/>
  <c r="AA97" i="1"/>
  <c r="W97" i="1" s="1"/>
  <c r="AA88" i="1"/>
  <c r="AG85" i="1"/>
  <c r="AI85" i="1" s="1"/>
  <c r="X85" i="1"/>
  <c r="AA83" i="1"/>
  <c r="X76" i="1"/>
  <c r="AG62" i="1"/>
  <c r="X62" i="1"/>
  <c r="T62" i="1"/>
  <c r="U62" i="1" s="1"/>
  <c r="S62" i="1" s="1"/>
  <c r="T47" i="1"/>
  <c r="X47" i="1"/>
  <c r="AG47" i="1"/>
  <c r="AI47" i="1" s="1"/>
  <c r="AI46" i="1"/>
  <c r="T34" i="1"/>
  <c r="AG34" i="1"/>
  <c r="W34" i="1" s="1"/>
  <c r="T26" i="1"/>
  <c r="AG26" i="1"/>
  <c r="W26" i="1" s="1"/>
  <c r="U18" i="1"/>
  <c r="S18" i="1" s="1"/>
  <c r="U123" i="1"/>
  <c r="S123" i="1" s="1"/>
  <c r="T75" i="1"/>
  <c r="X75" i="1"/>
  <c r="AG75" i="1"/>
  <c r="W73" i="1"/>
  <c r="AG61" i="1"/>
  <c r="AI61" i="1" s="1"/>
  <c r="T61" i="1"/>
  <c r="AG14" i="1"/>
  <c r="AI14" i="1" s="1"/>
  <c r="T14" i="1"/>
  <c r="AA75" i="1"/>
  <c r="AA68" i="1"/>
  <c r="AA62" i="1"/>
  <c r="W62" i="1" s="1"/>
  <c r="W57" i="1"/>
  <c r="AA47" i="1"/>
  <c r="W44" i="1"/>
  <c r="T40" i="1"/>
  <c r="T37" i="1"/>
  <c r="U37" i="1" s="1"/>
  <c r="S37" i="1" s="1"/>
  <c r="AA29" i="1"/>
  <c r="W29" i="1" s="1"/>
  <c r="T27" i="1"/>
  <c r="AA20" i="1"/>
  <c r="W18" i="1"/>
  <c r="T15" i="1"/>
  <c r="U15" i="1" s="1"/>
  <c r="T84" i="1"/>
  <c r="U84" i="1" s="1"/>
  <c r="S84" i="1" s="1"/>
  <c r="AA76" i="1"/>
  <c r="AA72" i="1"/>
  <c r="AA65" i="1"/>
  <c r="W65" i="1" s="1"/>
  <c r="AA48" i="1"/>
  <c r="AA30" i="1"/>
  <c r="X27" i="1"/>
  <c r="T23" i="1"/>
  <c r="U23" i="1" s="1"/>
  <c r="S23" i="1" s="1"/>
  <c r="X15" i="1"/>
  <c r="AA130" i="1"/>
  <c r="AA129" i="1"/>
  <c r="AA105" i="1"/>
  <c r="AA99" i="1"/>
  <c r="AA91" i="1"/>
  <c r="W91" i="1" s="1"/>
  <c r="AA82" i="1"/>
  <c r="AA77" i="1"/>
  <c r="AG76" i="1"/>
  <c r="U76" i="1" s="1"/>
  <c r="AG72" i="1"/>
  <c r="AI72" i="1" s="1"/>
  <c r="AA71" i="1"/>
  <c r="AA69" i="1"/>
  <c r="W69" i="1" s="1"/>
  <c r="X66" i="1"/>
  <c r="AA64" i="1"/>
  <c r="AG59" i="1"/>
  <c r="AA58" i="1"/>
  <c r="W58" i="1" s="1"/>
  <c r="T58" i="1"/>
  <c r="AA49" i="1"/>
  <c r="AG48" i="1"/>
  <c r="T45" i="1"/>
  <c r="AA41" i="1"/>
  <c r="W41" i="1" s="1"/>
  <c r="AA39" i="1"/>
  <c r="AA38" i="1"/>
  <c r="AG30" i="1"/>
  <c r="AI30" i="1" s="1"/>
  <c r="AA21" i="1"/>
  <c r="W21" i="1" s="1"/>
  <c r="T19" i="1"/>
  <c r="U19" i="1" s="1"/>
  <c r="S19" i="1" s="1"/>
  <c r="U220" i="1"/>
  <c r="S220" i="1" s="1"/>
  <c r="AI239" i="1"/>
  <c r="W203" i="1"/>
  <c r="AI229" i="1"/>
  <c r="AI202" i="1"/>
  <c r="W239" i="1"/>
  <c r="U199" i="1"/>
  <c r="S199" i="1" s="1"/>
  <c r="AI243" i="1"/>
  <c r="W200" i="1"/>
  <c r="U219" i="1"/>
  <c r="S219" i="1" s="1"/>
  <c r="T194" i="1"/>
  <c r="X194" i="1"/>
  <c r="T187" i="1"/>
  <c r="T178" i="1"/>
  <c r="X178" i="1"/>
  <c r="T171" i="1"/>
  <c r="T162" i="1"/>
  <c r="X162" i="1"/>
  <c r="T240" i="1"/>
  <c r="T231" i="1"/>
  <c r="X231" i="1"/>
  <c r="AI94" i="1"/>
  <c r="W94" i="1"/>
  <c r="T17" i="1"/>
  <c r="X17" i="1"/>
  <c r="AG17" i="1"/>
  <c r="X18" i="1"/>
  <c r="S47" i="3"/>
  <c r="X223" i="1"/>
  <c r="AG222" i="1"/>
  <c r="W222" i="1" s="1"/>
  <c r="X198" i="1"/>
  <c r="AG194" i="1"/>
  <c r="T191" i="1"/>
  <c r="T182" i="1"/>
  <c r="X182" i="1"/>
  <c r="AG178" i="1"/>
  <c r="W178" i="1" s="1"/>
  <c r="AI242" i="1"/>
  <c r="X222" i="1"/>
  <c r="AG221" i="1"/>
  <c r="AI221" i="1" s="1"/>
  <c r="X205" i="1"/>
  <c r="T205" i="1"/>
  <c r="U205" i="1" s="1"/>
  <c r="S205" i="1" s="1"/>
  <c r="AG204" i="1"/>
  <c r="AI204" i="1" s="1"/>
  <c r="AI234" i="1"/>
  <c r="X197" i="1"/>
  <c r="T197" i="1"/>
  <c r="U197" i="1" s="1"/>
  <c r="S197" i="1" s="1"/>
  <c r="AG196" i="1"/>
  <c r="AG191" i="1"/>
  <c r="W191" i="1" s="1"/>
  <c r="T186" i="1"/>
  <c r="X186" i="1"/>
  <c r="U183" i="1"/>
  <c r="S183" i="1" s="1"/>
  <c r="AG182" i="1"/>
  <c r="T179" i="1"/>
  <c r="AG175" i="1"/>
  <c r="X175" i="1"/>
  <c r="AI206" i="1"/>
  <c r="T173" i="1"/>
  <c r="U173" i="1" s="1"/>
  <c r="S173" i="1" s="1"/>
  <c r="S50" i="3"/>
  <c r="X221" i="1"/>
  <c r="X204" i="1"/>
  <c r="X200" i="1"/>
  <c r="T200" i="1"/>
  <c r="U200" i="1" s="1"/>
  <c r="S200" i="1" s="1"/>
  <c r="X196" i="1"/>
  <c r="AG195" i="1"/>
  <c r="X195" i="1"/>
  <c r="T193" i="1"/>
  <c r="U193" i="1" s="1"/>
  <c r="S193" i="1" s="1"/>
  <c r="T190" i="1"/>
  <c r="U190" i="1" s="1"/>
  <c r="S190" i="1" s="1"/>
  <c r="X190" i="1"/>
  <c r="X189" i="1"/>
  <c r="X188" i="1"/>
  <c r="AA187" i="1"/>
  <c r="AG186" i="1"/>
  <c r="AI186" i="1" s="1"/>
  <c r="AG179" i="1"/>
  <c r="W179" i="1" s="1"/>
  <c r="T177" i="1"/>
  <c r="U177" i="1" s="1"/>
  <c r="S177" i="1" s="1"/>
  <c r="T174" i="1"/>
  <c r="U174" i="1" s="1"/>
  <c r="S174" i="1" s="1"/>
  <c r="X174" i="1"/>
  <c r="X173" i="1"/>
  <c r="X172" i="1"/>
  <c r="AA171" i="1"/>
  <c r="AI200" i="1"/>
  <c r="AG163" i="1"/>
  <c r="AI163" i="1" s="1"/>
  <c r="X163" i="1"/>
  <c r="T161" i="1"/>
  <c r="U161" i="1" s="1"/>
  <c r="S161" i="1" s="1"/>
  <c r="T243" i="1"/>
  <c r="U243" i="1" s="1"/>
  <c r="S243" i="1" s="1"/>
  <c r="X243" i="1"/>
  <c r="X242" i="1"/>
  <c r="X241" i="1"/>
  <c r="AA240" i="1"/>
  <c r="U234" i="1"/>
  <c r="S234" i="1" s="1"/>
  <c r="AG232" i="1"/>
  <c r="AI232" i="1" s="1"/>
  <c r="X232" i="1"/>
  <c r="AI169" i="1"/>
  <c r="AI153" i="1"/>
  <c r="AG152" i="1"/>
  <c r="X152" i="1"/>
  <c r="T152" i="1"/>
  <c r="W141" i="1"/>
  <c r="X138" i="1"/>
  <c r="AG138" i="1"/>
  <c r="X139" i="1"/>
  <c r="U134" i="1"/>
  <c r="S134" i="1" s="1"/>
  <c r="AI121" i="1"/>
  <c r="AG120" i="1"/>
  <c r="W120" i="1" s="1"/>
  <c r="X120" i="1"/>
  <c r="T120" i="1"/>
  <c r="AG117" i="1"/>
  <c r="T117" i="1"/>
  <c r="X117" i="1"/>
  <c r="AG93" i="1"/>
  <c r="W93" i="1" s="1"/>
  <c r="X93" i="1"/>
  <c r="T93" i="1"/>
  <c r="AI88" i="1"/>
  <c r="U88" i="1"/>
  <c r="S88" i="1" s="1"/>
  <c r="AI172" i="1"/>
  <c r="U213" i="1"/>
  <c r="S213" i="1" s="1"/>
  <c r="T129" i="1"/>
  <c r="X129" i="1"/>
  <c r="AG129" i="1"/>
  <c r="U126" i="1"/>
  <c r="S126" i="1" s="1"/>
  <c r="AG187" i="1"/>
  <c r="T169" i="1"/>
  <c r="U169" i="1" s="1"/>
  <c r="S169" i="1" s="1"/>
  <c r="T166" i="1"/>
  <c r="X166" i="1"/>
  <c r="AG162" i="1"/>
  <c r="T159" i="1"/>
  <c r="AG240" i="1"/>
  <c r="T238" i="1"/>
  <c r="U238" i="1" s="1"/>
  <c r="S238" i="1" s="1"/>
  <c r="T235" i="1"/>
  <c r="X235" i="1"/>
  <c r="AG231" i="1"/>
  <c r="W231" i="1" s="1"/>
  <c r="U225" i="1"/>
  <c r="S225" i="1" s="1"/>
  <c r="T218" i="1"/>
  <c r="X218" i="1"/>
  <c r="AG218" i="1"/>
  <c r="X225" i="1"/>
  <c r="X154" i="1"/>
  <c r="AG154" i="1"/>
  <c r="X155" i="1"/>
  <c r="AI137" i="1"/>
  <c r="AG136" i="1"/>
  <c r="X136" i="1"/>
  <c r="T136" i="1"/>
  <c r="X122" i="1"/>
  <c r="AG122" i="1"/>
  <c r="X123" i="1"/>
  <c r="T114" i="1"/>
  <c r="X114" i="1"/>
  <c r="AG114" i="1"/>
  <c r="X115" i="1"/>
  <c r="AI110" i="1"/>
  <c r="T68" i="1"/>
  <c r="X68" i="1"/>
  <c r="AG68" i="1"/>
  <c r="X69" i="1"/>
  <c r="AG49" i="1"/>
  <c r="X49" i="1"/>
  <c r="T49" i="1"/>
  <c r="AI38" i="1"/>
  <c r="AI199" i="1"/>
  <c r="T228" i="1"/>
  <c r="X228" i="1"/>
  <c r="AG228" i="1"/>
  <c r="T208" i="1"/>
  <c r="X208" i="1"/>
  <c r="AG208" i="1"/>
  <c r="U158" i="1"/>
  <c r="S158" i="1" s="1"/>
  <c r="AI147" i="1"/>
  <c r="AI141" i="1"/>
  <c r="U112" i="1"/>
  <c r="S112" i="1" s="1"/>
  <c r="X219" i="1"/>
  <c r="X202" i="1"/>
  <c r="AG201" i="1"/>
  <c r="AI201" i="1" s="1"/>
  <c r="T185" i="1"/>
  <c r="U185" i="1" s="1"/>
  <c r="S185" i="1" s="1"/>
  <c r="AG171" i="1"/>
  <c r="X201" i="1"/>
  <c r="T189" i="1"/>
  <c r="U189" i="1" s="1"/>
  <c r="S189" i="1" s="1"/>
  <c r="X185" i="1"/>
  <c r="T170" i="1"/>
  <c r="U170" i="1" s="1"/>
  <c r="S170" i="1" s="1"/>
  <c r="X170" i="1"/>
  <c r="X169" i="1"/>
  <c r="AG166" i="1"/>
  <c r="AI166" i="1" s="1"/>
  <c r="AI196" i="1"/>
  <c r="AG159" i="1"/>
  <c r="T242" i="1"/>
  <c r="U242" i="1" s="1"/>
  <c r="S242" i="1" s="1"/>
  <c r="T239" i="1"/>
  <c r="U239" i="1" s="1"/>
  <c r="S239" i="1" s="1"/>
  <c r="X239" i="1"/>
  <c r="X238" i="1"/>
  <c r="AG235" i="1"/>
  <c r="W235" i="1" s="1"/>
  <c r="X229" i="1"/>
  <c r="AI173" i="1"/>
  <c r="S210" i="1"/>
  <c r="U206" i="1"/>
  <c r="S206" i="1" s="1"/>
  <c r="AI157" i="1"/>
  <c r="U147" i="1"/>
  <c r="S147" i="1" s="1"/>
  <c r="T145" i="1"/>
  <c r="X145" i="1"/>
  <c r="AG145" i="1"/>
  <c r="AI131" i="1"/>
  <c r="U127" i="1"/>
  <c r="S127" i="1" s="1"/>
  <c r="AI125" i="1"/>
  <c r="W117" i="1"/>
  <c r="U111" i="1"/>
  <c r="S111" i="1" s="1"/>
  <c r="X227" i="1"/>
  <c r="T227" i="1"/>
  <c r="U227" i="1" s="1"/>
  <c r="S227" i="1" s="1"/>
  <c r="X217" i="1"/>
  <c r="T217" i="1"/>
  <c r="U217" i="1" s="1"/>
  <c r="S217" i="1" s="1"/>
  <c r="S214" i="1"/>
  <c r="U211" i="1"/>
  <c r="S211" i="1" s="1"/>
  <c r="AG209" i="1"/>
  <c r="AI209" i="1" s="1"/>
  <c r="X209" i="1"/>
  <c r="T207" i="1"/>
  <c r="U207" i="1" s="1"/>
  <c r="S207" i="1" s="1"/>
  <c r="T157" i="1"/>
  <c r="U157" i="1" s="1"/>
  <c r="S157" i="1" s="1"/>
  <c r="X157" i="1"/>
  <c r="X156" i="1"/>
  <c r="AA154" i="1"/>
  <c r="S151" i="1"/>
  <c r="AG146" i="1"/>
  <c r="X146" i="1"/>
  <c r="T144" i="1"/>
  <c r="U144" i="1" s="1"/>
  <c r="S144" i="1" s="1"/>
  <c r="T141" i="1"/>
  <c r="U141" i="1" s="1"/>
  <c r="S141" i="1" s="1"/>
  <c r="X141" i="1"/>
  <c r="X140" i="1"/>
  <c r="AA138" i="1"/>
  <c r="AI135" i="1"/>
  <c r="AG130" i="1"/>
  <c r="X130" i="1"/>
  <c r="T128" i="1"/>
  <c r="U128" i="1" s="1"/>
  <c r="S128" i="1" s="1"/>
  <c r="T125" i="1"/>
  <c r="U125" i="1" s="1"/>
  <c r="S125" i="1" s="1"/>
  <c r="X125" i="1"/>
  <c r="X124" i="1"/>
  <c r="AA122" i="1"/>
  <c r="AA114" i="1"/>
  <c r="AG113" i="1"/>
  <c r="T113" i="1"/>
  <c r="X113" i="1"/>
  <c r="T110" i="1"/>
  <c r="U110" i="1" s="1"/>
  <c r="S110" i="1" s="1"/>
  <c r="X110" i="1"/>
  <c r="T107" i="1"/>
  <c r="X107" i="1"/>
  <c r="AG107" i="1"/>
  <c r="W107" i="1" s="1"/>
  <c r="AI98" i="1"/>
  <c r="W88" i="1"/>
  <c r="AI78" i="1"/>
  <c r="AG77" i="1"/>
  <c r="X77" i="1"/>
  <c r="T77" i="1"/>
  <c r="T64" i="1"/>
  <c r="X64" i="1"/>
  <c r="AG64" i="1"/>
  <c r="X65" i="1"/>
  <c r="T33" i="1"/>
  <c r="X33" i="1"/>
  <c r="AG33" i="1"/>
  <c r="X34" i="1"/>
  <c r="AI29" i="1"/>
  <c r="T212" i="1"/>
  <c r="X212" i="1"/>
  <c r="T149" i="1"/>
  <c r="U149" i="1" s="1"/>
  <c r="S149" i="1" s="1"/>
  <c r="X149" i="1"/>
  <c r="T133" i="1"/>
  <c r="U133" i="1" s="1"/>
  <c r="S133" i="1" s="1"/>
  <c r="X133" i="1"/>
  <c r="T118" i="1"/>
  <c r="U118" i="1" s="1"/>
  <c r="S118" i="1" s="1"/>
  <c r="X118" i="1"/>
  <c r="U116" i="1"/>
  <c r="S116" i="1" s="1"/>
  <c r="X108" i="1"/>
  <c r="T103" i="1"/>
  <c r="U103" i="1" s="1"/>
  <c r="S103" i="1" s="1"/>
  <c r="X103" i="1"/>
  <c r="W82" i="1"/>
  <c r="X79" i="1"/>
  <c r="AG79" i="1"/>
  <c r="X80" i="1"/>
  <c r="W78" i="1"/>
  <c r="AI75" i="1"/>
  <c r="T56" i="1"/>
  <c r="X56" i="1"/>
  <c r="AG56" i="1"/>
  <c r="W56" i="1" s="1"/>
  <c r="X57" i="1"/>
  <c r="AI50" i="1"/>
  <c r="W50" i="1"/>
  <c r="U44" i="1"/>
  <c r="S44" i="1" s="1"/>
  <c r="AG212" i="1"/>
  <c r="AI158" i="1"/>
  <c r="T156" i="1"/>
  <c r="U156" i="1" s="1"/>
  <c r="S156" i="1" s="1"/>
  <c r="T153" i="1"/>
  <c r="U153" i="1" s="1"/>
  <c r="S153" i="1" s="1"/>
  <c r="X153" i="1"/>
  <c r="T140" i="1"/>
  <c r="U140" i="1" s="1"/>
  <c r="S140" i="1" s="1"/>
  <c r="T137" i="1"/>
  <c r="U137" i="1" s="1"/>
  <c r="S137" i="1" s="1"/>
  <c r="X137" i="1"/>
  <c r="AI126" i="1"/>
  <c r="T124" i="1"/>
  <c r="U124" i="1" s="1"/>
  <c r="S124" i="1" s="1"/>
  <c r="T121" i="1"/>
  <c r="U121" i="1" s="1"/>
  <c r="S121" i="1" s="1"/>
  <c r="X121" i="1"/>
  <c r="AI118" i="1"/>
  <c r="W110" i="1"/>
  <c r="AG109" i="1"/>
  <c r="T109" i="1"/>
  <c r="X109" i="1"/>
  <c r="AI103" i="1"/>
  <c r="X95" i="1"/>
  <c r="AG95" i="1"/>
  <c r="X96" i="1"/>
  <c r="AI91" i="1"/>
  <c r="U91" i="1"/>
  <c r="S91" i="1" s="1"/>
  <c r="T86" i="1"/>
  <c r="X86" i="1"/>
  <c r="AG86" i="1"/>
  <c r="AI82" i="1"/>
  <c r="T60" i="1"/>
  <c r="X60" i="1"/>
  <c r="AG60" i="1"/>
  <c r="W60" i="1" s="1"/>
  <c r="X61" i="1"/>
  <c r="AG108" i="1"/>
  <c r="W108" i="1" s="1"/>
  <c r="U106" i="1"/>
  <c r="S106" i="1" s="1"/>
  <c r="AG104" i="1"/>
  <c r="W104" i="1" s="1"/>
  <c r="X104" i="1"/>
  <c r="T102" i="1"/>
  <c r="U102" i="1" s="1"/>
  <c r="S102" i="1" s="1"/>
  <c r="T98" i="1"/>
  <c r="U98" i="1" s="1"/>
  <c r="S98" i="1" s="1"/>
  <c r="X98" i="1"/>
  <c r="X97" i="1"/>
  <c r="AA95" i="1"/>
  <c r="AG87" i="1"/>
  <c r="X87" i="1"/>
  <c r="T85" i="1"/>
  <c r="T82" i="1"/>
  <c r="U82" i="1" s="1"/>
  <c r="S82" i="1" s="1"/>
  <c r="X82" i="1"/>
  <c r="X81" i="1"/>
  <c r="AA79" i="1"/>
  <c r="AI76" i="1"/>
  <c r="S76" i="1"/>
  <c r="U73" i="1"/>
  <c r="S73" i="1" s="1"/>
  <c r="AG71" i="1"/>
  <c r="W71" i="1" s="1"/>
  <c r="T70" i="1"/>
  <c r="U70" i="1" s="1"/>
  <c r="S70" i="1" s="1"/>
  <c r="W68" i="1"/>
  <c r="AI65" i="1"/>
  <c r="AI57" i="1"/>
  <c r="T42" i="1"/>
  <c r="X42" i="1"/>
  <c r="AG42" i="1"/>
  <c r="W42" i="1" s="1"/>
  <c r="W38" i="1"/>
  <c r="T99" i="1"/>
  <c r="T90" i="1"/>
  <c r="X90" i="1"/>
  <c r="T83" i="1"/>
  <c r="T74" i="1"/>
  <c r="X74" i="1"/>
  <c r="AI44" i="1"/>
  <c r="AI25" i="1"/>
  <c r="AG99" i="1"/>
  <c r="T97" i="1"/>
  <c r="U97" i="1" s="1"/>
  <c r="S97" i="1" s="1"/>
  <c r="T94" i="1"/>
  <c r="U94" i="1" s="1"/>
  <c r="S94" i="1" s="1"/>
  <c r="X94" i="1"/>
  <c r="AG90" i="1"/>
  <c r="W90" i="1" s="1"/>
  <c r="U85" i="1"/>
  <c r="S85" i="1" s="1"/>
  <c r="AG83" i="1"/>
  <c r="T81" i="1"/>
  <c r="U81" i="1" s="1"/>
  <c r="S81" i="1" s="1"/>
  <c r="T78" i="1"/>
  <c r="U78" i="1" s="1"/>
  <c r="S78" i="1" s="1"/>
  <c r="X78" i="1"/>
  <c r="AG74" i="1"/>
  <c r="AI66" i="1"/>
  <c r="U66" i="1"/>
  <c r="S66" i="1" s="1"/>
  <c r="AI62" i="1"/>
  <c r="AI58" i="1"/>
  <c r="U58" i="1"/>
  <c r="S58" i="1" s="1"/>
  <c r="X51" i="1"/>
  <c r="AG51" i="1"/>
  <c r="X52" i="1"/>
  <c r="U39" i="1"/>
  <c r="S39" i="1" s="1"/>
  <c r="AG20" i="1"/>
  <c r="W20" i="1" s="1"/>
  <c r="T20" i="1"/>
  <c r="X20" i="1"/>
  <c r="W15" i="1"/>
  <c r="X67" i="1"/>
  <c r="X63" i="1"/>
  <c r="X59" i="1"/>
  <c r="X55" i="1"/>
  <c r="AG54" i="1"/>
  <c r="X53" i="1"/>
  <c r="AA51" i="1"/>
  <c r="U45" i="1"/>
  <c r="S45" i="1" s="1"/>
  <c r="AG43" i="1"/>
  <c r="X43" i="1"/>
  <c r="T41" i="1"/>
  <c r="U41" i="1" s="1"/>
  <c r="S41" i="1" s="1"/>
  <c r="T38" i="1"/>
  <c r="U38" i="1" s="1"/>
  <c r="S38" i="1" s="1"/>
  <c r="X38" i="1"/>
  <c r="AA33" i="1"/>
  <c r="AG32" i="1"/>
  <c r="W32" i="1" s="1"/>
  <c r="T32" i="1"/>
  <c r="X32" i="1"/>
  <c r="T29" i="1"/>
  <c r="U29" i="1" s="1"/>
  <c r="S29" i="1" s="1"/>
  <c r="X29" i="1"/>
  <c r="U27" i="1"/>
  <c r="S27" i="1" s="1"/>
  <c r="X26" i="1"/>
  <c r="AA17" i="1"/>
  <c r="AG16" i="1"/>
  <c r="T16" i="1"/>
  <c r="X16" i="1"/>
  <c r="T46" i="1"/>
  <c r="U46" i="1" s="1"/>
  <c r="S46" i="1" s="1"/>
  <c r="X46" i="1"/>
  <c r="W43" i="1"/>
  <c r="W25" i="1"/>
  <c r="AG24" i="1"/>
  <c r="W24" i="1" s="1"/>
  <c r="T24" i="1"/>
  <c r="X24" i="1"/>
  <c r="T21" i="1"/>
  <c r="U21" i="1" s="1"/>
  <c r="X21" i="1"/>
  <c r="AI18" i="1"/>
  <c r="T53" i="1"/>
  <c r="T50" i="1"/>
  <c r="U50" i="1" s="1"/>
  <c r="S50" i="1" s="1"/>
  <c r="X50" i="1"/>
  <c r="AI39" i="1"/>
  <c r="AG28" i="1"/>
  <c r="T28" i="1"/>
  <c r="X28" i="1"/>
  <c r="T25" i="1"/>
  <c r="U25" i="1" s="1"/>
  <c r="S25" i="1" s="1"/>
  <c r="X25" i="1"/>
  <c r="AI22" i="1"/>
  <c r="AI21" i="1"/>
  <c r="AA14" i="1"/>
  <c r="AC17" i="3"/>
  <c r="Y25" i="3"/>
  <c r="Y48" i="3"/>
  <c r="Y32" i="3"/>
  <c r="Y58" i="3"/>
  <c r="Y31" i="3"/>
  <c r="Y41" i="3"/>
  <c r="Y45" i="3"/>
  <c r="Y38" i="3"/>
  <c r="Y36" i="3"/>
  <c r="Y9" i="3"/>
  <c r="Y11" i="3"/>
  <c r="Y28" i="3"/>
  <c r="Y26" i="3"/>
  <c r="Y19" i="3"/>
  <c r="Y43" i="3"/>
  <c r="Y57" i="3"/>
  <c r="T25" i="3"/>
  <c r="T8" i="3"/>
  <c r="T31" i="3"/>
  <c r="T12" i="3"/>
  <c r="T36" i="3"/>
  <c r="T53" i="3"/>
  <c r="T14" i="3"/>
  <c r="T49" i="3"/>
  <c r="T42" i="3"/>
  <c r="T54" i="3"/>
  <c r="T37" i="3"/>
  <c r="T24" i="3"/>
  <c r="T21" i="3"/>
  <c r="Y47" i="3"/>
  <c r="Y13" i="3"/>
  <c r="Y16" i="3"/>
  <c r="Y46" i="3"/>
  <c r="Y22" i="3"/>
  <c r="Y35" i="3"/>
  <c r="Y17" i="3"/>
  <c r="Y40" i="3"/>
  <c r="Y51" i="3"/>
  <c r="Y23" i="3"/>
  <c r="AC20" i="3"/>
  <c r="AC50" i="3"/>
  <c r="AC39" i="3"/>
  <c r="AC58" i="3"/>
  <c r="AC56" i="3"/>
  <c r="AC55" i="3"/>
  <c r="AC7" i="3"/>
  <c r="AC38" i="3"/>
  <c r="AC10" i="3"/>
  <c r="AC29" i="3"/>
  <c r="AC34" i="3"/>
  <c r="AC28" i="3"/>
  <c r="AC27" i="3"/>
  <c r="W17" i="1" l="1"/>
  <c r="AI92" i="1"/>
  <c r="AI180" i="1"/>
  <c r="U216" i="1"/>
  <c r="S216" i="1" s="1"/>
  <c r="U223" i="1"/>
  <c r="S223" i="1" s="1"/>
  <c r="U48" i="1"/>
  <c r="S48" i="1" s="1"/>
  <c r="W72" i="1"/>
  <c r="U14" i="1"/>
  <c r="S14" i="1" s="1"/>
  <c r="W67" i="1"/>
  <c r="U26" i="1"/>
  <c r="S26" i="1" s="1"/>
  <c r="AI143" i="1"/>
  <c r="AI67" i="1"/>
  <c r="U132" i="1"/>
  <c r="S132" i="1" s="1"/>
  <c r="W123" i="1"/>
  <c r="U30" i="1"/>
  <c r="S30" i="1" s="1"/>
  <c r="W39" i="1"/>
  <c r="W49" i="1"/>
  <c r="W30" i="1"/>
  <c r="W241" i="1"/>
  <c r="AI26" i="1"/>
  <c r="W195" i="1"/>
  <c r="W92" i="1"/>
  <c r="W115" i="1"/>
  <c r="W233" i="1"/>
  <c r="U53" i="1"/>
  <c r="S53" i="1" s="1"/>
  <c r="S57" i="1"/>
  <c r="W212" i="1"/>
  <c r="U72" i="1"/>
  <c r="S72" i="1" s="1"/>
  <c r="W130" i="1"/>
  <c r="AI111" i="1"/>
  <c r="U167" i="1"/>
  <c r="S167" i="1" s="1"/>
  <c r="AI183" i="1"/>
  <c r="W151" i="1"/>
  <c r="W167" i="1"/>
  <c r="U115" i="1"/>
  <c r="S115" i="1" s="1"/>
  <c r="AI150" i="1"/>
  <c r="AI63" i="1"/>
  <c r="W131" i="1"/>
  <c r="U135" i="1"/>
  <c r="S135" i="1" s="1"/>
  <c r="W112" i="1"/>
  <c r="W143" i="1"/>
  <c r="W55" i="1"/>
  <c r="S21" i="1"/>
  <c r="W16" i="1"/>
  <c r="W150" i="1"/>
  <c r="AI115" i="1"/>
  <c r="W64" i="1"/>
  <c r="W146" i="1"/>
  <c r="W75" i="1"/>
  <c r="W22" i="1"/>
  <c r="W145" i="1"/>
  <c r="W152" i="1"/>
  <c r="W14" i="1"/>
  <c r="AI168" i="1"/>
  <c r="W105" i="1"/>
  <c r="W142" i="1"/>
  <c r="W209" i="1"/>
  <c r="W216" i="1"/>
  <c r="W168" i="1"/>
  <c r="W33" i="1"/>
  <c r="U47" i="1"/>
  <c r="S47" i="1" s="1"/>
  <c r="W129" i="1"/>
  <c r="W225" i="1"/>
  <c r="W214" i="1"/>
  <c r="W47" i="1"/>
  <c r="U75" i="1"/>
  <c r="S75" i="1" s="1"/>
  <c r="AI34" i="1"/>
  <c r="W134" i="1"/>
  <c r="AI142" i="1"/>
  <c r="U100" i="1"/>
  <c r="S100" i="1" s="1"/>
  <c r="AI184" i="1"/>
  <c r="U40" i="1"/>
  <c r="S40" i="1" s="1"/>
  <c r="AI48" i="1"/>
  <c r="U31" i="1"/>
  <c r="S31" i="1" s="1"/>
  <c r="W95" i="1"/>
  <c r="AI176" i="1"/>
  <c r="AI215" i="1"/>
  <c r="AI237" i="1"/>
  <c r="W31" i="1"/>
  <c r="W176" i="1"/>
  <c r="AI69" i="1"/>
  <c r="U69" i="1"/>
  <c r="S69" i="1" s="1"/>
  <c r="W100" i="1"/>
  <c r="W83" i="1"/>
  <c r="W79" i="1"/>
  <c r="AI105" i="1"/>
  <c r="W77" i="1"/>
  <c r="W122" i="1"/>
  <c r="W154" i="1"/>
  <c r="AI222" i="1"/>
  <c r="W61" i="1"/>
  <c r="W40" i="1"/>
  <c r="W198" i="1"/>
  <c r="W208" i="1"/>
  <c r="AI208" i="1"/>
  <c r="AI212" i="1"/>
  <c r="AI231" i="1"/>
  <c r="U59" i="1"/>
  <c r="S59" i="1" s="1"/>
  <c r="AI59" i="1"/>
  <c r="U34" i="1"/>
  <c r="S34" i="1" s="1"/>
  <c r="W53" i="1"/>
  <c r="U52" i="1"/>
  <c r="S52" i="1" s="1"/>
  <c r="AI52" i="1"/>
  <c r="W180" i="1"/>
  <c r="AI119" i="1"/>
  <c r="U119" i="1"/>
  <c r="S119" i="1" s="1"/>
  <c r="W114" i="1"/>
  <c r="W48" i="1"/>
  <c r="W76" i="1"/>
  <c r="U55" i="1"/>
  <c r="S55" i="1" s="1"/>
  <c r="AI55" i="1"/>
  <c r="W85" i="1"/>
  <c r="W237" i="1"/>
  <c r="W219" i="1"/>
  <c r="W159" i="1"/>
  <c r="AI159" i="1"/>
  <c r="W171" i="1"/>
  <c r="U192" i="1"/>
  <c r="S192" i="1" s="1"/>
  <c r="AI192" i="1"/>
  <c r="W240" i="1"/>
  <c r="AI235" i="1"/>
  <c r="U61" i="1"/>
  <c r="S61" i="1" s="1"/>
  <c r="W59" i="1"/>
  <c r="U230" i="1"/>
  <c r="S230" i="1" s="1"/>
  <c r="W230" i="1"/>
  <c r="W164" i="1"/>
  <c r="W184" i="1"/>
  <c r="U131" i="1"/>
  <c r="S131" i="1" s="1"/>
  <c r="W119" i="1"/>
  <c r="W215" i="1"/>
  <c r="AI87" i="1"/>
  <c r="U87" i="1"/>
  <c r="S87" i="1" s="1"/>
  <c r="AI114" i="1"/>
  <c r="U114" i="1"/>
  <c r="S114" i="1" s="1"/>
  <c r="AI54" i="1"/>
  <c r="U54" i="1"/>
  <c r="S54" i="1" s="1"/>
  <c r="U20" i="1"/>
  <c r="S20" i="1" s="1"/>
  <c r="AI20" i="1"/>
  <c r="AI95" i="1"/>
  <c r="U95" i="1"/>
  <c r="S95" i="1" s="1"/>
  <c r="U28" i="1"/>
  <c r="S28" i="1" s="1"/>
  <c r="AI28" i="1"/>
  <c r="W28" i="1"/>
  <c r="U16" i="1"/>
  <c r="S16" i="1" s="1"/>
  <c r="AI16" i="1"/>
  <c r="AI51" i="1"/>
  <c r="U51" i="1"/>
  <c r="S51" i="1" s="1"/>
  <c r="U74" i="1"/>
  <c r="S74" i="1" s="1"/>
  <c r="AI74" i="1"/>
  <c r="AI99" i="1"/>
  <c r="U99" i="1"/>
  <c r="S99" i="1" s="1"/>
  <c r="AI71" i="1"/>
  <c r="U71" i="1"/>
  <c r="S71" i="1" s="1"/>
  <c r="AI104" i="1"/>
  <c r="U104" i="1"/>
  <c r="S104" i="1" s="1"/>
  <c r="U60" i="1"/>
  <c r="S60" i="1" s="1"/>
  <c r="AI60" i="1"/>
  <c r="W74" i="1"/>
  <c r="AI86" i="1"/>
  <c r="U86" i="1"/>
  <c r="S86" i="1" s="1"/>
  <c r="AI43" i="1"/>
  <c r="U43" i="1"/>
  <c r="S43" i="1" s="1"/>
  <c r="W51" i="1"/>
  <c r="AI83" i="1"/>
  <c r="U83" i="1"/>
  <c r="S83" i="1" s="1"/>
  <c r="W54" i="1"/>
  <c r="W99" i="1"/>
  <c r="AI33" i="1"/>
  <c r="U33" i="1"/>
  <c r="S33" i="1" s="1"/>
  <c r="U64" i="1"/>
  <c r="S64" i="1" s="1"/>
  <c r="AI64" i="1"/>
  <c r="U107" i="1"/>
  <c r="S107" i="1" s="1"/>
  <c r="AI107" i="1"/>
  <c r="U113" i="1"/>
  <c r="S113" i="1" s="1"/>
  <c r="AI113" i="1"/>
  <c r="AI130" i="1"/>
  <c r="U130" i="1"/>
  <c r="S130" i="1" s="1"/>
  <c r="W138" i="1"/>
  <c r="AI162" i="1"/>
  <c r="U209" i="1"/>
  <c r="S209" i="1" s="1"/>
  <c r="AI203" i="1"/>
  <c r="U171" i="1"/>
  <c r="S171" i="1" s="1"/>
  <c r="U228" i="1"/>
  <c r="S228" i="1" s="1"/>
  <c r="AI175" i="1"/>
  <c r="U49" i="1"/>
  <c r="S49" i="1" s="1"/>
  <c r="AI49" i="1"/>
  <c r="AI154" i="1"/>
  <c r="U154" i="1"/>
  <c r="S154" i="1" s="1"/>
  <c r="AI219" i="1"/>
  <c r="U187" i="1"/>
  <c r="S187" i="1" s="1"/>
  <c r="U93" i="1"/>
  <c r="S93" i="1" s="1"/>
  <c r="AI93" i="1"/>
  <c r="U120" i="1"/>
  <c r="S120" i="1" s="1"/>
  <c r="AI120" i="1"/>
  <c r="U152" i="1"/>
  <c r="S152" i="1" s="1"/>
  <c r="AI152" i="1"/>
  <c r="W187" i="1"/>
  <c r="U195" i="1"/>
  <c r="S195" i="1" s="1"/>
  <c r="AI227" i="1"/>
  <c r="AI223" i="1"/>
  <c r="U191" i="1"/>
  <c r="S191" i="1" s="1"/>
  <c r="U204" i="1"/>
  <c r="S204" i="1" s="1"/>
  <c r="AI236" i="1"/>
  <c r="U221" i="1"/>
  <c r="S221" i="1" s="1"/>
  <c r="AI240" i="1"/>
  <c r="AI241" i="1"/>
  <c r="U222" i="1"/>
  <c r="S222" i="1" s="1"/>
  <c r="AI17" i="1"/>
  <c r="U17" i="1"/>
  <c r="S17" i="1" s="1"/>
  <c r="W113" i="1"/>
  <c r="W204" i="1"/>
  <c r="AI198" i="1"/>
  <c r="U166" i="1"/>
  <c r="S166" i="1" s="1"/>
  <c r="U117" i="1"/>
  <c r="S117" i="1" s="1"/>
  <c r="AI117" i="1"/>
  <c r="AI226" i="1"/>
  <c r="U194" i="1"/>
  <c r="S194" i="1" s="1"/>
  <c r="W166" i="1"/>
  <c r="U90" i="1"/>
  <c r="S90" i="1" s="1"/>
  <c r="AI90" i="1"/>
  <c r="AI146" i="1"/>
  <c r="U146" i="1"/>
  <c r="S146" i="1" s="1"/>
  <c r="U235" i="1"/>
  <c r="S235" i="1" s="1"/>
  <c r="AI182" i="1"/>
  <c r="AI191" i="1"/>
  <c r="U159" i="1"/>
  <c r="S159" i="1" s="1"/>
  <c r="U201" i="1"/>
  <c r="S201" i="1" s="1"/>
  <c r="AI233" i="1"/>
  <c r="U68" i="1"/>
  <c r="S68" i="1" s="1"/>
  <c r="AI68" i="1"/>
  <c r="AI122" i="1"/>
  <c r="U122" i="1"/>
  <c r="S122" i="1" s="1"/>
  <c r="U136" i="1"/>
  <c r="S136" i="1" s="1"/>
  <c r="AI136" i="1"/>
  <c r="U218" i="1"/>
  <c r="S218" i="1" s="1"/>
  <c r="AI171" i="1"/>
  <c r="AI178" i="1"/>
  <c r="U231" i="1"/>
  <c r="S231" i="1" s="1"/>
  <c r="AI194" i="1"/>
  <c r="U162" i="1"/>
  <c r="S162" i="1" s="1"/>
  <c r="W136" i="1"/>
  <c r="W218" i="1"/>
  <c r="AI138" i="1"/>
  <c r="U138" i="1"/>
  <c r="S138" i="1" s="1"/>
  <c r="AI207" i="1"/>
  <c r="U175" i="1"/>
  <c r="S175" i="1" s="1"/>
  <c r="U182" i="1"/>
  <c r="S182" i="1" s="1"/>
  <c r="AI214" i="1"/>
  <c r="U196" i="1"/>
  <c r="S196" i="1" s="1"/>
  <c r="AI228" i="1"/>
  <c r="W175" i="1"/>
  <c r="W182" i="1"/>
  <c r="W196" i="1"/>
  <c r="W221" i="1"/>
  <c r="U108" i="1"/>
  <c r="S108" i="1" s="1"/>
  <c r="AI108" i="1"/>
  <c r="AI161" i="1"/>
  <c r="U208" i="1"/>
  <c r="S208" i="1" s="1"/>
  <c r="AI179" i="1"/>
  <c r="U232" i="1"/>
  <c r="S232" i="1" s="1"/>
  <c r="AI195" i="1"/>
  <c r="U163" i="1"/>
  <c r="S163" i="1" s="1"/>
  <c r="U32" i="1"/>
  <c r="S32" i="1" s="1"/>
  <c r="AI32" i="1"/>
  <c r="W87" i="1"/>
  <c r="AI42" i="1"/>
  <c r="U42" i="1"/>
  <c r="S42" i="1" s="1"/>
  <c r="U24" i="1"/>
  <c r="S24" i="1" s="1"/>
  <c r="AI24" i="1"/>
  <c r="U109" i="1"/>
  <c r="S109" i="1" s="1"/>
  <c r="AI109" i="1"/>
  <c r="U212" i="1"/>
  <c r="S212" i="1" s="1"/>
  <c r="AI165" i="1"/>
  <c r="U56" i="1"/>
  <c r="S56" i="1" s="1"/>
  <c r="AI56" i="1"/>
  <c r="AI79" i="1"/>
  <c r="U79" i="1"/>
  <c r="S79" i="1" s="1"/>
  <c r="W86" i="1"/>
  <c r="U77" i="1"/>
  <c r="S77" i="1" s="1"/>
  <c r="AI77" i="1"/>
  <c r="AI145" i="1"/>
  <c r="U145" i="1"/>
  <c r="S145" i="1" s="1"/>
  <c r="W232" i="1"/>
  <c r="AI187" i="1"/>
  <c r="U240" i="1"/>
  <c r="S240" i="1" s="1"/>
  <c r="W163" i="1"/>
  <c r="AI129" i="1"/>
  <c r="U129" i="1"/>
  <c r="S129" i="1" s="1"/>
  <c r="W228" i="1"/>
  <c r="AI211" i="1"/>
  <c r="U179" i="1"/>
  <c r="S179" i="1" s="1"/>
  <c r="AI218" i="1"/>
  <c r="U186" i="1"/>
  <c r="S186" i="1" s="1"/>
  <c r="W186" i="1"/>
  <c r="AI210" i="1"/>
  <c r="U178" i="1"/>
  <c r="S178" i="1" s="1"/>
  <c r="W109" i="1"/>
  <c r="W162" i="1"/>
  <c r="W194" i="1"/>
  <c r="W201" i="1"/>
  <c r="R59" i="3"/>
  <c r="M59" i="3"/>
  <c r="N59" i="3"/>
  <c r="S59" i="3"/>
  <c r="U59" i="3"/>
  <c r="AC59" i="3" s="1"/>
  <c r="V59" i="3"/>
  <c r="W59" i="3"/>
  <c r="X59" i="3"/>
  <c r="Y59" i="3" l="1"/>
  <c r="T59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<sst xmlns="http://schemas.openxmlformats.org/spreadsheetml/2006/main" count="2439" uniqueCount="807">
  <si>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</si>
  <si>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</si>
  <si>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</si>
  <si>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</si>
  <si>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</si>
  <si>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</si>
  <si>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</si>
  <si>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</si>
  <si>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</si>
  <si>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</si>
  <si>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</si>
  <si>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</si>
  <si>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</si>
  <si>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</si>
  <si>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</si>
  <si>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</si>
  <si>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</si>
  <si>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</si>
  <si>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</si>
  <si>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</si>
  <si>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</si>
  <si>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</si>
  <si>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</si>
  <si>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</si>
  <si>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</si>
  <si>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</si>
  <si>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</si>
  <si>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</si>
  <si>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</si>
  <si>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</si>
  <si>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</si>
  <si>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</si>
  <si>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</si>
  <si>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</si>
  <si>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</si>
  <si>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</si>
  <si>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</si>
  <si>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</si>
  <si>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</si>
  <si>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</si>
  <si>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</si>
  <si>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</si>
  <si>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</si>
  <si>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</si>
  <si>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</si>
  <si>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</si>
  <si>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</si>
  <si>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</si>
  <si>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</si>
  <si>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</si>
  <si>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</si>
  <si>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</si>
  <si>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</si>
  <si>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</si>
  <si>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</si>
  <si>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</si>
  <si>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</si>
  <si>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</si>
  <si>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</si>
  <si>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</si>
  <si>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</si>
  <si>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</si>
  <si>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</si>
  <si>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</si>
  <si>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</si>
  <si>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</si>
  <si>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</si>
  <si>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</si>
  <si>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</si>
  <si>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</si>
  <si>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</si>
  <si>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</si>
  <si>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</si>
  <si>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</si>
  <si>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</si>
  <si>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</si>
  <si>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</si>
  <si>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</si>
  <si>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</si>
  <si>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</si>
  <si>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</si>
  <si>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</si>
  <si>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</si>
  <si>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</si>
  <si>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</si>
  <si>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</si>
  <si>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</si>
  <si>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</si>
  <si>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</si>
  <si>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</si>
  <si>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</si>
  <si>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</si>
  <si>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</si>
  <si>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</si>
  <si>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</si>
  <si>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</si>
  <si>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</si>
  <si>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</si>
  <si>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</si>
  <si>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</si>
  <si>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</si>
  <si>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</si>
  <si>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</si>
  <si>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</si>
  <si>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</si>
  <si>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</si>
  <si>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</si>
  <si>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</si>
  <si>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</si>
  <si>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</si>
  <si>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</si>
  <si>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</si>
  <si>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</si>
  <si>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</si>
  <si>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</si>
  <si>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</si>
  <si>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</si>
  <si>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</si>
  <si>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</si>
  <si>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</si>
  <si>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</si>
  <si>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</si>
  <si>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</si>
  <si>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</si>
  <si>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</si>
  <si>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</si>
  <si>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</si>
  <si>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</si>
  <si>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</si>
  <si>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</si>
  <si>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</si>
  <si>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</si>
  <si>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</si>
  <si>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</si>
  <si>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</si>
  <si>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</si>
  <si>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</si>
  <si>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</si>
  <si>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</si>
  <si>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</si>
  <si>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</si>
  <si>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</si>
  <si>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</si>
  <si>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</si>
  <si>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</si>
  <si>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</si>
  <si>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</si>
  <si>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</si>
  <si>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</si>
  <si>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</si>
  <si>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</si>
  <si>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</si>
  <si>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</si>
  <si>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</si>
  <si>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</si>
  <si>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</si>
  <si>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</si>
  <si>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</si>
  <si>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</si>
  <si>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</si>
  <si>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</si>
  <si>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</si>
  <si>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</si>
  <si>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</si>
  <si>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</si>
  <si>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</si>
  <si>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</si>
  <si>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</si>
  <si>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</si>
  <si>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</si>
  <si>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</si>
  <si>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</si>
  <si>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</si>
  <si>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</si>
  <si>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</si>
  <si>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</si>
  <si>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</si>
  <si>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</si>
  <si>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</si>
  <si>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</si>
  <si>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</si>
  <si>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</si>
  <si>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</si>
  <si>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</si>
  <si>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</si>
  <si>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</si>
  <si>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</si>
  <si>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</si>
  <si>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</si>
  <si>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</si>
  <si>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</si>
  <si>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</si>
  <si>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</si>
  <si>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</si>
  <si>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</si>
  <si>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</si>
  <si>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</si>
  <si>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</si>
  <si>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</si>
  <si>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</si>
  <si>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</si>
  <si>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</si>
  <si>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</si>
  <si>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</si>
  <si>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</si>
  <si>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</si>
  <si>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</si>
  <si>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Powered by darksky [darksky.net]</t>
  </si>
  <si>
    <t>rtdc.l.rtdc.4039:itc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</si>
  <si>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</si>
  <si>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</si>
  <si>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</si>
  <si>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</si>
  <si>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</si>
  <si>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</si>
  <si>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</si>
  <si>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</si>
  <si>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</si>
  <si>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</si>
  <si>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</si>
  <si>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</si>
  <si>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</si>
  <si>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</si>
  <si>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</si>
  <si>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204:466</t>
  </si>
  <si>
    <t>204:233295</t>
  </si>
  <si>
    <t>204:446</t>
  </si>
  <si>
    <t>204:233299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</si>
  <si>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</si>
  <si>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</si>
  <si>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</si>
  <si>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</si>
  <si>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</si>
  <si>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</si>
  <si>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</si>
  <si>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</si>
  <si>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</si>
  <si>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</si>
  <si>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</si>
  <si>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</si>
  <si>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</si>
  <si>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</si>
  <si>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</si>
  <si>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</si>
  <si>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</si>
  <si>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</si>
  <si>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204:232994</t>
  </si>
  <si>
    <t>204:471</t>
  </si>
  <si>
    <t>AWS CP Commands</t>
  </si>
  <si>
    <t>204:156</t>
  </si>
  <si>
    <t>rtdc.l.rtdc.4029:itc</t>
  </si>
  <si>
    <t>rtdc.l.rtdc.4030:itc</t>
  </si>
  <si>
    <t>BERLING</t>
  </si>
  <si>
    <t>204:233304</t>
  </si>
  <si>
    <t>DELGADO</t>
  </si>
  <si>
    <t>204:449</t>
  </si>
  <si>
    <t>204:232986</t>
  </si>
  <si>
    <t>204:138</t>
  </si>
  <si>
    <t>rtdc.l.rtdc.4016:itc</t>
  </si>
  <si>
    <t>rtdc.l.rtdc.4015:itc</t>
  </si>
  <si>
    <t>244-18</t>
  </si>
  <si>
    <t>313-18</t>
  </si>
  <si>
    <t>315-18</t>
  </si>
  <si>
    <t>204:462</t>
  </si>
  <si>
    <t>Y</t>
  </si>
  <si>
    <t>YOUNG</t>
  </si>
  <si>
    <t>204:232993</t>
  </si>
  <si>
    <t>204:233310</t>
  </si>
  <si>
    <t>204:233302</t>
  </si>
  <si>
    <t>rtdc.l.rtdc.4037:itc</t>
  </si>
  <si>
    <t>204:467</t>
  </si>
  <si>
    <t>204:163</t>
  </si>
  <si>
    <t>300:58924</t>
  </si>
  <si>
    <t>204:233291</t>
  </si>
  <si>
    <t>204:232971</t>
  </si>
  <si>
    <t>204:232985</t>
  </si>
  <si>
    <t>204:233298</t>
  </si>
  <si>
    <t>204:442</t>
  </si>
  <si>
    <t>204:233307</t>
  </si>
  <si>
    <t>204:478</t>
  </si>
  <si>
    <t>rtdc.l.rtdc.4011:itc</t>
  </si>
  <si>
    <t>204:457</t>
  </si>
  <si>
    <t>204:232987</t>
  </si>
  <si>
    <t>204:167</t>
  </si>
  <si>
    <t>204:232992</t>
  </si>
  <si>
    <t>rtdc.l.rtdc.4021:itc</t>
  </si>
  <si>
    <t>STARKS</t>
  </si>
  <si>
    <t>204:232998</t>
  </si>
  <si>
    <t>204:233327</t>
  </si>
  <si>
    <t>204:232996</t>
  </si>
  <si>
    <t>rtdc.l.rtdc.4002:itc</t>
  </si>
  <si>
    <t>rtdc.l.rtdc.4001:itc</t>
  </si>
  <si>
    <t>BRANNON</t>
  </si>
  <si>
    <t>SPECTOR</t>
  </si>
  <si>
    <t>BONDS</t>
  </si>
  <si>
    <t>GRASTON</t>
  </si>
  <si>
    <t>204:233319</t>
  </si>
  <si>
    <t>204:161</t>
  </si>
  <si>
    <t>204:232980</t>
  </si>
  <si>
    <t>204:233317</t>
  </si>
  <si>
    <t>300:58941</t>
  </si>
  <si>
    <t>204:698</t>
  </si>
  <si>
    <t>rtdc.l.rtdc.4045:itc</t>
  </si>
  <si>
    <t>rtdc.l.rtdc.4046:itc</t>
  </si>
  <si>
    <t>rtdc.l.rtdc.4008:itc</t>
  </si>
  <si>
    <t>rtdc.l.rtdc.4031:itc</t>
  </si>
  <si>
    <t>NELSON</t>
  </si>
  <si>
    <t>JACKSON</t>
  </si>
  <si>
    <t>clear-day</t>
  </si>
  <si>
    <t>204:233308</t>
  </si>
  <si>
    <t>204:464</t>
  </si>
  <si>
    <t>204:233301</t>
  </si>
  <si>
    <t>204:232969</t>
  </si>
  <si>
    <t>204:232981</t>
  </si>
  <si>
    <t>204:232978</t>
  </si>
  <si>
    <t>204:233305</t>
  </si>
  <si>
    <t>204:232988</t>
  </si>
  <si>
    <t>204:165</t>
  </si>
  <si>
    <t>204:484</t>
  </si>
  <si>
    <t>204:232963</t>
  </si>
  <si>
    <t>204:233316</t>
  </si>
  <si>
    <t>204:233274</t>
  </si>
  <si>
    <t>204:233314</t>
  </si>
  <si>
    <t>204:440</t>
  </si>
  <si>
    <t>204:233334</t>
  </si>
  <si>
    <t>300:23304</t>
  </si>
  <si>
    <t>DE.1.0.8.0</t>
  </si>
  <si>
    <t>300:23314</t>
  </si>
  <si>
    <t>300:58952</t>
  </si>
  <si>
    <t>204:981</t>
  </si>
  <si>
    <t>300:58624</t>
  </si>
  <si>
    <t>300:58967</t>
  </si>
  <si>
    <t>rtdc.l.rtdc.4040:itc</t>
  </si>
  <si>
    <t>MAELZER</t>
  </si>
  <si>
    <t>STRICKLAND</t>
  </si>
  <si>
    <t>HILLS</t>
  </si>
  <si>
    <t>rtdc.l.rtdc.4038:itc</t>
  </si>
  <si>
    <t>MOSES</t>
  </si>
  <si>
    <t>311-26</t>
  </si>
  <si>
    <t>58-26</t>
  </si>
  <si>
    <t>244-26</t>
  </si>
  <si>
    <t>313-26</t>
  </si>
  <si>
    <t>315-26</t>
  </si>
  <si>
    <t>204:232979</t>
  </si>
  <si>
    <t>204:232983</t>
  </si>
  <si>
    <t>204:232964</t>
  </si>
  <si>
    <t>204:139</t>
  </si>
  <si>
    <t>204:233287</t>
  </si>
  <si>
    <t>204:480</t>
  </si>
  <si>
    <t>204:435</t>
  </si>
  <si>
    <t>204:233288</t>
  </si>
  <si>
    <t>204:458</t>
  </si>
  <si>
    <t>204:216</t>
  </si>
  <si>
    <t>204:232982</t>
  </si>
  <si>
    <t>204:233272</t>
  </si>
  <si>
    <t>204:232970</t>
  </si>
  <si>
    <t>204:233266</t>
  </si>
  <si>
    <t>204:233270</t>
  </si>
  <si>
    <t>300:23302</t>
  </si>
  <si>
    <t>204:10229</t>
  </si>
  <si>
    <t>204:128268</t>
  </si>
  <si>
    <t>204:128272</t>
  </si>
  <si>
    <t>204:128001</t>
  </si>
  <si>
    <t>204:9993</t>
  </si>
  <si>
    <t>300:58675</t>
  </si>
  <si>
    <t>204:761</t>
  </si>
  <si>
    <t>204:988</t>
  </si>
  <si>
    <t>300:58990</t>
  </si>
  <si>
    <t>300:58679</t>
  </si>
  <si>
    <t>204:971</t>
  </si>
  <si>
    <t>300:58999</t>
  </si>
  <si>
    <t>204:983</t>
  </si>
  <si>
    <t>300:58976</t>
  </si>
  <si>
    <t>300:58666</t>
  </si>
  <si>
    <t>300:58988</t>
  </si>
  <si>
    <t>204:985</t>
  </si>
  <si>
    <t>300:58670</t>
  </si>
  <si>
    <t>204:953</t>
  </si>
  <si>
    <t>300:58664</t>
  </si>
  <si>
    <t>204:668</t>
  </si>
  <si>
    <t>300:58643</t>
  </si>
  <si>
    <t>300:58621</t>
  </si>
  <si>
    <t>204:960</t>
  </si>
  <si>
    <t>rtdc.l.rtdc.4005:itc</t>
  </si>
  <si>
    <t>306-27</t>
  </si>
  <si>
    <t>800-27</t>
  </si>
  <si>
    <t>110-27</t>
  </si>
  <si>
    <t>117-27</t>
  </si>
  <si>
    <t>108-27</t>
  </si>
  <si>
    <t>801-27</t>
  </si>
  <si>
    <t>803-27</t>
  </si>
  <si>
    <t>123-27</t>
  </si>
  <si>
    <t>129-27</t>
  </si>
  <si>
    <t>124-27</t>
  </si>
  <si>
    <t>810-27</t>
  </si>
  <si>
    <t>811-27</t>
  </si>
  <si>
    <t>137-27</t>
  </si>
  <si>
    <t>rtdc.l.rtdc.4013:itc</t>
  </si>
  <si>
    <t>136-27</t>
  </si>
  <si>
    <t>140-27</t>
  </si>
  <si>
    <t>138-27</t>
  </si>
  <si>
    <t>rtdc.l.rtdc.4014:itc</t>
  </si>
  <si>
    <t>149-27</t>
  </si>
  <si>
    <t>151-27</t>
  </si>
  <si>
    <t>150-27</t>
  </si>
  <si>
    <t>154-27</t>
  </si>
  <si>
    <t>152-27</t>
  </si>
  <si>
    <t>159-27</t>
  </si>
  <si>
    <t>818-27</t>
  </si>
  <si>
    <t>822-27</t>
  </si>
  <si>
    <t>174-27</t>
  </si>
  <si>
    <t>185-27</t>
  </si>
  <si>
    <t>823-27</t>
  </si>
  <si>
    <t>825-27</t>
  </si>
  <si>
    <t>192-27</t>
  </si>
  <si>
    <t>194-27</t>
  </si>
  <si>
    <t>198-27</t>
  </si>
  <si>
    <t>833-27</t>
  </si>
  <si>
    <t>56-27</t>
  </si>
  <si>
    <t>837-27</t>
  </si>
  <si>
    <t>214-27</t>
  </si>
  <si>
    <t>841-27</t>
  </si>
  <si>
    <t>223-27</t>
  </si>
  <si>
    <t>843-27</t>
  </si>
  <si>
    <t>842-27</t>
  </si>
  <si>
    <t>224-27</t>
  </si>
  <si>
    <t>229-27</t>
  </si>
  <si>
    <t>232-27</t>
  </si>
  <si>
    <t>234-27</t>
  </si>
  <si>
    <t>242-27</t>
  </si>
  <si>
    <t>302-27</t>
  </si>
  <si>
    <t>101-27</t>
  </si>
  <si>
    <t>304-27</t>
  </si>
  <si>
    <t>103-27</t>
  </si>
  <si>
    <t>MALAVE</t>
  </si>
  <si>
    <t>308-27</t>
  </si>
  <si>
    <t>102-27</t>
  </si>
  <si>
    <t>105-27</t>
  </si>
  <si>
    <t>107-27</t>
  </si>
  <si>
    <t>310-27</t>
  </si>
  <si>
    <t>MACDONALD</t>
  </si>
  <si>
    <t>109-27</t>
  </si>
  <si>
    <t>104-27</t>
  </si>
  <si>
    <t>rtdc.l.rtdc.4022:itc</t>
  </si>
  <si>
    <t>111-27</t>
  </si>
  <si>
    <t>901-27</t>
  </si>
  <si>
    <t>YORK</t>
  </si>
  <si>
    <t>113-27</t>
  </si>
  <si>
    <t>106-27</t>
  </si>
  <si>
    <t>115-27</t>
  </si>
  <si>
    <t>119-27</t>
  </si>
  <si>
    <t>112-27</t>
  </si>
  <si>
    <t>902-27</t>
  </si>
  <si>
    <t>LALONDE</t>
  </si>
  <si>
    <t>114-27</t>
  </si>
  <si>
    <t>802-27</t>
  </si>
  <si>
    <t>116-27</t>
  </si>
  <si>
    <t>804-27</t>
  </si>
  <si>
    <t>118-27</t>
  </si>
  <si>
    <t>125-27</t>
  </si>
  <si>
    <t>805-27</t>
  </si>
  <si>
    <t>120-27</t>
  </si>
  <si>
    <t>127-27</t>
  </si>
  <si>
    <t>807-27</t>
  </si>
  <si>
    <t>806-27</t>
  </si>
  <si>
    <t>131-27</t>
  </si>
  <si>
    <t>133-27</t>
  </si>
  <si>
    <t>808-27</t>
  </si>
  <si>
    <t>126-27</t>
  </si>
  <si>
    <t>809-27</t>
  </si>
  <si>
    <t>128-27</t>
  </si>
  <si>
    <t>135-27</t>
  </si>
  <si>
    <t>130-27</t>
  </si>
  <si>
    <t>132-27</t>
  </si>
  <si>
    <t>139-27</t>
  </si>
  <si>
    <t>903-27</t>
  </si>
  <si>
    <t>812-27</t>
  </si>
  <si>
    <t>141-27</t>
  </si>
  <si>
    <t>134-27</t>
  </si>
  <si>
    <t>143-27</t>
  </si>
  <si>
    <t>813-27</t>
  </si>
  <si>
    <t>145-27</t>
  </si>
  <si>
    <t>147-27</t>
  </si>
  <si>
    <t>814-27</t>
  </si>
  <si>
    <t>142-27</t>
  </si>
  <si>
    <t>144-27</t>
  </si>
  <si>
    <t>146-27</t>
  </si>
  <si>
    <t>815-27</t>
  </si>
  <si>
    <t>153-27</t>
  </si>
  <si>
    <t>148-27</t>
  </si>
  <si>
    <t>155-27</t>
  </si>
  <si>
    <t>50-27</t>
  </si>
  <si>
    <t>OUN</t>
  </si>
  <si>
    <t>816-27</t>
  </si>
  <si>
    <t>157-27</t>
  </si>
  <si>
    <t>817-27</t>
  </si>
  <si>
    <t>52-27</t>
  </si>
  <si>
    <t>rtdc.l.rtdc.4027:itc</t>
  </si>
  <si>
    <t>51-27</t>
  </si>
  <si>
    <t>161-27</t>
  </si>
  <si>
    <t>SHOOK</t>
  </si>
  <si>
    <t>156-27</t>
  </si>
  <si>
    <t>158-27</t>
  </si>
  <si>
    <t>163-27</t>
  </si>
  <si>
    <t>165-27</t>
  </si>
  <si>
    <t>LOPES</t>
  </si>
  <si>
    <t>53-27</t>
  </si>
  <si>
    <t>160-27</t>
  </si>
  <si>
    <t>819-27</t>
  </si>
  <si>
    <t>167-27</t>
  </si>
  <si>
    <t>162-27</t>
  </si>
  <si>
    <t>169-27</t>
  </si>
  <si>
    <t>164-27</t>
  </si>
  <si>
    <t>171-27</t>
  </si>
  <si>
    <t>ROMERO</t>
  </si>
  <si>
    <t>166-27</t>
  </si>
  <si>
    <t>820-27</t>
  </si>
  <si>
    <t>173-27</t>
  </si>
  <si>
    <t>168-27</t>
  </si>
  <si>
    <t>175-27</t>
  </si>
  <si>
    <t>821-27</t>
  </si>
  <si>
    <t>170-27</t>
  </si>
  <si>
    <t>177-27</t>
  </si>
  <si>
    <t>179-27</t>
  </si>
  <si>
    <t>172-27</t>
  </si>
  <si>
    <t>181-27</t>
  </si>
  <si>
    <t>176-27</t>
  </si>
  <si>
    <t>183-27</t>
  </si>
  <si>
    <t>178-27</t>
  </si>
  <si>
    <t>180-27</t>
  </si>
  <si>
    <t>182-27</t>
  </si>
  <si>
    <t>189-27</t>
  </si>
  <si>
    <t>824-27</t>
  </si>
  <si>
    <t>184-27</t>
  </si>
  <si>
    <t>191-27</t>
  </si>
  <si>
    <t>193-27</t>
  </si>
  <si>
    <t>186-27</t>
  </si>
  <si>
    <t>904-27</t>
  </si>
  <si>
    <t>188-27</t>
  </si>
  <si>
    <t>195-27</t>
  </si>
  <si>
    <t>190-27</t>
  </si>
  <si>
    <t>826-27</t>
  </si>
  <si>
    <t>197-27</t>
  </si>
  <si>
    <t>827-27</t>
  </si>
  <si>
    <t>199-27</t>
  </si>
  <si>
    <t>829-27</t>
  </si>
  <si>
    <t>828-27</t>
  </si>
  <si>
    <t>201-27</t>
  </si>
  <si>
    <t>196-27</t>
  </si>
  <si>
    <t>203-27</t>
  </si>
  <si>
    <t>830-27</t>
  </si>
  <si>
    <t>205-27</t>
  </si>
  <si>
    <t>831-27</t>
  </si>
  <si>
    <t>200-27</t>
  </si>
  <si>
    <t>207-27</t>
  </si>
  <si>
    <t>202-27</t>
  </si>
  <si>
    <t>832-27</t>
  </si>
  <si>
    <t>209-27</t>
  </si>
  <si>
    <t>SMITH</t>
  </si>
  <si>
    <t>204-27</t>
  </si>
  <si>
    <t>65-27</t>
  </si>
  <si>
    <t>211-27</t>
  </si>
  <si>
    <t>206-27</t>
  </si>
  <si>
    <t>208-27</t>
  </si>
  <si>
    <t>213-27</t>
  </si>
  <si>
    <t>54-27</t>
  </si>
  <si>
    <t>834-27</t>
  </si>
  <si>
    <t>MATTHEWS</t>
  </si>
  <si>
    <t>835-27</t>
  </si>
  <si>
    <t>215-27</t>
  </si>
  <si>
    <t>210-27</t>
  </si>
  <si>
    <t>836-27</t>
  </si>
  <si>
    <t>217-27</t>
  </si>
  <si>
    <t>69-27</t>
  </si>
  <si>
    <t>212-27</t>
  </si>
  <si>
    <t>219-27</t>
  </si>
  <si>
    <t>303-27</t>
  </si>
  <si>
    <t>838-27</t>
  </si>
  <si>
    <t>839-27</t>
  </si>
  <si>
    <t>216-27</t>
  </si>
  <si>
    <t>221-27</t>
  </si>
  <si>
    <t>218-27</t>
  </si>
  <si>
    <t>906-27</t>
  </si>
  <si>
    <t>305-27</t>
  </si>
  <si>
    <t>220-27</t>
  </si>
  <si>
    <t>840-27</t>
  </si>
  <si>
    <t>307-27</t>
  </si>
  <si>
    <t>222-27</t>
  </si>
  <si>
    <t>225-27</t>
  </si>
  <si>
    <t>227-27</t>
  </si>
  <si>
    <t>226-27</t>
  </si>
  <si>
    <t>845-27</t>
  </si>
  <si>
    <t>228-27</t>
  </si>
  <si>
    <t>231-27</t>
  </si>
  <si>
    <t>844-27</t>
  </si>
  <si>
    <t>230-27</t>
  </si>
  <si>
    <t>233-27</t>
  </si>
  <si>
    <t>847-27</t>
  </si>
  <si>
    <t>235-27</t>
  </si>
  <si>
    <t>908-27</t>
  </si>
  <si>
    <t>237-27</t>
  </si>
  <si>
    <t>66-27</t>
  </si>
  <si>
    <t>236-27</t>
  </si>
  <si>
    <t>239-27</t>
  </si>
  <si>
    <t>67-27</t>
  </si>
  <si>
    <t>238-27</t>
  </si>
  <si>
    <t>241-27</t>
  </si>
  <si>
    <t>243-27</t>
  </si>
  <si>
    <t>240-27</t>
  </si>
  <si>
    <t>309-27</t>
  </si>
  <si>
    <t>311-27</t>
  </si>
  <si>
    <t>244-27</t>
  </si>
  <si>
    <t>313-27</t>
  </si>
  <si>
    <t>315-27</t>
  </si>
  <si>
    <t>partly-cloudy-night</t>
  </si>
  <si>
    <t>Partly Cloudy</t>
  </si>
  <si>
    <t>partly-cloudy-day</t>
  </si>
  <si>
    <t>Mostly Cloudy</t>
  </si>
  <si>
    <t>204:737</t>
  </si>
  <si>
    <t>204:232683</t>
  </si>
  <si>
    <t>204:149833</t>
  </si>
  <si>
    <t>204:86344</t>
  </si>
  <si>
    <t>204:748</t>
  </si>
  <si>
    <t>204:232677</t>
  </si>
  <si>
    <t>204:150859</t>
  </si>
  <si>
    <t>204:786</t>
  </si>
  <si>
    <t>204:233283</t>
  </si>
  <si>
    <t>204:232662</t>
  </si>
  <si>
    <t>204:153923</t>
  </si>
  <si>
    <t>204:193491</t>
  </si>
  <si>
    <t>204:86353</t>
  </si>
  <si>
    <t>204:233246</t>
  </si>
  <si>
    <t>204:232959</t>
  </si>
  <si>
    <t>204:153997</t>
  </si>
  <si>
    <t>204:1182</t>
  </si>
  <si>
    <t>204:153985</t>
  </si>
  <si>
    <t>204:153986</t>
  </si>
  <si>
    <t>204:233280</t>
  </si>
  <si>
    <t>204:232965</t>
  </si>
  <si>
    <t>204:790</t>
  </si>
  <si>
    <t>204:233315</t>
  </si>
  <si>
    <t>204:136</t>
  </si>
  <si>
    <t>204:181</t>
  </si>
  <si>
    <t>204:438</t>
  </si>
  <si>
    <t>204:134</t>
  </si>
  <si>
    <t>204:233011</t>
  </si>
  <si>
    <t>204:233289</t>
  </si>
  <si>
    <t>204:233284</t>
  </si>
  <si>
    <t>204:437</t>
  </si>
  <si>
    <t>204:233326</t>
  </si>
  <si>
    <t>204:233038</t>
  </si>
  <si>
    <t>204:233010</t>
  </si>
  <si>
    <t>204:1446</t>
  </si>
  <si>
    <t>204:233282</t>
  </si>
  <si>
    <t>204:232961</t>
  </si>
  <si>
    <t>204:502</t>
  </si>
  <si>
    <t>204:233162</t>
  </si>
  <si>
    <t>204:232838</t>
  </si>
  <si>
    <t>204:49907</t>
  </si>
  <si>
    <t>204:426</t>
  </si>
  <si>
    <t>204:233349</t>
  </si>
  <si>
    <t>204:233055</t>
  </si>
  <si>
    <t>204:473</t>
  </si>
  <si>
    <t>204:180</t>
  </si>
  <si>
    <t>204:418</t>
  </si>
  <si>
    <t>204:233359</t>
  </si>
  <si>
    <t>204:233057</t>
  </si>
  <si>
    <t>204:233353</t>
  </si>
  <si>
    <t>204:233040</t>
  </si>
  <si>
    <t>204:482</t>
  </si>
  <si>
    <t>204:233000</t>
  </si>
  <si>
    <t>204:233002</t>
  </si>
  <si>
    <t>204:233346</t>
  </si>
  <si>
    <t>204:233045</t>
  </si>
  <si>
    <t>204:232975</t>
  </si>
  <si>
    <t>204:234</t>
  </si>
  <si>
    <t>204:429</t>
  </si>
  <si>
    <t>204:233278</t>
  </si>
  <si>
    <t>204:560</t>
  </si>
  <si>
    <t>204:233017</t>
  </si>
  <si>
    <t>204:233325</t>
  </si>
  <si>
    <t>204:132</t>
  </si>
  <si>
    <t>300:23290</t>
  </si>
  <si>
    <t>300:23285</t>
  </si>
  <si>
    <t>300:23312</t>
  </si>
  <si>
    <t>300:23506</t>
  </si>
  <si>
    <t>300:20365</t>
  </si>
  <si>
    <t>300:31269</t>
  </si>
  <si>
    <t>300:23305</t>
  </si>
  <si>
    <t>204:444</t>
  </si>
  <si>
    <t>300:23301</t>
  </si>
  <si>
    <t>300:23495</t>
  </si>
  <si>
    <t>204:908</t>
  </si>
  <si>
    <t>204:1214</t>
  </si>
  <si>
    <t>300:24229</t>
  </si>
  <si>
    <t>300:22166</t>
  </si>
  <si>
    <t>204:120</t>
  </si>
  <si>
    <t>300:24208</t>
  </si>
  <si>
    <t>300:23741</t>
  </si>
  <si>
    <t>204:1173</t>
  </si>
  <si>
    <t>300:23164</t>
  </si>
  <si>
    <t>204:1623</t>
  </si>
  <si>
    <t>204:10093</t>
  </si>
  <si>
    <t>204:128281</t>
  </si>
  <si>
    <t>204:128014</t>
  </si>
  <si>
    <t>204:9850</t>
  </si>
  <si>
    <t>204:142</t>
  </si>
  <si>
    <t>204:1458</t>
  </si>
  <si>
    <t>300:23291</t>
  </si>
  <si>
    <t>204:128002</t>
  </si>
  <si>
    <t>204:9642</t>
  </si>
  <si>
    <t>204:9627</t>
  </si>
  <si>
    <t>300:30983</t>
  </si>
  <si>
    <t>204:858</t>
  </si>
  <si>
    <t>204:1170</t>
  </si>
  <si>
    <t>204:9929</t>
  </si>
  <si>
    <t>204:128266</t>
  </si>
  <si>
    <t>204:9953</t>
  </si>
  <si>
    <t>204:128269</t>
  </si>
  <si>
    <t>204:314</t>
  </si>
  <si>
    <t>300:24212</t>
  </si>
  <si>
    <t>300:58609</t>
  </si>
  <si>
    <t>204:782</t>
  </si>
  <si>
    <t>204:1053</t>
  </si>
  <si>
    <t>300:58914</t>
  </si>
  <si>
    <t>300:58602</t>
  </si>
  <si>
    <t>204:736</t>
  </si>
  <si>
    <t>204:441</t>
  </si>
  <si>
    <t>300:59001</t>
  </si>
  <si>
    <t>204:689</t>
  </si>
  <si>
    <t>204:1041</t>
  </si>
  <si>
    <t>300:58598</t>
  </si>
  <si>
    <t>204:747</t>
  </si>
  <si>
    <t>204:972</t>
  </si>
  <si>
    <t>300:58978</t>
  </si>
  <si>
    <t>204:684</t>
  </si>
  <si>
    <t>204:1030</t>
  </si>
  <si>
    <t>300:58912</t>
  </si>
  <si>
    <t>300:58592</t>
  </si>
  <si>
    <t>204:171</t>
  </si>
  <si>
    <t>204:671</t>
  </si>
  <si>
    <t>300:58944</t>
  </si>
  <si>
    <t>300:58613</t>
  </si>
  <si>
    <t>204:685</t>
  </si>
  <si>
    <t>204:976</t>
  </si>
  <si>
    <t>300:58653</t>
  </si>
  <si>
    <t>204:694</t>
  </si>
  <si>
    <t>300:58692</t>
  </si>
  <si>
    <t>204:797</t>
  </si>
  <si>
    <t>204:1076</t>
  </si>
  <si>
    <t>300:58971</t>
  </si>
  <si>
    <t>300:58980</t>
  </si>
  <si>
    <t>300:58658</t>
  </si>
  <si>
    <t>204:656</t>
  </si>
  <si>
    <t>204:962</t>
  </si>
  <si>
    <t>300:58993</t>
  </si>
  <si>
    <t>300:58677</t>
  </si>
  <si>
    <t>204:682</t>
  </si>
  <si>
    <t>300:58939</t>
  </si>
  <si>
    <t>300:58628</t>
  </si>
  <si>
    <t>300:58907</t>
  </si>
  <si>
    <t>204:934</t>
  </si>
  <si>
    <t>204:657</t>
  </si>
  <si>
    <t>300:58656</t>
  </si>
  <si>
    <t>204:673</t>
  </si>
  <si>
    <t>204:925</t>
  </si>
  <si>
    <t>300:58668</t>
  </si>
  <si>
    <t>204:664</t>
  </si>
  <si>
    <t>204:764</t>
  </si>
  <si>
    <t>204:965</t>
  </si>
  <si>
    <t>204:752</t>
  </si>
  <si>
    <t>204:1018</t>
  </si>
  <si>
    <t>204:1055</t>
  </si>
  <si>
    <t>300:58926</t>
  </si>
  <si>
    <t>300:29780</t>
  </si>
  <si>
    <t>300:58922</t>
  </si>
  <si>
    <t>300:22306</t>
  </si>
  <si>
    <t>204:153</t>
  </si>
  <si>
    <t>300:24239</t>
  </si>
  <si>
    <t>300:23476</t>
  </si>
  <si>
    <t>300:28793</t>
  </si>
  <si>
    <t>300:58619</t>
  </si>
  <si>
    <t>300:21420</t>
  </si>
  <si>
    <t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t>
  </si>
  <si>
    <t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t>
  </si>
  <si>
    <t>aws s3 cp s3://rtdc.mdm.uploadarchive.raw/RTDC4005/ "%USERPROFILE%\AppData\Local\Temp\OnboardLogs"\RTDC4005\2016-10-27 --exclude "*" --recursive --include "*20161027*" &amp; "%USERPROFILE%\Documents\GitHub\mrs-test-scripts\Headless Mode &amp; Sideloading\WalkAndUnGZ.bat" "%USERPROFILE%\AppData\Local\Temp\OnboardLogs"\RTDC4005\2016-10-27 &amp; 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</t>
  </si>
  <si>
    <t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t>
  </si>
  <si>
    <t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t>
  </si>
  <si>
    <t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t>
  </si>
  <si>
    <t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t>
  </si>
  <si>
    <t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t>
  </si>
  <si>
    <t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t>
  </si>
  <si>
    <t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t>
  </si>
  <si>
    <t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t>
  </si>
  <si>
    <t>Onboard in-route failure</t>
  </si>
  <si>
    <t>Around 16:27:20 UTC, primary slice bounced between all 3, and then ultimately at 16:28:54.502, multiple cpu faults</t>
  </si>
  <si>
    <t>121-27</t>
  </si>
  <si>
    <t>122-27</t>
  </si>
  <si>
    <t>Did not init</t>
  </si>
  <si>
    <t>187-27</t>
  </si>
  <si>
    <t>ML1332 card failure</t>
  </si>
  <si>
    <t>See title</t>
  </si>
  <si>
    <t>Discrepancy between GPS- and Wheeltach-derived location under I-25</t>
  </si>
  <si>
    <t>Early arrival</t>
  </si>
  <si>
    <t>Overspeed</t>
  </si>
  <si>
    <t>Chambers 2N STOP, cleared afterward</t>
  </si>
  <si>
    <t>Extended Onboard Wi-MAX outage from 13:56 - 15:12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</si>
</sst>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7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42670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COUNTIFS($N$13:$N$9410,"&gt;0",$AG$13:$AG$9410,I1)</f>
        <v>133</v>
      </c>
      <c r="K5" s="44"/>
      <c r="L5" s="44"/>
      <c r="M5" s="45">
        <f>AVERAGEIFS($N$13:$N$9410,$AG$13:$AG$9410,I1)</f>
        <v>38.139473683283057</v>
      </c>
      <c r="N5" s="43">
        <f t="array" ref="N5">MIN(IF($AG$13:$AG$9410=I1,IF(ISNUMBER($N$13:$N$9410),IF($N$13:$N$9410&gt;0,$N$13:$N$9410))))</f>
        <v>34.116666668560356</v>
      </c>
      <c r="O5" s="3">
        <f t="array" ref="O5">MAX(IF($AG$13:$AG$9410=I1,IF(ISNUMBER($N$13:$N$9410),IF($N$13:$N$9410&gt;0,$N$13:$N$9410))))</f>
        <v>45.666666665347293</v>
      </c>
      <c r="P5" s="2"/>
      <c r="R5" s="80" t="s">
        <v>17</v>
      </c>
      <c r="S5" s="55">
        <f>COUNTIFS($N$13:$N$9410,"&gt;0",$AG$13:$AG$9410,R1)</f>
        <v>47</v>
      </c>
      <c r="T5" s="44"/>
      <c r="U5" s="168"/>
      <c r="V5" s="45">
        <f>AVERAGEIFS($N$13:$N$9410,$AG$13:$AG$9410,R1)</f>
        <v>15.014893616118686</v>
      </c>
      <c r="W5" s="43">
        <f t="array" ref="W5">MIN(IF($AG$13:$AG$9410=R1,IF(ISNUMBER($N$13:$N$9410),IF($N$13:$N$9410&gt;0,$N$13:$N$9410))))</f>
        <v>12.499999998835847</v>
      </c>
      <c r="X5" s="173">
        <f t="array" ref="X5">MAX(IF($AG$13:$AG$9410=R1,IF(ISNUMBER($N$13:$N$9410),IF($N$13:$N$9410&gt;0,$N$13:$N$9410))))</f>
        <v>18.73333333292976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COUNT($O$13:$O$182)</f>
        <v>0</v>
      </c>
      <c r="K6" s="44"/>
      <c r="L6" s="44"/>
      <c r="M6" s="45">
        <f>IFERROR(AVERAGE($O$13:$O$182),0)</f>
        <v>0</v>
      </c>
      <c r="N6" s="43">
        <f>MIN($O$13:$O$182)</f>
        <v>0</v>
      </c>
      <c r="O6" s="3">
        <f>MAX($O$13:$O$182)</f>
        <v>0</v>
      </c>
      <c r="P6" s="2"/>
      <c r="R6" s="81" t="s">
        <v>43</v>
      </c>
      <c r="S6" s="55">
        <f>COUNT($O$13:$O$182)</f>
        <v>0</v>
      </c>
      <c r="T6" s="44"/>
      <c r="U6" s="168"/>
      <c r="V6" s="45">
        <f>IFERROR(AVERAGE($O$13:$O$182),0)</f>
        <v>0</v>
      </c>
      <c r="W6" s="43">
        <f>MIN($O$13:$O$182)</f>
        <v>0</v>
      </c>
      <c r="X6" s="173">
        <f>MAX($O$13:$O$182)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COUNTIFS($P$13:$P$9410,"&gt;0",$AG$13:$AG$9410,I1)</f>
        <v>11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COUNTIFS($P$13:$P$9410,"&gt;0",$AG$13:$AG$9410,R1)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133</v>
      </c>
      <c r="K8" s="44"/>
      <c r="L8" s="44"/>
      <c r="M8" s="45">
        <f>M5</f>
        <v>38.139473683283057</v>
      </c>
      <c r="N8" s="43">
        <f>N5</f>
        <v>34.116666668560356</v>
      </c>
      <c r="O8" s="3">
        <f>O5</f>
        <v>45.666666665347293</v>
      </c>
      <c r="P8" s="2"/>
      <c r="R8" s="80" t="s">
        <v>16</v>
      </c>
      <c r="S8" s="55">
        <f>S5</f>
        <v>47</v>
      </c>
      <c r="T8" s="44"/>
      <c r="U8" s="168"/>
      <c r="V8" s="45">
        <f>V5</f>
        <v>15.014893616118686</v>
      </c>
      <c r="W8" s="43">
        <f>W5</f>
        <v>12.499999998835847</v>
      </c>
      <c r="X8" s="173">
        <f>X5</f>
        <v>18.73333333292976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0.92361111111111116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- 2016-10-27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AVERAGE(S13:S117)</f>
        <v>0.91343042071197422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431</v>
      </c>
      <c r="B13" s="7">
        <v>4002</v>
      </c>
      <c r="C13" s="22" t="s">
        <v>326</v>
      </c>
      <c r="D13" s="22" t="s">
        <v>618</v>
      </c>
      <c r="E13" s="13">
        <v>42670.130416666667</v>
      </c>
      <c r="F13" s="13">
        <v>42670.135659722226</v>
      </c>
      <c r="G13" s="7">
        <v>1</v>
      </c>
      <c r="H13" s="13" t="s">
        <v>324</v>
      </c>
      <c r="I13" s="13">
        <v>42670.160729166666</v>
      </c>
      <c r="J13" s="7">
        <v>0</v>
      </c>
      <c r="K13" s="112" t="str">
        <f t="shared" ref="K13:K34" si="0">IF(ISEVEN(B13),(B13-1)&amp;"/"&amp;B13,B13&amp;"/"&amp;(B13+1))</f>
        <v>4001/4002</v>
      </c>
      <c r="L13" s="22" t="str">
        <f>VLOOKUP(A13,'Trips&amp;Operators'!$C$1:$E$10000,3,FALSE)</f>
        <v>MAELZER</v>
      </c>
      <c r="M13" s="6">
        <f t="shared" ref="M13:M34" si="1">I13-F13</f>
        <v>2.5069444440305233E-2</v>
      </c>
      <c r="N13" s="7">
        <f>24*60*SUM($M13:$M13)</f>
        <v>36.099999994039536</v>
      </c>
      <c r="O13" s="7"/>
      <c r="P13" s="7"/>
      <c r="Q13" s="23"/>
      <c r="R13" s="23"/>
      <c r="S13" s="35">
        <f>SUM(U13:U13)/IF(AG13="EC",12,1)</f>
        <v>1</v>
      </c>
      <c r="T13" s="50" t="str">
        <f t="shared" ref="T13:T34" si="2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34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https://search-rtdc-monitor-bjffxe2xuh6vdkpspy63sjmuny.us-east-1.es.amazonaws.com/_plugin/kibana/#/discover/Steve-Slow-Train-Analysis-(2080s-and-2083s)?_g=(refreshInterval:(display:Off,section:0,value:0),time:(from:'2016-10-27 02:07:48-0600',mode:absolute,to:'2016-10-27 04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2" t="str">
        <f t="shared" ref="W13:W34" si="4">IF(AA13&lt;IF(AG13="EC",23,5.65),"Y","N")</f>
        <v>N</v>
      </c>
      <c r="X13" s="177" t="e">
        <f t="shared" ref="X13:X34" si="5">VALUE(LEFT(AD13,4))-VALUE(LEFT(AD12,4))</f>
        <v>#VALUE!</v>
      </c>
      <c r="Y13" s="67">
        <f t="shared" ref="Y13:Y34" si="6">RIGHT(D13,LEN(D13)-4)/10000</f>
        <v>7.3700000000000002E-2</v>
      </c>
      <c r="Z13" s="67">
        <f t="shared" ref="Z13:Z34" si="7">RIGHT(H13,LEN(H13)-4)/10000</f>
        <v>23.333400000000001</v>
      </c>
      <c r="AA13" s="67">
        <f t="shared" ref="AA13:AA34" si="8">ABS(Z13-Y13)</f>
        <v>23.259700000000002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34" si="9">IF(LEN(A13)=6,"0"&amp;A13,A13)</f>
        <v>0101-27</v>
      </c>
      <c r="AE13" s="91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13" s="88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/stypes="app*4002*20161027*" /stext=" 09:.+((SYSTEM_STATE.+slice.+state.+changed )|(ment ac)|(system.+state.+changed )|(\[timeout)|(PRM\|1\|D)|(kpr)|(kdp)|(\|lc)|(penalty))" /e /r /s</v>
      </c>
      <c r="AG13" s="1" t="str">
        <f t="shared" ref="AG13:AG34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4002 --swversion DE.1.0.8.0 --startMP 204:737 --initTime 2016-10-27T03:07:48 --startdatetime 2016-10-27T03:15:21 --delay 1 --endMP 204:233334 --enddatetime 2016-10-27T03:51:27 --enforcementcount 0 &gt;&gt;C:\Users\stu\Documents\GitHub\eaglep3-reporting\EC\2016-10-27-refined-times.txt</v>
      </c>
      <c r="AI13" s="122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{"issue":{"subject":"","project_id":79,"tracker_id":40,"status_id":1,"priority_id":2,"assigned_to_id":23,"start_date":"2016-10-27","description":"","custom_fields":[{"id":1,"name":"Subdivision","value":"EC"},{"id":4,"name":"Milepost","value":"23.3334"},{"id":17,"name":"Train ID","value":"101-27"},{"id":16,"name":"Locomotive ID","value":"4002"},{"id":130,"name":"Impact","value":""},{"id":150,"name":"Time of Event (Mountain Time)","value":"03:51:27"},{"id":151,"name":"Denver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436</v>
      </c>
      <c r="B14" s="7">
        <v>4008</v>
      </c>
      <c r="C14" s="22" t="s">
        <v>326</v>
      </c>
      <c r="D14" s="22" t="s">
        <v>619</v>
      </c>
      <c r="E14" s="13">
        <v>42670.169594907406</v>
      </c>
      <c r="F14" s="13">
        <v>42670.170497685183</v>
      </c>
      <c r="G14" s="7">
        <v>1</v>
      </c>
      <c r="H14" s="13" t="s">
        <v>620</v>
      </c>
      <c r="I14" s="13">
        <v>42670.183425925927</v>
      </c>
      <c r="J14" s="7">
        <v>0</v>
      </c>
      <c r="K14" s="112" t="str">
        <f t="shared" si="0"/>
        <v>4007/4008</v>
      </c>
      <c r="L14" s="22" t="str">
        <f>VLOOKUP(A14,'Trips&amp;Operators'!$C$1:$E$10000,3,FALSE)</f>
        <v>MAELZER</v>
      </c>
      <c r="M14" s="6">
        <f t="shared" si="1"/>
        <v>1.2928240743349306E-2</v>
      </c>
      <c r="N14" s="7"/>
      <c r="O14" s="7"/>
      <c r="P14" s="7">
        <f>24*60*SUM($M14:$M15)</f>
        <v>38.666666663484648</v>
      </c>
      <c r="Q14" s="23"/>
      <c r="R14" s="23" t="s">
        <v>800</v>
      </c>
      <c r="S14" s="35">
        <f>SUM(U14:U15)/IF(AG14="EC",12,1)</f>
        <v>0.83333333333333337</v>
      </c>
      <c r="T14" s="50" t="str">
        <f t="shared" si="2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03:04:13-0600',mode:absolute,to:'2016-10-27 05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" s="52" t="str">
        <f t="shared" si="4"/>
        <v>Y</v>
      </c>
      <c r="X14" s="177">
        <f t="shared" si="5"/>
        <v>1</v>
      </c>
      <c r="Y14" s="67">
        <f t="shared" si="6"/>
        <v>23.2683</v>
      </c>
      <c r="Z14" s="67">
        <f t="shared" si="7"/>
        <v>14.9833</v>
      </c>
      <c r="AA14" s="67">
        <f t="shared" si="8"/>
        <v>8.2850000000000001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9"/>
        <v>0102-27</v>
      </c>
      <c r="AE14" s="91" t="str">
        <f t="shared" si="10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14" s="88" t="str">
        <f t="shared" si="11"/>
        <v>"C:\Program Files (x86)\AstroGrep\AstroGrep.exe" /spath="%USERPROFILE%\AppData\Local\Temp\OnboardLogs" /stypes="app*4008*20161027*" /stext=" 10:.+((SYSTEM_STATE.+slice.+state.+changed )|(ment ac)|(system.+state.+changed )|(\[timeout)|(PRM\|1\|D)|(kpr)|(kdp)|(\|lc)|(penalty))" /e /r /s</v>
      </c>
      <c r="AG14" s="1" t="str">
        <f t="shared" si="12"/>
        <v>EC</v>
      </c>
      <c r="AH14" s="92" t="str">
        <f t="shared" ref="AH14:AH78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4008 --swversion DE.1.0.8.0 --startMP 204:232683 --initTime 2016-10-27T04:04:13 --startdatetime 2016-10-27T04:05:31 --delay 1 --endMP 204:149833 --enddatetime 2016-10-27T04:24:08 --enforcementcount 0 &gt;&gt;C:\Users\stu\Documents\GitHub\eaglep3-reporting\EC\2016-10-27-refined-times.txt</v>
      </c>
      <c r="AI14" s="122" t="str">
        <f t="shared" ref="AI14:AI78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{"issue":{"subject":"ML1332 card failure","project_id":79,"tracker_id":40,"status_id":1,"priority_id":2,"assigned_to_id":23,"start_date":"2016-10-27","description":"See title","custom_fields":[{"id":1,"name":"Subdivision","value":"EC"},{"id":4,"name":"Milepost","value":"14.9833"},{"id":17,"name":"Train ID","value":"102-27"},{"id":16,"name":"Locomotive ID","value":"4008"},{"id":130,"name":"Impact","value":"Unexpected Cut-Out or Disengaged"},{"id":150,"name":"Time of Event (Mountain Time)","value":"04:24:08"},{"id":151,"name":"Denver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" s="53" t="s">
        <v>801</v>
      </c>
      <c r="AK14" s="53" t="s">
        <v>131</v>
      </c>
      <c r="AL14" s="53" t="s">
        <v>130</v>
      </c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436</v>
      </c>
      <c r="B15" s="7">
        <v>4008</v>
      </c>
      <c r="C15" s="22" t="s">
        <v>326</v>
      </c>
      <c r="D15" s="22" t="s">
        <v>621</v>
      </c>
      <c r="E15" s="13">
        <v>42670.193229166667</v>
      </c>
      <c r="F15" s="13">
        <v>42670.193761574075</v>
      </c>
      <c r="G15" s="7">
        <v>0</v>
      </c>
      <c r="H15" s="13" t="s">
        <v>175</v>
      </c>
      <c r="I15" s="13">
        <v>42670.207685185182</v>
      </c>
      <c r="J15" s="7">
        <v>0</v>
      </c>
      <c r="K15" s="112" t="str">
        <f t="shared" si="0"/>
        <v>4007/4008</v>
      </c>
      <c r="L15" s="22" t="str">
        <f>VLOOKUP(A15,'Trips&amp;Operators'!$C$1:$E$10000,3,FALSE)</f>
        <v>MAELZER</v>
      </c>
      <c r="M15" s="6">
        <f t="shared" si="1"/>
        <v>1.392361110629281E-2</v>
      </c>
      <c r="N15" s="7"/>
      <c r="O15" s="7"/>
      <c r="P15" s="7"/>
      <c r="Q15" s="23"/>
      <c r="R15" s="23"/>
      <c r="S15" s="35"/>
      <c r="T15" s="50" t="str">
        <f t="shared" si="2"/>
        <v>Southbound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10</v>
      </c>
      <c r="V1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03:38:15-0600',mode:absolute,to:'2016-10-27 05:59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" s="52" t="str">
        <f t="shared" si="4"/>
        <v>Y</v>
      </c>
      <c r="X15" s="177">
        <f t="shared" si="5"/>
        <v>0</v>
      </c>
      <c r="Y15" s="67">
        <f t="shared" si="6"/>
        <v>8.6343999999999994</v>
      </c>
      <c r="Z15" s="67">
        <f t="shared" si="7"/>
        <v>1.47E-2</v>
      </c>
      <c r="AA15" s="67">
        <f t="shared" si="8"/>
        <v>8.6196999999999999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9"/>
        <v>0102-27</v>
      </c>
      <c r="AE15" s="91" t="str">
        <f t="shared" si="10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15" s="88" t="str">
        <f t="shared" si="11"/>
        <v>"C:\Program Files (x86)\AstroGrep\AstroGrep.exe" /spath="%USERPROFILE%\AppData\Local\Temp\OnboardLogs" /stypes="app*4008*20161027*" /stext=" 10:.+((SYSTEM_STATE.+slice.+state.+changed )|(ment ac)|(system.+state.+changed )|(\[timeout)|(PRM\|1\|D)|(kpr)|(kdp)|(\|lc)|(penalty))" /e /r /s</v>
      </c>
      <c r="AG15" s="1" t="str">
        <f t="shared" si="12"/>
        <v>EC</v>
      </c>
      <c r="AH15" s="92" t="str">
        <f t="shared" si="15"/>
        <v>"%USERPROFILE%\Documents\GitHub\eaglep3\Utilities\RefineRTDCRunTimes.py" --tripid 102-27 --locoid 4008 --swversion DE.1.0.8.0 --startMP 204:86344 --initTime 2016-10-27T04:38:15 --startdatetime 2016-10-27T04:39:01 --delay 0 --endMP 204:147 --enddatetime 2016-10-27T04:59:04 --enforcementcount 0 &gt;&gt;C:\Users\stu\Documents\GitHub\eaglep3-reporting\EC\2016-10-27-refined-times.txt</v>
      </c>
      <c r="AI15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{"issue":{"subject":"","project_id":79,"tracker_id":40,"status_id":1,"priority_id":2,"assigned_to_id":23,"start_date":"2016-10-27","description":"","custom_fields":[{"id":1,"name":"Subdivision","value":"EC"},{"id":4,"name":"Milepost","value":"0.0147"},{"id":17,"name":"Train ID","value":"102-27"},{"id":16,"name":"Locomotive ID","value":"4008"},{"id":130,"name":"Impact","value":""},{"id":150,"name":"Time of Event (Mountain Time)","value":"04:59:04"},{"id":151,"name":"Denver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433</v>
      </c>
      <c r="B16" s="7">
        <v>4040</v>
      </c>
      <c r="C16" s="22" t="s">
        <v>326</v>
      </c>
      <c r="D16" s="22" t="s">
        <v>622</v>
      </c>
      <c r="E16" s="13">
        <v>42670.154513888891</v>
      </c>
      <c r="F16" s="13">
        <v>42670.156458333331</v>
      </c>
      <c r="G16" s="7">
        <v>1</v>
      </c>
      <c r="H16" s="13" t="s">
        <v>299</v>
      </c>
      <c r="I16" s="13">
        <v>42670.181620370371</v>
      </c>
      <c r="J16" s="7">
        <v>0</v>
      </c>
      <c r="K16" s="112" t="str">
        <f t="shared" si="0"/>
        <v>4039/4040</v>
      </c>
      <c r="L16" s="22" t="str">
        <f>VLOOKUP(A16,'Trips&amp;Operators'!$C$1:$E$10000,3,FALSE)</f>
        <v>SPECTOR</v>
      </c>
      <c r="M16" s="6">
        <f t="shared" si="1"/>
        <v>2.5162037039990537E-2</v>
      </c>
      <c r="N16" s="7">
        <f>24*60*SUM($M16:$M16)</f>
        <v>36.233333337586373</v>
      </c>
      <c r="O16" s="7"/>
      <c r="P16" s="7"/>
      <c r="Q16" s="23"/>
      <c r="R16" s="23"/>
      <c r="S16" s="35">
        <f>SUM(U16:U16)/IF(AG16="EC",12,1)</f>
        <v>1</v>
      </c>
      <c r="T16" s="50" t="str">
        <f t="shared" si="2"/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02:42:30-0600',mode:absolute,to:'2016-10-27 05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" s="52" t="str">
        <f t="shared" si="4"/>
        <v>N</v>
      </c>
      <c r="X16" s="177">
        <f t="shared" si="5"/>
        <v>1</v>
      </c>
      <c r="Y16" s="67">
        <f t="shared" si="6"/>
        <v>7.4800000000000005E-2</v>
      </c>
      <c r="Z16" s="67">
        <f t="shared" si="7"/>
        <v>23.331700000000001</v>
      </c>
      <c r="AA16" s="67">
        <f t="shared" si="8"/>
        <v>23.256900000000002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9"/>
        <v>0103-27</v>
      </c>
      <c r="AE16" s="91" t="str">
        <f t="shared" si="10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16" s="88" t="str">
        <f t="shared" si="11"/>
        <v>"C:\Program Files (x86)\AstroGrep\AstroGrep.exe" /spath="%USERPROFILE%\AppData\Local\Temp\OnboardLogs" /stypes="app*4040*20161027*" /stext=" 10:.+((SYSTEM_STATE.+slice.+state.+changed )|(ment ac)|(system.+state.+changed )|(\[timeout)|(PRM\|1\|D)|(kpr)|(kdp)|(\|lc)|(penalty))" /e /r /s</v>
      </c>
      <c r="AG16" s="1" t="str">
        <f t="shared" si="12"/>
        <v>EC</v>
      </c>
      <c r="AH16" s="92" t="str">
        <f t="shared" si="15"/>
        <v>"%USERPROFILE%\Documents\GitHub\eaglep3\Utilities\RefineRTDCRunTimes.py" --tripid 103-27 --locoid 4040 --swversion DE.1.0.8.0 --startMP 204:748 --initTime 2016-10-27T03:42:30 --startdatetime 2016-10-27T03:45:18 --delay 1 --endMP 204:233317 --enddatetime 2016-10-27T04:21:32 --enforcementcount 0 &gt;&gt;C:\Users\stu\Documents\GitHub\eaglep3-reporting\EC\2016-10-27-refined-times.txt</v>
      </c>
      <c r="AI16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{"issue":{"subject":"","project_id":79,"tracker_id":40,"status_id":1,"priority_id":2,"assigned_to_id":23,"start_date":"2016-10-27","description":"","custom_fields":[{"id":1,"name":"Subdivision","value":"EC"},{"id":4,"name":"Milepost","value":"23.3317"},{"id":17,"name":"Train ID","value":"103-27"},{"id":16,"name":"Locomotive ID","value":"4040"},{"id":130,"name":"Impact","value":""},{"id":150,"name":"Time of Event (Mountain Time)","value":"04:21:32"},{"id":151,"name":"Denver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442</v>
      </c>
      <c r="B17" s="7">
        <v>4013</v>
      </c>
      <c r="C17" s="22" t="s">
        <v>326</v>
      </c>
      <c r="D17" s="22" t="s">
        <v>623</v>
      </c>
      <c r="E17" s="13">
        <v>42670.19458333333</v>
      </c>
      <c r="F17" s="13">
        <v>42670.195844907408</v>
      </c>
      <c r="G17" s="7">
        <v>1</v>
      </c>
      <c r="H17" s="13" t="s">
        <v>624</v>
      </c>
      <c r="I17" s="13">
        <v>42670.20685185185</v>
      </c>
      <c r="J17" s="7">
        <v>0</v>
      </c>
      <c r="K17" s="112" t="str">
        <f t="shared" si="0"/>
        <v>4013/4014</v>
      </c>
      <c r="L17" s="22" t="str">
        <f>VLOOKUP(A17,'Trips&amp;Operators'!$C$1:$E$10000,3,FALSE)</f>
        <v>SPECTOR</v>
      </c>
      <c r="M17" s="6">
        <f t="shared" si="1"/>
        <v>1.1006944441760425E-2</v>
      </c>
      <c r="N17" s="7"/>
      <c r="O17" s="7"/>
      <c r="P17" s="7">
        <f>24*60*SUM($M17:$M17)</f>
        <v>15.849999996135011</v>
      </c>
      <c r="Q17" s="23"/>
      <c r="R17" s="23" t="s">
        <v>800</v>
      </c>
      <c r="S17" s="35">
        <f>SUM(U17:U17)/IF(AG17="EC",12,1)</f>
        <v>0</v>
      </c>
      <c r="T17" s="50" t="str">
        <f t="shared" si="2"/>
        <v>Southbound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03:40:12-0600',mode:absolute,to:'2016-10-27 05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" s="52" t="str">
        <f t="shared" si="4"/>
        <v>Y</v>
      </c>
      <c r="X17" s="177">
        <f t="shared" si="5"/>
        <v>1</v>
      </c>
      <c r="Y17" s="67">
        <f t="shared" si="6"/>
        <v>23.267700000000001</v>
      </c>
      <c r="Z17" s="67">
        <f t="shared" si="7"/>
        <v>15.085900000000001</v>
      </c>
      <c r="AA17" s="67">
        <f t="shared" si="8"/>
        <v>8.1818000000000008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9"/>
        <v>0104-27</v>
      </c>
      <c r="AE17" s="91" t="str">
        <f t="shared" si="10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17" s="88" t="str">
        <f t="shared" si="11"/>
        <v>"C:\Program Files (x86)\AstroGrep\AstroGrep.exe" /spath="%USERPROFILE%\AppData\Local\Temp\OnboardLogs" /stypes="app*4013*20161027*" /stext=" 10:.+((SYSTEM_STATE.+slice.+state.+changed )|(ment ac)|(system.+state.+changed )|(\[timeout)|(PRM\|1\|D)|(kpr)|(kdp)|(\|lc)|(penalty))" /e /r /s</v>
      </c>
      <c r="AG17" s="1" t="str">
        <f t="shared" si="12"/>
        <v>EC</v>
      </c>
      <c r="AH17" s="92" t="str">
        <f t="shared" si="15"/>
        <v>"%USERPROFILE%\Documents\GitHub\eaglep3\Utilities\RefineRTDCRunTimes.py" --tripid 104-27 --locoid 4013 --swversion DE.1.0.8.0 --startMP 204:232677 --initTime 2016-10-27T04:40:12 --startdatetime 2016-10-27T04:42:01 --delay 1 --endMP 204:150859 --enddatetime 2016-10-27T04:57:52 --enforcementcount 0 &gt;&gt;C:\Users\stu\Documents\GitHub\eaglep3-reporting\EC\2016-10-27-refined-times.txt</v>
      </c>
      <c r="AI17" s="122" t="str">
        <f t="shared" si="16"/>
        <v>echo {"issue":{"subject":"ML1332 card failure","project_id":79,"tracker_id":40,"status_id":1,"priority_id":2,"assigned_to_id":23,"start_date":"2016-10-27","description":"See title","custom_fields":[{"id":1,"name":"Subdivision","value":"EC"},{"id":4,"name":"Milepost","value":"15.0859"},{"id":17,"name":"Train ID","value":"104-27"},{"id":16,"name":"Locomotive ID","value":"4013"},{"id":130,"name":"Impact","value":"Unexpected Cut-Out or Disengaged"},{"id":150,"name":"Time of Event (Mountain Time)","value":"04:57:52"},{"id":151,"name":"Denver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" s="53" t="s">
        <v>801</v>
      </c>
      <c r="AK17" s="53" t="s">
        <v>131</v>
      </c>
      <c r="AL17" s="53" t="s">
        <v>130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437</v>
      </c>
      <c r="B18" s="7">
        <v>4011</v>
      </c>
      <c r="C18" s="22" t="s">
        <v>326</v>
      </c>
      <c r="D18" s="22" t="s">
        <v>625</v>
      </c>
      <c r="E18" s="13">
        <v>42670.17564814815</v>
      </c>
      <c r="F18" s="13">
        <v>42670.177569444444</v>
      </c>
      <c r="G18" s="7">
        <v>1</v>
      </c>
      <c r="H18" s="13" t="s">
        <v>626</v>
      </c>
      <c r="I18" s="13">
        <v>42670.203819444447</v>
      </c>
      <c r="J18" s="7">
        <v>0</v>
      </c>
      <c r="K18" s="112" t="str">
        <f t="shared" si="0"/>
        <v>4011/4012</v>
      </c>
      <c r="L18" s="22" t="str">
        <f>VLOOKUP(A18,'Trips&amp;Operators'!$C$1:$E$10000,3,FALSE)</f>
        <v>MALAVE</v>
      </c>
      <c r="M18" s="6">
        <f t="shared" si="1"/>
        <v>2.6250000002619345E-2</v>
      </c>
      <c r="N18" s="7">
        <f>24*60*SUM($M18:$M18)</f>
        <v>37.800000003771856</v>
      </c>
      <c r="O18" s="7"/>
      <c r="P18" s="7"/>
      <c r="Q18" s="23"/>
      <c r="R18" s="23"/>
      <c r="S18" s="35">
        <f>SUM(U18:U18)/IF(AG18="EC",12,1)</f>
        <v>1</v>
      </c>
      <c r="T18" s="50" t="str">
        <f t="shared" si="2"/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03:12:56-0600',mode:absolute,to:'2016-10-27 05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" s="52" t="str">
        <f t="shared" si="4"/>
        <v>N</v>
      </c>
      <c r="X18" s="177">
        <f t="shared" si="5"/>
        <v>1</v>
      </c>
      <c r="Y18" s="67">
        <f t="shared" si="6"/>
        <v>7.8600000000000003E-2</v>
      </c>
      <c r="Z18" s="67">
        <f t="shared" si="7"/>
        <v>23.328299999999999</v>
      </c>
      <c r="AA18" s="67">
        <f t="shared" si="8"/>
        <v>23.249699999999997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9"/>
        <v>0105-27</v>
      </c>
      <c r="AE18" s="91" t="str">
        <f t="shared" si="10"/>
        <v>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 &amp; 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</v>
      </c>
      <c r="AF18" s="88" t="str">
        <f t="shared" si="11"/>
        <v>"C:\Program Files (x86)\AstroGrep\AstroGrep.exe" /spath="%USERPROFILE%\AppData\Local\Temp\OnboardLogs" /stypes="app*4011*20161027*" /stext=" 10:.+((SYSTEM_STATE.+slice.+state.+changed )|(ment ac)|(system.+state.+changed )|(\[timeout)|(PRM\|1\|D)|(kpr)|(kdp)|(\|lc)|(penalty))" /e /r /s</v>
      </c>
      <c r="AG18" s="1" t="str">
        <f t="shared" si="12"/>
        <v>EC</v>
      </c>
      <c r="AH18" s="92" t="str">
        <f t="shared" si="15"/>
        <v>"%USERPROFILE%\Documents\GitHub\eaglep3\Utilities\RefineRTDCRunTimes.py" --tripid 105-27 --locoid 4011 --swversion DE.1.0.8.0 --startMP 204:786 --initTime 2016-10-27T04:12:56 --startdatetime 2016-10-27T04:15:42 --delay 1 --endMP 204:233283 --enddatetime 2016-10-27T04:53:30 --enforcementcount 0 &gt;&gt;C:\Users\stu\Documents\GitHub\eaglep3-reporting\EC\2016-10-27-refined-times.txt</v>
      </c>
      <c r="AI18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{"issue":{"subject":"","project_id":79,"tracker_id":40,"status_id":1,"priority_id":2,"assigned_to_id":23,"start_date":"2016-10-27","description":"","custom_fields":[{"id":1,"name":"Subdivision","value":"EC"},{"id":4,"name":"Milepost","value":"23.3283"},{"id":17,"name":"Train ID","value":"105-27"},{"id":16,"name":"Locomotive ID","value":"4011"},{"id":130,"name":"Impact","value":""},{"id":150,"name":"Time of Event (Mountain Time)","value":"04:53:30"},{"id":151,"name":"Denver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448</v>
      </c>
      <c r="B19" s="7">
        <v>4005</v>
      </c>
      <c r="C19" s="22" t="s">
        <v>326</v>
      </c>
      <c r="D19" s="22" t="s">
        <v>627</v>
      </c>
      <c r="E19" s="13">
        <v>42670.214768518519</v>
      </c>
      <c r="F19" s="13">
        <v>42670.216319444444</v>
      </c>
      <c r="G19" s="7">
        <v>2</v>
      </c>
      <c r="H19" s="13" t="s">
        <v>628</v>
      </c>
      <c r="I19" s="13">
        <v>42670.222442129627</v>
      </c>
      <c r="J19" s="7">
        <v>0</v>
      </c>
      <c r="K19" s="112" t="str">
        <f t="shared" si="0"/>
        <v>4005/4006</v>
      </c>
      <c r="L19" s="22" t="str">
        <f>VLOOKUP(A19,'Trips&amp;Operators'!$C$1:$E$10000,3,FALSE)</f>
        <v>MALAVE</v>
      </c>
      <c r="M19" s="6">
        <f t="shared" si="1"/>
        <v>6.1226851830724627E-3</v>
      </c>
      <c r="N19" s="7"/>
      <c r="O19" s="7"/>
      <c r="P19" s="7">
        <f>24*60*SUM($M19:$M19)</f>
        <v>8.8166666636243463</v>
      </c>
      <c r="Q19" s="23"/>
      <c r="R19" s="23" t="s">
        <v>800</v>
      </c>
      <c r="S19" s="35">
        <f>SUM(U19:U19)/IF(AG19="EC",12,1)</f>
        <v>0</v>
      </c>
      <c r="T19" s="50" t="str">
        <f t="shared" si="2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04:09:16-0600',mode:absolute,to:'2016-10-27 06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9" s="52" t="str">
        <f t="shared" si="4"/>
        <v>Y</v>
      </c>
      <c r="X19" s="177">
        <f t="shared" si="5"/>
        <v>1</v>
      </c>
      <c r="Y19" s="67">
        <f t="shared" si="6"/>
        <v>23.266200000000001</v>
      </c>
      <c r="Z19" s="67">
        <f t="shared" si="7"/>
        <v>15.392300000000001</v>
      </c>
      <c r="AA19" s="67">
        <f t="shared" si="8"/>
        <v>7.8739000000000008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9"/>
        <v>0106-27</v>
      </c>
      <c r="AE19" s="91" t="str">
        <f t="shared" si="10"/>
        <v>aws s3 cp s3://rtdc.mdm.uploadarchive.raw/RTDC4005/ "%USERPROFILE%\AppData\Local\Temp\OnboardLogs"\RTDC4005\2016-10-27 --exclude "*" --recursive --include "*20161027*" &amp; "%USERPROFILE%\Documents\GitHub\mrs-test-scripts\Headless Mode &amp; Sideloading\WalkAndUnGZ.bat" "%USERPROFILE%\AppData\Local\Temp\OnboardLogs"\RTDC4005\2016-10-27 &amp; 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</v>
      </c>
      <c r="AF19" s="88" t="str">
        <f t="shared" si="11"/>
        <v>"C:\Program Files (x86)\AstroGrep\AstroGrep.exe" /spath="%USERPROFILE%\AppData\Local\Temp\OnboardLogs" /stypes="app*4005*20161027*" /stext=" 11:.+((SYSTEM_STATE.+slice.+state.+changed )|(ment ac)|(system.+state.+changed )|(\[timeout)|(PRM\|1\|D)|(kpr)|(kdp)|(\|lc)|(penalty))" /e /r /s</v>
      </c>
      <c r="AG19" s="1" t="str">
        <f t="shared" si="12"/>
        <v>EC</v>
      </c>
      <c r="AH19" s="92" t="str">
        <f t="shared" si="15"/>
        <v>"%USERPROFILE%\Documents\GitHub\eaglep3\Utilities\RefineRTDCRunTimes.py" --tripid 106-27 --locoid 4005 --swversion DE.1.0.8.0 --startMP 204:232662 --initTime 2016-10-27T05:09:16 --startdatetime 2016-10-27T05:11:30 --delay 2 --endMP 204:153923 --enddatetime 2016-10-27T05:20:19 --enforcementcount 0 &gt;&gt;C:\Users\stu\Documents\GitHub\eaglep3-reporting\EC\2016-10-27-refined-times.txt</v>
      </c>
      <c r="AI19" s="122" t="str">
        <f t="shared" si="16"/>
        <v>echo {"issue":{"subject":"ML1332 card failure","project_id":79,"tracker_id":40,"status_id":1,"priority_id":2,"assigned_to_id":23,"start_date":"2016-10-27","description":"See title","custom_fields":[{"id":1,"name":"Subdivision","value":"EC"},{"id":4,"name":"Milepost","value":"15.3923"},{"id":17,"name":"Train ID","value":"106-27"},{"id":16,"name":"Locomotive ID","value":"4005"},{"id":130,"name":"Impact","value":"Unexpected Cut-Out or Disengaged"},{"id":150,"name":"Time of Event (Mountain Time)","value":"05:20:19"},{"id":151,"name":"Denver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" s="53" t="s">
        <v>801</v>
      </c>
      <c r="AK19" s="53" t="s">
        <v>131</v>
      </c>
      <c r="AL19" s="53" t="s">
        <v>130</v>
      </c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438</v>
      </c>
      <c r="B20" s="7">
        <v>4038</v>
      </c>
      <c r="C20" s="22" t="s">
        <v>326</v>
      </c>
      <c r="D20" s="22" t="s">
        <v>224</v>
      </c>
      <c r="E20" s="13">
        <v>42670.179768518516</v>
      </c>
      <c r="F20" s="13">
        <v>42670.188032407408</v>
      </c>
      <c r="G20" s="7">
        <v>2</v>
      </c>
      <c r="H20" s="13" t="s">
        <v>217</v>
      </c>
      <c r="I20" s="13">
        <v>42670.214988425927</v>
      </c>
      <c r="J20" s="7">
        <v>0</v>
      </c>
      <c r="K20" s="112" t="str">
        <f t="shared" si="0"/>
        <v>4037/4038</v>
      </c>
      <c r="L20" s="22" t="str">
        <f>VLOOKUP(A20,'Trips&amp;Operators'!$C$1:$E$10000,3,FALSE)</f>
        <v>STRICKLAND</v>
      </c>
      <c r="M20" s="6">
        <f t="shared" si="1"/>
        <v>2.6956018518831115E-2</v>
      </c>
      <c r="N20" s="7">
        <f>24*60*SUM($M20:$M20)</f>
        <v>38.816666667116806</v>
      </c>
      <c r="O20" s="7"/>
      <c r="P20" s="7"/>
      <c r="Q20" s="23"/>
      <c r="R20" s="23"/>
      <c r="S20" s="35">
        <f>SUM(U20:U20)/IF(AG20="EC",12,1)</f>
        <v>1</v>
      </c>
      <c r="T20" s="50" t="str">
        <f t="shared" si="2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03:18:52-0600',mode:absolute,to:'2016-10-27 06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" s="52" t="str">
        <f t="shared" si="4"/>
        <v>N</v>
      </c>
      <c r="X20" s="177">
        <f t="shared" si="5"/>
        <v>1</v>
      </c>
      <c r="Y20" s="67">
        <f t="shared" si="6"/>
        <v>4.6600000000000003E-2</v>
      </c>
      <c r="Z20" s="67">
        <f t="shared" si="7"/>
        <v>23.3293</v>
      </c>
      <c r="AA20" s="67">
        <f t="shared" si="8"/>
        <v>23.282699999999998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9"/>
        <v>0107-27</v>
      </c>
      <c r="AE20" s="91" t="str">
        <f t="shared" si="10"/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AF20" s="88" t="str">
        <f t="shared" si="11"/>
        <v>"C:\Program Files (x86)\AstroGrep\AstroGrep.exe" /spath="%USERPROFILE%\AppData\Local\Temp\OnboardLogs" /stypes="app*4038*20161027*" /stext=" 11:.+((SYSTEM_STATE.+slice.+state.+changed )|(ment ac)|(system.+state.+changed )|(\[timeout)|(PRM\|1\|D)|(kpr)|(kdp)|(\|lc)|(penalty))" /e /r /s</v>
      </c>
      <c r="AG20" s="1" t="str">
        <f t="shared" si="12"/>
        <v>EC</v>
      </c>
      <c r="AH20" s="92" t="str">
        <f t="shared" si="15"/>
        <v>"%USERPROFILE%\Documents\GitHub\eaglep3\Utilities\RefineRTDCRunTimes.py" --tripid 107-27 --locoid 4038 --swversion DE.1.0.8.0 --startMP 204:466 --initTime 2016-10-27T04:18:52 --startdatetime 2016-10-27T04:30:46 --delay 2 --endMP 204:233293 --enddatetime 2016-10-27T05:09:35 --enforcementcount 0 &gt;&gt;C:\Users\stu\Documents\GitHub\eaglep3-reporting\EC\2016-10-27-refined-times.txt</v>
      </c>
      <c r="AI20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{"issue":{"subject":"","project_id":79,"tracker_id":40,"status_id":1,"priority_id":2,"assigned_to_id":23,"start_date":"2016-10-27","description":"","custom_fields":[{"id":1,"name":"Subdivision","value":"EC"},{"id":4,"name":"Milepost","value":"23.3293"},{"id":17,"name":"Train ID","value":"107-27"},{"id":16,"name":"Locomotive ID","value":"4038"},{"id":130,"name":"Impact","value":""},{"id":150,"name":"Time of Event (Mountain Time)","value":"05:09:35"},{"id":151,"name":"Denver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388</v>
      </c>
      <c r="B21" s="7">
        <v>4037</v>
      </c>
      <c r="C21" s="22" t="s">
        <v>326</v>
      </c>
      <c r="D21" s="22" t="s">
        <v>274</v>
      </c>
      <c r="E21" s="13">
        <v>42670.224328703705</v>
      </c>
      <c r="F21" s="13">
        <v>42670.225173611114</v>
      </c>
      <c r="G21" s="7">
        <v>1</v>
      </c>
      <c r="H21" s="13" t="s">
        <v>629</v>
      </c>
      <c r="I21" s="13">
        <v>42670.232164351852</v>
      </c>
      <c r="J21" s="7">
        <v>0</v>
      </c>
      <c r="K21" s="112" t="str">
        <f t="shared" si="0"/>
        <v>4037/4038</v>
      </c>
      <c r="L21" s="22" t="str">
        <f>VLOOKUP(A21,'Trips&amp;Operators'!$C$1:$E$10000,3,FALSE)</f>
        <v>STRICKLAND</v>
      </c>
      <c r="M21" s="6">
        <f t="shared" si="1"/>
        <v>6.9907407378195785E-3</v>
      </c>
      <c r="N21" s="7"/>
      <c r="O21" s="7"/>
      <c r="P21" s="7">
        <f>24*60*SUM($M21:$M22)</f>
        <v>31.416666655568406</v>
      </c>
      <c r="Q21" s="23"/>
      <c r="R21" s="23" t="s">
        <v>800</v>
      </c>
      <c r="S21" s="35">
        <f>SUM(U21:U22)/IF(AG21="EC",12,1)</f>
        <v>0.83333333333333337</v>
      </c>
      <c r="T21" s="50" t="str">
        <f t="shared" si="2"/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04:23:02-0600',mode:absolute,to:'2016-10-27 06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" s="52" t="str">
        <f t="shared" si="4"/>
        <v>Y</v>
      </c>
      <c r="X21" s="177">
        <f t="shared" si="5"/>
        <v>1</v>
      </c>
      <c r="Y21" s="67">
        <f t="shared" si="6"/>
        <v>23.2971</v>
      </c>
      <c r="Z21" s="67">
        <f t="shared" si="7"/>
        <v>19.3491</v>
      </c>
      <c r="AA21" s="67">
        <f t="shared" si="8"/>
        <v>3.9480000000000004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9"/>
        <v>0108-27</v>
      </c>
      <c r="AE21" s="91" t="str">
        <f t="shared" si="10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21" s="88" t="str">
        <f t="shared" si="11"/>
        <v>"C:\Program Files (x86)\AstroGrep\AstroGrep.exe" /spath="%USERPROFILE%\AppData\Local\Temp\OnboardLogs" /stypes="app*4037*20161027*" /stext=" 11:.+((SYSTEM_STATE.+slice.+state.+changed )|(ment ac)|(system.+state.+changed )|(\[timeout)|(PRM\|1\|D)|(kpr)|(kdp)|(\|lc)|(penalty))" /e /r /s</v>
      </c>
      <c r="AG21" s="1" t="str">
        <f t="shared" si="12"/>
        <v>EC</v>
      </c>
      <c r="AH21" s="92" t="str">
        <f t="shared" si="15"/>
        <v>"%USERPROFILE%\Documents\GitHub\eaglep3\Utilities\RefineRTDCRunTimes.py" --tripid 108-27 --locoid 4037 --swversion DE.1.0.8.0 --startMP 204:232971 --initTime 2016-10-27T05:23:02 --startdatetime 2016-10-27T05:24:15 --delay 1 --endMP 204:193491 --enddatetime 2016-10-27T05:34:19 --enforcementcount 0 &gt;&gt;C:\Users\stu\Documents\GitHub\eaglep3-reporting\EC\2016-10-27-refined-times.txt</v>
      </c>
      <c r="AI21" s="122" t="str">
        <f t="shared" si="16"/>
        <v>echo {"issue":{"subject":"ML1332 card failure","project_id":79,"tracker_id":40,"status_id":1,"priority_id":2,"assigned_to_id":23,"start_date":"2016-10-27","description":"See title","custom_fields":[{"id":1,"name":"Subdivision","value":"EC"},{"id":4,"name":"Milepost","value":"19.3491"},{"id":17,"name":"Train ID","value":"108-27"},{"id":16,"name":"Locomotive ID","value":"4037"},{"id":130,"name":"Impact","value":"Unexpected Cut-Out or Disengaged"},{"id":150,"name":"Time of Event (Mountain Time)","value":"05:34:19"},{"id":151,"name":"Denver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1" s="53" t="s">
        <v>801</v>
      </c>
      <c r="AK21" s="53" t="s">
        <v>131</v>
      </c>
      <c r="AL21" s="53" t="s">
        <v>130</v>
      </c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388</v>
      </c>
      <c r="B22" s="7">
        <v>4037</v>
      </c>
      <c r="C22" s="22" t="s">
        <v>326</v>
      </c>
      <c r="D22" s="22" t="s">
        <v>630</v>
      </c>
      <c r="E22" s="13">
        <v>42670.248159722221</v>
      </c>
      <c r="F22" s="13">
        <v>42670.248761574076</v>
      </c>
      <c r="G22" s="7">
        <v>0</v>
      </c>
      <c r="H22" s="13" t="s">
        <v>297</v>
      </c>
      <c r="I22" s="13">
        <v>42670.26358796296</v>
      </c>
      <c r="J22" s="7">
        <v>1</v>
      </c>
      <c r="K22" s="112" t="str">
        <f t="shared" si="0"/>
        <v>4037/4038</v>
      </c>
      <c r="L22" s="22" t="str">
        <f>VLOOKUP(A22,'Trips&amp;Operators'!$C$1:$E$10000,3,FALSE)</f>
        <v>STRICKLAND</v>
      </c>
      <c r="M22" s="6">
        <f t="shared" si="1"/>
        <v>1.4826388884102926E-2</v>
      </c>
      <c r="N22" s="7"/>
      <c r="O22" s="7"/>
      <c r="P22" s="7"/>
      <c r="Q22" s="23"/>
      <c r="R22" s="23"/>
      <c r="S22" s="35"/>
      <c r="T22" s="50" t="str">
        <f t="shared" si="2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10</v>
      </c>
      <c r="V2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04:57:21-0600',mode:absolute,to:'2016-10-27 07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" s="52" t="str">
        <f t="shared" si="4"/>
        <v>Y</v>
      </c>
      <c r="X22" s="177">
        <f t="shared" si="5"/>
        <v>0</v>
      </c>
      <c r="Y22" s="67">
        <f t="shared" si="6"/>
        <v>8.6353000000000009</v>
      </c>
      <c r="Z22" s="67">
        <f t="shared" si="7"/>
        <v>1.61E-2</v>
      </c>
      <c r="AA22" s="67">
        <f t="shared" si="8"/>
        <v>8.6192000000000011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9"/>
        <v>0108-27</v>
      </c>
      <c r="AE22" s="91" t="str">
        <f t="shared" si="10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22" s="88" t="str">
        <f t="shared" si="11"/>
        <v>"C:\Program Files (x86)\AstroGrep\AstroGrep.exe" /spath="%USERPROFILE%\AppData\Local\Temp\OnboardLogs" /stypes="app*4037*20161027*" /stext=" 12:.+((SYSTEM_STATE.+slice.+state.+changed )|(ment ac)|(system.+state.+changed )|(\[timeout)|(PRM\|1\|D)|(kpr)|(kdp)|(\|lc)|(penalty))" /e /r /s</v>
      </c>
      <c r="AG22" s="1" t="str">
        <f t="shared" si="12"/>
        <v>EC</v>
      </c>
      <c r="AH22" s="92" t="str">
        <f t="shared" si="15"/>
        <v>"%USERPROFILE%\Documents\GitHub\eaglep3\Utilities\RefineRTDCRunTimes.py" --tripid 108-27 --locoid 4037 --swversion DE.1.0.8.0 --startMP 204:86353 --initTime 2016-10-27T05:57:21 --startdatetime 2016-10-27T05:58:13 --delay 0 --endMP 204:161 --enddatetime 2016-10-27T06:19:34 --enforcementcount 1 &gt;&gt;C:\Users\stu\Documents\GitHub\eaglep3-reporting\EC\2016-10-27-refined-times.txt</v>
      </c>
      <c r="AI22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{"issue":{"subject":"","project_id":79,"tracker_id":40,"status_id":1,"priority_id":2,"assigned_to_id":23,"start_date":"2016-10-27","description":"","custom_fields":[{"id":1,"name":"Subdivision","value":"EC"},{"id":4,"name":"Milepost","value":"0.0161"},{"id":17,"name":"Train ID","value":"108-27"},{"id":16,"name":"Locomotive ID","value":"4037"},{"id":130,"name":"Impact","value":""},{"id":150,"name":"Time of Event (Mountain Time)","value":"06:19:34"},{"id":151,"name":"Denver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441</v>
      </c>
      <c r="B23" s="7">
        <v>4018</v>
      </c>
      <c r="C23" s="22" t="s">
        <v>326</v>
      </c>
      <c r="D23" s="22" t="s">
        <v>223</v>
      </c>
      <c r="E23" s="13">
        <v>42670.19394675926</v>
      </c>
      <c r="F23" s="13">
        <v>42670.198275462964</v>
      </c>
      <c r="G23" s="7">
        <v>2</v>
      </c>
      <c r="H23" s="13" t="s">
        <v>631</v>
      </c>
      <c r="I23" s="13">
        <v>42670.229444444441</v>
      </c>
      <c r="J23" s="7">
        <v>0</v>
      </c>
      <c r="K23" s="112" t="str">
        <f t="shared" si="0"/>
        <v>4017/4018</v>
      </c>
      <c r="L23" s="22" t="str">
        <f>VLOOKUP(A23,'Trips&amp;Operators'!$C$1:$E$10000,3,FALSE)</f>
        <v>MACDONALD</v>
      </c>
      <c r="M23" s="6">
        <f t="shared" si="1"/>
        <v>3.1168981477094349E-2</v>
      </c>
      <c r="N23" s="7">
        <f>24*60*SUM($M23:$M23)</f>
        <v>44.883333327015862</v>
      </c>
      <c r="O23" s="7"/>
      <c r="P23" s="7"/>
      <c r="Q23" s="23"/>
      <c r="R23" s="23"/>
      <c r="S23" s="35">
        <f t="shared" ref="S23:S34" si="17">SUM(U23:U23)/IF(AG23="EC",12,1)</f>
        <v>1</v>
      </c>
      <c r="T23" s="50" t="str">
        <f t="shared" si="2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03:39:17-0600',mode:absolute,to:'2016-10-27 06:30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" s="52" t="str">
        <f t="shared" si="4"/>
        <v>N</v>
      </c>
      <c r="X23" s="177">
        <f t="shared" si="5"/>
        <v>1</v>
      </c>
      <c r="Y23" s="67">
        <f t="shared" si="6"/>
        <v>4.5499999999999999E-2</v>
      </c>
      <c r="Z23" s="67">
        <f t="shared" si="7"/>
        <v>23.3246</v>
      </c>
      <c r="AA23" s="67">
        <f t="shared" si="8"/>
        <v>23.2791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9"/>
        <v>0109-27</v>
      </c>
      <c r="AE23" s="91" t="str">
        <f t="shared" si="10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23" s="88" t="str">
        <f t="shared" si="11"/>
        <v>"C:\Program Files (x86)\AstroGrep\AstroGrep.exe" /spath="%USERPROFILE%\AppData\Local\Temp\OnboardLogs" /stypes="app*4018*20161027*" /stext=" 11:.+((SYSTEM_STATE.+slice.+state.+changed )|(ment ac)|(system.+state.+changed )|(\[timeout)|(PRM\|1\|D)|(kpr)|(kdp)|(\|lc)|(penalty))" /e /r /s</v>
      </c>
      <c r="AG23" s="1" t="str">
        <f t="shared" si="12"/>
        <v>EC</v>
      </c>
      <c r="AH23" s="92" t="str">
        <f t="shared" si="15"/>
        <v>"%USERPROFILE%\Documents\GitHub\eaglep3\Utilities\RefineRTDCRunTimes.py" --tripid 109-27 --locoid 4018 --swversion DE.1.0.8.0 --startMP 204:455 --initTime 2016-10-27T04:39:17 --startdatetime 2016-10-27T04:45:31 --delay 2 --endMP 204:233246 --enddatetime 2016-10-27T05:30:24 --enforcementcount 0 &gt;&gt;C:\Users\stu\Documents\GitHub\eaglep3-reporting\EC\2016-10-27-refined-times.txt</v>
      </c>
      <c r="AI23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{"issue":{"subject":"","project_id":79,"tracker_id":40,"status_id":1,"priority_id":2,"assigned_to_id":23,"start_date":"2016-10-27","description":"","custom_fields":[{"id":1,"name":"Subdivision","value":"EC"},{"id":4,"name":"Milepost","value":"23.3246"},{"id":17,"name":"Train ID","value":"109-27"},{"id":16,"name":"Locomotive ID","value":"4018"},{"id":130,"name":"Impact","value":""},{"id":150,"name":"Time of Event (Mountain Time)","value":"05:30:24"},{"id":151,"name":"Denver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386</v>
      </c>
      <c r="B24" s="7">
        <v>4017</v>
      </c>
      <c r="C24" s="22" t="s">
        <v>326</v>
      </c>
      <c r="D24" s="22" t="s">
        <v>632</v>
      </c>
      <c r="E24" s="13">
        <v>42670.234618055554</v>
      </c>
      <c r="F24" s="13">
        <v>42670.237476851849</v>
      </c>
      <c r="G24" s="7">
        <v>1</v>
      </c>
      <c r="H24" s="13" t="s">
        <v>633</v>
      </c>
      <c r="I24" s="13">
        <v>42670.245474537034</v>
      </c>
      <c r="J24" s="7">
        <v>0</v>
      </c>
      <c r="K24" s="112" t="str">
        <f t="shared" si="0"/>
        <v>4017/4018</v>
      </c>
      <c r="L24" s="22" t="str">
        <f>VLOOKUP(A24,'Trips&amp;Operators'!$C$1:$E$10000,3,FALSE)</f>
        <v>MACDONALD</v>
      </c>
      <c r="M24" s="6">
        <f t="shared" si="1"/>
        <v>7.9976851848186925E-3</v>
      </c>
      <c r="N24" s="7"/>
      <c r="O24" s="7"/>
      <c r="P24" s="7">
        <f>24*60*SUM($M24:$M24)</f>
        <v>11.516666666138917</v>
      </c>
      <c r="Q24" s="23"/>
      <c r="R24" s="23" t="s">
        <v>800</v>
      </c>
      <c r="S24" s="35">
        <f t="shared" si="17"/>
        <v>0</v>
      </c>
      <c r="T24" s="50" t="str">
        <f t="shared" si="2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04:37:51-0600',mode:absolute,to:'2016-10-27 06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4" s="52" t="str">
        <f t="shared" si="4"/>
        <v>Y</v>
      </c>
      <c r="X24" s="177">
        <f t="shared" si="5"/>
        <v>1</v>
      </c>
      <c r="Y24" s="67">
        <f t="shared" si="6"/>
        <v>23.2959</v>
      </c>
      <c r="Z24" s="67">
        <f t="shared" si="7"/>
        <v>15.399699999999999</v>
      </c>
      <c r="AA24" s="67">
        <f t="shared" si="8"/>
        <v>7.8962000000000003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9"/>
        <v>0110-27</v>
      </c>
      <c r="AE24" s="91" t="str">
        <f t="shared" si="10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24" s="88" t="str">
        <f t="shared" si="11"/>
        <v>"C:\Program Files (x86)\AstroGrep\AstroGrep.exe" /spath="%USERPROFILE%\AppData\Local\Temp\OnboardLogs" /stypes="app*4017*20161027*" /stext=" 11:.+((SYSTEM_STATE.+slice.+state.+changed )|(ment ac)|(system.+state.+changed )|(\[timeout)|(PRM\|1\|D)|(kpr)|(kdp)|(\|lc)|(penalty))" /e /r /s</v>
      </c>
      <c r="AG24" s="1" t="str">
        <f t="shared" si="12"/>
        <v>EC</v>
      </c>
      <c r="AH24" s="92" t="str">
        <f t="shared" si="15"/>
        <v>"%USERPROFILE%\Documents\GitHub\eaglep3\Utilities\RefineRTDCRunTimes.py" --tripid 110-27 --locoid 4017 --swversion DE.1.0.8.0 --startMP 204:232959 --initTime 2016-10-27T05:37:51 --startdatetime 2016-10-27T05:41:58 --delay 1 --endMP 204:153997 --enddatetime 2016-10-27T05:53:29 --enforcementcount 0 &gt;&gt;C:\Users\stu\Documents\GitHub\eaglep3-reporting\EC\2016-10-27-refined-times.txt</v>
      </c>
      <c r="AI24" s="122" t="str">
        <f t="shared" si="16"/>
        <v>echo {"issue":{"subject":"ML1332 card failure","project_id":79,"tracker_id":40,"status_id":1,"priority_id":2,"assigned_to_id":23,"start_date":"2016-10-27","description":"See title","custom_fields":[{"id":1,"name":"Subdivision","value":"EC"},{"id":4,"name":"Milepost","value":"15.3997"},{"id":17,"name":"Train ID","value":"110-27"},{"id":16,"name":"Locomotive ID","value":"4017"},{"id":130,"name":"Impact","value":"Unexpected Cut-Out or Disengaged"},{"id":150,"name":"Time of Event (Mountain Time)","value":"05:53:29"},{"id":151,"name":"Denver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4" s="53" t="s">
        <v>801</v>
      </c>
      <c r="AK24" s="53" t="s">
        <v>131</v>
      </c>
      <c r="AL24" s="53" t="s">
        <v>130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444</v>
      </c>
      <c r="B25" s="7">
        <v>4022</v>
      </c>
      <c r="C25" s="22" t="s">
        <v>326</v>
      </c>
      <c r="D25" s="22" t="s">
        <v>634</v>
      </c>
      <c r="E25" s="13">
        <v>42670.204363425924</v>
      </c>
      <c r="F25" s="13">
        <v>42670.20925925926</v>
      </c>
      <c r="G25" s="7">
        <v>1</v>
      </c>
      <c r="H25" s="13" t="s">
        <v>356</v>
      </c>
      <c r="I25" s="13">
        <v>42670.235127314816</v>
      </c>
      <c r="J25" s="7">
        <v>0</v>
      </c>
      <c r="K25" s="112" t="str">
        <f t="shared" si="0"/>
        <v>4021/4022</v>
      </c>
      <c r="L25" s="22" t="str">
        <f>VLOOKUP(A25,'Trips&amp;Operators'!$C$1:$E$10000,3,FALSE)</f>
        <v>STARKS</v>
      </c>
      <c r="M25" s="6">
        <f t="shared" si="1"/>
        <v>2.5868055556202307E-2</v>
      </c>
      <c r="N25" s="7">
        <f>24*60*SUM($M25:$M25)</f>
        <v>37.250000000931323</v>
      </c>
      <c r="O25" s="7"/>
      <c r="P25" s="7"/>
      <c r="Q25" s="23"/>
      <c r="R25" s="23"/>
      <c r="S25" s="35">
        <f t="shared" si="17"/>
        <v>1</v>
      </c>
      <c r="T25" s="50" t="str">
        <f t="shared" si="2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03:54:17-0600',mode:absolute,to:'2016-10-27 06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 t="shared" si="4"/>
        <v>N</v>
      </c>
      <c r="X25" s="177">
        <f t="shared" si="5"/>
        <v>1</v>
      </c>
      <c r="Y25" s="67">
        <f t="shared" si="6"/>
        <v>0.1182</v>
      </c>
      <c r="Z25" s="67">
        <f t="shared" si="7"/>
        <v>23.326599999999999</v>
      </c>
      <c r="AA25" s="67">
        <f t="shared" si="8"/>
        <v>23.208399999999997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9"/>
        <v>0111-27</v>
      </c>
      <c r="AE25" s="91" t="str">
        <f t="shared" si="10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25" s="88" t="str">
        <f t="shared" si="11"/>
        <v>"C:\Program Files (x86)\AstroGrep\AstroGrep.exe" /spath="%USERPROFILE%\AppData\Local\Temp\OnboardLogs" /stypes="app*4022*20161027*" /stext=" 11:.+((SYSTEM_STATE.+slice.+state.+changed )|(ment ac)|(system.+state.+changed )|(\[timeout)|(PRM\|1\|D)|(kpr)|(kdp)|(\|lc)|(penalty))" /e /r /s</v>
      </c>
      <c r="AG25" s="1" t="str">
        <f t="shared" si="12"/>
        <v>EC</v>
      </c>
      <c r="AH25" s="92" t="str">
        <f t="shared" si="15"/>
        <v>"%USERPROFILE%\Documents\GitHub\eaglep3\Utilities\RefineRTDCRunTimes.py" --tripid 111-27 --locoid 4022 --swversion DE.1.0.8.0 --startMP 204:1182 --initTime 2016-10-27T04:54:17 --startdatetime 2016-10-27T05:01:20 --delay 1 --endMP 204:233266 --enddatetime 2016-10-27T05:38:35 --enforcementcount 0 &gt;&gt;C:\Users\stu\Documents\GitHub\eaglep3-reporting\EC\2016-10-27-refined-times.txt</v>
      </c>
      <c r="AI25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{"issue":{"subject":"","project_id":79,"tracker_id":40,"status_id":1,"priority_id":2,"assigned_to_id":23,"start_date":"2016-10-27","description":"","custom_fields":[{"id":1,"name":"Subdivision","value":"EC"},{"id":4,"name":"Milepost","value":"23.3266"},{"id":17,"name":"Train ID","value":"111-27"},{"id":16,"name":"Locomotive ID","value":"4022"},{"id":130,"name":"Impact","value":""},{"id":150,"name":"Time of Event (Mountain Time)","value":"05:38:35"},{"id":151,"name":"Denver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451</v>
      </c>
      <c r="B26" s="7">
        <v>4021</v>
      </c>
      <c r="C26" s="22" t="s">
        <v>326</v>
      </c>
      <c r="D26" s="22" t="s">
        <v>274</v>
      </c>
      <c r="E26" s="13">
        <v>42670.245081018518</v>
      </c>
      <c r="F26" s="13">
        <v>42670.247476851851</v>
      </c>
      <c r="G26" s="7">
        <v>1</v>
      </c>
      <c r="H26" s="13" t="s">
        <v>635</v>
      </c>
      <c r="I26" s="13">
        <v>42670.25849537037</v>
      </c>
      <c r="J26" s="7">
        <v>0</v>
      </c>
      <c r="K26" s="112" t="str">
        <f t="shared" si="0"/>
        <v>4021/4022</v>
      </c>
      <c r="L26" s="22" t="str">
        <f>VLOOKUP(A26,'Trips&amp;Operators'!$C$1:$E$10000,3,FALSE)</f>
        <v>STARKS</v>
      </c>
      <c r="M26" s="6">
        <f t="shared" si="1"/>
        <v>1.1018518518540077E-2</v>
      </c>
      <c r="N26" s="7"/>
      <c r="O26" s="7"/>
      <c r="P26" s="7">
        <f>24*60*SUM($M26:$M26)</f>
        <v>15.866666666697711</v>
      </c>
      <c r="Q26" s="23"/>
      <c r="R26" s="23" t="s">
        <v>800</v>
      </c>
      <c r="S26" s="35">
        <f t="shared" si="17"/>
        <v>0</v>
      </c>
      <c r="T26" s="50" t="str">
        <f t="shared" si="2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04:52:55-0600',mode:absolute,to:'2016-10-27 07:12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 t="shared" si="4"/>
        <v>Y</v>
      </c>
      <c r="X26" s="177">
        <f t="shared" si="5"/>
        <v>1</v>
      </c>
      <c r="Y26" s="67">
        <f t="shared" si="6"/>
        <v>23.2971</v>
      </c>
      <c r="Z26" s="67">
        <f t="shared" si="7"/>
        <v>15.3985</v>
      </c>
      <c r="AA26" s="67">
        <f t="shared" si="8"/>
        <v>7.8986000000000001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9"/>
        <v>0112-27</v>
      </c>
      <c r="AE26" s="91" t="str">
        <f t="shared" si="10"/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AF26" s="88" t="str">
        <f t="shared" si="11"/>
        <v>"C:\Program Files (x86)\AstroGrep\AstroGrep.exe" /spath="%USERPROFILE%\AppData\Local\Temp\OnboardLogs" /stypes="app*4021*20161027*" /stext=" 12:.+((SYSTEM_STATE.+slice.+state.+changed )|(ment ac)|(system.+state.+changed )|(\[timeout)|(PRM\|1\|D)|(kpr)|(kdp)|(\|lc)|(penalty))" /e /r /s</v>
      </c>
      <c r="AG26" s="1" t="str">
        <f t="shared" si="12"/>
        <v>EC</v>
      </c>
      <c r="AH26" s="92" t="str">
        <f t="shared" si="15"/>
        <v>"%USERPROFILE%\Documents\GitHub\eaglep3\Utilities\RefineRTDCRunTimes.py" --tripid 112-27 --locoid 4021 --swversion DE.1.0.8.0 --startMP 204:232971 --initTime 2016-10-27T05:52:55 --startdatetime 2016-10-27T05:56:22 --delay 1 --endMP 204:153985 --enddatetime 2016-10-27T06:12:14 --enforcementcount 0 &gt;&gt;C:\Users\stu\Documents\GitHub\eaglep3-reporting\EC\2016-10-27-refined-times.txt</v>
      </c>
      <c r="AI26" s="122" t="str">
        <f t="shared" si="16"/>
        <v>echo {"issue":{"subject":"ML1332 card failure","project_id":79,"tracker_id":40,"status_id":1,"priority_id":2,"assigned_to_id":23,"start_date":"2016-10-27","description":"See title","custom_fields":[{"id":1,"name":"Subdivision","value":"EC"},{"id":4,"name":"Milepost","value":"15.3985"},{"id":17,"name":"Train ID","value":"112-27"},{"id":16,"name":"Locomotive ID","value":"4021"},{"id":130,"name":"Impact","value":"Unexpected Cut-Out or Disengaged"},{"id":150,"name":"Time of Event (Mountain Time)","value":"06:12:14"},{"id":151,"name":"Denver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6" s="53" t="s">
        <v>801</v>
      </c>
      <c r="AK26" s="53" t="s">
        <v>131</v>
      </c>
      <c r="AL26" s="53" t="s">
        <v>130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447</v>
      </c>
      <c r="B27" s="7">
        <v>4002</v>
      </c>
      <c r="C27" s="22" t="s">
        <v>326</v>
      </c>
      <c r="D27" s="22" t="s">
        <v>365</v>
      </c>
      <c r="E27" s="13">
        <v>42670.213043981479</v>
      </c>
      <c r="F27" s="13">
        <v>42670.219039351854</v>
      </c>
      <c r="G27" s="7">
        <v>1</v>
      </c>
      <c r="H27" s="13" t="s">
        <v>276</v>
      </c>
      <c r="I27" s="13">
        <v>42670.245300925926</v>
      </c>
      <c r="J27" s="7">
        <v>0</v>
      </c>
      <c r="K27" s="112" t="str">
        <f t="shared" si="0"/>
        <v>4001/4002</v>
      </c>
      <c r="L27" s="22" t="str">
        <f>VLOOKUP(A27,'Trips&amp;Operators'!$C$1:$E$10000,3,FALSE)</f>
        <v>MAELZER</v>
      </c>
      <c r="M27" s="6">
        <f t="shared" si="1"/>
        <v>2.626157407212304E-2</v>
      </c>
      <c r="N27" s="7">
        <f>24*60*SUM($M27:$M27)</f>
        <v>37.816666663857177</v>
      </c>
      <c r="O27" s="7"/>
      <c r="P27" s="7"/>
      <c r="Q27" s="23"/>
      <c r="R27" s="23"/>
      <c r="S27" s="35">
        <f t="shared" si="17"/>
        <v>1</v>
      </c>
      <c r="T27" s="50" t="str">
        <f t="shared" si="2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04:06:47-0600',mode:absolute,to:'2016-10-27 06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7" s="52" t="str">
        <f t="shared" si="4"/>
        <v>N</v>
      </c>
      <c r="X27" s="177">
        <f t="shared" si="5"/>
        <v>1</v>
      </c>
      <c r="Y27" s="67">
        <f t="shared" si="6"/>
        <v>7.6100000000000001E-2</v>
      </c>
      <c r="Z27" s="67">
        <f t="shared" si="7"/>
        <v>23.329799999999999</v>
      </c>
      <c r="AA27" s="67">
        <f t="shared" si="8"/>
        <v>23.253699999999998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9"/>
        <v>0113-27</v>
      </c>
      <c r="AE27" s="91" t="str">
        <f t="shared" si="10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27" s="88" t="str">
        <f t="shared" si="11"/>
        <v>"C:\Program Files (x86)\AstroGrep\AstroGrep.exe" /spath="%USERPROFILE%\AppData\Local\Temp\OnboardLogs" /stypes="app*4002*20161027*" /stext=" 11:.+((SYSTEM_STATE.+slice.+state.+changed )|(ment ac)|(system.+state.+changed )|(\[timeout)|(PRM\|1\|D)|(kpr)|(kdp)|(\|lc)|(penalty))" /e /r /s</v>
      </c>
      <c r="AG27" s="1" t="str">
        <f t="shared" si="12"/>
        <v>EC</v>
      </c>
      <c r="AH27" s="92" t="str">
        <f t="shared" si="15"/>
        <v>"%USERPROFILE%\Documents\GitHub\eaglep3\Utilities\RefineRTDCRunTimes.py" --tripid 113-27 --locoid 4002 --swversion DE.1.0.8.0 --startMP 204:761 --initTime 2016-10-27T05:06:47 --startdatetime 2016-10-27T05:15:25 --delay 1 --endMP 204:233298 --enddatetime 2016-10-27T05:53:14 --enforcementcount 0 &gt;&gt;C:\Users\stu\Documents\GitHub\eaglep3-reporting\EC\2016-10-27-refined-times.txt</v>
      </c>
      <c r="AI27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{"issue":{"subject":"","project_id":79,"tracker_id":40,"status_id":1,"priority_id":2,"assigned_to_id":23,"start_date":"2016-10-27","description":"","custom_fields":[{"id":1,"name":"Subdivision","value":"EC"},{"id":4,"name":"Milepost","value":"23.3298"},{"id":17,"name":"Train ID","value":"113-27"},{"id":16,"name":"Locomotive ID","value":"4002"},{"id":130,"name":"Impact","value":""},{"id":150,"name":"Time of Event (Mountain Time)","value":"05:53:14"},{"id":151,"name":"Denver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454</v>
      </c>
      <c r="B28" s="7">
        <v>4001</v>
      </c>
      <c r="C28" s="22" t="s">
        <v>326</v>
      </c>
      <c r="D28" s="22" t="s">
        <v>313</v>
      </c>
      <c r="E28" s="13">
        <v>42670.252615740741</v>
      </c>
      <c r="F28" s="13">
        <v>42670.258240740739</v>
      </c>
      <c r="G28" s="7">
        <v>1</v>
      </c>
      <c r="H28" s="13" t="s">
        <v>636</v>
      </c>
      <c r="I28" s="13">
        <v>42670.268553240741</v>
      </c>
      <c r="J28" s="7">
        <v>0</v>
      </c>
      <c r="K28" s="112" t="str">
        <f t="shared" si="0"/>
        <v>4001/4002</v>
      </c>
      <c r="L28" s="22" t="str">
        <f>VLOOKUP(A28,'Trips&amp;Operators'!$C$1:$E$10000,3,FALSE)</f>
        <v>MAELZER</v>
      </c>
      <c r="M28" s="6">
        <f t="shared" si="1"/>
        <v>1.0312500002328306E-2</v>
      </c>
      <c r="N28" s="7"/>
      <c r="O28" s="7"/>
      <c r="P28" s="7">
        <f>24*60*SUM($M28:$M28)</f>
        <v>14.850000003352761</v>
      </c>
      <c r="Q28" s="23"/>
      <c r="R28" s="23" t="s">
        <v>800</v>
      </c>
      <c r="S28" s="35">
        <f t="shared" si="17"/>
        <v>0</v>
      </c>
      <c r="T28" s="50" t="str">
        <f t="shared" si="2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05:03:46-0600',mode:absolute,to:'2016-10-27 07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8" s="52" t="str">
        <f t="shared" si="4"/>
        <v>Y</v>
      </c>
      <c r="X28" s="177">
        <f t="shared" si="5"/>
        <v>1</v>
      </c>
      <c r="Y28" s="67">
        <f t="shared" si="6"/>
        <v>23.298100000000002</v>
      </c>
      <c r="Z28" s="67">
        <f t="shared" si="7"/>
        <v>15.3986</v>
      </c>
      <c r="AA28" s="67">
        <f t="shared" si="8"/>
        <v>7.8995000000000015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9"/>
        <v>0114-27</v>
      </c>
      <c r="AE28" s="91" t="str">
        <f t="shared" si="10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28" s="88" t="str">
        <f t="shared" si="11"/>
        <v>"C:\Program Files (x86)\AstroGrep\AstroGrep.exe" /spath="%USERPROFILE%\AppData\Local\Temp\OnboardLogs" /stypes="app*4001*20161027*" /stext=" 12:.+((SYSTEM_STATE.+slice.+state.+changed )|(ment ac)|(system.+state.+changed )|(\[timeout)|(PRM\|1\|D)|(kpr)|(kdp)|(\|lc)|(penalty))" /e /r /s</v>
      </c>
      <c r="AG28" s="1" t="str">
        <f t="shared" si="12"/>
        <v>EC</v>
      </c>
      <c r="AH28" s="92" t="str">
        <f t="shared" si="15"/>
        <v>"%USERPROFILE%\Documents\GitHub\eaglep3\Utilities\RefineRTDCRunTimes.py" --tripid 114-27 --locoid 4001 --swversion DE.1.0.8.0 --startMP 204:232981 --initTime 2016-10-27T06:03:46 --startdatetime 2016-10-27T06:11:52 --delay 1 --endMP 204:153986 --enddatetime 2016-10-27T06:26:43 --enforcementcount 0 &gt;&gt;C:\Users\stu\Documents\GitHub\eaglep3-reporting\EC\2016-10-27-refined-times.txt</v>
      </c>
      <c r="AI28" s="122" t="str">
        <f t="shared" si="16"/>
        <v>echo {"issue":{"subject":"ML1332 card failure","project_id":79,"tracker_id":40,"status_id":1,"priority_id":2,"assigned_to_id":23,"start_date":"2016-10-27","description":"See title","custom_fields":[{"id":1,"name":"Subdivision","value":"EC"},{"id":4,"name":"Milepost","value":"15.3986"},{"id":17,"name":"Train ID","value":"114-27"},{"id":16,"name":"Locomotive ID","value":"4001"},{"id":130,"name":"Impact","value":"Unexpected Cut-Out or Disengaged"},{"id":150,"name":"Time of Event (Mountain Time)","value":"06:26:43"},{"id":151,"name":"Denver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8" s="53" t="s">
        <v>801</v>
      </c>
      <c r="AK28" s="53" t="s">
        <v>131</v>
      </c>
      <c r="AL28" s="53" t="s">
        <v>130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449</v>
      </c>
      <c r="B29" s="7">
        <v>4007</v>
      </c>
      <c r="C29" s="22" t="s">
        <v>326</v>
      </c>
      <c r="D29" s="22" t="s">
        <v>221</v>
      </c>
      <c r="E29" s="13">
        <v>42670.223263888889</v>
      </c>
      <c r="F29" s="13">
        <v>42670.229375000003</v>
      </c>
      <c r="G29" s="7">
        <v>1</v>
      </c>
      <c r="H29" s="13" t="s">
        <v>637</v>
      </c>
      <c r="I29" s="13">
        <v>42670.258472222224</v>
      </c>
      <c r="J29" s="7">
        <v>0</v>
      </c>
      <c r="K29" s="112" t="str">
        <f t="shared" si="0"/>
        <v>4007/4008</v>
      </c>
      <c r="L29" s="22" t="str">
        <f>VLOOKUP(A29,'Trips&amp;Operators'!$C$1:$E$10000,3,FALSE)</f>
        <v>NELSON</v>
      </c>
      <c r="M29" s="6">
        <f t="shared" si="1"/>
        <v>2.9097222221025731E-2</v>
      </c>
      <c r="N29" s="7">
        <f t="shared" ref="N29:N34" si="18">24*60*SUM($M29:$M29)</f>
        <v>41.899999998277053</v>
      </c>
      <c r="O29" s="7"/>
      <c r="P29" s="7"/>
      <c r="Q29" s="23"/>
      <c r="R29" s="23"/>
      <c r="S29" s="35">
        <f t="shared" si="17"/>
        <v>1</v>
      </c>
      <c r="T29" s="50" t="str">
        <f t="shared" si="2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04:21:30-0600',mode:absolute,to:'2016-10-27 07:12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9" s="52" t="str">
        <f t="shared" si="4"/>
        <v>N</v>
      </c>
      <c r="X29" s="177">
        <f t="shared" si="5"/>
        <v>1</v>
      </c>
      <c r="Y29" s="67">
        <f t="shared" si="6"/>
        <v>4.53E-2</v>
      </c>
      <c r="Z29" s="67">
        <f t="shared" si="7"/>
        <v>23.327999999999999</v>
      </c>
      <c r="AA29" s="67">
        <f t="shared" si="8"/>
        <v>23.282699999999998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9"/>
        <v>0115-27</v>
      </c>
      <c r="AE29" s="91" t="str">
        <f t="shared" si="10"/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AF29" s="88" t="str">
        <f t="shared" si="11"/>
        <v>"C:\Program Files (x86)\AstroGrep\AstroGrep.exe" /spath="%USERPROFILE%\AppData\Local\Temp\OnboardLogs" /stypes="app*4007*20161027*" /stext=" 12:.+((SYSTEM_STATE.+slice.+state.+changed )|(ment ac)|(system.+state.+changed )|(\[timeout)|(PRM\|1\|D)|(kpr)|(kdp)|(\|lc)|(penalty))" /e /r /s</v>
      </c>
      <c r="AG29" s="1" t="str">
        <f t="shared" si="12"/>
        <v>EC</v>
      </c>
      <c r="AH29" s="92" t="str">
        <f t="shared" si="15"/>
        <v>"%USERPROFILE%\Documents\GitHub\eaglep3\Utilities\RefineRTDCRunTimes.py" --tripid 115-27 --locoid 4007 --swversion DE.1.0.8.0 --startMP 204:453 --initTime 2016-10-27T05:21:30 --startdatetime 2016-10-27T05:30:18 --delay 1 --endMP 204:233280 --enddatetime 2016-10-27T06:12:12 --enforcementcount 0 &gt;&gt;C:\Users\stu\Documents\GitHub\eaglep3-reporting\EC\2016-10-27-refined-times.txt</v>
      </c>
      <c r="AI29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{"issue":{"subject":"","project_id":79,"tracker_id":40,"status_id":1,"priority_id":2,"assigned_to_id":23,"start_date":"2016-10-27","description":"","custom_fields":[{"id":1,"name":"Subdivision","value":"EC"},{"id":4,"name":"Milepost","value":"23.328"},{"id":17,"name":"Train ID","value":"115-27"},{"id":16,"name":"Locomotive ID","value":"4007"},{"id":130,"name":"Impact","value":""},{"id":150,"name":"Time of Event (Mountain Time)","value":"06:12:12"},{"id":151,"name":"Denver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456</v>
      </c>
      <c r="B30" s="7">
        <v>4008</v>
      </c>
      <c r="C30" s="22" t="s">
        <v>326</v>
      </c>
      <c r="D30" s="22" t="s">
        <v>638</v>
      </c>
      <c r="E30" s="13">
        <v>42670.265856481485</v>
      </c>
      <c r="F30" s="13">
        <v>42670.268275462964</v>
      </c>
      <c r="G30" s="7">
        <v>1</v>
      </c>
      <c r="H30" s="13" t="s">
        <v>215</v>
      </c>
      <c r="I30" s="13">
        <v>42670.299895833334</v>
      </c>
      <c r="J30" s="7">
        <v>0</v>
      </c>
      <c r="K30" s="112" t="str">
        <f t="shared" si="0"/>
        <v>4007/4008</v>
      </c>
      <c r="L30" s="22" t="str">
        <f>VLOOKUP(A30,'Trips&amp;Operators'!$C$1:$E$10000,3,FALSE)</f>
        <v>NELSON</v>
      </c>
      <c r="M30" s="6">
        <f t="shared" si="1"/>
        <v>3.1620370369637385E-2</v>
      </c>
      <c r="N30" s="7">
        <f t="shared" si="18"/>
        <v>45.533333332277834</v>
      </c>
      <c r="O30" s="7"/>
      <c r="P30" s="7"/>
      <c r="Q30" s="23"/>
      <c r="R30" s="23"/>
      <c r="S30" s="35">
        <f t="shared" si="17"/>
        <v>1</v>
      </c>
      <c r="T30" s="50" t="str">
        <f t="shared" si="2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05:22:50-0600',mode:absolute,to:'2016-10-27 08:11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0" s="52" t="str">
        <f t="shared" si="4"/>
        <v>N</v>
      </c>
      <c r="X30" s="177">
        <f t="shared" si="5"/>
        <v>1</v>
      </c>
      <c r="Y30" s="67">
        <f t="shared" si="6"/>
        <v>23.296500000000002</v>
      </c>
      <c r="Z30" s="67">
        <f t="shared" si="7"/>
        <v>1.4500000000000001E-2</v>
      </c>
      <c r="AA30" s="67">
        <f t="shared" si="8"/>
        <v>23.282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9"/>
        <v>0116-27</v>
      </c>
      <c r="AE30" s="91" t="str">
        <f t="shared" si="10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30" s="88" t="str">
        <f t="shared" si="11"/>
        <v>"C:\Program Files (x86)\AstroGrep\AstroGrep.exe" /spath="%USERPROFILE%\AppData\Local\Temp\OnboardLogs" /stypes="app*4008*20161027*" /stext=" 13:.+((SYSTEM_STATE.+slice.+state.+changed )|(ment ac)|(system.+state.+changed )|(\[timeout)|(PRM\|1\|D)|(kpr)|(kdp)|(\|lc)|(penalty))" /e /r /s</v>
      </c>
      <c r="AG30" s="1" t="str">
        <f t="shared" si="12"/>
        <v>EC</v>
      </c>
      <c r="AH30" s="92" t="str">
        <f t="shared" si="15"/>
        <v>"%USERPROFILE%\Documents\GitHub\eaglep3\Utilities\RefineRTDCRunTimes.py" --tripid 116-27 --locoid 4008 --swversion DE.1.0.8.0 --startMP 204:232965 --initTime 2016-10-27T06:22:50 --startdatetime 2016-10-27T06:26:19 --delay 1 --endMP 204:145 --enddatetime 2016-10-27T07:11:51 --enforcementcount 0 &gt;&gt;C:\Users\stu\Documents\GitHub\eaglep3-reporting\EC\2016-10-27-refined-times.txt</v>
      </c>
      <c r="AI30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ID","value":"116-27"},{"id":16,"name":"Locomotive ID","value":"4008"},{"id":130,"name":"Impact","value":""},{"id":150,"name":"Time of Event (Mountain Time)","value":"07:11:51"},{"id":151,"name":"Denver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387</v>
      </c>
      <c r="B31" s="7">
        <v>4040</v>
      </c>
      <c r="C31" s="22" t="s">
        <v>326</v>
      </c>
      <c r="D31" s="22" t="s">
        <v>639</v>
      </c>
      <c r="E31" s="13">
        <v>42670.236967592595</v>
      </c>
      <c r="F31" s="13">
        <v>42670.239861111113</v>
      </c>
      <c r="G31" s="7">
        <v>1</v>
      </c>
      <c r="H31" s="13" t="s">
        <v>640</v>
      </c>
      <c r="I31" s="13">
        <v>42670.268819444442</v>
      </c>
      <c r="J31" s="7">
        <v>0</v>
      </c>
      <c r="K31" s="112" t="str">
        <f t="shared" si="0"/>
        <v>4039/4040</v>
      </c>
      <c r="L31" s="22" t="str">
        <f>VLOOKUP(A31,'Trips&amp;Operators'!$C$1:$E$10000,3,FALSE)</f>
        <v>SPECTOR</v>
      </c>
      <c r="M31" s="6">
        <f t="shared" si="1"/>
        <v>2.8958333328773733E-2</v>
      </c>
      <c r="N31" s="7">
        <f t="shared" si="18"/>
        <v>41.699999993434176</v>
      </c>
      <c r="O31" s="7"/>
      <c r="P31" s="7"/>
      <c r="Q31" s="23"/>
      <c r="R31" s="23"/>
      <c r="S31" s="35">
        <f t="shared" si="17"/>
        <v>1</v>
      </c>
      <c r="T31" s="50" t="str">
        <f t="shared" si="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04:41:14-0600',mode:absolute,to:'2016-10-27 07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1" s="52" t="str">
        <f t="shared" si="4"/>
        <v>N</v>
      </c>
      <c r="X31" s="177">
        <f t="shared" si="5"/>
        <v>1</v>
      </c>
      <c r="Y31" s="67">
        <f t="shared" si="6"/>
        <v>7.9000000000000001E-2</v>
      </c>
      <c r="Z31" s="67">
        <f t="shared" si="7"/>
        <v>23.331499999999998</v>
      </c>
      <c r="AA31" s="67">
        <f t="shared" si="8"/>
        <v>23.252499999999998</v>
      </c>
      <c r="AB31" s="64" t="str">
        <f>VLOOKUP(A31,Enforcements!$C$7:$K$21,8,0)</f>
        <v>Bulletin (2)</v>
      </c>
      <c r="AC31" s="60" t="str">
        <f>VLOOKUP(A31,Enforcements!$C$7:$E$21,3,0)</f>
        <v>GRADE CROSSING</v>
      </c>
      <c r="AD31" s="61" t="str">
        <f t="shared" si="9"/>
        <v>0117-27</v>
      </c>
      <c r="AE31" s="91" t="str">
        <f t="shared" si="10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31" s="88" t="str">
        <f t="shared" si="11"/>
        <v>"C:\Program Files (x86)\AstroGrep\AstroGrep.exe" /spath="%USERPROFILE%\AppData\Local\Temp\OnboardLogs" /stypes="app*4040*20161027*" /stext=" 12:.+((SYSTEM_STATE.+slice.+state.+changed )|(ment ac)|(system.+state.+changed )|(\[timeout)|(PRM\|1\|D)|(kpr)|(kdp)|(\|lc)|(penalty))" /e /r /s</v>
      </c>
      <c r="AG31" s="1" t="str">
        <f t="shared" si="12"/>
        <v>EC</v>
      </c>
      <c r="AH31" s="92" t="str">
        <f t="shared" si="15"/>
        <v>"%USERPROFILE%\Documents\GitHub\eaglep3\Utilities\RefineRTDCRunTimes.py" --tripid 117-27 --locoid 4040 --swversion DE.1.0.8.0 --startMP 204:790 --initTime 2016-10-27T05:41:14 --startdatetime 2016-10-27T05:45:24 --delay 1 --endMP 204:233315 --enddatetime 2016-10-27T06:27:06 --enforcementcount 0 &gt;&gt;C:\Users\stu\Documents\GitHub\eaglep3-reporting\EC\2016-10-27-refined-times.txt</v>
      </c>
      <c r="AI31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{"issue":{"subject":"","project_id":79,"tracker_id":40,"status_id":1,"priority_id":2,"assigned_to_id":23,"start_date":"2016-10-27","description":"","custom_fields":[{"id":1,"name":"Subdivision","value":"EC"},{"id":4,"name":"Milepost","value":"23.3315"},{"id":17,"name":"Train ID","value":"117-27"},{"id":16,"name":"Locomotive ID","value":"4040"},{"id":130,"name":"Impact","value":""},{"id":150,"name":"Time of Event (Mountain Time)","value":"06:27:06"},{"id":151,"name":"Denver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458</v>
      </c>
      <c r="B32" s="7">
        <v>4039</v>
      </c>
      <c r="C32" s="22" t="s">
        <v>326</v>
      </c>
      <c r="D32" s="22" t="s">
        <v>282</v>
      </c>
      <c r="E32" s="13">
        <v>42670.276273148149</v>
      </c>
      <c r="F32" s="13">
        <v>42670.278645833336</v>
      </c>
      <c r="G32" s="7">
        <v>1</v>
      </c>
      <c r="H32" s="13" t="s">
        <v>641</v>
      </c>
      <c r="I32" s="13">
        <v>42670.30672453704</v>
      </c>
      <c r="J32" s="7">
        <v>0</v>
      </c>
      <c r="K32" s="112" t="str">
        <f t="shared" si="0"/>
        <v>4039/4040</v>
      </c>
      <c r="L32" s="22" t="str">
        <f>VLOOKUP(A32,'Trips&amp;Operators'!$C$1:$E$10000,3,FALSE)</f>
        <v>SPECTOR</v>
      </c>
      <c r="M32" s="6">
        <f t="shared" si="1"/>
        <v>2.8078703704522923E-2</v>
      </c>
      <c r="N32" s="7">
        <f t="shared" si="18"/>
        <v>40.433333334513009</v>
      </c>
      <c r="O32" s="7"/>
      <c r="P32" s="7"/>
      <c r="Q32" s="23"/>
      <c r="R32" s="23"/>
      <c r="S32" s="35">
        <f t="shared" si="17"/>
        <v>1</v>
      </c>
      <c r="T32" s="50" t="str">
        <f t="shared" si="2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05:37:50-0600',mode:absolute,to:'2016-10-27 08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2" s="52" t="str">
        <f t="shared" si="4"/>
        <v>N</v>
      </c>
      <c r="X32" s="177">
        <f t="shared" si="5"/>
        <v>1</v>
      </c>
      <c r="Y32" s="67">
        <f t="shared" si="6"/>
        <v>23.2987</v>
      </c>
      <c r="Z32" s="67">
        <f t="shared" si="7"/>
        <v>1.3599999999999999E-2</v>
      </c>
      <c r="AA32" s="67">
        <f t="shared" si="8"/>
        <v>23.2851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9"/>
        <v>0118-27</v>
      </c>
      <c r="AE32" s="91" t="str">
        <f t="shared" si="10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32" s="88" t="str">
        <f t="shared" si="11"/>
        <v>"C:\Program Files (x86)\AstroGrep\AstroGrep.exe" /spath="%USERPROFILE%\AppData\Local\Temp\OnboardLogs" /stypes="app*4039*20161027*" /stext=" 13:.+((SYSTEM_STATE.+slice.+state.+changed )|(ment ac)|(system.+state.+changed )|(\[timeout)|(PRM\|1\|D)|(kpr)|(kdp)|(\|lc)|(penalty))" /e /r /s</v>
      </c>
      <c r="AG32" s="1" t="str">
        <f t="shared" si="12"/>
        <v>EC</v>
      </c>
      <c r="AH32" s="92" t="str">
        <f t="shared" si="15"/>
        <v>"%USERPROFILE%\Documents\GitHub\eaglep3\Utilities\RefineRTDCRunTimes.py" --tripid 118-27 --locoid 4039 --swversion DE.1.0.8.0 --startMP 204:232987 --initTime 2016-10-27T06:37:50 --startdatetime 2016-10-27T06:41:15 --delay 1 --endMP 204:136 --enddatetime 2016-10-27T07:21:41 --enforcementcount 0 &gt;&gt;C:\Users\stu\Documents\GitHub\eaglep3-reporting\EC\2016-10-27-refined-times.txt</v>
      </c>
      <c r="AI32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{"issue":{"subject":"","project_id":79,"tracker_id":40,"status_id":1,"priority_id":2,"assigned_to_id":23,"start_date":"2016-10-27","description":"","custom_fields":[{"id":1,"name":"Subdivision","value":"EC"},{"id":4,"name":"Milepost","value":"0.0136"},{"id":17,"name":"Train ID","value":"118-27"},{"id":16,"name":"Locomotive ID","value":"4039"},{"id":130,"name":"Impact","value":""},{"id":150,"name":"Time of Event (Mountain Time)","value":"07:21:41"},{"id":151,"name":"Denver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450</v>
      </c>
      <c r="B33" s="7">
        <v>4014</v>
      </c>
      <c r="C33" s="22" t="s">
        <v>326</v>
      </c>
      <c r="D33" s="22" t="s">
        <v>263</v>
      </c>
      <c r="E33" s="13">
        <v>42670.2421875</v>
      </c>
      <c r="F33" s="13">
        <v>42670.250462962962</v>
      </c>
      <c r="G33" s="7">
        <v>1</v>
      </c>
      <c r="H33" s="13" t="s">
        <v>225</v>
      </c>
      <c r="I33" s="13">
        <v>42670.281504629631</v>
      </c>
      <c r="J33" s="7">
        <v>0</v>
      </c>
      <c r="K33" s="112" t="str">
        <f t="shared" si="0"/>
        <v>4013/4014</v>
      </c>
      <c r="L33" s="22" t="str">
        <f>VLOOKUP(A33,'Trips&amp;Operators'!$C$1:$E$10000,3,FALSE)</f>
        <v>GRASTON</v>
      </c>
      <c r="M33" s="6">
        <f t="shared" si="1"/>
        <v>3.104166666889796E-2</v>
      </c>
      <c r="N33" s="7">
        <f t="shared" si="18"/>
        <v>44.700000003213063</v>
      </c>
      <c r="O33" s="7"/>
      <c r="P33" s="7"/>
      <c r="Q33" s="23"/>
      <c r="R33" s="23"/>
      <c r="S33" s="35">
        <f t="shared" si="17"/>
        <v>1</v>
      </c>
      <c r="T33" s="50" t="str">
        <f t="shared" si="2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04:48:45-0600',mode:absolute,to:'2016-10-27 07:45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3" s="52" t="str">
        <f t="shared" si="4"/>
        <v>N</v>
      </c>
      <c r="X33" s="177">
        <f t="shared" si="5"/>
        <v>1</v>
      </c>
      <c r="Y33" s="67">
        <f t="shared" si="6"/>
        <v>4.6199999999999998E-2</v>
      </c>
      <c r="Z33" s="67">
        <f t="shared" si="7"/>
        <v>23.329499999999999</v>
      </c>
      <c r="AA33" s="67">
        <f t="shared" si="8"/>
        <v>23.283300000000001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9"/>
        <v>0119-27</v>
      </c>
      <c r="AE33" s="91" t="str">
        <f t="shared" si="10"/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33" s="88" t="str">
        <f t="shared" si="11"/>
        <v>"C:\Program Files (x86)\AstroGrep\AstroGrep.exe" /spath="%USERPROFILE%\AppData\Local\Temp\OnboardLogs" /stypes="app*4014*20161027*" /stext=" 12:.+((SYSTEM_STATE.+slice.+state.+changed )|(ment ac)|(system.+state.+changed )|(\[timeout)|(PRM\|1\|D)|(kpr)|(kdp)|(\|lc)|(penalty))" /e /r /s</v>
      </c>
      <c r="AG33" s="1" t="str">
        <f t="shared" si="12"/>
        <v>EC</v>
      </c>
      <c r="AH33" s="92" t="str">
        <f t="shared" si="15"/>
        <v>"%USERPROFILE%\Documents\GitHub\eaglep3\Utilities\RefineRTDCRunTimes.py" --tripid 119-27 --locoid 4014 --swversion DE.1.0.8.0 --startMP 204:462 --initTime 2016-10-27T05:48:45 --startdatetime 2016-10-27T06:00:40 --delay 1 --endMP 204:233295 --enddatetime 2016-10-27T06:45:22 --enforcementcount 0 &gt;&gt;C:\Users\stu\Documents\GitHub\eaglep3-reporting\EC\2016-10-27-refined-times.txt</v>
      </c>
      <c r="AI33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{"issue":{"subject":"","project_id":79,"tracker_id":40,"status_id":1,"priority_id":2,"assigned_to_id":23,"start_date":"2016-10-27","description":"","custom_fields":[{"id":1,"name":"Subdivision","value":"EC"},{"id":4,"name":"Milepost","value":"23.3295"},{"id":17,"name":"Train ID","value":"119-27"},{"id":16,"name":"Locomotive ID","value":"4014"},{"id":130,"name":"Impact","value":""},{"id":150,"name":"Time of Event (Mountain Time)","value":"06:45:22"},{"id":151,"name":"Denver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461</v>
      </c>
      <c r="B34" s="7">
        <v>4013</v>
      </c>
      <c r="C34" s="22" t="s">
        <v>326</v>
      </c>
      <c r="D34" s="22" t="s">
        <v>353</v>
      </c>
      <c r="E34" s="13">
        <v>42670.283425925925</v>
      </c>
      <c r="F34" s="13">
        <v>42670.289155092592</v>
      </c>
      <c r="G34" s="7">
        <v>1</v>
      </c>
      <c r="H34" s="13" t="s">
        <v>218</v>
      </c>
      <c r="I34" s="13">
        <v>42670.317604166667</v>
      </c>
      <c r="J34" s="7">
        <v>0</v>
      </c>
      <c r="K34" s="112" t="str">
        <f t="shared" si="0"/>
        <v>4013/4014</v>
      </c>
      <c r="L34" s="22" t="str">
        <f>VLOOKUP(A34,'Trips&amp;Operators'!$C$1:$E$10000,3,FALSE)</f>
        <v>GRASTON</v>
      </c>
      <c r="M34" s="6">
        <f t="shared" si="1"/>
        <v>2.8449074074160308E-2</v>
      </c>
      <c r="N34" s="7">
        <f t="shared" si="18"/>
        <v>40.966666666790843</v>
      </c>
      <c r="O34" s="7"/>
      <c r="P34" s="7"/>
      <c r="Q34" s="23"/>
      <c r="R34" s="23"/>
      <c r="S34" s="35">
        <f t="shared" si="17"/>
        <v>1</v>
      </c>
      <c r="T34" s="50" t="str">
        <f t="shared" si="2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https://search-rtdc-monitor-bjffxe2xuh6vdkpspy63sjmuny.us-east-1.es.amazonaws.com/_plugin/kibana/#/discover/Steve-Slow-Train-Analysis-(2080s-and-2083s)?_g=(refreshInterval:(display:Off,section:0,value:0),time:(from:'2016-10-27 05:48:08-0600',mode:absolute,to:'2016-10-27 08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4" s="52" t="str">
        <f t="shared" si="4"/>
        <v>N</v>
      </c>
      <c r="X34" s="177">
        <f t="shared" si="5"/>
        <v>1</v>
      </c>
      <c r="Y34" s="67">
        <f t="shared" si="6"/>
        <v>23.298200000000001</v>
      </c>
      <c r="Z34" s="67">
        <f t="shared" si="7"/>
        <v>1.43E-2</v>
      </c>
      <c r="AA34" s="67">
        <f t="shared" si="8"/>
        <v>23.283900000000003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9"/>
        <v>0120-27</v>
      </c>
      <c r="AE34" s="91" t="str">
        <f t="shared" si="10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34" s="88" t="str">
        <f t="shared" si="11"/>
        <v>"C:\Program Files (x86)\AstroGrep\AstroGrep.exe" /spath="%USERPROFILE%\AppData\Local\Temp\OnboardLogs" /stypes="app*4013*20161027*" /stext=" 13:.+((SYSTEM_STATE.+slice.+state.+changed )|(ment ac)|(system.+state.+changed )|(\[timeout)|(PRM\|1\|D)|(kpr)|(kdp)|(\|lc)|(penalty))" /e /r /s</v>
      </c>
      <c r="AG34" s="1" t="str">
        <f t="shared" si="12"/>
        <v>EC</v>
      </c>
      <c r="AH34" s="92" t="str">
        <f t="shared" si="15"/>
        <v>"%USERPROFILE%\Documents\GitHub\eaglep3\Utilities\RefineRTDCRunTimes.py" --tripid 120-27 --locoid 4013 --swversion DE.1.0.8.0 --startMP 204:232982 --initTime 2016-10-27T06:48:08 --startdatetime 2016-10-27T06:56:23 --delay 1 --endMP 204:143 --enddatetime 2016-10-27T07:37:21 --enforcementcount 0 &gt;&gt;C:\Users\stu\Documents\GitHub\eaglep3-reporting\EC\2016-10-27-refined-times.txt</v>
      </c>
      <c r="AI34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{"issue":{"subject":"","project_id":79,"tracker_id":40,"status_id":1,"priority_id":2,"assigned_to_id":23,"start_date":"2016-10-27","description":"","custom_fields":[{"id":1,"name":"Subdivision","value":"EC"},{"id":4,"name":"Milepost","value":"0.0143"},{"id":17,"name":"Train ID","value":"120-27"},{"id":16,"name":"Locomotive ID","value":"4013"},{"id":130,"name":"Impact","value":""},{"id":150,"name":"Time of Event (Mountain Time)","value":"07:37:21"},{"id":151,"name":"Denver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796</v>
      </c>
      <c r="B35" s="7"/>
      <c r="C35" s="22" t="s">
        <v>326</v>
      </c>
      <c r="D35" s="22" t="s">
        <v>353</v>
      </c>
      <c r="E35" s="13">
        <v>42670.283425925925</v>
      </c>
      <c r="F35" s="13"/>
      <c r="G35" s="7"/>
      <c r="H35" s="13"/>
      <c r="I35" s="13"/>
      <c r="J35" s="7">
        <v>0</v>
      </c>
      <c r="K35" s="112" t="str">
        <f t="shared" ref="K35:K36" si="19">IF(ISEVEN(B35),(B35-1)&amp;"/"&amp;B35,B35&amp;"/"&amp;(B35+1))</f>
        <v>-1/</v>
      </c>
      <c r="L35" s="22" t="e">
        <f>VLOOKUP(A35,'Trips&amp;Operators'!$C$1:$E$10000,3,FALSE)</f>
        <v>#N/A</v>
      </c>
      <c r="M35" s="6">
        <f t="shared" ref="M35:M36" si="20">I35-F35</f>
        <v>0</v>
      </c>
      <c r="N35" s="7"/>
      <c r="O35" s="7"/>
      <c r="P35" s="7">
        <v>1</v>
      </c>
      <c r="Q35" s="23"/>
      <c r="R35" s="23" t="s">
        <v>798</v>
      </c>
      <c r="S35" s="35">
        <f t="shared" ref="S35:S36" si="21">SUM(U35:U35)/IF(AG35="EC",12,1)</f>
        <v>0</v>
      </c>
      <c r="T35" s="50" t="str">
        <f t="shared" ref="T35:T36" si="22">IF(ISEVEN(LEFT(AD35,4)),"Southbound","NorthBound")</f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98" t="str">
        <f t="shared" ref="V35:V36" si="23"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https://search-rtdc-monitor-bjffxe2xuh6vdkpspy63sjmuny.us-east-1.es.amazonaws.com/_plugin/kibana/#/discover/Steve-Slow-Train-Analysis-(2080s-and-2083s)?_g=(refreshInterval:(display:Off,section:0,value:0),time:(from:'2016-10-27 05:48:08-0600',mode:absolute,to:'1900-01-00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5" s="52" t="e">
        <f t="shared" ref="W35:W36" si="24">IF(AA35&lt;IF(AG35="EC",23,5.65),"Y","N")</f>
        <v>#VALUE!</v>
      </c>
      <c r="X35" s="177">
        <f t="shared" ref="X35:X37" si="25">VALUE(LEFT(AD35,4))-VALUE(LEFT(AD34,4))</f>
        <v>1</v>
      </c>
      <c r="Y35" s="67">
        <f t="shared" ref="Y35:Y36" si="26">RIGHT(D35,LEN(D35)-4)/10000</f>
        <v>23.298200000000001</v>
      </c>
      <c r="Z35" s="67" t="e">
        <f t="shared" ref="Z35:Z36" si="27">RIGHT(H35,LEN(H35)-4)/10000</f>
        <v>#VALUE!</v>
      </c>
      <c r="AA35" s="67" t="e">
        <f t="shared" ref="AA35:AA36" si="28">ABS(Z35-Y35)</f>
        <v>#VALUE!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ref="AD35:AD36" si="29">IF(LEN(A35)=6,"0"&amp;A35,A35)</f>
        <v>0121-27</v>
      </c>
      <c r="AE35" s="91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5" s="88" t="str">
        <f t="shared" si="1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35" s="1" t="str">
        <f t="shared" ref="AG35:AG36" si="30">IFERROR(IF(VALUE(LEFT(AD35,2))&lt;=2,"EC",IF(OR(VALUE(LEFT(AD35,2))=8,VALUE(LEFT(AD35,2))=18),"NW","Other")),"Other")</f>
        <v>EC</v>
      </c>
      <c r="AH35" s="92" t="str">
        <f t="shared" ref="AH35:AH36" si="31"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121-27 --locoid  --swversion DE.1.0.8.0 --startMP 204:232982 --initTime 2016-10-27T06:48:08 --startdatetime 1900-01-00T00:00:00 --delay  --endMP  --enddatetime 1900-01-00T00:00:00 --enforcementcount 0 &gt;&gt;C:\Users\stu\Documents\GitHub\eaglep3-reporting\EC\2016-10-27-refined-times.txt</v>
      </c>
      <c r="AI35" s="122" t="e">
        <f t="shared" ref="AI35:AI36" si="32"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-X POST -H ""Content-Type: application/json"" -H ""X-Redmine-API-Key: "&amp;redm_api_key&amp;""" "&amp;redm_url&amp;" --data @-"</f>
        <v>#VALUE!</v>
      </c>
      <c r="AJ35" s="53"/>
      <c r="AK35" s="53"/>
      <c r="AL35" s="53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</row>
    <row r="36" spans="1:91" s="1" customFormat="1" x14ac:dyDescent="0.25">
      <c r="A36" s="37" t="s">
        <v>797</v>
      </c>
      <c r="B36" s="7"/>
      <c r="C36" s="22" t="s">
        <v>326</v>
      </c>
      <c r="D36" s="22" t="s">
        <v>353</v>
      </c>
      <c r="E36" s="13">
        <v>42670.283425925925</v>
      </c>
      <c r="F36" s="13"/>
      <c r="G36" s="7"/>
      <c r="H36" s="13"/>
      <c r="I36" s="13"/>
      <c r="J36" s="7">
        <v>0</v>
      </c>
      <c r="K36" s="112" t="str">
        <f t="shared" si="19"/>
        <v>-1/</v>
      </c>
      <c r="L36" s="22" t="e">
        <f>VLOOKUP(A36,'Trips&amp;Operators'!$C$1:$E$10000,3,FALSE)</f>
        <v>#N/A</v>
      </c>
      <c r="M36" s="6">
        <f t="shared" si="20"/>
        <v>0</v>
      </c>
      <c r="N36" s="7"/>
      <c r="O36" s="7"/>
      <c r="P36" s="7">
        <v>1</v>
      </c>
      <c r="Q36" s="23"/>
      <c r="R36" s="23" t="s">
        <v>798</v>
      </c>
      <c r="S36" s="35">
        <f t="shared" si="21"/>
        <v>0</v>
      </c>
      <c r="T36" s="50" t="str">
        <f t="shared" si="22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https://search-rtdc-monitor-bjffxe2xuh6vdkpspy63sjmuny.us-east-1.es.amazonaws.com/_plugin/kibana/#/discover/Steve-Slow-Train-Analysis-(2080s-and-2083s)?_g=(refreshInterval:(display:Off,section:0,value:0),time:(from:'2016-10-27 05:48:08-0600',mode:absolute,to:'1900-01-00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6" s="52" t="e">
        <f t="shared" si="24"/>
        <v>#VALUE!</v>
      </c>
      <c r="X36" s="177">
        <f t="shared" si="25"/>
        <v>1</v>
      </c>
      <c r="Y36" s="67">
        <f t="shared" si="26"/>
        <v>23.298200000000001</v>
      </c>
      <c r="Z36" s="67" t="e">
        <f t="shared" si="27"/>
        <v>#VALUE!</v>
      </c>
      <c r="AA36" s="67" t="e">
        <f t="shared" si="28"/>
        <v>#VALUE!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29"/>
        <v>0122-27</v>
      </c>
      <c r="AE36" s="91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6" s="88" t="str">
        <f t="shared" si="1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36" s="1" t="str">
        <f t="shared" si="30"/>
        <v>EC</v>
      </c>
      <c r="AH36" s="92" t="str">
        <f t="shared" si="31"/>
        <v>"%USERPROFILE%\Documents\GitHub\eaglep3\Utilities\RefineRTDCRunTimes.py" --tripid 122-27 --locoid  --swversion DE.1.0.8.0 --startMP 204:232982 --initTime 2016-10-27T06:48:08 --startdatetime 1900-01-00T00:00:00 --delay  --endMP  --enddatetime 1900-01-00T00:00:00 --enforcementcount 0 &gt;&gt;C:\Users\stu\Documents\GitHub\eaglep3-reporting\EC\2016-10-27-refined-times.txt</v>
      </c>
      <c r="AI36" s="122" t="e">
        <f t="shared" si="32"/>
        <v>#VALUE!</v>
      </c>
      <c r="AJ36" s="53"/>
      <c r="AK36" s="53"/>
      <c r="AL36" s="53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</row>
    <row r="37" spans="1:91" s="1" customFormat="1" x14ac:dyDescent="0.25">
      <c r="A37" s="37" t="s">
        <v>391</v>
      </c>
      <c r="B37" s="7">
        <v>4038</v>
      </c>
      <c r="C37" s="22" t="s">
        <v>326</v>
      </c>
      <c r="D37" s="22" t="s">
        <v>270</v>
      </c>
      <c r="E37" s="13">
        <v>42670.26489583333</v>
      </c>
      <c r="F37" s="13">
        <v>42670.271053240744</v>
      </c>
      <c r="G37" s="7">
        <v>6</v>
      </c>
      <c r="H37" s="13" t="s">
        <v>253</v>
      </c>
      <c r="I37" s="13">
        <v>42670.298703703702</v>
      </c>
      <c r="J37" s="7">
        <v>0</v>
      </c>
      <c r="K37" s="112" t="str">
        <f t="shared" ref="K37:K100" si="33">IF(ISEVEN(B37),(B37-1)&amp;"/"&amp;B37,B37&amp;"/"&amp;(B37+1))</f>
        <v>4037/4038</v>
      </c>
      <c r="L37" s="22" t="str">
        <f>VLOOKUP(A37,'Trips&amp;Operators'!$C$1:$E$10000,3,FALSE)</f>
        <v>STRICKLAND</v>
      </c>
      <c r="M37" s="6">
        <f t="shared" ref="M37:M100" si="34">I37-F37</f>
        <v>2.7650462958263233E-2</v>
      </c>
      <c r="N37" s="7">
        <f t="shared" ref="N37:N66" si="35">24*60*SUM($M37:$M37)</f>
        <v>39.816666659899056</v>
      </c>
      <c r="O37" s="7"/>
      <c r="P37" s="7"/>
      <c r="Q37" s="23"/>
      <c r="R37" s="23"/>
      <c r="S37" s="35">
        <f t="shared" ref="S37:S100" si="36">SUM(U37:U37)/IF(AG37="EC",12,1)</f>
        <v>1</v>
      </c>
      <c r="T37" s="50" t="str">
        <f t="shared" ref="T37:T100" si="37">IF(ISEVEN(LEFT(AD37,4)),"Southbound","NorthBound")</f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ref="V37:V100" si="38"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https://search-rtdc-monitor-bjffxe2xuh6vdkpspy63sjmuny.us-east-1.es.amazonaws.com/_plugin/kibana/#/discover/Steve-Slow-Train-Analysis-(2080s-and-2083s)?_g=(refreshInterval:(display:Off,section:0,value:0),time:(from:'2016-10-27 05:21:27-0600',mode:absolute,to:'2016-10-27 08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7" s="52" t="str">
        <f t="shared" ref="W37:W100" si="39">IF(AA37&lt;IF(AG37="EC",23,5.65),"Y","N")</f>
        <v>N</v>
      </c>
      <c r="X37" s="177">
        <f t="shared" si="25"/>
        <v>1</v>
      </c>
      <c r="Y37" s="67">
        <f t="shared" ref="Y37:Y100" si="40">RIGHT(D37,LEN(D37)-4)/10000</f>
        <v>4.6699999999999998E-2</v>
      </c>
      <c r="Z37" s="67">
        <f t="shared" ref="Z37:Z100" si="41">RIGHT(H37,LEN(H37)-4)/10000</f>
        <v>23.330400000000001</v>
      </c>
      <c r="AA37" s="67">
        <f t="shared" ref="AA37:AA100" si="42">ABS(Z37-Y37)</f>
        <v>23.2837</v>
      </c>
      <c r="AB37" s="64" t="str">
        <f>VLOOKUP(A37,Enforcements!$C$7:$K$21,8,0)</f>
        <v>Speed (6)</v>
      </c>
      <c r="AC37" s="60" t="str">
        <f>VLOOKUP(A37,Enforcements!$C$7:$E$21,3,0)</f>
        <v>PERMANENT SPEED RESTRICTION</v>
      </c>
      <c r="AD37" s="61" t="str">
        <f t="shared" ref="AD37:AD100" si="43">IF(LEN(A37)=6,"0"&amp;A37,A37)</f>
        <v>0123-27</v>
      </c>
      <c r="AE37" s="91" t="str">
        <f t="shared" si="10"/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AF37" s="88" t="str">
        <f t="shared" si="11"/>
        <v>"C:\Program Files (x86)\AstroGrep\AstroGrep.exe" /spath="%USERPROFILE%\AppData\Local\Temp\OnboardLogs" /stypes="app*4038*20161027*" /stext=" 13:.+((SYSTEM_STATE.+slice.+state.+changed )|(ment ac)|(system.+state.+changed )|(\[timeout)|(PRM\|1\|D)|(kpr)|(kdp)|(\|lc)|(penalty))" /e /r /s</v>
      </c>
      <c r="AG37" s="1" t="str">
        <f t="shared" ref="AG37:AG100" si="44">IFERROR(IF(VALUE(LEFT(AD37,2))&lt;=2,"EC",IF(OR(VALUE(LEFT(AD37,2))=8,VALUE(LEFT(AD37,2))=18),"NW","Other")),"Other")</f>
        <v>EC</v>
      </c>
      <c r="AH37" s="92" t="str">
        <f t="shared" si="15"/>
        <v>"%USERPROFILE%\Documents\GitHub\eaglep3\Utilities\RefineRTDCRunTimes.py" --tripid 123-27 --locoid 4038 --swversion DE.1.0.8.0 --startMP 204:467 --initTime 2016-10-27T06:21:27 --startdatetime 2016-10-27T06:30:19 --delay 6 --endMP 204:233304 --enddatetime 2016-10-27T07:10:08 --enforcementcount 0 &gt;&gt;C:\Users\stu\Documents\GitHub\eaglep3-reporting\EC\2016-10-27-refined-times.txt</v>
      </c>
      <c r="AI37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{"issue":{"subject":"","project_id":79,"tracker_id":40,"status_id":1,"priority_id":2,"assigned_to_id":23,"start_date":"2016-10-27","description":"","custom_fields":[{"id":1,"name":"Subdivision","value":"EC"},{"id":4,"name":"Milepost","value":"23.3304"},{"id":17,"name":"Train ID","value":"123-27"},{"id":16,"name":"Locomotive ID","value":"4038"},{"id":130,"name":"Impact","value":""},{"id":150,"name":"Time of Event (Mountain Time)","value":"07:10:08"},{"id":151,"name":"Denver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393</v>
      </c>
      <c r="B38" s="7">
        <v>4037</v>
      </c>
      <c r="C38" s="22" t="s">
        <v>326</v>
      </c>
      <c r="D38" s="22" t="s">
        <v>275</v>
      </c>
      <c r="E38" s="13">
        <v>42670.306631944448</v>
      </c>
      <c r="F38" s="13">
        <v>42670.309976851851</v>
      </c>
      <c r="G38" s="7">
        <v>2</v>
      </c>
      <c r="H38" s="13" t="s">
        <v>297</v>
      </c>
      <c r="I38" s="13">
        <v>42670.340162037035</v>
      </c>
      <c r="J38" s="7">
        <v>0</v>
      </c>
      <c r="K38" s="112" t="str">
        <f t="shared" si="33"/>
        <v>4037/4038</v>
      </c>
      <c r="L38" s="22" t="str">
        <f>VLOOKUP(A38,'Trips&amp;Operators'!$C$1:$E$10000,3,FALSE)</f>
        <v>STRICKLAND</v>
      </c>
      <c r="M38" s="6">
        <f t="shared" si="34"/>
        <v>3.0185185183654539E-2</v>
      </c>
      <c r="N38" s="7">
        <f t="shared" si="35"/>
        <v>43.466666664462537</v>
      </c>
      <c r="O38" s="7"/>
      <c r="P38" s="7"/>
      <c r="Q38" s="23"/>
      <c r="R38" s="23"/>
      <c r="S38" s="35">
        <f t="shared" si="36"/>
        <v>1</v>
      </c>
      <c r="T38" s="50" t="str">
        <f t="shared" si="37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06:21:33-0600',mode:absolute,to:'2016-10-27 09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8" s="52" t="str">
        <f t="shared" si="39"/>
        <v>N</v>
      </c>
      <c r="X38" s="177">
        <f t="shared" ref="X38:X70" si="45">VALUE(LEFT(AD38,4))-VALUE(LEFT(AD37,4))</f>
        <v>1</v>
      </c>
      <c r="Y38" s="67">
        <f t="shared" si="40"/>
        <v>23.298500000000001</v>
      </c>
      <c r="Z38" s="67">
        <f t="shared" si="41"/>
        <v>1.61E-2</v>
      </c>
      <c r="AA38" s="67">
        <f t="shared" si="42"/>
        <v>23.282399999999999</v>
      </c>
      <c r="AB38" s="64" t="str">
        <f>VLOOKUP(A38,Enforcements!$C$7:$K$21,8,0)</f>
        <v>Bulletin (2)</v>
      </c>
      <c r="AC38" s="60" t="str">
        <f>VLOOKUP(A38,Enforcements!$C$7:$E$21,3,0)</f>
        <v>GRADE CROSSING</v>
      </c>
      <c r="AD38" s="61" t="str">
        <f t="shared" si="43"/>
        <v>0124-27</v>
      </c>
      <c r="AE38" s="91" t="str">
        <f t="shared" si="10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38" s="88" t="str">
        <f t="shared" si="11"/>
        <v>"C:\Program Files (x86)\AstroGrep\AstroGrep.exe" /spath="%USERPROFILE%\AppData\Local\Temp\OnboardLogs" /stypes="app*4037*20161027*" /stext=" 14:.+((SYSTEM_STATE.+slice.+state.+changed )|(ment ac)|(system.+state.+changed )|(\[timeout)|(PRM\|1\|D)|(kpr)|(kdp)|(\|lc)|(penalty))" /e /r /s</v>
      </c>
      <c r="AG38" s="1" t="str">
        <f t="shared" si="44"/>
        <v>EC</v>
      </c>
      <c r="AH38" s="92" t="str">
        <f t="shared" si="15"/>
        <v>"%USERPROFILE%\Documents\GitHub\eaglep3\Utilities\RefineRTDCRunTimes.py" --tripid 124-27 --locoid 4037 --swversion DE.1.0.8.0 --startMP 204:232985 --initTime 2016-10-27T07:21:33 --startdatetime 2016-10-27T07:26:22 --delay 2 --endMP 204:161 --enddatetime 2016-10-27T08:09:50 --enforcementcount 0 &gt;&gt;C:\Users\stu\Documents\GitHub\eaglep3-reporting\EC\2016-10-27-refined-times.txt</v>
      </c>
      <c r="AI38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{"issue":{"subject":"","project_id":79,"tracker_id":40,"status_id":1,"priority_id":2,"assigned_to_id":23,"start_date":"2016-10-27","description":"","custom_fields":[{"id":1,"name":"Subdivision","value":"EC"},{"id":4,"name":"Milepost","value":"0.0161"},{"id":17,"name":"Train ID","value":"124-27"},{"id":16,"name":"Locomotive ID","value":"4037"},{"id":130,"name":"Impact","value":""},{"id":150,"name":"Time of Event (Mountain Time)","value":"08:09:50"},{"id":151,"name":"Denver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459</v>
      </c>
      <c r="B39" s="7">
        <v>4018</v>
      </c>
      <c r="C39" s="22" t="s">
        <v>326</v>
      </c>
      <c r="D39" s="22" t="s">
        <v>247</v>
      </c>
      <c r="E39" s="13">
        <v>42670.276909722219</v>
      </c>
      <c r="F39" s="13">
        <v>42670.281527777777</v>
      </c>
      <c r="G39" s="7">
        <v>2</v>
      </c>
      <c r="H39" s="13" t="s">
        <v>350</v>
      </c>
      <c r="I39" s="13">
        <v>42670.305659722224</v>
      </c>
      <c r="J39" s="7">
        <v>0</v>
      </c>
      <c r="K39" s="112" t="str">
        <f t="shared" si="33"/>
        <v>4017/4018</v>
      </c>
      <c r="L39" s="22" t="str">
        <f>VLOOKUP(A39,'Trips&amp;Operators'!$C$1:$E$10000,3,FALSE)</f>
        <v>MACDONALD</v>
      </c>
      <c r="M39" s="6">
        <f t="shared" si="34"/>
        <v>2.4131944446708076E-2</v>
      </c>
      <c r="N39" s="7">
        <f t="shared" si="35"/>
        <v>34.750000003259629</v>
      </c>
      <c r="O39" s="7"/>
      <c r="P39" s="7"/>
      <c r="Q39" s="23"/>
      <c r="R39" s="23"/>
      <c r="S39" s="35">
        <f t="shared" si="36"/>
        <v>1</v>
      </c>
      <c r="T39" s="50" t="str">
        <f t="shared" si="37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05:38:45-0600',mode:absolute,to:'2016-10-27 08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9" s="52" t="str">
        <f t="shared" si="39"/>
        <v>N</v>
      </c>
      <c r="X39" s="177">
        <f t="shared" si="45"/>
        <v>1</v>
      </c>
      <c r="Y39" s="67">
        <f t="shared" si="40"/>
        <v>4.7100000000000003E-2</v>
      </c>
      <c r="Z39" s="67">
        <f t="shared" si="41"/>
        <v>23.328800000000001</v>
      </c>
      <c r="AA39" s="67">
        <f t="shared" si="42"/>
        <v>23.281700000000001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43"/>
        <v>0125-27</v>
      </c>
      <c r="AE39" s="91" t="str">
        <f t="shared" si="10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39" s="88" t="str">
        <f t="shared" si="11"/>
        <v>"C:\Program Files (x86)\AstroGrep\AstroGrep.exe" /spath="%USERPROFILE%\AppData\Local\Temp\OnboardLogs" /stypes="app*4018*20161027*" /stext=" 13:.+((SYSTEM_STATE.+slice.+state.+changed )|(ment ac)|(system.+state.+changed )|(\[timeout)|(PRM\|1\|D)|(kpr)|(kdp)|(\|lc)|(penalty))" /e /r /s</v>
      </c>
      <c r="AG39" s="1" t="str">
        <f t="shared" si="44"/>
        <v>EC</v>
      </c>
      <c r="AH39" s="92" t="str">
        <f t="shared" si="15"/>
        <v>"%USERPROFILE%\Documents\GitHub\eaglep3\Utilities\RefineRTDCRunTimes.py" --tripid 125-27 --locoid 4018 --swversion DE.1.0.8.0 --startMP 204:471 --initTime 2016-10-27T06:38:45 --startdatetime 2016-10-27T06:45:24 --delay 2 --endMP 204:233288 --enddatetime 2016-10-27T07:20:09 --enforcementcount 0 &gt;&gt;C:\Users\stu\Documents\GitHub\eaglep3-reporting\EC\2016-10-27-refined-times.txt</v>
      </c>
      <c r="AI39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{"issue":{"subject":"","project_id":79,"tracker_id":40,"status_id":1,"priority_id":2,"assigned_to_id":23,"start_date":"2016-10-27","description":"","custom_fields":[{"id":1,"name":"Subdivision","value":"EC"},{"id":4,"name":"Milepost","value":"23.3288"},{"id":17,"name":"Train ID","value":"125-27"},{"id":16,"name":"Locomotive ID","value":"4018"},{"id":130,"name":"Impact","value":""},{"id":150,"name":"Time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468</v>
      </c>
      <c r="B40" s="7">
        <v>4017</v>
      </c>
      <c r="C40" s="22" t="s">
        <v>326</v>
      </c>
      <c r="D40" s="22" t="s">
        <v>245</v>
      </c>
      <c r="E40" s="13">
        <v>42670.318229166667</v>
      </c>
      <c r="F40" s="13">
        <v>42670.320300925923</v>
      </c>
      <c r="G40" s="7">
        <v>1</v>
      </c>
      <c r="H40" s="13" t="s">
        <v>642</v>
      </c>
      <c r="I40" s="13">
        <v>42670.348483796297</v>
      </c>
      <c r="J40" s="7">
        <v>0</v>
      </c>
      <c r="K40" s="112" t="str">
        <f t="shared" si="33"/>
        <v>4017/4018</v>
      </c>
      <c r="L40" s="22" t="str">
        <f>VLOOKUP(A40,'Trips&amp;Operators'!$C$1:$E$10000,3,FALSE)</f>
        <v>MACDONALD</v>
      </c>
      <c r="M40" s="6">
        <f t="shared" si="34"/>
        <v>2.8182870373711921E-2</v>
      </c>
      <c r="N40" s="7">
        <f t="shared" si="35"/>
        <v>40.583333338145167</v>
      </c>
      <c r="O40" s="7"/>
      <c r="P40" s="7"/>
      <c r="Q40" s="23"/>
      <c r="R40" s="23"/>
      <c r="S40" s="35">
        <f t="shared" si="36"/>
        <v>1</v>
      </c>
      <c r="T40" s="50" t="str">
        <f t="shared" si="37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06:38:15-0600',mode:absolute,to:'2016-10-27 09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0" s="52" t="str">
        <f t="shared" si="39"/>
        <v>N</v>
      </c>
      <c r="X40" s="177">
        <f t="shared" si="45"/>
        <v>1</v>
      </c>
      <c r="Y40" s="67">
        <f t="shared" si="40"/>
        <v>23.297699999999999</v>
      </c>
      <c r="Z40" s="67">
        <f t="shared" si="41"/>
        <v>1.8100000000000002E-2</v>
      </c>
      <c r="AA40" s="67">
        <f t="shared" si="42"/>
        <v>23.279599999999999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43"/>
        <v>0126-27</v>
      </c>
      <c r="AE40" s="91" t="str">
        <f t="shared" si="10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40" s="88" t="str">
        <f t="shared" si="11"/>
        <v>"C:\Program Files (x86)\AstroGrep\AstroGrep.exe" /spath="%USERPROFILE%\AppData\Local\Temp\OnboardLogs" /stypes="app*4017*20161027*" /stext=" 14:.+((SYSTEM_STATE.+slice.+state.+changed )|(ment ac)|(system.+state.+changed )|(\[timeout)|(PRM\|1\|D)|(kpr)|(kdp)|(\|lc)|(penalty))" /e /r /s</v>
      </c>
      <c r="AG40" s="1" t="str">
        <f t="shared" si="44"/>
        <v>EC</v>
      </c>
      <c r="AH40" s="92" t="str">
        <f t="shared" si="15"/>
        <v>"%USERPROFILE%\Documents\GitHub\eaglep3\Utilities\RefineRTDCRunTimes.py" --tripid 126-27 --locoid 4017 --swversion DE.1.0.8.0 --startMP 204:232977 --initTime 2016-10-27T07:38:15 --startdatetime 2016-10-27T07:41:14 --delay 1 --endMP 204:181 --enddatetime 2016-10-27T08:21:49 --enforcementcount 0 &gt;&gt;C:\Users\stu\Documents\GitHub\eaglep3-reporting\EC\2016-10-27-refined-times.txt</v>
      </c>
      <c r="AI40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{"issue":{"subject":"","project_id":79,"tracker_id":40,"status_id":1,"priority_id":2,"assigned_to_id":23,"start_date":"2016-10-27","description":"","custom_fields":[{"id":1,"name":"Subdivision","value":"EC"},{"id":4,"name":"Milepost","value":"0.0181"},{"id":17,"name":"Train ID","value":"126-27"},{"id":16,"name":"Locomotive ID","value":"4017"},{"id":130,"name":"Impact","value":""},{"id":150,"name":"Time of Event (Mountain Time)","value":"08:21:49"},{"id":151,"name":"Denver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462</v>
      </c>
      <c r="B41" s="7">
        <v>4022</v>
      </c>
      <c r="C41" s="22" t="s">
        <v>326</v>
      </c>
      <c r="D41" s="22" t="s">
        <v>643</v>
      </c>
      <c r="E41" s="13">
        <v>42670.284513888888</v>
      </c>
      <c r="F41" s="13">
        <v>42670.292256944442</v>
      </c>
      <c r="G41" s="7">
        <v>1</v>
      </c>
      <c r="H41" s="13" t="s">
        <v>253</v>
      </c>
      <c r="I41" s="13">
        <v>42670.319560185184</v>
      </c>
      <c r="J41" s="7">
        <v>0</v>
      </c>
      <c r="K41" s="112" t="str">
        <f t="shared" si="33"/>
        <v>4021/4022</v>
      </c>
      <c r="L41" s="22" t="str">
        <f>VLOOKUP(A41,'Trips&amp;Operators'!$C$1:$E$10000,3,FALSE)</f>
        <v>STARKS</v>
      </c>
      <c r="M41" s="6">
        <f t="shared" si="34"/>
        <v>2.7303240742185153E-2</v>
      </c>
      <c r="N41" s="7">
        <f t="shared" si="35"/>
        <v>39.31666666874662</v>
      </c>
      <c r="O41" s="7"/>
      <c r="P41" s="7"/>
      <c r="Q41" s="23"/>
      <c r="R41" s="23"/>
      <c r="S41" s="35">
        <f t="shared" si="36"/>
        <v>1</v>
      </c>
      <c r="T41" s="50" t="str">
        <f t="shared" si="37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05:49:42-0600',mode:absolute,to:'2016-10-27 08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1" s="52" t="str">
        <f t="shared" si="39"/>
        <v>N</v>
      </c>
      <c r="X41" s="177">
        <f t="shared" si="45"/>
        <v>1</v>
      </c>
      <c r="Y41" s="67">
        <f t="shared" si="40"/>
        <v>4.3799999999999999E-2</v>
      </c>
      <c r="Z41" s="67">
        <f t="shared" si="41"/>
        <v>23.330400000000001</v>
      </c>
      <c r="AA41" s="67">
        <f t="shared" si="42"/>
        <v>23.2866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43"/>
        <v>0127-27</v>
      </c>
      <c r="AE41" s="91" t="str">
        <f t="shared" si="10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41" s="88" t="str">
        <f t="shared" si="11"/>
        <v>"C:\Program Files (x86)\AstroGrep\AstroGrep.exe" /spath="%USERPROFILE%\AppData\Local\Temp\OnboardLogs" /stypes="app*4022*20161027*" /stext=" 13:.+((SYSTEM_STATE.+slice.+state.+changed )|(ment ac)|(system.+state.+changed )|(\[timeout)|(PRM\|1\|D)|(kpr)|(kdp)|(\|lc)|(penalty))" /e /r /s</v>
      </c>
      <c r="AG41" s="1" t="str">
        <f t="shared" si="44"/>
        <v>EC</v>
      </c>
      <c r="AH41" s="92" t="str">
        <f t="shared" si="15"/>
        <v>"%USERPROFILE%\Documents\GitHub\eaglep3\Utilities\RefineRTDCRunTimes.py" --tripid 127-27 --locoid 4022 --swversion DE.1.0.8.0 --startMP 204:438 --initTime 2016-10-27T06:49:42 --startdatetime 2016-10-27T07:00:51 --delay 1 --endMP 204:233304 --enddatetime 2016-10-27T07:40:10 --enforcementcount 0 &gt;&gt;C:\Users\stu\Documents\GitHub\eaglep3-reporting\EC\2016-10-27-refined-times.txt</v>
      </c>
      <c r="AI41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{"issue":{"subject":"","project_id":79,"tracker_id":40,"status_id":1,"priority_id":2,"assigned_to_id":23,"start_date":"2016-10-27","description":"","custom_fields":[{"id":1,"name":"Subdivision","value":"EC"},{"id":4,"name":"Milepost","value":"23.3304"},{"id":17,"name":"Train ID","value":"127-27"},{"id":16,"name":"Locomotive ID","value":"4022"},{"id":130,"name":"Impact","value":""},{"id":150,"name":"Time of Event (Mountain Time)","value":"07:40:10"},{"id":151,"name":"Denver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470</v>
      </c>
      <c r="B42" s="7">
        <v>4021</v>
      </c>
      <c r="C42" s="22" t="s">
        <v>326</v>
      </c>
      <c r="D42" s="22" t="s">
        <v>275</v>
      </c>
      <c r="E42" s="13">
        <v>42670.327638888892</v>
      </c>
      <c r="F42" s="13">
        <v>42670.33116898148</v>
      </c>
      <c r="G42" s="7">
        <v>4</v>
      </c>
      <c r="H42" s="13" t="s">
        <v>219</v>
      </c>
      <c r="I42" s="13">
        <v>42670.359363425923</v>
      </c>
      <c r="J42" s="7">
        <v>0</v>
      </c>
      <c r="K42" s="112" t="str">
        <f t="shared" si="33"/>
        <v>4021/4022</v>
      </c>
      <c r="L42" s="22" t="str">
        <f>VLOOKUP(A42,'Trips&amp;Operators'!$C$1:$E$10000,3,FALSE)</f>
        <v>STARKS</v>
      </c>
      <c r="M42" s="6">
        <f t="shared" si="34"/>
        <v>2.8194444443215616E-2</v>
      </c>
      <c r="N42" s="7">
        <f t="shared" si="35"/>
        <v>40.599999998230487</v>
      </c>
      <c r="O42" s="7"/>
      <c r="P42" s="7"/>
      <c r="Q42" s="23"/>
      <c r="R42" s="23"/>
      <c r="S42" s="35">
        <f t="shared" si="36"/>
        <v>1</v>
      </c>
      <c r="T42" s="50" t="str">
        <f t="shared" si="37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06:51:48-0600',mode:absolute,to:'2016-10-27 09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2" s="52" t="str">
        <f t="shared" si="39"/>
        <v>N</v>
      </c>
      <c r="X42" s="177">
        <f t="shared" si="45"/>
        <v>1</v>
      </c>
      <c r="Y42" s="67">
        <f t="shared" si="40"/>
        <v>23.298500000000001</v>
      </c>
      <c r="Z42" s="67">
        <f t="shared" si="41"/>
        <v>1.4999999999999999E-2</v>
      </c>
      <c r="AA42" s="67">
        <f t="shared" si="42"/>
        <v>23.2835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43"/>
        <v>0128-27</v>
      </c>
      <c r="AE42" s="91" t="str">
        <f t="shared" si="10"/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AF42" s="88" t="str">
        <f t="shared" si="11"/>
        <v>"C:\Program Files (x86)\AstroGrep\AstroGrep.exe" /spath="%USERPROFILE%\AppData\Local\Temp\OnboardLogs" /stypes="app*4021*20161027*" /stext=" 14:.+((SYSTEM_STATE.+slice.+state.+changed )|(ment ac)|(system.+state.+changed )|(\[timeout)|(PRM\|1\|D)|(kpr)|(kdp)|(\|lc)|(penalty))" /e /r /s</v>
      </c>
      <c r="AG42" s="1" t="str">
        <f t="shared" si="44"/>
        <v>EC</v>
      </c>
      <c r="AH42" s="92" t="str">
        <f t="shared" si="15"/>
        <v>"%USERPROFILE%\Documents\GitHub\eaglep3\Utilities\RefineRTDCRunTimes.py" --tripid 128-27 --locoid 4021 --swversion DE.1.0.8.0 --startMP 204:232985 --initTime 2016-10-27T07:51:48 --startdatetime 2016-10-27T07:56:53 --delay 4 --endMP 204:150 --enddatetime 2016-10-27T08:37:29 --enforcementcount 0 &gt;&gt;C:\Users\stu\Documents\GitHub\eaglep3-reporting\EC\2016-10-27-refined-times.txt</v>
      </c>
      <c r="AI42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{"issue":{"subject":"","project_id":79,"tracker_id":40,"status_id":1,"priority_id":2,"assigned_to_id":23,"start_date":"2016-10-27","description":"","custom_fields":[{"id":1,"name":"Subdivision","value":"EC"},{"id":4,"name":"Milepost","value":"0.015"},{"id":17,"name":"Train ID","value":"128-27"},{"id":16,"name":"Locomotive ID","value":"4021"},{"id":130,"name":"Impact","value":""},{"id":150,"name":"Time of Event (Mountain Time)","value":"08:37:29"},{"id":151,"name":"Denver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392</v>
      </c>
      <c r="B43" s="7">
        <v>4002</v>
      </c>
      <c r="C43" s="22" t="s">
        <v>326</v>
      </c>
      <c r="D43" s="22" t="s">
        <v>255</v>
      </c>
      <c r="E43" s="13">
        <v>42670.294918981483</v>
      </c>
      <c r="F43" s="13">
        <v>42670.302361111113</v>
      </c>
      <c r="G43" s="7">
        <v>1</v>
      </c>
      <c r="H43" s="13" t="s">
        <v>315</v>
      </c>
      <c r="I43" s="13">
        <v>42670.329548611109</v>
      </c>
      <c r="J43" s="7">
        <v>0</v>
      </c>
      <c r="K43" s="112" t="str">
        <f t="shared" si="33"/>
        <v>4001/4002</v>
      </c>
      <c r="L43" s="22" t="str">
        <f>VLOOKUP(A43,'Trips&amp;Operators'!$C$1:$E$10000,3,FALSE)</f>
        <v>MAELZER</v>
      </c>
      <c r="M43" s="6">
        <f t="shared" si="34"/>
        <v>2.7187499996216502E-2</v>
      </c>
      <c r="N43" s="7">
        <f t="shared" si="35"/>
        <v>39.149999994551763</v>
      </c>
      <c r="O43" s="7"/>
      <c r="P43" s="7"/>
      <c r="Q43" s="23"/>
      <c r="R43" s="23"/>
      <c r="S43" s="35">
        <f t="shared" si="36"/>
        <v>1</v>
      </c>
      <c r="T43" s="50" t="str">
        <f t="shared" si="37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06:04:41-0600',mode:absolute,to:'2016-10-27 08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3" s="52" t="str">
        <f t="shared" si="39"/>
        <v>N</v>
      </c>
      <c r="X43" s="177">
        <f t="shared" si="45"/>
        <v>1</v>
      </c>
      <c r="Y43" s="67">
        <f t="shared" si="40"/>
        <v>4.4900000000000002E-2</v>
      </c>
      <c r="Z43" s="67">
        <f t="shared" si="41"/>
        <v>23.330500000000001</v>
      </c>
      <c r="AA43" s="67">
        <f t="shared" si="42"/>
        <v>23.285600000000002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43"/>
        <v>0129-27</v>
      </c>
      <c r="AE43" s="91" t="str">
        <f t="shared" si="10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43" s="88" t="str">
        <f t="shared" si="11"/>
        <v>"C:\Program Files (x86)\AstroGrep\AstroGrep.exe" /spath="%USERPROFILE%\AppData\Local\Temp\OnboardLogs" /stypes="app*4002*20161027*" /stext=" 13:.+((SYSTEM_STATE.+slice.+state.+changed )|(ment ac)|(system.+state.+changed )|(\[timeout)|(PRM\|1\|D)|(kpr)|(kdp)|(\|lc)|(penalty))" /e /r /s</v>
      </c>
      <c r="AG43" s="1" t="str">
        <f t="shared" si="44"/>
        <v>EC</v>
      </c>
      <c r="AH43" s="92" t="str">
        <f t="shared" si="15"/>
        <v>"%USERPROFILE%\Documents\GitHub\eaglep3\Utilities\RefineRTDCRunTimes.py" --tripid 129-27 --locoid 4002 --swversion DE.1.0.8.0 --startMP 204:449 --initTime 2016-10-27T07:04:41 --startdatetime 2016-10-27T07:15:24 --delay 1 --endMP 204:233305 --enddatetime 2016-10-27T07:54:33 --enforcementcount 0 &gt;&gt;C:\Users\stu\Documents\GitHub\eaglep3-reporting\EC\2016-10-27-refined-times.txt</v>
      </c>
      <c r="AI43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{"issue":{"subject":"","project_id":79,"tracker_id":40,"status_id":1,"priority_id":2,"assigned_to_id":23,"start_date":"2016-10-27","description":"","custom_fields":[{"id":1,"name":"Subdivision","value":"EC"},{"id":4,"name":"Milepost","value":"23.3305"},{"id":17,"name":"Train ID","value":"129-27"},{"id":16,"name":"Locomotive ID","value":"4002"},{"id":130,"name":"Impact","value":""},{"id":150,"name":"Time of Event (Mountain Time)","value":"07:54:33"},{"id":151,"name":"Denver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472</v>
      </c>
      <c r="B44" s="7">
        <v>4001</v>
      </c>
      <c r="C44" s="22" t="s">
        <v>326</v>
      </c>
      <c r="D44" s="22" t="s">
        <v>353</v>
      </c>
      <c r="E44" s="13">
        <v>42670.33798611111</v>
      </c>
      <c r="F44" s="13">
        <v>42670.341249999998</v>
      </c>
      <c r="G44" s="7">
        <v>1</v>
      </c>
      <c r="H44" s="13" t="s">
        <v>644</v>
      </c>
      <c r="I44" s="13">
        <v>42670.367511574077</v>
      </c>
      <c r="J44" s="7">
        <v>0</v>
      </c>
      <c r="K44" s="112" t="str">
        <f t="shared" si="33"/>
        <v>4001/4002</v>
      </c>
      <c r="L44" s="22" t="str">
        <f>VLOOKUP(A44,'Trips&amp;Operators'!$C$1:$E$10000,3,FALSE)</f>
        <v>MAELZER</v>
      </c>
      <c r="M44" s="6">
        <f t="shared" si="34"/>
        <v>2.6261574079398997E-2</v>
      </c>
      <c r="N44" s="7">
        <f t="shared" si="35"/>
        <v>37.816666674334556</v>
      </c>
      <c r="O44" s="7"/>
      <c r="P44" s="7"/>
      <c r="Q44" s="23"/>
      <c r="R44" s="23"/>
      <c r="S44" s="35">
        <f t="shared" si="36"/>
        <v>1</v>
      </c>
      <c r="T44" s="50" t="str">
        <f t="shared" si="37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07:06:42-0600',mode:absolute,to:'2016-10-27 09:49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4" s="52" t="str">
        <f t="shared" si="39"/>
        <v>N</v>
      </c>
      <c r="X44" s="177">
        <f t="shared" si="45"/>
        <v>1</v>
      </c>
      <c r="Y44" s="67">
        <f t="shared" si="40"/>
        <v>23.298200000000001</v>
      </c>
      <c r="Z44" s="67">
        <f t="shared" si="41"/>
        <v>1.34E-2</v>
      </c>
      <c r="AA44" s="67">
        <f t="shared" si="42"/>
        <v>23.284800000000001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43"/>
        <v>0130-27</v>
      </c>
      <c r="AE44" s="91" t="str">
        <f t="shared" si="10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44" s="88" t="str">
        <f t="shared" si="11"/>
        <v>"C:\Program Files (x86)\AstroGrep\AstroGrep.exe" /spath="%USERPROFILE%\AppData\Local\Temp\OnboardLogs" /stypes="app*4001*20161027*" /stext=" 14:.+((SYSTEM_STATE.+slice.+state.+changed )|(ment ac)|(system.+state.+changed )|(\[timeout)|(PRM\|1\|D)|(kpr)|(kdp)|(\|lc)|(penalty))" /e /r /s</v>
      </c>
      <c r="AG44" s="1" t="str">
        <f t="shared" si="44"/>
        <v>EC</v>
      </c>
      <c r="AH44" s="92" t="str">
        <f t="shared" si="15"/>
        <v>"%USERPROFILE%\Documents\GitHub\eaglep3\Utilities\RefineRTDCRunTimes.py" --tripid 130-27 --locoid 4001 --swversion DE.1.0.8.0 --startMP 204:232982 --initTime 2016-10-27T08:06:42 --startdatetime 2016-10-27T08:11:24 --delay 1 --endMP 204:134 --enddatetime 2016-10-27T08:49:13 --enforcementcount 0 &gt;&gt;C:\Users\stu\Documents\GitHub\eaglep3-reporting\EC\2016-10-27-refined-times.txt</v>
      </c>
      <c r="AI44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{"issue":{"subject":"","project_id":79,"tracker_id":40,"status_id":1,"priority_id":2,"assigned_to_id":23,"start_date":"2016-10-27","description":"","custom_fields":[{"id":1,"name":"Subdivision","value":"EC"},{"id":4,"name":"Milepost","value":"0.0134"},{"id":17,"name":"Train ID","value":"130-27"},{"id":16,"name":"Locomotive ID","value":"4001"},{"id":130,"name":"Impact","value":""},{"id":150,"name":"Time of Event (Mountain Time)","value":"08:49:13"},{"id":151,"name":"Denver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465</v>
      </c>
      <c r="B45" s="7">
        <v>4007</v>
      </c>
      <c r="C45" s="22" t="s">
        <v>326</v>
      </c>
      <c r="D45" s="22" t="s">
        <v>228</v>
      </c>
      <c r="E45" s="13">
        <v>42670.308136574073</v>
      </c>
      <c r="F45" s="13">
        <v>42670.312939814816</v>
      </c>
      <c r="G45" s="7">
        <v>2</v>
      </c>
      <c r="H45" s="13" t="s">
        <v>309</v>
      </c>
      <c r="I45" s="13">
        <v>42670.340162037035</v>
      </c>
      <c r="J45" s="7">
        <v>0</v>
      </c>
      <c r="K45" s="112" t="str">
        <f t="shared" si="33"/>
        <v>4007/4008</v>
      </c>
      <c r="L45" s="22" t="str">
        <f>VLOOKUP(A45,'Trips&amp;Operators'!$C$1:$E$10000,3,FALSE)</f>
        <v>NELSON</v>
      </c>
      <c r="M45" s="6">
        <f t="shared" si="34"/>
        <v>2.7222222219279502E-2</v>
      </c>
      <c r="N45" s="7">
        <f t="shared" si="35"/>
        <v>39.199999995762482</v>
      </c>
      <c r="O45" s="7"/>
      <c r="P45" s="7"/>
      <c r="Q45" s="23"/>
      <c r="R45" s="23"/>
      <c r="S45" s="35">
        <f t="shared" si="36"/>
        <v>1</v>
      </c>
      <c r="T45" s="50" t="str">
        <f t="shared" si="37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06:23:43-0600',mode:absolute,to:'2016-10-27 09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5" s="52" t="str">
        <f t="shared" si="39"/>
        <v>N</v>
      </c>
      <c r="X45" s="177">
        <f t="shared" si="45"/>
        <v>1</v>
      </c>
      <c r="Y45" s="67">
        <f t="shared" si="40"/>
        <v>4.5999999999999999E-2</v>
      </c>
      <c r="Z45" s="67">
        <f t="shared" si="41"/>
        <v>23.3308</v>
      </c>
      <c r="AA45" s="67">
        <f t="shared" si="42"/>
        <v>23.284800000000001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43"/>
        <v>0131-27</v>
      </c>
      <c r="AE45" s="91" t="str">
        <f t="shared" si="10"/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AF45" s="88" t="str">
        <f t="shared" si="11"/>
        <v>"C:\Program Files (x86)\AstroGrep\AstroGrep.exe" /spath="%USERPROFILE%\AppData\Local\Temp\OnboardLogs" /stypes="app*4007*20161027*" /stext=" 14:.+((SYSTEM_STATE.+slice.+state.+changed )|(ment ac)|(system.+state.+changed )|(\[timeout)|(PRM\|1\|D)|(kpr)|(kdp)|(\|lc)|(penalty))" /e /r /s</v>
      </c>
      <c r="AG45" s="1" t="str">
        <f t="shared" si="44"/>
        <v>EC</v>
      </c>
      <c r="AH45" s="92" t="str">
        <f t="shared" si="15"/>
        <v>"%USERPROFILE%\Documents\GitHub\eaglep3\Utilities\RefineRTDCRunTimes.py" --tripid 131-27 --locoid 4007 --swversion DE.1.0.8.0 --startMP 204:460 --initTime 2016-10-27T07:23:43 --startdatetime 2016-10-27T07:30:38 --delay 2 --endMP 204:233308 --enddatetime 2016-10-27T08:09:50 --enforcementcount 0 &gt;&gt;C:\Users\stu\Documents\GitHub\eaglep3-reporting\EC\2016-10-27-refined-times.txt</v>
      </c>
      <c r="AI45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{"issue":{"subject":"","project_id":79,"tracker_id":40,"status_id":1,"priority_id":2,"assigned_to_id":23,"start_date":"2016-10-27","description":"","custom_fields":[{"id":1,"name":"Subdivision","value":"EC"},{"id":4,"name":"Milepost","value":"23.3308"},{"id":17,"name":"Train ID","value":"131-27"},{"id":16,"name":"Locomotive ID","value":"4007"},{"id":130,"name":"Impact","value":""},{"id":150,"name":"Time of Event (Mountain Time)","value":"08:09:50"},{"id":151,"name":"Denver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473</v>
      </c>
      <c r="B46" s="7">
        <v>4008</v>
      </c>
      <c r="C46" s="22" t="s">
        <v>326</v>
      </c>
      <c r="D46" s="22" t="s">
        <v>645</v>
      </c>
      <c r="E46" s="13">
        <v>42670.352106481485</v>
      </c>
      <c r="F46" s="13">
        <v>42670.35297453704</v>
      </c>
      <c r="G46" s="7">
        <v>0</v>
      </c>
      <c r="H46" s="13" t="s">
        <v>271</v>
      </c>
      <c r="I46" s="13">
        <v>42670.379814814813</v>
      </c>
      <c r="J46" s="7">
        <v>0</v>
      </c>
      <c r="K46" s="112" t="str">
        <f t="shared" si="33"/>
        <v>4007/4008</v>
      </c>
      <c r="L46" s="22" t="str">
        <f>VLOOKUP(A46,'Trips&amp;Operators'!$C$1:$E$10000,3,FALSE)</f>
        <v>NELSON</v>
      </c>
      <c r="M46" s="6">
        <f t="shared" si="34"/>
        <v>2.6840277772862464E-2</v>
      </c>
      <c r="N46" s="7">
        <f t="shared" si="35"/>
        <v>38.649999992921948</v>
      </c>
      <c r="O46" s="7"/>
      <c r="P46" s="7"/>
      <c r="Q46" s="23"/>
      <c r="R46" s="23"/>
      <c r="S46" s="35">
        <f t="shared" si="36"/>
        <v>1</v>
      </c>
      <c r="T46" s="50" t="str">
        <f t="shared" si="37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07:27:02-0600',mode:absolute,to:'2016-10-27 10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6" s="52" t="str">
        <f t="shared" si="39"/>
        <v>N</v>
      </c>
      <c r="X46" s="177">
        <f t="shared" si="45"/>
        <v>1</v>
      </c>
      <c r="Y46" s="67">
        <f t="shared" si="40"/>
        <v>23.301100000000002</v>
      </c>
      <c r="Z46" s="67">
        <f t="shared" si="41"/>
        <v>1.6299999999999999E-2</v>
      </c>
      <c r="AA46" s="67">
        <f t="shared" si="42"/>
        <v>23.284800000000001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43"/>
        <v>0132-27</v>
      </c>
      <c r="AE46" s="91" t="str">
        <f t="shared" si="10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46" s="88" t="str">
        <f t="shared" si="11"/>
        <v>"C:\Program Files (x86)\AstroGrep\AstroGrep.exe" /spath="%USERPROFILE%\AppData\Local\Temp\OnboardLogs" /stypes="app*4008*20161027*" /stext=" 15:.+((SYSTEM_STATE.+slice.+state.+changed )|(ment ac)|(system.+state.+changed )|(\[timeout)|(PRM\|1\|D)|(kpr)|(kdp)|(\|lc)|(penalty))" /e /r /s</v>
      </c>
      <c r="AG46" s="1" t="str">
        <f t="shared" si="44"/>
        <v>EC</v>
      </c>
      <c r="AH46" s="92" t="str">
        <f t="shared" si="15"/>
        <v>"%USERPROFILE%\Documents\GitHub\eaglep3\Utilities\RefineRTDCRunTimes.py" --tripid 132-27 --locoid 4008 --swversion DE.1.0.8.0 --startMP 204:233011 --initTime 2016-10-27T08:27:02 --startdatetime 2016-10-27T08:28:17 --delay 0 --endMP 204:163 --enddatetime 2016-10-27T09:06:56 --enforcementcount 0 &gt;&gt;C:\Users\stu\Documents\GitHub\eaglep3-reporting\EC\2016-10-27-refined-times.txt</v>
      </c>
      <c r="AI46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{"issue":{"subject":"","project_id":79,"tracker_id":40,"status_id":1,"priority_id":2,"assigned_to_id":23,"start_date":"2016-10-27","description":"","custom_fields":[{"id":1,"name":"Subdivision","value":"EC"},{"id":4,"name":"Milepost","value":"0.0163"},{"id":17,"name":"Train ID","value":"132-27"},{"id":16,"name":"Locomotive ID","value":"4008"},{"id":130,"name":"Impact","value":""},{"id":150,"name":"Time of Event (Mountain Time)","value":"09:06:56"},{"id":151,"name":"Denver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466</v>
      </c>
      <c r="B47" s="7">
        <v>4040</v>
      </c>
      <c r="C47" s="22" t="s">
        <v>326</v>
      </c>
      <c r="D47" s="22" t="s">
        <v>310</v>
      </c>
      <c r="E47" s="13">
        <v>42670.312974537039</v>
      </c>
      <c r="F47" s="13">
        <v>42670.32309027778</v>
      </c>
      <c r="G47" s="7">
        <v>1</v>
      </c>
      <c r="H47" s="13" t="s">
        <v>288</v>
      </c>
      <c r="I47" s="13">
        <v>42670.347175925926</v>
      </c>
      <c r="J47" s="7">
        <v>0</v>
      </c>
      <c r="K47" s="112" t="str">
        <f t="shared" si="33"/>
        <v>4039/4040</v>
      </c>
      <c r="L47" s="22" t="str">
        <f>VLOOKUP(A47,'Trips&amp;Operators'!$C$1:$E$10000,3,FALSE)</f>
        <v>SPECTOR</v>
      </c>
      <c r="M47" s="6">
        <f t="shared" si="34"/>
        <v>2.4085648146865424E-2</v>
      </c>
      <c r="N47" s="7">
        <f t="shared" si="35"/>
        <v>34.68333333148621</v>
      </c>
      <c r="O47" s="7"/>
      <c r="P47" s="7"/>
      <c r="Q47" s="23"/>
      <c r="R47" s="23"/>
      <c r="S47" s="35">
        <f t="shared" si="36"/>
        <v>1</v>
      </c>
      <c r="T47" s="50" t="str">
        <f t="shared" si="37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06:30:41-0600',mode:absolute,to:'2016-10-27 09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7" s="52" t="str">
        <f t="shared" si="39"/>
        <v>N</v>
      </c>
      <c r="X47" s="177">
        <f t="shared" si="45"/>
        <v>1</v>
      </c>
      <c r="Y47" s="67">
        <f t="shared" si="40"/>
        <v>4.6399999999999997E-2</v>
      </c>
      <c r="Z47" s="67">
        <f t="shared" si="41"/>
        <v>23.332699999999999</v>
      </c>
      <c r="AA47" s="67">
        <f t="shared" si="42"/>
        <v>23.286300000000001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43"/>
        <v>0133-27</v>
      </c>
      <c r="AE47" s="91" t="str">
        <f t="shared" si="10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47" s="88" t="str">
        <f t="shared" si="11"/>
        <v>"C:\Program Files (x86)\AstroGrep\AstroGrep.exe" /spath="%USERPROFILE%\AppData\Local\Temp\OnboardLogs" /stypes="app*4040*20161027*" /stext=" 14:.+((SYSTEM_STATE.+slice.+state.+changed )|(ment ac)|(system.+state.+changed )|(\[timeout)|(PRM\|1\|D)|(kpr)|(kdp)|(\|lc)|(penalty))" /e /r /s</v>
      </c>
      <c r="AG47" s="1" t="str">
        <f t="shared" si="44"/>
        <v>EC</v>
      </c>
      <c r="AH47" s="92" t="str">
        <f t="shared" si="15"/>
        <v>"%USERPROFILE%\Documents\GitHub\eaglep3\Utilities\RefineRTDCRunTimes.py" --tripid 133-27 --locoid 4040 --swversion DE.1.0.8.0 --startMP 204:464 --initTime 2016-10-27T07:30:41 --startdatetime 2016-10-27T07:45:15 --delay 1 --endMP 204:233327 --enddatetime 2016-10-27T08:19:56 --enforcementcount 0 &gt;&gt;C:\Users\stu\Documents\GitHub\eaglep3-reporting\EC\2016-10-27-refined-times.txt</v>
      </c>
      <c r="AI47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{"issue":{"subject":"","project_id":79,"tracker_id":40,"status_id":1,"priority_id":2,"assigned_to_id":23,"start_date":"2016-10-27","description":"","custom_fields":[{"id":1,"name":"Subdivision","value":"EC"},{"id":4,"name":"Milepost","value":"23.3327"},{"id":17,"name":"Train ID","value":"133-27"},{"id":16,"name":"Locomotive ID","value":"4040"},{"id":130,"name":"Impact","value":""},{"id":150,"name":"Time of Event (Mountain Time)","value":"08:19:56"},{"id":151,"name":"Denver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478</v>
      </c>
      <c r="B48" s="7">
        <v>4039</v>
      </c>
      <c r="C48" s="22" t="s">
        <v>326</v>
      </c>
      <c r="D48" s="22" t="s">
        <v>287</v>
      </c>
      <c r="E48" s="13">
        <v>42670.362187500003</v>
      </c>
      <c r="F48" s="13">
        <v>42670.363402777781</v>
      </c>
      <c r="G48" s="7">
        <v>1</v>
      </c>
      <c r="H48" s="13" t="s">
        <v>215</v>
      </c>
      <c r="I48" s="13">
        <v>42670.388981481483</v>
      </c>
      <c r="J48" s="7">
        <v>0</v>
      </c>
      <c r="K48" s="112" t="str">
        <f t="shared" si="33"/>
        <v>4039/4040</v>
      </c>
      <c r="L48" s="22" t="str">
        <f>VLOOKUP(A48,'Trips&amp;Operators'!$C$1:$E$10000,3,FALSE)</f>
        <v>SPECTOR</v>
      </c>
      <c r="M48" s="6">
        <f t="shared" si="34"/>
        <v>2.5578703702194616E-2</v>
      </c>
      <c r="N48" s="7">
        <f t="shared" si="35"/>
        <v>36.833333331160247</v>
      </c>
      <c r="O48" s="7"/>
      <c r="P48" s="7"/>
      <c r="Q48" s="23"/>
      <c r="R48" s="23"/>
      <c r="S48" s="35">
        <f t="shared" si="36"/>
        <v>1</v>
      </c>
      <c r="T48" s="50" t="str">
        <f t="shared" si="37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07:41:33-0600',mode:absolute,to:'2016-10-27 10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8" s="52" t="str">
        <f t="shared" si="39"/>
        <v>N</v>
      </c>
      <c r="X48" s="177">
        <f t="shared" si="45"/>
        <v>1</v>
      </c>
      <c r="Y48" s="67">
        <f t="shared" si="40"/>
        <v>23.299800000000001</v>
      </c>
      <c r="Z48" s="67">
        <f t="shared" si="41"/>
        <v>1.4500000000000001E-2</v>
      </c>
      <c r="AA48" s="67">
        <f t="shared" si="42"/>
        <v>23.285299999999999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43"/>
        <v>0134-27</v>
      </c>
      <c r="AE48" s="91" t="str">
        <f t="shared" si="10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48" s="88" t="str">
        <f t="shared" si="11"/>
        <v>"C:\Program Files (x86)\AstroGrep\AstroGrep.exe" /spath="%USERPROFILE%\AppData\Local\Temp\OnboardLogs" /stypes="app*4039*20161027*" /stext=" 15:.+((SYSTEM_STATE.+slice.+state.+changed )|(ment ac)|(system.+state.+changed )|(\[timeout)|(PRM\|1\|D)|(kpr)|(kdp)|(\|lc)|(penalty))" /e /r /s</v>
      </c>
      <c r="AG48" s="1" t="str">
        <f t="shared" si="44"/>
        <v>EC</v>
      </c>
      <c r="AH48" s="92" t="str">
        <f t="shared" si="15"/>
        <v>"%USERPROFILE%\Documents\GitHub\eaglep3\Utilities\RefineRTDCRunTimes.py" --tripid 134-27 --locoid 4039 --swversion DE.1.0.8.0 --startMP 204:232998 --initTime 2016-10-27T08:41:33 --startdatetime 2016-10-27T08:43:18 --delay 1 --endMP 204:145 --enddatetime 2016-10-27T09:20:08 --enforcementcount 0 &gt;&gt;C:\Users\stu\Documents\GitHub\eaglep3-reporting\EC\2016-10-27-refined-times.txt</v>
      </c>
      <c r="AI48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ID","value":"134-27"},{"id":16,"name":"Locomotive ID","value":"4039"},{"id":130,"name":"Impact","value":""},{"id":150,"name":"Time of Event (Mountain Time)","value":"09:20:08"},{"id":151,"name":"Denver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471</v>
      </c>
      <c r="B49" s="7">
        <v>4014</v>
      </c>
      <c r="C49" s="22" t="s">
        <v>326</v>
      </c>
      <c r="D49" s="22" t="s">
        <v>349</v>
      </c>
      <c r="E49" s="13">
        <v>42670.331423611111</v>
      </c>
      <c r="F49" s="13">
        <v>42670.333634259259</v>
      </c>
      <c r="G49" s="7">
        <v>2</v>
      </c>
      <c r="H49" s="13" t="s">
        <v>646</v>
      </c>
      <c r="I49" s="13">
        <v>42670.357453703706</v>
      </c>
      <c r="J49" s="7">
        <v>0</v>
      </c>
      <c r="K49" s="112" t="str">
        <f t="shared" si="33"/>
        <v>4013/4014</v>
      </c>
      <c r="L49" s="22" t="str">
        <f>VLOOKUP(A49,'Trips&amp;Operators'!$C$1:$E$10000,3,FALSE)</f>
        <v>MALAVE</v>
      </c>
      <c r="M49" s="6">
        <f t="shared" si="34"/>
        <v>2.3819444446417037E-2</v>
      </c>
      <c r="N49" s="7">
        <f t="shared" si="35"/>
        <v>34.300000002840534</v>
      </c>
      <c r="O49" s="7"/>
      <c r="P49" s="7"/>
      <c r="Q49" s="23"/>
      <c r="R49" s="23"/>
      <c r="S49" s="35">
        <f t="shared" si="36"/>
        <v>1</v>
      </c>
      <c r="T49" s="50" t="str">
        <f t="shared" si="37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06:57:15-0600',mode:absolute,to:'2016-10-27 09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9" s="52" t="str">
        <f t="shared" si="39"/>
        <v>N</v>
      </c>
      <c r="X49" s="177">
        <f t="shared" si="45"/>
        <v>1</v>
      </c>
      <c r="Y49" s="67">
        <f t="shared" si="40"/>
        <v>4.3499999999999997E-2</v>
      </c>
      <c r="Z49" s="67">
        <f t="shared" si="41"/>
        <v>23.328900000000001</v>
      </c>
      <c r="AA49" s="67">
        <f t="shared" si="42"/>
        <v>23.285399999999999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43"/>
        <v>0135-27</v>
      </c>
      <c r="AE49" s="91" t="str">
        <f t="shared" si="10"/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49" s="88" t="str">
        <f t="shared" si="11"/>
        <v>"C:\Program Files (x86)\AstroGrep\AstroGrep.exe" /spath="%USERPROFILE%\AppData\Local\Temp\OnboardLogs" /stypes="app*4014*20161027*" /stext=" 14:.+((SYSTEM_STATE.+slice.+state.+changed )|(ment ac)|(system.+state.+changed )|(\[timeout)|(PRM\|1\|D)|(kpr)|(kdp)|(\|lc)|(penalty))" /e /r /s</v>
      </c>
      <c r="AG49" s="1" t="str">
        <f t="shared" si="44"/>
        <v>EC</v>
      </c>
      <c r="AH49" s="92" t="str">
        <f t="shared" si="15"/>
        <v>"%USERPROFILE%\Documents\GitHub\eaglep3\Utilities\RefineRTDCRunTimes.py" --tripid 135-27 --locoid 4014 --swversion DE.1.0.8.0 --startMP 204:435 --initTime 2016-10-27T07:57:15 --startdatetime 2016-10-27T08:00:26 --delay 2 --endMP 204:233289 --enddatetime 2016-10-27T08:34:44 --enforcementcount 0 &gt;&gt;C:\Users\stu\Documents\GitHub\eaglep3-reporting\EC\2016-10-27-refined-times.txt</v>
      </c>
      <c r="AI49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{"issue":{"subject":"","project_id":79,"tracker_id":40,"status_id":1,"priority_id":2,"assigned_to_id":23,"start_date":"2016-10-27","description":"","custom_fields":[{"id":1,"name":"Subdivision","value":"EC"},{"id":4,"name":"Milepost","value":"23.3289"},{"id":17,"name":"Train ID","value":"135-27"},{"id":16,"name":"Locomotive ID","value":"4014"},{"id":130,"name":"Impact","value":""},{"id":150,"name":"Time of Event (Mountain Time)","value":"08:34:44"},{"id":151,"name":"Denver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398</v>
      </c>
      <c r="B50" s="7">
        <v>4013</v>
      </c>
      <c r="C50" s="22" t="s">
        <v>326</v>
      </c>
      <c r="D50" s="22" t="s">
        <v>355</v>
      </c>
      <c r="E50" s="13">
        <v>42670.371446759258</v>
      </c>
      <c r="F50" s="13">
        <v>42670.372766203705</v>
      </c>
      <c r="G50" s="7">
        <v>1</v>
      </c>
      <c r="H50" s="13" t="s">
        <v>218</v>
      </c>
      <c r="I50" s="13">
        <v>42670.399583333332</v>
      </c>
      <c r="J50" s="7">
        <v>0</v>
      </c>
      <c r="K50" s="112" t="str">
        <f t="shared" si="33"/>
        <v>4013/4014</v>
      </c>
      <c r="L50" s="22" t="str">
        <f>VLOOKUP(A50,'Trips&amp;Operators'!$C$1:$E$10000,3,FALSE)</f>
        <v>MALAVE</v>
      </c>
      <c r="M50" s="6">
        <f t="shared" si="34"/>
        <v>2.6817129626579117E-2</v>
      </c>
      <c r="N50" s="7">
        <f t="shared" si="35"/>
        <v>38.616666662273929</v>
      </c>
      <c r="O50" s="7"/>
      <c r="P50" s="7"/>
      <c r="Q50" s="23"/>
      <c r="R50" s="23"/>
      <c r="S50" s="35">
        <f t="shared" si="36"/>
        <v>1</v>
      </c>
      <c r="T50" s="50" t="str">
        <f t="shared" si="37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07:54:53-0600',mode:absolute,to:'2016-10-27 10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0" s="52" t="str">
        <f t="shared" si="39"/>
        <v>N</v>
      </c>
      <c r="X50" s="177">
        <f t="shared" si="45"/>
        <v>1</v>
      </c>
      <c r="Y50" s="67">
        <f t="shared" si="40"/>
        <v>23.297000000000001</v>
      </c>
      <c r="Z50" s="67">
        <f t="shared" si="41"/>
        <v>1.43E-2</v>
      </c>
      <c r="AA50" s="67">
        <f t="shared" si="42"/>
        <v>23.282700000000002</v>
      </c>
      <c r="AB50" s="64" t="str">
        <f>VLOOKUP(A50,Enforcements!$C$7:$K$21,8,0)</f>
        <v>Bulletin (2)</v>
      </c>
      <c r="AC50" s="60" t="str">
        <f>VLOOKUP(A50,Enforcements!$C$7:$E$21,3,0)</f>
        <v>GRADE CROSSING</v>
      </c>
      <c r="AD50" s="61" t="str">
        <f t="shared" si="43"/>
        <v>0136-27</v>
      </c>
      <c r="AE50" s="91" t="str">
        <f t="shared" si="10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50" s="88" t="str">
        <f t="shared" si="11"/>
        <v>"C:\Program Files (x86)\AstroGrep\AstroGrep.exe" /spath="%USERPROFILE%\AppData\Local\Temp\OnboardLogs" /stypes="app*4013*20161027*" /stext=" 15:.+((SYSTEM_STATE.+slice.+state.+changed )|(ment ac)|(system.+state.+changed )|(\[timeout)|(PRM\|1\|D)|(kpr)|(kdp)|(\|lc)|(penalty))" /e /r /s</v>
      </c>
      <c r="AG50" s="1" t="str">
        <f t="shared" si="44"/>
        <v>EC</v>
      </c>
      <c r="AH50" s="92" t="str">
        <f t="shared" si="15"/>
        <v>"%USERPROFILE%\Documents\GitHub\eaglep3\Utilities\RefineRTDCRunTimes.py" --tripid 136-27 --locoid 4013 --swversion DE.1.0.8.0 --startMP 204:232970 --initTime 2016-10-27T08:54:53 --startdatetime 2016-10-27T08:56:47 --delay 1 --endMP 204:143 --enddatetime 2016-10-27T09:35:24 --enforcementcount 0 &gt;&gt;C:\Users\stu\Documents\GitHub\eaglep3-reporting\EC\2016-10-27-refined-times.txt</v>
      </c>
      <c r="AI50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{"issue":{"subject":"","project_id":79,"tracker_id":40,"status_id":1,"priority_id":2,"assigned_to_id":23,"start_date":"2016-10-27","description":"","custom_fields":[{"id":1,"name":"Subdivision","value":"EC"},{"id":4,"name":"Milepost","value":"0.0143"},{"id":17,"name":"Train ID","value":"136-27"},{"id":16,"name":"Locomotive ID","value":"4013"},{"id":130,"name":"Impact","value":""},{"id":150,"name":"Time of Event (Mountain Time)","value":"09:35:24"},{"id":151,"name":"Denver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396</v>
      </c>
      <c r="B51" s="7">
        <v>4038</v>
      </c>
      <c r="C51" s="22" t="s">
        <v>326</v>
      </c>
      <c r="D51" s="22" t="s">
        <v>223</v>
      </c>
      <c r="E51" s="13">
        <v>42670.341481481482</v>
      </c>
      <c r="F51" s="13">
        <v>42670.343993055554</v>
      </c>
      <c r="G51" s="7">
        <v>1</v>
      </c>
      <c r="H51" s="13" t="s">
        <v>350</v>
      </c>
      <c r="I51" s="13">
        <v>42670.370208333334</v>
      </c>
      <c r="J51" s="7">
        <v>0</v>
      </c>
      <c r="K51" s="112" t="str">
        <f t="shared" si="33"/>
        <v>4037/4038</v>
      </c>
      <c r="L51" s="22" t="str">
        <f>VLOOKUP(A51,'Trips&amp;Operators'!$C$1:$E$10000,3,FALSE)</f>
        <v>STRICKLAND</v>
      </c>
      <c r="M51" s="6">
        <f t="shared" si="34"/>
        <v>2.6215277779556345E-2</v>
      </c>
      <c r="N51" s="7">
        <f t="shared" si="35"/>
        <v>37.750000002561137</v>
      </c>
      <c r="O51" s="7"/>
      <c r="P51" s="7"/>
      <c r="Q51" s="23"/>
      <c r="R51" s="23"/>
      <c r="S51" s="35">
        <f t="shared" si="36"/>
        <v>1</v>
      </c>
      <c r="T51" s="50" t="str">
        <f t="shared" si="37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07:11:44-0600',mode:absolute,to:'2016-10-27 09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1" s="52" t="str">
        <f t="shared" si="39"/>
        <v>N</v>
      </c>
      <c r="X51" s="177">
        <f t="shared" si="45"/>
        <v>1</v>
      </c>
      <c r="Y51" s="67">
        <f t="shared" si="40"/>
        <v>4.5499999999999999E-2</v>
      </c>
      <c r="Z51" s="67">
        <f t="shared" si="41"/>
        <v>23.328800000000001</v>
      </c>
      <c r="AA51" s="67">
        <f t="shared" si="42"/>
        <v>23.283300000000001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43"/>
        <v>0137-27</v>
      </c>
      <c r="AE51" s="91" t="str">
        <f t="shared" si="10"/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AF51" s="88" t="str">
        <f t="shared" si="11"/>
        <v>"C:\Program Files (x86)\AstroGrep\AstroGrep.exe" /spath="%USERPROFILE%\AppData\Local\Temp\OnboardLogs" /stypes="app*4038*20161027*" /stext=" 14:.+((SYSTEM_STATE.+slice.+state.+changed )|(ment ac)|(system.+state.+changed )|(\[timeout)|(PRM\|1\|D)|(kpr)|(kdp)|(\|lc)|(penalty))" /e /r /s</v>
      </c>
      <c r="AG51" s="1" t="str">
        <f t="shared" si="44"/>
        <v>EC</v>
      </c>
      <c r="AH51" s="92" t="str">
        <f t="shared" si="15"/>
        <v>"%USERPROFILE%\Documents\GitHub\eaglep3\Utilities\RefineRTDCRunTimes.py" --tripid 137-27 --locoid 4038 --swversion DE.1.0.8.0 --startMP 204:455 --initTime 2016-10-27T08:11:44 --startdatetime 2016-10-27T08:15:21 --delay 1 --endMP 204:233288 --enddatetime 2016-10-27T08:53:06 --enforcementcount 0 &gt;&gt;C:\Users\stu\Documents\GitHub\eaglep3-reporting\EC\2016-10-27-refined-times.txt</v>
      </c>
      <c r="AI51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{"issue":{"subject":"","project_id":79,"tracker_id":40,"status_id":1,"priority_id":2,"assigned_to_id":23,"start_date":"2016-10-27","description":"","custom_fields":[{"id":1,"name":"Subdivision","value":"EC"},{"id":4,"name":"Milepost","value":"23.3288"},{"id":17,"name":"Train ID","value":"137-27"},{"id":16,"name":"Locomotive ID","value":"4038"},{"id":130,"name":"Impact","value":""},{"id":150,"name":"Time of Event (Mountain Time)","value":"08:53:06"},{"id":151,"name":"Denver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400</v>
      </c>
      <c r="B52" s="7">
        <v>4037</v>
      </c>
      <c r="C52" s="22" t="s">
        <v>326</v>
      </c>
      <c r="D52" s="22" t="s">
        <v>312</v>
      </c>
      <c r="E52" s="13">
        <v>42670.378055555557</v>
      </c>
      <c r="F52" s="13">
        <v>42670.383020833331</v>
      </c>
      <c r="G52" s="7">
        <v>1</v>
      </c>
      <c r="H52" s="13" t="s">
        <v>352</v>
      </c>
      <c r="I52" s="13">
        <v>42670.411562499998</v>
      </c>
      <c r="J52" s="7">
        <v>0</v>
      </c>
      <c r="K52" s="112" t="str">
        <f t="shared" si="33"/>
        <v>4037/4038</v>
      </c>
      <c r="L52" s="22" t="str">
        <f>VLOOKUP(A52,'Trips&amp;Operators'!$C$1:$E$10000,3,FALSE)</f>
        <v>STRICKLAND</v>
      </c>
      <c r="M52" s="6">
        <f t="shared" si="34"/>
        <v>2.8541666666569654E-2</v>
      </c>
      <c r="N52" s="7">
        <f t="shared" si="35"/>
        <v>41.099999999860302</v>
      </c>
      <c r="O52" s="7"/>
      <c r="P52" s="7"/>
      <c r="Q52" s="23"/>
      <c r="R52" s="23"/>
      <c r="S52" s="35">
        <f t="shared" si="36"/>
        <v>1</v>
      </c>
      <c r="T52" s="50" t="str">
        <f t="shared" si="37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08:04:24-0600',mode:absolute,to:'2016-10-27 10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2" s="52" t="str">
        <f t="shared" si="39"/>
        <v>N</v>
      </c>
      <c r="X52" s="177">
        <f t="shared" si="45"/>
        <v>1</v>
      </c>
      <c r="Y52" s="67">
        <f t="shared" si="40"/>
        <v>23.296900000000001</v>
      </c>
      <c r="Z52" s="67">
        <f t="shared" si="41"/>
        <v>2.1600000000000001E-2</v>
      </c>
      <c r="AA52" s="67">
        <f t="shared" si="42"/>
        <v>23.275300000000001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43"/>
        <v>0138-27</v>
      </c>
      <c r="AE52" s="91" t="str">
        <f t="shared" si="10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52" s="88" t="str">
        <f t="shared" si="11"/>
        <v>"C:\Program Files (x86)\AstroGrep\AstroGrep.exe" /spath="%USERPROFILE%\AppData\Local\Temp\OnboardLogs" /stypes="app*4037*20161027*" /stext=" 15:.+((SYSTEM_STATE.+slice.+state.+changed )|(ment ac)|(system.+state.+changed )|(\[timeout)|(PRM\|1\|D)|(kpr)|(kdp)|(\|lc)|(penalty))" /e /r /s</v>
      </c>
      <c r="AG52" s="1" t="str">
        <f t="shared" si="44"/>
        <v>EC</v>
      </c>
      <c r="AH52" s="92" t="str">
        <f t="shared" si="15"/>
        <v>"%USERPROFILE%\Documents\GitHub\eaglep3\Utilities\RefineRTDCRunTimes.py" --tripid 138-27 --locoid 4037 --swversion DE.1.0.8.0 --startMP 204:232969 --initTime 2016-10-27T09:04:24 --startdatetime 2016-10-27T09:11:33 --delay 1 --endMP 204:216 --enddatetime 2016-10-27T09:52:39 --enforcementcount 0 &gt;&gt;C:\Users\stu\Documents\GitHub\eaglep3-reporting\EC\2016-10-27-refined-times.txt</v>
      </c>
      <c r="AI52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{"issue":{"subject":"","project_id":79,"tracker_id":40,"status_id":1,"priority_id":2,"assigned_to_id":23,"start_date":"2016-10-27","description":"","custom_fields":[{"id":1,"name":"Subdivision","value":"EC"},{"id":4,"name":"Milepost","value":"0.0216"},{"id":17,"name":"Train ID","value":"138-27"},{"id":16,"name":"Locomotive ID","value":"4037"},{"id":130,"name":"Impact","value":""},{"id":150,"name":"Time of Event (Mountain Time)","value":"09:52:39"},{"id":151,"name":"Denver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474</v>
      </c>
      <c r="B53" s="7">
        <v>4018</v>
      </c>
      <c r="C53" s="22" t="s">
        <v>326</v>
      </c>
      <c r="D53" s="22" t="s">
        <v>247</v>
      </c>
      <c r="E53" s="13">
        <v>42670.352708333332</v>
      </c>
      <c r="F53" s="13">
        <v>42670.354479166665</v>
      </c>
      <c r="G53" s="7">
        <v>1</v>
      </c>
      <c r="H53" s="13" t="s">
        <v>222</v>
      </c>
      <c r="I53" s="13">
        <v>42670.379513888889</v>
      </c>
      <c r="J53" s="7">
        <v>0</v>
      </c>
      <c r="K53" s="112" t="str">
        <f t="shared" si="33"/>
        <v>4017/4018</v>
      </c>
      <c r="L53" s="22" t="str">
        <f>VLOOKUP(A53,'Trips&amp;Operators'!$C$1:$E$10000,3,FALSE)</f>
        <v>MACDONALD</v>
      </c>
      <c r="M53" s="6">
        <f t="shared" si="34"/>
        <v>2.5034722224518191E-2</v>
      </c>
      <c r="N53" s="7">
        <f t="shared" si="35"/>
        <v>36.050000003306195</v>
      </c>
      <c r="O53" s="7"/>
      <c r="P53" s="7"/>
      <c r="Q53" s="23"/>
      <c r="R53" s="23"/>
      <c r="S53" s="35">
        <f t="shared" si="36"/>
        <v>1</v>
      </c>
      <c r="T53" s="50" t="str">
        <f t="shared" si="37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07:27:54-0600',mode:absolute,to:'2016-10-27 10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3" s="52" t="str">
        <f t="shared" si="39"/>
        <v>N</v>
      </c>
      <c r="X53" s="177">
        <f t="shared" si="45"/>
        <v>1</v>
      </c>
      <c r="Y53" s="67">
        <f t="shared" si="40"/>
        <v>4.7100000000000003E-2</v>
      </c>
      <c r="Z53" s="67">
        <f t="shared" si="41"/>
        <v>23.33</v>
      </c>
      <c r="AA53" s="67">
        <f t="shared" si="42"/>
        <v>23.282899999999998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43"/>
        <v>0139-27</v>
      </c>
      <c r="AE53" s="91" t="str">
        <f t="shared" si="10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53" s="88" t="str">
        <f t="shared" si="11"/>
        <v>"C:\Program Files (x86)\AstroGrep\AstroGrep.exe" /spath="%USERPROFILE%\AppData\Local\Temp\OnboardLogs" /stypes="app*4018*20161027*" /stext=" 15:.+((SYSTEM_STATE.+slice.+state.+changed )|(ment ac)|(system.+state.+changed )|(\[timeout)|(PRM\|1\|D)|(kpr)|(kdp)|(\|lc)|(penalty))" /e /r /s</v>
      </c>
      <c r="AG53" s="1" t="str">
        <f t="shared" si="44"/>
        <v>EC</v>
      </c>
      <c r="AH53" s="92" t="str">
        <f t="shared" si="15"/>
        <v>"%USERPROFILE%\Documents\GitHub\eaglep3\Utilities\RefineRTDCRunTimes.py" --tripid 139-27 --locoid 4018 --swversion DE.1.0.8.0 --startMP 204:471 --initTime 2016-10-27T08:27:54 --startdatetime 2016-10-27T08:30:27 --delay 1 --endMP 204:233300 --enddatetime 2016-10-27T09:06:30 --enforcementcount 0 &gt;&gt;C:\Users\stu\Documents\GitHub\eaglep3-reporting\EC\2016-10-27-refined-times.txt</v>
      </c>
      <c r="AI53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{"issue":{"subject":"","project_id":79,"tracker_id":40,"status_id":1,"priority_id":2,"assigned_to_id":23,"start_date":"2016-10-27","description":"","custom_fields":[{"id":1,"name":"Subdivision","value":"EC"},{"id":4,"name":"Milepost","value":"23.33"},{"id":17,"name":"Train ID","value":"139-27"},{"id":16,"name":"Locomotive ID","value":"4018"},{"id":130,"name":"Impact","value":""},{"id":150,"name":"Time of Event (Mountain Time)","value":"09:06:30"},{"id":151,"name":"Denver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399</v>
      </c>
      <c r="B54" s="7">
        <v>4017</v>
      </c>
      <c r="C54" s="22" t="s">
        <v>326</v>
      </c>
      <c r="D54" s="22" t="s">
        <v>343</v>
      </c>
      <c r="E54" s="13">
        <v>42670.391944444447</v>
      </c>
      <c r="F54" s="13">
        <v>42670.393437500003</v>
      </c>
      <c r="G54" s="7">
        <v>1</v>
      </c>
      <c r="H54" s="13" t="s">
        <v>271</v>
      </c>
      <c r="I54" s="13">
        <v>42670.419675925928</v>
      </c>
      <c r="J54" s="7">
        <v>0</v>
      </c>
      <c r="K54" s="112" t="str">
        <f t="shared" si="33"/>
        <v>4017/4018</v>
      </c>
      <c r="L54" s="22" t="str">
        <f>VLOOKUP(A54,'Trips&amp;Operators'!$C$1:$E$10000,3,FALSE)</f>
        <v>MACDONALD</v>
      </c>
      <c r="M54" s="6">
        <f t="shared" si="34"/>
        <v>2.6238425925839692E-2</v>
      </c>
      <c r="N54" s="7">
        <f t="shared" si="35"/>
        <v>37.783333333209157</v>
      </c>
      <c r="O54" s="7"/>
      <c r="P54" s="7"/>
      <c r="Q54" s="23"/>
      <c r="R54" s="23"/>
      <c r="S54" s="35">
        <f t="shared" si="36"/>
        <v>1</v>
      </c>
      <c r="T54" s="50" t="str">
        <f t="shared" si="37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08:24:24-0600',mode:absolute,to:'2016-10-27 11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4" s="52" t="str">
        <f t="shared" si="39"/>
        <v>N</v>
      </c>
      <c r="X54" s="177">
        <f t="shared" si="45"/>
        <v>1</v>
      </c>
      <c r="Y54" s="67">
        <f t="shared" si="40"/>
        <v>23.297899999999998</v>
      </c>
      <c r="Z54" s="67">
        <f t="shared" si="41"/>
        <v>1.6299999999999999E-2</v>
      </c>
      <c r="AA54" s="67">
        <f t="shared" si="42"/>
        <v>23.281599999999997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43"/>
        <v>0140-27</v>
      </c>
      <c r="AE54" s="91" t="str">
        <f t="shared" si="10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54" s="88" t="str">
        <f t="shared" si="11"/>
        <v>"C:\Program Files (x86)\AstroGrep\AstroGrep.exe" /spath="%USERPROFILE%\AppData\Local\Temp\OnboardLogs" /stypes="app*4017*20161027*" /stext=" 16:.+((SYSTEM_STATE.+slice.+state.+changed )|(ment ac)|(system.+state.+changed )|(\[timeout)|(PRM\|1\|D)|(kpr)|(kdp)|(\|lc)|(penalty))" /e /r /s</v>
      </c>
      <c r="AG54" s="1" t="str">
        <f t="shared" si="44"/>
        <v>EC</v>
      </c>
      <c r="AH54" s="92" t="str">
        <f t="shared" si="15"/>
        <v>"%USERPROFILE%\Documents\GitHub\eaglep3\Utilities\RefineRTDCRunTimes.py" --tripid 140-27 --locoid 4017 --swversion DE.1.0.8.0 --startMP 204:232979 --initTime 2016-10-27T09:24:24 --startdatetime 2016-10-27T09:26:33 --delay 1 --endMP 204:163 --enddatetime 2016-10-27T10:04:20 --enforcementcount 0 &gt;&gt;C:\Users\stu\Documents\GitHub\eaglep3-reporting\EC\2016-10-27-refined-times.txt</v>
      </c>
      <c r="AI54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{"issue":{"subject":"","project_id":79,"tracker_id":40,"status_id":1,"priority_id":2,"assigned_to_id":23,"start_date":"2016-10-27","description":"","custom_fields":[{"id":1,"name":"Subdivision","value":"EC"},{"id":4,"name":"Milepost","value":"0.0163"},{"id":17,"name":"Train ID","value":"140-27"},{"id":16,"name":"Locomotive ID","value":"4017"},{"id":130,"name":"Impact","value":""},{"id":150,"name":"Time of Event (Mountain Time)","value":"10:04:20"},{"id":151,"name":"Denver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477</v>
      </c>
      <c r="B55" s="7">
        <v>4022</v>
      </c>
      <c r="C55" s="22" t="s">
        <v>326</v>
      </c>
      <c r="D55" s="22" t="s">
        <v>220</v>
      </c>
      <c r="E55" s="13">
        <v>42670.361666666664</v>
      </c>
      <c r="F55" s="13">
        <v>42670.364803240744</v>
      </c>
      <c r="G55" s="7">
        <v>1</v>
      </c>
      <c r="H55" s="13" t="s">
        <v>647</v>
      </c>
      <c r="I55" s="13">
        <v>42670.389374999999</v>
      </c>
      <c r="J55" s="7">
        <v>0</v>
      </c>
      <c r="K55" s="112" t="str">
        <f t="shared" si="33"/>
        <v>4021/4022</v>
      </c>
      <c r="L55" s="22" t="str">
        <f>VLOOKUP(A55,'Trips&amp;Operators'!$C$1:$E$10000,3,FALSE)</f>
        <v>STARKS</v>
      </c>
      <c r="M55" s="6">
        <f t="shared" si="34"/>
        <v>2.4571759255195502E-2</v>
      </c>
      <c r="N55" s="7">
        <f t="shared" si="35"/>
        <v>35.383333327481523</v>
      </c>
      <c r="O55" s="7"/>
      <c r="P55" s="7"/>
      <c r="Q55" s="23"/>
      <c r="R55" s="23"/>
      <c r="S55" s="35">
        <f t="shared" si="36"/>
        <v>1</v>
      </c>
      <c r="T55" s="50" t="str">
        <f t="shared" si="37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07:40:48-0600',mode:absolute,to:'2016-10-27 10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5" s="52" t="str">
        <f t="shared" si="39"/>
        <v>N</v>
      </c>
      <c r="X55" s="177">
        <f t="shared" si="45"/>
        <v>1</v>
      </c>
      <c r="Y55" s="67">
        <f t="shared" si="40"/>
        <v>4.4699999999999997E-2</v>
      </c>
      <c r="Z55" s="67">
        <f t="shared" si="41"/>
        <v>23.328399999999998</v>
      </c>
      <c r="AA55" s="67">
        <f t="shared" si="42"/>
        <v>23.2837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43"/>
        <v>0141-27</v>
      </c>
      <c r="AE55" s="91" t="str">
        <f t="shared" si="10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55" s="88" t="str">
        <f t="shared" si="11"/>
        <v>"C:\Program Files (x86)\AstroGrep\AstroGrep.exe" /spath="%USERPROFILE%\AppData\Local\Temp\OnboardLogs" /stypes="app*4022*20161027*" /stext=" 15:.+((SYSTEM_STATE.+slice.+state.+changed )|(ment ac)|(system.+state.+changed )|(\[timeout)|(PRM\|1\|D)|(kpr)|(kdp)|(\|lc)|(penalty))" /e /r /s</v>
      </c>
      <c r="AG55" s="1" t="str">
        <f t="shared" si="44"/>
        <v>EC</v>
      </c>
      <c r="AH55" s="92" t="str">
        <f t="shared" si="15"/>
        <v>"%USERPROFILE%\Documents\GitHub\eaglep3\Utilities\RefineRTDCRunTimes.py" --tripid 141-27 --locoid 4022 --swversion DE.1.0.8.0 --startMP 204:447 --initTime 2016-10-27T08:40:48 --startdatetime 2016-10-27T08:45:19 --delay 1 --endMP 204:233284 --enddatetime 2016-10-27T09:20:42 --enforcementcount 0 &gt;&gt;C:\Users\stu\Documents\GitHub\eaglep3-reporting\EC\2016-10-27-refined-times.txt</v>
      </c>
      <c r="AI55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{"issue":{"subject":"","project_id":79,"tracker_id":40,"status_id":1,"priority_id":2,"assigned_to_id":23,"start_date":"2016-10-27","description":"","custom_fields":[{"id":1,"name":"Subdivision","value":"EC"},{"id":4,"name":"Milepost","value":"23.3284"},{"id":17,"name":"Train ID","value":"141-27"},{"id":16,"name":"Locomotive ID","value":"4022"},{"id":130,"name":"Impact","value":""},{"id":150,"name":"Time of Event (Mountain Time)","value":"09:20:42"},{"id":151,"name":"Denver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484</v>
      </c>
      <c r="B56" s="7">
        <v>4021</v>
      </c>
      <c r="C56" s="22" t="s">
        <v>326</v>
      </c>
      <c r="D56" s="22" t="s">
        <v>245</v>
      </c>
      <c r="E56" s="13">
        <v>42670.401018518518</v>
      </c>
      <c r="F56" s="13">
        <v>42670.403668981482</v>
      </c>
      <c r="G56" s="7">
        <v>1</v>
      </c>
      <c r="H56" s="13" t="s">
        <v>219</v>
      </c>
      <c r="I56" s="13">
        <v>42670.430381944447</v>
      </c>
      <c r="J56" s="7">
        <v>0</v>
      </c>
      <c r="K56" s="112" t="str">
        <f t="shared" si="33"/>
        <v>4021/4022</v>
      </c>
      <c r="L56" s="22" t="str">
        <f>VLOOKUP(A56,'Trips&amp;Operators'!$C$1:$E$10000,3,FALSE)</f>
        <v>STARKS</v>
      </c>
      <c r="M56" s="6">
        <f t="shared" si="34"/>
        <v>2.6712962964666076E-2</v>
      </c>
      <c r="N56" s="7">
        <f t="shared" si="35"/>
        <v>38.466666669119149</v>
      </c>
      <c r="O56" s="7"/>
      <c r="P56" s="7"/>
      <c r="Q56" s="23"/>
      <c r="R56" s="23"/>
      <c r="S56" s="35">
        <f t="shared" si="36"/>
        <v>1</v>
      </c>
      <c r="T56" s="50" t="str">
        <f t="shared" si="37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08:37:28-0600',mode:absolute,to:'2016-10-27 11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6" s="52" t="str">
        <f t="shared" si="39"/>
        <v>N</v>
      </c>
      <c r="X56" s="177">
        <f t="shared" si="45"/>
        <v>1</v>
      </c>
      <c r="Y56" s="67">
        <f t="shared" si="40"/>
        <v>23.297699999999999</v>
      </c>
      <c r="Z56" s="67">
        <f t="shared" si="41"/>
        <v>1.4999999999999999E-2</v>
      </c>
      <c r="AA56" s="67">
        <f t="shared" si="42"/>
        <v>23.282699999999998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43"/>
        <v>0142-27</v>
      </c>
      <c r="AE56" s="91" t="str">
        <f t="shared" si="10"/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AF56" s="88" t="str">
        <f t="shared" si="11"/>
        <v>"C:\Program Files (x86)\AstroGrep\AstroGrep.exe" /spath="%USERPROFILE%\AppData\Local\Temp\OnboardLogs" /stypes="app*4021*20161027*" /stext=" 16:.+((SYSTEM_STATE.+slice.+state.+changed )|(ment ac)|(system.+state.+changed )|(\[timeout)|(PRM\|1\|D)|(kpr)|(kdp)|(\|lc)|(penalty))" /e /r /s</v>
      </c>
      <c r="AG56" s="1" t="str">
        <f t="shared" si="44"/>
        <v>EC</v>
      </c>
      <c r="AH56" s="92" t="str">
        <f t="shared" si="15"/>
        <v>"%USERPROFILE%\Documents\GitHub\eaglep3\Utilities\RefineRTDCRunTimes.py" --tripid 142-27 --locoid 4021 --swversion DE.1.0.8.0 --startMP 204:232977 --initTime 2016-10-27T09:37:28 --startdatetime 2016-10-27T09:41:17 --delay 1 --endMP 204:150 --enddatetime 2016-10-27T10:19:45 --enforcementcount 0 &gt;&gt;C:\Users\stu\Documents\GitHub\eaglep3-reporting\EC\2016-10-27-refined-times.txt</v>
      </c>
      <c r="AI56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{"issue":{"subject":"","project_id":79,"tracker_id":40,"status_id":1,"priority_id":2,"assigned_to_id":23,"start_date":"2016-10-27","description":"","custom_fields":[{"id":1,"name":"Subdivision","value":"EC"},{"id":4,"name":"Milepost","value":"0.015"},{"id":17,"name":"Train ID","value":"142-27"},{"id":16,"name":"Locomotive ID","value":"4021"},{"id":130,"name":"Impact","value":""},{"id":150,"name":"Time of Event (Mountain Time)","value":"10:19:45"},{"id":151,"name":"Denver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479</v>
      </c>
      <c r="B57" s="7">
        <v>4002</v>
      </c>
      <c r="C57" s="22" t="s">
        <v>326</v>
      </c>
      <c r="D57" s="22" t="s">
        <v>648</v>
      </c>
      <c r="E57" s="13">
        <v>42670.369583333333</v>
      </c>
      <c r="F57" s="13">
        <v>42670.375289351854</v>
      </c>
      <c r="G57" s="7">
        <v>1</v>
      </c>
      <c r="H57" s="13" t="s">
        <v>273</v>
      </c>
      <c r="I57" s="13">
        <v>42670.400613425925</v>
      </c>
      <c r="J57" s="7">
        <v>0</v>
      </c>
      <c r="K57" s="112" t="str">
        <f t="shared" si="33"/>
        <v>4001/4002</v>
      </c>
      <c r="L57" s="22" t="str">
        <f>VLOOKUP(A57,'Trips&amp;Operators'!$C$1:$E$10000,3,FALSE)</f>
        <v>MAELZER</v>
      </c>
      <c r="M57" s="6">
        <f t="shared" si="34"/>
        <v>2.5324074071249925E-2</v>
      </c>
      <c r="N57" s="7">
        <f t="shared" si="35"/>
        <v>36.466666662599891</v>
      </c>
      <c r="O57" s="7"/>
      <c r="P57" s="7"/>
      <c r="Q57" s="23"/>
      <c r="R57" s="23"/>
      <c r="S57" s="35">
        <f t="shared" si="36"/>
        <v>1</v>
      </c>
      <c r="T57" s="50" t="str">
        <f t="shared" si="37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07:52:12-0600',mode:absolute,to:'2016-10-27 10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7" s="52" t="str">
        <f t="shared" si="39"/>
        <v>N</v>
      </c>
      <c r="X57" s="177">
        <f t="shared" si="45"/>
        <v>1</v>
      </c>
      <c r="Y57" s="67">
        <f t="shared" si="40"/>
        <v>4.3700000000000003E-2</v>
      </c>
      <c r="Z57" s="67">
        <f t="shared" si="41"/>
        <v>23.3291</v>
      </c>
      <c r="AA57" s="67">
        <f t="shared" si="42"/>
        <v>23.285399999999999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43"/>
        <v>0143-27</v>
      </c>
      <c r="AE57" s="91" t="str">
        <f t="shared" si="10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57" s="88" t="str">
        <f t="shared" si="11"/>
        <v>"C:\Program Files (x86)\AstroGrep\AstroGrep.exe" /spath="%USERPROFILE%\AppData\Local\Temp\OnboardLogs" /stypes="app*4002*20161027*" /stext=" 15:.+((SYSTEM_STATE.+slice.+state.+changed )|(ment ac)|(system.+state.+changed )|(\[timeout)|(PRM\|1\|D)|(kpr)|(kdp)|(\|lc)|(penalty))" /e /r /s</v>
      </c>
      <c r="AG57" s="1" t="str">
        <f t="shared" si="44"/>
        <v>EC</v>
      </c>
      <c r="AH57" s="92" t="str">
        <f t="shared" si="15"/>
        <v>"%USERPROFILE%\Documents\GitHub\eaglep3\Utilities\RefineRTDCRunTimes.py" --tripid 143-27 --locoid 4002 --swversion DE.1.0.8.0 --startMP 204:437 --initTime 2016-10-27T08:52:12 --startdatetime 2016-10-27T09:00:25 --delay 1 --endMP 204:233291 --enddatetime 2016-10-27T09:36:53 --enforcementcount 0 &gt;&gt;C:\Users\stu\Documents\GitHub\eaglep3-reporting\EC\2016-10-27-refined-times.txt</v>
      </c>
      <c r="AI57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{"issue":{"subject":"","project_id":79,"tracker_id":40,"status_id":1,"priority_id":2,"assigned_to_id":23,"start_date":"2016-10-27","description":"","custom_fields":[{"id":1,"name":"Subdivision","value":"EC"},{"id":4,"name":"Milepost","value":"23.3291"},{"id":17,"name":"Train ID","value":"143-27"},{"id":16,"name":"Locomotive ID","value":"4002"},{"id":130,"name":"Impact","value":""},{"id":150,"name":"Time of Event (Mountain Time)","value":"09:36:53"},{"id":151,"name":"Denver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485</v>
      </c>
      <c r="B58" s="7">
        <v>4001</v>
      </c>
      <c r="C58" s="22" t="s">
        <v>326</v>
      </c>
      <c r="D58" s="22" t="s">
        <v>313</v>
      </c>
      <c r="E58" s="13">
        <v>42670.406041666669</v>
      </c>
      <c r="F58" s="13">
        <v>42670.414293981485</v>
      </c>
      <c r="G58" s="7">
        <v>1</v>
      </c>
      <c r="H58" s="13" t="s">
        <v>644</v>
      </c>
      <c r="I58" s="13">
        <v>42670.440069444441</v>
      </c>
      <c r="J58" s="7">
        <v>0</v>
      </c>
      <c r="K58" s="112" t="str">
        <f t="shared" si="33"/>
        <v>4001/4002</v>
      </c>
      <c r="L58" s="22" t="str">
        <f>VLOOKUP(A58,'Trips&amp;Operators'!$C$1:$E$10000,3,FALSE)</f>
        <v>MAELZER</v>
      </c>
      <c r="M58" s="6">
        <f t="shared" si="34"/>
        <v>2.5775462956517003E-2</v>
      </c>
      <c r="N58" s="7">
        <f t="shared" si="35"/>
        <v>37.116666657384485</v>
      </c>
      <c r="O58" s="7"/>
      <c r="P58" s="7"/>
      <c r="Q58" s="23"/>
      <c r="R58" s="23"/>
      <c r="S58" s="35">
        <f t="shared" si="36"/>
        <v>1</v>
      </c>
      <c r="T58" s="50" t="str">
        <f t="shared" si="37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08:44:42-0600',mode:absolute,to:'2016-10-27 11:33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8" s="52" t="str">
        <f t="shared" si="39"/>
        <v>N</v>
      </c>
      <c r="X58" s="177">
        <f t="shared" si="45"/>
        <v>1</v>
      </c>
      <c r="Y58" s="67">
        <f t="shared" si="40"/>
        <v>23.298100000000002</v>
      </c>
      <c r="Z58" s="67">
        <f t="shared" si="41"/>
        <v>1.34E-2</v>
      </c>
      <c r="AA58" s="67">
        <f t="shared" si="42"/>
        <v>23.284700000000001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43"/>
        <v>0144-27</v>
      </c>
      <c r="AE58" s="91" t="str">
        <f t="shared" si="10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58" s="88" t="str">
        <f t="shared" si="11"/>
        <v>"C:\Program Files (x86)\AstroGrep\AstroGrep.exe" /spath="%USERPROFILE%\AppData\Local\Temp\OnboardLogs" /stypes="app*4001*20161027*" /stext=" 16:.+((SYSTEM_STATE.+slice.+state.+changed )|(ment ac)|(system.+state.+changed )|(\[timeout)|(PRM\|1\|D)|(kpr)|(kdp)|(\|lc)|(penalty))" /e /r /s</v>
      </c>
      <c r="AG58" s="1" t="str">
        <f t="shared" si="44"/>
        <v>EC</v>
      </c>
      <c r="AH58" s="92" t="str">
        <f t="shared" si="15"/>
        <v>"%USERPROFILE%\Documents\GitHub\eaglep3\Utilities\RefineRTDCRunTimes.py" --tripid 144-27 --locoid 4001 --swversion DE.1.0.8.0 --startMP 204:232981 --initTime 2016-10-27T09:44:42 --startdatetime 2016-10-27T09:56:35 --delay 1 --endMP 204:134 --enddatetime 2016-10-27T10:33:42 --enforcementcount 0 &gt;&gt;C:\Users\stu\Documents\GitHub\eaglep3-reporting\EC\2016-10-27-refined-times.txt</v>
      </c>
      <c r="AI58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{"issue":{"subject":"","project_id":79,"tracker_id":40,"status_id":1,"priority_id":2,"assigned_to_id":23,"start_date":"2016-10-27","description":"","custom_fields":[{"id":1,"name":"Subdivision","value":"EC"},{"id":4,"name":"Milepost","value":"0.0134"},{"id":17,"name":"Train ID","value":"144-27"},{"id":16,"name":"Locomotive ID","value":"4001"},{"id":130,"name":"Impact","value":""},{"id":150,"name":"Time of Event (Mountain Time)","value":"10:33:42"},{"id":151,"name":"Denver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481</v>
      </c>
      <c r="B59" s="7">
        <v>4007</v>
      </c>
      <c r="C59" s="22" t="s">
        <v>326</v>
      </c>
      <c r="D59" s="22" t="s">
        <v>281</v>
      </c>
      <c r="E59" s="13">
        <v>42670.38181712963</v>
      </c>
      <c r="F59" s="13">
        <v>42670.385682870372</v>
      </c>
      <c r="G59" s="7">
        <v>1</v>
      </c>
      <c r="H59" s="13" t="s">
        <v>649</v>
      </c>
      <c r="I59" s="13">
        <v>42670.411481481482</v>
      </c>
      <c r="J59" s="7">
        <v>0</v>
      </c>
      <c r="K59" s="112" t="str">
        <f t="shared" si="33"/>
        <v>4007/4008</v>
      </c>
      <c r="L59" s="22" t="str">
        <f>VLOOKUP(A59,'Trips&amp;Operators'!$C$1:$E$10000,3,FALSE)</f>
        <v>NELSON</v>
      </c>
      <c r="M59" s="6">
        <f t="shared" si="34"/>
        <v>2.5798611110076308E-2</v>
      </c>
      <c r="N59" s="7">
        <f t="shared" si="35"/>
        <v>37.149999998509884</v>
      </c>
      <c r="O59" s="7"/>
      <c r="P59" s="7"/>
      <c r="Q59" s="23"/>
      <c r="R59" s="23"/>
      <c r="S59" s="35">
        <f t="shared" si="36"/>
        <v>1</v>
      </c>
      <c r="T59" s="50" t="str">
        <f t="shared" si="37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08:09:49-0600',mode:absolute,to:'2016-10-27 10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9" s="52" t="str">
        <f t="shared" si="39"/>
        <v>N</v>
      </c>
      <c r="X59" s="177">
        <f t="shared" si="45"/>
        <v>1</v>
      </c>
      <c r="Y59" s="67">
        <f t="shared" si="40"/>
        <v>4.5699999999999998E-2</v>
      </c>
      <c r="Z59" s="67">
        <f t="shared" si="41"/>
        <v>23.332599999999999</v>
      </c>
      <c r="AA59" s="67">
        <f t="shared" si="42"/>
        <v>23.286899999999999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43"/>
        <v>0145-27</v>
      </c>
      <c r="AE59" s="91" t="str">
        <f t="shared" si="10"/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AF59" s="88" t="str">
        <f t="shared" si="11"/>
        <v>"C:\Program Files (x86)\AstroGrep\AstroGrep.exe" /spath="%USERPROFILE%\AppData\Local\Temp\OnboardLogs" /stypes="app*4007*20161027*" /stext=" 15:.+((SYSTEM_STATE.+slice.+state.+changed )|(ment ac)|(system.+state.+changed )|(\[timeout)|(PRM\|1\|D)|(kpr)|(kdp)|(\|lc)|(penalty))" /e /r /s</v>
      </c>
      <c r="AG59" s="1" t="str">
        <f t="shared" si="44"/>
        <v>EC</v>
      </c>
      <c r="AH59" s="92" t="str">
        <f t="shared" si="15"/>
        <v>"%USERPROFILE%\Documents\GitHub\eaglep3\Utilities\RefineRTDCRunTimes.py" --tripid 145-27 --locoid 4007 --swversion DE.1.0.8.0 --startMP 204:457 --initTime 2016-10-27T09:09:49 --startdatetime 2016-10-27T09:15:23 --delay 1 --endMP 204:233326 --enddatetime 2016-10-27T09:52:32 --enforcementcount 0 &gt;&gt;C:\Users\stu\Documents\GitHub\eaglep3-reporting\EC\2016-10-27-refined-times.txt</v>
      </c>
      <c r="AI59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{"issue":{"subject":"","project_id":79,"tracker_id":40,"status_id":1,"priority_id":2,"assigned_to_id":23,"start_date":"2016-10-27","description":"","custom_fields":[{"id":1,"name":"Subdivision","value":"EC"},{"id":4,"name":"Milepost","value":"23.3326"},{"id":17,"name":"Train ID","value":"145-27"},{"id":16,"name":"Locomotive ID","value":"4007"},{"id":130,"name":"Impact","value":""},{"id":150,"name":"Time of Event (Mountain Time)","value":"09:52:32"},{"id":151,"name":"Denver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486</v>
      </c>
      <c r="B60" s="7">
        <v>4008</v>
      </c>
      <c r="C60" s="22" t="s">
        <v>326</v>
      </c>
      <c r="D60" s="22" t="s">
        <v>650</v>
      </c>
      <c r="E60" s="13">
        <v>42670.413229166668</v>
      </c>
      <c r="F60" s="13">
        <v>42670.424525462964</v>
      </c>
      <c r="G60" s="7">
        <v>1</v>
      </c>
      <c r="H60" s="13" t="s">
        <v>641</v>
      </c>
      <c r="I60" s="13">
        <v>42670.452094907407</v>
      </c>
      <c r="J60" s="7">
        <v>0</v>
      </c>
      <c r="K60" s="112" t="str">
        <f t="shared" si="33"/>
        <v>4007/4008</v>
      </c>
      <c r="L60" s="22" t="str">
        <f>VLOOKUP(A60,'Trips&amp;Operators'!$C$1:$E$10000,3,FALSE)</f>
        <v>NELSON</v>
      </c>
      <c r="M60" s="6">
        <f t="shared" si="34"/>
        <v>2.7569444442633539E-2</v>
      </c>
      <c r="N60" s="7">
        <f t="shared" si="35"/>
        <v>39.699999997392297</v>
      </c>
      <c r="O60" s="7"/>
      <c r="P60" s="7"/>
      <c r="Q60" s="23"/>
      <c r="R60" s="23"/>
      <c r="S60" s="35">
        <f t="shared" si="36"/>
        <v>1</v>
      </c>
      <c r="T60" s="50" t="str">
        <f t="shared" si="37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08:55:03-0600',mode:absolute,to:'2016-10-27 11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0" s="52" t="str">
        <f t="shared" si="39"/>
        <v>N</v>
      </c>
      <c r="X60" s="177">
        <f t="shared" si="45"/>
        <v>1</v>
      </c>
      <c r="Y60" s="67">
        <f t="shared" si="40"/>
        <v>23.303799999999999</v>
      </c>
      <c r="Z60" s="67">
        <f t="shared" si="41"/>
        <v>1.3599999999999999E-2</v>
      </c>
      <c r="AA60" s="67">
        <f t="shared" si="42"/>
        <v>23.290199999999999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43"/>
        <v>0146-27</v>
      </c>
      <c r="AE60" s="91" t="str">
        <f t="shared" si="10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60" s="88" t="str">
        <f t="shared" si="11"/>
        <v>"C:\Program Files (x86)\AstroGrep\AstroGrep.exe" /spath="%USERPROFILE%\AppData\Local\Temp\OnboardLogs" /stypes="app*4008*20161027*" /stext=" 16:.+((SYSTEM_STATE.+slice.+state.+changed )|(ment ac)|(system.+state.+changed )|(\[timeout)|(PRM\|1\|D)|(kpr)|(kdp)|(\|lc)|(penalty))" /e /r /s</v>
      </c>
      <c r="AG60" s="1" t="str">
        <f t="shared" si="44"/>
        <v>EC</v>
      </c>
      <c r="AH60" s="92" t="str">
        <f t="shared" si="15"/>
        <v>"%USERPROFILE%\Documents\GitHub\eaglep3\Utilities\RefineRTDCRunTimes.py" --tripid 146-27 --locoid 4008 --swversion DE.1.0.8.0 --startMP 204:233038 --initTime 2016-10-27T09:55:03 --startdatetime 2016-10-27T10:11:19 --delay 1 --endMP 204:136 --enddatetime 2016-10-27T10:51:01 --enforcementcount 0 &gt;&gt;C:\Users\stu\Documents\GitHub\eaglep3-reporting\EC\2016-10-27-refined-times.txt</v>
      </c>
      <c r="AI60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{"issue":{"subject":"","project_id":79,"tracker_id":40,"status_id":1,"priority_id":2,"assigned_to_id":23,"start_date":"2016-10-27","description":"","custom_fields":[{"id":1,"name":"Subdivision","value":"EC"},{"id":4,"name":"Milepost","value":"0.0136"},{"id":17,"name":"Train ID","value":"146-27"},{"id":16,"name":"Locomotive ID","value":"4008"},{"id":130,"name":"Impact","value":""},{"id":150,"name":"Time of Event (Mountain Time)","value":"10:51:01"},{"id":151,"name":"Denver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482</v>
      </c>
      <c r="B61" s="7">
        <v>4040</v>
      </c>
      <c r="C61" s="22" t="s">
        <v>326</v>
      </c>
      <c r="D61" s="22" t="s">
        <v>228</v>
      </c>
      <c r="E61" s="13">
        <v>42670.391643518517</v>
      </c>
      <c r="F61" s="13">
        <v>42670.39607638889</v>
      </c>
      <c r="G61" s="7">
        <v>2</v>
      </c>
      <c r="H61" s="13" t="s">
        <v>288</v>
      </c>
      <c r="I61" s="13">
        <v>42670.420219907406</v>
      </c>
      <c r="J61" s="7">
        <v>0</v>
      </c>
      <c r="K61" s="112" t="str">
        <f t="shared" si="33"/>
        <v>4039/4040</v>
      </c>
      <c r="L61" s="22" t="str">
        <f>VLOOKUP(A61,'Trips&amp;Operators'!$C$1:$E$10000,3,FALSE)</f>
        <v>SPECTOR</v>
      </c>
      <c r="M61" s="6">
        <f t="shared" si="34"/>
        <v>2.414351851621177E-2</v>
      </c>
      <c r="N61" s="7">
        <f t="shared" si="35"/>
        <v>34.766666663344949</v>
      </c>
      <c r="O61" s="7"/>
      <c r="P61" s="7"/>
      <c r="Q61" s="23"/>
      <c r="R61" s="23"/>
      <c r="S61" s="35">
        <f t="shared" si="36"/>
        <v>1</v>
      </c>
      <c r="T61" s="50" t="str">
        <f t="shared" si="37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08:23:58-0600',mode:absolute,to:'2016-10-27 11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1" s="52" t="str">
        <f t="shared" si="39"/>
        <v>N</v>
      </c>
      <c r="X61" s="177">
        <f t="shared" si="45"/>
        <v>1</v>
      </c>
      <c r="Y61" s="67">
        <f t="shared" si="40"/>
        <v>4.5999999999999999E-2</v>
      </c>
      <c r="Z61" s="67">
        <f t="shared" si="41"/>
        <v>23.332699999999999</v>
      </c>
      <c r="AA61" s="67">
        <f t="shared" si="42"/>
        <v>23.2867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43"/>
        <v>0147-27</v>
      </c>
      <c r="AE61" s="91" t="str">
        <f t="shared" si="10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61" s="88" t="str">
        <f t="shared" si="11"/>
        <v>"C:\Program Files (x86)\AstroGrep\AstroGrep.exe" /spath="%USERPROFILE%\AppData\Local\Temp\OnboardLogs" /stypes="app*4040*20161027*" /stext=" 16:.+((SYSTEM_STATE.+slice.+state.+changed )|(ment ac)|(system.+state.+changed )|(\[timeout)|(PRM\|1\|D)|(kpr)|(kdp)|(\|lc)|(penalty))" /e /r /s</v>
      </c>
      <c r="AG61" s="1" t="str">
        <f t="shared" si="44"/>
        <v>EC</v>
      </c>
      <c r="AH61" s="92" t="str">
        <f t="shared" si="15"/>
        <v>"%USERPROFILE%\Documents\GitHub\eaglep3\Utilities\RefineRTDCRunTimes.py" --tripid 147-27 --locoid 4040 --swversion DE.1.0.8.0 --startMP 204:460 --initTime 2016-10-27T09:23:58 --startdatetime 2016-10-27T09:30:21 --delay 2 --endMP 204:233327 --enddatetime 2016-10-27T10:05:07 --enforcementcount 0 &gt;&gt;C:\Users\stu\Documents\GitHub\eaglep3-reporting\EC\2016-10-27-refined-times.txt</v>
      </c>
      <c r="AI61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{"issue":{"subject":"","project_id":79,"tracker_id":40,"status_id":1,"priority_id":2,"assigned_to_id":23,"start_date":"2016-10-27","description":"","custom_fields":[{"id":1,"name":"Subdivision","value":"EC"},{"id":4,"name":"Milepost","value":"23.3327"},{"id":17,"name":"Train ID","value":"147-27"},{"id":16,"name":"Locomotive ID","value":"4040"},{"id":130,"name":"Impact","value":""},{"id":150,"name":"Time of Event (Mountain Time)","value":"10:05:07"},{"id":151,"name":"Denver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489</v>
      </c>
      <c r="B62" s="7">
        <v>4039</v>
      </c>
      <c r="C62" s="22" t="s">
        <v>326</v>
      </c>
      <c r="D62" s="22" t="s">
        <v>651</v>
      </c>
      <c r="E62" s="13">
        <v>42670.428981481484</v>
      </c>
      <c r="F62" s="13">
        <v>42670.434895833336</v>
      </c>
      <c r="G62" s="7">
        <v>2</v>
      </c>
      <c r="H62" s="13" t="s">
        <v>641</v>
      </c>
      <c r="I62" s="13">
        <v>42670.462881944448</v>
      </c>
      <c r="J62" s="7">
        <v>0</v>
      </c>
      <c r="K62" s="112" t="str">
        <f t="shared" si="33"/>
        <v>4039/4040</v>
      </c>
      <c r="L62" s="22" t="str">
        <f>VLOOKUP(A62,'Trips&amp;Operators'!$C$1:$E$10000,3,FALSE)</f>
        <v>SPECTOR</v>
      </c>
      <c r="M62" s="6">
        <f t="shared" si="34"/>
        <v>2.7986111112113576E-2</v>
      </c>
      <c r="N62" s="7">
        <f t="shared" si="35"/>
        <v>40.30000000144355</v>
      </c>
      <c r="O62" s="7"/>
      <c r="P62" s="7"/>
      <c r="Q62" s="23"/>
      <c r="R62" s="23"/>
      <c r="S62" s="35">
        <f t="shared" si="36"/>
        <v>1</v>
      </c>
      <c r="T62" s="50" t="str">
        <f t="shared" si="37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09:17:44-0600',mode:absolute,to:'2016-10-27 12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2" s="52" t="str">
        <f t="shared" si="39"/>
        <v>N</v>
      </c>
      <c r="X62" s="177">
        <f t="shared" si="45"/>
        <v>1</v>
      </c>
      <c r="Y62" s="67">
        <f t="shared" si="40"/>
        <v>23.300999999999998</v>
      </c>
      <c r="Z62" s="67">
        <f t="shared" si="41"/>
        <v>1.3599999999999999E-2</v>
      </c>
      <c r="AA62" s="67">
        <f t="shared" si="42"/>
        <v>23.287399999999998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43"/>
        <v>0148-27</v>
      </c>
      <c r="AE62" s="91" t="str">
        <f t="shared" si="10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62" s="88" t="str">
        <f t="shared" si="11"/>
        <v>"C:\Program Files (x86)\AstroGrep\AstroGrep.exe" /spath="%USERPROFILE%\AppData\Local\Temp\OnboardLogs" /stypes="app*4039*20161027*" /stext=" 17:.+((SYSTEM_STATE.+slice.+state.+changed )|(ment ac)|(system.+state.+changed )|(\[timeout)|(PRM\|1\|D)|(kpr)|(kdp)|(\|lc)|(penalty))" /e /r /s</v>
      </c>
      <c r="AG62" s="1" t="str">
        <f t="shared" si="44"/>
        <v>EC</v>
      </c>
      <c r="AH62" s="92" t="str">
        <f t="shared" si="15"/>
        <v>"%USERPROFILE%\Documents\GitHub\eaglep3\Utilities\RefineRTDCRunTimes.py" --tripid 148-27 --locoid 4039 --swversion DE.1.0.8.0 --startMP 204:233010 --initTime 2016-10-27T10:17:44 --startdatetime 2016-10-27T10:26:15 --delay 2 --endMP 204:136 --enddatetime 2016-10-27T11:06:33 --enforcementcount 0 &gt;&gt;C:\Users\stu\Documents\GitHub\eaglep3-reporting\EC\2016-10-27-refined-times.txt</v>
      </c>
      <c r="AI62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{"issue":{"subject":"","project_id":79,"tracker_id":40,"status_id":1,"priority_id":2,"assigned_to_id":23,"start_date":"2016-10-27","description":"","custom_fields":[{"id":1,"name":"Subdivision","value":"EC"},{"id":4,"name":"Milepost","value":"0.0136"},{"id":17,"name":"Train ID","value":"148-27"},{"id":16,"name":"Locomotive ID","value":"4039"},{"id":130,"name":"Impact","value":""},{"id":150,"name":"Time of Event (Mountain Time)","value":"11:06:33"},{"id":151,"name":"Denver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402</v>
      </c>
      <c r="B63" s="7">
        <v>4014</v>
      </c>
      <c r="C63" s="22" t="s">
        <v>326</v>
      </c>
      <c r="D63" s="22" t="s">
        <v>652</v>
      </c>
      <c r="E63" s="13">
        <v>42670.404768518521</v>
      </c>
      <c r="F63" s="13">
        <v>42670.406446759262</v>
      </c>
      <c r="G63" s="7">
        <v>2</v>
      </c>
      <c r="H63" s="13" t="s">
        <v>653</v>
      </c>
      <c r="I63" s="13">
        <v>42670.431030092594</v>
      </c>
      <c r="J63" s="7">
        <v>0</v>
      </c>
      <c r="K63" s="112" t="str">
        <f t="shared" si="33"/>
        <v>4013/4014</v>
      </c>
      <c r="L63" s="22" t="str">
        <f>VLOOKUP(A63,'Trips&amp;Operators'!$C$1:$E$10000,3,FALSE)</f>
        <v>MALAVE</v>
      </c>
      <c r="M63" s="6">
        <f t="shared" si="34"/>
        <v>2.4583333331975155E-2</v>
      </c>
      <c r="N63" s="7">
        <f t="shared" si="35"/>
        <v>35.399999998044223</v>
      </c>
      <c r="O63" s="7"/>
      <c r="P63" s="7"/>
      <c r="Q63" s="23"/>
      <c r="R63" s="23"/>
      <c r="S63" s="35">
        <f t="shared" si="36"/>
        <v>1</v>
      </c>
      <c r="T63" s="50" t="str">
        <f t="shared" si="37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08:42:52-0600',mode:absolute,to:'2016-10-27 11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3" s="52" t="str">
        <f t="shared" si="39"/>
        <v>N</v>
      </c>
      <c r="X63" s="177">
        <f t="shared" si="45"/>
        <v>1</v>
      </c>
      <c r="Y63" s="67">
        <f t="shared" si="40"/>
        <v>0.14460000000000001</v>
      </c>
      <c r="Z63" s="67">
        <f t="shared" si="41"/>
        <v>23.328199999999999</v>
      </c>
      <c r="AA63" s="67">
        <f t="shared" si="42"/>
        <v>23.183599999999998</v>
      </c>
      <c r="AB63" s="64" t="str">
        <f>VLOOKUP(A63,Enforcements!$C$7:$K$21,8,0)</f>
        <v>Speed (6)</v>
      </c>
      <c r="AC63" s="60" t="str">
        <f>VLOOKUP(A63,Enforcements!$C$7:$E$21,3,0)</f>
        <v>PERMANENT SPEED RESTRICTION</v>
      </c>
      <c r="AD63" s="61" t="str">
        <f t="shared" si="43"/>
        <v>0149-27</v>
      </c>
      <c r="AE63" s="91" t="str">
        <f t="shared" si="10"/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63" s="88" t="str">
        <f t="shared" si="11"/>
        <v>"C:\Program Files (x86)\AstroGrep\AstroGrep.exe" /spath="%USERPROFILE%\AppData\Local\Temp\OnboardLogs" /stypes="app*4014*20161027*" /stext=" 16:.+((SYSTEM_STATE.+slice.+state.+changed )|(ment ac)|(system.+state.+changed )|(\[timeout)|(PRM\|1\|D)|(kpr)|(kdp)|(\|lc)|(penalty))" /e /r /s</v>
      </c>
      <c r="AG63" s="1" t="str">
        <f t="shared" si="44"/>
        <v>EC</v>
      </c>
      <c r="AH63" s="92" t="str">
        <f t="shared" si="15"/>
        <v>"%USERPROFILE%\Documents\GitHub\eaglep3\Utilities\RefineRTDCRunTimes.py" --tripid 149-27 --locoid 4014 --swversion DE.1.0.8.0 --startMP 204:1446 --initTime 2016-10-27T09:42:52 --startdatetime 2016-10-27T09:45:17 --delay 2 --endMP 204:233282 --enddatetime 2016-10-27T10:20:41 --enforcementcount 0 &gt;&gt;C:\Users\stu\Documents\GitHub\eaglep3-reporting\EC\2016-10-27-refined-times.txt</v>
      </c>
      <c r="AI63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{"issue":{"subject":"","project_id":79,"tracker_id":40,"status_id":1,"priority_id":2,"assigned_to_id":23,"start_date":"2016-10-27","description":"","custom_fields":[{"id":1,"name":"Subdivision","value":"EC"},{"id":4,"name":"Milepost","value":"23.3282"},{"id":17,"name":"Train ID","value":"149-27"},{"id":16,"name":"Locomotive ID","value":"4014"},{"id":130,"name":"Impact","value":""},{"id":150,"name":"Time of Event (Mountain Time)","value":"10:20:41"},{"id":151,"name":"Denver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404</v>
      </c>
      <c r="B64" s="7">
        <v>4013</v>
      </c>
      <c r="C64" s="22" t="s">
        <v>326</v>
      </c>
      <c r="D64" s="22" t="s">
        <v>654</v>
      </c>
      <c r="E64" s="13">
        <v>42670.443483796298</v>
      </c>
      <c r="F64" s="13">
        <v>42670.445474537039</v>
      </c>
      <c r="G64" s="7">
        <v>2</v>
      </c>
      <c r="H64" s="13" t="s">
        <v>317</v>
      </c>
      <c r="I64" s="13">
        <v>42670.473252314812</v>
      </c>
      <c r="J64" s="7">
        <v>0</v>
      </c>
      <c r="K64" s="112" t="str">
        <f t="shared" si="33"/>
        <v>4013/4014</v>
      </c>
      <c r="L64" s="22" t="str">
        <f>VLOOKUP(A64,'Trips&amp;Operators'!$C$1:$E$10000,3,FALSE)</f>
        <v>MALAVE</v>
      </c>
      <c r="M64" s="6">
        <f t="shared" si="34"/>
        <v>2.7777777773735579E-2</v>
      </c>
      <c r="N64" s="7">
        <f t="shared" si="35"/>
        <v>39.999999994179234</v>
      </c>
      <c r="O64" s="7"/>
      <c r="P64" s="7"/>
      <c r="Q64" s="23"/>
      <c r="R64" s="23"/>
      <c r="S64" s="35">
        <f t="shared" si="36"/>
        <v>1</v>
      </c>
      <c r="T64" s="50" t="str">
        <f t="shared" si="37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09:38:37-0600',mode:absolute,to:'2016-10-27 12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4" s="52" t="str">
        <f t="shared" si="39"/>
        <v>N</v>
      </c>
      <c r="X64" s="177">
        <f t="shared" si="45"/>
        <v>1</v>
      </c>
      <c r="Y64" s="67">
        <f t="shared" si="40"/>
        <v>23.296099999999999</v>
      </c>
      <c r="Z64" s="67">
        <f t="shared" si="41"/>
        <v>1.6500000000000001E-2</v>
      </c>
      <c r="AA64" s="67">
        <f t="shared" si="42"/>
        <v>23.279599999999999</v>
      </c>
      <c r="AB64" s="64" t="str">
        <f>VLOOKUP(A64,Enforcements!$C$7:$K$21,8,0)</f>
        <v>Bulletin (2)</v>
      </c>
      <c r="AC64" s="60" t="str">
        <f>VLOOKUP(A64,Enforcements!$C$7:$E$21,3,0)</f>
        <v>GRADE CROSSING</v>
      </c>
      <c r="AD64" s="61" t="str">
        <f t="shared" si="43"/>
        <v>0150-27</v>
      </c>
      <c r="AE64" s="91" t="str">
        <f t="shared" si="10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64" s="88" t="str">
        <f t="shared" si="11"/>
        <v>"C:\Program Files (x86)\AstroGrep\AstroGrep.exe" /spath="%USERPROFILE%\AppData\Local\Temp\OnboardLogs" /stypes="app*4013*20161027*" /stext=" 17:.+((SYSTEM_STATE.+slice.+state.+changed )|(ment ac)|(system.+state.+changed )|(\[timeout)|(PRM\|1\|D)|(kpr)|(kdp)|(\|lc)|(penalty))" /e /r /s</v>
      </c>
      <c r="AG64" s="1" t="str">
        <f t="shared" si="44"/>
        <v>EC</v>
      </c>
      <c r="AH64" s="92" t="str">
        <f t="shared" si="15"/>
        <v>"%USERPROFILE%\Documents\GitHub\eaglep3\Utilities\RefineRTDCRunTimes.py" --tripid 150-27 --locoid 4013 --swversion DE.1.0.8.0 --startMP 204:232961 --initTime 2016-10-27T10:38:37 --startdatetime 2016-10-27T10:41:29 --delay 2 --endMP 204:165 --enddatetime 2016-10-27T11:21:29 --enforcementcount 0 &gt;&gt;C:\Users\stu\Documents\GitHub\eaglep3-reporting\EC\2016-10-27-refined-times.txt</v>
      </c>
      <c r="AI64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{"issue":{"subject":"","project_id":79,"tracker_id":40,"status_id":1,"priority_id":2,"assigned_to_id":23,"start_date":"2016-10-27","description":"","custom_fields":[{"id":1,"name":"Subdivision","value":"EC"},{"id":4,"name":"Milepost","value":"0.0165"},{"id":17,"name":"Train ID","value":"150-27"},{"id":16,"name":"Locomotive ID","value":"4013"},{"id":130,"name":"Impact","value":""},{"id":150,"name":"Time of Event (Mountain Time)","value":"11:21:29"},{"id":151,"name":"Denver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403</v>
      </c>
      <c r="B65" s="7">
        <v>4038</v>
      </c>
      <c r="C65" s="22" t="s">
        <v>326</v>
      </c>
      <c r="D65" s="22" t="s">
        <v>655</v>
      </c>
      <c r="E65" s="13">
        <v>42670.413622685184</v>
      </c>
      <c r="F65" s="13">
        <v>42670.417037037034</v>
      </c>
      <c r="G65" s="7">
        <v>1</v>
      </c>
      <c r="H65" s="13" t="s">
        <v>656</v>
      </c>
      <c r="I65" s="13">
        <v>42670.444675925923</v>
      </c>
      <c r="J65" s="7">
        <v>0</v>
      </c>
      <c r="K65" s="112" t="str">
        <f t="shared" si="33"/>
        <v>4037/4038</v>
      </c>
      <c r="L65" s="22" t="str">
        <f>VLOOKUP(A65,'Trips&amp;Operators'!$C$1:$E$10000,3,FALSE)</f>
        <v>STRICKLAND</v>
      </c>
      <c r="M65" s="6">
        <f t="shared" si="34"/>
        <v>2.7638888888759539E-2</v>
      </c>
      <c r="N65" s="7">
        <f t="shared" si="35"/>
        <v>39.799999999813735</v>
      </c>
      <c r="O65" s="7"/>
      <c r="P65" s="7"/>
      <c r="Q65" s="23"/>
      <c r="R65" s="23"/>
      <c r="S65" s="35">
        <f t="shared" si="36"/>
        <v>1</v>
      </c>
      <c r="T65" s="50" t="str">
        <f t="shared" si="37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08:55:37-0600',mode:absolute,to:'2016-10-27 11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5" s="52" t="str">
        <f t="shared" si="39"/>
        <v>N</v>
      </c>
      <c r="X65" s="177">
        <f t="shared" si="45"/>
        <v>1</v>
      </c>
      <c r="Y65" s="67">
        <f t="shared" si="40"/>
        <v>5.0200000000000002E-2</v>
      </c>
      <c r="Z65" s="67">
        <f t="shared" si="41"/>
        <v>23.316199999999998</v>
      </c>
      <c r="AA65" s="67">
        <f t="shared" si="42"/>
        <v>23.265999999999998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43"/>
        <v>0151-27</v>
      </c>
      <c r="AE65" s="91" t="str">
        <f t="shared" si="10"/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AF65" s="88" t="str">
        <f t="shared" si="11"/>
        <v>"C:\Program Files (x86)\AstroGrep\AstroGrep.exe" /spath="%USERPROFILE%\AppData\Local\Temp\OnboardLogs" /stypes="app*4038*20161027*" /stext=" 16:.+((SYSTEM_STATE.+slice.+state.+changed )|(ment ac)|(system.+state.+changed )|(\[timeout)|(PRM\|1\|D)|(kpr)|(kdp)|(\|lc)|(penalty))" /e /r /s</v>
      </c>
      <c r="AG65" s="1" t="str">
        <f t="shared" si="44"/>
        <v>EC</v>
      </c>
      <c r="AH65" s="92" t="str">
        <f t="shared" si="15"/>
        <v>"%USERPROFILE%\Documents\GitHub\eaglep3\Utilities\RefineRTDCRunTimes.py" --tripid 151-27 --locoid 4038 --swversion DE.1.0.8.0 --startMP 204:502 --initTime 2016-10-27T09:55:37 --startdatetime 2016-10-27T10:00:32 --delay 1 --endMP 204:233162 --enddatetime 2016-10-27T10:40:20 --enforcementcount 0 &gt;&gt;C:\Users\stu\Documents\GitHub\eaglep3-reporting\EC\2016-10-27-refined-times.txt</v>
      </c>
      <c r="AI65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{"issue":{"subject":"","project_id":79,"tracker_id":40,"status_id":1,"priority_id":2,"assigned_to_id":23,"start_date":"2016-10-27","description":"","custom_fields":[{"id":1,"name":"Subdivision","value":"EC"},{"id":4,"name":"Milepost","value":"23.3162"},{"id":17,"name":"Train ID","value":"151-27"},{"id":16,"name":"Locomotive ID","value":"4038"},{"id":130,"name":"Impact","value":""},{"id":150,"name":"Time of Event (Mountain Time)","value":"10:40:20"},{"id":151,"name":"Denver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406</v>
      </c>
      <c r="B66" s="7">
        <v>4037</v>
      </c>
      <c r="C66" s="22" t="s">
        <v>326</v>
      </c>
      <c r="D66" s="22" t="s">
        <v>657</v>
      </c>
      <c r="E66" s="13">
        <v>42670.449826388889</v>
      </c>
      <c r="F66" s="13">
        <v>42670.455810185187</v>
      </c>
      <c r="G66" s="7">
        <v>1</v>
      </c>
      <c r="H66" s="13" t="s">
        <v>218</v>
      </c>
      <c r="I66" s="13">
        <v>42670.483275462961</v>
      </c>
      <c r="J66" s="7">
        <v>0</v>
      </c>
      <c r="K66" s="112" t="str">
        <f t="shared" si="33"/>
        <v>4037/4038</v>
      </c>
      <c r="L66" s="22" t="str">
        <f>VLOOKUP(A66,'Trips&amp;Operators'!$C$1:$E$10000,3,FALSE)</f>
        <v>STRICKLAND</v>
      </c>
      <c r="M66" s="6">
        <f t="shared" si="34"/>
        <v>2.7465277773444541E-2</v>
      </c>
      <c r="N66" s="7">
        <f t="shared" si="35"/>
        <v>39.549999993760139</v>
      </c>
      <c r="O66" s="7"/>
      <c r="P66" s="7"/>
      <c r="Q66" s="23"/>
      <c r="R66" s="23"/>
      <c r="S66" s="35">
        <f t="shared" si="36"/>
        <v>1</v>
      </c>
      <c r="T66" s="50" t="str">
        <f t="shared" si="37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09:47:45-0600',mode:absolute,to:'2016-10-27 12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6" s="52" t="str">
        <f t="shared" si="39"/>
        <v>N</v>
      </c>
      <c r="X66" s="177">
        <f t="shared" si="45"/>
        <v>1</v>
      </c>
      <c r="Y66" s="67">
        <f t="shared" si="40"/>
        <v>23.283799999999999</v>
      </c>
      <c r="Z66" s="67">
        <f t="shared" si="41"/>
        <v>1.43E-2</v>
      </c>
      <c r="AA66" s="67">
        <f t="shared" si="42"/>
        <v>23.269500000000001</v>
      </c>
      <c r="AB66" s="64" t="str">
        <f>VLOOKUP(A66,Enforcements!$C$7:$K$21,8,0)</f>
        <v>Speed (6)</v>
      </c>
      <c r="AC66" s="60" t="str">
        <f>VLOOKUP(A66,Enforcements!$C$7:$E$21,3,0)</f>
        <v>PERMANENT SPEED RESTRICTION</v>
      </c>
      <c r="AD66" s="61" t="str">
        <f t="shared" si="43"/>
        <v>0152-27</v>
      </c>
      <c r="AE66" s="91" t="str">
        <f t="shared" si="10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66" s="88" t="str">
        <f t="shared" si="11"/>
        <v>"C:\Program Files (x86)\AstroGrep\AstroGrep.exe" /spath="%USERPROFILE%\AppData\Local\Temp\OnboardLogs" /stypes="app*4037*20161027*" /stext=" 17:.+((SYSTEM_STATE.+slice.+state.+changed )|(ment ac)|(system.+state.+changed )|(\[timeout)|(PRM\|1\|D)|(kpr)|(kdp)|(\|lc)|(penalty))" /e /r /s</v>
      </c>
      <c r="AG66" s="1" t="str">
        <f t="shared" si="44"/>
        <v>EC</v>
      </c>
      <c r="AH66" s="92" t="str">
        <f t="shared" si="15"/>
        <v>"%USERPROFILE%\Documents\GitHub\eaglep3\Utilities\RefineRTDCRunTimes.py" --tripid 152-27 --locoid 4037 --swversion DE.1.0.8.0 --startMP 204:232838 --initTime 2016-10-27T10:47:45 --startdatetime 2016-10-27T10:56:22 --delay 1 --endMP 204:143 --enddatetime 2016-10-27T11:35:55 --enforcementcount 0 &gt;&gt;C:\Users\stu\Documents\GitHub\eaglep3-reporting\EC\2016-10-27-refined-times.txt</v>
      </c>
      <c r="AI66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{"issue":{"subject":"","project_id":79,"tracker_id":40,"status_id":1,"priority_id":2,"assigned_to_id":23,"start_date":"2016-10-27","description":"","custom_fields":[{"id":1,"name":"Subdivision","value":"EC"},{"id":4,"name":"Milepost","value":"0.0143"},{"id":17,"name":"Train ID","value":"152-27"},{"id":16,"name":"Locomotive ID","value":"4037"},{"id":130,"name":"Impact","value":""},{"id":150,"name":"Time of Event (Mountain Time)","value":"11:35:55"},{"id":151,"name":"Denver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488</v>
      </c>
      <c r="B67" s="7">
        <v>4018</v>
      </c>
      <c r="C67" s="22" t="s">
        <v>326</v>
      </c>
      <c r="D67" s="22" t="s">
        <v>318</v>
      </c>
      <c r="E67" s="13">
        <v>42670.427152777775</v>
      </c>
      <c r="F67" s="13">
        <v>42670.428530092591</v>
      </c>
      <c r="G67" s="7">
        <v>1</v>
      </c>
      <c r="H67" s="13" t="s">
        <v>658</v>
      </c>
      <c r="I67" s="13">
        <v>42670.43677083333</v>
      </c>
      <c r="J67" s="7">
        <v>0</v>
      </c>
      <c r="K67" s="112" t="str">
        <f t="shared" si="33"/>
        <v>4017/4018</v>
      </c>
      <c r="L67" s="22" t="str">
        <f>VLOOKUP(A67,'Trips&amp;Operators'!$C$1:$E$10000,3,FALSE)</f>
        <v>MACDONALD</v>
      </c>
      <c r="M67" s="6">
        <f t="shared" si="34"/>
        <v>8.2407407389837317E-3</v>
      </c>
      <c r="N67" s="7"/>
      <c r="O67" s="7"/>
      <c r="P67" s="7">
        <f>24*60*SUM($M67:$M67)</f>
        <v>11.866666664136574</v>
      </c>
      <c r="Q67" s="23"/>
      <c r="R67" s="23" t="s">
        <v>794</v>
      </c>
      <c r="S67" s="35">
        <f t="shared" si="36"/>
        <v>0.41666666666666669</v>
      </c>
      <c r="T67" s="50" t="str">
        <f t="shared" si="37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5</v>
      </c>
      <c r="V6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09:15:06-0600',mode:absolute,to:'2016-10-27 11:28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7" s="52" t="str">
        <f t="shared" si="39"/>
        <v>Y</v>
      </c>
      <c r="X67" s="177">
        <f t="shared" si="45"/>
        <v>1</v>
      </c>
      <c r="Y67" s="67">
        <f t="shared" si="40"/>
        <v>4.8399999999999999E-2</v>
      </c>
      <c r="Z67" s="67">
        <f t="shared" si="41"/>
        <v>4.9907000000000004</v>
      </c>
      <c r="AA67" s="67">
        <f t="shared" si="42"/>
        <v>4.9423000000000004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43"/>
        <v>0153-27</v>
      </c>
      <c r="AE67" s="91" t="str">
        <f t="shared" si="10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67" s="88" t="str">
        <f t="shared" si="11"/>
        <v>"C:\Program Files (x86)\AstroGrep\AstroGrep.exe" /spath="%USERPROFILE%\AppData\Local\Temp\OnboardLogs" /stypes="app*4018*20161027*" /stext=" 16:.+((SYSTEM_STATE.+slice.+state.+changed )|(ment ac)|(system.+state.+changed )|(\[timeout)|(PRM\|1\|D)|(kpr)|(kdp)|(\|lc)|(penalty))" /e /r /s</v>
      </c>
      <c r="AG67" s="1" t="str">
        <f t="shared" si="44"/>
        <v>EC</v>
      </c>
      <c r="AH67" s="92" t="str">
        <f t="shared" si="15"/>
        <v>"%USERPROFILE%\Documents\GitHub\eaglep3\Utilities\RefineRTDCRunTimes.py" --tripid 153-27 --locoid 4018 --swversion DE.1.0.8.0 --startMP 204:484 --initTime 2016-10-27T10:15:06 --startdatetime 2016-10-27T10:17:05 --delay 1 --endMP 204:49907 --enddatetime 2016-10-27T10:28:57 --enforcementcount 0 &gt;&gt;C:\Users\stu\Documents\GitHub\eaglep3-reporting\EC\2016-10-27-refined-times.txt</v>
      </c>
      <c r="AI67" s="122" t="str">
        <f t="shared" si="16"/>
        <v>echo {"issue":{"subject":"Onboard in-route failure","project_id":79,"tracker_id":40,"status_id":1,"priority_id":2,"assigned_to_id":23,"start_date":"2016-10-27","description":"Around 16:27:20 UTC, primary slice bounced between all 3, and then ultimately at 16:28:54.502, multiple cpu faults","custom_fields":[{"id":1,"name":"Subdivision","value":"EC"},{"id":4,"name":"Milepost","value":"4.9907"},{"id":17,"name":"Train ID","value":"153-27"},{"id":16,"name":"Locomotive ID","value":"4018"},{"id":130,"name":"Impact","value":"Failed State"},{"id":150,"name":"Time of Event (Mountain Time)","value":"10:28:57"},{"id":151,"name":"Denver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7" s="53" t="s">
        <v>795</v>
      </c>
      <c r="AK67" s="53" t="s">
        <v>128</v>
      </c>
      <c r="AL67" s="53" t="s">
        <v>178</v>
      </c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405</v>
      </c>
      <c r="B68" s="7">
        <v>4017</v>
      </c>
      <c r="C68" s="22" t="s">
        <v>326</v>
      </c>
      <c r="D68" s="22" t="s">
        <v>654</v>
      </c>
      <c r="E68" s="13">
        <v>42670.462789351855</v>
      </c>
      <c r="F68" s="13">
        <v>42670.466354166667</v>
      </c>
      <c r="G68" s="7">
        <v>1</v>
      </c>
      <c r="H68" s="13" t="s">
        <v>215</v>
      </c>
      <c r="I68" s="13">
        <v>42670.493148148147</v>
      </c>
      <c r="J68" s="7">
        <v>0</v>
      </c>
      <c r="K68" s="112" t="str">
        <f t="shared" si="33"/>
        <v>4017/4018</v>
      </c>
      <c r="L68" s="22" t="str">
        <f>VLOOKUP(A68,'Trips&amp;Operators'!$C$1:$E$10000,3,FALSE)</f>
        <v>MACDONALD</v>
      </c>
      <c r="M68" s="6">
        <f t="shared" si="34"/>
        <v>2.679398148029577E-2</v>
      </c>
      <c r="N68" s="7">
        <f t="shared" ref="N68:N100" si="46">24*60*SUM($M68:$M68)</f>
        <v>38.583333331625909</v>
      </c>
      <c r="O68" s="7"/>
      <c r="P68" s="7"/>
      <c r="Q68" s="23"/>
      <c r="R68" s="23"/>
      <c r="S68" s="35">
        <f t="shared" si="36"/>
        <v>1</v>
      </c>
      <c r="T68" s="50" t="str">
        <f t="shared" si="37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10:06:25-0600',mode:absolute,to:'2016-10-27 12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8" s="52" t="str">
        <f t="shared" si="39"/>
        <v>N</v>
      </c>
      <c r="X68" s="177">
        <f t="shared" si="45"/>
        <v>1</v>
      </c>
      <c r="Y68" s="67">
        <f t="shared" si="40"/>
        <v>23.296099999999999</v>
      </c>
      <c r="Z68" s="67">
        <f t="shared" si="41"/>
        <v>1.4500000000000001E-2</v>
      </c>
      <c r="AA68" s="67">
        <f t="shared" si="42"/>
        <v>23.281599999999997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43"/>
        <v>0154-27</v>
      </c>
      <c r="AE68" s="91" t="str">
        <f t="shared" si="10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68" s="88" t="str">
        <f t="shared" si="11"/>
        <v>"C:\Program Files (x86)\AstroGrep\AstroGrep.exe" /spath="%USERPROFILE%\AppData\Local\Temp\OnboardLogs" /stypes="app*4017*20161027*" /stext=" 17:.+((SYSTEM_STATE.+slice.+state.+changed )|(ment ac)|(system.+state.+changed )|(\[timeout)|(PRM\|1\|D)|(kpr)|(kdp)|(\|lc)|(penalty))" /e /r /s</v>
      </c>
      <c r="AG68" s="1" t="str">
        <f t="shared" si="44"/>
        <v>EC</v>
      </c>
      <c r="AH68" s="92" t="str">
        <f t="shared" si="15"/>
        <v>"%USERPROFILE%\Documents\GitHub\eaglep3\Utilities\RefineRTDCRunTimes.py" --tripid 154-27 --locoid 4017 --swversion DE.1.0.8.0 --startMP 204:232961 --initTime 2016-10-27T11:06:25 --startdatetime 2016-10-27T11:11:33 --delay 1 --endMP 204:145 --enddatetime 2016-10-27T11:50:08 --enforcementcount 0 &gt;&gt;C:\Users\stu\Documents\GitHub\eaglep3-reporting\EC\2016-10-27-refined-times.txt</v>
      </c>
      <c r="AI68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ID","value":"154-27"},{"id":16,"name":"Locomotive ID","value":"4017"},{"id":130,"name":"Impact","value":""},{"id":150,"name":"Time of Event (Mountain Time)","value":"11:50:08"},{"id":151,"name":"Denver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490</v>
      </c>
      <c r="B69" s="7">
        <v>4022</v>
      </c>
      <c r="C69" s="22" t="s">
        <v>326</v>
      </c>
      <c r="D69" s="22" t="s">
        <v>226</v>
      </c>
      <c r="E69" s="13">
        <v>42670.431990740741</v>
      </c>
      <c r="F69" s="13">
        <v>42670.437743055554</v>
      </c>
      <c r="G69" s="7">
        <v>1</v>
      </c>
      <c r="H69" s="13" t="s">
        <v>268</v>
      </c>
      <c r="I69" s="13">
        <v>42670.462673611109</v>
      </c>
      <c r="J69" s="7">
        <v>0</v>
      </c>
      <c r="K69" s="112" t="str">
        <f t="shared" si="33"/>
        <v>4021/4022</v>
      </c>
      <c r="L69" s="22" t="str">
        <f>VLOOKUP(A69,'Trips&amp;Operators'!$C$1:$E$10000,3,FALSE)</f>
        <v>YORK</v>
      </c>
      <c r="M69" s="6">
        <f t="shared" si="34"/>
        <v>2.4930555555329192E-2</v>
      </c>
      <c r="N69" s="7">
        <f t="shared" si="46"/>
        <v>35.899999999674037</v>
      </c>
      <c r="O69" s="7"/>
      <c r="P69" s="7"/>
      <c r="Q69" s="23"/>
      <c r="R69" s="23"/>
      <c r="S69" s="35">
        <f t="shared" si="36"/>
        <v>1</v>
      </c>
      <c r="T69" s="50" t="str">
        <f t="shared" si="37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09:22:04-0600',mode:absolute,to:'2016-10-27 12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9" s="52" t="str">
        <f t="shared" si="39"/>
        <v>N</v>
      </c>
      <c r="X69" s="177">
        <f t="shared" si="45"/>
        <v>1</v>
      </c>
      <c r="Y69" s="67">
        <f t="shared" si="40"/>
        <v>4.4600000000000001E-2</v>
      </c>
      <c r="Z69" s="67">
        <f t="shared" si="41"/>
        <v>23.330200000000001</v>
      </c>
      <c r="AA69" s="67">
        <f t="shared" si="42"/>
        <v>23.285600000000002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43"/>
        <v>0155-27</v>
      </c>
      <c r="AE69" s="91" t="str">
        <f t="shared" si="10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69" s="88" t="str">
        <f t="shared" si="11"/>
        <v>"C:\Program Files (x86)\AstroGrep\AstroGrep.exe" /spath="%USERPROFILE%\AppData\Local\Temp\OnboardLogs" /stypes="app*4022*20161027*" /stext=" 17:.+((SYSTEM_STATE.+slice.+state.+changed )|(ment ac)|(system.+state.+changed )|(\[timeout)|(PRM\|1\|D)|(kpr)|(kdp)|(\|lc)|(penalty))" /e /r /s</v>
      </c>
      <c r="AG69" s="1" t="str">
        <f t="shared" si="44"/>
        <v>EC</v>
      </c>
      <c r="AH69" s="92" t="str">
        <f t="shared" si="15"/>
        <v>"%USERPROFILE%\Documents\GitHub\eaglep3\Utilities\RefineRTDCRunTimes.py" --tripid 155-27 --locoid 4022 --swversion DE.1.0.8.0 --startMP 204:446 --initTime 2016-10-27T10:22:04 --startdatetime 2016-10-27T10:30:21 --delay 1 --endMP 204:233302 --enddatetime 2016-10-27T11:06:15 --enforcementcount 0 &gt;&gt;C:\Users\stu\Documents\GitHub\eaglep3-reporting\EC\2016-10-27-refined-times.txt</v>
      </c>
      <c r="AI69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{"issue":{"subject":"","project_id":79,"tracker_id":40,"status_id":1,"priority_id":2,"assigned_to_id":23,"start_date":"2016-10-27","description":"","custom_fields":[{"id":1,"name":"Subdivision","value":"EC"},{"id":4,"name":"Milepost","value":"23.3302"},{"id":17,"name":"Train ID","value":"155-27"},{"id":16,"name":"Locomotive ID","value":"4022"},{"id":130,"name":"Impact","value":""},{"id":150,"name":"Time of Event (Mountain Time)","value":"11:06:15"},{"id":151,"name":"Denver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501</v>
      </c>
      <c r="B70" s="7">
        <v>4021</v>
      </c>
      <c r="C70" s="22" t="s">
        <v>326</v>
      </c>
      <c r="D70" s="22" t="s">
        <v>344</v>
      </c>
      <c r="E70" s="13">
        <v>42670.473298611112</v>
      </c>
      <c r="F70" s="13">
        <v>42670.477071759262</v>
      </c>
      <c r="G70" s="7">
        <v>1</v>
      </c>
      <c r="H70" s="13" t="s">
        <v>216</v>
      </c>
      <c r="I70" s="13">
        <v>42670.502824074072</v>
      </c>
      <c r="J70" s="7">
        <v>0</v>
      </c>
      <c r="K70" s="112" t="str">
        <f t="shared" si="33"/>
        <v>4021/4022</v>
      </c>
      <c r="L70" s="22" t="str">
        <f>VLOOKUP(A70,'Trips&amp;Operators'!$C$1:$E$10000,3,FALSE)</f>
        <v>YORK</v>
      </c>
      <c r="M70" s="6">
        <f t="shared" si="34"/>
        <v>2.5752314810233656E-2</v>
      </c>
      <c r="N70" s="7">
        <f t="shared" si="46"/>
        <v>37.083333326736465</v>
      </c>
      <c r="O70" s="7"/>
      <c r="P70" s="7"/>
      <c r="Q70" s="23"/>
      <c r="R70" s="23"/>
      <c r="S70" s="35">
        <f t="shared" si="36"/>
        <v>1</v>
      </c>
      <c r="T70" s="50" t="str">
        <f t="shared" si="37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10:21:33-0600',mode:absolute,to:'2016-10-27 13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0" s="52" t="str">
        <f t="shared" si="39"/>
        <v>N</v>
      </c>
      <c r="X70" s="177">
        <f t="shared" si="45"/>
        <v>1</v>
      </c>
      <c r="Y70" s="67">
        <f t="shared" si="40"/>
        <v>23.298300000000001</v>
      </c>
      <c r="Z70" s="67">
        <f t="shared" si="41"/>
        <v>1.49E-2</v>
      </c>
      <c r="AA70" s="67">
        <f t="shared" si="42"/>
        <v>23.2834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43"/>
        <v>0156-27</v>
      </c>
      <c r="AE70" s="91" t="str">
        <f t="shared" si="10"/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AF70" s="88" t="str">
        <f t="shared" si="11"/>
        <v>"C:\Program Files (x86)\AstroGrep\AstroGrep.exe" /spath="%USERPROFILE%\AppData\Local\Temp\OnboardLogs" /stypes="app*4021*20161027*" /stext=" 18:.+((SYSTEM_STATE.+slice.+state.+changed )|(ment ac)|(system.+state.+changed )|(\[timeout)|(PRM\|1\|D)|(kpr)|(kdp)|(\|lc)|(penalty))" /e /r /s</v>
      </c>
      <c r="AG70" s="1" t="str">
        <f t="shared" si="44"/>
        <v>EC</v>
      </c>
      <c r="AH70" s="92" t="str">
        <f t="shared" si="15"/>
        <v>"%USERPROFILE%\Documents\GitHub\eaglep3\Utilities\RefineRTDCRunTimes.py" --tripid 156-27 --locoid 4021 --swversion DE.1.0.8.0 --startMP 204:232983 --initTime 2016-10-27T11:21:33 --startdatetime 2016-10-27T11:26:59 --delay 1 --endMP 204:149 --enddatetime 2016-10-27T12:04:04 --enforcementcount 0 &gt;&gt;C:\Users\stu\Documents\GitHub\eaglep3-reporting\EC\2016-10-27-refined-times.txt</v>
      </c>
      <c r="AI70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{"issue":{"subject":"","project_id":79,"tracker_id":40,"status_id":1,"priority_id":2,"assigned_to_id":23,"start_date":"2016-10-27","description":"","custom_fields":[{"id":1,"name":"Subdivision","value":"EC"},{"id":4,"name":"Milepost","value":"0.0149"},{"id":17,"name":"Train ID","value":"156-27"},{"id":16,"name":"Locomotive ID","value":"4021"},{"id":130,"name":"Impact","value":""},{"id":150,"name":"Time of Event (Mountain Time)","value":"12:04:04"},{"id":151,"name":"Denver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494</v>
      </c>
      <c r="B71" s="7">
        <v>4002</v>
      </c>
      <c r="C71" s="22" t="s">
        <v>326</v>
      </c>
      <c r="D71" s="22" t="s">
        <v>221</v>
      </c>
      <c r="E71" s="13">
        <v>42670.443240740744</v>
      </c>
      <c r="F71" s="13">
        <v>42670.448171296295</v>
      </c>
      <c r="G71" s="7">
        <v>1</v>
      </c>
      <c r="H71" s="13" t="s">
        <v>357</v>
      </c>
      <c r="I71" s="13">
        <v>42670.472384259258</v>
      </c>
      <c r="J71" s="7">
        <v>0</v>
      </c>
      <c r="K71" s="112" t="str">
        <f t="shared" si="33"/>
        <v>4001/4002</v>
      </c>
      <c r="L71" s="22" t="str">
        <f>VLOOKUP(A71,'Trips&amp;Operators'!$C$1:$E$10000,3,FALSE)</f>
        <v>GRASTON</v>
      </c>
      <c r="M71" s="6">
        <f t="shared" si="34"/>
        <v>2.421296296233777E-2</v>
      </c>
      <c r="N71" s="7">
        <f t="shared" si="46"/>
        <v>34.866666665766388</v>
      </c>
      <c r="O71" s="7"/>
      <c r="P71" s="7"/>
      <c r="Q71" s="23"/>
      <c r="R71" s="23"/>
      <c r="S71" s="35">
        <f t="shared" si="36"/>
        <v>1</v>
      </c>
      <c r="T71" s="50" t="str">
        <f t="shared" si="37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09:38:16-0600',mode:absolute,to:'2016-10-27 12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1" s="52" t="str">
        <f t="shared" si="39"/>
        <v>N</v>
      </c>
      <c r="X71" s="177">
        <f t="shared" ref="X71:X73" si="47">VALUE(LEFT(AD71,4))-VALUE(LEFT(AD70,4))</f>
        <v>1</v>
      </c>
      <c r="Y71" s="67">
        <f t="shared" si="40"/>
        <v>4.53E-2</v>
      </c>
      <c r="Z71" s="67">
        <f t="shared" si="41"/>
        <v>23.327000000000002</v>
      </c>
      <c r="AA71" s="67">
        <f t="shared" si="42"/>
        <v>23.281700000000001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43"/>
        <v>0157-27</v>
      </c>
      <c r="AE71" s="91" t="str">
        <f t="shared" si="10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71" s="88" t="str">
        <f t="shared" si="11"/>
        <v>"C:\Program Files (x86)\AstroGrep\AstroGrep.exe" /spath="%USERPROFILE%\AppData\Local\Temp\OnboardLogs" /stypes="app*4002*20161027*" /stext=" 17:.+((SYSTEM_STATE.+slice.+state.+changed )|(ment ac)|(system.+state.+changed )|(\[timeout)|(PRM\|1\|D)|(kpr)|(kdp)|(\|lc)|(penalty))" /e /r /s</v>
      </c>
      <c r="AG71" s="1" t="str">
        <f t="shared" si="44"/>
        <v>EC</v>
      </c>
      <c r="AH71" s="92" t="str">
        <f t="shared" si="15"/>
        <v>"%USERPROFILE%\Documents\GitHub\eaglep3\Utilities\RefineRTDCRunTimes.py" --tripid 157-27 --locoid 4002 --swversion DE.1.0.8.0 --startMP 204:453 --initTime 2016-10-27T10:38:16 --startdatetime 2016-10-27T10:45:22 --delay 1 --endMP 204:233270 --enddatetime 2016-10-27T11:20:14 --enforcementcount 0 &gt;&gt;C:\Users\stu\Documents\GitHub\eaglep3-reporting\EC\2016-10-27-refined-times.txt</v>
      </c>
      <c r="AI71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{"issue":{"subject":"","project_id":79,"tracker_id":40,"status_id":1,"priority_id":2,"assigned_to_id":23,"start_date":"2016-10-27","description":"","custom_fields":[{"id":1,"name":"Subdivision","value":"EC"},{"id":4,"name":"Milepost","value":"23.327"},{"id":17,"name":"Train ID","value":"157-27"},{"id":16,"name":"Locomotive ID","value":"4002"},{"id":130,"name":"Impact","value":""},{"id":150,"name":"Time of Event (Mountain Time)","value":"11:20:14"},{"id":151,"name":"Denver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502</v>
      </c>
      <c r="B72" s="7">
        <v>4001</v>
      </c>
      <c r="C72" s="22" t="s">
        <v>326</v>
      </c>
      <c r="D72" s="22" t="s">
        <v>274</v>
      </c>
      <c r="E72" s="13">
        <v>42670.47550925926</v>
      </c>
      <c r="F72" s="13">
        <v>42670.48709490741</v>
      </c>
      <c r="G72" s="7">
        <v>1</v>
      </c>
      <c r="H72" s="13" t="s">
        <v>215</v>
      </c>
      <c r="I72" s="13">
        <v>42670.513206018521</v>
      </c>
      <c r="J72" s="7">
        <v>0</v>
      </c>
      <c r="K72" s="112" t="str">
        <f t="shared" si="33"/>
        <v>4001/4002</v>
      </c>
      <c r="L72" s="22" t="str">
        <f>VLOOKUP(A72,'Trips&amp;Operators'!$C$1:$E$10000,3,FALSE)</f>
        <v>GRASTON</v>
      </c>
      <c r="M72" s="6">
        <f t="shared" si="34"/>
        <v>2.6111111110367347E-2</v>
      </c>
      <c r="N72" s="7">
        <f t="shared" si="46"/>
        <v>37.599999998928979</v>
      </c>
      <c r="O72" s="7"/>
      <c r="P72" s="7"/>
      <c r="Q72" s="23"/>
      <c r="R72" s="23"/>
      <c r="S72" s="35">
        <f t="shared" si="36"/>
        <v>1</v>
      </c>
      <c r="T72" s="50" t="str">
        <f t="shared" si="37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10:24:44-0600',mode:absolute,to:'2016-10-27 13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2" s="52" t="str">
        <f t="shared" si="39"/>
        <v>N</v>
      </c>
      <c r="X72" s="177">
        <f t="shared" si="47"/>
        <v>1</v>
      </c>
      <c r="Y72" s="67">
        <f t="shared" si="40"/>
        <v>23.2971</v>
      </c>
      <c r="Z72" s="67">
        <f t="shared" si="41"/>
        <v>1.4500000000000001E-2</v>
      </c>
      <c r="AA72" s="67">
        <f t="shared" si="42"/>
        <v>23.282599999999999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43"/>
        <v>0158-27</v>
      </c>
      <c r="AE72" s="91" t="str">
        <f t="shared" si="10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72" s="88" t="str">
        <f t="shared" si="11"/>
        <v>"C:\Program Files (x86)\AstroGrep\AstroGrep.exe" /spath="%USERPROFILE%\AppData\Local\Temp\OnboardLogs" /stypes="app*4001*20161027*" /stext=" 18:.+((SYSTEM_STATE.+slice.+state.+changed )|(ment ac)|(system.+state.+changed )|(\[timeout)|(PRM\|1\|D)|(kpr)|(kdp)|(\|lc)|(penalty))" /e /r /s</v>
      </c>
      <c r="AG72" s="1" t="str">
        <f t="shared" si="44"/>
        <v>EC</v>
      </c>
      <c r="AH72" s="92" t="str">
        <f t="shared" si="15"/>
        <v>"%USERPROFILE%\Documents\GitHub\eaglep3\Utilities\RefineRTDCRunTimes.py" --tripid 158-27 --locoid 4001 --swversion DE.1.0.8.0 --startMP 204:232971 --initTime 2016-10-27T11:24:44 --startdatetime 2016-10-27T11:41:25 --delay 1 --endMP 204:145 --enddatetime 2016-10-27T12:19:01 --enforcementcount 0 &gt;&gt;C:\Users\stu\Documents\GitHub\eaglep3-reporting\EC\2016-10-27-refined-times.txt</v>
      </c>
      <c r="AI72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ID","value":"158-27"},{"id":16,"name":"Locomotive ID","value":"4001"},{"id":130,"name":"Impact","value":""},{"id":150,"name":"Time of Event (Mountain Time)","value":"12:19:01"},{"id":151,"name":"Denver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407</v>
      </c>
      <c r="B73" s="7">
        <v>4007</v>
      </c>
      <c r="C73" s="22" t="s">
        <v>326</v>
      </c>
      <c r="D73" s="22" t="s">
        <v>351</v>
      </c>
      <c r="E73" s="13">
        <v>42670.454212962963</v>
      </c>
      <c r="F73" s="13">
        <v>42670.458495370367</v>
      </c>
      <c r="G73" s="7">
        <v>1</v>
      </c>
      <c r="H73" s="13" t="s">
        <v>299</v>
      </c>
      <c r="I73" s="13">
        <v>42670.483784722222</v>
      </c>
      <c r="J73" s="7">
        <v>0</v>
      </c>
      <c r="K73" s="112" t="str">
        <f t="shared" si="33"/>
        <v>4007/4008</v>
      </c>
      <c r="L73" s="22" t="str">
        <f>VLOOKUP(A73,'Trips&amp;Operators'!$C$1:$E$10000,3,FALSE)</f>
        <v>BONDS</v>
      </c>
      <c r="M73" s="6">
        <f t="shared" si="34"/>
        <v>2.5289351855462883E-2</v>
      </c>
      <c r="N73" s="7">
        <f t="shared" si="46"/>
        <v>36.416666671866551</v>
      </c>
      <c r="O73" s="7"/>
      <c r="P73" s="7"/>
      <c r="Q73" s="23"/>
      <c r="R73" s="23"/>
      <c r="S73" s="35">
        <f t="shared" si="36"/>
        <v>1</v>
      </c>
      <c r="T73" s="50" t="str">
        <f t="shared" si="37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09:54:04-0600',mode:absolute,to:'2016-10-27 12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3" s="52" t="str">
        <f t="shared" si="39"/>
        <v>N</v>
      </c>
      <c r="X73" s="177">
        <f t="shared" si="47"/>
        <v>1</v>
      </c>
      <c r="Y73" s="67">
        <f t="shared" si="40"/>
        <v>4.58E-2</v>
      </c>
      <c r="Z73" s="67">
        <f t="shared" si="41"/>
        <v>23.331700000000001</v>
      </c>
      <c r="AA73" s="67">
        <f t="shared" si="42"/>
        <v>23.285900000000002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43"/>
        <v>0159-27</v>
      </c>
      <c r="AE73" s="91" t="str">
        <f t="shared" si="10"/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AF73" s="88" t="str">
        <f t="shared" si="11"/>
        <v>"C:\Program Files (x86)\AstroGrep\AstroGrep.exe" /spath="%USERPROFILE%\AppData\Local\Temp\OnboardLogs" /stypes="app*4007*20161027*" /stext=" 17:.+((SYSTEM_STATE.+slice.+state.+changed )|(ment ac)|(system.+state.+changed )|(\[timeout)|(PRM\|1\|D)|(kpr)|(kdp)|(\|lc)|(penalty))" /e /r /s</v>
      </c>
      <c r="AG73" s="1" t="str">
        <f t="shared" si="44"/>
        <v>EC</v>
      </c>
      <c r="AH73" s="92" t="str">
        <f t="shared" si="15"/>
        <v>"%USERPROFILE%\Documents\GitHub\eaglep3\Utilities\RefineRTDCRunTimes.py" --tripid 159-27 --locoid 4007 --swversion DE.1.0.8.0 --startMP 204:458 --initTime 2016-10-27T10:54:04 --startdatetime 2016-10-27T11:00:14 --delay 1 --endMP 204:233317 --enddatetime 2016-10-27T11:36:39 --enforcementcount 0 &gt;&gt;C:\Users\stu\Documents\GitHub\eaglep3-reporting\EC\2016-10-27-refined-times.txt</v>
      </c>
      <c r="AI73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{"issue":{"subject":"","project_id":79,"tracker_id":40,"status_id":1,"priority_id":2,"assigned_to_id":23,"start_date":"2016-10-27","description":"","custom_fields":[{"id":1,"name":"Subdivision","value":"EC"},{"id":4,"name":"Milepost","value":"23.3317"},{"id":17,"name":"Train ID","value":"159-27"},{"id":16,"name":"Locomotive ID","value":"4007"},{"id":130,"name":"Impact","value":""},{"id":150,"name":"Time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507</v>
      </c>
      <c r="B74" s="7">
        <v>4008</v>
      </c>
      <c r="C74" s="22" t="s">
        <v>326</v>
      </c>
      <c r="D74" s="22" t="s">
        <v>275</v>
      </c>
      <c r="E74" s="13">
        <v>42670.492604166669</v>
      </c>
      <c r="F74" s="13">
        <v>42670.497395833336</v>
      </c>
      <c r="G74" s="7">
        <v>1</v>
      </c>
      <c r="H74" s="13" t="s">
        <v>644</v>
      </c>
      <c r="I74" s="13">
        <v>42670.5234837963</v>
      </c>
      <c r="J74" s="7">
        <v>0</v>
      </c>
      <c r="K74" s="112" t="str">
        <f t="shared" si="33"/>
        <v>4007/4008</v>
      </c>
      <c r="L74" s="22" t="str">
        <f>VLOOKUP(A74,'Trips&amp;Operators'!$C$1:$E$10000,3,FALSE)</f>
        <v>BONDS</v>
      </c>
      <c r="M74" s="6">
        <f t="shared" si="34"/>
        <v>2.6087962964083999E-2</v>
      </c>
      <c r="N74" s="7">
        <f t="shared" si="46"/>
        <v>37.566666668280959</v>
      </c>
      <c r="O74" s="7"/>
      <c r="P74" s="7"/>
      <c r="Q74" s="23"/>
      <c r="R74" s="23"/>
      <c r="S74" s="35">
        <f t="shared" si="36"/>
        <v>1</v>
      </c>
      <c r="T74" s="50" t="str">
        <f t="shared" si="37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10:49:21-0600',mode:absolute,to:'2016-10-27 13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4" s="52" t="str">
        <f t="shared" si="39"/>
        <v>N</v>
      </c>
      <c r="X74" s="177">
        <f t="shared" ref="X74:X105" si="48">VALUE(LEFT(AD74,4))-VALUE(LEFT(AD73,4))</f>
        <v>1</v>
      </c>
      <c r="Y74" s="67">
        <f t="shared" si="40"/>
        <v>23.298500000000001</v>
      </c>
      <c r="Z74" s="67">
        <f t="shared" si="41"/>
        <v>1.34E-2</v>
      </c>
      <c r="AA74" s="67">
        <f t="shared" si="42"/>
        <v>23.2851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43"/>
        <v>0160-27</v>
      </c>
      <c r="AE74" s="91" t="str">
        <f t="shared" si="10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74" s="88" t="str">
        <f t="shared" si="11"/>
        <v>"C:\Program Files (x86)\AstroGrep\AstroGrep.exe" /spath="%USERPROFILE%\AppData\Local\Temp\OnboardLogs" /stypes="app*4008*20161027*" /stext=" 18:.+((SYSTEM_STATE.+slice.+state.+changed )|(ment ac)|(system.+state.+changed )|(\[timeout)|(PRM\|1\|D)|(kpr)|(kdp)|(\|lc)|(penalty))" /e /r /s</v>
      </c>
      <c r="AG74" s="1" t="str">
        <f t="shared" si="44"/>
        <v>EC</v>
      </c>
      <c r="AH74" s="92" t="str">
        <f t="shared" si="15"/>
        <v>"%USERPROFILE%\Documents\GitHub\eaglep3\Utilities\RefineRTDCRunTimes.py" --tripid 160-27 --locoid 4008 --swversion DE.1.0.8.0 --startMP 204:232985 --initTime 2016-10-27T11:49:21 --startdatetime 2016-10-27T11:56:15 --delay 1 --endMP 204:134 --enddatetime 2016-10-27T12:33:49 --enforcementcount 0 &gt;&gt;C:\Users\stu\Documents\GitHub\eaglep3-reporting\EC\2016-10-27-refined-times.txt</v>
      </c>
      <c r="AI74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{"issue":{"subject":"","project_id":79,"tracker_id":40,"status_id":1,"priority_id":2,"assigned_to_id":23,"start_date":"2016-10-27","description":"","custom_fields":[{"id":1,"name":"Subdivision","value":"EC"},{"id":4,"name":"Milepost","value":"0.0134"},{"id":17,"name":"Train ID","value":"160-27"},{"id":16,"name":"Locomotive ID","value":"4008"},{"id":130,"name":"Impact","value":""},{"id":150,"name":"Time of Event (Mountain Time)","value":"12:33:49"},{"id":151,"name":"Denver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499</v>
      </c>
      <c r="B75" s="7">
        <v>4040</v>
      </c>
      <c r="C75" s="22" t="s">
        <v>326</v>
      </c>
      <c r="D75" s="22" t="s">
        <v>659</v>
      </c>
      <c r="E75" s="13">
        <v>42670.465833333335</v>
      </c>
      <c r="F75" s="13">
        <v>42670.468958333331</v>
      </c>
      <c r="G75" s="7">
        <v>1</v>
      </c>
      <c r="H75" s="13" t="s">
        <v>660</v>
      </c>
      <c r="I75" s="13">
        <v>42670.494270833333</v>
      </c>
      <c r="J75" s="7">
        <v>0</v>
      </c>
      <c r="K75" s="112" t="str">
        <f t="shared" si="33"/>
        <v>4039/4040</v>
      </c>
      <c r="L75" s="22" t="str">
        <f>VLOOKUP(A75,'Trips&amp;Operators'!$C$1:$E$10000,3,FALSE)</f>
        <v>SHOOK</v>
      </c>
      <c r="M75" s="6">
        <f t="shared" si="34"/>
        <v>2.531250000174623E-2</v>
      </c>
      <c r="N75" s="7">
        <f t="shared" si="46"/>
        <v>36.450000002514571</v>
      </c>
      <c r="O75" s="7"/>
      <c r="P75" s="7"/>
      <c r="Q75" s="23"/>
      <c r="R75" s="23"/>
      <c r="S75" s="35">
        <f t="shared" si="36"/>
        <v>1</v>
      </c>
      <c r="T75" s="50" t="str">
        <f t="shared" si="37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10:10:48-0600',mode:absolute,to:'2016-10-27 12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5" s="52" t="str">
        <f t="shared" si="39"/>
        <v>N</v>
      </c>
      <c r="X75" s="177">
        <f t="shared" si="48"/>
        <v>1</v>
      </c>
      <c r="Y75" s="67">
        <f t="shared" si="40"/>
        <v>4.2599999999999999E-2</v>
      </c>
      <c r="Z75" s="67">
        <f t="shared" si="41"/>
        <v>23.334900000000001</v>
      </c>
      <c r="AA75" s="67">
        <f t="shared" si="42"/>
        <v>23.292300000000001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43"/>
        <v>0161-27</v>
      </c>
      <c r="AE75" s="91" t="str">
        <f t="shared" si="10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75" s="88" t="str">
        <f t="shared" si="11"/>
        <v>"C:\Program Files (x86)\AstroGrep\AstroGrep.exe" /spath="%USERPROFILE%\AppData\Local\Temp\OnboardLogs" /stypes="app*4040*20161027*" /stext=" 17:.+((SYSTEM_STATE.+slice.+state.+changed )|(ment ac)|(system.+state.+changed )|(\[timeout)|(PRM\|1\|D)|(kpr)|(kdp)|(\|lc)|(penalty))" /e /r /s</v>
      </c>
      <c r="AG75" s="1" t="str">
        <f t="shared" si="44"/>
        <v>EC</v>
      </c>
      <c r="AH75" s="92" t="str">
        <f t="shared" si="15"/>
        <v>"%USERPROFILE%\Documents\GitHub\eaglep3\Utilities\RefineRTDCRunTimes.py" --tripid 161-27 --locoid 4040 --swversion DE.1.0.8.0 --startMP 204:426 --initTime 2016-10-27T11:10:48 --startdatetime 2016-10-27T11:15:18 --delay 1 --endMP 204:233349 --enddatetime 2016-10-27T11:51:45 --enforcementcount 0 &gt;&gt;C:\Users\stu\Documents\GitHub\eaglep3-reporting\EC\2016-10-27-refined-times.txt</v>
      </c>
      <c r="AI75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{"issue":{"subject":"","project_id":79,"tracker_id":40,"status_id":1,"priority_id":2,"assigned_to_id":23,"start_date":"2016-10-27","description":"","custom_fields":[{"id":1,"name":"Subdivision","value":"EC"},{"id":4,"name":"Milepost","value":"23.3349"},{"id":17,"name":"Train ID","value":"161-27"},{"id":16,"name":"Locomotive ID","value":"4040"},{"id":130,"name":"Impact","value":""},{"id":150,"name":"Time of Event (Mountain Time)","value":"11:51:45"},{"id":151,"name":"Denver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510</v>
      </c>
      <c r="B76" s="7">
        <v>4039</v>
      </c>
      <c r="C76" s="22" t="s">
        <v>326</v>
      </c>
      <c r="D76" s="22" t="s">
        <v>661</v>
      </c>
      <c r="E76" s="13">
        <v>42670.504120370373</v>
      </c>
      <c r="F76" s="13">
        <v>42670.507847222223</v>
      </c>
      <c r="G76" s="7">
        <v>1</v>
      </c>
      <c r="H76" s="13" t="s">
        <v>215</v>
      </c>
      <c r="I76" s="13">
        <v>42670.534942129627</v>
      </c>
      <c r="J76" s="7">
        <v>0</v>
      </c>
      <c r="K76" s="112" t="str">
        <f t="shared" si="33"/>
        <v>4039/4040</v>
      </c>
      <c r="L76" s="22" t="str">
        <f>VLOOKUP(A76,'Trips&amp;Operators'!$C$1:$E$10000,3,FALSE)</f>
        <v>SHOOK</v>
      </c>
      <c r="M76" s="6">
        <f t="shared" si="34"/>
        <v>2.7094907403807156E-2</v>
      </c>
      <c r="N76" s="7">
        <f t="shared" si="46"/>
        <v>39.016666661482304</v>
      </c>
      <c r="O76" s="7"/>
      <c r="P76" s="7"/>
      <c r="Q76" s="23"/>
      <c r="R76" s="23"/>
      <c r="S76" s="35">
        <f t="shared" si="36"/>
        <v>1</v>
      </c>
      <c r="T76" s="50" t="str">
        <f t="shared" si="37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11:05:56-0600',mode:absolute,to:'2016-10-27 13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6" s="52" t="str">
        <f t="shared" si="39"/>
        <v>N</v>
      </c>
      <c r="X76" s="177">
        <f t="shared" si="48"/>
        <v>1</v>
      </c>
      <c r="Y76" s="67">
        <f t="shared" si="40"/>
        <v>23.305499999999999</v>
      </c>
      <c r="Z76" s="67">
        <f t="shared" si="41"/>
        <v>1.4500000000000001E-2</v>
      </c>
      <c r="AA76" s="67">
        <f t="shared" si="42"/>
        <v>23.290999999999997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43"/>
        <v>0162-27</v>
      </c>
      <c r="AE76" s="91" t="str">
        <f t="shared" si="10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76" s="88" t="str">
        <f t="shared" si="11"/>
        <v>"C:\Program Files (x86)\AstroGrep\AstroGrep.exe" /spath="%USERPROFILE%\AppData\Local\Temp\OnboardLogs" /stypes="app*4039*20161027*" /stext=" 18:.+((SYSTEM_STATE.+slice.+state.+changed )|(ment ac)|(system.+state.+changed )|(\[timeout)|(PRM\|1\|D)|(kpr)|(kdp)|(\|lc)|(penalty))" /e /r /s</v>
      </c>
      <c r="AG76" s="1" t="str">
        <f t="shared" si="44"/>
        <v>EC</v>
      </c>
      <c r="AH76" s="92" t="str">
        <f t="shared" si="15"/>
        <v>"%USERPROFILE%\Documents\GitHub\eaglep3\Utilities\RefineRTDCRunTimes.py" --tripid 162-27 --locoid 4039 --swversion DE.1.0.8.0 --startMP 204:233055 --initTime 2016-10-27T12:05:56 --startdatetime 2016-10-27T12:11:18 --delay 1 --endMP 204:145 --enddatetime 2016-10-27T12:50:19 --enforcementcount 0 &gt;&gt;C:\Users\stu\Documents\GitHub\eaglep3-reporting\EC\2016-10-27-refined-times.txt</v>
      </c>
      <c r="AI76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ID","value":"162-27"},{"id":16,"name":"Locomotive ID","value":"4039"},{"id":130,"name":"Impact","value":""},{"id":150,"name":"Time of Event (Mountain Time)","value":"12:50:19"},{"id":151,"name":"Denver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503</v>
      </c>
      <c r="B77" s="7">
        <v>4014</v>
      </c>
      <c r="C77" s="22" t="s">
        <v>326</v>
      </c>
      <c r="D77" s="22" t="s">
        <v>310</v>
      </c>
      <c r="E77" s="13">
        <v>42670.476087962961</v>
      </c>
      <c r="F77" s="13">
        <v>42670.479513888888</v>
      </c>
      <c r="G77" s="7">
        <v>1</v>
      </c>
      <c r="H77" s="13" t="s">
        <v>222</v>
      </c>
      <c r="I77" s="13">
        <v>42670.504803240743</v>
      </c>
      <c r="J77" s="7">
        <v>0</v>
      </c>
      <c r="K77" s="112" t="str">
        <f t="shared" si="33"/>
        <v>4013/4014</v>
      </c>
      <c r="L77" s="22" t="str">
        <f>VLOOKUP(A77,'Trips&amp;Operators'!$C$1:$E$10000,3,FALSE)</f>
        <v>MOSES</v>
      </c>
      <c r="M77" s="6">
        <f t="shared" si="34"/>
        <v>2.5289351855462883E-2</v>
      </c>
      <c r="N77" s="7">
        <f t="shared" si="46"/>
        <v>36.416666671866551</v>
      </c>
      <c r="O77" s="7"/>
      <c r="P77" s="7"/>
      <c r="Q77" s="23"/>
      <c r="R77" s="23"/>
      <c r="S77" s="35">
        <f t="shared" si="36"/>
        <v>1</v>
      </c>
      <c r="T77" s="50" t="str">
        <f t="shared" si="37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10:25:34-0600',mode:absolute,to:'2016-10-27 13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7" s="52" t="str">
        <f t="shared" si="39"/>
        <v>N</v>
      </c>
      <c r="X77" s="177">
        <f t="shared" si="48"/>
        <v>1</v>
      </c>
      <c r="Y77" s="67">
        <f t="shared" si="40"/>
        <v>4.6399999999999997E-2</v>
      </c>
      <c r="Z77" s="67">
        <f t="shared" si="41"/>
        <v>23.33</v>
      </c>
      <c r="AA77" s="67">
        <f t="shared" si="42"/>
        <v>23.2836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43"/>
        <v>0163-27</v>
      </c>
      <c r="AE77" s="91" t="str">
        <f t="shared" ref="AE77:AE140" si="4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77" s="88" t="str">
        <f t="shared" ref="AF77:AF140" si="50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/stypes="app*4014*20161027*" /stext=" 18:.+((SYSTEM_STATE.+slice.+state.+changed )|(ment ac)|(system.+state.+changed )|(\[timeout)|(PRM\|1\|D)|(kpr)|(kdp)|(\|lc)|(penalty))" /e /r /s</v>
      </c>
      <c r="AG77" s="1" t="str">
        <f t="shared" si="44"/>
        <v>EC</v>
      </c>
      <c r="AH77" s="92" t="str">
        <f t="shared" si="15"/>
        <v>"%USERPROFILE%\Documents\GitHub\eaglep3\Utilities\RefineRTDCRunTimes.py" --tripid 163-27 --locoid 4014 --swversion DE.1.0.8.0 --startMP 204:464 --initTime 2016-10-27T11:25:34 --startdatetime 2016-10-27T11:30:30 --delay 1 --endMP 204:233300 --enddatetime 2016-10-27T12:06:55 --enforcementcount 0 &gt;&gt;C:\Users\stu\Documents\GitHub\eaglep3-reporting\EC\2016-10-27-refined-times.txt</v>
      </c>
      <c r="AI77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{"issue":{"subject":"","project_id":79,"tracker_id":40,"status_id":1,"priority_id":2,"assigned_to_id":23,"start_date":"2016-10-27","description":"","custom_fields":[{"id":1,"name":"Subdivision","value":"EC"},{"id":4,"name":"Milepost","value":"23.33"},{"id":17,"name":"Train ID","value":"163-27"},{"id":16,"name":"Locomotive ID","value":"4014"},{"id":130,"name":"Impact","value":""},{"id":150,"name":"Time of Event (Mountain Time)","value":"12:06:55"},{"id":151,"name":"Denver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512</v>
      </c>
      <c r="B78" s="7">
        <v>4013</v>
      </c>
      <c r="C78" s="22" t="s">
        <v>326</v>
      </c>
      <c r="D78" s="22" t="s">
        <v>287</v>
      </c>
      <c r="E78" s="13">
        <v>42670.515185185184</v>
      </c>
      <c r="F78" s="13">
        <v>42670.518368055556</v>
      </c>
      <c r="G78" s="7">
        <v>1</v>
      </c>
      <c r="H78" s="13" t="s">
        <v>249</v>
      </c>
      <c r="I78" s="13">
        <v>42670.546053240738</v>
      </c>
      <c r="J78" s="7">
        <v>0</v>
      </c>
      <c r="K78" s="112" t="str">
        <f t="shared" si="33"/>
        <v>4013/4014</v>
      </c>
      <c r="L78" s="22" t="str">
        <f>VLOOKUP(A78,'Trips&amp;Operators'!$C$1:$E$10000,3,FALSE)</f>
        <v>MOSES</v>
      </c>
      <c r="M78" s="6">
        <f t="shared" si="34"/>
        <v>2.7685185181326233E-2</v>
      </c>
      <c r="N78" s="7">
        <f t="shared" si="46"/>
        <v>39.866666661109775</v>
      </c>
      <c r="O78" s="7"/>
      <c r="P78" s="7"/>
      <c r="Q78" s="23"/>
      <c r="R78" s="23"/>
      <c r="S78" s="35">
        <f t="shared" si="36"/>
        <v>1</v>
      </c>
      <c r="T78" s="50" t="str">
        <f t="shared" si="37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11:21:52-0600',mode:absolute,to:'2016-10-27 14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8" s="52" t="str">
        <f t="shared" si="39"/>
        <v>N</v>
      </c>
      <c r="X78" s="177">
        <f t="shared" si="48"/>
        <v>1</v>
      </c>
      <c r="Y78" s="67">
        <f t="shared" si="40"/>
        <v>23.299800000000001</v>
      </c>
      <c r="Z78" s="67">
        <f t="shared" si="41"/>
        <v>1.5599999999999999E-2</v>
      </c>
      <c r="AA78" s="67">
        <f t="shared" si="42"/>
        <v>23.284200000000002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3"/>
        <v>0164-27</v>
      </c>
      <c r="AE78" s="91" t="str">
        <f t="shared" si="49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78" s="88" t="str">
        <f t="shared" si="50"/>
        <v>"C:\Program Files (x86)\AstroGrep\AstroGrep.exe" /spath="%USERPROFILE%\AppData\Local\Temp\OnboardLogs" /stypes="app*4013*20161027*" /stext=" 19:.+((SYSTEM_STATE.+slice.+state.+changed )|(ment ac)|(system.+state.+changed )|(\[timeout)|(PRM\|1\|D)|(kpr)|(kdp)|(\|lc)|(penalty))" /e /r /s</v>
      </c>
      <c r="AG78" s="1" t="str">
        <f t="shared" si="44"/>
        <v>EC</v>
      </c>
      <c r="AH78" s="92" t="str">
        <f t="shared" si="15"/>
        <v>"%USERPROFILE%\Documents\GitHub\eaglep3\Utilities\RefineRTDCRunTimes.py" --tripid 164-27 --locoid 4013 --swversion DE.1.0.8.0 --startMP 204:232998 --initTime 2016-10-27T12:21:52 --startdatetime 2016-10-27T12:26:27 --delay 1 --endMP 204:156 --enddatetime 2016-10-27T13:06:19 --enforcementcount 0 &gt;&gt;C:\Users\stu\Documents\GitHub\eaglep3-reporting\EC\2016-10-27-refined-times.txt</v>
      </c>
      <c r="AI78" s="122" t="str">
        <f t="shared" si="16"/>
        <v>echo {"issue":{"subject":"","project_id":79,"tracker_id":40,"status_id":1,"priority_id":2,"assigned_to_id":23,"start_date":"2016-10-27","description":"","custom_fields":[{"id":1,"name":"Subdivision","value":"EC"},{"id":4,"name":"Milepost","value":"0.0156"},{"id":17,"name":"Train ID","value":"164-27"},{"id":16,"name":"Locomotive ID","value":"4013"},{"id":130,"name":"Impact","value":""},{"id":150,"name":"Time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504</v>
      </c>
      <c r="B79" s="7">
        <v>4038</v>
      </c>
      <c r="C79" s="22" t="s">
        <v>326</v>
      </c>
      <c r="D79" s="22" t="s">
        <v>348</v>
      </c>
      <c r="E79" s="13">
        <v>42670.486527777779</v>
      </c>
      <c r="F79" s="13">
        <v>42670.489756944444</v>
      </c>
      <c r="G79" s="7">
        <v>1</v>
      </c>
      <c r="H79" s="13" t="s">
        <v>225</v>
      </c>
      <c r="I79" s="13">
        <v>42670.513888888891</v>
      </c>
      <c r="J79" s="7">
        <v>0</v>
      </c>
      <c r="K79" s="112" t="str">
        <f t="shared" si="33"/>
        <v>4037/4038</v>
      </c>
      <c r="L79" s="22" t="str">
        <f>VLOOKUP(A79,'Trips&amp;Operators'!$C$1:$E$10000,3,FALSE)</f>
        <v>LOPES</v>
      </c>
      <c r="M79" s="6">
        <f t="shared" si="34"/>
        <v>2.4131944446708076E-2</v>
      </c>
      <c r="N79" s="7">
        <f t="shared" si="46"/>
        <v>34.750000003259629</v>
      </c>
      <c r="O79" s="7"/>
      <c r="P79" s="7"/>
      <c r="Q79" s="23"/>
      <c r="R79" s="23"/>
      <c r="S79" s="35">
        <f t="shared" si="36"/>
        <v>1</v>
      </c>
      <c r="T79" s="50" t="str">
        <f t="shared" si="37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10:40:36-0600',mode:absolute,to:'2016-10-27 13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9" s="52" t="str">
        <f t="shared" si="39"/>
        <v>N</v>
      </c>
      <c r="X79" s="177">
        <f t="shared" si="48"/>
        <v>1</v>
      </c>
      <c r="Y79" s="67">
        <f t="shared" si="40"/>
        <v>4.8000000000000001E-2</v>
      </c>
      <c r="Z79" s="67">
        <f t="shared" si="41"/>
        <v>23.329499999999999</v>
      </c>
      <c r="AA79" s="67">
        <f t="shared" si="42"/>
        <v>23.281500000000001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3"/>
        <v>0165-27</v>
      </c>
      <c r="AE79" s="91" t="str">
        <f t="shared" si="49"/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AF79" s="88" t="str">
        <f t="shared" si="50"/>
        <v>"C:\Program Files (x86)\AstroGrep\AstroGrep.exe" /spath="%USERPROFILE%\AppData\Local\Temp\OnboardLogs" /stypes="app*4038*20161027*" /stext=" 18:.+((SYSTEM_STATE.+slice.+state.+changed )|(ment ac)|(system.+state.+changed )|(\[timeout)|(PRM\|1\|D)|(kpr)|(kdp)|(\|lc)|(penalty))" /e /r /s</v>
      </c>
      <c r="AG79" s="1" t="str">
        <f t="shared" si="44"/>
        <v>EC</v>
      </c>
      <c r="AH79" s="92" t="str">
        <f t="shared" ref="AH79:AH143" si="51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165-27 --locoid 4038 --swversion DE.1.0.8.0 --startMP 204:480 --initTime 2016-10-27T11:40:36 --startdatetime 2016-10-27T11:45:15 --delay 1 --endMP 204:233295 --enddatetime 2016-10-27T12:20:00 --enforcementcount 0 &gt;&gt;C:\Users\stu\Documents\GitHub\eaglep3-reporting\EC\2016-10-27-refined-times.txt</v>
      </c>
      <c r="AI79" s="122" t="str">
        <f t="shared" ref="AI79:AI143" si="52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{"issue":{"subject":"","project_id":79,"tracker_id":40,"status_id":1,"priority_id":2,"assigned_to_id":23,"start_date":"2016-10-27","description":"","custom_fields":[{"id":1,"name":"Subdivision","value":"EC"},{"id":4,"name":"Milepost","value":"23.3295"},{"id":17,"name":"Train ID","value":"165-27"},{"id":16,"name":"Locomotive ID","value":"4038"},{"id":130,"name":"Impact","value":""},{"id":150,"name":"Time of Event (Mountain Time)","value":"12:20:00"},{"id":151,"name":"Denver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515</v>
      </c>
      <c r="B80" s="7">
        <v>4037</v>
      </c>
      <c r="C80" s="22" t="s">
        <v>326</v>
      </c>
      <c r="D80" s="22" t="s">
        <v>314</v>
      </c>
      <c r="E80" s="13">
        <v>42670.520937499998</v>
      </c>
      <c r="F80" s="13">
        <v>42670.528715277775</v>
      </c>
      <c r="G80" s="7">
        <v>1</v>
      </c>
      <c r="H80" s="13" t="s">
        <v>216</v>
      </c>
      <c r="I80" s="13">
        <v>42670.5547337963</v>
      </c>
      <c r="J80" s="7">
        <v>0</v>
      </c>
      <c r="K80" s="112" t="str">
        <f t="shared" si="33"/>
        <v>4037/4038</v>
      </c>
      <c r="L80" s="22" t="str">
        <f>VLOOKUP(A80,'Trips&amp;Operators'!$C$1:$E$10000,3,FALSE)</f>
        <v>LOPES</v>
      </c>
      <c r="M80" s="6">
        <f t="shared" si="34"/>
        <v>2.6018518525233958E-2</v>
      </c>
      <c r="N80" s="7">
        <f t="shared" si="46"/>
        <v>37.466666676336899</v>
      </c>
      <c r="O80" s="7"/>
      <c r="P80" s="7"/>
      <c r="Q80" s="23"/>
      <c r="R80" s="23"/>
      <c r="S80" s="35">
        <f t="shared" si="36"/>
        <v>1</v>
      </c>
      <c r="T80" s="50" t="str">
        <f t="shared" si="37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11:30:09-0600',mode:absolute,to:'2016-10-27 14:18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0" s="52" t="str">
        <f t="shared" si="39"/>
        <v>N</v>
      </c>
      <c r="X80" s="177">
        <f t="shared" si="48"/>
        <v>1</v>
      </c>
      <c r="Y80" s="67">
        <f t="shared" si="40"/>
        <v>23.297799999999999</v>
      </c>
      <c r="Z80" s="67">
        <f t="shared" si="41"/>
        <v>1.49E-2</v>
      </c>
      <c r="AA80" s="67">
        <f t="shared" si="42"/>
        <v>23.282899999999998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3"/>
        <v>0166-27</v>
      </c>
      <c r="AE80" s="91" t="str">
        <f t="shared" si="49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80" s="88" t="str">
        <f t="shared" si="50"/>
        <v>"C:\Program Files (x86)\AstroGrep\AstroGrep.exe" /spath="%USERPROFILE%\AppData\Local\Temp\OnboardLogs" /stypes="app*4037*20161027*" /stext=" 19:.+((SYSTEM_STATE.+slice.+state.+changed )|(ment ac)|(system.+state.+changed )|(\[timeout)|(PRM\|1\|D)|(kpr)|(kdp)|(\|lc)|(penalty))" /e /r /s</v>
      </c>
      <c r="AG80" s="1" t="str">
        <f t="shared" si="44"/>
        <v>EC</v>
      </c>
      <c r="AH80" s="92" t="str">
        <f t="shared" si="51"/>
        <v>"%USERPROFILE%\Documents\GitHub\eaglep3\Utilities\RefineRTDCRunTimes.py" --tripid 166-27 --locoid 4037 --swversion DE.1.0.8.0 --startMP 204:232978 --initTime 2016-10-27T12:30:09 --startdatetime 2016-10-27T12:41:21 --delay 1 --endMP 204:149 --enddatetime 2016-10-27T13:18:49 --enforcementcount 0 &gt;&gt;C:\Users\stu\Documents\GitHub\eaglep3-reporting\EC\2016-10-27-refined-times.txt</v>
      </c>
      <c r="AI80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{"issue":{"subject":"","project_id":79,"tracker_id":40,"status_id":1,"priority_id":2,"assigned_to_id":23,"start_date":"2016-10-27","description":"","custom_fields":[{"id":1,"name":"Subdivision","value":"EC"},{"id":4,"name":"Milepost","value":"0.0149"},{"id":17,"name":"Train ID","value":"166-27"},{"id":16,"name":"Locomotive ID","value":"4037"},{"id":130,"name":"Impact","value":""},{"id":150,"name":"Time of Event (Mountain Time)","value":"13:18:49"},{"id":151,"name":"Denver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509</v>
      </c>
      <c r="B81" s="7">
        <v>4018</v>
      </c>
      <c r="C81" s="22" t="s">
        <v>326</v>
      </c>
      <c r="D81" s="22" t="s">
        <v>662</v>
      </c>
      <c r="E81" s="13">
        <v>42670.501446759263</v>
      </c>
      <c r="F81" s="13">
        <v>42670.502581018518</v>
      </c>
      <c r="G81" s="7">
        <v>1</v>
      </c>
      <c r="H81" s="13" t="s">
        <v>309</v>
      </c>
      <c r="I81" s="13">
        <v>42670.527766203704</v>
      </c>
      <c r="J81" s="7">
        <v>0</v>
      </c>
      <c r="K81" s="112" t="str">
        <f t="shared" si="33"/>
        <v>4017/4018</v>
      </c>
      <c r="L81" s="22" t="str">
        <f>VLOOKUP(A81,'Trips&amp;Operators'!$C$1:$E$10000,3,FALSE)</f>
        <v>YOUNG</v>
      </c>
      <c r="M81" s="6">
        <f t="shared" si="34"/>
        <v>2.5185185186273884E-2</v>
      </c>
      <c r="N81" s="7">
        <f t="shared" si="46"/>
        <v>36.266666668234393</v>
      </c>
      <c r="O81" s="7"/>
      <c r="P81" s="7"/>
      <c r="Q81" s="23"/>
      <c r="R81" s="23"/>
      <c r="S81" s="35">
        <f t="shared" si="36"/>
        <v>1</v>
      </c>
      <c r="T81" s="50" t="str">
        <f t="shared" si="37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11:02:05-0600',mode:absolute,to:'2016-10-27 13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1" s="52" t="str">
        <f t="shared" si="39"/>
        <v>N</v>
      </c>
      <c r="X81" s="177">
        <f t="shared" si="48"/>
        <v>1</v>
      </c>
      <c r="Y81" s="67">
        <f t="shared" si="40"/>
        <v>4.7300000000000002E-2</v>
      </c>
      <c r="Z81" s="67">
        <f t="shared" si="41"/>
        <v>23.3308</v>
      </c>
      <c r="AA81" s="67">
        <f t="shared" si="42"/>
        <v>23.2835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3"/>
        <v>0167-27</v>
      </c>
      <c r="AE81" s="91" t="str">
        <f t="shared" si="49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81" s="88" t="str">
        <f t="shared" si="50"/>
        <v>"C:\Program Files (x86)\AstroGrep\AstroGrep.exe" /spath="%USERPROFILE%\AppData\Local\Temp\OnboardLogs" /stypes="app*4018*20161027*" /stext=" 18:.+((SYSTEM_STATE.+slice.+state.+changed )|(ment ac)|(system.+state.+changed )|(\[timeout)|(PRM\|1\|D)|(kpr)|(kdp)|(\|lc)|(penalty))" /e /r /s</v>
      </c>
      <c r="AG81" s="1" t="str">
        <f t="shared" si="44"/>
        <v>EC</v>
      </c>
      <c r="AH81" s="92" t="str">
        <f t="shared" si="51"/>
        <v>"%USERPROFILE%\Documents\GitHub\eaglep3\Utilities\RefineRTDCRunTimes.py" --tripid 167-27 --locoid 4018 --swversion DE.1.0.8.0 --startMP 204:473 --initTime 2016-10-27T12:02:05 --startdatetime 2016-10-27T12:03:43 --delay 1 --endMP 204:233308 --enddatetime 2016-10-27T12:39:59 --enforcementcount 0 &gt;&gt;C:\Users\stu\Documents\GitHub\eaglep3-reporting\EC\2016-10-27-refined-times.txt</v>
      </c>
      <c r="AI81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{"issue":{"subject":"","project_id":79,"tracker_id":40,"status_id":1,"priority_id":2,"assigned_to_id":23,"start_date":"2016-10-27","description":"","custom_fields":[{"id":1,"name":"Subdivision","value":"EC"},{"id":4,"name":"Milepost","value":"23.3308"},{"id":17,"name":"Train ID","value":"167-27"},{"id":16,"name":"Locomotive ID","value":"4018"},{"id":130,"name":"Impact","value":""},{"id":150,"name":"Time of Event (Mountain Time)","value":"12:39:59"},{"id":151,"name":"Denver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518</v>
      </c>
      <c r="B82" s="7">
        <v>4017</v>
      </c>
      <c r="C82" s="22" t="s">
        <v>326</v>
      </c>
      <c r="D82" s="22" t="s">
        <v>289</v>
      </c>
      <c r="E82" s="13">
        <v>42670.531435185185</v>
      </c>
      <c r="F82" s="13">
        <v>42670.539039351854</v>
      </c>
      <c r="G82" s="7">
        <v>1</v>
      </c>
      <c r="H82" s="13" t="s">
        <v>663</v>
      </c>
      <c r="I82" s="13">
        <v>42670.566469907404</v>
      </c>
      <c r="J82" s="7">
        <v>0</v>
      </c>
      <c r="K82" s="112" t="str">
        <f t="shared" si="33"/>
        <v>4017/4018</v>
      </c>
      <c r="L82" s="22" t="str">
        <f>VLOOKUP(A82,'Trips&amp;Operators'!$C$1:$E$10000,3,FALSE)</f>
        <v>YOUNG</v>
      </c>
      <c r="M82" s="6">
        <f t="shared" si="34"/>
        <v>2.7430555550381541E-2</v>
      </c>
      <c r="N82" s="7">
        <f t="shared" si="46"/>
        <v>39.499999992549419</v>
      </c>
      <c r="O82" s="7"/>
      <c r="P82" s="7"/>
      <c r="Q82" s="23"/>
      <c r="R82" s="23"/>
      <c r="S82" s="35">
        <f t="shared" si="36"/>
        <v>1</v>
      </c>
      <c r="T82" s="50" t="str">
        <f t="shared" si="37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11:45:16-0600',mode:absolute,to:'2016-10-27 14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2" s="52" t="str">
        <f t="shared" si="39"/>
        <v>N</v>
      </c>
      <c r="X82" s="177">
        <f t="shared" si="48"/>
        <v>1</v>
      </c>
      <c r="Y82" s="67">
        <f t="shared" si="40"/>
        <v>23.299600000000002</v>
      </c>
      <c r="Z82" s="67">
        <f t="shared" si="41"/>
        <v>1.7999999999999999E-2</v>
      </c>
      <c r="AA82" s="67">
        <f t="shared" si="42"/>
        <v>23.281600000000001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3"/>
        <v>0168-27</v>
      </c>
      <c r="AE82" s="91" t="str">
        <f t="shared" si="49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82" s="88" t="str">
        <f t="shared" si="50"/>
        <v>"C:\Program Files (x86)\AstroGrep\AstroGrep.exe" /spath="%USERPROFILE%\AppData\Local\Temp\OnboardLogs" /stypes="app*4017*20161027*" /stext=" 19:.+((SYSTEM_STATE.+slice.+state.+changed )|(ment ac)|(system.+state.+changed )|(\[timeout)|(PRM\|1\|D)|(kpr)|(kdp)|(\|lc)|(penalty))" /e /r /s</v>
      </c>
      <c r="AG82" s="1" t="str">
        <f t="shared" si="44"/>
        <v>EC</v>
      </c>
      <c r="AH82" s="92" t="str">
        <f t="shared" si="51"/>
        <v>"%USERPROFILE%\Documents\GitHub\eaglep3\Utilities\RefineRTDCRunTimes.py" --tripid 168-27 --locoid 4017 --swversion DE.1.0.8.0 --startMP 204:232996 --initTime 2016-10-27T12:45:16 --startdatetime 2016-10-27T12:56:13 --delay 1 --endMP 204:180 --enddatetime 2016-10-27T13:35:43 --enforcementcount 0 &gt;&gt;C:\Users\stu\Documents\GitHub\eaglep3-reporting\EC\2016-10-27-refined-times.txt</v>
      </c>
      <c r="AI82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{"issue":{"subject":"","project_id":79,"tracker_id":40,"status_id":1,"priority_id":2,"assigned_to_id":23,"start_date":"2016-10-27","description":"","custom_fields":[{"id":1,"name":"Subdivision","value":"EC"},{"id":4,"name":"Milepost","value":"0.018"},{"id":17,"name":"Train ID","value":"168-27"},{"id":16,"name":"Locomotive ID","value":"4017"},{"id":130,"name":"Impact","value":""},{"id":150,"name":"Time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511</v>
      </c>
      <c r="B83" s="7">
        <v>4022</v>
      </c>
      <c r="C83" s="22" t="s">
        <v>326</v>
      </c>
      <c r="D83" s="22" t="s">
        <v>664</v>
      </c>
      <c r="E83" s="13">
        <v>42670.506203703706</v>
      </c>
      <c r="F83" s="13">
        <v>42670.511064814818</v>
      </c>
      <c r="G83" s="7">
        <v>2</v>
      </c>
      <c r="H83" s="13" t="s">
        <v>194</v>
      </c>
      <c r="I83" s="13">
        <v>42670.536597222221</v>
      </c>
      <c r="J83" s="7">
        <v>0</v>
      </c>
      <c r="K83" s="112" t="str">
        <f t="shared" si="33"/>
        <v>4021/4022</v>
      </c>
      <c r="L83" s="22" t="str">
        <f>VLOOKUP(A83,'Trips&amp;Operators'!$C$1:$E$10000,3,FALSE)</f>
        <v>JACKSON</v>
      </c>
      <c r="M83" s="6">
        <f t="shared" si="34"/>
        <v>2.5532407402351964E-2</v>
      </c>
      <c r="N83" s="7">
        <f t="shared" si="46"/>
        <v>36.766666659386829</v>
      </c>
      <c r="O83" s="7"/>
      <c r="P83" s="7"/>
      <c r="Q83" s="23"/>
      <c r="R83" s="23"/>
      <c r="S83" s="35">
        <f t="shared" si="36"/>
        <v>1</v>
      </c>
      <c r="T83" s="50" t="str">
        <f t="shared" si="37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11:08:56-0600',mode:absolute,to:'2016-10-27 13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3" s="52" t="str">
        <f t="shared" si="39"/>
        <v>N</v>
      </c>
      <c r="X83" s="177">
        <f t="shared" si="48"/>
        <v>1</v>
      </c>
      <c r="Y83" s="67">
        <f t="shared" si="40"/>
        <v>4.1799999999999997E-2</v>
      </c>
      <c r="Z83" s="67">
        <f t="shared" si="41"/>
        <v>23.329699999999999</v>
      </c>
      <c r="AA83" s="67">
        <f t="shared" si="42"/>
        <v>23.2879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3"/>
        <v>0169-27</v>
      </c>
      <c r="AE83" s="91" t="str">
        <f t="shared" si="49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83" s="88" t="str">
        <f t="shared" si="50"/>
        <v>"C:\Program Files (x86)\AstroGrep\AstroGrep.exe" /spath="%USERPROFILE%\AppData\Local\Temp\OnboardLogs" /stypes="app*4022*20161027*" /stext=" 18:.+((SYSTEM_STATE.+slice.+state.+changed )|(ment ac)|(system.+state.+changed )|(\[timeout)|(PRM\|1\|D)|(kpr)|(kdp)|(\|lc)|(penalty))" /e /r /s</v>
      </c>
      <c r="AG83" s="1" t="str">
        <f t="shared" si="44"/>
        <v>EC</v>
      </c>
      <c r="AH83" s="92" t="str">
        <f t="shared" si="51"/>
        <v>"%USERPROFILE%\Documents\GitHub\eaglep3\Utilities\RefineRTDCRunTimes.py" --tripid 169-27 --locoid 4022 --swversion DE.1.0.8.0 --startMP 204:418 --initTime 2016-10-27T12:08:56 --startdatetime 2016-10-27T12:15:56 --delay 2 --endMP 204:233297 --enddatetime 2016-10-27T12:52:42 --enforcementcount 0 &gt;&gt;C:\Users\stu\Documents\GitHub\eaglep3-reporting\EC\2016-10-27-refined-times.txt</v>
      </c>
      <c r="AI83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{"issue":{"subject":"","project_id":79,"tracker_id":40,"status_id":1,"priority_id":2,"assigned_to_id":23,"start_date":"2016-10-27","description":"","custom_fields":[{"id":1,"name":"Subdivision","value":"EC"},{"id":4,"name":"Milepost","value":"23.3297"},{"id":17,"name":"Train ID","value":"169-27"},{"id":16,"name":"Locomotive ID","value":"4022"},{"id":130,"name":"Impact","value":""},{"id":150,"name":"Time of Event (Mountain Time)","value":"12:52:42"},{"id":151,"name":"Denver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521</v>
      </c>
      <c r="B84" s="7">
        <v>4021</v>
      </c>
      <c r="C84" s="22" t="s">
        <v>326</v>
      </c>
      <c r="D84" s="22" t="s">
        <v>298</v>
      </c>
      <c r="E84" s="13">
        <v>42670.546377314815</v>
      </c>
      <c r="F84" s="13">
        <v>42670.549699074072</v>
      </c>
      <c r="G84" s="7">
        <v>1</v>
      </c>
      <c r="H84" s="13" t="s">
        <v>641</v>
      </c>
      <c r="I84" s="13">
        <v>42670.576817129629</v>
      </c>
      <c r="J84" s="7">
        <v>0</v>
      </c>
      <c r="K84" s="112" t="str">
        <f t="shared" si="33"/>
        <v>4021/4022</v>
      </c>
      <c r="L84" s="22" t="str">
        <f>VLOOKUP(A84,'Trips&amp;Operators'!$C$1:$E$10000,3,FALSE)</f>
        <v>JACKSON</v>
      </c>
      <c r="M84" s="6">
        <f t="shared" si="34"/>
        <v>2.7118055557366461E-2</v>
      </c>
      <c r="N84" s="7">
        <f t="shared" si="46"/>
        <v>39.050000002607703</v>
      </c>
      <c r="O84" s="7"/>
      <c r="P84" s="7"/>
      <c r="Q84" s="23"/>
      <c r="R84" s="23"/>
      <c r="S84" s="35">
        <f t="shared" si="36"/>
        <v>1</v>
      </c>
      <c r="T84" s="50" t="str">
        <f t="shared" si="37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12:06:47-0600',mode:absolute,to:'2016-10-27 14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4" s="52" t="str">
        <f t="shared" si="39"/>
        <v>N</v>
      </c>
      <c r="X84" s="177">
        <f t="shared" si="48"/>
        <v>1</v>
      </c>
      <c r="Y84" s="67">
        <f t="shared" si="40"/>
        <v>23.297999999999998</v>
      </c>
      <c r="Z84" s="67">
        <f t="shared" si="41"/>
        <v>1.3599999999999999E-2</v>
      </c>
      <c r="AA84" s="67">
        <f t="shared" si="42"/>
        <v>23.284399999999998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3"/>
        <v>0170-27</v>
      </c>
      <c r="AE84" s="91" t="str">
        <f t="shared" si="49"/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AF84" s="88" t="str">
        <f t="shared" si="50"/>
        <v>"C:\Program Files (x86)\AstroGrep\AstroGrep.exe" /spath="%USERPROFILE%\AppData\Local\Temp\OnboardLogs" /stypes="app*4021*20161027*" /stext=" 19:.+((SYSTEM_STATE.+slice.+state.+changed )|(ment ac)|(system.+state.+changed )|(\[timeout)|(PRM\|1\|D)|(kpr)|(kdp)|(\|lc)|(penalty))" /e /r /s</v>
      </c>
      <c r="AG84" s="1" t="str">
        <f t="shared" si="44"/>
        <v>EC</v>
      </c>
      <c r="AH84" s="92" t="str">
        <f t="shared" si="51"/>
        <v>"%USERPROFILE%\Documents\GitHub\eaglep3\Utilities\RefineRTDCRunTimes.py" --tripid 170-27 --locoid 4021 --swversion DE.1.0.8.0 --startMP 204:232980 --initTime 2016-10-27T13:06:47 --startdatetime 2016-10-27T13:11:34 --delay 1 --endMP 204:136 --enddatetime 2016-10-27T13:50:37 --enforcementcount 0 &gt;&gt;C:\Users\stu\Documents\GitHub\eaglep3-reporting\EC\2016-10-27-refined-times.txt</v>
      </c>
      <c r="AI84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{"issue":{"subject":"","project_id":79,"tracker_id":40,"status_id":1,"priority_id":2,"assigned_to_id":23,"start_date":"2016-10-27","description":"","custom_fields":[{"id":1,"name":"Subdivision","value":"EC"},{"id":4,"name":"Milepost","value":"0.0136"},{"id":17,"name":"Train ID","value":"170-27"},{"id":16,"name":"Locomotive ID","value":"4021"},{"id":130,"name":"Impact","value":""},{"id":150,"name":"Time of Event (Mountain Time)","value":"13:50:37"},{"id":151,"name":"Denver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513</v>
      </c>
      <c r="B85" s="7">
        <v>4002</v>
      </c>
      <c r="C85" s="22" t="s">
        <v>326</v>
      </c>
      <c r="D85" s="22" t="s">
        <v>230</v>
      </c>
      <c r="E85" s="13">
        <v>42670.517199074071</v>
      </c>
      <c r="F85" s="13">
        <v>42670.52144675926</v>
      </c>
      <c r="G85" s="7">
        <v>1</v>
      </c>
      <c r="H85" s="13" t="s">
        <v>253</v>
      </c>
      <c r="I85" s="13">
        <v>42670.545648148145</v>
      </c>
      <c r="J85" s="7">
        <v>0</v>
      </c>
      <c r="K85" s="112" t="str">
        <f t="shared" si="33"/>
        <v>4001/4002</v>
      </c>
      <c r="L85" s="22" t="str">
        <f>VLOOKUP(A85,'Trips&amp;Operators'!$C$1:$E$10000,3,FALSE)</f>
        <v>ROMERO</v>
      </c>
      <c r="M85" s="6">
        <f t="shared" si="34"/>
        <v>2.4201388885558117E-2</v>
      </c>
      <c r="N85" s="7">
        <f t="shared" si="46"/>
        <v>34.849999995203689</v>
      </c>
      <c r="O85" s="7"/>
      <c r="P85" s="7"/>
      <c r="Q85" s="23"/>
      <c r="R85" s="23"/>
      <c r="S85" s="35">
        <f t="shared" si="36"/>
        <v>1</v>
      </c>
      <c r="T85" s="50" t="str">
        <f t="shared" si="37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11:24:46-0600',mode:absolute,to:'2016-10-27 14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5" s="52" t="str">
        <f t="shared" si="39"/>
        <v>N</v>
      </c>
      <c r="X85" s="177">
        <f t="shared" si="48"/>
        <v>1</v>
      </c>
      <c r="Y85" s="67">
        <f t="shared" si="40"/>
        <v>4.5100000000000001E-2</v>
      </c>
      <c r="Z85" s="67">
        <f t="shared" si="41"/>
        <v>23.330400000000001</v>
      </c>
      <c r="AA85" s="67">
        <f t="shared" si="42"/>
        <v>23.285299999999999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3"/>
        <v>0171-27</v>
      </c>
      <c r="AE85" s="91" t="str">
        <f t="shared" si="49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85" s="88" t="str">
        <f t="shared" si="50"/>
        <v>"C:\Program Files (x86)\AstroGrep\AstroGrep.exe" /spath="%USERPROFILE%\AppData\Local\Temp\OnboardLogs" /stypes="app*4002*20161027*" /stext=" 19:.+((SYSTEM_STATE.+slice.+state.+changed )|(ment ac)|(system.+state.+changed )|(\[timeout)|(PRM\|1\|D)|(kpr)|(kdp)|(\|lc)|(penalty))" /e /r /s</v>
      </c>
      <c r="AG85" s="1" t="str">
        <f t="shared" si="44"/>
        <v>EC</v>
      </c>
      <c r="AH85" s="92" t="str">
        <f t="shared" si="51"/>
        <v>"%USERPROFILE%\Documents\GitHub\eaglep3\Utilities\RefineRTDCRunTimes.py" --tripid 171-27 --locoid 4002 --swversion DE.1.0.8.0 --startMP 204:451 --initTime 2016-10-27T12:24:46 --startdatetime 2016-10-27T12:30:53 --delay 1 --endMP 204:233304 --enddatetime 2016-10-27T13:05:44 --enforcementcount 0 &gt;&gt;C:\Users\stu\Documents\GitHub\eaglep3-reporting\EC\2016-10-27-refined-times.txt</v>
      </c>
      <c r="AI85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{"issue":{"subject":"","project_id":79,"tracker_id":40,"status_id":1,"priority_id":2,"assigned_to_id":23,"start_date":"2016-10-27","description":"","custom_fields":[{"id":1,"name":"Subdivision","value":"EC"},{"id":4,"name":"Milepost","value":"23.3304"},{"id":17,"name":"Train ID","value":"171-27"},{"id":16,"name":"Locomotive ID","value":"4002"},{"id":130,"name":"Impact","value":""},{"id":150,"name":"Time of Event (Mountain Time)","value":"13:05:44"},{"id":151,"name":"Denver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524</v>
      </c>
      <c r="B86" s="7">
        <v>4001</v>
      </c>
      <c r="C86" s="22" t="s">
        <v>326</v>
      </c>
      <c r="D86" s="22" t="s">
        <v>344</v>
      </c>
      <c r="E86" s="13">
        <v>42670.557430555556</v>
      </c>
      <c r="F86" s="13">
        <v>42670.560208333336</v>
      </c>
      <c r="G86" s="7">
        <v>1</v>
      </c>
      <c r="H86" s="13" t="s">
        <v>644</v>
      </c>
      <c r="I86" s="13">
        <v>42670.585682870369</v>
      </c>
      <c r="J86" s="7">
        <v>0</v>
      </c>
      <c r="K86" s="112" t="str">
        <f t="shared" si="33"/>
        <v>4001/4002</v>
      </c>
      <c r="L86" s="22" t="str">
        <f>VLOOKUP(A86,'Trips&amp;Operators'!$C$1:$E$10000,3,FALSE)</f>
        <v>ROMERO</v>
      </c>
      <c r="M86" s="6">
        <f t="shared" si="34"/>
        <v>2.5474537033005618E-2</v>
      </c>
      <c r="N86" s="7">
        <f t="shared" si="46"/>
        <v>36.683333327528089</v>
      </c>
      <c r="O86" s="7"/>
      <c r="P86" s="7"/>
      <c r="Q86" s="23"/>
      <c r="R86" s="23"/>
      <c r="S86" s="35">
        <f t="shared" si="36"/>
        <v>1</v>
      </c>
      <c r="T86" s="50" t="str">
        <f t="shared" si="37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12:22:42-0600',mode:absolute,to:'2016-10-27 15:03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6" s="52" t="str">
        <f t="shared" si="39"/>
        <v>N</v>
      </c>
      <c r="X86" s="177">
        <f t="shared" si="48"/>
        <v>1</v>
      </c>
      <c r="Y86" s="67">
        <f t="shared" si="40"/>
        <v>23.298300000000001</v>
      </c>
      <c r="Z86" s="67">
        <f t="shared" si="41"/>
        <v>1.34E-2</v>
      </c>
      <c r="AA86" s="67">
        <f t="shared" si="42"/>
        <v>23.2849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3"/>
        <v>0172-27</v>
      </c>
      <c r="AE86" s="91" t="str">
        <f t="shared" si="49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86" s="88" t="str">
        <f t="shared" si="50"/>
        <v>"C:\Program Files (x86)\AstroGrep\AstroGrep.exe" /spath="%USERPROFILE%\AppData\Local\Temp\OnboardLogs" /stypes="app*4001*20161027*" /stext=" 20:.+((SYSTEM_STATE.+slice.+state.+changed )|(ment ac)|(system.+state.+changed )|(\[timeout)|(PRM\|1\|D)|(kpr)|(kdp)|(\|lc)|(penalty))" /e /r /s</v>
      </c>
      <c r="AG86" s="1" t="str">
        <f t="shared" si="44"/>
        <v>EC</v>
      </c>
      <c r="AH86" s="92" t="str">
        <f t="shared" si="51"/>
        <v>"%USERPROFILE%\Documents\GitHub\eaglep3\Utilities\RefineRTDCRunTimes.py" --tripid 172-27 --locoid 4001 --swversion DE.1.0.8.0 --startMP 204:232983 --initTime 2016-10-27T13:22:42 --startdatetime 2016-10-27T13:26:42 --delay 1 --endMP 204:134 --enddatetime 2016-10-27T14:03:23 --enforcementcount 0 &gt;&gt;C:\Users\stu\Documents\GitHub\eaglep3-reporting\EC\2016-10-27-refined-times.txt</v>
      </c>
      <c r="AI86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{"issue":{"subject":"","project_id":79,"tracker_id":40,"status_id":1,"priority_id":2,"assigned_to_id":23,"start_date":"2016-10-27","description":"","custom_fields":[{"id":1,"name":"Subdivision","value":"EC"},{"id":4,"name":"Milepost","value":"0.0134"},{"id":17,"name":"Train ID","value":"172-27"},{"id":16,"name":"Locomotive ID","value":"4001"},{"id":130,"name":"Impact","value":""},{"id":150,"name":"Time of Event (Mountain Time)","value":"14:03:23"},{"id":151,"name":"Denver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517</v>
      </c>
      <c r="B87" s="7">
        <v>4007</v>
      </c>
      <c r="C87" s="22" t="s">
        <v>326</v>
      </c>
      <c r="D87" s="22" t="s">
        <v>351</v>
      </c>
      <c r="E87" s="13">
        <v>42670.525219907409</v>
      </c>
      <c r="F87" s="13">
        <v>42670.5315162037</v>
      </c>
      <c r="G87" s="7">
        <v>6</v>
      </c>
      <c r="H87" s="13" t="s">
        <v>182</v>
      </c>
      <c r="I87" s="13">
        <v>42670.556307870371</v>
      </c>
      <c r="J87" s="7">
        <v>0</v>
      </c>
      <c r="K87" s="112" t="str">
        <f t="shared" si="33"/>
        <v>4007/4008</v>
      </c>
      <c r="L87" s="22" t="str">
        <f>VLOOKUP(A87,'Trips&amp;Operators'!$C$1:$E$10000,3,FALSE)</f>
        <v>BONDS</v>
      </c>
      <c r="M87" s="6">
        <f t="shared" si="34"/>
        <v>2.4791666670353152E-2</v>
      </c>
      <c r="N87" s="7">
        <f t="shared" si="46"/>
        <v>35.700000005308539</v>
      </c>
      <c r="O87" s="7"/>
      <c r="P87" s="7"/>
      <c r="Q87" s="23"/>
      <c r="R87" s="23"/>
      <c r="S87" s="35">
        <f t="shared" si="36"/>
        <v>1</v>
      </c>
      <c r="T87" s="50" t="str">
        <f t="shared" si="37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11:36:19-0600',mode:absolute,to:'2016-10-27 14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7" s="52" t="str">
        <f t="shared" si="39"/>
        <v>N</v>
      </c>
      <c r="X87" s="177">
        <f t="shared" si="48"/>
        <v>1</v>
      </c>
      <c r="Y87" s="67">
        <f t="shared" si="40"/>
        <v>4.58E-2</v>
      </c>
      <c r="Z87" s="67">
        <f t="shared" si="41"/>
        <v>23.331199999999999</v>
      </c>
      <c r="AA87" s="67">
        <f t="shared" si="42"/>
        <v>23.285399999999999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3"/>
        <v>0173-27</v>
      </c>
      <c r="AE87" s="91" t="str">
        <f t="shared" si="49"/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AF87" s="88" t="str">
        <f t="shared" si="50"/>
        <v>"C:\Program Files (x86)\AstroGrep\AstroGrep.exe" /spath="%USERPROFILE%\AppData\Local\Temp\OnboardLogs" /stypes="app*4007*20161027*" /stext=" 19:.+((SYSTEM_STATE.+slice.+state.+changed )|(ment ac)|(system.+state.+changed )|(\[timeout)|(PRM\|1\|D)|(kpr)|(kdp)|(\|lc)|(penalty))" /e /r /s</v>
      </c>
      <c r="AG87" s="1" t="str">
        <f t="shared" si="44"/>
        <v>EC</v>
      </c>
      <c r="AH87" s="92" t="str">
        <f t="shared" si="51"/>
        <v>"%USERPROFILE%\Documents\GitHub\eaglep3\Utilities\RefineRTDCRunTimes.py" --tripid 173-27 --locoid 4007 --swversion DE.1.0.8.0 --startMP 204:458 --initTime 2016-10-27T12:36:19 --startdatetime 2016-10-27T12:45:23 --delay 6 --endMP 204:233312 --enddatetime 2016-10-27T13:21:05 --enforcementcount 0 &gt;&gt;C:\Users\stu\Documents\GitHub\eaglep3-reporting\EC\2016-10-27-refined-times.txt</v>
      </c>
      <c r="AI87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{"issue":{"subject":"","project_id":79,"tracker_id":40,"status_id":1,"priority_id":2,"assigned_to_id":23,"start_date":"2016-10-27","description":"","custom_fields":[{"id":1,"name":"Subdivision","value":"EC"},{"id":4,"name":"Milepost","value":"23.3312"},{"id":17,"name":"Train ID","value":"173-27"},{"id":16,"name":"Locomotive ID","value":"4007"},{"id":130,"name":"Impact","value":""},{"id":150,"name":"Time of Event (Mountain Time)","value":"13:21:05"},{"id":151,"name":"Denver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410</v>
      </c>
      <c r="B88" s="7">
        <v>4008</v>
      </c>
      <c r="C88" s="22" t="s">
        <v>326</v>
      </c>
      <c r="D88" s="22" t="s">
        <v>284</v>
      </c>
      <c r="E88" s="13">
        <v>42670.558611111112</v>
      </c>
      <c r="F88" s="13">
        <v>42670.570740740739</v>
      </c>
      <c r="G88" s="7">
        <v>1</v>
      </c>
      <c r="H88" s="13" t="s">
        <v>175</v>
      </c>
      <c r="I88" s="13">
        <v>42670.597696759258</v>
      </c>
      <c r="J88" s="7">
        <v>0</v>
      </c>
      <c r="K88" s="112" t="str">
        <f t="shared" si="33"/>
        <v>4007/4008</v>
      </c>
      <c r="L88" s="22" t="str">
        <f>VLOOKUP(A88,'Trips&amp;Operators'!$C$1:$E$10000,3,FALSE)</f>
        <v>BONDS</v>
      </c>
      <c r="M88" s="6">
        <f t="shared" si="34"/>
        <v>2.6956018518831115E-2</v>
      </c>
      <c r="N88" s="7">
        <f t="shared" si="46"/>
        <v>38.816666667116806</v>
      </c>
      <c r="O88" s="7"/>
      <c r="P88" s="7"/>
      <c r="Q88" s="23"/>
      <c r="R88" s="23"/>
      <c r="S88" s="35">
        <f t="shared" si="36"/>
        <v>1</v>
      </c>
      <c r="T88" s="50" t="str">
        <f t="shared" si="37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12:24:24-0600',mode:absolute,to:'2016-10-27 15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8" s="52" t="str">
        <f t="shared" si="39"/>
        <v>N</v>
      </c>
      <c r="X88" s="177">
        <f t="shared" si="48"/>
        <v>1</v>
      </c>
      <c r="Y88" s="67">
        <f t="shared" si="40"/>
        <v>23.299199999999999</v>
      </c>
      <c r="Z88" s="67">
        <f t="shared" si="41"/>
        <v>1.47E-2</v>
      </c>
      <c r="AA88" s="67">
        <f t="shared" si="42"/>
        <v>23.284499999999998</v>
      </c>
      <c r="AB88" s="64" t="str">
        <f>VLOOKUP(A88,Enforcements!$C$7:$K$21,8,0)</f>
        <v>Bulletin (2)</v>
      </c>
      <c r="AC88" s="60" t="str">
        <f>VLOOKUP(A88,Enforcements!$C$7:$E$21,3,0)</f>
        <v>GRADE CROSSING</v>
      </c>
      <c r="AD88" s="61" t="str">
        <f t="shared" si="43"/>
        <v>0174-27</v>
      </c>
      <c r="AE88" s="91" t="str">
        <f t="shared" si="49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88" s="88" t="str">
        <f t="shared" si="50"/>
        <v>"C:\Program Files (x86)\AstroGrep\AstroGrep.exe" /spath="%USERPROFILE%\AppData\Local\Temp\OnboardLogs" /stypes="app*4008*20161027*" /stext=" 20:.+((SYSTEM_STATE.+slice.+state.+changed )|(ment ac)|(system.+state.+changed )|(\[timeout)|(PRM\|1\|D)|(kpr)|(kdp)|(\|lc)|(penalty))" /e /r /s</v>
      </c>
      <c r="AG88" s="1" t="str">
        <f t="shared" si="44"/>
        <v>EC</v>
      </c>
      <c r="AH88" s="92" t="str">
        <f t="shared" si="51"/>
        <v>"%USERPROFILE%\Documents\GitHub\eaglep3\Utilities\RefineRTDCRunTimes.py" --tripid 174-27 --locoid 4008 --swversion DE.1.0.8.0 --startMP 204:232992 --initTime 2016-10-27T13:24:24 --startdatetime 2016-10-27T13:41:52 --delay 1 --endMP 204:147 --enddatetime 2016-10-27T14:20:41 --enforcementcount 0 &gt;&gt;C:\Users\stu\Documents\GitHub\eaglep3-reporting\EC\2016-10-27-refined-times.txt</v>
      </c>
      <c r="AI88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{"issue":{"subject":"","project_id":79,"tracker_id":40,"status_id":1,"priority_id":2,"assigned_to_id":23,"start_date":"2016-10-27","description":"","custom_fields":[{"id":1,"name":"Subdivision","value":"EC"},{"id":4,"name":"Milepost","value":"0.0147"},{"id":17,"name":"Train ID","value":"174-27"},{"id":16,"name":"Locomotive ID","value":"4008"},{"id":130,"name":"Impact","value":""},{"id":150,"name":"Time of Event (Mountain Time)","value":"14:20:41"},{"id":151,"name":"Denver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519</v>
      </c>
      <c r="B89" s="7">
        <v>4040</v>
      </c>
      <c r="C89" s="22" t="s">
        <v>326</v>
      </c>
      <c r="D89" s="22" t="s">
        <v>351</v>
      </c>
      <c r="E89" s="13">
        <v>42670.53702546296</v>
      </c>
      <c r="F89" s="13">
        <v>42670.541863425926</v>
      </c>
      <c r="G89" s="7">
        <v>1</v>
      </c>
      <c r="H89" s="13" t="s">
        <v>665</v>
      </c>
      <c r="I89" s="13">
        <v>42670.568136574075</v>
      </c>
      <c r="J89" s="7">
        <v>0</v>
      </c>
      <c r="K89" s="112" t="str">
        <f t="shared" si="33"/>
        <v>4039/4040</v>
      </c>
      <c r="L89" s="22" t="str">
        <f>VLOOKUP(A89,'Trips&amp;Operators'!$C$1:$E$10000,3,FALSE)</f>
        <v>SHOOK</v>
      </c>
      <c r="M89" s="6">
        <f t="shared" si="34"/>
        <v>2.6273148148902692E-2</v>
      </c>
      <c r="N89" s="7">
        <f t="shared" si="46"/>
        <v>37.833333334419876</v>
      </c>
      <c r="O89" s="7"/>
      <c r="P89" s="7"/>
      <c r="Q89" s="23"/>
      <c r="R89" s="23"/>
      <c r="S89" s="35">
        <f t="shared" si="36"/>
        <v>1</v>
      </c>
      <c r="T89" s="50" t="str">
        <f t="shared" si="37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11:53:19-0600',mode:absolute,to:'2016-10-27 14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9" s="52" t="str">
        <f t="shared" si="39"/>
        <v>N</v>
      </c>
      <c r="X89" s="177">
        <f t="shared" si="48"/>
        <v>1</v>
      </c>
      <c r="Y89" s="67">
        <f t="shared" si="40"/>
        <v>4.58E-2</v>
      </c>
      <c r="Z89" s="67">
        <f t="shared" si="41"/>
        <v>23.335899999999999</v>
      </c>
      <c r="AA89" s="67">
        <f t="shared" si="42"/>
        <v>23.290099999999999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43"/>
        <v>0175-27</v>
      </c>
      <c r="AE89" s="91" t="str">
        <f t="shared" si="49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89" s="88" t="str">
        <f t="shared" si="50"/>
        <v>"C:\Program Files (x86)\AstroGrep\AstroGrep.exe" /spath="%USERPROFILE%\AppData\Local\Temp\OnboardLogs" /stypes="app*4040*20161027*" /stext=" 19:.+((SYSTEM_STATE.+slice.+state.+changed )|(ment ac)|(system.+state.+changed )|(\[timeout)|(PRM\|1\|D)|(kpr)|(kdp)|(\|lc)|(penalty))" /e /r /s</v>
      </c>
      <c r="AG89" s="1" t="str">
        <f t="shared" si="44"/>
        <v>EC</v>
      </c>
      <c r="AH89" s="92" t="str">
        <f t="shared" si="51"/>
        <v>"%USERPROFILE%\Documents\GitHub\eaglep3\Utilities\RefineRTDCRunTimes.py" --tripid 175-27 --locoid 4040 --swversion DE.1.0.8.0 --startMP 204:458 --initTime 2016-10-27T12:53:19 --startdatetime 2016-10-27T13:00:17 --delay 1 --endMP 204:233359 --enddatetime 2016-10-27T13:38:07 --enforcementcount 0 &gt;&gt;C:\Users\stu\Documents\GitHub\eaglep3-reporting\EC\2016-10-27-refined-times.txt</v>
      </c>
      <c r="AI89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{"issue":{"subject":"","project_id":79,"tracker_id":40,"status_id":1,"priority_id":2,"assigned_to_id":23,"start_date":"2016-10-27","description":"","custom_fields":[{"id":1,"name":"Subdivision","value":"EC"},{"id":4,"name":"Milepost","value":"23.3359"},{"id":17,"name":"Train ID","value":"175-27"},{"id":16,"name":"Locomotive ID","value":"4040"},{"id":130,"name":"Impact","value":""},{"id":150,"name":"Time of Event (Mountain Time)","value":"13:38:07"},{"id":151,"name":"Denver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526</v>
      </c>
      <c r="B90" s="7">
        <v>4039</v>
      </c>
      <c r="C90" s="22" t="s">
        <v>326</v>
      </c>
      <c r="D90" s="22" t="s">
        <v>666</v>
      </c>
      <c r="E90" s="13">
        <v>42670.57539351852</v>
      </c>
      <c r="F90" s="13">
        <v>42670.580775462964</v>
      </c>
      <c r="G90" s="7">
        <v>1</v>
      </c>
      <c r="H90" s="13" t="s">
        <v>283</v>
      </c>
      <c r="I90" s="13">
        <v>42670.606805555559</v>
      </c>
      <c r="J90" s="7">
        <v>0</v>
      </c>
      <c r="K90" s="112" t="str">
        <f t="shared" si="33"/>
        <v>4039/4040</v>
      </c>
      <c r="L90" s="22" t="str">
        <f>VLOOKUP(A90,'Trips&amp;Operators'!$C$1:$E$10000,3,FALSE)</f>
        <v>SHOOK</v>
      </c>
      <c r="M90" s="6">
        <f t="shared" si="34"/>
        <v>2.6030092594737653E-2</v>
      </c>
      <c r="N90" s="7">
        <f t="shared" si="46"/>
        <v>37.48333333642222</v>
      </c>
      <c r="O90" s="7"/>
      <c r="P90" s="7"/>
      <c r="Q90" s="23"/>
      <c r="R90" s="23"/>
      <c r="S90" s="35">
        <f t="shared" si="36"/>
        <v>1</v>
      </c>
      <c r="T90" s="50" t="str">
        <f t="shared" si="37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12:48:34-0600',mode:absolute,to:'2016-10-27 15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0" s="52" t="str">
        <f t="shared" si="39"/>
        <v>N</v>
      </c>
      <c r="X90" s="177">
        <f t="shared" si="48"/>
        <v>1</v>
      </c>
      <c r="Y90" s="67">
        <f t="shared" si="40"/>
        <v>23.305700000000002</v>
      </c>
      <c r="Z90" s="67">
        <f t="shared" si="41"/>
        <v>1.67E-2</v>
      </c>
      <c r="AA90" s="67">
        <f t="shared" si="42"/>
        <v>23.289000000000001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3"/>
        <v>0176-27</v>
      </c>
      <c r="AE90" s="91" t="str">
        <f t="shared" si="49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90" s="88" t="str">
        <f t="shared" si="50"/>
        <v>"C:\Program Files (x86)\AstroGrep\AstroGrep.exe" /spath="%USERPROFILE%\AppData\Local\Temp\OnboardLogs" /stypes="app*4039*20161027*" /stext=" 20:.+((SYSTEM_STATE.+slice.+state.+changed )|(ment ac)|(system.+state.+changed )|(\[timeout)|(PRM\|1\|D)|(kpr)|(kdp)|(\|lc)|(penalty))" /e /r /s</v>
      </c>
      <c r="AG90" s="1" t="str">
        <f t="shared" si="44"/>
        <v>EC</v>
      </c>
      <c r="AH90" s="92" t="str">
        <f t="shared" si="51"/>
        <v>"%USERPROFILE%\Documents\GitHub\eaglep3\Utilities\RefineRTDCRunTimes.py" --tripid 176-27 --locoid 4039 --swversion DE.1.0.8.0 --startMP 204:233057 --initTime 2016-10-27T13:48:34 --startdatetime 2016-10-27T13:56:19 --delay 1 --endMP 204:167 --enddatetime 2016-10-27T14:33:48 --enforcementcount 0 &gt;&gt;C:\Users\stu\Documents\GitHub\eaglep3-reporting\EC\2016-10-27-refined-times.txt</v>
      </c>
      <c r="AI90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{"issue":{"subject":"","project_id":79,"tracker_id":40,"status_id":1,"priority_id":2,"assigned_to_id":23,"start_date":"2016-10-27","description":"","custom_fields":[{"id":1,"name":"Subdivision","value":"EC"},{"id":4,"name":"Milepost","value":"0.0167"},{"id":17,"name":"Train ID","value":"176-27"},{"id":16,"name":"Locomotive ID","value":"4039"},{"id":130,"name":"Impact","value":""},{"id":150,"name":"Time of Event (Mountain Time)","value":"14:33:48"},{"id":151,"name":"Denver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522</v>
      </c>
      <c r="B91" s="7">
        <v>4014</v>
      </c>
      <c r="C91" s="22" t="s">
        <v>326</v>
      </c>
      <c r="D91" s="22" t="s">
        <v>229</v>
      </c>
      <c r="E91" s="13">
        <v>42670.549710648149</v>
      </c>
      <c r="F91" s="13">
        <v>42670.552349537036</v>
      </c>
      <c r="G91" s="7">
        <v>1</v>
      </c>
      <c r="H91" s="13" t="s">
        <v>227</v>
      </c>
      <c r="I91" s="13">
        <v>42670.576782407406</v>
      </c>
      <c r="J91" s="7">
        <v>0</v>
      </c>
      <c r="K91" s="112" t="str">
        <f t="shared" si="33"/>
        <v>4013/4014</v>
      </c>
      <c r="L91" s="22" t="str">
        <f>VLOOKUP(A91,'Trips&amp;Operators'!$C$1:$E$10000,3,FALSE)</f>
        <v>MOSES</v>
      </c>
      <c r="M91" s="6">
        <f t="shared" si="34"/>
        <v>2.4432870370219462E-2</v>
      </c>
      <c r="N91" s="7">
        <f t="shared" si="46"/>
        <v>35.183333333116025</v>
      </c>
      <c r="O91" s="7"/>
      <c r="P91" s="7"/>
      <c r="Q91" s="23"/>
      <c r="R91" s="23"/>
      <c r="S91" s="35">
        <f t="shared" si="36"/>
        <v>1</v>
      </c>
      <c r="T91" s="50" t="str">
        <f t="shared" si="37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12:11:35-0600',mode:absolute,to:'2016-10-27 14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1" s="52" t="str">
        <f t="shared" si="39"/>
        <v>N</v>
      </c>
      <c r="X91" s="177">
        <f t="shared" si="48"/>
        <v>1</v>
      </c>
      <c r="Y91" s="67">
        <f t="shared" si="40"/>
        <v>4.6899999999999997E-2</v>
      </c>
      <c r="Z91" s="67">
        <f t="shared" si="41"/>
        <v>23.329899999999999</v>
      </c>
      <c r="AA91" s="67">
        <f t="shared" si="42"/>
        <v>23.282999999999998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3"/>
        <v>0177-27</v>
      </c>
      <c r="AE91" s="91" t="str">
        <f t="shared" si="49"/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91" s="88" t="str">
        <f t="shared" si="50"/>
        <v>"C:\Program Files (x86)\AstroGrep\AstroGrep.exe" /spath="%USERPROFILE%\AppData\Local\Temp\OnboardLogs" /stypes="app*4014*20161027*" /stext=" 19:.+((SYSTEM_STATE.+slice.+state.+changed )|(ment ac)|(system.+state.+changed )|(\[timeout)|(PRM\|1\|D)|(kpr)|(kdp)|(\|lc)|(penalty))" /e /r /s</v>
      </c>
      <c r="AG91" s="1" t="str">
        <f t="shared" si="44"/>
        <v>EC</v>
      </c>
      <c r="AH91" s="92" t="str">
        <f t="shared" si="51"/>
        <v>"%USERPROFILE%\Documents\GitHub\eaglep3\Utilities\RefineRTDCRunTimes.py" --tripid 177-27 --locoid 4014 --swversion DE.1.0.8.0 --startMP 204:469 --initTime 2016-10-27T13:11:35 --startdatetime 2016-10-27T13:15:23 --delay 1 --endMP 204:233299 --enddatetime 2016-10-27T13:50:34 --enforcementcount 0 &gt;&gt;C:\Users\stu\Documents\GitHub\eaglep3-reporting\EC\2016-10-27-refined-times.txt</v>
      </c>
      <c r="AI91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{"issue":{"subject":"","project_id":79,"tracker_id":40,"status_id":1,"priority_id":2,"assigned_to_id":23,"start_date":"2016-10-27","description":"","custom_fields":[{"id":1,"name":"Subdivision","value":"EC"},{"id":4,"name":"Milepost","value":"23.3299"},{"id":17,"name":"Train ID","value":"177-27"},{"id":16,"name":"Locomotive ID","value":"4014"},{"id":130,"name":"Impact","value":""},{"id":150,"name":"Time of Event (Mountain Time)","value":"13:50:34"},{"id":151,"name":"Denver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528</v>
      </c>
      <c r="B92" s="7">
        <v>4013</v>
      </c>
      <c r="C92" s="22" t="s">
        <v>326</v>
      </c>
      <c r="D92" s="22" t="s">
        <v>353</v>
      </c>
      <c r="E92" s="13">
        <v>42670.587777777779</v>
      </c>
      <c r="F92" s="13">
        <v>42670.591180555559</v>
      </c>
      <c r="G92" s="7">
        <v>1</v>
      </c>
      <c r="H92" s="13" t="s">
        <v>257</v>
      </c>
      <c r="I92" s="13">
        <v>42670.617546296293</v>
      </c>
      <c r="J92" s="7">
        <v>0</v>
      </c>
      <c r="K92" s="112" t="str">
        <f t="shared" si="33"/>
        <v>4013/4014</v>
      </c>
      <c r="L92" s="22" t="str">
        <f>VLOOKUP(A92,'Trips&amp;Operators'!$C$1:$E$10000,3,FALSE)</f>
        <v>MOSES</v>
      </c>
      <c r="M92" s="6">
        <f t="shared" si="34"/>
        <v>2.6365740734036081E-2</v>
      </c>
      <c r="N92" s="7">
        <f t="shared" si="46"/>
        <v>37.966666657011956</v>
      </c>
      <c r="O92" s="7"/>
      <c r="P92" s="7"/>
      <c r="Q92" s="23"/>
      <c r="R92" s="23"/>
      <c r="S92" s="35">
        <f t="shared" si="36"/>
        <v>1</v>
      </c>
      <c r="T92" s="50" t="str">
        <f t="shared" si="37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13:06:24-0600',mode:absolute,to:'2016-10-27 15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2" s="52" t="str">
        <f t="shared" si="39"/>
        <v>N</v>
      </c>
      <c r="X92" s="177">
        <f t="shared" si="48"/>
        <v>1</v>
      </c>
      <c r="Y92" s="67">
        <f t="shared" si="40"/>
        <v>23.298200000000001</v>
      </c>
      <c r="Z92" s="67">
        <f t="shared" si="41"/>
        <v>1.38E-2</v>
      </c>
      <c r="AA92" s="67">
        <f t="shared" si="42"/>
        <v>23.284400000000002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3"/>
        <v>0178-27</v>
      </c>
      <c r="AE92" s="91" t="str">
        <f t="shared" si="49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92" s="88" t="str">
        <f t="shared" si="50"/>
        <v>"C:\Program Files (x86)\AstroGrep\AstroGrep.exe" /spath="%USERPROFILE%\AppData\Local\Temp\OnboardLogs" /stypes="app*4013*20161027*" /stext=" 20:.+((SYSTEM_STATE.+slice.+state.+changed )|(ment ac)|(system.+state.+changed )|(\[timeout)|(PRM\|1\|D)|(kpr)|(kdp)|(\|lc)|(penalty))" /e /r /s</v>
      </c>
      <c r="AG92" s="1" t="str">
        <f t="shared" si="44"/>
        <v>EC</v>
      </c>
      <c r="AH92" s="92" t="str">
        <f t="shared" si="51"/>
        <v>"%USERPROFILE%\Documents\GitHub\eaglep3\Utilities\RefineRTDCRunTimes.py" --tripid 178-27 --locoid 4013 --swversion DE.1.0.8.0 --startMP 204:232982 --initTime 2016-10-27T14:06:24 --startdatetime 2016-10-27T14:11:18 --delay 1 --endMP 204:138 --enddatetime 2016-10-27T14:49:16 --enforcementcount 0 &gt;&gt;C:\Users\stu\Documents\GitHub\eaglep3-reporting\EC\2016-10-27-refined-times.txt</v>
      </c>
      <c r="AI92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{"issue":{"subject":"","project_id":79,"tracker_id":40,"status_id":1,"priority_id":2,"assigned_to_id":23,"start_date":"2016-10-27","description":"","custom_fields":[{"id":1,"name":"Subdivision","value":"EC"},{"id":4,"name":"Milepost","value":"0.0138"},{"id":17,"name":"Train ID","value":"178-27"},{"id":16,"name":"Locomotive ID","value":"4013"},{"id":130,"name":"Impact","value":""},{"id":150,"name":"Time of Event (Mountain Time)","value":"14:49:16"},{"id":151,"name":"Denver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523</v>
      </c>
      <c r="B93" s="7">
        <v>4038</v>
      </c>
      <c r="C93" s="22" t="s">
        <v>326</v>
      </c>
      <c r="D93" s="22" t="s">
        <v>220</v>
      </c>
      <c r="E93" s="13">
        <v>42670.556898148148</v>
      </c>
      <c r="F93" s="13">
        <v>42670.562719907408</v>
      </c>
      <c r="G93" s="7">
        <v>1</v>
      </c>
      <c r="H93" s="13" t="s">
        <v>267</v>
      </c>
      <c r="I93" s="13">
        <v>42670.588321759256</v>
      </c>
      <c r="J93" s="7">
        <v>0</v>
      </c>
      <c r="K93" s="112" t="str">
        <f t="shared" si="33"/>
        <v>4037/4038</v>
      </c>
      <c r="L93" s="22" t="str">
        <f>VLOOKUP(A93,'Trips&amp;Operators'!$C$1:$E$10000,3,FALSE)</f>
        <v>LOPES</v>
      </c>
      <c r="M93" s="6">
        <f t="shared" si="34"/>
        <v>2.5601851848477963E-2</v>
      </c>
      <c r="N93" s="7">
        <f t="shared" si="46"/>
        <v>36.866666661808267</v>
      </c>
      <c r="O93" s="7"/>
      <c r="P93" s="7"/>
      <c r="Q93" s="23"/>
      <c r="R93" s="23"/>
      <c r="S93" s="35">
        <f t="shared" si="36"/>
        <v>1</v>
      </c>
      <c r="T93" s="50" t="str">
        <f t="shared" si="37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12:21:56-0600',mode:absolute,to:'2016-10-27 15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3" s="52" t="str">
        <f t="shared" si="39"/>
        <v>N</v>
      </c>
      <c r="X93" s="177">
        <f t="shared" si="48"/>
        <v>1</v>
      </c>
      <c r="Y93" s="67">
        <f t="shared" si="40"/>
        <v>4.4699999999999997E-2</v>
      </c>
      <c r="Z93" s="67">
        <f t="shared" si="41"/>
        <v>23.331</v>
      </c>
      <c r="AA93" s="67">
        <f t="shared" si="42"/>
        <v>23.286300000000001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3"/>
        <v>0179-27</v>
      </c>
      <c r="AE93" s="91" t="str">
        <f t="shared" si="49"/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AF93" s="88" t="str">
        <f t="shared" si="50"/>
        <v>"C:\Program Files (x86)\AstroGrep\AstroGrep.exe" /spath="%USERPROFILE%\AppData\Local\Temp\OnboardLogs" /stypes="app*4038*20161027*" /stext=" 20:.+((SYSTEM_STATE.+slice.+state.+changed )|(ment ac)|(system.+state.+changed )|(\[timeout)|(PRM\|1\|D)|(kpr)|(kdp)|(\|lc)|(penalty))" /e /r /s</v>
      </c>
      <c r="AG93" s="1" t="str">
        <f t="shared" si="44"/>
        <v>EC</v>
      </c>
      <c r="AH93" s="92" t="str">
        <f t="shared" si="51"/>
        <v>"%USERPROFILE%\Documents\GitHub\eaglep3\Utilities\RefineRTDCRunTimes.py" --tripid 179-27 --locoid 4038 --swversion DE.1.0.8.0 --startMP 204:447 --initTime 2016-10-27T13:21:56 --startdatetime 2016-10-27T13:30:19 --delay 1 --endMP 204:233310 --enddatetime 2016-10-27T14:07:11 --enforcementcount 0 &gt;&gt;C:\Users\stu\Documents\GitHub\eaglep3-reporting\EC\2016-10-27-refined-times.txt</v>
      </c>
      <c r="AI93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{"issue":{"subject":"","project_id":79,"tracker_id":40,"status_id":1,"priority_id":2,"assigned_to_id":23,"start_date":"2016-10-27","description":"","custom_fields":[{"id":1,"name":"Subdivision","value":"EC"},{"id":4,"name":"Milepost","value":"23.331"},{"id":17,"name":"Train ID","value":"179-27"},{"id":16,"name":"Locomotive ID","value":"4038"},{"id":130,"name":"Impact","value":""},{"id":150,"name":"Time of Event (Mountain Time)","value":"14:07:11"},{"id":151,"name":"Denver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529</v>
      </c>
      <c r="B94" s="7">
        <v>4037</v>
      </c>
      <c r="C94" s="22" t="s">
        <v>326</v>
      </c>
      <c r="D94" s="22" t="s">
        <v>313</v>
      </c>
      <c r="E94" s="13">
        <v>42670.589942129627</v>
      </c>
      <c r="F94" s="13">
        <v>42670.601574074077</v>
      </c>
      <c r="G94" s="7">
        <v>1</v>
      </c>
      <c r="H94" s="13" t="s">
        <v>216</v>
      </c>
      <c r="I94" s="13">
        <v>42670.628460648149</v>
      </c>
      <c r="J94" s="7">
        <v>0</v>
      </c>
      <c r="K94" s="112" t="str">
        <f t="shared" si="33"/>
        <v>4037/4038</v>
      </c>
      <c r="L94" s="22" t="str">
        <f>VLOOKUP(A94,'Trips&amp;Operators'!$C$1:$E$10000,3,FALSE)</f>
        <v>LOPES</v>
      </c>
      <c r="M94" s="6">
        <f t="shared" si="34"/>
        <v>2.6886574072705116E-2</v>
      </c>
      <c r="N94" s="7">
        <f t="shared" si="46"/>
        <v>38.716666664695367</v>
      </c>
      <c r="O94" s="7"/>
      <c r="P94" s="7"/>
      <c r="Q94" s="23"/>
      <c r="R94" s="23"/>
      <c r="S94" s="35">
        <f t="shared" si="36"/>
        <v>1</v>
      </c>
      <c r="T94" s="50" t="str">
        <f t="shared" si="37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13:09:31-0600',mode:absolute,to:'2016-10-27 16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4" s="52" t="str">
        <f t="shared" si="39"/>
        <v>N</v>
      </c>
      <c r="X94" s="177">
        <f t="shared" si="48"/>
        <v>1</v>
      </c>
      <c r="Y94" s="67">
        <f t="shared" si="40"/>
        <v>23.298100000000002</v>
      </c>
      <c r="Z94" s="67">
        <f t="shared" si="41"/>
        <v>1.49E-2</v>
      </c>
      <c r="AA94" s="67">
        <f t="shared" si="42"/>
        <v>23.283200000000001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3"/>
        <v>0180-27</v>
      </c>
      <c r="AE94" s="91" t="str">
        <f t="shared" si="49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94" s="88" t="str">
        <f t="shared" si="50"/>
        <v>"C:\Program Files (x86)\AstroGrep\AstroGrep.exe" /spath="%USERPROFILE%\AppData\Local\Temp\OnboardLogs" /stypes="app*4037*20161027*" /stext=" 21:.+((SYSTEM_STATE.+slice.+state.+changed )|(ment ac)|(system.+state.+changed )|(\[timeout)|(PRM\|1\|D)|(kpr)|(kdp)|(\|lc)|(penalty))" /e /r /s</v>
      </c>
      <c r="AG94" s="1" t="str">
        <f t="shared" si="44"/>
        <v>EC</v>
      </c>
      <c r="AH94" s="92" t="str">
        <f t="shared" si="51"/>
        <v>"%USERPROFILE%\Documents\GitHub\eaglep3\Utilities\RefineRTDCRunTimes.py" --tripid 180-27 --locoid 4037 --swversion DE.1.0.8.0 --startMP 204:232981 --initTime 2016-10-27T14:09:31 --startdatetime 2016-10-27T14:26:16 --delay 1 --endMP 204:149 --enddatetime 2016-10-27T15:04:59 --enforcementcount 0 &gt;&gt;C:\Users\stu\Documents\GitHub\eaglep3-reporting\EC\2016-10-27-refined-times.txt</v>
      </c>
      <c r="AI94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{"issue":{"subject":"","project_id":79,"tracker_id":40,"status_id":1,"priority_id":2,"assigned_to_id":23,"start_date":"2016-10-27","description":"","custom_fields":[{"id":1,"name":"Subdivision","value":"EC"},{"id":4,"name":"Milepost","value":"0.0149"},{"id":17,"name":"Train ID","value":"180-27"},{"id":16,"name":"Locomotive ID","value":"4037"},{"id":130,"name":"Impact","value":""},{"id":150,"name":"Time of Event (Mountain Time)","value":"15:04:59"},{"id":151,"name":"Denver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525</v>
      </c>
      <c r="B95" s="7">
        <v>4018</v>
      </c>
      <c r="C95" s="22" t="s">
        <v>326</v>
      </c>
      <c r="D95" s="22" t="s">
        <v>351</v>
      </c>
      <c r="E95" s="13">
        <v>42670.568506944444</v>
      </c>
      <c r="F95" s="13">
        <v>42670.573622685188</v>
      </c>
      <c r="G95" s="7">
        <v>1</v>
      </c>
      <c r="H95" s="13" t="s">
        <v>278</v>
      </c>
      <c r="I95" s="13">
        <v>42670.59883101852</v>
      </c>
      <c r="J95" s="7">
        <v>0</v>
      </c>
      <c r="K95" s="112" t="str">
        <f t="shared" si="33"/>
        <v>4017/4018</v>
      </c>
      <c r="L95" s="22" t="str">
        <f>VLOOKUP(A95,'Trips&amp;Operators'!$C$1:$E$10000,3,FALSE)</f>
        <v>YOUNG</v>
      </c>
      <c r="M95" s="6">
        <f t="shared" si="34"/>
        <v>2.5208333332557231E-2</v>
      </c>
      <c r="N95" s="7">
        <f t="shared" si="46"/>
        <v>36.299999998882413</v>
      </c>
      <c r="O95" s="7"/>
      <c r="P95" s="7"/>
      <c r="Q95" s="23"/>
      <c r="R95" s="23"/>
      <c r="S95" s="35">
        <f t="shared" si="36"/>
        <v>1</v>
      </c>
      <c r="T95" s="50" t="str">
        <f t="shared" si="37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12:38:39-0600',mode:absolute,to:'2016-10-27 15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5" s="52" t="str">
        <f t="shared" si="39"/>
        <v>N</v>
      </c>
      <c r="X95" s="177">
        <f t="shared" si="48"/>
        <v>1</v>
      </c>
      <c r="Y95" s="67">
        <f t="shared" si="40"/>
        <v>4.58E-2</v>
      </c>
      <c r="Z95" s="67">
        <f t="shared" si="41"/>
        <v>23.3307</v>
      </c>
      <c r="AA95" s="67">
        <f t="shared" si="42"/>
        <v>23.2849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3"/>
        <v>0181-27</v>
      </c>
      <c r="AE95" s="91" t="str">
        <f t="shared" si="49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95" s="88" t="str">
        <f t="shared" si="50"/>
        <v>"C:\Program Files (x86)\AstroGrep\AstroGrep.exe" /spath="%USERPROFILE%\AppData\Local\Temp\OnboardLogs" /stypes="app*4018*20161027*" /stext=" 20:.+((SYSTEM_STATE.+slice.+state.+changed )|(ment ac)|(system.+state.+changed )|(\[timeout)|(PRM\|1\|D)|(kpr)|(kdp)|(\|lc)|(penalty))" /e /r /s</v>
      </c>
      <c r="AG95" s="1" t="str">
        <f t="shared" si="44"/>
        <v>EC</v>
      </c>
      <c r="AH95" s="92" t="str">
        <f t="shared" si="51"/>
        <v>"%USERPROFILE%\Documents\GitHub\eaglep3\Utilities\RefineRTDCRunTimes.py" --tripid 181-27 --locoid 4018 --swversion DE.1.0.8.0 --startMP 204:458 --initTime 2016-10-27T13:38:39 --startdatetime 2016-10-27T13:46:01 --delay 1 --endMP 204:233307 --enddatetime 2016-10-27T14:22:19 --enforcementcount 0 &gt;&gt;C:\Users\stu\Documents\GitHub\eaglep3-reporting\EC\2016-10-27-refined-times.txt</v>
      </c>
      <c r="AI95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{"issue":{"subject":"","project_id":79,"tracker_id":40,"status_id":1,"priority_id":2,"assigned_to_id":23,"start_date":"2016-10-27","description":"","custom_fields":[{"id":1,"name":"Subdivision","value":"EC"},{"id":4,"name":"Milepost","value":"23.3307"},{"id":17,"name":"Train ID","value":"181-27"},{"id":16,"name":"Locomotive ID","value":"4018"},{"id":130,"name":"Impact","value":""},{"id":150,"name":"Time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530</v>
      </c>
      <c r="B96" s="7">
        <v>4017</v>
      </c>
      <c r="C96" s="22" t="s">
        <v>326</v>
      </c>
      <c r="D96" s="22" t="s">
        <v>314</v>
      </c>
      <c r="E96" s="13">
        <v>42670.604780092595</v>
      </c>
      <c r="F96" s="13">
        <v>42670.61209490741</v>
      </c>
      <c r="G96" s="7">
        <v>1</v>
      </c>
      <c r="H96" s="13" t="s">
        <v>642</v>
      </c>
      <c r="I96" s="13">
        <v>42670.640925925924</v>
      </c>
      <c r="J96" s="7">
        <v>0</v>
      </c>
      <c r="K96" s="112" t="str">
        <f t="shared" si="33"/>
        <v>4017/4018</v>
      </c>
      <c r="L96" s="22" t="str">
        <f>VLOOKUP(A96,'Trips&amp;Operators'!$C$1:$E$10000,3,FALSE)</f>
        <v>YOUNG</v>
      </c>
      <c r="M96" s="6">
        <f t="shared" si="34"/>
        <v>2.8831018513301387E-2</v>
      </c>
      <c r="N96" s="7">
        <f t="shared" si="46"/>
        <v>41.516666659153998</v>
      </c>
      <c r="O96" s="7"/>
      <c r="P96" s="7"/>
      <c r="Q96" s="23"/>
      <c r="R96" s="23"/>
      <c r="S96" s="35">
        <f t="shared" si="36"/>
        <v>1</v>
      </c>
      <c r="T96" s="50" t="str">
        <f t="shared" si="37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13:30:53-0600',mode:absolute,to:'2016-10-27 16:22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6" s="52" t="str">
        <f t="shared" si="39"/>
        <v>N</v>
      </c>
      <c r="X96" s="177">
        <f t="shared" si="48"/>
        <v>1</v>
      </c>
      <c r="Y96" s="67">
        <f t="shared" si="40"/>
        <v>23.297799999999999</v>
      </c>
      <c r="Z96" s="67">
        <f t="shared" si="41"/>
        <v>1.8100000000000002E-2</v>
      </c>
      <c r="AA96" s="67">
        <f t="shared" si="42"/>
        <v>23.279699999999998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3"/>
        <v>0182-27</v>
      </c>
      <c r="AE96" s="91" t="str">
        <f t="shared" si="49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96" s="88" t="str">
        <f t="shared" si="50"/>
        <v>"C:\Program Files (x86)\AstroGrep\AstroGrep.exe" /spath="%USERPROFILE%\AppData\Local\Temp\OnboardLogs" /stypes="app*4017*20161027*" /stext=" 21:.+((SYSTEM_STATE.+slice.+state.+changed )|(ment ac)|(system.+state.+changed )|(\[timeout)|(PRM\|1\|D)|(kpr)|(kdp)|(\|lc)|(penalty))" /e /r /s</v>
      </c>
      <c r="AG96" s="1" t="str">
        <f t="shared" si="44"/>
        <v>EC</v>
      </c>
      <c r="AH96" s="92" t="str">
        <f t="shared" si="51"/>
        <v>"%USERPROFILE%\Documents\GitHub\eaglep3\Utilities\RefineRTDCRunTimes.py" --tripid 182-27 --locoid 4017 --swversion DE.1.0.8.0 --startMP 204:232978 --initTime 2016-10-27T14:30:53 --startdatetime 2016-10-27T14:41:25 --delay 1 --endMP 204:181 --enddatetime 2016-10-27T15:22:56 --enforcementcount 0 &gt;&gt;C:\Users\stu\Documents\GitHub\eaglep3-reporting\EC\2016-10-27-refined-times.txt</v>
      </c>
      <c r="AI96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{"issue":{"subject":"","project_id":79,"tracker_id":40,"status_id":1,"priority_id":2,"assigned_to_id":23,"start_date":"2016-10-27","description":"","custom_fields":[{"id":1,"name":"Subdivision","value":"EC"},{"id":4,"name":"Milepost","value":"0.0181"},{"id":17,"name":"Train ID","value":"182-27"},{"id":16,"name":"Locomotive ID","value":"4017"},{"id":130,"name":"Impact","value":""},{"id":150,"name":"Time of Event (Mountain Time)","value":"15:22:56"},{"id":151,"name":"Denver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527</v>
      </c>
      <c r="B97" s="7">
        <v>4022</v>
      </c>
      <c r="C97" s="22" t="s">
        <v>326</v>
      </c>
      <c r="D97" s="22" t="s">
        <v>228</v>
      </c>
      <c r="E97" s="13">
        <v>42670.579039351855</v>
      </c>
      <c r="F97" s="13">
        <v>42670.583703703705</v>
      </c>
      <c r="G97" s="7">
        <v>1</v>
      </c>
      <c r="H97" s="13" t="s">
        <v>268</v>
      </c>
      <c r="I97" s="13">
        <v>42670.608622685184</v>
      </c>
      <c r="J97" s="7">
        <v>0</v>
      </c>
      <c r="K97" s="112" t="str">
        <f t="shared" si="33"/>
        <v>4021/4022</v>
      </c>
      <c r="L97" s="22" t="str">
        <f>VLOOKUP(A97,'Trips&amp;Operators'!$C$1:$E$10000,3,FALSE)</f>
        <v>JACKSON</v>
      </c>
      <c r="M97" s="6">
        <f t="shared" si="34"/>
        <v>2.491898147854954E-2</v>
      </c>
      <c r="N97" s="7">
        <f t="shared" si="46"/>
        <v>35.883333329111338</v>
      </c>
      <c r="O97" s="7"/>
      <c r="P97" s="7"/>
      <c r="Q97" s="23"/>
      <c r="R97" s="23"/>
      <c r="S97" s="35">
        <f t="shared" si="36"/>
        <v>1</v>
      </c>
      <c r="T97" s="50" t="str">
        <f t="shared" si="37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12:53:49-0600',mode:absolute,to:'2016-10-27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7" s="52" t="str">
        <f t="shared" si="39"/>
        <v>N</v>
      </c>
      <c r="X97" s="177">
        <f t="shared" si="48"/>
        <v>1</v>
      </c>
      <c r="Y97" s="67">
        <f t="shared" si="40"/>
        <v>4.5999999999999999E-2</v>
      </c>
      <c r="Z97" s="67">
        <f t="shared" si="41"/>
        <v>23.330200000000001</v>
      </c>
      <c r="AA97" s="67">
        <f t="shared" si="42"/>
        <v>23.284200000000002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3"/>
        <v>0183-27</v>
      </c>
      <c r="AE97" s="91" t="str">
        <f t="shared" si="49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97" s="88" t="str">
        <f t="shared" si="50"/>
        <v>"C:\Program Files (x86)\AstroGrep\AstroGrep.exe" /spath="%USERPROFILE%\AppData\Local\Temp\OnboardLogs" /stypes="app*4022*20161027*" /stext=" 20:.+((SYSTEM_STATE.+slice.+state.+changed )|(ment ac)|(system.+state.+changed )|(\[timeout)|(PRM\|1\|D)|(kpr)|(kdp)|(\|lc)|(penalty))" /e /r /s</v>
      </c>
      <c r="AG97" s="1" t="str">
        <f t="shared" si="44"/>
        <v>EC</v>
      </c>
      <c r="AH97" s="92" t="str">
        <f t="shared" si="51"/>
        <v>"%USERPROFILE%\Documents\GitHub\eaglep3\Utilities\RefineRTDCRunTimes.py" --tripid 183-27 --locoid 4022 --swversion DE.1.0.8.0 --startMP 204:460 --initTime 2016-10-27T13:53:49 --startdatetime 2016-10-27T14:00:32 --delay 1 --endMP 204:233302 --enddatetime 2016-10-27T14:36:25 --enforcementcount 0 &gt;&gt;C:\Users\stu\Documents\GitHub\eaglep3-reporting\EC\2016-10-27-refined-times.txt</v>
      </c>
      <c r="AI97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{"issue":{"subject":"","project_id":79,"tracker_id":40,"status_id":1,"priority_id":2,"assigned_to_id":23,"start_date":"2016-10-27","description":"","custom_fields":[{"id":1,"name":"Subdivision","value":"EC"},{"id":4,"name":"Milepost","value":"23.3302"},{"id":17,"name":"Train ID","value":"183-27"},{"id":16,"name":"Locomotive ID","value":"4022"},{"id":130,"name":"Impact","value":""},{"id":150,"name":"Time of Event (Mountain Time)","value":"14:36:25"},{"id":151,"name":"Denver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533</v>
      </c>
      <c r="B98" s="7">
        <v>4021</v>
      </c>
      <c r="C98" s="22" t="s">
        <v>326</v>
      </c>
      <c r="D98" s="22" t="s">
        <v>266</v>
      </c>
      <c r="E98" s="13">
        <v>42670.618449074071</v>
      </c>
      <c r="F98" s="13">
        <v>42670.622870370367</v>
      </c>
      <c r="G98" s="7">
        <v>1</v>
      </c>
      <c r="H98" s="13" t="s">
        <v>176</v>
      </c>
      <c r="I98" s="13">
        <v>42670.648819444446</v>
      </c>
      <c r="J98" s="7">
        <v>0</v>
      </c>
      <c r="K98" s="112" t="str">
        <f t="shared" si="33"/>
        <v>4021/4022</v>
      </c>
      <c r="L98" s="22" t="str">
        <f>VLOOKUP(A98,'Trips&amp;Operators'!$C$1:$E$10000,3,FALSE)</f>
        <v>JACKSON</v>
      </c>
      <c r="M98" s="6">
        <f t="shared" si="34"/>
        <v>2.5949074079107959E-2</v>
      </c>
      <c r="N98" s="7">
        <f t="shared" si="46"/>
        <v>37.366666673915461</v>
      </c>
      <c r="O98" s="7"/>
      <c r="P98" s="7"/>
      <c r="Q98" s="23"/>
      <c r="R98" s="23"/>
      <c r="S98" s="35">
        <f t="shared" si="36"/>
        <v>1</v>
      </c>
      <c r="T98" s="50" t="str">
        <f t="shared" si="37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13:50:34-0600',mode:absolute,to:'2016-10-27 16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8" s="52" t="str">
        <f t="shared" si="39"/>
        <v>N</v>
      </c>
      <c r="X98" s="177">
        <f t="shared" si="48"/>
        <v>1</v>
      </c>
      <c r="Y98" s="67">
        <f t="shared" si="40"/>
        <v>23.299299999999999</v>
      </c>
      <c r="Z98" s="67">
        <f t="shared" si="41"/>
        <v>1.52E-2</v>
      </c>
      <c r="AA98" s="67">
        <f t="shared" si="42"/>
        <v>23.284099999999999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3"/>
        <v>0184-27</v>
      </c>
      <c r="AE98" s="91" t="str">
        <f t="shared" si="49"/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AF98" s="88" t="str">
        <f t="shared" si="50"/>
        <v>"C:\Program Files (x86)\AstroGrep\AstroGrep.exe" /spath="%USERPROFILE%\AppData\Local\Temp\OnboardLogs" /stypes="app*4021*20161027*" /stext=" 21:.+((SYSTEM_STATE.+slice.+state.+changed )|(ment ac)|(system.+state.+changed )|(\[timeout)|(PRM\|1\|D)|(kpr)|(kdp)|(\|lc)|(penalty))" /e /r /s</v>
      </c>
      <c r="AG98" s="1" t="str">
        <f t="shared" si="44"/>
        <v>EC</v>
      </c>
      <c r="AH98" s="92" t="str">
        <f t="shared" si="51"/>
        <v>"%USERPROFILE%\Documents\GitHub\eaglep3\Utilities\RefineRTDCRunTimes.py" --tripid 184-27 --locoid 4021 --swversion DE.1.0.8.0 --startMP 204:232993 --initTime 2016-10-27T14:50:34 --startdatetime 2016-10-27T14:56:56 --delay 1 --endMP 204:152 --enddatetime 2016-10-27T15:34:18 --enforcementcount 0 &gt;&gt;C:\Users\stu\Documents\GitHub\eaglep3-reporting\EC\2016-10-27-refined-times.txt</v>
      </c>
      <c r="AI98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{"issue":{"subject":"","project_id":79,"tracker_id":40,"status_id":1,"priority_id":2,"assigned_to_id":23,"start_date":"2016-10-27","description":"","custom_fields":[{"id":1,"name":"Subdivision","value":"EC"},{"id":4,"name":"Milepost","value":"0.0152"},{"id":17,"name":"Train ID","value":"184-27"},{"id":16,"name":"Locomotive ID","value":"4021"},{"id":130,"name":"Impact","value":""},{"id":150,"name":"Time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411</v>
      </c>
      <c r="B99" s="7">
        <v>4002</v>
      </c>
      <c r="C99" s="22" t="s">
        <v>326</v>
      </c>
      <c r="D99" s="22" t="s">
        <v>223</v>
      </c>
      <c r="E99" s="13">
        <v>42670.589050925926</v>
      </c>
      <c r="F99" s="13">
        <v>42670.595393518517</v>
      </c>
      <c r="G99" s="7">
        <v>1</v>
      </c>
      <c r="H99" s="13" t="s">
        <v>321</v>
      </c>
      <c r="I99" s="13">
        <v>42670.619479166664</v>
      </c>
      <c r="J99" s="7">
        <v>0</v>
      </c>
      <c r="K99" s="112" t="str">
        <f t="shared" si="33"/>
        <v>4001/4002</v>
      </c>
      <c r="L99" s="22" t="str">
        <f>VLOOKUP(A99,'Trips&amp;Operators'!$C$1:$E$10000,3,FALSE)</f>
        <v>ROMERO</v>
      </c>
      <c r="M99" s="6">
        <f t="shared" si="34"/>
        <v>2.4085648146865424E-2</v>
      </c>
      <c r="N99" s="7">
        <f t="shared" si="46"/>
        <v>34.68333333148621</v>
      </c>
      <c r="O99" s="7"/>
      <c r="P99" s="7"/>
      <c r="Q99" s="23"/>
      <c r="R99" s="23"/>
      <c r="S99" s="35">
        <f t="shared" si="36"/>
        <v>1</v>
      </c>
      <c r="T99" s="50" t="str">
        <f t="shared" si="37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13:08:14-0600',mode:absolute,to:'2016-10-27 15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9" s="52" t="str">
        <f t="shared" si="39"/>
        <v>N</v>
      </c>
      <c r="X99" s="177">
        <f t="shared" si="48"/>
        <v>1</v>
      </c>
      <c r="Y99" s="67">
        <f t="shared" si="40"/>
        <v>4.5499999999999999E-2</v>
      </c>
      <c r="Z99" s="67">
        <f t="shared" si="41"/>
        <v>23.327400000000001</v>
      </c>
      <c r="AA99" s="67">
        <f t="shared" si="42"/>
        <v>23.2819</v>
      </c>
      <c r="AB99" s="64" t="str">
        <f>VLOOKUP(A99,Enforcements!$C$7:$K$21,8,0)</f>
        <v>Bulletin (2)</v>
      </c>
      <c r="AC99" s="60" t="str">
        <f>VLOOKUP(A99,Enforcements!$C$7:$E$21,3,0)</f>
        <v>GRADE CROSSING</v>
      </c>
      <c r="AD99" s="61" t="str">
        <f t="shared" si="43"/>
        <v>0185-27</v>
      </c>
      <c r="AE99" s="91" t="str">
        <f t="shared" si="49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99" s="88" t="str">
        <f t="shared" si="50"/>
        <v>"C:\Program Files (x86)\AstroGrep\AstroGrep.exe" /spath="%USERPROFILE%\AppData\Local\Temp\OnboardLogs" /stypes="app*4002*20161027*" /stext=" 20:.+((SYSTEM_STATE.+slice.+state.+changed )|(ment ac)|(system.+state.+changed )|(\[timeout)|(PRM\|1\|D)|(kpr)|(kdp)|(\|lc)|(penalty))" /e /r /s</v>
      </c>
      <c r="AG99" s="1" t="str">
        <f t="shared" si="44"/>
        <v>EC</v>
      </c>
      <c r="AH99" s="92" t="str">
        <f t="shared" si="51"/>
        <v>"%USERPROFILE%\Documents\GitHub\eaglep3\Utilities\RefineRTDCRunTimes.py" --tripid 185-27 --locoid 4002 --swversion DE.1.0.8.0 --startMP 204:455 --initTime 2016-10-27T14:08:14 --startdatetime 2016-10-27T14:17:22 --delay 1 --endMP 204:233274 --enddatetime 2016-10-27T14:52:03 --enforcementcount 0 &gt;&gt;C:\Users\stu\Documents\GitHub\eaglep3-reporting\EC\2016-10-27-refined-times.txt</v>
      </c>
      <c r="AI99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{"issue":{"subject":"","project_id":79,"tracker_id":40,"status_id":1,"priority_id":2,"assigned_to_id":23,"start_date":"2016-10-27","description":"","custom_fields":[{"id":1,"name":"Subdivision","value":"EC"},{"id":4,"name":"Milepost","value":"23.3274"},{"id":17,"name":"Train ID","value":"185-27"},{"id":16,"name":"Locomotive ID","value":"4002"},{"id":130,"name":"Impact","value":""},{"id":150,"name":"Time of Event (Mountain Time)","value":"14:52:03"},{"id":151,"name":"Denver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536</v>
      </c>
      <c r="B100" s="7">
        <v>4001</v>
      </c>
      <c r="C100" s="22" t="s">
        <v>326</v>
      </c>
      <c r="D100" s="22" t="s">
        <v>319</v>
      </c>
      <c r="E100" s="13">
        <v>42670.630868055552</v>
      </c>
      <c r="F100" s="13">
        <v>42670.633171296293</v>
      </c>
      <c r="G100" s="7">
        <v>3</v>
      </c>
      <c r="H100" s="13" t="s">
        <v>218</v>
      </c>
      <c r="I100" s="13">
        <v>42670.658599537041</v>
      </c>
      <c r="J100" s="7">
        <v>0</v>
      </c>
      <c r="K100" s="112" t="str">
        <f t="shared" si="33"/>
        <v>4001/4002</v>
      </c>
      <c r="L100" s="22" t="str">
        <f>VLOOKUP(A100,'Trips&amp;Operators'!$C$1:$E$10000,3,FALSE)</f>
        <v>ROMERO</v>
      </c>
      <c r="M100" s="6">
        <f t="shared" si="34"/>
        <v>2.5428240747714881E-2</v>
      </c>
      <c r="N100" s="7">
        <f t="shared" si="46"/>
        <v>36.616666676709428</v>
      </c>
      <c r="O100" s="7"/>
      <c r="P100" s="7"/>
      <c r="Q100" s="23"/>
      <c r="R100" s="23"/>
      <c r="S100" s="35">
        <f t="shared" si="36"/>
        <v>1</v>
      </c>
      <c r="T100" s="50" t="str">
        <f t="shared" si="37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https://search-rtdc-monitor-bjffxe2xuh6vdkpspy63sjmuny.us-east-1.es.amazonaws.com/_plugin/kibana/#/discover/Steve-Slow-Train-Analysis-(2080s-and-2083s)?_g=(refreshInterval:(display:Off,section:0,value:0),time:(from:'2016-10-27 14:08:27-0600',mode:absolute,to:'2016-10-27 16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0" s="52" t="str">
        <f t="shared" si="39"/>
        <v>N</v>
      </c>
      <c r="X100" s="177">
        <f t="shared" si="48"/>
        <v>1</v>
      </c>
      <c r="Y100" s="67">
        <f t="shared" si="40"/>
        <v>23.296299999999999</v>
      </c>
      <c r="Z100" s="67">
        <f t="shared" si="41"/>
        <v>1.43E-2</v>
      </c>
      <c r="AA100" s="67">
        <f t="shared" si="42"/>
        <v>23.282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3"/>
        <v>0186-27</v>
      </c>
      <c r="AE100" s="91" t="str">
        <f t="shared" si="49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100" s="88" t="str">
        <f t="shared" si="50"/>
        <v>"C:\Program Files (x86)\AstroGrep\AstroGrep.exe" /spath="%USERPROFILE%\AppData\Local\Temp\OnboardLogs" /stypes="app*4001*20161027*" /stext=" 21:.+((SYSTEM_STATE.+slice.+state.+changed )|(ment ac)|(system.+state.+changed )|(\[timeout)|(PRM\|1\|D)|(kpr)|(kdp)|(\|lc)|(penalty))" /e /r /s</v>
      </c>
      <c r="AG100" s="1" t="str">
        <f t="shared" si="44"/>
        <v>EC</v>
      </c>
      <c r="AH100" s="92" t="str">
        <f t="shared" si="51"/>
        <v>"%USERPROFILE%\Documents\GitHub\eaglep3\Utilities\RefineRTDCRunTimes.py" --tripid 186-27 --locoid 4001 --swversion DE.1.0.8.0 --startMP 204:232963 --initTime 2016-10-27T15:08:27 --startdatetime 2016-10-27T15:11:46 --delay 3 --endMP 204:143 --enddatetime 2016-10-27T15:48:23 --enforcementcount 0 &gt;&gt;C:\Users\stu\Documents\GitHub\eaglep3-reporting\EC\2016-10-27-refined-times.txt</v>
      </c>
      <c r="AI100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{"issue":{"subject":"","project_id":79,"tracker_id":40,"status_id":1,"priority_id":2,"assigned_to_id":23,"start_date":"2016-10-27","description":"","custom_fields":[{"id":1,"name":"Subdivision","value":"EC"},{"id":4,"name":"Milepost","value":"0.0143"},{"id":17,"name":"Train ID","value":"186-27"},{"id":16,"name":"Locomotive ID","value":"4001"},{"id":130,"name":"Impact","value":""},{"id":150,"name":"Time of Event (Mountain Time)","value":"15:48:23"},{"id":151,"name":"Denver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7" t="s">
        <v>799</v>
      </c>
      <c r="B101" s="7">
        <v>4007</v>
      </c>
      <c r="C101" s="22" t="s">
        <v>326</v>
      </c>
      <c r="D101" s="22" t="s">
        <v>319</v>
      </c>
      <c r="E101" s="13">
        <v>42670.630868055552</v>
      </c>
      <c r="F101" s="13">
        <v>42670.580555555556</v>
      </c>
      <c r="G101" s="7">
        <v>3</v>
      </c>
      <c r="H101" s="13" t="s">
        <v>218</v>
      </c>
      <c r="I101" s="13">
        <v>42670.633333333331</v>
      </c>
      <c r="J101" s="7">
        <v>0</v>
      </c>
      <c r="K101" s="112" t="str">
        <f t="shared" ref="K101:K164" si="53">IF(ISEVEN(B101),(B101-1)&amp;"/"&amp;B101,B101&amp;"/"&amp;(B101+1))</f>
        <v>4007/4008</v>
      </c>
      <c r="L101" s="22" t="e">
        <f>VLOOKUP(A101,'Trips&amp;Operators'!$C$1:$E$10000,3,FALSE)</f>
        <v>#N/A</v>
      </c>
      <c r="M101" s="6">
        <f t="shared" ref="M101:M164" si="54">I101-F101</f>
        <v>5.2777777775190771E-2</v>
      </c>
      <c r="N101" s="7"/>
      <c r="O101" s="7"/>
      <c r="P101" s="7">
        <v>1</v>
      </c>
      <c r="Q101" s="23"/>
      <c r="R101" s="23" t="s">
        <v>806</v>
      </c>
      <c r="S101" s="35">
        <f t="shared" ref="S101:S164" si="55">SUM(U101:U101)/IF(AG101="EC",12,1)</f>
        <v>0</v>
      </c>
      <c r="T101" s="50" t="str">
        <f t="shared" ref="T101:T164" si="56">IF(ISEVEN(LEFT(AD101,4)),"Southbound","NorthBound")</f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98" t="str">
        <f t="shared" ref="V101:V164" si="57"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https://search-rtdc-monitor-bjffxe2xuh6vdkpspy63sjmuny.us-east-1.es.amazonaws.com/_plugin/kibana/#/discover/Steve-Slow-Train-Analysis-(2080s-and-2083s)?_g=(refreshInterval:(display:Off,section:0,value:0),time:(from:'2016-10-27 14:08:27-0600',mode:absolute,to:'2016-10-27 16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52" t="str">
        <f t="shared" ref="W101:W164" si="58">IF(AA101&lt;IF(AG101="EC",23,5.65),"Y","N")</f>
        <v>Y</v>
      </c>
      <c r="X101" s="177">
        <f t="shared" si="48"/>
        <v>1</v>
      </c>
      <c r="Y101" s="67">
        <v>0</v>
      </c>
      <c r="Z101" s="67">
        <f t="shared" ref="Z101:Z164" si="59">RIGHT(H101,LEN(H101)-4)/10000</f>
        <v>1.43E-2</v>
      </c>
      <c r="AA101" s="67">
        <f t="shared" ref="AA101:AA164" si="60">ABS(Z101-Y101)</f>
        <v>1.43E-2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ref="AD101:AD164" si="61">IF(LEN(A101)=6,"0"&amp;A101,A101)</f>
        <v>0187-27</v>
      </c>
      <c r="AE101" s="91" t="str">
        <f t="shared" si="49"/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AF101" s="88" t="str">
        <f t="shared" si="50"/>
        <v>"C:\Program Files (x86)\AstroGrep\AstroGrep.exe" /spath="%USERPROFILE%\AppData\Local\Temp\OnboardLogs" /stypes="app*4007*20161027*" /stext=" 21:.+((SYSTEM_STATE.+slice.+state.+changed )|(ment ac)|(system.+state.+changed )|(\[timeout)|(PRM\|1\|D)|(kpr)|(kdp)|(\|lc)|(penalty))" /e /r /s</v>
      </c>
      <c r="AG101" s="1" t="str">
        <f t="shared" ref="AG101:AG164" si="62">IFERROR(IF(VALUE(LEFT(AD101,2))&lt;=2,"EC",IF(OR(VALUE(LEFT(AD101,2))=8,VALUE(LEFT(AD101,2))=18),"NW","Other")),"Other")</f>
        <v>EC</v>
      </c>
      <c r="AH101" s="92" t="str">
        <f t="shared" ref="AH101" si="63"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187-27 --locoid 4007 --swversion DE.1.0.8.0 --startMP 204:232963 --initTime 2016-10-27T15:08:27 --startdatetime 2016-10-27T13:56:00 --delay 3 --endMP 204:143 --enddatetime 2016-10-27T15:12:00 --enforcementcount 0 &gt;&gt;C:\Users\stu\Documents\GitHub\eaglep3-reporting\EC\2016-10-27-refined-times.txt</v>
      </c>
      <c r="AI101" s="122" t="str">
        <f t="shared" ref="AI101" si="64"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-X POST -H ""Content-Type: application/json"" -H ""X-Redmine-API-Key: "&amp;redm_api_key&amp;""" "&amp;redm_url&amp;" --data @-"</f>
        <v>echo {"issue":{"subject":"Extended Onboard Wi-MAX outage from 13:56 - 15:12","project_id":79,"tracker_id":40,"status_id":1,"priority_id":2,"assigned_to_id":23,"start_date":"2016-10-27","description":"See title","custom_fields":[{"id":1,"name":"Subdivision","value":"EC"},{"id":4,"name":"Milepost","value":"0.0143"},{"id":17,"name":"Train ID","value":"187-27"},{"id":16,"name":"Locomotive ID","value":"4007"},{"id":130,"name":"Impact","value":"Initialization Problem"},{"id":150,"name":"Time of Event (Mountain Time)","value":"15:12:00"},{"id":151,"name":"Denver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01" s="53" t="s">
        <v>801</v>
      </c>
      <c r="AK101" s="53" t="s">
        <v>133</v>
      </c>
      <c r="AL101" s="53" t="s">
        <v>138</v>
      </c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</row>
    <row r="102" spans="1:91" s="1" customFormat="1" x14ac:dyDescent="0.25">
      <c r="A102" s="37" t="s">
        <v>538</v>
      </c>
      <c r="B102" s="7">
        <v>4008</v>
      </c>
      <c r="C102" s="22" t="s">
        <v>326</v>
      </c>
      <c r="D102" s="22" t="s">
        <v>246</v>
      </c>
      <c r="E102" s="13">
        <v>42670.641932870371</v>
      </c>
      <c r="F102" s="13">
        <v>42670.644537037035</v>
      </c>
      <c r="G102" s="7">
        <v>3</v>
      </c>
      <c r="H102" s="13" t="s">
        <v>257</v>
      </c>
      <c r="I102" s="13">
        <v>42670.669745370367</v>
      </c>
      <c r="J102" s="7">
        <v>0</v>
      </c>
      <c r="K102" s="112" t="str">
        <f t="shared" si="53"/>
        <v>4007/4008</v>
      </c>
      <c r="L102" s="22" t="str">
        <f>VLOOKUP(A102,'Trips&amp;Operators'!$C$1:$E$10000,3,FALSE)</f>
        <v>BONDS</v>
      </c>
      <c r="M102" s="6">
        <f t="shared" si="54"/>
        <v>2.5208333332557231E-2</v>
      </c>
      <c r="N102" s="7">
        <f t="shared" ref="N102:N133" si="65">24*60*SUM($M102:$M102)</f>
        <v>36.299999998882413</v>
      </c>
      <c r="O102" s="7"/>
      <c r="P102" s="7"/>
      <c r="Q102" s="23"/>
      <c r="R102" s="23"/>
      <c r="S102" s="35">
        <f t="shared" si="55"/>
        <v>1</v>
      </c>
      <c r="T102" s="50" t="str">
        <f t="shared" si="56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14:24:23-0600',mode:absolute,to:'2016-10-27 17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52" t="str">
        <f t="shared" si="58"/>
        <v>N</v>
      </c>
      <c r="X102" s="177">
        <f t="shared" si="48"/>
        <v>1</v>
      </c>
      <c r="Y102" s="67">
        <f t="shared" ref="Y101:Y164" si="66">RIGHT(D102,LEN(D102)-4)/10000</f>
        <v>23.299399999999999</v>
      </c>
      <c r="Z102" s="67">
        <f t="shared" si="59"/>
        <v>1.38E-2</v>
      </c>
      <c r="AA102" s="67">
        <f t="shared" si="60"/>
        <v>23.285599999999999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61"/>
        <v>0188-27</v>
      </c>
      <c r="AE102" s="91" t="str">
        <f t="shared" si="49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102" s="88" t="str">
        <f t="shared" si="50"/>
        <v>"C:\Program Files (x86)\AstroGrep\AstroGrep.exe" /spath="%USERPROFILE%\AppData\Local\Temp\OnboardLogs" /stypes="app*4008*20161027*" /stext=" 22:.+((SYSTEM_STATE.+slice.+state.+changed )|(ment ac)|(system.+state.+changed )|(\[timeout)|(PRM\|1\|D)|(kpr)|(kdp)|(\|lc)|(penalty))" /e /r /s</v>
      </c>
      <c r="AG102" s="1" t="str">
        <f t="shared" si="62"/>
        <v>EC</v>
      </c>
      <c r="AH102" s="92" t="str">
        <f t="shared" si="51"/>
        <v>"%USERPROFILE%\Documents\GitHub\eaglep3\Utilities\RefineRTDCRunTimes.py" --tripid 188-27 --locoid 4008 --swversion DE.1.0.8.0 --startMP 204:232994 --initTime 2016-10-27T15:24:23 --startdatetime 2016-10-27T15:28:08 --delay 3 --endMP 204:138 --enddatetime 2016-10-27T16:04:26 --enforcementcount 0 &gt;&gt;C:\Users\stu\Documents\GitHub\eaglep3-reporting\EC\2016-10-27-refined-times.txt</v>
      </c>
      <c r="AI102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{"issue":{"subject":"","project_id":79,"tracker_id":40,"status_id":1,"priority_id":2,"assigned_to_id":23,"start_date":"2016-10-27","description":"","custom_fields":[{"id":1,"name":"Subdivision","value":"EC"},{"id":4,"name":"Milepost","value":"0.0138"},{"id":17,"name":"Train ID","value":"188-27"},{"id":16,"name":"Locomotive ID","value":"4008"},{"id":130,"name":"Impact","value":""},{"id":150,"name":"Time of Event (Mountain Time)","value":"16:04:26"},{"id":151,"name":"Denver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531</v>
      </c>
      <c r="B103" s="7">
        <v>4040</v>
      </c>
      <c r="C103" s="22" t="s">
        <v>326</v>
      </c>
      <c r="D103" s="22" t="s">
        <v>281</v>
      </c>
      <c r="E103" s="13">
        <v>42670.608784722222</v>
      </c>
      <c r="F103" s="13">
        <v>42670.614733796298</v>
      </c>
      <c r="G103" s="7">
        <v>1</v>
      </c>
      <c r="H103" s="13" t="s">
        <v>667</v>
      </c>
      <c r="I103" s="13">
        <v>42670.639907407407</v>
      </c>
      <c r="J103" s="7">
        <v>0</v>
      </c>
      <c r="K103" s="112" t="str">
        <f t="shared" si="53"/>
        <v>4039/4040</v>
      </c>
      <c r="L103" s="22" t="str">
        <f>VLOOKUP(A103,'Trips&amp;Operators'!$C$1:$E$10000,3,FALSE)</f>
        <v>SHOOK</v>
      </c>
      <c r="M103" s="6">
        <f t="shared" si="54"/>
        <v>2.5173611109494232E-2</v>
      </c>
      <c r="N103" s="7">
        <f t="shared" si="65"/>
        <v>36.249999997671694</v>
      </c>
      <c r="O103" s="7"/>
      <c r="P103" s="7"/>
      <c r="Q103" s="23"/>
      <c r="R103" s="23"/>
      <c r="S103" s="35">
        <f t="shared" si="55"/>
        <v>1</v>
      </c>
      <c r="T103" s="50" t="str">
        <f t="shared" si="56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13:36:39-0600',mode:absolute,to:'2016-10-27 16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3" s="52" t="str">
        <f t="shared" si="58"/>
        <v>N</v>
      </c>
      <c r="X103" s="177">
        <f t="shared" si="48"/>
        <v>1</v>
      </c>
      <c r="Y103" s="67">
        <f t="shared" si="66"/>
        <v>4.5699999999999998E-2</v>
      </c>
      <c r="Z103" s="67">
        <f t="shared" si="59"/>
        <v>23.3353</v>
      </c>
      <c r="AA103" s="67">
        <f t="shared" si="60"/>
        <v>23.2896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61"/>
        <v>0189-27</v>
      </c>
      <c r="AE103" s="91" t="str">
        <f t="shared" si="49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103" s="88" t="str">
        <f t="shared" si="50"/>
        <v>"C:\Program Files (x86)\AstroGrep\AstroGrep.exe" /spath="%USERPROFILE%\AppData\Local\Temp\OnboardLogs" /stypes="app*4040*20161027*" /stext=" 21:.+((SYSTEM_STATE.+slice.+state.+changed )|(ment ac)|(system.+state.+changed )|(\[timeout)|(PRM\|1\|D)|(kpr)|(kdp)|(\|lc)|(penalty))" /e /r /s</v>
      </c>
      <c r="AG103" s="1" t="str">
        <f t="shared" si="62"/>
        <v>EC</v>
      </c>
      <c r="AH103" s="92" t="str">
        <f t="shared" si="51"/>
        <v>"%USERPROFILE%\Documents\GitHub\eaglep3\Utilities\RefineRTDCRunTimes.py" --tripid 189-27 --locoid 4040 --swversion DE.1.0.8.0 --startMP 204:457 --initTime 2016-10-27T14:36:39 --startdatetime 2016-10-27T14:45:13 --delay 1 --endMP 204:233353 --enddatetime 2016-10-27T15:21:28 --enforcementcount 0 &gt;&gt;C:\Users\stu\Documents\GitHub\eaglep3-reporting\EC\2016-10-27-refined-times.txt</v>
      </c>
      <c r="AI103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{"issue":{"subject":"","project_id":79,"tracker_id":40,"status_id":1,"priority_id":2,"assigned_to_id":23,"start_date":"2016-10-27","description":"","custom_fields":[{"id":1,"name":"Subdivision","value":"EC"},{"id":4,"name":"Milepost","value":"23.3353"},{"id":17,"name":"Train ID","value":"189-27"},{"id":16,"name":"Locomotive ID","value":"4040"},{"id":130,"name":"Impact","value":""},{"id":150,"name":"Time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540</v>
      </c>
      <c r="B104" s="7">
        <v>4039</v>
      </c>
      <c r="C104" s="22" t="s">
        <v>326</v>
      </c>
      <c r="D104" s="22" t="s">
        <v>668</v>
      </c>
      <c r="E104" s="13">
        <v>42670.647453703707</v>
      </c>
      <c r="F104" s="13">
        <v>42670.653668981482</v>
      </c>
      <c r="G104" s="7">
        <v>1</v>
      </c>
      <c r="H104" s="13" t="s">
        <v>175</v>
      </c>
      <c r="I104" s="13">
        <v>42670.682210648149</v>
      </c>
      <c r="J104" s="7">
        <v>0</v>
      </c>
      <c r="K104" s="112" t="str">
        <f t="shared" si="53"/>
        <v>4039/4040</v>
      </c>
      <c r="L104" s="22" t="str">
        <f>VLOOKUP(A104,'Trips&amp;Operators'!$C$1:$E$10000,3,FALSE)</f>
        <v>SHOOK</v>
      </c>
      <c r="M104" s="6">
        <f t="shared" si="54"/>
        <v>2.8541666666569654E-2</v>
      </c>
      <c r="N104" s="7">
        <f t="shared" si="65"/>
        <v>41.099999999860302</v>
      </c>
      <c r="O104" s="7"/>
      <c r="P104" s="7"/>
      <c r="Q104" s="23"/>
      <c r="R104" s="23"/>
      <c r="S104" s="35">
        <f t="shared" si="55"/>
        <v>1</v>
      </c>
      <c r="T104" s="50" t="str">
        <f t="shared" si="56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14:32:20-0600',mode:absolute,to:'2016-10-27 17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4" s="52" t="str">
        <f t="shared" si="58"/>
        <v>N</v>
      </c>
      <c r="X104" s="177">
        <f t="shared" si="48"/>
        <v>1</v>
      </c>
      <c r="Y104" s="67">
        <f t="shared" si="66"/>
        <v>23.303999999999998</v>
      </c>
      <c r="Z104" s="67">
        <f t="shared" si="59"/>
        <v>1.47E-2</v>
      </c>
      <c r="AA104" s="67">
        <f t="shared" si="60"/>
        <v>23.289299999999997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61"/>
        <v>0190-27</v>
      </c>
      <c r="AE104" s="91" t="str">
        <f t="shared" si="49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104" s="88" t="str">
        <f t="shared" si="50"/>
        <v>"C:\Program Files (x86)\AstroGrep\AstroGrep.exe" /spath="%USERPROFILE%\AppData\Local\Temp\OnboardLogs" /stypes="app*4039*20161027*" /stext=" 22:.+((SYSTEM_STATE.+slice.+state.+changed )|(ment ac)|(system.+state.+changed )|(\[timeout)|(PRM\|1\|D)|(kpr)|(kdp)|(\|lc)|(penalty))" /e /r /s</v>
      </c>
      <c r="AG104" s="1" t="str">
        <f t="shared" si="62"/>
        <v>EC</v>
      </c>
      <c r="AH104" s="92" t="str">
        <f t="shared" si="51"/>
        <v>"%USERPROFILE%\Documents\GitHub\eaglep3\Utilities\RefineRTDCRunTimes.py" --tripid 190-27 --locoid 4039 --swversion DE.1.0.8.0 --startMP 204:233040 --initTime 2016-10-27T15:32:20 --startdatetime 2016-10-27T15:41:17 --delay 1 --endMP 204:147 --enddatetime 2016-10-27T16:22:23 --enforcementcount 0 &gt;&gt;C:\Users\stu\Documents\GitHub\eaglep3-reporting\EC\2016-10-27-refined-times.txt</v>
      </c>
      <c r="AI104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{"issue":{"subject":"","project_id":79,"tracker_id":40,"status_id":1,"priority_id":2,"assigned_to_id":23,"start_date":"2016-10-27","description":"","custom_fields":[{"id":1,"name":"Subdivision","value":"EC"},{"id":4,"name":"Milepost","value":"0.0147"},{"id":17,"name":"Train ID","value":"190-27"},{"id":16,"name":"Locomotive ID","value":"4039"},{"id":130,"name":"Impact","value":""},{"id":150,"name":"Time of Event (Mountain Time)","value":"16:22:23"},{"id":151,"name":"Denver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534</v>
      </c>
      <c r="B105" s="7">
        <v>4014</v>
      </c>
      <c r="C105" s="22" t="s">
        <v>326</v>
      </c>
      <c r="D105" s="22" t="s">
        <v>255</v>
      </c>
      <c r="E105" s="13">
        <v>42670.620717592596</v>
      </c>
      <c r="F105" s="13">
        <v>42670.6252662037</v>
      </c>
      <c r="G105" s="7">
        <v>1</v>
      </c>
      <c r="H105" s="13" t="s">
        <v>299</v>
      </c>
      <c r="I105" s="13">
        <v>42670.650312500002</v>
      </c>
      <c r="J105" s="7">
        <v>0</v>
      </c>
      <c r="K105" s="112" t="str">
        <f t="shared" si="53"/>
        <v>4013/4014</v>
      </c>
      <c r="L105" s="22" t="str">
        <f>VLOOKUP(A105,'Trips&amp;Operators'!$C$1:$E$10000,3,FALSE)</f>
        <v>MOSES</v>
      </c>
      <c r="M105" s="6">
        <f t="shared" si="54"/>
        <v>2.5046296301297843E-2</v>
      </c>
      <c r="N105" s="7">
        <f t="shared" si="65"/>
        <v>36.066666673868895</v>
      </c>
      <c r="O105" s="7"/>
      <c r="P105" s="7"/>
      <c r="Q105" s="23"/>
      <c r="R105" s="23"/>
      <c r="S105" s="35">
        <f t="shared" si="55"/>
        <v>1</v>
      </c>
      <c r="T105" s="50" t="str">
        <f t="shared" si="56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13:53:50-0600',mode:absolute,to:'2016-10-27 16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5" s="52" t="str">
        <f t="shared" si="58"/>
        <v>N</v>
      </c>
      <c r="X105" s="177">
        <f t="shared" si="48"/>
        <v>1</v>
      </c>
      <c r="Y105" s="67">
        <f t="shared" si="66"/>
        <v>4.4900000000000002E-2</v>
      </c>
      <c r="Z105" s="67">
        <f t="shared" si="59"/>
        <v>23.331700000000001</v>
      </c>
      <c r="AA105" s="67">
        <f t="shared" si="60"/>
        <v>23.286800000000003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61"/>
        <v>0191-27</v>
      </c>
      <c r="AE105" s="91" t="str">
        <f t="shared" si="49"/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105" s="88" t="str">
        <f t="shared" si="50"/>
        <v>"C:\Program Files (x86)\AstroGrep\AstroGrep.exe" /spath="%USERPROFILE%\AppData\Local\Temp\OnboardLogs" /stypes="app*4014*20161027*" /stext=" 21:.+((SYSTEM_STATE.+slice.+state.+changed )|(ment ac)|(system.+state.+changed )|(\[timeout)|(PRM\|1\|D)|(kpr)|(kdp)|(\|lc)|(penalty))" /e /r /s</v>
      </c>
      <c r="AG105" s="1" t="str">
        <f t="shared" si="62"/>
        <v>EC</v>
      </c>
      <c r="AH105" s="92" t="str">
        <f t="shared" si="51"/>
        <v>"%USERPROFILE%\Documents\GitHub\eaglep3\Utilities\RefineRTDCRunTimes.py" --tripid 191-27 --locoid 4014 --swversion DE.1.0.8.0 --startMP 204:449 --initTime 2016-10-27T14:53:50 --startdatetime 2016-10-27T15:00:23 --delay 1 --endMP 204:233317 --enddatetime 2016-10-27T15:36:27 --enforcementcount 0 &gt;&gt;C:\Users\stu\Documents\GitHub\eaglep3-reporting\EC\2016-10-27-refined-times.txt</v>
      </c>
      <c r="AI105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{"issue":{"subject":"","project_id":79,"tracker_id":40,"status_id":1,"priority_id":2,"assigned_to_id":23,"start_date":"2016-10-27","description":"","custom_fields":[{"id":1,"name":"Subdivision","value":"EC"},{"id":4,"name":"Milepost","value":"23.3317"},{"id":17,"name":"Train ID","value":"191-27"},{"id":16,"name":"Locomotive ID","value":"4014"},{"id":130,"name":"Impact","value":""},{"id":150,"name":"Time of Event (Mountain Time)","value":"15:36:27"},{"id":151,"name":"Denver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414</v>
      </c>
      <c r="B106" s="7">
        <v>4013</v>
      </c>
      <c r="C106" s="22" t="s">
        <v>326</v>
      </c>
      <c r="D106" s="22" t="s">
        <v>289</v>
      </c>
      <c r="E106" s="13">
        <v>42670.66134259259</v>
      </c>
      <c r="F106" s="13">
        <v>42670.664317129631</v>
      </c>
      <c r="G106" s="7">
        <v>1</v>
      </c>
      <c r="H106" s="13" t="s">
        <v>218</v>
      </c>
      <c r="I106" s="13">
        <v>42670.691030092596</v>
      </c>
      <c r="J106" s="7">
        <v>0</v>
      </c>
      <c r="K106" s="112" t="str">
        <f t="shared" si="53"/>
        <v>4013/4014</v>
      </c>
      <c r="L106" s="22" t="str">
        <f>VLOOKUP(A106,'Trips&amp;Operators'!$C$1:$E$10000,3,FALSE)</f>
        <v>MOSES</v>
      </c>
      <c r="M106" s="6">
        <f t="shared" si="54"/>
        <v>2.6712962964666076E-2</v>
      </c>
      <c r="N106" s="7">
        <f t="shared" si="65"/>
        <v>38.466666669119149</v>
      </c>
      <c r="O106" s="7"/>
      <c r="P106" s="7"/>
      <c r="Q106" s="23"/>
      <c r="R106" s="23"/>
      <c r="S106" s="35">
        <f t="shared" si="55"/>
        <v>1</v>
      </c>
      <c r="T106" s="50" t="str">
        <f t="shared" si="56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14:52:20-0600',mode:absolute,to:'2016-10-27 17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6" s="52" t="str">
        <f t="shared" si="58"/>
        <v>N</v>
      </c>
      <c r="X106" s="177">
        <f t="shared" ref="X106:X137" si="67">VALUE(LEFT(AD106,4))-VALUE(LEFT(AD105,4))</f>
        <v>1</v>
      </c>
      <c r="Y106" s="67">
        <f t="shared" si="66"/>
        <v>23.299600000000002</v>
      </c>
      <c r="Z106" s="67">
        <f t="shared" si="59"/>
        <v>1.43E-2</v>
      </c>
      <c r="AA106" s="67">
        <f t="shared" si="60"/>
        <v>23.285300000000003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61"/>
        <v>0192-27</v>
      </c>
      <c r="AE106" s="91" t="str">
        <f t="shared" si="49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106" s="88" t="str">
        <f t="shared" si="50"/>
        <v>"C:\Program Files (x86)\AstroGrep\AstroGrep.exe" /spath="%USERPROFILE%\AppData\Local\Temp\OnboardLogs" /stypes="app*4013*20161027*" /stext=" 22:.+((SYSTEM_STATE.+slice.+state.+changed )|(ment ac)|(system.+state.+changed )|(\[timeout)|(PRM\|1\|D)|(kpr)|(kdp)|(\|lc)|(penalty))" /e /r /s</v>
      </c>
      <c r="AG106" s="1" t="str">
        <f t="shared" si="62"/>
        <v>EC</v>
      </c>
      <c r="AH106" s="92" t="str">
        <f t="shared" si="51"/>
        <v>"%USERPROFILE%\Documents\GitHub\eaglep3\Utilities\RefineRTDCRunTimes.py" --tripid 192-27 --locoid 4013 --swversion DE.1.0.8.0 --startMP 204:232996 --initTime 2016-10-27T15:52:20 --startdatetime 2016-10-27T15:56:37 --delay 1 --endMP 204:143 --enddatetime 2016-10-27T16:35:05 --enforcementcount 0 &gt;&gt;C:\Users\stu\Documents\GitHub\eaglep3-reporting\EC\2016-10-27-refined-times.txt</v>
      </c>
      <c r="AI106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{"issue":{"subject":"","project_id":79,"tracker_id":40,"status_id":1,"priority_id":2,"assigned_to_id":23,"start_date":"2016-10-27","description":"","custom_fields":[{"id":1,"name":"Subdivision","value":"EC"},{"id":4,"name":"Milepost","value":"0.0143"},{"id":17,"name":"Train ID","value":"192-27"},{"id":16,"name":"Locomotive ID","value":"4013"},{"id":130,"name":"Impact","value":""},{"id":150,"name":"Time of Event (Mountain Time)","value":"16:35:05"},{"id":151,"name":"Denver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535</v>
      </c>
      <c r="B107" s="7">
        <v>4038</v>
      </c>
      <c r="C107" s="22" t="s">
        <v>326</v>
      </c>
      <c r="D107" s="22" t="s">
        <v>247</v>
      </c>
      <c r="E107" s="13">
        <v>42670.629965277774</v>
      </c>
      <c r="F107" s="13">
        <v>42670.635717592595</v>
      </c>
      <c r="G107" s="7">
        <v>1</v>
      </c>
      <c r="H107" s="13" t="s">
        <v>182</v>
      </c>
      <c r="I107" s="13">
        <v>42670.660173611112</v>
      </c>
      <c r="J107" s="7">
        <v>0</v>
      </c>
      <c r="K107" s="112" t="str">
        <f t="shared" si="53"/>
        <v>4037/4038</v>
      </c>
      <c r="L107" s="22" t="str">
        <f>VLOOKUP(A107,'Trips&amp;Operators'!$C$1:$E$10000,3,FALSE)</f>
        <v>LOPES</v>
      </c>
      <c r="M107" s="6">
        <f t="shared" si="54"/>
        <v>2.4456018516502809E-2</v>
      </c>
      <c r="N107" s="7">
        <f t="shared" si="65"/>
        <v>35.216666663764045</v>
      </c>
      <c r="O107" s="7"/>
      <c r="P107" s="7"/>
      <c r="Q107" s="23"/>
      <c r="R107" s="23"/>
      <c r="S107" s="35">
        <f t="shared" si="55"/>
        <v>1</v>
      </c>
      <c r="T107" s="50" t="str">
        <f t="shared" si="56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14:07:09-0600',mode:absolute,to:'2016-10-27 16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7" s="52" t="str">
        <f t="shared" si="58"/>
        <v>N</v>
      </c>
      <c r="X107" s="177">
        <f t="shared" si="67"/>
        <v>1</v>
      </c>
      <c r="Y107" s="67">
        <f t="shared" si="66"/>
        <v>4.7100000000000003E-2</v>
      </c>
      <c r="Z107" s="67">
        <f t="shared" si="59"/>
        <v>23.331199999999999</v>
      </c>
      <c r="AA107" s="67">
        <f t="shared" si="60"/>
        <v>23.284099999999999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61"/>
        <v>0193-27</v>
      </c>
      <c r="AE107" s="91" t="str">
        <f t="shared" si="49"/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AF107" s="88" t="str">
        <f t="shared" si="50"/>
        <v>"C:\Program Files (x86)\AstroGrep\AstroGrep.exe" /spath="%USERPROFILE%\AppData\Local\Temp\OnboardLogs" /stypes="app*4038*20161027*" /stext=" 21:.+((SYSTEM_STATE.+slice.+state.+changed )|(ment ac)|(system.+state.+changed )|(\[timeout)|(PRM\|1\|D)|(kpr)|(kdp)|(\|lc)|(penalty))" /e /r /s</v>
      </c>
      <c r="AG107" s="1" t="str">
        <f t="shared" si="62"/>
        <v>EC</v>
      </c>
      <c r="AH107" s="92" t="str">
        <f t="shared" si="51"/>
        <v>"%USERPROFILE%\Documents\GitHub\eaglep3\Utilities\RefineRTDCRunTimes.py" --tripid 193-27 --locoid 4038 --swversion DE.1.0.8.0 --startMP 204:471 --initTime 2016-10-27T15:07:09 --startdatetime 2016-10-27T15:15:26 --delay 1 --endMP 204:233312 --enddatetime 2016-10-27T15:50:39 --enforcementcount 0 &gt;&gt;C:\Users\stu\Documents\GitHub\eaglep3-reporting\EC\2016-10-27-refined-times.txt</v>
      </c>
      <c r="AI107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{"issue":{"subject":"","project_id":79,"tracker_id":40,"status_id":1,"priority_id":2,"assigned_to_id":23,"start_date":"2016-10-27","description":"","custom_fields":[{"id":1,"name":"Subdivision","value":"EC"},{"id":4,"name":"Milepost","value":"23.3312"},{"id":17,"name":"Train ID","value":"193-27"},{"id":16,"name":"Locomotive ID","value":"4038"},{"id":130,"name":"Impact","value":""},{"id":150,"name":"Time of Event (Mountain Time)","value":"15:50:39"},{"id":151,"name":"Denver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415</v>
      </c>
      <c r="B108" s="7">
        <v>4037</v>
      </c>
      <c r="C108" s="22" t="s">
        <v>326</v>
      </c>
      <c r="D108" s="22" t="s">
        <v>256</v>
      </c>
      <c r="E108" s="13">
        <v>42670.662048611113</v>
      </c>
      <c r="F108" s="13">
        <v>42670.674560185187</v>
      </c>
      <c r="G108" s="7">
        <v>1</v>
      </c>
      <c r="H108" s="13" t="s">
        <v>215</v>
      </c>
      <c r="I108" s="13">
        <v>42670.700937499998</v>
      </c>
      <c r="J108" s="7">
        <v>0</v>
      </c>
      <c r="K108" s="112" t="str">
        <f t="shared" si="53"/>
        <v>4037/4038</v>
      </c>
      <c r="L108" s="22" t="str">
        <f>VLOOKUP(A108,'Trips&amp;Operators'!$C$1:$E$10000,3,FALSE)</f>
        <v>LOPES</v>
      </c>
      <c r="M108" s="6">
        <f t="shared" si="54"/>
        <v>2.6377314810815733E-2</v>
      </c>
      <c r="N108" s="7">
        <f t="shared" si="65"/>
        <v>37.983333327574655</v>
      </c>
      <c r="O108" s="7"/>
      <c r="P108" s="7"/>
      <c r="Q108" s="23"/>
      <c r="R108" s="23"/>
      <c r="S108" s="35">
        <f t="shared" si="55"/>
        <v>1</v>
      </c>
      <c r="T108" s="50" t="str">
        <f t="shared" si="56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14:53:21-0600',mode:absolute,to:'2016-10-27 17:49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8" s="52" t="str">
        <f t="shared" si="58"/>
        <v>N</v>
      </c>
      <c r="X108" s="177">
        <f t="shared" si="67"/>
        <v>1</v>
      </c>
      <c r="Y108" s="67">
        <f t="shared" si="66"/>
        <v>23.2986</v>
      </c>
      <c r="Z108" s="67">
        <f t="shared" si="59"/>
        <v>1.4500000000000001E-2</v>
      </c>
      <c r="AA108" s="67">
        <f t="shared" si="60"/>
        <v>23.284099999999999</v>
      </c>
      <c r="AB108" s="64" t="str">
        <f>VLOOKUP(A108,Enforcements!$C$7:$K$21,8,0)</f>
        <v>Bulletin (2)</v>
      </c>
      <c r="AC108" s="60" t="str">
        <f>VLOOKUP(A108,Enforcements!$C$7:$E$21,3,0)</f>
        <v>GRADE CROSSING</v>
      </c>
      <c r="AD108" s="61" t="str">
        <f t="shared" si="61"/>
        <v>0194-27</v>
      </c>
      <c r="AE108" s="91" t="str">
        <f t="shared" si="49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108" s="88" t="str">
        <f t="shared" si="50"/>
        <v>"C:\Program Files (x86)\AstroGrep\AstroGrep.exe" /spath="%USERPROFILE%\AppData\Local\Temp\OnboardLogs" /stypes="app*4037*20161027*" /stext=" 22:.+((SYSTEM_STATE.+slice.+state.+changed )|(ment ac)|(system.+state.+changed )|(\[timeout)|(PRM\|1\|D)|(kpr)|(kdp)|(\|lc)|(penalty))" /e /r /s</v>
      </c>
      <c r="AG108" s="1" t="str">
        <f t="shared" si="62"/>
        <v>EC</v>
      </c>
      <c r="AH108" s="92" t="str">
        <f t="shared" si="51"/>
        <v>"%USERPROFILE%\Documents\GitHub\eaglep3\Utilities\RefineRTDCRunTimes.py" --tripid 194-27 --locoid 4037 --swversion DE.1.0.8.0 --startMP 204:232986 --initTime 2016-10-27T15:53:21 --startdatetime 2016-10-27T16:11:22 --delay 1 --endMP 204:145 --enddatetime 2016-10-27T16:49:21 --enforcementcount 0 &gt;&gt;C:\Users\stu\Documents\GitHub\eaglep3-reporting\EC\2016-10-27-refined-times.txt</v>
      </c>
      <c r="AI108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ID","value":"194-27"},{"id":16,"name":"Locomotive ID","value":"4037"},{"id":130,"name":"Impact","value":""},{"id":150,"name":"Time of Event (Mountain Time)","value":"16:49:21"},{"id":151,"name":"Denver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539</v>
      </c>
      <c r="B109" s="7">
        <v>4018</v>
      </c>
      <c r="C109" s="22" t="s">
        <v>326</v>
      </c>
      <c r="D109" s="22" t="s">
        <v>669</v>
      </c>
      <c r="E109" s="13">
        <v>42670.642511574071</v>
      </c>
      <c r="F109" s="13">
        <v>42670.646261574075</v>
      </c>
      <c r="G109" s="7">
        <v>1</v>
      </c>
      <c r="H109" s="13" t="s">
        <v>288</v>
      </c>
      <c r="I109" s="13">
        <v>42670.677974537037</v>
      </c>
      <c r="J109" s="7">
        <v>0</v>
      </c>
      <c r="K109" s="112" t="str">
        <f t="shared" si="53"/>
        <v>4017/4018</v>
      </c>
      <c r="L109" s="22" t="str">
        <f>VLOOKUP(A109,'Trips&amp;Operators'!$C$1:$E$10000,3,FALSE)</f>
        <v>YOUNG</v>
      </c>
      <c r="M109" s="6">
        <f t="shared" si="54"/>
        <v>3.1712962962046731E-2</v>
      </c>
      <c r="N109" s="7">
        <f t="shared" si="65"/>
        <v>45.666666665347293</v>
      </c>
      <c r="O109" s="7"/>
      <c r="P109" s="7"/>
      <c r="Q109" s="23"/>
      <c r="R109" s="23"/>
      <c r="S109" s="35">
        <f t="shared" si="55"/>
        <v>1</v>
      </c>
      <c r="T109" s="50" t="str">
        <f t="shared" si="56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14:25:13-0600',mode:absolute,to:'2016-10-27 17:16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9" s="52" t="str">
        <f t="shared" si="58"/>
        <v>N</v>
      </c>
      <c r="X109" s="177">
        <f t="shared" si="67"/>
        <v>1</v>
      </c>
      <c r="Y109" s="67">
        <f t="shared" si="66"/>
        <v>4.82E-2</v>
      </c>
      <c r="Z109" s="67">
        <f t="shared" si="59"/>
        <v>23.332699999999999</v>
      </c>
      <c r="AA109" s="67">
        <f t="shared" si="60"/>
        <v>23.284499999999998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61"/>
        <v>0195-27</v>
      </c>
      <c r="AE109" s="91" t="str">
        <f t="shared" si="49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109" s="88" t="str">
        <f t="shared" si="50"/>
        <v>"C:\Program Files (x86)\AstroGrep\AstroGrep.exe" /spath="%USERPROFILE%\AppData\Local\Temp\OnboardLogs" /stypes="app*4018*20161027*" /stext=" 22:.+((SYSTEM_STATE.+slice.+state.+changed )|(ment ac)|(system.+state.+changed )|(\[timeout)|(PRM\|1\|D)|(kpr)|(kdp)|(\|lc)|(penalty))" /e /r /s</v>
      </c>
      <c r="AG109" s="1" t="str">
        <f t="shared" si="62"/>
        <v>EC</v>
      </c>
      <c r="AH109" s="92" t="str">
        <f t="shared" si="51"/>
        <v>"%USERPROFILE%\Documents\GitHub\eaglep3\Utilities\RefineRTDCRunTimes.py" --tripid 195-27 --locoid 4018 --swversion DE.1.0.8.0 --startMP 204:482 --initTime 2016-10-27T15:25:13 --startdatetime 2016-10-27T15:30:37 --delay 1 --endMP 204:233327 --enddatetime 2016-10-27T16:16:17 --enforcementcount 0 &gt;&gt;C:\Users\stu\Documents\GitHub\eaglep3-reporting\EC\2016-10-27-refined-times.txt</v>
      </c>
      <c r="AI109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{"issue":{"subject":"","project_id":79,"tracker_id":40,"status_id":1,"priority_id":2,"assigned_to_id":23,"start_date":"2016-10-27","description":"","custom_fields":[{"id":1,"name":"Subdivision","value":"EC"},{"id":4,"name":"Milepost","value":"23.3327"},{"id":17,"name":"Train ID","value":"195-27"},{"id":16,"name":"Locomotive ID","value":"4018"},{"id":130,"name":"Impact","value":""},{"id":150,"name":"Time of Event (Mountain Time)","value":"16:16:17"},{"id":151,"name":"Denver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548</v>
      </c>
      <c r="B110" s="7">
        <v>4017</v>
      </c>
      <c r="C110" s="22" t="s">
        <v>326</v>
      </c>
      <c r="D110" s="22" t="s">
        <v>670</v>
      </c>
      <c r="E110" s="13">
        <v>42670.68074074074</v>
      </c>
      <c r="F110" s="13">
        <v>42670.684872685182</v>
      </c>
      <c r="G110" s="7">
        <v>1</v>
      </c>
      <c r="H110" s="13" t="s">
        <v>249</v>
      </c>
      <c r="I110" s="13">
        <v>42670.712291666663</v>
      </c>
      <c r="J110" s="7">
        <v>0</v>
      </c>
      <c r="K110" s="112" t="str">
        <f t="shared" si="53"/>
        <v>4017/4018</v>
      </c>
      <c r="L110" s="22" t="str">
        <f>VLOOKUP(A110,'Trips&amp;Operators'!$C$1:$E$10000,3,FALSE)</f>
        <v>YOUNG</v>
      </c>
      <c r="M110" s="6">
        <f t="shared" si="54"/>
        <v>2.7418981480877846E-2</v>
      </c>
      <c r="N110" s="7">
        <f t="shared" si="65"/>
        <v>39.483333332464099</v>
      </c>
      <c r="O110" s="7"/>
      <c r="P110" s="7"/>
      <c r="Q110" s="23"/>
      <c r="R110" s="23"/>
      <c r="S110" s="35">
        <f t="shared" si="55"/>
        <v>1</v>
      </c>
      <c r="T110" s="50" t="str">
        <f t="shared" si="56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15:20:16-0600',mode:absolute,to:'2016-10-27 18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0" s="52" t="str">
        <f t="shared" si="58"/>
        <v>N</v>
      </c>
      <c r="X110" s="177">
        <f t="shared" si="67"/>
        <v>1</v>
      </c>
      <c r="Y110" s="67">
        <f t="shared" si="66"/>
        <v>23.3</v>
      </c>
      <c r="Z110" s="67">
        <f t="shared" si="59"/>
        <v>1.5599999999999999E-2</v>
      </c>
      <c r="AA110" s="67">
        <f t="shared" si="60"/>
        <v>23.284400000000002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61"/>
        <v>0196-27</v>
      </c>
      <c r="AE110" s="91" t="str">
        <f t="shared" si="49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110" s="88" t="str">
        <f t="shared" si="50"/>
        <v>"C:\Program Files (x86)\AstroGrep\AstroGrep.exe" /spath="%USERPROFILE%\AppData\Local\Temp\OnboardLogs" /stypes="app*4017*20161027*" /stext=" 23:.+((SYSTEM_STATE.+slice.+state.+changed )|(ment ac)|(system.+state.+changed )|(\[timeout)|(PRM\|1\|D)|(kpr)|(kdp)|(\|lc)|(penalty))" /e /r /s</v>
      </c>
      <c r="AG110" s="1" t="str">
        <f t="shared" si="62"/>
        <v>EC</v>
      </c>
      <c r="AH110" s="92" t="str">
        <f t="shared" si="51"/>
        <v>"%USERPROFILE%\Documents\GitHub\eaglep3\Utilities\RefineRTDCRunTimes.py" --tripid 196-27 --locoid 4017 --swversion DE.1.0.8.0 --startMP 204:233000 --initTime 2016-10-27T16:20:16 --startdatetime 2016-10-27T16:26:13 --delay 1 --endMP 204:156 --enddatetime 2016-10-27T17:05:42 --enforcementcount 0 &gt;&gt;C:\Users\stu\Documents\GitHub\eaglep3-reporting\EC\2016-10-27-refined-times.txt</v>
      </c>
      <c r="AI110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{"issue":{"subject":"","project_id":79,"tracker_id":40,"status_id":1,"priority_id":2,"assigned_to_id":23,"start_date":"2016-10-27","description":"","custom_fields":[{"id":1,"name":"Subdivision","value":"EC"},{"id":4,"name":"Milepost","value":"0.0156"},{"id":17,"name":"Train ID","value":"196-27"},{"id":16,"name":"Locomotive ID","value":"4017"},{"id":130,"name":"Impact","value":""},{"id":150,"name":"Time of Event (Mountain Time)","value":"17:05:42"},{"id":151,"name":"Denver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542</v>
      </c>
      <c r="B111" s="7">
        <v>4022</v>
      </c>
      <c r="C111" s="22" t="s">
        <v>326</v>
      </c>
      <c r="D111" s="22" t="s">
        <v>223</v>
      </c>
      <c r="E111" s="13">
        <v>42670.652037037034</v>
      </c>
      <c r="F111" s="13">
        <v>42670.656805555554</v>
      </c>
      <c r="G111" s="7">
        <v>4</v>
      </c>
      <c r="H111" s="13" t="s">
        <v>321</v>
      </c>
      <c r="I111" s="13">
        <v>42670.682442129626</v>
      </c>
      <c r="J111" s="7">
        <v>0</v>
      </c>
      <c r="K111" s="112" t="str">
        <f t="shared" si="53"/>
        <v>4021/4022</v>
      </c>
      <c r="L111" s="22" t="str">
        <f>VLOOKUP(A111,'Trips&amp;Operators'!$C$1:$E$10000,3,FALSE)</f>
        <v>JACKSON</v>
      </c>
      <c r="M111" s="6">
        <f t="shared" si="54"/>
        <v>2.5636574071540963E-2</v>
      </c>
      <c r="N111" s="7">
        <f t="shared" si="65"/>
        <v>36.916666663018987</v>
      </c>
      <c r="O111" s="7"/>
      <c r="P111" s="7"/>
      <c r="Q111" s="23"/>
      <c r="R111" s="23"/>
      <c r="S111" s="35">
        <f t="shared" si="55"/>
        <v>1</v>
      </c>
      <c r="T111" s="50" t="str">
        <f t="shared" si="56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14:38:56-0600',mode:absolute,to:'2016-10-27 17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1" s="52" t="str">
        <f t="shared" si="58"/>
        <v>N</v>
      </c>
      <c r="X111" s="177">
        <f t="shared" si="67"/>
        <v>1</v>
      </c>
      <c r="Y111" s="67">
        <f t="shared" si="66"/>
        <v>4.5499999999999999E-2</v>
      </c>
      <c r="Z111" s="67">
        <f t="shared" si="59"/>
        <v>23.327400000000001</v>
      </c>
      <c r="AA111" s="67">
        <f t="shared" si="60"/>
        <v>23.2819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61"/>
        <v>0197-27</v>
      </c>
      <c r="AE111" s="91" t="str">
        <f t="shared" si="49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111" s="88" t="str">
        <f t="shared" si="50"/>
        <v>"C:\Program Files (x86)\AstroGrep\AstroGrep.exe" /spath="%USERPROFILE%\AppData\Local\Temp\OnboardLogs" /stypes="app*4022*20161027*" /stext=" 22:.+((SYSTEM_STATE.+slice.+state.+changed )|(ment ac)|(system.+state.+changed )|(\[timeout)|(PRM\|1\|D)|(kpr)|(kdp)|(\|lc)|(penalty))" /e /r /s</v>
      </c>
      <c r="AG111" s="1" t="str">
        <f t="shared" si="62"/>
        <v>EC</v>
      </c>
      <c r="AH111" s="92" t="str">
        <f t="shared" si="51"/>
        <v>"%USERPROFILE%\Documents\GitHub\eaglep3\Utilities\RefineRTDCRunTimes.py" --tripid 197-27 --locoid 4022 --swversion DE.1.0.8.0 --startMP 204:455 --initTime 2016-10-27T15:38:56 --startdatetime 2016-10-27T15:45:48 --delay 4 --endMP 204:233274 --enddatetime 2016-10-27T16:22:43 --enforcementcount 0 &gt;&gt;C:\Users\stu\Documents\GitHub\eaglep3-reporting\EC\2016-10-27-refined-times.txt</v>
      </c>
      <c r="AI111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{"issue":{"subject":"","project_id":79,"tracker_id":40,"status_id":1,"priority_id":2,"assigned_to_id":23,"start_date":"2016-10-27","description":"","custom_fields":[{"id":1,"name":"Subdivision","value":"EC"},{"id":4,"name":"Milepost","value":"23.3274"},{"id":17,"name":"Train ID","value":"197-27"},{"id":16,"name":"Locomotive ID","value":"4022"},{"id":130,"name":"Impact","value":""},{"id":150,"name":"Time of Event (Mountain Time)","value":"16:22:43"},{"id":151,"name":"Denver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x14ac:dyDescent="0.25">
      <c r="A112" s="37" t="s">
        <v>416</v>
      </c>
      <c r="B112" s="7">
        <v>4021</v>
      </c>
      <c r="C112" s="22" t="s">
        <v>326</v>
      </c>
      <c r="D112" s="22" t="s">
        <v>245</v>
      </c>
      <c r="E112" s="13">
        <v>42670.689664351848</v>
      </c>
      <c r="F112" s="13">
        <v>42670.695856481485</v>
      </c>
      <c r="G112" s="7">
        <v>1</v>
      </c>
      <c r="H112" s="13" t="s">
        <v>249</v>
      </c>
      <c r="I112" s="13">
        <v>42670.722199074073</v>
      </c>
      <c r="J112" s="7">
        <v>0</v>
      </c>
      <c r="K112" s="112" t="str">
        <f t="shared" si="53"/>
        <v>4021/4022</v>
      </c>
      <c r="L112" s="22" t="str">
        <f>VLOOKUP(A112,'Trips&amp;Operators'!$C$1:$E$10000,3,FALSE)</f>
        <v>JACKSON</v>
      </c>
      <c r="M112" s="6">
        <f t="shared" si="54"/>
        <v>2.6342592587752733E-2</v>
      </c>
      <c r="N112" s="7">
        <f t="shared" si="65"/>
        <v>37.933333326363936</v>
      </c>
      <c r="O112" s="7"/>
      <c r="P112" s="7"/>
      <c r="Q112" s="23"/>
      <c r="R112" s="23"/>
      <c r="S112" s="35">
        <f t="shared" si="55"/>
        <v>1</v>
      </c>
      <c r="T112" s="50" t="str">
        <f t="shared" si="56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15:33:07-0600',mode:absolute,to:'2016-10-27 18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2" s="52" t="str">
        <f t="shared" si="58"/>
        <v>N</v>
      </c>
      <c r="X112" s="177">
        <f t="shared" si="67"/>
        <v>1</v>
      </c>
      <c r="Y112" s="67">
        <f t="shared" si="66"/>
        <v>23.297699999999999</v>
      </c>
      <c r="Z112" s="67">
        <f t="shared" si="59"/>
        <v>1.5599999999999999E-2</v>
      </c>
      <c r="AA112" s="67">
        <f t="shared" si="60"/>
        <v>23.2821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61"/>
        <v>0198-27</v>
      </c>
      <c r="AE112" s="91" t="str">
        <f t="shared" si="49"/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AF112" s="88" t="str">
        <f t="shared" si="50"/>
        <v>"C:\Program Files (x86)\AstroGrep\AstroGrep.exe" /spath="%USERPROFILE%\AppData\Local\Temp\OnboardLogs" /stypes="app*4021*20161027*" /stext=" 23:.+((SYSTEM_STATE.+slice.+state.+changed )|(ment ac)|(system.+state.+changed )|(\[timeout)|(PRM\|1\|D)|(kpr)|(kdp)|(\|lc)|(penalty))" /e /r /s</v>
      </c>
      <c r="AG112" s="1" t="str">
        <f t="shared" si="62"/>
        <v>EC</v>
      </c>
      <c r="AH112" s="92" t="str">
        <f t="shared" si="51"/>
        <v>"%USERPROFILE%\Documents\GitHub\eaglep3\Utilities\RefineRTDCRunTimes.py" --tripid 198-27 --locoid 4021 --swversion DE.1.0.8.0 --startMP 204:232977 --initTime 2016-10-27T16:33:07 --startdatetime 2016-10-27T16:42:02 --delay 1 --endMP 204:156 --enddatetime 2016-10-27T17:19:58 --enforcementcount 0 &gt;&gt;C:\Users\stu\Documents\GitHub\eaglep3-reporting\EC\2016-10-27-refined-times.txt</v>
      </c>
      <c r="AI112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{"issue":{"subject":"","project_id":79,"tracker_id":40,"status_id":1,"priority_id":2,"assigned_to_id":23,"start_date":"2016-10-27","description":"","custom_fields":[{"id":1,"name":"Subdivision","value":"EC"},{"id":4,"name":"Milepost","value":"0.0156"},{"id":17,"name":"Train ID","value":"198-27"},{"id":16,"name":"Locomotive ID","value":"4021"},{"id":130,"name":"Impact","value":""},{"id":150,"name":"Time of Event (Mountain Time)","value":"17:19:58"},{"id":151,"name":"Denver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91" x14ac:dyDescent="0.25">
      <c r="A113" s="37" t="s">
        <v>544</v>
      </c>
      <c r="B113" s="7">
        <v>4002</v>
      </c>
      <c r="C113" s="22" t="s">
        <v>326</v>
      </c>
      <c r="D113" s="22" t="s">
        <v>323</v>
      </c>
      <c r="E113" s="13">
        <v>42670.659895833334</v>
      </c>
      <c r="F113" s="13">
        <v>42670.667199074072</v>
      </c>
      <c r="G113" s="7">
        <v>1</v>
      </c>
      <c r="H113" s="13" t="s">
        <v>640</v>
      </c>
      <c r="I113" s="13">
        <v>42670.691620370373</v>
      </c>
      <c r="J113" s="7">
        <v>0</v>
      </c>
      <c r="K113" s="112" t="str">
        <f t="shared" si="53"/>
        <v>4001/4002</v>
      </c>
      <c r="L113" s="22" t="str">
        <f>VLOOKUP(A113,'Trips&amp;Operators'!$C$1:$E$10000,3,FALSE)</f>
        <v>ROMERO</v>
      </c>
      <c r="M113" s="6">
        <f t="shared" si="54"/>
        <v>2.4421296300715767E-2</v>
      </c>
      <c r="N113" s="7">
        <f t="shared" si="65"/>
        <v>35.166666673030704</v>
      </c>
      <c r="O113" s="7"/>
      <c r="P113" s="7"/>
      <c r="Q113" s="23"/>
      <c r="R113" s="23"/>
      <c r="S113" s="35">
        <f t="shared" si="55"/>
        <v>1</v>
      </c>
      <c r="T113" s="50" t="str">
        <f t="shared" si="56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14:50:15-0600',mode:absolute,to:'2016-10-27 17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3" s="52" t="str">
        <f t="shared" si="58"/>
        <v>N</v>
      </c>
      <c r="X113" s="177">
        <f t="shared" si="67"/>
        <v>1</v>
      </c>
      <c r="Y113" s="67">
        <f t="shared" si="66"/>
        <v>4.3999999999999997E-2</v>
      </c>
      <c r="Z113" s="67">
        <f t="shared" si="59"/>
        <v>23.331499999999998</v>
      </c>
      <c r="AA113" s="67">
        <f t="shared" si="60"/>
        <v>23.287499999999998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61"/>
        <v>0199-27</v>
      </c>
      <c r="AE113" s="91" t="str">
        <f t="shared" si="49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113" s="88" t="str">
        <f t="shared" si="50"/>
        <v>"C:\Program Files (x86)\AstroGrep\AstroGrep.exe" /spath="%USERPROFILE%\AppData\Local\Temp\OnboardLogs" /stypes="app*4002*20161027*" /stext=" 22:.+((SYSTEM_STATE.+slice.+state.+changed )|(ment ac)|(system.+state.+changed )|(\[timeout)|(PRM\|1\|D)|(kpr)|(kdp)|(\|lc)|(penalty))" /e /r /s</v>
      </c>
      <c r="AG113" s="1" t="str">
        <f t="shared" si="62"/>
        <v>EC</v>
      </c>
      <c r="AH113" s="92" t="str">
        <f t="shared" si="51"/>
        <v>"%USERPROFILE%\Documents\GitHub\eaglep3\Utilities\RefineRTDCRunTimes.py" --tripid 199-27 --locoid 4002 --swversion DE.1.0.8.0 --startMP 204:440 --initTime 2016-10-27T15:50:15 --startdatetime 2016-10-27T16:00:46 --delay 1 --endMP 204:233315 --enddatetime 2016-10-27T16:35:56 --enforcementcount 0 &gt;&gt;C:\Users\stu\Documents\GitHub\eaglep3-reporting\EC\2016-10-27-refined-times.txt</v>
      </c>
      <c r="AI113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{"issue":{"subject":"","project_id":79,"tracker_id":40,"status_id":1,"priority_id":2,"assigned_to_id":23,"start_date":"2016-10-27","description":"","custom_fields":[{"id":1,"name":"Subdivision","value":"EC"},{"id":4,"name":"Milepost","value":"23.3315"},{"id":17,"name":"Train ID","value":"199-27"},{"id":16,"name":"Locomotive ID","value":"4002"},{"id":130,"name":"Impact","value":""},{"id":150,"name":"Time of Event (Mountain Time)","value":"16:35:56"},{"id":151,"name":"Denver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s="21" customFormat="1" x14ac:dyDescent="0.25">
      <c r="A114" s="37" t="s">
        <v>553</v>
      </c>
      <c r="B114" s="7">
        <v>4001</v>
      </c>
      <c r="C114" s="22" t="s">
        <v>326</v>
      </c>
      <c r="D114" s="22" t="s">
        <v>671</v>
      </c>
      <c r="E114" s="13">
        <v>42670.702824074076</v>
      </c>
      <c r="F114" s="13">
        <v>42670.705821759257</v>
      </c>
      <c r="G114" s="7">
        <v>1</v>
      </c>
      <c r="H114" s="13" t="s">
        <v>297</v>
      </c>
      <c r="I114" s="13">
        <v>42670.732800925929</v>
      </c>
      <c r="J114" s="7">
        <v>0</v>
      </c>
      <c r="K114" s="112" t="str">
        <f t="shared" si="53"/>
        <v>4001/4002</v>
      </c>
      <c r="L114" s="22" t="str">
        <f>VLOOKUP(A114,'Trips&amp;Operators'!$C$1:$E$10000,3,FALSE)</f>
        <v>ROMERO</v>
      </c>
      <c r="M114" s="6">
        <f t="shared" si="54"/>
        <v>2.697916667239042E-2</v>
      </c>
      <c r="N114" s="7">
        <f t="shared" si="65"/>
        <v>38.850000008242205</v>
      </c>
      <c r="O114" s="7"/>
      <c r="P114" s="7"/>
      <c r="Q114" s="23"/>
      <c r="R114" s="23"/>
      <c r="S114" s="35">
        <f t="shared" si="55"/>
        <v>1</v>
      </c>
      <c r="T114" s="50" t="str">
        <f t="shared" si="56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15:52:04-0600',mode:absolute,to:'2016-10-27 18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4" s="52" t="str">
        <f t="shared" si="58"/>
        <v>N</v>
      </c>
      <c r="X114" s="177">
        <f t="shared" si="67"/>
        <v>1</v>
      </c>
      <c r="Y114" s="67">
        <f t="shared" si="66"/>
        <v>23.3002</v>
      </c>
      <c r="Z114" s="67">
        <f t="shared" si="59"/>
        <v>1.61E-2</v>
      </c>
      <c r="AA114" s="67">
        <f t="shared" si="60"/>
        <v>23.284099999999999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61"/>
        <v>0200-27</v>
      </c>
      <c r="AE114" s="91" t="str">
        <f t="shared" si="49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114" s="88" t="str">
        <f t="shared" si="50"/>
        <v>"C:\Program Files (x86)\AstroGrep\AstroGrep.exe" /spath="%USERPROFILE%\AppData\Local\Temp\OnboardLogs" /stypes="app*4001*20161027*" /stext=" 23:.+((SYSTEM_STATE.+slice.+state.+changed )|(ment ac)|(system.+state.+changed )|(\[timeout)|(PRM\|1\|D)|(kpr)|(kdp)|(\|lc)|(penalty))" /e /r /s</v>
      </c>
      <c r="AG114" s="1" t="str">
        <f t="shared" si="62"/>
        <v>EC</v>
      </c>
      <c r="AH114" s="92" t="str">
        <f t="shared" si="51"/>
        <v>"%USERPROFILE%\Documents\GitHub\eaglep3\Utilities\RefineRTDCRunTimes.py" --tripid 200-27 --locoid 4001 --swversion DE.1.0.8.0 --startMP 204:233002 --initTime 2016-10-27T16:52:04 --startdatetime 2016-10-27T16:56:23 --delay 1 --endMP 204:161 --enddatetime 2016-10-27T17:35:14 --enforcementcount 0 &gt;&gt;C:\Users\stu\Documents\GitHub\eaglep3-reporting\EC\2016-10-27-refined-times.txt</v>
      </c>
      <c r="AI114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{"issue":{"subject":"","project_id":79,"tracker_id":40,"status_id":1,"priority_id":2,"assigned_to_id":23,"start_date":"2016-10-27","description":"","custom_fields":[{"id":1,"name":"Subdivision","value":"EC"},{"id":4,"name":"Milepost","value":"0.0161"},{"id":17,"name":"Train ID","value":"200-27"},{"id":16,"name":"Locomotive ID","value":"4001"},{"id":130,"name":"Impact","value":""},{"id":150,"name":"Time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547</v>
      </c>
      <c r="B115" s="7">
        <v>4007</v>
      </c>
      <c r="C115" s="22" t="s">
        <v>326</v>
      </c>
      <c r="D115" s="22" t="s">
        <v>349</v>
      </c>
      <c r="E115" s="13">
        <v>42670.674699074072</v>
      </c>
      <c r="F115" s="13">
        <v>42670.677395833336</v>
      </c>
      <c r="G115" s="7">
        <v>1</v>
      </c>
      <c r="H115" s="13" t="s">
        <v>320</v>
      </c>
      <c r="I115" s="13">
        <v>42670.702349537038</v>
      </c>
      <c r="J115" s="7">
        <v>0</v>
      </c>
      <c r="K115" s="112" t="str">
        <f t="shared" si="53"/>
        <v>4007/4008</v>
      </c>
      <c r="L115" s="22" t="str">
        <f>VLOOKUP(A115,'Trips&amp;Operators'!$C$1:$E$10000,3,FALSE)</f>
        <v>BONDS</v>
      </c>
      <c r="M115" s="6">
        <f t="shared" si="54"/>
        <v>2.495370370161254E-2</v>
      </c>
      <c r="N115" s="7">
        <f t="shared" si="65"/>
        <v>35.933333330322057</v>
      </c>
      <c r="O115" s="7"/>
      <c r="P115" s="7"/>
      <c r="Q115" s="23"/>
      <c r="R115" s="23"/>
      <c r="S115" s="35">
        <f t="shared" si="55"/>
        <v>1</v>
      </c>
      <c r="T115" s="50" t="str">
        <f t="shared" si="56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15:11:34-0600',mode:absolute,to:'2016-10-27 17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5" s="52" t="str">
        <f t="shared" si="58"/>
        <v>N</v>
      </c>
      <c r="X115" s="177">
        <f t="shared" si="67"/>
        <v>1</v>
      </c>
      <c r="Y115" s="67">
        <f t="shared" si="66"/>
        <v>4.3499999999999997E-2</v>
      </c>
      <c r="Z115" s="67">
        <f t="shared" si="59"/>
        <v>23.331600000000002</v>
      </c>
      <c r="AA115" s="67">
        <f t="shared" si="60"/>
        <v>23.2881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61"/>
        <v>0201-27</v>
      </c>
      <c r="AE115" s="91" t="str">
        <f t="shared" si="49"/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AF115" s="88" t="str">
        <f t="shared" si="50"/>
        <v>"C:\Program Files (x86)\AstroGrep\AstroGrep.exe" /spath="%USERPROFILE%\AppData\Local\Temp\OnboardLogs" /stypes="app*4007*20161027*" /stext=" 22:.+((SYSTEM_STATE.+slice.+state.+changed )|(ment ac)|(system.+state.+changed )|(\[timeout)|(PRM\|1\|D)|(kpr)|(kdp)|(\|lc)|(penalty))" /e /r /s</v>
      </c>
      <c r="AG115" s="1" t="str">
        <f t="shared" si="62"/>
        <v>EC</v>
      </c>
      <c r="AH115" s="92" t="str">
        <f t="shared" si="51"/>
        <v>"%USERPROFILE%\Documents\GitHub\eaglep3\Utilities\RefineRTDCRunTimes.py" --tripid 201-27 --locoid 4007 --swversion DE.1.0.8.0 --startMP 204:435 --initTime 2016-10-27T16:11:34 --startdatetime 2016-10-27T16:15:27 --delay 1 --endMP 204:233316 --enddatetime 2016-10-27T16:51:23 --enforcementcount 0 &gt;&gt;C:\Users\stu\Documents\GitHub\eaglep3-reporting\EC\2016-10-27-refined-times.txt</v>
      </c>
      <c r="AI115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{"issue":{"subject":"","project_id":79,"tracker_id":40,"status_id":1,"priority_id":2,"assigned_to_id":23,"start_date":"2016-10-27","description":"","custom_fields":[{"id":1,"name":"Subdivision","value":"EC"},{"id":4,"name":"Milepost","value":"23.3316"},{"id":17,"name":"Train ID","value":"201-27"},{"id":16,"name":"Locomotive ID","value":"4007"},{"id":130,"name":"Impact","value":""},{"id":150,"name":"Time of Event (Mountain Time)","value":"16:51:23"},{"id":151,"name":"Denver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555</v>
      </c>
      <c r="B116" s="7">
        <v>4008</v>
      </c>
      <c r="C116" s="22" t="s">
        <v>326</v>
      </c>
      <c r="D116" s="22" t="s">
        <v>289</v>
      </c>
      <c r="E116" s="13">
        <v>42670.706875000003</v>
      </c>
      <c r="F116" s="13">
        <v>42670.71638888889</v>
      </c>
      <c r="G116" s="7">
        <v>1</v>
      </c>
      <c r="H116" s="13" t="s">
        <v>283</v>
      </c>
      <c r="I116" s="13">
        <v>42670.743263888886</v>
      </c>
      <c r="J116" s="7">
        <v>0</v>
      </c>
      <c r="K116" s="112" t="str">
        <f t="shared" si="53"/>
        <v>4007/4008</v>
      </c>
      <c r="L116" s="22" t="str">
        <f>VLOOKUP(A116,'Trips&amp;Operators'!$C$1:$E$10000,3,FALSE)</f>
        <v>BONDS</v>
      </c>
      <c r="M116" s="6">
        <f t="shared" si="54"/>
        <v>2.6874999995925464E-2</v>
      </c>
      <c r="N116" s="7">
        <f t="shared" si="65"/>
        <v>38.699999994132668</v>
      </c>
      <c r="O116" s="7"/>
      <c r="P116" s="7"/>
      <c r="Q116" s="23"/>
      <c r="R116" s="23"/>
      <c r="S116" s="35">
        <f t="shared" si="55"/>
        <v>1</v>
      </c>
      <c r="T116" s="50" t="str">
        <f t="shared" si="56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15:57:54-0600',mode:absolute,to:'2016-10-27 18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6" s="52" t="str">
        <f t="shared" si="58"/>
        <v>N</v>
      </c>
      <c r="X116" s="177">
        <f t="shared" si="67"/>
        <v>1</v>
      </c>
      <c r="Y116" s="67">
        <f t="shared" si="66"/>
        <v>23.299600000000002</v>
      </c>
      <c r="Z116" s="67">
        <f t="shared" si="59"/>
        <v>1.67E-2</v>
      </c>
      <c r="AA116" s="67">
        <f t="shared" si="60"/>
        <v>23.282900000000001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61"/>
        <v>0202-27</v>
      </c>
      <c r="AE116" s="91" t="str">
        <f t="shared" si="49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116" s="88" t="str">
        <f t="shared" si="50"/>
        <v>"C:\Program Files (x86)\AstroGrep\AstroGrep.exe" /spath="%USERPROFILE%\AppData\Local\Temp\OnboardLogs" /stypes="app*4008*20161027*" /stext=" 23:.+((SYSTEM_STATE.+slice.+state.+changed )|(ment ac)|(system.+state.+changed )|(\[timeout)|(PRM\|1\|D)|(kpr)|(kdp)|(\|lc)|(penalty))" /e /r /s</v>
      </c>
      <c r="AG116" s="1" t="str">
        <f t="shared" si="62"/>
        <v>EC</v>
      </c>
      <c r="AH116" s="92" t="str">
        <f t="shared" si="51"/>
        <v>"%USERPROFILE%\Documents\GitHub\eaglep3\Utilities\RefineRTDCRunTimes.py" --tripid 202-27 --locoid 4008 --swversion DE.1.0.8.0 --startMP 204:232996 --initTime 2016-10-27T16:57:54 --startdatetime 2016-10-27T17:11:36 --delay 1 --endMP 204:167 --enddatetime 2016-10-27T17:50:18 --enforcementcount 0 &gt;&gt;C:\Users\stu\Documents\GitHub\eaglep3-reporting\EC\2016-10-27-refined-times.txt</v>
      </c>
      <c r="AI116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{"issue":{"subject":"","project_id":79,"tracker_id":40,"status_id":1,"priority_id":2,"assigned_to_id":23,"start_date":"2016-10-27","description":"","custom_fields":[{"id":1,"name":"Subdivision","value":"EC"},{"id":4,"name":"Milepost","value":"0.0167"},{"id":17,"name":"Train ID","value":"202-27"},{"id":16,"name":"Locomotive ID","value":"4008"},{"id":130,"name":"Impact","value":""},{"id":150,"name":"Time of Event (Mountain Time)","value":"17:50:18"},{"id":151,"name":"Denver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549</v>
      </c>
      <c r="B117" s="7">
        <v>4040</v>
      </c>
      <c r="C117" s="22" t="s">
        <v>326</v>
      </c>
      <c r="D117" s="22" t="s">
        <v>224</v>
      </c>
      <c r="E117" s="13">
        <v>42670.684016203704</v>
      </c>
      <c r="F117" s="13">
        <v>42670.687673611108</v>
      </c>
      <c r="G117" s="7">
        <v>1</v>
      </c>
      <c r="H117" s="13" t="s">
        <v>672</v>
      </c>
      <c r="I117" s="13">
        <v>42670.713553240741</v>
      </c>
      <c r="J117" s="7">
        <v>0</v>
      </c>
      <c r="K117" s="112" t="str">
        <f t="shared" si="53"/>
        <v>4039/4040</v>
      </c>
      <c r="L117" s="22" t="str">
        <f>VLOOKUP(A117,'Trips&amp;Operators'!$C$1:$E$10000,3,FALSE)</f>
        <v>SHOOK</v>
      </c>
      <c r="M117" s="6">
        <f t="shared" si="54"/>
        <v>2.587962963298196E-2</v>
      </c>
      <c r="N117" s="7">
        <f t="shared" si="65"/>
        <v>37.266666671494022</v>
      </c>
      <c r="O117" s="7"/>
      <c r="P117" s="7"/>
      <c r="Q117" s="23"/>
      <c r="R117" s="23"/>
      <c r="S117" s="35">
        <f t="shared" si="55"/>
        <v>1</v>
      </c>
      <c r="T117" s="50" t="str">
        <f t="shared" si="56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15:24:59-0600',mode:absolute,to:'2016-10-27 18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7" s="52" t="str">
        <f t="shared" si="58"/>
        <v>N</v>
      </c>
      <c r="X117" s="177">
        <f t="shared" si="67"/>
        <v>1</v>
      </c>
      <c r="Y117" s="67">
        <f t="shared" si="66"/>
        <v>4.6600000000000003E-2</v>
      </c>
      <c r="Z117" s="67">
        <f t="shared" si="59"/>
        <v>23.334599999999998</v>
      </c>
      <c r="AA117" s="67">
        <f t="shared" si="60"/>
        <v>23.287999999999997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61"/>
        <v>0203-27</v>
      </c>
      <c r="AE117" s="91" t="str">
        <f t="shared" si="49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117" s="88" t="str">
        <f t="shared" si="50"/>
        <v>"C:\Program Files (x86)\AstroGrep\AstroGrep.exe" /spath="%USERPROFILE%\AppData\Local\Temp\OnboardLogs" /stypes="app*4040*20161027*" /stext=" 23:.+((SYSTEM_STATE.+slice.+state.+changed )|(ment ac)|(system.+state.+changed )|(\[timeout)|(PRM\|1\|D)|(kpr)|(kdp)|(\|lc)|(penalty))" /e /r /s</v>
      </c>
      <c r="AG117" s="1" t="str">
        <f t="shared" si="62"/>
        <v>EC</v>
      </c>
      <c r="AH117" s="92" t="str">
        <f t="shared" si="51"/>
        <v>"%USERPROFILE%\Documents\GitHub\eaglep3\Utilities\RefineRTDCRunTimes.py" --tripid 203-27 --locoid 4040 --swversion DE.1.0.8.0 --startMP 204:466 --initTime 2016-10-27T16:24:59 --startdatetime 2016-10-27T16:30:15 --delay 1 --endMP 204:233346 --enddatetime 2016-10-27T17:07:31 --enforcementcount 0 &gt;&gt;C:\Users\stu\Documents\GitHub\eaglep3-reporting\EC\2016-10-27-refined-times.txt</v>
      </c>
      <c r="AI117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{"issue":{"subject":"","project_id":79,"tracker_id":40,"status_id":1,"priority_id":2,"assigned_to_id":23,"start_date":"2016-10-27","description":"","custom_fields":[{"id":1,"name":"Subdivision","value":"EC"},{"id":4,"name":"Milepost","value":"23.3346"},{"id":17,"name":"Train ID","value":"203-27"},{"id":16,"name":"Locomotive ID","value":"4040"},{"id":130,"name":"Impact","value":""},{"id":150,"name":"Time of Event (Mountain Time)","value":"17:07:31"},{"id":151,"name":"Denver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559</v>
      </c>
      <c r="B118" s="7">
        <v>4039</v>
      </c>
      <c r="C118" s="22" t="s">
        <v>326</v>
      </c>
      <c r="D118" s="22" t="s">
        <v>673</v>
      </c>
      <c r="E118" s="13">
        <v>42670.720127314817</v>
      </c>
      <c r="F118" s="13">
        <v>42670.726643518516</v>
      </c>
      <c r="G118" s="7">
        <v>1</v>
      </c>
      <c r="H118" s="13" t="s">
        <v>216</v>
      </c>
      <c r="I118" s="13">
        <v>42670.752916666665</v>
      </c>
      <c r="J118" s="7">
        <v>0</v>
      </c>
      <c r="K118" s="112" t="str">
        <f t="shared" si="53"/>
        <v>4039/4040</v>
      </c>
      <c r="L118" s="22" t="str">
        <f>VLOOKUP(A118,'Trips&amp;Operators'!$C$1:$E$10000,3,FALSE)</f>
        <v>SHOOK</v>
      </c>
      <c r="M118" s="6">
        <f t="shared" si="54"/>
        <v>2.6273148148902692E-2</v>
      </c>
      <c r="N118" s="7">
        <f t="shared" si="65"/>
        <v>37.833333334419876</v>
      </c>
      <c r="O118" s="7"/>
      <c r="P118" s="7"/>
      <c r="Q118" s="23"/>
      <c r="R118" s="23"/>
      <c r="S118" s="35">
        <f t="shared" si="55"/>
        <v>1</v>
      </c>
      <c r="T118" s="50" t="str">
        <f t="shared" si="56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16:16:59-0600',mode:absolute,to:'2016-10-27 19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8" s="52" t="str">
        <f t="shared" si="58"/>
        <v>N</v>
      </c>
      <c r="X118" s="177">
        <f t="shared" si="67"/>
        <v>1</v>
      </c>
      <c r="Y118" s="67">
        <f t="shared" si="66"/>
        <v>23.304500000000001</v>
      </c>
      <c r="Z118" s="67">
        <f t="shared" si="59"/>
        <v>1.49E-2</v>
      </c>
      <c r="AA118" s="67">
        <f t="shared" si="60"/>
        <v>23.2896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61"/>
        <v>0204-27</v>
      </c>
      <c r="AE118" s="91" t="str">
        <f t="shared" si="49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118" s="88" t="str">
        <f t="shared" si="50"/>
        <v>"C:\Program Files (x86)\AstroGrep\AstroGrep.exe" /spath="%USERPROFILE%\AppData\Local\Temp\OnboardLogs" /stypes="app*4039*20161028*" /stext=" 00:.+((SYSTEM_STATE.+slice.+state.+changed )|(ment ac)|(system.+state.+changed )|(\[timeout)|(PRM\|1\|D)|(kpr)|(kdp)|(\|lc)|(penalty))" /e /r /s</v>
      </c>
      <c r="AG118" s="1" t="str">
        <f t="shared" si="62"/>
        <v>EC</v>
      </c>
      <c r="AH118" s="92" t="str">
        <f t="shared" si="51"/>
        <v>"%USERPROFILE%\Documents\GitHub\eaglep3\Utilities\RefineRTDCRunTimes.py" --tripid 204-27 --locoid 4039 --swversion DE.1.0.8.0 --startMP 204:233045 --initTime 2016-10-27T17:16:59 --startdatetime 2016-10-27T17:26:22 --delay 1 --endMP 204:149 --enddatetime 2016-10-27T18:04:12 --enforcementcount 0 &gt;&gt;C:\Users\stu\Documents\GitHub\eaglep3-reporting\EC\2016-10-27-refined-times.txt</v>
      </c>
      <c r="AI118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{"issue":{"subject":"","project_id":79,"tracker_id":40,"status_id":1,"priority_id":2,"assigned_to_id":23,"start_date":"2016-10-27","description":"","custom_fields":[{"id":1,"name":"Subdivision","value":"EC"},{"id":4,"name":"Milepost","value":"0.0149"},{"id":17,"name":"Train ID","value":"204-27"},{"id":16,"name":"Locomotive ID","value":"4039"},{"id":130,"name":"Impact","value":""},{"id":150,"name":"Time of Event (Mountain Time)","value":"18:04:12"},{"id":151,"name":"Denver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551</v>
      </c>
      <c r="B119" s="7">
        <v>4014</v>
      </c>
      <c r="C119" s="22" t="s">
        <v>326</v>
      </c>
      <c r="D119" s="22" t="s">
        <v>230</v>
      </c>
      <c r="E119" s="13">
        <v>42670.694201388891</v>
      </c>
      <c r="F119" s="13">
        <v>42670.698171296295</v>
      </c>
      <c r="G119" s="7">
        <v>2</v>
      </c>
      <c r="H119" s="13" t="s">
        <v>320</v>
      </c>
      <c r="I119" s="13">
        <v>42670.723240740743</v>
      </c>
      <c r="J119" s="7">
        <v>0</v>
      </c>
      <c r="K119" s="112" t="str">
        <f t="shared" si="53"/>
        <v>4013/4014</v>
      </c>
      <c r="L119" s="22" t="str">
        <f>VLOOKUP(A119,'Trips&amp;Operators'!$C$1:$E$10000,3,FALSE)</f>
        <v>MOSES</v>
      </c>
      <c r="M119" s="6">
        <f t="shared" si="54"/>
        <v>2.5069444447581191E-2</v>
      </c>
      <c r="N119" s="7">
        <f t="shared" si="65"/>
        <v>36.100000004516914</v>
      </c>
      <c r="O119" s="7"/>
      <c r="P119" s="7"/>
      <c r="Q119" s="23"/>
      <c r="R119" s="23"/>
      <c r="S119" s="35">
        <f t="shared" si="55"/>
        <v>1</v>
      </c>
      <c r="T119" s="50" t="str">
        <f t="shared" si="56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15:39:39-0600',mode:absolute,to:'2016-10-27 18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9" s="52" t="str">
        <f t="shared" si="58"/>
        <v>N</v>
      </c>
      <c r="X119" s="177">
        <f t="shared" si="67"/>
        <v>1</v>
      </c>
      <c r="Y119" s="67">
        <f t="shared" si="66"/>
        <v>4.5100000000000001E-2</v>
      </c>
      <c r="Z119" s="67">
        <f t="shared" si="59"/>
        <v>23.331600000000002</v>
      </c>
      <c r="AA119" s="67">
        <f t="shared" si="60"/>
        <v>23.2865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61"/>
        <v>0205-27</v>
      </c>
      <c r="AE119" s="91" t="str">
        <f t="shared" si="49"/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119" s="88" t="str">
        <f t="shared" si="50"/>
        <v>"C:\Program Files (x86)\AstroGrep\AstroGrep.exe" /spath="%USERPROFILE%\AppData\Local\Temp\OnboardLogs" /stypes="app*4014*20161027*" /stext=" 23:.+((SYSTEM_STATE.+slice.+state.+changed )|(ment ac)|(system.+state.+changed )|(\[timeout)|(PRM\|1\|D)|(kpr)|(kdp)|(\|lc)|(penalty))" /e /r /s</v>
      </c>
      <c r="AG119" s="1" t="str">
        <f t="shared" si="62"/>
        <v>EC</v>
      </c>
      <c r="AH119" s="92" t="str">
        <f t="shared" si="51"/>
        <v>"%USERPROFILE%\Documents\GitHub\eaglep3\Utilities\RefineRTDCRunTimes.py" --tripid 205-27 --locoid 4014 --swversion DE.1.0.8.0 --startMP 204:451 --initTime 2016-10-27T16:39:39 --startdatetime 2016-10-27T16:45:22 --delay 2 --endMP 204:233316 --enddatetime 2016-10-27T17:21:28 --enforcementcount 0 &gt;&gt;C:\Users\stu\Documents\GitHub\eaglep3-reporting\EC\2016-10-27-refined-times.txt</v>
      </c>
      <c r="AI119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{"issue":{"subject":"","project_id":79,"tracker_id":40,"status_id":1,"priority_id":2,"assigned_to_id":23,"start_date":"2016-10-27","description":"","custom_fields":[{"id":1,"name":"Subdivision","value":"EC"},{"id":4,"name":"Milepost","value":"23.3316"},{"id":17,"name":"Train ID","value":"205-27"},{"id":16,"name":"Locomotive ID","value":"4014"},{"id":130,"name":"Impact","value":""},{"id":150,"name":"Time of Event (Mountain Time)","value":"17:21:28"},{"id":151,"name":"Denver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562</v>
      </c>
      <c r="B120" s="7">
        <v>4013</v>
      </c>
      <c r="C120" s="22" t="s">
        <v>326</v>
      </c>
      <c r="D120" s="22" t="s">
        <v>645</v>
      </c>
      <c r="E120" s="13">
        <v>42670.730185185188</v>
      </c>
      <c r="F120" s="13">
        <v>42670.736967592595</v>
      </c>
      <c r="G120" s="7">
        <v>3</v>
      </c>
      <c r="H120" s="13" t="s">
        <v>249</v>
      </c>
      <c r="I120" s="13">
        <v>42670.764074074075</v>
      </c>
      <c r="J120" s="7">
        <v>0</v>
      </c>
      <c r="K120" s="112" t="str">
        <f t="shared" si="53"/>
        <v>4013/4014</v>
      </c>
      <c r="L120" s="22" t="str">
        <f>VLOOKUP(A120,'Trips&amp;Operators'!$C$1:$E$10000,3,FALSE)</f>
        <v>MOSES</v>
      </c>
      <c r="M120" s="6">
        <f t="shared" si="54"/>
        <v>2.7106481480586808E-2</v>
      </c>
      <c r="N120" s="7">
        <f t="shared" si="65"/>
        <v>39.033333332045004</v>
      </c>
      <c r="O120" s="7"/>
      <c r="P120" s="7"/>
      <c r="Q120" s="23"/>
      <c r="R120" s="23"/>
      <c r="S120" s="35">
        <f t="shared" si="55"/>
        <v>1</v>
      </c>
      <c r="T120" s="50" t="str">
        <f t="shared" si="56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16:31:28-0600',mode:absolute,to:'2016-10-27 19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0" s="52" t="str">
        <f t="shared" si="58"/>
        <v>N</v>
      </c>
      <c r="X120" s="177">
        <f t="shared" si="67"/>
        <v>1</v>
      </c>
      <c r="Y120" s="67">
        <f t="shared" si="66"/>
        <v>23.301100000000002</v>
      </c>
      <c r="Z120" s="67">
        <f t="shared" si="59"/>
        <v>1.5599999999999999E-2</v>
      </c>
      <c r="AA120" s="67">
        <f t="shared" si="60"/>
        <v>23.285500000000003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61"/>
        <v>0206-27</v>
      </c>
      <c r="AE120" s="91" t="str">
        <f t="shared" si="49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120" s="88" t="str">
        <f t="shared" si="50"/>
        <v>"C:\Program Files (x86)\AstroGrep\AstroGrep.exe" /spath="%USERPROFILE%\AppData\Local\Temp\OnboardLogs" /stypes="app*4013*20161028*" /stext=" 00:.+((SYSTEM_STATE.+slice.+state.+changed )|(ment ac)|(system.+state.+changed )|(\[timeout)|(PRM\|1\|D)|(kpr)|(kdp)|(\|lc)|(penalty))" /e /r /s</v>
      </c>
      <c r="AG120" s="1" t="str">
        <f t="shared" si="62"/>
        <v>EC</v>
      </c>
      <c r="AH120" s="92" t="str">
        <f t="shared" si="51"/>
        <v>"%USERPROFILE%\Documents\GitHub\eaglep3\Utilities\RefineRTDCRunTimes.py" --tripid 206-27 --locoid 4013 --swversion DE.1.0.8.0 --startMP 204:233011 --initTime 2016-10-27T17:31:28 --startdatetime 2016-10-27T17:41:14 --delay 3 --endMP 204:156 --enddatetime 2016-10-27T18:20:16 --enforcementcount 0 &gt;&gt;C:\Users\stu\Documents\GitHub\eaglep3-reporting\EC\2016-10-27-refined-times.txt</v>
      </c>
      <c r="AI120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{"issue":{"subject":"","project_id":79,"tracker_id":40,"status_id":1,"priority_id":2,"assigned_to_id":23,"start_date":"2016-10-27","description":"","custom_fields":[{"id":1,"name":"Subdivision","value":"EC"},{"id":4,"name":"Milepost","value":"0.0156"},{"id":17,"name":"Train ID","value":"206-27"},{"id":16,"name":"Locomotive ID","value":"4013"},{"id":130,"name":"Impact","value":""},{"id":150,"name":"Time of Event (Mountain Time)","value":"18:20:16"},{"id":151,"name":"Denver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554</v>
      </c>
      <c r="B121" s="7">
        <v>4038</v>
      </c>
      <c r="C121" s="22" t="s">
        <v>326</v>
      </c>
      <c r="D121" s="22" t="s">
        <v>230</v>
      </c>
      <c r="E121" s="13">
        <v>42670.703460648147</v>
      </c>
      <c r="F121" s="13">
        <v>42670.708518518521</v>
      </c>
      <c r="G121" s="7">
        <v>1</v>
      </c>
      <c r="H121" s="13" t="s">
        <v>640</v>
      </c>
      <c r="I121" s="13">
        <v>42670.732870370368</v>
      </c>
      <c r="J121" s="7">
        <v>0</v>
      </c>
      <c r="K121" s="112" t="str">
        <f t="shared" si="53"/>
        <v>4037/4038</v>
      </c>
      <c r="L121" s="22" t="str">
        <f>VLOOKUP(A121,'Trips&amp;Operators'!$C$1:$E$10000,3,FALSE)</f>
        <v>LOPES</v>
      </c>
      <c r="M121" s="6">
        <f t="shared" si="54"/>
        <v>2.435185184731381E-2</v>
      </c>
      <c r="N121" s="7">
        <f t="shared" si="65"/>
        <v>35.066666660131887</v>
      </c>
      <c r="O121" s="7"/>
      <c r="P121" s="7"/>
      <c r="Q121" s="23"/>
      <c r="R121" s="23"/>
      <c r="S121" s="35">
        <f t="shared" si="55"/>
        <v>1</v>
      </c>
      <c r="T121" s="50" t="str">
        <f t="shared" si="56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15:52:59-0600',mode:absolute,to:'2016-10-27 18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1" s="52" t="str">
        <f t="shared" si="58"/>
        <v>N</v>
      </c>
      <c r="X121" s="177">
        <f t="shared" si="67"/>
        <v>1</v>
      </c>
      <c r="Y121" s="67">
        <f t="shared" si="66"/>
        <v>4.5100000000000001E-2</v>
      </c>
      <c r="Z121" s="67">
        <f t="shared" si="59"/>
        <v>23.331499999999998</v>
      </c>
      <c r="AA121" s="67">
        <f t="shared" si="60"/>
        <v>23.286399999999997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61"/>
        <v>0207-27</v>
      </c>
      <c r="AE121" s="91" t="str">
        <f t="shared" si="49"/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AF121" s="88" t="str">
        <f t="shared" si="50"/>
        <v>"C:\Program Files (x86)\AstroGrep\AstroGrep.exe" /spath="%USERPROFILE%\AppData\Local\Temp\OnboardLogs" /stypes="app*4038*20161027*" /stext=" 23:.+((SYSTEM_STATE.+slice.+state.+changed )|(ment ac)|(system.+state.+changed )|(\[timeout)|(PRM\|1\|D)|(kpr)|(kdp)|(\|lc)|(penalty))" /e /r /s</v>
      </c>
      <c r="AG121" s="1" t="str">
        <f t="shared" si="62"/>
        <v>EC</v>
      </c>
      <c r="AH121" s="92" t="str">
        <f t="shared" si="51"/>
        <v>"%USERPROFILE%\Documents\GitHub\eaglep3\Utilities\RefineRTDCRunTimes.py" --tripid 207-27 --locoid 4038 --swversion DE.1.0.8.0 --startMP 204:451 --initTime 2016-10-27T16:52:59 --startdatetime 2016-10-27T17:00:16 --delay 1 --endMP 204:233315 --enddatetime 2016-10-27T17:35:20 --enforcementcount 0 &gt;&gt;C:\Users\stu\Documents\GitHub\eaglep3-reporting\EC\2016-10-27-refined-times.txt</v>
      </c>
      <c r="AI121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{"issue":{"subject":"","project_id":79,"tracker_id":40,"status_id":1,"priority_id":2,"assigned_to_id":23,"start_date":"2016-10-27","description":"","custom_fields":[{"id":1,"name":"Subdivision","value":"EC"},{"id":4,"name":"Milepost","value":"23.3315"},{"id":17,"name":"Train ID","value":"207-27"},{"id":16,"name":"Locomotive ID","value":"4038"},{"id":130,"name":"Impact","value":""},{"id":150,"name":"Time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7" t="s">
        <v>563</v>
      </c>
      <c r="B122" s="7">
        <v>4037</v>
      </c>
      <c r="C122" s="22" t="s">
        <v>326</v>
      </c>
      <c r="D122" s="22" t="s">
        <v>287</v>
      </c>
      <c r="E122" s="13">
        <v>42670.735196759262</v>
      </c>
      <c r="F122" s="13">
        <v>42670.747430555559</v>
      </c>
      <c r="G122" s="7">
        <v>1</v>
      </c>
      <c r="H122" s="13" t="s">
        <v>215</v>
      </c>
      <c r="I122" s="13">
        <v>42670.774930555555</v>
      </c>
      <c r="J122" s="7">
        <v>0</v>
      </c>
      <c r="K122" s="112" t="str">
        <f t="shared" si="53"/>
        <v>4037/4038</v>
      </c>
      <c r="L122" s="22" t="str">
        <f>VLOOKUP(A122,'Trips&amp;Operators'!$C$1:$E$10000,3,FALSE)</f>
        <v>LOPES</v>
      </c>
      <c r="M122" s="6">
        <f t="shared" si="54"/>
        <v>2.749999999650754E-2</v>
      </c>
      <c r="N122" s="7">
        <f t="shared" si="65"/>
        <v>39.599999994970858</v>
      </c>
      <c r="O122" s="7"/>
      <c r="P122" s="7"/>
      <c r="Q122" s="23"/>
      <c r="R122" s="23"/>
      <c r="S122" s="35">
        <f t="shared" si="55"/>
        <v>1</v>
      </c>
      <c r="T122" s="50" t="str">
        <f t="shared" si="56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16:38:41-0600',mode:absolute,to:'2016-10-27 19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2" s="52" t="str">
        <f t="shared" si="58"/>
        <v>N</v>
      </c>
      <c r="X122" s="177">
        <f t="shared" si="67"/>
        <v>1</v>
      </c>
      <c r="Y122" s="67">
        <f t="shared" si="66"/>
        <v>23.299800000000001</v>
      </c>
      <c r="Z122" s="67">
        <f t="shared" si="59"/>
        <v>1.4500000000000001E-2</v>
      </c>
      <c r="AA122" s="67">
        <f t="shared" si="60"/>
        <v>23.285299999999999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61"/>
        <v>0208-27</v>
      </c>
      <c r="AE122" s="91" t="str">
        <f t="shared" si="49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122" s="88" t="str">
        <f t="shared" si="50"/>
        <v>"C:\Program Files (x86)\AstroGrep\AstroGrep.exe" /spath="%USERPROFILE%\AppData\Local\Temp\OnboardLogs" /stypes="app*4037*20161028*" /stext=" 00:.+((SYSTEM_STATE.+slice.+state.+changed )|(ment ac)|(system.+state.+changed )|(\[timeout)|(PRM\|1\|D)|(kpr)|(kdp)|(\|lc)|(penalty))" /e /r /s</v>
      </c>
      <c r="AG122" s="1" t="str">
        <f t="shared" si="62"/>
        <v>EC</v>
      </c>
      <c r="AH122" s="92" t="str">
        <f t="shared" si="51"/>
        <v>"%USERPROFILE%\Documents\GitHub\eaglep3\Utilities\RefineRTDCRunTimes.py" --tripid 208-27 --locoid 4037 --swversion DE.1.0.8.0 --startMP 204:232998 --initTime 2016-10-27T17:38:41 --startdatetime 2016-10-27T17:56:18 --delay 1 --endMP 204:145 --enddatetime 2016-10-27T18:35:54 --enforcementcount 0 &gt;&gt;C:\Users\stu\Documents\GitHub\eaglep3-reporting\EC\2016-10-27-refined-times.txt</v>
      </c>
      <c r="AI122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ID","value":"208-27"},{"id":16,"name":"Locomotive ID","value":"4037"},{"id":130,"name":"Impact","value":""},{"id":150,"name":"Time of Event (Mountain Time)","value":"18:35:54"},{"id":151,"name":"Denver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91" s="21" customFormat="1" x14ac:dyDescent="0.25">
      <c r="A123" s="37" t="s">
        <v>557</v>
      </c>
      <c r="B123" s="7">
        <v>4018</v>
      </c>
      <c r="C123" s="22" t="s">
        <v>326</v>
      </c>
      <c r="D123" s="22" t="s">
        <v>228</v>
      </c>
      <c r="E123" s="13">
        <v>42670.715578703705</v>
      </c>
      <c r="F123" s="13">
        <v>42670.719409722224</v>
      </c>
      <c r="G123" s="7">
        <v>1</v>
      </c>
      <c r="H123" s="13" t="s">
        <v>311</v>
      </c>
      <c r="I123" s="13">
        <v>42670.744618055556</v>
      </c>
      <c r="J123" s="7">
        <v>0</v>
      </c>
      <c r="K123" s="112" t="str">
        <f t="shared" si="53"/>
        <v>4017/4018</v>
      </c>
      <c r="L123" s="22" t="str">
        <f>VLOOKUP(A123,'Trips&amp;Operators'!$C$1:$E$10000,3,FALSE)</f>
        <v>SMITH</v>
      </c>
      <c r="M123" s="6">
        <f t="shared" si="54"/>
        <v>2.5208333332557231E-2</v>
      </c>
      <c r="N123" s="7">
        <f t="shared" si="65"/>
        <v>36.299999998882413</v>
      </c>
      <c r="O123" s="7"/>
      <c r="P123" s="7"/>
      <c r="Q123" s="23"/>
      <c r="R123" s="23"/>
      <c r="S123" s="35">
        <f t="shared" si="55"/>
        <v>1</v>
      </c>
      <c r="T123" s="50" t="str">
        <f t="shared" si="56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16:10:26-0600',mode:absolute,to:'2016-10-27 18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3" s="52" t="str">
        <f t="shared" si="58"/>
        <v>N</v>
      </c>
      <c r="X123" s="177">
        <f t="shared" si="67"/>
        <v>1</v>
      </c>
      <c r="Y123" s="67">
        <f t="shared" si="66"/>
        <v>4.5999999999999999E-2</v>
      </c>
      <c r="Z123" s="67">
        <f t="shared" si="59"/>
        <v>23.330100000000002</v>
      </c>
      <c r="AA123" s="67">
        <f t="shared" si="60"/>
        <v>23.284100000000002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61"/>
        <v>0209-27</v>
      </c>
      <c r="AE123" s="91" t="str">
        <f t="shared" si="49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123" s="88" t="str">
        <f t="shared" si="50"/>
        <v>"C:\Program Files (x86)\AstroGrep\AstroGrep.exe" /spath="%USERPROFILE%\AppData\Local\Temp\OnboardLogs" /stypes="app*4018*20161027*" /stext=" 23:.+((SYSTEM_STATE.+slice.+state.+changed )|(ment ac)|(system.+state.+changed )|(\[timeout)|(PRM\|1\|D)|(kpr)|(kdp)|(\|lc)|(penalty))" /e /r /s</v>
      </c>
      <c r="AG123" s="1" t="str">
        <f t="shared" si="62"/>
        <v>EC</v>
      </c>
      <c r="AH123" s="92" t="str">
        <f t="shared" si="51"/>
        <v>"%USERPROFILE%\Documents\GitHub\eaglep3\Utilities\RefineRTDCRunTimes.py" --tripid 209-27 --locoid 4018 --swversion DE.1.0.8.0 --startMP 204:460 --initTime 2016-10-27T17:10:26 --startdatetime 2016-10-27T17:15:57 --delay 1 --endMP 204:233301 --enddatetime 2016-10-27T17:52:15 --enforcementcount 0 &gt;&gt;C:\Users\stu\Documents\GitHub\eaglep3-reporting\EC\2016-10-27-refined-times.txt</v>
      </c>
      <c r="AI123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{"issue":{"subject":"","project_id":79,"tracker_id":40,"status_id":1,"priority_id":2,"assigned_to_id":23,"start_date":"2016-10-27","description":"","custom_fields":[{"id":1,"name":"Subdivision","value":"EC"},{"id":4,"name":"Milepost","value":"23.3301"},{"id":17,"name":"Train ID","value":"209-27"},{"id":16,"name":"Locomotive ID","value":"4018"},{"id":130,"name":"Impact","value":""},{"id":150,"name":"Time of Event (Mountain Time)","value":"17:52:15"},{"id":151,"name":"Denver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570</v>
      </c>
      <c r="B124" s="7">
        <v>4017</v>
      </c>
      <c r="C124" s="22" t="s">
        <v>326</v>
      </c>
      <c r="D124" s="22" t="s">
        <v>674</v>
      </c>
      <c r="E124" s="13">
        <v>42670.751064814816</v>
      </c>
      <c r="F124" s="13">
        <v>42670.758032407408</v>
      </c>
      <c r="G124" s="7">
        <v>2</v>
      </c>
      <c r="H124" s="13" t="s">
        <v>215</v>
      </c>
      <c r="I124" s="13">
        <v>42670.784120370372</v>
      </c>
      <c r="J124" s="7">
        <v>0</v>
      </c>
      <c r="K124" s="112" t="str">
        <f t="shared" si="53"/>
        <v>4017/4018</v>
      </c>
      <c r="L124" s="22" t="str">
        <f>VLOOKUP(A124,'Trips&amp;Operators'!$C$1:$E$10000,3,FALSE)</f>
        <v>SMITH</v>
      </c>
      <c r="M124" s="6">
        <f t="shared" si="54"/>
        <v>2.6087962964083999E-2</v>
      </c>
      <c r="N124" s="7">
        <f t="shared" si="65"/>
        <v>37.566666668280959</v>
      </c>
      <c r="O124" s="7"/>
      <c r="P124" s="7"/>
      <c r="Q124" s="23"/>
      <c r="R124" s="23"/>
      <c r="S124" s="35">
        <f t="shared" si="55"/>
        <v>1</v>
      </c>
      <c r="T124" s="50" t="str">
        <f t="shared" si="56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17:01:32-0600',mode:absolute,to:'2016-10-27 19:49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4" s="52" t="str">
        <f t="shared" si="58"/>
        <v>N</v>
      </c>
      <c r="X124" s="177">
        <f t="shared" si="67"/>
        <v>1</v>
      </c>
      <c r="Y124" s="67">
        <f t="shared" si="66"/>
        <v>23.297499999999999</v>
      </c>
      <c r="Z124" s="67">
        <f t="shared" si="59"/>
        <v>1.4500000000000001E-2</v>
      </c>
      <c r="AA124" s="67">
        <f t="shared" si="60"/>
        <v>23.282999999999998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61"/>
        <v>0210-27</v>
      </c>
      <c r="AE124" s="91" t="str">
        <f t="shared" si="49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124" s="88" t="str">
        <f t="shared" si="50"/>
        <v>"C:\Program Files (x86)\AstroGrep\AstroGrep.exe" /spath="%USERPROFILE%\AppData\Local\Temp\OnboardLogs" /stypes="app*4017*20161028*" /stext=" 00:.+((SYSTEM_STATE.+slice.+state.+changed )|(ment ac)|(system.+state.+changed )|(\[timeout)|(PRM\|1\|D)|(kpr)|(kdp)|(\|lc)|(penalty))" /e /r /s</v>
      </c>
      <c r="AG124" s="1" t="str">
        <f t="shared" si="62"/>
        <v>EC</v>
      </c>
      <c r="AH124" s="92" t="str">
        <f t="shared" si="51"/>
        <v>"%USERPROFILE%\Documents\GitHub\eaglep3\Utilities\RefineRTDCRunTimes.py" --tripid 210-27 --locoid 4017 --swversion DE.1.0.8.0 --startMP 204:232975 --initTime 2016-10-27T18:01:32 --startdatetime 2016-10-27T18:11:34 --delay 2 --endMP 204:145 --enddatetime 2016-10-27T18:49:08 --enforcementcount 0 &gt;&gt;C:\Users\stu\Documents\GitHub\eaglep3-reporting\EC\2016-10-27-refined-times.txt</v>
      </c>
      <c r="AI124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ID","value":"210-27"},{"id":16,"name":"Locomotive ID","value":"4017"},{"id":130,"name":"Impact","value":""},{"id":150,"name":"Time of Event (Mountain Time)","value":"18:49:08"},{"id":151,"name":"Denver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561</v>
      </c>
      <c r="B125" s="7">
        <v>4022</v>
      </c>
      <c r="C125" s="22" t="s">
        <v>326</v>
      </c>
      <c r="D125" s="22" t="s">
        <v>277</v>
      </c>
      <c r="E125" s="13">
        <v>42670.724560185183</v>
      </c>
      <c r="F125" s="13">
        <v>42670.729525462964</v>
      </c>
      <c r="G125" s="7">
        <v>6</v>
      </c>
      <c r="H125" s="13" t="s">
        <v>296</v>
      </c>
      <c r="I125" s="13">
        <v>42670.757175925923</v>
      </c>
      <c r="J125" s="7">
        <v>0</v>
      </c>
      <c r="K125" s="112" t="str">
        <f t="shared" si="53"/>
        <v>4021/4022</v>
      </c>
      <c r="L125" s="22" t="str">
        <f>VLOOKUP(A125,'Trips&amp;Operators'!$C$1:$E$10000,3,FALSE)</f>
        <v>YOUNG</v>
      </c>
      <c r="M125" s="6">
        <f t="shared" si="54"/>
        <v>2.7650462958263233E-2</v>
      </c>
      <c r="N125" s="7">
        <f t="shared" si="65"/>
        <v>39.816666659899056</v>
      </c>
      <c r="O125" s="7"/>
      <c r="P125" s="7"/>
      <c r="Q125" s="23"/>
      <c r="R125" s="23"/>
      <c r="S125" s="35">
        <f t="shared" si="55"/>
        <v>1</v>
      </c>
      <c r="T125" s="50" t="str">
        <f t="shared" si="56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16:23:22-0600',mode:absolute,to:'2016-10-27 19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5" s="52" t="str">
        <f t="shared" si="58"/>
        <v>N</v>
      </c>
      <c r="X125" s="177">
        <f t="shared" si="67"/>
        <v>1</v>
      </c>
      <c r="Y125" s="67">
        <f t="shared" si="66"/>
        <v>4.4200000000000003E-2</v>
      </c>
      <c r="Z125" s="67">
        <f t="shared" si="59"/>
        <v>23.331900000000001</v>
      </c>
      <c r="AA125" s="67">
        <f t="shared" si="60"/>
        <v>23.287700000000001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61"/>
        <v>0211-27</v>
      </c>
      <c r="AE125" s="91" t="str">
        <f t="shared" si="49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125" s="88" t="str">
        <f t="shared" si="50"/>
        <v>"C:\Program Files (x86)\AstroGrep\AstroGrep.exe" /spath="%USERPROFILE%\AppData\Local\Temp\OnboardLogs" /stypes="app*4022*20161028*" /stext=" 00:.+((SYSTEM_STATE.+slice.+state.+changed )|(ment ac)|(system.+state.+changed )|(\[timeout)|(PRM\|1\|D)|(kpr)|(kdp)|(\|lc)|(penalty))" /e /r /s</v>
      </c>
      <c r="AG125" s="1" t="str">
        <f t="shared" si="62"/>
        <v>EC</v>
      </c>
      <c r="AH125" s="92" t="str">
        <f t="shared" si="51"/>
        <v>"%USERPROFILE%\Documents\GitHub\eaglep3\Utilities\RefineRTDCRunTimes.py" --tripid 211-27 --locoid 4022 --swversion DE.1.0.8.0 --startMP 204:442 --initTime 2016-10-27T17:23:22 --startdatetime 2016-10-27T17:30:31 --delay 6 --endMP 204:233319 --enddatetime 2016-10-27T18:10:20 --enforcementcount 0 &gt;&gt;C:\Users\stu\Documents\GitHub\eaglep3-reporting\EC\2016-10-27-refined-times.txt</v>
      </c>
      <c r="AI125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{"issue":{"subject":"","project_id":79,"tracker_id":40,"status_id":1,"priority_id":2,"assigned_to_id":23,"start_date":"2016-10-27","description":"","custom_fields":[{"id":1,"name":"Subdivision","value":"EC"},{"id":4,"name":"Milepost","value":"23.3319"},{"id":17,"name":"Train ID","value":"211-27"},{"id":16,"name":"Locomotive ID","value":"4022"},{"id":130,"name":"Impact","value":""},{"id":150,"name":"Time of Event (Mountain Time)","value":"18:10:20"},{"id":151,"name":"Denver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574</v>
      </c>
      <c r="B126" s="7">
        <v>4021</v>
      </c>
      <c r="C126" s="22" t="s">
        <v>326</v>
      </c>
      <c r="D126" s="22" t="s">
        <v>246</v>
      </c>
      <c r="E126" s="13">
        <v>42670.760127314818</v>
      </c>
      <c r="F126" s="13">
        <v>42670.768287037034</v>
      </c>
      <c r="G126" s="7">
        <v>2</v>
      </c>
      <c r="H126" s="13" t="s">
        <v>175</v>
      </c>
      <c r="I126" s="13">
        <v>42670.797303240739</v>
      </c>
      <c r="J126" s="7">
        <v>0</v>
      </c>
      <c r="K126" s="112" t="str">
        <f t="shared" si="53"/>
        <v>4021/4022</v>
      </c>
      <c r="L126" s="22" t="str">
        <f>VLOOKUP(A126,'Trips&amp;Operators'!$C$1:$E$10000,3,FALSE)</f>
        <v>YOUNG</v>
      </c>
      <c r="M126" s="6">
        <f t="shared" si="54"/>
        <v>2.9016203705396038E-2</v>
      </c>
      <c r="N126" s="7">
        <f t="shared" si="65"/>
        <v>41.783333335770294</v>
      </c>
      <c r="O126" s="7"/>
      <c r="P126" s="7"/>
      <c r="Q126" s="23"/>
      <c r="R126" s="23"/>
      <c r="S126" s="35">
        <f t="shared" si="55"/>
        <v>1</v>
      </c>
      <c r="T126" s="50" t="str">
        <f t="shared" si="56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17:14:35-0600',mode:absolute,to:'2016-10-27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6" s="52" t="str">
        <f t="shared" si="58"/>
        <v>N</v>
      </c>
      <c r="X126" s="177">
        <f t="shared" si="67"/>
        <v>1</v>
      </c>
      <c r="Y126" s="67">
        <f t="shared" si="66"/>
        <v>23.299399999999999</v>
      </c>
      <c r="Z126" s="67">
        <f t="shared" si="59"/>
        <v>1.47E-2</v>
      </c>
      <c r="AA126" s="67">
        <f t="shared" si="60"/>
        <v>23.284699999999997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61"/>
        <v>0212-27</v>
      </c>
      <c r="AE126" s="91" t="str">
        <f t="shared" si="49"/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AF126" s="88" t="str">
        <f t="shared" si="50"/>
        <v>"C:\Program Files (x86)\AstroGrep\AstroGrep.exe" /spath="%USERPROFILE%\AppData\Local\Temp\OnboardLogs" /stypes="app*4021*20161028*" /stext=" 01:.+((SYSTEM_STATE.+slice.+state.+changed )|(ment ac)|(system.+state.+changed )|(\[timeout)|(PRM\|1\|D)|(kpr)|(kdp)|(\|lc)|(penalty))" /e /r /s</v>
      </c>
      <c r="AG126" s="1" t="str">
        <f t="shared" si="62"/>
        <v>EC</v>
      </c>
      <c r="AH126" s="92" t="str">
        <f t="shared" si="51"/>
        <v>"%USERPROFILE%\Documents\GitHub\eaglep3\Utilities\RefineRTDCRunTimes.py" --tripid 212-27 --locoid 4021 --swversion DE.1.0.8.0 --startMP 204:232994 --initTime 2016-10-27T18:14:35 --startdatetime 2016-10-27T18:26:20 --delay 2 --endMP 204:147 --enddatetime 2016-10-27T19:08:07 --enforcementcount 0 &gt;&gt;C:\Users\stu\Documents\GitHub\eaglep3-reporting\EC\2016-10-27-refined-times.txt</v>
      </c>
      <c r="AI126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{"issue":{"subject":"","project_id":79,"tracker_id":40,"status_id":1,"priority_id":2,"assigned_to_id":23,"start_date":"2016-10-27","description":"","custom_fields":[{"id":1,"name":"Subdivision","value":"EC"},{"id":4,"name":"Milepost","value":"0.0147"},{"id":17,"name":"Train ID","value":"212-27"},{"id":16,"name":"Locomotive ID","value":"4021"},{"id":130,"name":"Impact","value":""},{"id":150,"name":"Time of Event (Mountain Time)","value":"19:08:07"},{"id":151,"name":"Denver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564</v>
      </c>
      <c r="B127" s="7">
        <v>4002</v>
      </c>
      <c r="C127" s="22" t="s">
        <v>326</v>
      </c>
      <c r="D127" s="22" t="s">
        <v>279</v>
      </c>
      <c r="E127" s="13">
        <v>42670.734537037039</v>
      </c>
      <c r="F127" s="13">
        <v>42670.739930555559</v>
      </c>
      <c r="G127" s="7">
        <v>2</v>
      </c>
      <c r="H127" s="13" t="s">
        <v>315</v>
      </c>
      <c r="I127" s="13">
        <v>42670.764409722222</v>
      </c>
      <c r="J127" s="7">
        <v>0</v>
      </c>
      <c r="K127" s="112" t="str">
        <f t="shared" si="53"/>
        <v>4001/4002</v>
      </c>
      <c r="L127" s="22" t="str">
        <f>VLOOKUP(A127,'Trips&amp;Operators'!$C$1:$E$10000,3,FALSE)</f>
        <v>BERLING</v>
      </c>
      <c r="M127" s="6">
        <f t="shared" si="54"/>
        <v>2.4479166662786156E-2</v>
      </c>
      <c r="N127" s="7">
        <f t="shared" si="65"/>
        <v>35.249999994412065</v>
      </c>
      <c r="O127" s="7"/>
      <c r="P127" s="7"/>
      <c r="Q127" s="23"/>
      <c r="R127" s="23"/>
      <c r="S127" s="35">
        <f t="shared" si="55"/>
        <v>1</v>
      </c>
      <c r="T127" s="50" t="str">
        <f t="shared" si="56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16:37:44-0600',mode:absolute,to:'2016-10-27 19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7" s="52" t="str">
        <f t="shared" si="58"/>
        <v>N</v>
      </c>
      <c r="X127" s="177">
        <f t="shared" si="67"/>
        <v>1</v>
      </c>
      <c r="Y127" s="67">
        <f t="shared" si="66"/>
        <v>4.7800000000000002E-2</v>
      </c>
      <c r="Z127" s="67">
        <f t="shared" si="59"/>
        <v>23.330500000000001</v>
      </c>
      <c r="AA127" s="67">
        <f t="shared" si="60"/>
        <v>23.282700000000002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61"/>
        <v>0213-27</v>
      </c>
      <c r="AE127" s="91" t="str">
        <f t="shared" si="49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127" s="88" t="str">
        <f t="shared" si="50"/>
        <v>"C:\Program Files (x86)\AstroGrep\AstroGrep.exe" /spath="%USERPROFILE%\AppData\Local\Temp\OnboardLogs" /stypes="app*4002*20161028*" /stext=" 00:.+((SYSTEM_STATE.+slice.+state.+changed )|(ment ac)|(system.+state.+changed )|(\[timeout)|(PRM\|1\|D)|(kpr)|(kdp)|(\|lc)|(penalty))" /e /r /s</v>
      </c>
      <c r="AG127" s="1" t="str">
        <f t="shared" si="62"/>
        <v>EC</v>
      </c>
      <c r="AH127" s="92" t="str">
        <f t="shared" si="51"/>
        <v>"%USERPROFILE%\Documents\GitHub\eaglep3\Utilities\RefineRTDCRunTimes.py" --tripid 213-27 --locoid 4002 --swversion DE.1.0.8.0 --startMP 204:478 --initTime 2016-10-27T17:37:44 --startdatetime 2016-10-27T17:45:30 --delay 2 --endMP 204:233305 --enddatetime 2016-10-27T18:20:45 --enforcementcount 0 &gt;&gt;C:\Users\stu\Documents\GitHub\eaglep3-reporting\EC\2016-10-27-refined-times.txt</v>
      </c>
      <c r="AI127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{"issue":{"subject":"","project_id":79,"tracker_id":40,"status_id":1,"priority_id":2,"assigned_to_id":23,"start_date":"2016-10-27","description":"","custom_fields":[{"id":1,"name":"Subdivision","value":"EC"},{"id":4,"name":"Milepost","value":"23.3305"},{"id":17,"name":"Train ID","value":"213-27"},{"id":16,"name":"Locomotive ID","value":"4002"},{"id":130,"name":"Impact","value":""},{"id":150,"name":"Time of Event (Mountain Time)","value":"18:20:45"},{"id":151,"name":"Denver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420</v>
      </c>
      <c r="B128" s="7">
        <v>4001</v>
      </c>
      <c r="C128" s="22" t="s">
        <v>326</v>
      </c>
      <c r="D128" s="22" t="s">
        <v>289</v>
      </c>
      <c r="E128" s="13">
        <v>42670.77144675926</v>
      </c>
      <c r="F128" s="13">
        <v>42670.778773148151</v>
      </c>
      <c r="G128" s="7">
        <v>2</v>
      </c>
      <c r="H128" s="13" t="s">
        <v>675</v>
      </c>
      <c r="I128" s="13">
        <v>42670.805358796293</v>
      </c>
      <c r="J128" s="7">
        <v>0</v>
      </c>
      <c r="K128" s="112" t="str">
        <f t="shared" si="53"/>
        <v>4001/4002</v>
      </c>
      <c r="L128" s="22" t="str">
        <f>VLOOKUP(A128,'Trips&amp;Operators'!$C$1:$E$10000,3,FALSE)</f>
        <v>BERLING</v>
      </c>
      <c r="M128" s="6">
        <f t="shared" si="54"/>
        <v>2.6585648141917773E-2</v>
      </c>
      <c r="N128" s="7">
        <f t="shared" si="65"/>
        <v>38.283333324361593</v>
      </c>
      <c r="O128" s="7"/>
      <c r="P128" s="7"/>
      <c r="Q128" s="23"/>
      <c r="R128" s="23"/>
      <c r="S128" s="35">
        <f t="shared" si="55"/>
        <v>1</v>
      </c>
      <c r="T128" s="50" t="str">
        <f t="shared" si="56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17:30:53-0600',mode:absolute,to:'2016-10-27 20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8" s="52" t="str">
        <f t="shared" si="58"/>
        <v>N</v>
      </c>
      <c r="X128" s="177">
        <f t="shared" si="67"/>
        <v>1</v>
      </c>
      <c r="Y128" s="67">
        <f t="shared" si="66"/>
        <v>23.299600000000002</v>
      </c>
      <c r="Z128" s="67">
        <f t="shared" si="59"/>
        <v>2.3400000000000001E-2</v>
      </c>
      <c r="AA128" s="67">
        <f t="shared" si="60"/>
        <v>23.276200000000003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61"/>
        <v>0214-27</v>
      </c>
      <c r="AE128" s="91" t="str">
        <f t="shared" si="49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128" s="88" t="str">
        <f t="shared" si="50"/>
        <v>"C:\Program Files (x86)\AstroGrep\AstroGrep.exe" /spath="%USERPROFILE%\AppData\Local\Temp\OnboardLogs" /stypes="app*4001*20161028*" /stext=" 01:.+((SYSTEM_STATE.+slice.+state.+changed )|(ment ac)|(system.+state.+changed )|(\[timeout)|(PRM\|1\|D)|(kpr)|(kdp)|(\|lc)|(penalty))" /e /r /s</v>
      </c>
      <c r="AG128" s="1" t="str">
        <f t="shared" si="62"/>
        <v>EC</v>
      </c>
      <c r="AH128" s="92" t="str">
        <f t="shared" si="51"/>
        <v>"%USERPROFILE%\Documents\GitHub\eaglep3\Utilities\RefineRTDCRunTimes.py" --tripid 214-27 --locoid 4001 --swversion DE.1.0.8.0 --startMP 204:232996 --initTime 2016-10-27T18:30:53 --startdatetime 2016-10-27T18:41:26 --delay 2 --endMP 204:234 --enddatetime 2016-10-27T19:19:43 --enforcementcount 0 &gt;&gt;C:\Users\stu\Documents\GitHub\eaglep3-reporting\EC\2016-10-27-refined-times.txt</v>
      </c>
      <c r="AI128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{"issue":{"subject":"","project_id":79,"tracker_id":40,"status_id":1,"priority_id":2,"assigned_to_id":23,"start_date":"2016-10-27","description":"","custom_fields":[{"id":1,"name":"Subdivision","value":"EC"},{"id":4,"name":"Milepost","value":"0.0234"},{"id":17,"name":"Train ID","value":"214-27"},{"id":16,"name":"Locomotive ID","value":"4001"},{"id":130,"name":"Impact","value":""},{"id":150,"name":"Time of Event (Mountain Time)","value":"19:19:43"},{"id":151,"name":"Denver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569</v>
      </c>
      <c r="B129" s="7">
        <v>4007</v>
      </c>
      <c r="C129" s="22" t="s">
        <v>326</v>
      </c>
      <c r="D129" s="22" t="s">
        <v>247</v>
      </c>
      <c r="E129" s="13">
        <v>42670.745706018519</v>
      </c>
      <c r="F129" s="13">
        <v>42670.751076388886</v>
      </c>
      <c r="G129" s="7">
        <v>6</v>
      </c>
      <c r="H129" s="13" t="s">
        <v>217</v>
      </c>
      <c r="I129" s="13">
        <v>42670.774768518517</v>
      </c>
      <c r="J129" s="7">
        <v>0</v>
      </c>
      <c r="K129" s="112" t="str">
        <f t="shared" si="53"/>
        <v>4007/4008</v>
      </c>
      <c r="L129" s="22" t="str">
        <f>VLOOKUP(A129,'Trips&amp;Operators'!$C$1:$E$10000,3,FALSE)</f>
        <v>ROMERO</v>
      </c>
      <c r="M129" s="6">
        <f t="shared" si="54"/>
        <v>2.3692129630944692E-2</v>
      </c>
      <c r="N129" s="7">
        <f t="shared" si="65"/>
        <v>34.116666668560356</v>
      </c>
      <c r="O129" s="7"/>
      <c r="P129" s="7"/>
      <c r="Q129" s="23"/>
      <c r="R129" s="23"/>
      <c r="S129" s="35">
        <f t="shared" si="55"/>
        <v>1</v>
      </c>
      <c r="T129" s="50" t="str">
        <f t="shared" si="56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16:53:49-0600',mode:absolute,to:'2016-10-27 19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9" s="52" t="str">
        <f t="shared" si="58"/>
        <v>N</v>
      </c>
      <c r="X129" s="177">
        <f t="shared" si="67"/>
        <v>1</v>
      </c>
      <c r="Y129" s="67">
        <f t="shared" si="66"/>
        <v>4.7100000000000003E-2</v>
      </c>
      <c r="Z129" s="67">
        <f t="shared" si="59"/>
        <v>23.3293</v>
      </c>
      <c r="AA129" s="67">
        <f t="shared" si="60"/>
        <v>23.2822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61"/>
        <v>0215-27</v>
      </c>
      <c r="AE129" s="91" t="str">
        <f t="shared" si="49"/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AF129" s="88" t="str">
        <f t="shared" si="50"/>
        <v>"C:\Program Files (x86)\AstroGrep\AstroGrep.exe" /spath="%USERPROFILE%\AppData\Local\Temp\OnboardLogs" /stypes="app*4007*20161028*" /stext=" 00:.+((SYSTEM_STATE.+slice.+state.+changed )|(ment ac)|(system.+state.+changed )|(\[timeout)|(PRM\|1\|D)|(kpr)|(kdp)|(\|lc)|(penalty))" /e /r /s</v>
      </c>
      <c r="AG129" s="1" t="str">
        <f t="shared" si="62"/>
        <v>EC</v>
      </c>
      <c r="AH129" s="92" t="str">
        <f t="shared" si="51"/>
        <v>"%USERPROFILE%\Documents\GitHub\eaglep3\Utilities\RefineRTDCRunTimes.py" --tripid 215-27 --locoid 4007 --swversion DE.1.0.8.0 --startMP 204:471 --initTime 2016-10-27T17:53:49 --startdatetime 2016-10-27T18:01:33 --delay 6 --endMP 204:233293 --enddatetime 2016-10-27T18:35:40 --enforcementcount 0 &gt;&gt;C:\Users\stu\Documents\GitHub\eaglep3-reporting\EC\2016-10-27-refined-times.txt</v>
      </c>
      <c r="AI129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{"issue":{"subject":"","project_id":79,"tracker_id":40,"status_id":1,"priority_id":2,"assigned_to_id":23,"start_date":"2016-10-27","description":"","custom_fields":[{"id":1,"name":"Subdivision","value":"EC"},{"id":4,"name":"Milepost","value":"23.3293"},{"id":17,"name":"Train ID","value":"215-27"},{"id":16,"name":"Locomotive ID","value":"4007"},{"id":130,"name":"Impact","value":""},{"id":150,"name":"Time of Event (Mountain Time)","value":"18:35:40"},{"id":151,"name":"Denver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579</v>
      </c>
      <c r="B130" s="7">
        <v>4008</v>
      </c>
      <c r="C130" s="22" t="s">
        <v>326</v>
      </c>
      <c r="D130" s="22" t="s">
        <v>343</v>
      </c>
      <c r="E130" s="13">
        <v>42670.784189814818</v>
      </c>
      <c r="F130" s="13">
        <v>42670.789039351854</v>
      </c>
      <c r="G130" s="7">
        <v>2</v>
      </c>
      <c r="H130" s="13" t="s">
        <v>346</v>
      </c>
      <c r="I130" s="13">
        <v>42670.81658564815</v>
      </c>
      <c r="J130" s="7">
        <v>0</v>
      </c>
      <c r="K130" s="112" t="str">
        <f t="shared" si="53"/>
        <v>4007/4008</v>
      </c>
      <c r="L130" s="22" t="str">
        <f>VLOOKUP(A130,'Trips&amp;Operators'!$C$1:$E$10000,3,FALSE)</f>
        <v>ROMERO</v>
      </c>
      <c r="M130" s="6">
        <f t="shared" si="54"/>
        <v>2.7546296296350192E-2</v>
      </c>
      <c r="N130" s="7">
        <f t="shared" si="65"/>
        <v>39.666666666744277</v>
      </c>
      <c r="O130" s="7"/>
      <c r="P130" s="7"/>
      <c r="Q130" s="23"/>
      <c r="R130" s="23"/>
      <c r="S130" s="35">
        <f t="shared" si="55"/>
        <v>1</v>
      </c>
      <c r="T130" s="50" t="str">
        <f t="shared" si="56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17:49:14-0600',mode:absolute,to:'2016-10-27 20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0" s="52" t="str">
        <f t="shared" si="58"/>
        <v>N</v>
      </c>
      <c r="X130" s="177">
        <f t="shared" si="67"/>
        <v>1</v>
      </c>
      <c r="Y130" s="67">
        <f t="shared" si="66"/>
        <v>23.297899999999998</v>
      </c>
      <c r="Z130" s="67">
        <f t="shared" si="59"/>
        <v>1.3899999999999999E-2</v>
      </c>
      <c r="AA130" s="67">
        <f t="shared" si="60"/>
        <v>23.283999999999999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61"/>
        <v>0216-27</v>
      </c>
      <c r="AE130" s="91" t="str">
        <f t="shared" si="49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130" s="88" t="str">
        <f t="shared" si="50"/>
        <v>"C:\Program Files (x86)\AstroGrep\AstroGrep.exe" /spath="%USERPROFILE%\AppData\Local\Temp\OnboardLogs" /stypes="app*4008*20161028*" /stext=" 01:.+((SYSTEM_STATE.+slice.+state.+changed )|(ment ac)|(system.+state.+changed )|(\[timeout)|(PRM\|1\|D)|(kpr)|(kdp)|(\|lc)|(penalty))" /e /r /s</v>
      </c>
      <c r="AG130" s="1" t="str">
        <f t="shared" si="62"/>
        <v>EC</v>
      </c>
      <c r="AH130" s="92" t="str">
        <f t="shared" si="51"/>
        <v>"%USERPROFILE%\Documents\GitHub\eaglep3\Utilities\RefineRTDCRunTimes.py" --tripid 216-27 --locoid 4008 --swversion DE.1.0.8.0 --startMP 204:232979 --initTime 2016-10-27T18:49:14 --startdatetime 2016-10-27T18:56:13 --delay 2 --endMP 204:139 --enddatetime 2016-10-27T19:35:53 --enforcementcount 0 &gt;&gt;C:\Users\stu\Documents\GitHub\eaglep3-reporting\EC\2016-10-27-refined-times.txt</v>
      </c>
      <c r="AI130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{"issue":{"subject":"","project_id":79,"tracker_id":40,"status_id":1,"priority_id":2,"assigned_to_id":23,"start_date":"2016-10-27","description":"","custom_fields":[{"id":1,"name":"Subdivision","value":"EC"},{"id":4,"name":"Milepost","value":"0.0139"},{"id":17,"name":"Train ID","value":"216-27"},{"id":16,"name":"Locomotive ID","value":"4008"},{"id":130,"name":"Impact","value":""},{"id":150,"name":"Time of Event (Mountain Time)","value":"19:35:53"},{"id":151,"name":"Denver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572</v>
      </c>
      <c r="B131" s="7">
        <v>4040</v>
      </c>
      <c r="C131" s="22" t="s">
        <v>326</v>
      </c>
      <c r="D131" s="22" t="s">
        <v>229</v>
      </c>
      <c r="E131" s="13">
        <v>42670.754756944443</v>
      </c>
      <c r="F131" s="13">
        <v>42670.760578703703</v>
      </c>
      <c r="G131" s="7">
        <v>1</v>
      </c>
      <c r="H131" s="13" t="s">
        <v>182</v>
      </c>
      <c r="I131" s="13">
        <v>42670.785069444442</v>
      </c>
      <c r="J131" s="7">
        <v>0</v>
      </c>
      <c r="K131" s="112" t="str">
        <f t="shared" si="53"/>
        <v>4039/4040</v>
      </c>
      <c r="L131" s="22" t="str">
        <f>VLOOKUP(A131,'Trips&amp;Operators'!$C$1:$E$10000,3,FALSE)</f>
        <v>LEVIN</v>
      </c>
      <c r="M131" s="6">
        <f t="shared" si="54"/>
        <v>2.4490740739565808E-2</v>
      </c>
      <c r="N131" s="7">
        <f t="shared" si="65"/>
        <v>35.266666664974764</v>
      </c>
      <c r="O131" s="7"/>
      <c r="P131" s="7"/>
      <c r="Q131" s="23"/>
      <c r="R131" s="23"/>
      <c r="S131" s="35">
        <f t="shared" si="55"/>
        <v>1</v>
      </c>
      <c r="T131" s="50" t="str">
        <f t="shared" si="56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17:06:51-0600',mode:absolute,to:'2016-10-27 19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1" s="52" t="str">
        <f t="shared" si="58"/>
        <v>N</v>
      </c>
      <c r="X131" s="177">
        <f t="shared" si="67"/>
        <v>1</v>
      </c>
      <c r="Y131" s="67">
        <f t="shared" si="66"/>
        <v>4.6899999999999997E-2</v>
      </c>
      <c r="Z131" s="67">
        <f t="shared" si="59"/>
        <v>23.331199999999999</v>
      </c>
      <c r="AA131" s="67">
        <f t="shared" si="60"/>
        <v>23.284299999999998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61"/>
        <v>0217-27</v>
      </c>
      <c r="AE131" s="91" t="str">
        <f t="shared" si="49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131" s="88" t="str">
        <f t="shared" si="50"/>
        <v>"C:\Program Files (x86)\AstroGrep\AstroGrep.exe" /spath="%USERPROFILE%\AppData\Local\Temp\OnboardLogs" /stypes="app*4040*20161028*" /stext=" 00:.+((SYSTEM_STATE.+slice.+state.+changed )|(ment ac)|(system.+state.+changed )|(\[timeout)|(PRM\|1\|D)|(kpr)|(kdp)|(\|lc)|(penalty))" /e /r /s</v>
      </c>
      <c r="AG131" s="1" t="str">
        <f t="shared" si="62"/>
        <v>EC</v>
      </c>
      <c r="AH131" s="92" t="str">
        <f t="shared" si="51"/>
        <v>"%USERPROFILE%\Documents\GitHub\eaglep3\Utilities\RefineRTDCRunTimes.py" --tripid 217-27 --locoid 4040 --swversion DE.1.0.8.0 --startMP 204:469 --initTime 2016-10-27T18:06:51 --startdatetime 2016-10-27T18:15:14 --delay 1 --endMP 204:233312 --enddatetime 2016-10-27T18:50:30 --enforcementcount 0 &gt;&gt;C:\Users\stu\Documents\GitHub\eaglep3-reporting\EC\2016-10-27-refined-times.txt</v>
      </c>
      <c r="AI131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{"issue":{"subject":"","project_id":79,"tracker_id":40,"status_id":1,"priority_id":2,"assigned_to_id":23,"start_date":"2016-10-27","description":"","custom_fields":[{"id":1,"name":"Subdivision","value":"EC"},{"id":4,"name":"Milepost","value":"23.3312"},{"id":17,"name":"Train ID","value":"217-27"},{"id":16,"name":"Locomotive ID","value":"4040"},{"id":130,"name":"Impact","value":""},{"id":150,"name":"Time of Event (Mountain Time)","value":"18:50:30"},{"id":151,"name":"Denver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581</v>
      </c>
      <c r="B132" s="7">
        <v>4039</v>
      </c>
      <c r="C132" s="22" t="s">
        <v>326</v>
      </c>
      <c r="D132" s="22" t="s">
        <v>316</v>
      </c>
      <c r="E132" s="13">
        <v>42670.794756944444</v>
      </c>
      <c r="F132" s="13">
        <v>42670.799490740741</v>
      </c>
      <c r="G132" s="7">
        <v>1</v>
      </c>
      <c r="H132" s="13" t="s">
        <v>181</v>
      </c>
      <c r="I132" s="13">
        <v>42670.825150462966</v>
      </c>
      <c r="J132" s="7">
        <v>0</v>
      </c>
      <c r="K132" s="112" t="str">
        <f t="shared" si="53"/>
        <v>4039/4040</v>
      </c>
      <c r="L132" s="22" t="str">
        <f>VLOOKUP(A132,'Trips&amp;Operators'!$C$1:$E$10000,3,FALSE)</f>
        <v>LEVIN</v>
      </c>
      <c r="M132" s="6">
        <f t="shared" si="54"/>
        <v>2.5659722225100268E-2</v>
      </c>
      <c r="N132" s="7">
        <f t="shared" si="65"/>
        <v>36.950000004144385</v>
      </c>
      <c r="O132" s="7"/>
      <c r="P132" s="7"/>
      <c r="Q132" s="23"/>
      <c r="R132" s="23"/>
      <c r="S132" s="35">
        <f t="shared" si="55"/>
        <v>1</v>
      </c>
      <c r="T132" s="50" t="str">
        <f t="shared" si="56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18:04:27-0600',mode:absolute,to:'2016-10-27 20:48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2" s="52" t="str">
        <f t="shared" si="58"/>
        <v>N</v>
      </c>
      <c r="X132" s="177">
        <f t="shared" si="67"/>
        <v>1</v>
      </c>
      <c r="Y132" s="67">
        <f t="shared" si="66"/>
        <v>23.2988</v>
      </c>
      <c r="Z132" s="67">
        <f t="shared" si="59"/>
        <v>1.41E-2</v>
      </c>
      <c r="AA132" s="67">
        <f t="shared" si="60"/>
        <v>23.284700000000001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61"/>
        <v>0218-27</v>
      </c>
      <c r="AE132" s="91" t="str">
        <f t="shared" si="49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132" s="88" t="str">
        <f t="shared" si="50"/>
        <v>"C:\Program Files (x86)\AstroGrep\AstroGrep.exe" /spath="%USERPROFILE%\AppData\Local\Temp\OnboardLogs" /stypes="app*4039*20161028*" /stext=" 01:.+((SYSTEM_STATE.+slice.+state.+changed )|(ment ac)|(system.+state.+changed )|(\[timeout)|(PRM\|1\|D)|(kpr)|(kdp)|(\|lc)|(penalty))" /e /r /s</v>
      </c>
      <c r="AG132" s="1" t="str">
        <f t="shared" si="62"/>
        <v>EC</v>
      </c>
      <c r="AH132" s="92" t="str">
        <f t="shared" si="51"/>
        <v>"%USERPROFILE%\Documents\GitHub\eaglep3\Utilities\RefineRTDCRunTimes.py" --tripid 218-27 --locoid 4039 --swversion DE.1.0.8.0 --startMP 204:232988 --initTime 2016-10-27T19:04:27 --startdatetime 2016-10-27T19:11:16 --delay 1 --endMP 204:141 --enddatetime 2016-10-27T19:48:13 --enforcementcount 0 &gt;&gt;C:\Users\stu\Documents\GitHub\eaglep3-reporting\EC\2016-10-27-refined-times.txt</v>
      </c>
      <c r="AI132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{"issue":{"subject":"","project_id":79,"tracker_id":40,"status_id":1,"priority_id":2,"assigned_to_id":23,"start_date":"2016-10-27","description":"","custom_fields":[{"id":1,"name":"Subdivision","value":"EC"},{"id":4,"name":"Milepost","value":"0.0141"},{"id":17,"name":"Train ID","value":"218-27"},{"id":16,"name":"Locomotive ID","value":"4039"},{"id":130,"name":"Impact","value":""},{"id":150,"name":"Time of Event (Mountain Time)","value":"19:48:13"},{"id":151,"name":"Denver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575</v>
      </c>
      <c r="B133" s="7">
        <v>4014</v>
      </c>
      <c r="C133" s="22" t="s">
        <v>326</v>
      </c>
      <c r="D133" s="22" t="s">
        <v>676</v>
      </c>
      <c r="E133" s="13">
        <v>42670.768333333333</v>
      </c>
      <c r="F133" s="13">
        <v>42670.771064814813</v>
      </c>
      <c r="G133" s="7">
        <v>1</v>
      </c>
      <c r="H133" s="13" t="s">
        <v>677</v>
      </c>
      <c r="I133" s="13">
        <v>42670.79859953704</v>
      </c>
      <c r="J133" s="7">
        <v>0</v>
      </c>
      <c r="K133" s="112" t="str">
        <f t="shared" si="53"/>
        <v>4013/4014</v>
      </c>
      <c r="L133" s="22" t="str">
        <f>VLOOKUP(A133,'Trips&amp;Operators'!$C$1:$E$10000,3,FALSE)</f>
        <v>DELGADO</v>
      </c>
      <c r="M133" s="6">
        <f t="shared" si="54"/>
        <v>2.7534722226846498E-2</v>
      </c>
      <c r="N133" s="7">
        <f t="shared" si="65"/>
        <v>39.650000006658956</v>
      </c>
      <c r="O133" s="7"/>
      <c r="P133" s="7"/>
      <c r="Q133" s="23"/>
      <c r="R133" s="23"/>
      <c r="S133" s="35">
        <f t="shared" si="55"/>
        <v>1</v>
      </c>
      <c r="T133" s="50" t="str">
        <f t="shared" si="56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17:26:24-0600',mode:absolute,to:'2016-10-27 20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3" s="52" t="str">
        <f t="shared" si="58"/>
        <v>N</v>
      </c>
      <c r="X133" s="177">
        <f t="shared" si="67"/>
        <v>1</v>
      </c>
      <c r="Y133" s="67">
        <f t="shared" si="66"/>
        <v>4.2900000000000001E-2</v>
      </c>
      <c r="Z133" s="67">
        <f t="shared" si="59"/>
        <v>23.3278</v>
      </c>
      <c r="AA133" s="67">
        <f t="shared" si="60"/>
        <v>23.2849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61"/>
        <v>0219-27</v>
      </c>
      <c r="AE133" s="91" t="str">
        <f t="shared" si="49"/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133" s="88" t="str">
        <f t="shared" si="50"/>
        <v>"C:\Program Files (x86)\AstroGrep\AstroGrep.exe" /spath="%USERPROFILE%\AppData\Local\Temp\OnboardLogs" /stypes="app*4014*20161028*" /stext=" 01:.+((SYSTEM_STATE.+slice.+state.+changed )|(ment ac)|(system.+state.+changed )|(\[timeout)|(PRM\|1\|D)|(kpr)|(kdp)|(\|lc)|(penalty))" /e /r /s</v>
      </c>
      <c r="AG133" s="1" t="str">
        <f t="shared" si="62"/>
        <v>EC</v>
      </c>
      <c r="AH133" s="92" t="str">
        <f t="shared" si="51"/>
        <v>"%USERPROFILE%\Documents\GitHub\eaglep3\Utilities\RefineRTDCRunTimes.py" --tripid 219-27 --locoid 4014 --swversion DE.1.0.8.0 --startMP 204:429 --initTime 2016-10-27T18:26:24 --startdatetime 2016-10-27T18:30:20 --delay 1 --endMP 204:233278 --enddatetime 2016-10-27T19:09:59 --enforcementcount 0 &gt;&gt;C:\Users\stu\Documents\GitHub\eaglep3-reporting\EC\2016-10-27-refined-times.txt</v>
      </c>
      <c r="AI133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{"issue":{"subject":"","project_id":79,"tracker_id":40,"status_id":1,"priority_id":2,"assigned_to_id":23,"start_date":"2016-10-27","description":"","custom_fields":[{"id":1,"name":"Subdivision","value":"EC"},{"id":4,"name":"Milepost","value":"23.3278"},{"id":17,"name":"Train ID","value":"219-27"},{"id":16,"name":"Locomotive ID","value":"4014"},{"id":130,"name":"Impact","value":""},{"id":150,"name":"Time of Event (Mountain Time)","value":"19:09:59"},{"id":151,"name":"Denver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584</v>
      </c>
      <c r="B134" s="7">
        <v>4013</v>
      </c>
      <c r="C134" s="22" t="s">
        <v>326</v>
      </c>
      <c r="D134" s="22" t="s">
        <v>345</v>
      </c>
      <c r="E134" s="13">
        <v>42670.804490740738</v>
      </c>
      <c r="F134" s="13">
        <v>42670.809907407405</v>
      </c>
      <c r="G134" s="7">
        <v>1</v>
      </c>
      <c r="H134" s="13" t="s">
        <v>181</v>
      </c>
      <c r="I134" s="13">
        <v>42670.839849537035</v>
      </c>
      <c r="J134" s="7">
        <v>0</v>
      </c>
      <c r="K134" s="112" t="str">
        <f t="shared" si="53"/>
        <v>4013/4014</v>
      </c>
      <c r="L134" s="22" t="str">
        <f>VLOOKUP(A134,'Trips&amp;Operators'!$C$1:$E$10000,3,FALSE)</f>
        <v>DELGADO</v>
      </c>
      <c r="M134" s="6">
        <f t="shared" si="54"/>
        <v>2.99421296294895E-2</v>
      </c>
      <c r="N134" s="7">
        <f t="shared" ref="N134:N165" si="68">24*60*SUM($M134:$M134)</f>
        <v>43.11666666646488</v>
      </c>
      <c r="O134" s="7"/>
      <c r="P134" s="7"/>
      <c r="Q134" s="23"/>
      <c r="R134" s="23"/>
      <c r="S134" s="35">
        <f t="shared" si="55"/>
        <v>1</v>
      </c>
      <c r="T134" s="50" t="str">
        <f t="shared" si="56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18:18:28-0600',mode:absolute,to:'2016-10-27 21:09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4" s="52" t="str">
        <f t="shared" si="58"/>
        <v>N</v>
      </c>
      <c r="X134" s="177">
        <f t="shared" si="67"/>
        <v>1</v>
      </c>
      <c r="Y134" s="67">
        <f t="shared" si="66"/>
        <v>23.296399999999998</v>
      </c>
      <c r="Z134" s="67">
        <f t="shared" si="59"/>
        <v>1.41E-2</v>
      </c>
      <c r="AA134" s="67">
        <f t="shared" si="60"/>
        <v>23.282299999999999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61"/>
        <v>0220-27</v>
      </c>
      <c r="AE134" s="91" t="str">
        <f t="shared" si="49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134" s="88" t="str">
        <f t="shared" si="50"/>
        <v>"C:\Program Files (x86)\AstroGrep\AstroGrep.exe" /spath="%USERPROFILE%\AppData\Local\Temp\OnboardLogs" /stypes="app*4013*20161028*" /stext=" 02:.+((SYSTEM_STATE.+slice.+state.+changed )|(ment ac)|(system.+state.+changed )|(\[timeout)|(PRM\|1\|D)|(kpr)|(kdp)|(\|lc)|(penalty))" /e /r /s</v>
      </c>
      <c r="AG134" s="1" t="str">
        <f t="shared" si="62"/>
        <v>EC</v>
      </c>
      <c r="AH134" s="92" t="str">
        <f t="shared" si="51"/>
        <v>"%USERPROFILE%\Documents\GitHub\eaglep3\Utilities\RefineRTDCRunTimes.py" --tripid 220-27 --locoid 4013 --swversion DE.1.0.8.0 --startMP 204:232964 --initTime 2016-10-27T19:18:28 --startdatetime 2016-10-27T19:26:16 --delay 1 --endMP 204:141 --enddatetime 2016-10-27T20:09:23 --enforcementcount 0 &gt;&gt;C:\Users\stu\Documents\GitHub\eaglep3-reporting\EC\2016-10-27-refined-times.txt</v>
      </c>
      <c r="AI134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{"issue":{"subject":"","project_id":79,"tracker_id":40,"status_id":1,"priority_id":2,"assigned_to_id":23,"start_date":"2016-10-27","description":"","custom_fields":[{"id":1,"name":"Subdivision","value":"EC"},{"id":4,"name":"Milepost","value":"0.0141"},{"id":17,"name":"Train ID","value":"220-27"},{"id":16,"name":"Locomotive ID","value":"4013"},{"id":130,"name":"Impact","value":""},{"id":150,"name":"Time of Event (Mountain Time)","value":"20:09:23"},{"id":151,"name":"Denver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580</v>
      </c>
      <c r="B135" s="7">
        <v>4018</v>
      </c>
      <c r="C135" s="22" t="s">
        <v>326</v>
      </c>
      <c r="D135" s="22" t="s">
        <v>224</v>
      </c>
      <c r="E135" s="13">
        <v>42670.78869212963</v>
      </c>
      <c r="F135" s="13">
        <v>42670.792025462964</v>
      </c>
      <c r="G135" s="7">
        <v>4</v>
      </c>
      <c r="H135" s="13" t="s">
        <v>347</v>
      </c>
      <c r="I135" s="13">
        <v>42670.817696759259</v>
      </c>
      <c r="J135" s="7">
        <v>0</v>
      </c>
      <c r="K135" s="112" t="str">
        <f t="shared" si="53"/>
        <v>4017/4018</v>
      </c>
      <c r="L135" s="22" t="str">
        <f>VLOOKUP(A135,'Trips&amp;Operators'!$C$1:$E$10000,3,FALSE)</f>
        <v>SMITH</v>
      </c>
      <c r="M135" s="6">
        <f t="shared" si="54"/>
        <v>2.5671296294603962E-2</v>
      </c>
      <c r="N135" s="7">
        <f t="shared" si="68"/>
        <v>36.966666664229706</v>
      </c>
      <c r="O135" s="7"/>
      <c r="P135" s="7"/>
      <c r="Q135" s="23"/>
      <c r="R135" s="23"/>
      <c r="S135" s="35">
        <f t="shared" si="55"/>
        <v>1</v>
      </c>
      <c r="T135" s="50" t="str">
        <f t="shared" si="56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17:55:43-0600',mode:absolute,to:'2016-10-27 20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5" s="52" t="str">
        <f t="shared" si="58"/>
        <v>N</v>
      </c>
      <c r="X135" s="177">
        <f t="shared" si="67"/>
        <v>1</v>
      </c>
      <c r="Y135" s="67">
        <f t="shared" si="66"/>
        <v>4.6600000000000003E-2</v>
      </c>
      <c r="Z135" s="67">
        <f t="shared" si="59"/>
        <v>23.328700000000001</v>
      </c>
      <c r="AA135" s="67">
        <f t="shared" si="60"/>
        <v>23.2821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61"/>
        <v>0221-27</v>
      </c>
      <c r="AE135" s="91" t="str">
        <f t="shared" si="49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135" s="88" t="str">
        <f t="shared" si="50"/>
        <v>"C:\Program Files (x86)\AstroGrep\AstroGrep.exe" /spath="%USERPROFILE%\AppData\Local\Temp\OnboardLogs" /stypes="app*4018*20161028*" /stext=" 01:.+((SYSTEM_STATE.+slice.+state.+changed )|(ment ac)|(system.+state.+changed )|(\[timeout)|(PRM\|1\|D)|(kpr)|(kdp)|(\|lc)|(penalty))" /e /r /s</v>
      </c>
      <c r="AG135" s="1" t="str">
        <f t="shared" si="62"/>
        <v>EC</v>
      </c>
      <c r="AH135" s="92" t="str">
        <f t="shared" si="51"/>
        <v>"%USERPROFILE%\Documents\GitHub\eaglep3\Utilities\RefineRTDCRunTimes.py" --tripid 221-27 --locoid 4018 --swversion DE.1.0.8.0 --startMP 204:466 --initTime 2016-10-27T18:55:43 --startdatetime 2016-10-27T19:00:31 --delay 4 --endMP 204:233287 --enddatetime 2016-10-27T19:37:29 --enforcementcount 0 &gt;&gt;C:\Users\stu\Documents\GitHub\eaglep3-reporting\EC\2016-10-27-refined-times.txt</v>
      </c>
      <c r="AI135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{"issue":{"subject":"","project_id":79,"tracker_id":40,"status_id":1,"priority_id":2,"assigned_to_id":23,"start_date":"2016-10-27","description":"","custom_fields":[{"id":1,"name":"Subdivision","value":"EC"},{"id":4,"name":"Milepost","value":"23.3287"},{"id":17,"name":"Train ID","value":"221-27"},{"id":16,"name":"Locomotive ID","value":"4018"},{"id":130,"name":"Impact","value":""},{"id":150,"name":"Time of Event (Mountain Time)","value":"19:37:29"},{"id":151,"name":"Denver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587</v>
      </c>
      <c r="B136" s="7">
        <v>4017</v>
      </c>
      <c r="C136" s="22" t="s">
        <v>326</v>
      </c>
      <c r="D136" s="22" t="s">
        <v>313</v>
      </c>
      <c r="E136" s="13">
        <v>42670.82340277778</v>
      </c>
      <c r="F136" s="13">
        <v>42670.830868055556</v>
      </c>
      <c r="G136" s="7">
        <v>1</v>
      </c>
      <c r="H136" s="13" t="s">
        <v>215</v>
      </c>
      <c r="I136" s="13">
        <v>42670.859710648147</v>
      </c>
      <c r="J136" s="7">
        <v>0</v>
      </c>
      <c r="K136" s="112" t="str">
        <f t="shared" si="53"/>
        <v>4017/4018</v>
      </c>
      <c r="L136" s="22" t="str">
        <f>VLOOKUP(A136,'Trips&amp;Operators'!$C$1:$E$10000,3,FALSE)</f>
        <v>SMITH</v>
      </c>
      <c r="M136" s="6">
        <f t="shared" si="54"/>
        <v>2.884259259008104E-2</v>
      </c>
      <c r="N136" s="7">
        <f t="shared" si="68"/>
        <v>41.533333329716697</v>
      </c>
      <c r="O136" s="7"/>
      <c r="P136" s="7"/>
      <c r="Q136" s="23"/>
      <c r="R136" s="23"/>
      <c r="S136" s="35">
        <f t="shared" si="55"/>
        <v>1</v>
      </c>
      <c r="T136" s="50" t="str">
        <f t="shared" si="56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18:45:42-0600',mode:absolute,to:'2016-10-27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6" s="52" t="str">
        <f t="shared" si="58"/>
        <v>N</v>
      </c>
      <c r="X136" s="177">
        <f t="shared" si="67"/>
        <v>1</v>
      </c>
      <c r="Y136" s="67">
        <f t="shared" si="66"/>
        <v>23.298100000000002</v>
      </c>
      <c r="Z136" s="67">
        <f t="shared" si="59"/>
        <v>1.4500000000000001E-2</v>
      </c>
      <c r="AA136" s="67">
        <f t="shared" si="60"/>
        <v>23.2836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61"/>
        <v>0222-27</v>
      </c>
      <c r="AE136" s="91" t="str">
        <f t="shared" si="49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136" s="88" t="str">
        <f t="shared" si="50"/>
        <v>"C:\Program Files (x86)\AstroGrep\AstroGrep.exe" /spath="%USERPROFILE%\AppData\Local\Temp\OnboardLogs" /stypes="app*4017*20161028*" /stext=" 02:.+((SYSTEM_STATE.+slice.+state.+changed )|(ment ac)|(system.+state.+changed )|(\[timeout)|(PRM\|1\|D)|(kpr)|(kdp)|(\|lc)|(penalty))" /e /r /s</v>
      </c>
      <c r="AG136" s="1" t="str">
        <f t="shared" si="62"/>
        <v>EC</v>
      </c>
      <c r="AH136" s="92" t="str">
        <f t="shared" si="51"/>
        <v>"%USERPROFILE%\Documents\GitHub\eaglep3\Utilities\RefineRTDCRunTimes.py" --tripid 222-27 --locoid 4017 --swversion DE.1.0.8.0 --startMP 204:232981 --initTime 2016-10-27T19:45:42 --startdatetime 2016-10-27T19:56:27 --delay 1 --endMP 204:145 --enddatetime 2016-10-27T20:37:59 --enforcementcount 0 &gt;&gt;C:\Users\stu\Documents\GitHub\eaglep3-reporting\EC\2016-10-27-refined-times.txt</v>
      </c>
      <c r="AI136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{"issue":{"subject":"","project_id":79,"tracker_id":40,"status_id":1,"priority_id":2,"assigned_to_id":23,"start_date":"2016-10-27","description":"","custom_fields":[{"id":1,"name":"Subdivision","value":"EC"},{"id":4,"name":"Milepost","value":"0.0145"},{"id":17,"name":"Train ID","value":"222-27"},{"id":16,"name":"Locomotive ID","value":"4017"},{"id":130,"name":"Impact","value":""},{"id":150,"name":"Time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422</v>
      </c>
      <c r="B137" s="7">
        <v>4002</v>
      </c>
      <c r="C137" s="22" t="s">
        <v>326</v>
      </c>
      <c r="D137" s="22" t="s">
        <v>678</v>
      </c>
      <c r="E137" s="13">
        <v>42670.807199074072</v>
      </c>
      <c r="F137" s="13">
        <v>42670.8127662037</v>
      </c>
      <c r="G137" s="7">
        <v>1</v>
      </c>
      <c r="H137" s="13" t="s">
        <v>217</v>
      </c>
      <c r="I137" s="13">
        <v>42670.83803240741</v>
      </c>
      <c r="J137" s="7">
        <v>0</v>
      </c>
      <c r="K137" s="112" t="str">
        <f t="shared" si="53"/>
        <v>4001/4002</v>
      </c>
      <c r="L137" s="22" t="str">
        <f>VLOOKUP(A137,'Trips&amp;Operators'!$C$1:$E$10000,3,FALSE)</f>
        <v>BERLING</v>
      </c>
      <c r="M137" s="6">
        <f t="shared" si="54"/>
        <v>2.5266203709179536E-2</v>
      </c>
      <c r="N137" s="7">
        <f t="shared" si="68"/>
        <v>36.383333341218531</v>
      </c>
      <c r="O137" s="7"/>
      <c r="P137" s="7"/>
      <c r="Q137" s="23"/>
      <c r="R137" s="23"/>
      <c r="S137" s="35">
        <f t="shared" si="55"/>
        <v>1</v>
      </c>
      <c r="T137" s="50" t="str">
        <f t="shared" si="56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18:22:22-0600',mode:absolute,to:'2016-10-27 21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7" s="52" t="str">
        <f t="shared" si="58"/>
        <v>N</v>
      </c>
      <c r="X137" s="177">
        <f t="shared" si="67"/>
        <v>1</v>
      </c>
      <c r="Y137" s="67">
        <f t="shared" si="66"/>
        <v>5.6000000000000001E-2</v>
      </c>
      <c r="Z137" s="67">
        <f t="shared" si="59"/>
        <v>23.3293</v>
      </c>
      <c r="AA137" s="67">
        <f t="shared" si="60"/>
        <v>23.273299999999999</v>
      </c>
      <c r="AB137" s="64" t="str">
        <f>VLOOKUP(A137,Enforcements!$C$7:$K$21,8,0)</f>
        <v>Bulletin (2)</v>
      </c>
      <c r="AC137" s="60" t="str">
        <f>VLOOKUP(A137,Enforcements!$C$7:$E$21,3,0)</f>
        <v>GRADE CROSSING</v>
      </c>
      <c r="AD137" s="61" t="str">
        <f t="shared" si="61"/>
        <v>0223-27</v>
      </c>
      <c r="AE137" s="91" t="str">
        <f t="shared" si="49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137" s="88" t="str">
        <f t="shared" si="50"/>
        <v>"C:\Program Files (x86)\AstroGrep\AstroGrep.exe" /spath="%USERPROFILE%\AppData\Local\Temp\OnboardLogs" /stypes="app*4002*20161028*" /stext=" 02:.+((SYSTEM_STATE.+slice.+state.+changed )|(ment ac)|(system.+state.+changed )|(\[timeout)|(PRM\|1\|D)|(kpr)|(kdp)|(\|lc)|(penalty))" /e /r /s</v>
      </c>
      <c r="AG137" s="1" t="str">
        <f t="shared" si="62"/>
        <v>EC</v>
      </c>
      <c r="AH137" s="92" t="str">
        <f t="shared" si="51"/>
        <v>"%USERPROFILE%\Documents\GitHub\eaglep3\Utilities\RefineRTDCRunTimes.py" --tripid 223-27 --locoid 4002 --swversion DE.1.0.8.0 --startMP 204:560 --initTime 2016-10-27T19:22:22 --startdatetime 2016-10-27T19:30:23 --delay 1 --endMP 204:233293 --enddatetime 2016-10-27T20:06:46 --enforcementcount 0 &gt;&gt;C:\Users\stu\Documents\GitHub\eaglep3-reporting\EC\2016-10-27-refined-times.txt</v>
      </c>
      <c r="AI137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{"issue":{"subject":"","project_id":79,"tracker_id":40,"status_id":1,"priority_id":2,"assigned_to_id":23,"start_date":"2016-10-27","description":"","custom_fields":[{"id":1,"name":"Subdivision","value":"EC"},{"id":4,"name":"Milepost","value":"23.3293"},{"id":17,"name":"Train ID","value":"223-27"},{"id":16,"name":"Locomotive ID","value":"4002"},{"id":130,"name":"Impact","value":""},{"id":150,"name":"Time of Event (Mountain Time)","value":"20:06:46"},{"id":151,"name":"Denver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425</v>
      </c>
      <c r="B138" s="7">
        <v>4001</v>
      </c>
      <c r="C138" s="22" t="s">
        <v>326</v>
      </c>
      <c r="D138" s="22" t="s">
        <v>314</v>
      </c>
      <c r="E138" s="13">
        <v>42670.843425925923</v>
      </c>
      <c r="F138" s="13">
        <v>42670.851655092592</v>
      </c>
      <c r="G138" s="7">
        <v>2</v>
      </c>
      <c r="H138" s="13" t="s">
        <v>181</v>
      </c>
      <c r="I138" s="13">
        <v>42670.878784722219</v>
      </c>
      <c r="J138" s="7">
        <v>0</v>
      </c>
      <c r="K138" s="112" t="str">
        <f t="shared" si="53"/>
        <v>4001/4002</v>
      </c>
      <c r="L138" s="22" t="str">
        <f>VLOOKUP(A138,'Trips&amp;Operators'!$C$1:$E$10000,3,FALSE)</f>
        <v>BERLING</v>
      </c>
      <c r="M138" s="6">
        <f t="shared" si="54"/>
        <v>2.7129629626870155E-2</v>
      </c>
      <c r="N138" s="7">
        <f t="shared" si="68"/>
        <v>39.066666662693024</v>
      </c>
      <c r="O138" s="7"/>
      <c r="P138" s="7"/>
      <c r="Q138" s="23"/>
      <c r="R138" s="23"/>
      <c r="S138" s="35">
        <f t="shared" si="55"/>
        <v>1</v>
      </c>
      <c r="T138" s="50" t="str">
        <f t="shared" si="56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19:14:32-0600',mode:absolute,to:'2016-10-27 22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8" s="52" t="str">
        <f t="shared" si="58"/>
        <v>N</v>
      </c>
      <c r="X138" s="177">
        <f t="shared" ref="X138:X169" si="69">VALUE(LEFT(AD138,4))-VALUE(LEFT(AD137,4))</f>
        <v>1</v>
      </c>
      <c r="Y138" s="67">
        <f t="shared" si="66"/>
        <v>23.297799999999999</v>
      </c>
      <c r="Z138" s="67">
        <f t="shared" si="59"/>
        <v>1.41E-2</v>
      </c>
      <c r="AA138" s="67">
        <f t="shared" si="60"/>
        <v>23.2837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61"/>
        <v>0224-27</v>
      </c>
      <c r="AE138" s="91" t="str">
        <f t="shared" si="49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138" s="88" t="str">
        <f t="shared" si="50"/>
        <v>"C:\Program Files (x86)\AstroGrep\AstroGrep.exe" /spath="%USERPROFILE%\AppData\Local\Temp\OnboardLogs" /stypes="app*4001*20161028*" /stext=" 03:.+((SYSTEM_STATE.+slice.+state.+changed )|(ment ac)|(system.+state.+changed )|(\[timeout)|(PRM\|1\|D)|(kpr)|(kdp)|(\|lc)|(penalty))" /e /r /s</v>
      </c>
      <c r="AG138" s="1" t="str">
        <f t="shared" si="62"/>
        <v>EC</v>
      </c>
      <c r="AH138" s="92" t="str">
        <f t="shared" si="51"/>
        <v>"%USERPROFILE%\Documents\GitHub\eaglep3\Utilities\RefineRTDCRunTimes.py" --tripid 224-27 --locoid 4001 --swversion DE.1.0.8.0 --startMP 204:232978 --initTime 2016-10-27T20:14:32 --startdatetime 2016-10-27T20:26:23 --delay 2 --endMP 204:141 --enddatetime 2016-10-27T21:05:27 --enforcementcount 0 &gt;&gt;C:\Users\stu\Documents\GitHub\eaglep3-reporting\EC\2016-10-27-refined-times.txt</v>
      </c>
      <c r="AI138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{"issue":{"subject":"","project_id":79,"tracker_id":40,"status_id":1,"priority_id":2,"assigned_to_id":23,"start_date":"2016-10-27","description":"","custom_fields":[{"id":1,"name":"Subdivision","value":"EC"},{"id":4,"name":"Milepost","value":"0.0141"},{"id":17,"name":"Train ID","value":"224-27"},{"id":16,"name":"Locomotive ID","value":"4001"},{"id":130,"name":"Impact","value":""},{"id":150,"name":"Time of Event (Mountain Time)","value":"21:05:27"},{"id":151,"name":"Denver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588</v>
      </c>
      <c r="B139" s="7">
        <v>4040</v>
      </c>
      <c r="C139" s="22" t="s">
        <v>326</v>
      </c>
      <c r="D139" s="22" t="s">
        <v>648</v>
      </c>
      <c r="E139" s="13">
        <v>42670.826770833337</v>
      </c>
      <c r="F139" s="13">
        <v>42670.833553240744</v>
      </c>
      <c r="G139" s="7">
        <v>1</v>
      </c>
      <c r="H139" s="13" t="s">
        <v>299</v>
      </c>
      <c r="I139" s="13">
        <v>42670.859803240739</v>
      </c>
      <c r="J139" s="7">
        <v>0</v>
      </c>
      <c r="K139" s="112" t="str">
        <f t="shared" si="53"/>
        <v>4039/4040</v>
      </c>
      <c r="L139" s="22" t="str">
        <f>VLOOKUP(A139,'Trips&amp;Operators'!$C$1:$E$10000,3,FALSE)</f>
        <v>LEVIN</v>
      </c>
      <c r="M139" s="6">
        <f t="shared" si="54"/>
        <v>2.6249999995343387E-2</v>
      </c>
      <c r="N139" s="7">
        <f t="shared" si="68"/>
        <v>37.799999993294477</v>
      </c>
      <c r="O139" s="7"/>
      <c r="P139" s="7"/>
      <c r="Q139" s="23"/>
      <c r="R139" s="23"/>
      <c r="S139" s="35">
        <f t="shared" si="55"/>
        <v>1</v>
      </c>
      <c r="T139" s="50" t="str">
        <f t="shared" si="56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18:50:33-0600',mode:absolute,to:'2016-10-27 21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9" s="52" t="str">
        <f t="shared" si="58"/>
        <v>N</v>
      </c>
      <c r="X139" s="177">
        <f t="shared" si="69"/>
        <v>1</v>
      </c>
      <c r="Y139" s="67">
        <f t="shared" si="66"/>
        <v>4.3700000000000003E-2</v>
      </c>
      <c r="Z139" s="67">
        <f t="shared" si="59"/>
        <v>23.331700000000001</v>
      </c>
      <c r="AA139" s="67">
        <f t="shared" si="60"/>
        <v>23.288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61"/>
        <v>0225-27</v>
      </c>
      <c r="AE139" s="91" t="str">
        <f t="shared" si="49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139" s="88" t="str">
        <f t="shared" si="50"/>
        <v>"C:\Program Files (x86)\AstroGrep\AstroGrep.exe" /spath="%USERPROFILE%\AppData\Local\Temp\OnboardLogs" /stypes="app*4040*20161028*" /stext=" 02:.+((SYSTEM_STATE.+slice.+state.+changed )|(ment ac)|(system.+state.+changed )|(\[timeout)|(PRM\|1\|D)|(kpr)|(kdp)|(\|lc)|(penalty))" /e /r /s</v>
      </c>
      <c r="AG139" s="1" t="str">
        <f t="shared" si="62"/>
        <v>EC</v>
      </c>
      <c r="AH139" s="92" t="str">
        <f t="shared" si="51"/>
        <v>"%USERPROFILE%\Documents\GitHub\eaglep3\Utilities\RefineRTDCRunTimes.py" --tripid 225-27 --locoid 4040 --swversion DE.1.0.8.0 --startMP 204:437 --initTime 2016-10-27T19:50:33 --startdatetime 2016-10-27T20:00:19 --delay 1 --endMP 204:233317 --enddatetime 2016-10-27T20:38:07 --enforcementcount 0 &gt;&gt;C:\Users\stu\Documents\GitHub\eaglep3-reporting\EC\2016-10-27-refined-times.txt</v>
      </c>
      <c r="AI139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{"issue":{"subject":"","project_id":79,"tracker_id":40,"status_id":1,"priority_id":2,"assigned_to_id":23,"start_date":"2016-10-27","description":"","custom_fields":[{"id":1,"name":"Subdivision","value":"EC"},{"id":4,"name":"Milepost","value":"23.3317"},{"id":17,"name":"Train ID","value":"225-27"},{"id":16,"name":"Locomotive ID","value":"4040"},{"id":130,"name":"Impact","value":""},{"id":150,"name":"Time of Event (Mountain Time)","value":"20:38:07"},{"id":151,"name":"Denver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590</v>
      </c>
      <c r="B140" s="7">
        <v>4039</v>
      </c>
      <c r="C140" s="22" t="s">
        <v>326</v>
      </c>
      <c r="D140" s="22" t="s">
        <v>344</v>
      </c>
      <c r="E140" s="13">
        <v>42670.865127314813</v>
      </c>
      <c r="F140" s="13">
        <v>42670.872453703705</v>
      </c>
      <c r="G140" s="7">
        <v>1</v>
      </c>
      <c r="H140" s="13" t="s">
        <v>218</v>
      </c>
      <c r="I140" s="13">
        <v>42670.901041666664</v>
      </c>
      <c r="J140" s="7">
        <v>0</v>
      </c>
      <c r="K140" s="112" t="str">
        <f t="shared" si="53"/>
        <v>4039/4040</v>
      </c>
      <c r="L140" s="22" t="str">
        <f>VLOOKUP(A140,'Trips&amp;Operators'!$C$1:$E$10000,3,FALSE)</f>
        <v>LEVIN</v>
      </c>
      <c r="M140" s="6">
        <f t="shared" si="54"/>
        <v>2.8587962959136348E-2</v>
      </c>
      <c r="N140" s="7">
        <f t="shared" si="68"/>
        <v>41.166666661156341</v>
      </c>
      <c r="O140" s="7"/>
      <c r="P140" s="7"/>
      <c r="Q140" s="23"/>
      <c r="R140" s="23"/>
      <c r="S140" s="35">
        <f t="shared" si="55"/>
        <v>1</v>
      </c>
      <c r="T140" s="50" t="str">
        <f t="shared" si="56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19:45:47-0600',mode:absolute,to:'2016-10-27 22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0" s="52" t="str">
        <f t="shared" si="58"/>
        <v>N</v>
      </c>
      <c r="X140" s="177">
        <f t="shared" si="69"/>
        <v>1</v>
      </c>
      <c r="Y140" s="67">
        <f t="shared" si="66"/>
        <v>23.298300000000001</v>
      </c>
      <c r="Z140" s="67">
        <f t="shared" si="59"/>
        <v>1.43E-2</v>
      </c>
      <c r="AA140" s="67">
        <f t="shared" si="60"/>
        <v>23.284000000000002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61"/>
        <v>0226-27</v>
      </c>
      <c r="AE140" s="91" t="str">
        <f t="shared" si="49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140" s="88" t="str">
        <f t="shared" si="50"/>
        <v>"C:\Program Files (x86)\AstroGrep\AstroGrep.exe" /spath="%USERPROFILE%\AppData\Local\Temp\OnboardLogs" /stypes="app*4039*20161028*" /stext=" 03:.+((SYSTEM_STATE.+slice.+state.+changed )|(ment ac)|(system.+state.+changed )|(\[timeout)|(PRM\|1\|D)|(kpr)|(kdp)|(\|lc)|(penalty))" /e /r /s</v>
      </c>
      <c r="AG140" s="1" t="str">
        <f t="shared" si="62"/>
        <v>EC</v>
      </c>
      <c r="AH140" s="92" t="str">
        <f t="shared" si="51"/>
        <v>"%USERPROFILE%\Documents\GitHub\eaglep3\Utilities\RefineRTDCRunTimes.py" --tripid 226-27 --locoid 4039 --swversion DE.1.0.8.0 --startMP 204:232983 --initTime 2016-10-27T20:45:47 --startdatetime 2016-10-27T20:56:20 --delay 1 --endMP 204:143 --enddatetime 2016-10-27T21:37:30 --enforcementcount 0 &gt;&gt;C:\Users\stu\Documents\GitHub\eaglep3-reporting\EC\2016-10-27-refined-times.txt</v>
      </c>
      <c r="AI140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{"issue":{"subject":"","project_id":79,"tracker_id":40,"status_id":1,"priority_id":2,"assigned_to_id":23,"start_date":"2016-10-27","description":"","custom_fields":[{"id":1,"name":"Subdivision","value":"EC"},{"id":4,"name":"Milepost","value":"0.0143"},{"id":17,"name":"Train ID","value":"226-27"},{"id":16,"name":"Locomotive ID","value":"4039"},{"id":130,"name":"Impact","value":""},{"id":150,"name":"Time of Event (Mountain Time)","value":"21:37:30"},{"id":151,"name":"Denver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589</v>
      </c>
      <c r="B141" s="7">
        <v>4014</v>
      </c>
      <c r="C141" s="22" t="s">
        <v>326</v>
      </c>
      <c r="D141" s="22" t="s">
        <v>277</v>
      </c>
      <c r="E141" s="13">
        <v>42670.850740740738</v>
      </c>
      <c r="F141" s="13">
        <v>42670.854375000003</v>
      </c>
      <c r="G141" s="7">
        <v>1</v>
      </c>
      <c r="H141" s="13" t="s">
        <v>637</v>
      </c>
      <c r="I141" s="13">
        <v>42670.881412037037</v>
      </c>
      <c r="J141" s="7">
        <v>0</v>
      </c>
      <c r="K141" s="112" t="str">
        <f t="shared" si="53"/>
        <v>4013/4014</v>
      </c>
      <c r="L141" s="22" t="str">
        <f>VLOOKUP(A141,'Trips&amp;Operators'!$C$1:$E$10000,3,FALSE)</f>
        <v>DELGADO</v>
      </c>
      <c r="M141" s="6">
        <f t="shared" si="54"/>
        <v>2.7037037034460809E-2</v>
      </c>
      <c r="N141" s="7">
        <f t="shared" si="68"/>
        <v>38.933333329623565</v>
      </c>
      <c r="O141" s="7"/>
      <c r="P141" s="7"/>
      <c r="Q141" s="23"/>
      <c r="R141" s="23"/>
      <c r="S141" s="35">
        <f t="shared" si="55"/>
        <v>1</v>
      </c>
      <c r="T141" s="50" t="str">
        <f t="shared" si="56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19:25:04-0600',mode:absolute,to:'2016-10-27 22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1" s="52" t="str">
        <f t="shared" si="58"/>
        <v>N</v>
      </c>
      <c r="X141" s="177">
        <f t="shared" si="69"/>
        <v>1</v>
      </c>
      <c r="Y141" s="67">
        <f t="shared" si="66"/>
        <v>4.4200000000000003E-2</v>
      </c>
      <c r="Z141" s="67">
        <f t="shared" si="59"/>
        <v>23.327999999999999</v>
      </c>
      <c r="AA141" s="67">
        <f t="shared" si="60"/>
        <v>23.283799999999999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61"/>
        <v>0227-27</v>
      </c>
      <c r="AE141" s="91" t="str">
        <f t="shared" ref="AE141:AE204" si="7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141" s="88" t="str">
        <f t="shared" ref="AF141:AF204" si="7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/stypes="app*4014*20161028*" /stext=" 03:.+((SYSTEM_STATE.+slice.+state.+changed )|(ment ac)|(system.+state.+changed )|(\[timeout)|(PRM\|1\|D)|(kpr)|(kdp)|(\|lc)|(penalty))" /e /r /s</v>
      </c>
      <c r="AG141" s="1" t="str">
        <f t="shared" si="62"/>
        <v>EC</v>
      </c>
      <c r="AH141" s="92" t="str">
        <f t="shared" si="51"/>
        <v>"%USERPROFILE%\Documents\GitHub\eaglep3\Utilities\RefineRTDCRunTimes.py" --tripid 227-27 --locoid 4014 --swversion DE.1.0.8.0 --startMP 204:442 --initTime 2016-10-27T20:25:04 --startdatetime 2016-10-27T20:30:18 --delay 1 --endMP 204:233280 --enddatetime 2016-10-27T21:09:14 --enforcementcount 0 &gt;&gt;C:\Users\stu\Documents\GitHub\eaglep3-reporting\EC\2016-10-27-refined-times.txt</v>
      </c>
      <c r="AI141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{"issue":{"subject":"","project_id":79,"tracker_id":40,"status_id":1,"priority_id":2,"assigned_to_id":23,"start_date":"2016-10-27","description":"","custom_fields":[{"id":1,"name":"Subdivision","value":"EC"},{"id":4,"name":"Milepost","value":"23.328"},{"id":17,"name":"Train ID","value":"227-27"},{"id":16,"name":"Locomotive ID","value":"4014"},{"id":130,"name":"Impact","value":""},{"id":150,"name":"Time of Event (Mountain Time)","value":"21:09:14"},{"id":151,"name":"Denver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592</v>
      </c>
      <c r="B142" s="7">
        <v>4013</v>
      </c>
      <c r="C142" s="22" t="s">
        <v>326</v>
      </c>
      <c r="D142" s="22" t="s">
        <v>355</v>
      </c>
      <c r="E142" s="13">
        <v>42670.889710648145</v>
      </c>
      <c r="F142" s="13">
        <v>42670.894120370373</v>
      </c>
      <c r="G142" s="7">
        <v>1</v>
      </c>
      <c r="H142" s="13" t="s">
        <v>176</v>
      </c>
      <c r="I142" s="13">
        <v>42670.923449074071</v>
      </c>
      <c r="J142" s="7">
        <v>0</v>
      </c>
      <c r="K142" s="112" t="str">
        <f t="shared" si="53"/>
        <v>4013/4014</v>
      </c>
      <c r="L142" s="22" t="str">
        <f>VLOOKUP(A142,'Trips&amp;Operators'!$C$1:$E$10000,3,FALSE)</f>
        <v>DELGADO</v>
      </c>
      <c r="M142" s="6">
        <f t="shared" si="54"/>
        <v>2.9328703698411118E-2</v>
      </c>
      <c r="N142" s="7">
        <f t="shared" si="68"/>
        <v>42.23333332571201</v>
      </c>
      <c r="O142" s="7"/>
      <c r="P142" s="7"/>
      <c r="Q142" s="23"/>
      <c r="R142" s="23"/>
      <c r="S142" s="35">
        <f t="shared" si="55"/>
        <v>1</v>
      </c>
      <c r="T142" s="50" t="str">
        <f t="shared" si="56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20:21:11-0600',mode:absolute,to:'2016-10-27 23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2" s="52" t="str">
        <f t="shared" si="58"/>
        <v>N</v>
      </c>
      <c r="X142" s="177">
        <f t="shared" si="69"/>
        <v>1</v>
      </c>
      <c r="Y142" s="67">
        <f t="shared" si="66"/>
        <v>23.297000000000001</v>
      </c>
      <c r="Z142" s="67">
        <f t="shared" si="59"/>
        <v>1.52E-2</v>
      </c>
      <c r="AA142" s="67">
        <f t="shared" si="60"/>
        <v>23.2818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61"/>
        <v>0228-27</v>
      </c>
      <c r="AE142" s="91" t="str">
        <f t="shared" si="70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142" s="88" t="str">
        <f t="shared" si="71"/>
        <v>"C:\Program Files (x86)\AstroGrep\AstroGrep.exe" /spath="%USERPROFILE%\AppData\Local\Temp\OnboardLogs" /stypes="app*4013*20161028*" /stext=" 04:.+((SYSTEM_STATE.+slice.+state.+changed )|(ment ac)|(system.+state.+changed )|(\[timeout)|(PRM\|1\|D)|(kpr)|(kdp)|(\|lc)|(penalty))" /e /r /s</v>
      </c>
      <c r="AG142" s="1" t="str">
        <f t="shared" si="62"/>
        <v>EC</v>
      </c>
      <c r="AH142" s="92" t="str">
        <f t="shared" si="51"/>
        <v>"%USERPROFILE%\Documents\GitHub\eaglep3\Utilities\RefineRTDCRunTimes.py" --tripid 228-27 --locoid 4013 --swversion DE.1.0.8.0 --startMP 204:232970 --initTime 2016-10-27T21:21:11 --startdatetime 2016-10-27T21:27:32 --delay 1 --endMP 204:152 --enddatetime 2016-10-27T22:09:46 --enforcementcount 0 &gt;&gt;C:\Users\stu\Documents\GitHub\eaglep3-reporting\EC\2016-10-27-refined-times.txt</v>
      </c>
      <c r="AI142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{"issue":{"subject":"","project_id":79,"tracker_id":40,"status_id":1,"priority_id":2,"assigned_to_id":23,"start_date":"2016-10-27","description":"","custom_fields":[{"id":1,"name":"Subdivision","value":"EC"},{"id":4,"name":"Milepost","value":"0.0152"},{"id":17,"name":"Train ID","value":"228-27"},{"id":16,"name":"Locomotive ID","value":"4013"},{"id":130,"name":"Impact","value":""},{"id":150,"name":"Time of Event (Mountain Time)","value":"22:09:46"},{"id":151,"name":"Denver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426</v>
      </c>
      <c r="B143" s="7">
        <v>4018</v>
      </c>
      <c r="C143" s="22" t="s">
        <v>326</v>
      </c>
      <c r="D143" s="22" t="s">
        <v>223</v>
      </c>
      <c r="E143" s="13">
        <v>42670.863379629627</v>
      </c>
      <c r="F143" s="13">
        <v>42670.875497685185</v>
      </c>
      <c r="G143" s="7">
        <v>1</v>
      </c>
      <c r="H143" s="13" t="s">
        <v>273</v>
      </c>
      <c r="I143" s="13">
        <v>42670.904606481483</v>
      </c>
      <c r="J143" s="7">
        <v>0</v>
      </c>
      <c r="K143" s="112" t="str">
        <f t="shared" si="53"/>
        <v>4017/4018</v>
      </c>
      <c r="L143" s="22" t="str">
        <f>VLOOKUP(A143,'Trips&amp;Operators'!$C$1:$E$10000,3,FALSE)</f>
        <v>SMITH</v>
      </c>
      <c r="M143" s="6">
        <f t="shared" si="54"/>
        <v>2.9108796297805384E-2</v>
      </c>
      <c r="N143" s="7">
        <f t="shared" si="68"/>
        <v>41.916666668839753</v>
      </c>
      <c r="O143" s="7"/>
      <c r="P143" s="7"/>
      <c r="Q143" s="23"/>
      <c r="R143" s="23"/>
      <c r="S143" s="35">
        <f t="shared" si="55"/>
        <v>1</v>
      </c>
      <c r="T143" s="50" t="str">
        <f t="shared" si="56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19:43:16-0600',mode:absolute,to:'2016-10-27 22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3" s="52" t="str">
        <f t="shared" si="58"/>
        <v>N</v>
      </c>
      <c r="X143" s="177">
        <f t="shared" si="69"/>
        <v>1</v>
      </c>
      <c r="Y143" s="67">
        <f t="shared" si="66"/>
        <v>4.5499999999999999E-2</v>
      </c>
      <c r="Z143" s="67">
        <f t="shared" si="59"/>
        <v>23.3291</v>
      </c>
      <c r="AA143" s="67">
        <f t="shared" si="60"/>
        <v>23.2836</v>
      </c>
      <c r="AB143" s="64" t="str">
        <f>VLOOKUP(A143,Enforcements!$C$7:$K$21,8,0)</f>
        <v>Speed (6)</v>
      </c>
      <c r="AC143" s="60" t="str">
        <f>VLOOKUP(A143,Enforcements!$C$7:$E$21,3,0)</f>
        <v>PERMANENT SPEED RESTRICTION</v>
      </c>
      <c r="AD143" s="61" t="str">
        <f t="shared" si="61"/>
        <v>0229-27</v>
      </c>
      <c r="AE143" s="91" t="str">
        <f t="shared" si="70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143" s="88" t="str">
        <f t="shared" si="71"/>
        <v>"C:\Program Files (x86)\AstroGrep\AstroGrep.exe" /spath="%USERPROFILE%\AppData\Local\Temp\OnboardLogs" /stypes="app*4018*20161028*" /stext=" 03:.+((SYSTEM_STATE.+slice.+state.+changed )|(ment ac)|(system.+state.+changed )|(\[timeout)|(PRM\|1\|D)|(kpr)|(kdp)|(\|lc)|(penalty))" /e /r /s</v>
      </c>
      <c r="AG143" s="1" t="str">
        <f t="shared" si="62"/>
        <v>EC</v>
      </c>
      <c r="AH143" s="92" t="str">
        <f t="shared" si="51"/>
        <v>"%USERPROFILE%\Documents\GitHub\eaglep3\Utilities\RefineRTDCRunTimes.py" --tripid 229-27 --locoid 4018 --swversion DE.1.0.8.0 --startMP 204:455 --initTime 2016-10-27T20:43:16 --startdatetime 2016-10-27T21:00:43 --delay 1 --endMP 204:233291 --enddatetime 2016-10-27T21:42:38 --enforcementcount 0 &gt;&gt;C:\Users\stu\Documents\GitHub\eaglep3-reporting\EC\2016-10-27-refined-times.txt</v>
      </c>
      <c r="AI143" s="122" t="str">
        <f t="shared" si="52"/>
        <v>echo {"issue":{"subject":"","project_id":79,"tracker_id":40,"status_id":1,"priority_id":2,"assigned_to_id":23,"start_date":"2016-10-27","description":"","custom_fields":[{"id":1,"name":"Subdivision","value":"EC"},{"id":4,"name":"Milepost","value":"23.3291"},{"id":17,"name":"Train ID","value":"229-27"},{"id":16,"name":"Locomotive ID","value":"4018"},{"id":130,"name":"Impact","value":""},{"id":150,"name":"Time of Event (Mountain Time)","value":"21:42:38"},{"id":151,"name":"Denver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595</v>
      </c>
      <c r="B144" s="7">
        <v>4017</v>
      </c>
      <c r="C144" s="22" t="s">
        <v>326</v>
      </c>
      <c r="D144" s="22" t="s">
        <v>282</v>
      </c>
      <c r="E144" s="13">
        <v>42670.907476851855</v>
      </c>
      <c r="F144" s="13">
        <v>42670.914375</v>
      </c>
      <c r="G144" s="7">
        <v>1</v>
      </c>
      <c r="H144" s="13" t="s">
        <v>271</v>
      </c>
      <c r="I144" s="13">
        <v>42670.942303240743</v>
      </c>
      <c r="J144" s="7">
        <v>0</v>
      </c>
      <c r="K144" s="112" t="str">
        <f t="shared" si="53"/>
        <v>4017/4018</v>
      </c>
      <c r="L144" s="22" t="str">
        <f>VLOOKUP(A144,'Trips&amp;Operators'!$C$1:$E$10000,3,FALSE)</f>
        <v>SMITH</v>
      </c>
      <c r="M144" s="6">
        <f t="shared" si="54"/>
        <v>2.792824074276723E-2</v>
      </c>
      <c r="N144" s="7">
        <f t="shared" si="68"/>
        <v>40.216666669584811</v>
      </c>
      <c r="O144" s="7"/>
      <c r="P144" s="7"/>
      <c r="Q144" s="23"/>
      <c r="R144" s="23"/>
      <c r="S144" s="35">
        <f t="shared" si="55"/>
        <v>1</v>
      </c>
      <c r="T144" s="50" t="str">
        <f t="shared" si="56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20:46:46-0600',mode:absolute,to:'2016-10-27 23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4" s="52" t="str">
        <f t="shared" si="58"/>
        <v>N</v>
      </c>
      <c r="X144" s="177">
        <f t="shared" si="69"/>
        <v>1</v>
      </c>
      <c r="Y144" s="67">
        <f t="shared" si="66"/>
        <v>23.2987</v>
      </c>
      <c r="Z144" s="67">
        <f t="shared" si="59"/>
        <v>1.6299999999999999E-2</v>
      </c>
      <c r="AA144" s="67">
        <f t="shared" si="60"/>
        <v>23.282399999999999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61"/>
        <v>0230-27</v>
      </c>
      <c r="AE144" s="91" t="str">
        <f t="shared" si="70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144" s="88" t="str">
        <f t="shared" si="71"/>
        <v>"C:\Program Files (x86)\AstroGrep\AstroGrep.exe" /spath="%USERPROFILE%\AppData\Local\Temp\OnboardLogs" /stypes="app*4017*20161028*" /stext=" 04:.+((SYSTEM_STATE.+slice.+state.+changed )|(ment ac)|(system.+state.+changed )|(\[timeout)|(PRM\|1\|D)|(kpr)|(kdp)|(\|lc)|(penalty))" /e /r /s</v>
      </c>
      <c r="AG144" s="1" t="str">
        <f t="shared" si="62"/>
        <v>EC</v>
      </c>
      <c r="AH144" s="92" t="str">
        <f t="shared" ref="AH144:AH207" si="7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230-27 --locoid 4017 --swversion DE.1.0.8.0 --startMP 204:232987 --initTime 2016-10-27T21:46:46 --startdatetime 2016-10-27T21:56:42 --delay 1 --endMP 204:163 --enddatetime 2016-10-27T22:36:55 --enforcementcount 0 &gt;&gt;C:\Users\stu\Documents\GitHub\eaglep3-reporting\EC\2016-10-27-refined-times.txt</v>
      </c>
      <c r="AI144" s="122" t="str">
        <f t="shared" ref="AI144:AI207" si="7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{"issue":{"subject":"","project_id":79,"tracker_id":40,"status_id":1,"priority_id":2,"assigned_to_id":23,"start_date":"2016-10-27","description":"","custom_fields":[{"id":1,"name":"Subdivision","value":"EC"},{"id":4,"name":"Milepost","value":"0.0163"},{"id":17,"name":"Train ID","value":"230-27"},{"id":16,"name":"Locomotive ID","value":"4017"},{"id":130,"name":"Impact","value":""},{"id":150,"name":"Time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593</v>
      </c>
      <c r="B145" s="7">
        <v>4002</v>
      </c>
      <c r="C145" s="22" t="s">
        <v>326</v>
      </c>
      <c r="D145" s="22" t="s">
        <v>255</v>
      </c>
      <c r="E145" s="13">
        <v>42670.890231481484</v>
      </c>
      <c r="F145" s="13">
        <v>42670.896203703705</v>
      </c>
      <c r="G145" s="7">
        <v>1</v>
      </c>
      <c r="H145" s="13" t="s">
        <v>322</v>
      </c>
      <c r="I145" s="13">
        <v>42670.921655092592</v>
      </c>
      <c r="J145" s="7">
        <v>0</v>
      </c>
      <c r="K145" s="112" t="str">
        <f t="shared" si="53"/>
        <v>4001/4002</v>
      </c>
      <c r="L145" s="22" t="str">
        <f>VLOOKUP(A145,'Trips&amp;Operators'!$C$1:$E$10000,3,FALSE)</f>
        <v>BERLING</v>
      </c>
      <c r="M145" s="6">
        <f t="shared" si="54"/>
        <v>2.545138888672227E-2</v>
      </c>
      <c r="N145" s="7">
        <f t="shared" si="68"/>
        <v>36.649999996880069</v>
      </c>
      <c r="O145" s="7"/>
      <c r="P145" s="7"/>
      <c r="Q145" s="23"/>
      <c r="R145" s="23"/>
      <c r="S145" s="35">
        <f t="shared" si="55"/>
        <v>1</v>
      </c>
      <c r="T145" s="50" t="str">
        <f t="shared" si="56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20:21:56-0600',mode:absolute,to:'2016-10-27 23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52" t="str">
        <f t="shared" si="58"/>
        <v>N</v>
      </c>
      <c r="X145" s="177">
        <f t="shared" si="69"/>
        <v>1</v>
      </c>
      <c r="Y145" s="67">
        <f t="shared" si="66"/>
        <v>4.4900000000000002E-2</v>
      </c>
      <c r="Z145" s="67">
        <f t="shared" si="59"/>
        <v>23.331399999999999</v>
      </c>
      <c r="AA145" s="67">
        <f t="shared" si="60"/>
        <v>23.2865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61"/>
        <v>0231-27</v>
      </c>
      <c r="AE145" s="91" t="str">
        <f t="shared" si="70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145" s="88" t="str">
        <f t="shared" si="71"/>
        <v>"C:\Program Files (x86)\AstroGrep\AstroGrep.exe" /spath="%USERPROFILE%\AppData\Local\Temp\OnboardLogs" /stypes="app*4002*20161028*" /stext=" 04:.+((SYSTEM_STATE.+slice.+state.+changed )|(ment ac)|(system.+state.+changed )|(\[timeout)|(PRM\|1\|D)|(kpr)|(kdp)|(\|lc)|(penalty))" /e /r /s</v>
      </c>
      <c r="AG145" s="1" t="str">
        <f t="shared" si="62"/>
        <v>EC</v>
      </c>
      <c r="AH145" s="92" t="str">
        <f t="shared" si="72"/>
        <v>"%USERPROFILE%\Documents\GitHub\eaglep3\Utilities\RefineRTDCRunTimes.py" --tripid 231-27 --locoid 4002 --swversion DE.1.0.8.0 --startMP 204:449 --initTime 2016-10-27T21:21:56 --startdatetime 2016-10-27T21:30:32 --delay 1 --endMP 204:233314 --enddatetime 2016-10-27T22:07:11 --enforcementcount 0 &gt;&gt;C:\Users\stu\Documents\GitHub\eaglep3-reporting\EC\2016-10-27-refined-times.txt</v>
      </c>
      <c r="AI145" s="122" t="str">
        <f t="shared" si="73"/>
        <v>echo {"issue":{"subject":"","project_id":79,"tracker_id":40,"status_id":1,"priority_id":2,"assigned_to_id":23,"start_date":"2016-10-27","description":"","custom_fields":[{"id":1,"name":"Subdivision","value":"EC"},{"id":4,"name":"Milepost","value":"23.3314"},{"id":17,"name":"Train ID","value":"231-27"},{"id":16,"name":"Locomotive ID","value":"4002"},{"id":130,"name":"Impact","value":""},{"id":150,"name":"Time of Event (Mountain Time)","value":"22:07:11"},{"id":151,"name":"Denver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427</v>
      </c>
      <c r="B146" s="7">
        <v>4001</v>
      </c>
      <c r="C146" s="22" t="s">
        <v>326</v>
      </c>
      <c r="D146" s="22" t="s">
        <v>246</v>
      </c>
      <c r="E146" s="13">
        <v>42670.927523148152</v>
      </c>
      <c r="F146" s="13">
        <v>42670.934918981482</v>
      </c>
      <c r="G146" s="7">
        <v>1</v>
      </c>
      <c r="H146" s="13" t="s">
        <v>214</v>
      </c>
      <c r="I146" s="13">
        <v>42670.962708333333</v>
      </c>
      <c r="J146" s="7">
        <v>0</v>
      </c>
      <c r="K146" s="112" t="str">
        <f t="shared" si="53"/>
        <v>4001/4002</v>
      </c>
      <c r="L146" s="22" t="str">
        <f>VLOOKUP(A146,'Trips&amp;Operators'!$C$1:$E$10000,3,FALSE)</f>
        <v>BERLING</v>
      </c>
      <c r="M146" s="6">
        <f t="shared" si="54"/>
        <v>2.7789351850515231E-2</v>
      </c>
      <c r="N146" s="7">
        <f t="shared" si="68"/>
        <v>40.016666664741933</v>
      </c>
      <c r="O146" s="7"/>
      <c r="P146" s="7"/>
      <c r="Q146" s="23"/>
      <c r="R146" s="23"/>
      <c r="S146" s="35">
        <f t="shared" si="55"/>
        <v>1</v>
      </c>
      <c r="T146" s="50" t="str">
        <f t="shared" si="56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21:15:38-0600',mode:absolute,to:'2016-10-28 00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6" s="52" t="str">
        <f t="shared" si="58"/>
        <v>N</v>
      </c>
      <c r="X146" s="177">
        <f t="shared" si="69"/>
        <v>1</v>
      </c>
      <c r="Y146" s="67">
        <f t="shared" si="66"/>
        <v>23.299399999999999</v>
      </c>
      <c r="Z146" s="67">
        <f t="shared" si="59"/>
        <v>1.54E-2</v>
      </c>
      <c r="AA146" s="67">
        <f t="shared" si="60"/>
        <v>23.283999999999999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61"/>
        <v>0232-27</v>
      </c>
      <c r="AE146" s="91" t="str">
        <f t="shared" si="70"/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AF146" s="88" t="str">
        <f t="shared" si="71"/>
        <v>"C:\Program Files (x86)\AstroGrep\AstroGrep.exe" /spath="%USERPROFILE%\AppData\Local\Temp\OnboardLogs" /stypes="app*4001*20161028*" /stext=" 05:.+((SYSTEM_STATE.+slice.+state.+changed )|(ment ac)|(system.+state.+changed )|(\[timeout)|(PRM\|1\|D)|(kpr)|(kdp)|(\|lc)|(penalty))" /e /r /s</v>
      </c>
      <c r="AG146" s="1" t="str">
        <f t="shared" si="62"/>
        <v>EC</v>
      </c>
      <c r="AH146" s="92" t="str">
        <f t="shared" si="72"/>
        <v>"%USERPROFILE%\Documents\GitHub\eaglep3\Utilities\RefineRTDCRunTimes.py" --tripid 232-27 --locoid 4001 --swversion DE.1.0.8.0 --startMP 204:232994 --initTime 2016-10-27T22:15:38 --startdatetime 2016-10-27T22:26:17 --delay 1 --endMP 204:154 --enddatetime 2016-10-27T23:06:18 --enforcementcount 0 &gt;&gt;C:\Users\stu\Documents\GitHub\eaglep3-reporting\EC\2016-10-27-refined-times.txt</v>
      </c>
      <c r="AI146" s="122" t="str">
        <f t="shared" si="73"/>
        <v>echo {"issue":{"subject":"","project_id":79,"tracker_id":40,"status_id":1,"priority_id":2,"assigned_to_id":23,"start_date":"2016-10-27","description":"","custom_fields":[{"id":1,"name":"Subdivision","value":"EC"},{"id":4,"name":"Milepost","value":"0.0154"},{"id":17,"name":"Train ID","value":"232-27"},{"id":16,"name":"Locomotive ID","value":"4001"},{"id":130,"name":"Impact","value":""},{"id":150,"name":"Time of Event (Mountain Time)","value":"23:06:18"},{"id":151,"name":"Denver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596</v>
      </c>
      <c r="B147" s="7">
        <v>4040</v>
      </c>
      <c r="C147" s="22" t="s">
        <v>326</v>
      </c>
      <c r="D147" s="22" t="s">
        <v>279</v>
      </c>
      <c r="E147" s="13">
        <v>42670.912557870368</v>
      </c>
      <c r="F147" s="13">
        <v>42670.916828703703</v>
      </c>
      <c r="G147" s="7">
        <v>1</v>
      </c>
      <c r="H147" s="13" t="s">
        <v>324</v>
      </c>
      <c r="I147" s="13">
        <v>42670.941365740742</v>
      </c>
      <c r="J147" s="7">
        <v>0</v>
      </c>
      <c r="K147" s="112" t="str">
        <f t="shared" si="53"/>
        <v>4039/4040</v>
      </c>
      <c r="L147" s="22" t="str">
        <f>VLOOKUP(A147,'Trips&amp;Operators'!$C$1:$E$10000,3,FALSE)</f>
        <v>LEVIN</v>
      </c>
      <c r="M147" s="6">
        <f t="shared" si="54"/>
        <v>2.453703703940846E-2</v>
      </c>
      <c r="N147" s="7">
        <f t="shared" si="68"/>
        <v>35.333333336748183</v>
      </c>
      <c r="O147" s="7"/>
      <c r="P147" s="7"/>
      <c r="Q147" s="23"/>
      <c r="R147" s="23"/>
      <c r="S147" s="35">
        <f t="shared" si="55"/>
        <v>1</v>
      </c>
      <c r="T147" s="50" t="str">
        <f t="shared" si="56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20:54:05-0600',mode:absolute,to:'2016-10-27 23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7" s="52" t="str">
        <f t="shared" si="58"/>
        <v>N</v>
      </c>
      <c r="X147" s="177">
        <f t="shared" si="69"/>
        <v>1</v>
      </c>
      <c r="Y147" s="67">
        <f t="shared" si="66"/>
        <v>4.7800000000000002E-2</v>
      </c>
      <c r="Z147" s="67">
        <f t="shared" si="59"/>
        <v>23.333400000000001</v>
      </c>
      <c r="AA147" s="67">
        <f t="shared" si="60"/>
        <v>23.285600000000002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61"/>
        <v>0233-27</v>
      </c>
      <c r="AE147" s="91" t="str">
        <f t="shared" si="70"/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AF147" s="88" t="str">
        <f t="shared" si="71"/>
        <v>"C:\Program Files (x86)\AstroGrep\AstroGrep.exe" /spath="%USERPROFILE%\AppData\Local\Temp\OnboardLogs" /stypes="app*4040*20161028*" /stext=" 04:.+((SYSTEM_STATE.+slice.+state.+changed )|(ment ac)|(system.+state.+changed )|(\[timeout)|(PRM\|1\|D)|(kpr)|(kdp)|(\|lc)|(penalty))" /e /r /s</v>
      </c>
      <c r="AG147" s="1" t="str">
        <f t="shared" si="62"/>
        <v>EC</v>
      </c>
      <c r="AH147" s="92" t="str">
        <f t="shared" si="72"/>
        <v>"%USERPROFILE%\Documents\GitHub\eaglep3\Utilities\RefineRTDCRunTimes.py" --tripid 233-27 --locoid 4040 --swversion DE.1.0.8.0 --startMP 204:478 --initTime 2016-10-27T21:54:05 --startdatetime 2016-10-27T22:00:14 --delay 1 --endMP 204:233334 --enddatetime 2016-10-27T22:35:34 --enforcementcount 0 &gt;&gt;C:\Users\stu\Documents\GitHub\eaglep3-reporting\EC\2016-10-27-refined-times.txt</v>
      </c>
      <c r="AI147" s="122" t="str">
        <f t="shared" si="73"/>
        <v>echo {"issue":{"subject":"","project_id":79,"tracker_id":40,"status_id":1,"priority_id":2,"assigned_to_id":23,"start_date":"2016-10-27","description":"","custom_fields":[{"id":1,"name":"Subdivision","value":"EC"},{"id":4,"name":"Milepost","value":"23.3334"},{"id":17,"name":"Train ID","value":"233-27"},{"id":16,"name":"Locomotive ID","value":"4040"},{"id":130,"name":"Impact","value":""},{"id":150,"name":"Time of Event (Mountain Time)","value":"22:35:34"},{"id":151,"name":"Denver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428</v>
      </c>
      <c r="B148" s="7">
        <v>4039</v>
      </c>
      <c r="C148" s="22" t="s">
        <v>326</v>
      </c>
      <c r="D148" s="22" t="s">
        <v>679</v>
      </c>
      <c r="E148" s="13">
        <v>42670.949826388889</v>
      </c>
      <c r="F148" s="13">
        <v>42670.955740740741</v>
      </c>
      <c r="G148" s="7">
        <v>1</v>
      </c>
      <c r="H148" s="13" t="s">
        <v>181</v>
      </c>
      <c r="I148" s="13">
        <v>42670.987025462964</v>
      </c>
      <c r="J148" s="7">
        <v>0</v>
      </c>
      <c r="K148" s="112" t="str">
        <f t="shared" si="53"/>
        <v>4039/4040</v>
      </c>
      <c r="L148" s="22" t="str">
        <f>VLOOKUP(A148,'Trips&amp;Operators'!$C$1:$E$10000,3,FALSE)</f>
        <v>LEVIN</v>
      </c>
      <c r="M148" s="6">
        <f t="shared" si="54"/>
        <v>3.1284722223063E-2</v>
      </c>
      <c r="N148" s="7">
        <f t="shared" si="68"/>
        <v>45.050000001210719</v>
      </c>
      <c r="O148" s="7"/>
      <c r="P148" s="7"/>
      <c r="Q148" s="23"/>
      <c r="R148" s="23"/>
      <c r="S148" s="35">
        <f t="shared" si="55"/>
        <v>1</v>
      </c>
      <c r="T148" s="50" t="str">
        <f t="shared" si="56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21:47:45-0600',mode:absolute,to:'2016-10-28 00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8" s="52" t="str">
        <f t="shared" si="58"/>
        <v>N</v>
      </c>
      <c r="X148" s="177">
        <f t="shared" si="69"/>
        <v>1</v>
      </c>
      <c r="Y148" s="67">
        <f t="shared" si="66"/>
        <v>23.3017</v>
      </c>
      <c r="Z148" s="67">
        <f t="shared" si="59"/>
        <v>1.41E-2</v>
      </c>
      <c r="AA148" s="67">
        <f t="shared" si="60"/>
        <v>23.287600000000001</v>
      </c>
      <c r="AB148" s="64" t="str">
        <f>VLOOKUP(A148,Enforcements!$C$7:$K$21,8,0)</f>
        <v>Speed (6)</v>
      </c>
      <c r="AC148" s="60" t="str">
        <f>VLOOKUP(A148,Enforcements!$C$7:$E$21,3,0)</f>
        <v>PERMANENT SPEED RESTRICTION</v>
      </c>
      <c r="AD148" s="61" t="str">
        <f t="shared" si="61"/>
        <v>0234-27</v>
      </c>
      <c r="AE148" s="91" t="str">
        <f t="shared" si="70"/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AF148" s="88" t="str">
        <f t="shared" si="71"/>
        <v>"C:\Program Files (x86)\AstroGrep\AstroGrep.exe" /spath="%USERPROFILE%\AppData\Local\Temp\OnboardLogs" /stypes="app*4039*20161028*" /stext=" 05:.+((SYSTEM_STATE.+slice.+state.+changed )|(ment ac)|(system.+state.+changed )|(\[timeout)|(PRM\|1\|D)|(kpr)|(kdp)|(\|lc)|(penalty))" /e /r /s</v>
      </c>
      <c r="AG148" s="1" t="str">
        <f t="shared" si="62"/>
        <v>EC</v>
      </c>
      <c r="AH148" s="92" t="str">
        <f t="shared" si="72"/>
        <v>"%USERPROFILE%\Documents\GitHub\eaglep3\Utilities\RefineRTDCRunTimes.py" --tripid 234-27 --locoid 4039 --swversion DE.1.0.8.0 --startMP 204:233017 --initTime 2016-10-27T22:47:45 --startdatetime 2016-10-27T22:56:16 --delay 1 --endMP 204:141 --enddatetime 2016-10-27T23:41:19 --enforcementcount 0 &gt;&gt;C:\Users\stu\Documents\GitHub\eaglep3-reporting\EC\2016-10-27-refined-times.txt</v>
      </c>
      <c r="AI148" s="122" t="str">
        <f t="shared" si="73"/>
        <v>echo {"issue":{"subject":"","project_id":79,"tracker_id":40,"status_id":1,"priority_id":2,"assigned_to_id":23,"start_date":"2016-10-27","description":"","custom_fields":[{"id":1,"name":"Subdivision","value":"EC"},{"id":4,"name":"Milepost","value":"0.0141"},{"id":17,"name":"Train ID","value":"234-27"},{"id":16,"name":"Locomotive ID","value":"4039"},{"id":130,"name":"Impact","value":""},{"id":150,"name":"Time of Event (Mountain Time)","value":"23:41:19"},{"id":151,"name":"Denver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598</v>
      </c>
      <c r="B149" s="7">
        <v>4014</v>
      </c>
      <c r="C149" s="22" t="s">
        <v>326</v>
      </c>
      <c r="D149" s="22" t="s">
        <v>229</v>
      </c>
      <c r="E149" s="13">
        <v>42670.933275462965</v>
      </c>
      <c r="F149" s="13">
        <v>42670.937708333331</v>
      </c>
      <c r="G149" s="7">
        <v>1</v>
      </c>
      <c r="H149" s="13" t="s">
        <v>354</v>
      </c>
      <c r="I149" s="13">
        <v>42670.962766203702</v>
      </c>
      <c r="J149" s="7">
        <v>0</v>
      </c>
      <c r="K149" s="112" t="str">
        <f t="shared" si="53"/>
        <v>4013/4014</v>
      </c>
      <c r="L149" s="22" t="str">
        <f>VLOOKUP(A149,'Trips&amp;Operators'!$C$1:$E$10000,3,FALSE)</f>
        <v>DELGADO</v>
      </c>
      <c r="M149" s="6">
        <f t="shared" si="54"/>
        <v>2.5057870370801538E-2</v>
      </c>
      <c r="N149" s="7">
        <f t="shared" si="68"/>
        <v>36.083333333954215</v>
      </c>
      <c r="O149" s="7"/>
      <c r="P149" s="7"/>
      <c r="Q149" s="23"/>
      <c r="R149" s="23"/>
      <c r="S149" s="35">
        <f t="shared" si="55"/>
        <v>1</v>
      </c>
      <c r="T149" s="50" t="str">
        <f t="shared" si="56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21:23:55-0600',mode:absolute,to:'2016-10-28 00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9" s="52" t="str">
        <f t="shared" si="58"/>
        <v>N</v>
      </c>
      <c r="X149" s="177">
        <f t="shared" si="69"/>
        <v>1</v>
      </c>
      <c r="Y149" s="67">
        <f t="shared" si="66"/>
        <v>4.6899999999999997E-2</v>
      </c>
      <c r="Z149" s="67">
        <f t="shared" si="59"/>
        <v>23.327200000000001</v>
      </c>
      <c r="AA149" s="67">
        <f t="shared" si="60"/>
        <v>23.2803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61"/>
        <v>0235-27</v>
      </c>
      <c r="AE149" s="91" t="str">
        <f t="shared" si="70"/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AF149" s="88" t="str">
        <f t="shared" si="71"/>
        <v>"C:\Program Files (x86)\AstroGrep\AstroGrep.exe" /spath="%USERPROFILE%\AppData\Local\Temp\OnboardLogs" /stypes="app*4014*20161028*" /stext=" 05:.+((SYSTEM_STATE.+slice.+state.+changed )|(ment ac)|(system.+state.+changed )|(\[timeout)|(PRM\|1\|D)|(kpr)|(kdp)|(\|lc)|(penalty))" /e /r /s</v>
      </c>
      <c r="AG149" s="1" t="str">
        <f t="shared" si="62"/>
        <v>EC</v>
      </c>
      <c r="AH149" s="92" t="str">
        <f t="shared" si="72"/>
        <v>"%USERPROFILE%\Documents\GitHub\eaglep3\Utilities\RefineRTDCRunTimes.py" --tripid 235-27 --locoid 4014 --swversion DE.1.0.8.0 --startMP 204:469 --initTime 2016-10-27T22:23:55 --startdatetime 2016-10-27T22:30:18 --delay 1 --endMP 204:233272 --enddatetime 2016-10-27T23:06:23 --enforcementcount 0 &gt;&gt;C:\Users\stu\Documents\GitHub\eaglep3-reporting\EC\2016-10-27-refined-times.txt</v>
      </c>
      <c r="AI149" s="122" t="str">
        <f t="shared" si="73"/>
        <v>echo {"issue":{"subject":"","project_id":79,"tracker_id":40,"status_id":1,"priority_id":2,"assigned_to_id":23,"start_date":"2016-10-27","description":"","custom_fields":[{"id":1,"name":"Subdivision","value":"EC"},{"id":4,"name":"Milepost","value":"23.3272"},{"id":17,"name":"Train ID","value":"235-27"},{"id":16,"name":"Locomotive ID","value":"4014"},{"id":130,"name":"Impact","value":""},{"id":150,"name":"Time of Event (Mountain Time)","value":"23:06:23"},{"id":151,"name":"Denver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602</v>
      </c>
      <c r="B150" s="7">
        <v>4013</v>
      </c>
      <c r="C150" s="22" t="s">
        <v>326</v>
      </c>
      <c r="D150" s="22" t="s">
        <v>343</v>
      </c>
      <c r="E150" s="13">
        <v>42670.972280092596</v>
      </c>
      <c r="F150" s="13">
        <v>42670.976574074077</v>
      </c>
      <c r="G150" s="7">
        <v>1</v>
      </c>
      <c r="H150" s="13" t="s">
        <v>215</v>
      </c>
      <c r="I150" s="13">
        <v>42671.003865740742</v>
      </c>
      <c r="J150" s="7">
        <v>0</v>
      </c>
      <c r="K150" s="112" t="str">
        <f t="shared" si="53"/>
        <v>4013/4014</v>
      </c>
      <c r="L150" s="22" t="str">
        <f>VLOOKUP(A150,'Trips&amp;Operators'!$C$1:$E$10000,3,FALSE)</f>
        <v>DELGADO</v>
      </c>
      <c r="M150" s="6">
        <f t="shared" si="54"/>
        <v>2.7291666665405501E-2</v>
      </c>
      <c r="N150" s="7">
        <f t="shared" si="68"/>
        <v>39.299999998183921</v>
      </c>
      <c r="O150" s="7"/>
      <c r="P150" s="7"/>
      <c r="Q150" s="23"/>
      <c r="R150" s="23"/>
      <c r="S150" s="35">
        <f t="shared" si="55"/>
        <v>1</v>
      </c>
      <c r="T150" s="50" t="str">
        <f t="shared" si="56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22:20:05-0600',mode:absolute,to:'2016-10-28 01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0" s="52" t="str">
        <f t="shared" si="58"/>
        <v>N</v>
      </c>
      <c r="X150" s="177">
        <f t="shared" si="69"/>
        <v>1</v>
      </c>
      <c r="Y150" s="67">
        <f t="shared" si="66"/>
        <v>23.297899999999998</v>
      </c>
      <c r="Z150" s="67">
        <f t="shared" si="59"/>
        <v>1.4500000000000001E-2</v>
      </c>
      <c r="AA150" s="67">
        <f t="shared" si="60"/>
        <v>23.283399999999997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61"/>
        <v>0236-27</v>
      </c>
      <c r="AE150" s="91" t="str">
        <f t="shared" si="70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150" s="88" t="str">
        <f t="shared" si="71"/>
        <v>"C:\Program Files (x86)\AstroGrep\AstroGrep.exe" /spath="%USERPROFILE%\AppData\Local\Temp\OnboardLogs" /stypes="app*4013*20161028*" /stext=" 06:.+((SYSTEM_STATE.+slice.+state.+changed )|(ment ac)|(system.+state.+changed )|(\[timeout)|(PRM\|1\|D)|(kpr)|(kdp)|(\|lc)|(penalty))" /e /r /s</v>
      </c>
      <c r="AG150" s="1" t="str">
        <f t="shared" si="62"/>
        <v>EC</v>
      </c>
      <c r="AH150" s="92" t="str">
        <f t="shared" si="72"/>
        <v>"%USERPROFILE%\Documents\GitHub\eaglep3\Utilities\RefineRTDCRunTimes.py" --tripid 236-27 --locoid 4013 --swversion DE.1.0.8.0 --startMP 204:232979 --initTime 2016-10-27T23:20:05 --startdatetime 2016-10-27T23:26:16 --delay 1 --endMP 204:145 --enddatetime 2016-10-28T00:05:34 --enforcementcount 0 &gt;&gt;C:\Users\stu\Documents\GitHub\eaglep3-reporting\EC\2016-10-27-refined-times.txt</v>
      </c>
      <c r="AI150" s="122" t="str">
        <f t="shared" si="73"/>
        <v>echo {"issue":{"subject":"","project_id":79,"tracker_id":40,"status_id":1,"priority_id":2,"assigned_to_id":23,"start_date":"2016-10-28","description":"","custom_fields":[{"id":1,"name":"Subdivision","value":"EC"},{"id":4,"name":"Milepost","value":"0.0145"},{"id":17,"name":"Train ID","value":"236-27"},{"id":16,"name":"Locomotive ID","value":"4013"},{"id":130,"name":"Impact","value":""},{"id":150,"name":"Time of Event (Mountain Time)","value":"00:05:34"},{"id":151,"name":"Denver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600</v>
      </c>
      <c r="B151" s="7">
        <v>4018</v>
      </c>
      <c r="C151" s="22" t="s">
        <v>326</v>
      </c>
      <c r="D151" s="22" t="s">
        <v>223</v>
      </c>
      <c r="E151" s="13">
        <v>42670.947083333333</v>
      </c>
      <c r="F151" s="13">
        <v>42670.958611111113</v>
      </c>
      <c r="G151" s="7">
        <v>1</v>
      </c>
      <c r="H151" s="13" t="s">
        <v>194</v>
      </c>
      <c r="I151" s="13">
        <v>42670.982997685183</v>
      </c>
      <c r="J151" s="7">
        <v>0</v>
      </c>
      <c r="K151" s="112" t="str">
        <f t="shared" si="53"/>
        <v>4017/4018</v>
      </c>
      <c r="L151" s="22" t="str">
        <f>VLOOKUP(A151,'Trips&amp;Operators'!$C$1:$E$10000,3,FALSE)</f>
        <v>SMITH</v>
      </c>
      <c r="M151" s="6">
        <f t="shared" si="54"/>
        <v>2.438657407037681E-2</v>
      </c>
      <c r="N151" s="7">
        <f t="shared" si="68"/>
        <v>35.116666661342606</v>
      </c>
      <c r="O151" s="7"/>
      <c r="P151" s="7"/>
      <c r="Q151" s="23"/>
      <c r="R151" s="23"/>
      <c r="S151" s="35">
        <f t="shared" si="55"/>
        <v>1</v>
      </c>
      <c r="T151" s="50" t="str">
        <f t="shared" si="56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21:43:48-0600',mode:absolute,to:'2016-10-28 00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1" s="52" t="str">
        <f t="shared" si="58"/>
        <v>N</v>
      </c>
      <c r="X151" s="177">
        <f t="shared" si="69"/>
        <v>1</v>
      </c>
      <c r="Y151" s="67">
        <f t="shared" si="66"/>
        <v>4.5499999999999999E-2</v>
      </c>
      <c r="Z151" s="67">
        <f t="shared" si="59"/>
        <v>23.329699999999999</v>
      </c>
      <c r="AA151" s="67">
        <f t="shared" si="60"/>
        <v>23.284199999999998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61"/>
        <v>0237-27</v>
      </c>
      <c r="AE151" s="91" t="str">
        <f t="shared" si="70"/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AF151" s="88" t="str">
        <f t="shared" si="71"/>
        <v>"C:\Program Files (x86)\AstroGrep\AstroGrep.exe" /spath="%USERPROFILE%\AppData\Local\Temp\OnboardLogs" /stypes="app*4018*20161028*" /stext=" 05:.+((SYSTEM_STATE.+slice.+state.+changed )|(ment ac)|(system.+state.+changed )|(\[timeout)|(PRM\|1\|D)|(kpr)|(kdp)|(\|lc)|(penalty))" /e /r /s</v>
      </c>
      <c r="AG151" s="1" t="str">
        <f t="shared" si="62"/>
        <v>EC</v>
      </c>
      <c r="AH151" s="92" t="str">
        <f t="shared" si="72"/>
        <v>"%USERPROFILE%\Documents\GitHub\eaglep3\Utilities\RefineRTDCRunTimes.py" --tripid 237-27 --locoid 4018 --swversion DE.1.0.8.0 --startMP 204:455 --initTime 2016-10-27T22:43:48 --startdatetime 2016-10-27T23:00:24 --delay 1 --endMP 204:233297 --enddatetime 2016-10-27T23:35:31 --enforcementcount 0 &gt;&gt;C:\Users\stu\Documents\GitHub\eaglep3-reporting\EC\2016-10-27-refined-times.txt</v>
      </c>
      <c r="AI151" s="122" t="str">
        <f t="shared" si="73"/>
        <v>echo {"issue":{"subject":"","project_id":79,"tracker_id":40,"status_id":1,"priority_id":2,"assigned_to_id":23,"start_date":"2016-10-27","description":"","custom_fields":[{"id":1,"name":"Subdivision","value":"EC"},{"id":4,"name":"Milepost","value":"23.3297"},{"id":17,"name":"Train ID","value":"237-27"},{"id":16,"name":"Locomotive ID","value":"4018"},{"id":130,"name":"Impact","value":""},{"id":150,"name":"Time of Event (Mountain Time)","value":"23:35:31"},{"id":151,"name":"Denver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605</v>
      </c>
      <c r="B152" s="7">
        <v>4017</v>
      </c>
      <c r="C152" s="22" t="s">
        <v>326</v>
      </c>
      <c r="D152" s="22" t="s">
        <v>313</v>
      </c>
      <c r="E152" s="13">
        <v>42670.98641203704</v>
      </c>
      <c r="F152" s="13">
        <v>42670.997569444444</v>
      </c>
      <c r="G152" s="7">
        <v>1</v>
      </c>
      <c r="H152" s="13" t="s">
        <v>176</v>
      </c>
      <c r="I152" s="13">
        <v>42671.02416666667</v>
      </c>
      <c r="J152" s="7">
        <v>0</v>
      </c>
      <c r="K152" s="112" t="str">
        <f t="shared" si="53"/>
        <v>4017/4018</v>
      </c>
      <c r="L152" s="22" t="str">
        <f>VLOOKUP(A152,'Trips&amp;Operators'!$C$1:$E$10000,3,FALSE)</f>
        <v>SMITH</v>
      </c>
      <c r="M152" s="6">
        <f t="shared" si="54"/>
        <v>2.6597222225973383E-2</v>
      </c>
      <c r="N152" s="7">
        <f t="shared" si="68"/>
        <v>38.300000005401671</v>
      </c>
      <c r="O152" s="7"/>
      <c r="P152" s="7"/>
      <c r="Q152" s="23"/>
      <c r="R152" s="23"/>
      <c r="S152" s="35">
        <f t="shared" si="55"/>
        <v>1</v>
      </c>
      <c r="T152" s="50" t="str">
        <f t="shared" si="56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22:40:26-0600',mode:absolute,to:'2016-10-28 01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2" s="52" t="str">
        <f t="shared" si="58"/>
        <v>N</v>
      </c>
      <c r="X152" s="177">
        <f t="shared" si="69"/>
        <v>1</v>
      </c>
      <c r="Y152" s="67">
        <f t="shared" si="66"/>
        <v>23.298100000000002</v>
      </c>
      <c r="Z152" s="67">
        <f t="shared" si="59"/>
        <v>1.52E-2</v>
      </c>
      <c r="AA152" s="67">
        <f t="shared" si="60"/>
        <v>23.282900000000001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61"/>
        <v>0238-27</v>
      </c>
      <c r="AE152" s="91" t="str">
        <f t="shared" si="70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152" s="88" t="str">
        <f t="shared" si="71"/>
        <v>"C:\Program Files (x86)\AstroGrep\AstroGrep.exe" /spath="%USERPROFILE%\AppData\Local\Temp\OnboardLogs" /stypes="app*4017*20161028*" /stext=" 06:.+((SYSTEM_STATE.+slice.+state.+changed )|(ment ac)|(system.+state.+changed )|(\[timeout)|(PRM\|1\|D)|(kpr)|(kdp)|(\|lc)|(penalty))" /e /r /s</v>
      </c>
      <c r="AG152" s="1" t="str">
        <f t="shared" si="62"/>
        <v>EC</v>
      </c>
      <c r="AH152" s="92" t="str">
        <f t="shared" si="72"/>
        <v>"%USERPROFILE%\Documents\GitHub\eaglep3\Utilities\RefineRTDCRunTimes.py" --tripid 238-27 --locoid 4017 --swversion DE.1.0.8.0 --startMP 204:232981 --initTime 2016-10-27T23:40:26 --startdatetime 2016-10-27T23:56:30 --delay 1 --endMP 204:152 --enddatetime 2016-10-28T00:34:48 --enforcementcount 0 &gt;&gt;C:\Users\stu\Documents\GitHub\eaglep3-reporting\EC\2016-10-27-refined-times.txt</v>
      </c>
      <c r="AI152" s="122" t="str">
        <f t="shared" si="73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ID","value":"238-27"},{"id":16,"name":"Locomotive ID","value":"4017"},{"id":130,"name":"Impact","value":""},{"id":150,"name":"Time of Event (Mountain Time)","value":"00:34:48"},{"id":151,"name":"Denver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603</v>
      </c>
      <c r="B153" s="7">
        <v>4002</v>
      </c>
      <c r="C153" s="22" t="s">
        <v>326</v>
      </c>
      <c r="D153" s="22" t="s">
        <v>279</v>
      </c>
      <c r="E153" s="13">
        <v>42670.97451388889</v>
      </c>
      <c r="F153" s="13">
        <v>42670.979398148149</v>
      </c>
      <c r="G153" s="7">
        <v>1</v>
      </c>
      <c r="H153" s="13" t="s">
        <v>680</v>
      </c>
      <c r="I153" s="13">
        <v>42671.004317129627</v>
      </c>
      <c r="J153" s="7">
        <v>0</v>
      </c>
      <c r="K153" s="112" t="str">
        <f t="shared" si="53"/>
        <v>4001/4002</v>
      </c>
      <c r="L153" s="22" t="str">
        <f>VLOOKUP(A153,'Trips&amp;Operators'!$C$1:$E$10000,3,FALSE)</f>
        <v>BERLING</v>
      </c>
      <c r="M153" s="6">
        <f t="shared" si="54"/>
        <v>2.491898147854954E-2</v>
      </c>
      <c r="N153" s="7">
        <f t="shared" si="68"/>
        <v>35.883333329111338</v>
      </c>
      <c r="O153" s="7"/>
      <c r="P153" s="7"/>
      <c r="Q153" s="23"/>
      <c r="R153" s="23"/>
      <c r="S153" s="35">
        <f t="shared" si="55"/>
        <v>1</v>
      </c>
      <c r="T153" s="50" t="str">
        <f t="shared" si="56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22:23:18-0600',mode:absolute,to:'2016-10-28 01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3" s="52" t="str">
        <f t="shared" si="58"/>
        <v>N</v>
      </c>
      <c r="X153" s="177">
        <f t="shared" si="69"/>
        <v>1</v>
      </c>
      <c r="Y153" s="67">
        <f t="shared" si="66"/>
        <v>4.7800000000000002E-2</v>
      </c>
      <c r="Z153" s="67">
        <f t="shared" si="59"/>
        <v>23.3325</v>
      </c>
      <c r="AA153" s="67">
        <f t="shared" si="60"/>
        <v>23.284700000000001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61"/>
        <v>0239-27</v>
      </c>
      <c r="AE153" s="91" t="str">
        <f t="shared" si="70"/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AF153" s="88" t="str">
        <f t="shared" si="71"/>
        <v>"C:\Program Files (x86)\AstroGrep\AstroGrep.exe" /spath="%USERPROFILE%\AppData\Local\Temp\OnboardLogs" /stypes="app*4002*20161028*" /stext=" 06:.+((SYSTEM_STATE.+slice.+state.+changed )|(ment ac)|(system.+state.+changed )|(\[timeout)|(PRM\|1\|D)|(kpr)|(kdp)|(\|lc)|(penalty))" /e /r /s</v>
      </c>
      <c r="AG153" s="1" t="str">
        <f t="shared" si="62"/>
        <v>EC</v>
      </c>
      <c r="AH153" s="92" t="str">
        <f t="shared" si="72"/>
        <v>"%USERPROFILE%\Documents\GitHub\eaglep3\Utilities\RefineRTDCRunTimes.py" --tripid 239-27 --locoid 4002 --swversion DE.1.0.8.0 --startMP 204:478 --initTime 2016-10-27T23:23:18 --startdatetime 2016-10-27T23:30:20 --delay 1 --endMP 204:233325 --enddatetime 2016-10-28T00:06:13 --enforcementcount 0 &gt;&gt;C:\Users\stu\Documents\GitHub\eaglep3-reporting\EC\2016-10-27-refined-times.txt</v>
      </c>
      <c r="AI153" s="122" t="str">
        <f t="shared" si="73"/>
        <v>echo {"issue":{"subject":"","project_id":79,"tracker_id":40,"status_id":1,"priority_id":2,"assigned_to_id":23,"start_date":"2016-10-28","description":"","custom_fields":[{"id":1,"name":"Subdivision","value":"EC"},{"id":4,"name":"Milepost","value":"23.3325"},{"id":17,"name":"Train ID","value":"239-27"},{"id":16,"name":"Locomotive ID","value":"4002"},{"id":130,"name":"Impact","value":""},{"id":150,"name":"Time of Event (Mountain Time)","value":"00:06:13"},{"id":151,"name":"Denver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608</v>
      </c>
      <c r="B154" s="7">
        <v>4001</v>
      </c>
      <c r="C154" s="22" t="s">
        <v>326</v>
      </c>
      <c r="D154" s="22" t="s">
        <v>266</v>
      </c>
      <c r="E154" s="13">
        <v>42671.016701388886</v>
      </c>
      <c r="F154" s="13">
        <v>42671.018287037034</v>
      </c>
      <c r="G154" s="7">
        <v>1</v>
      </c>
      <c r="H154" s="13" t="s">
        <v>346</v>
      </c>
      <c r="I154" s="13">
        <v>42671.044374999998</v>
      </c>
      <c r="J154" s="7">
        <v>0</v>
      </c>
      <c r="K154" s="112" t="str">
        <f t="shared" si="53"/>
        <v>4001/4002</v>
      </c>
      <c r="L154" s="22" t="str">
        <f>VLOOKUP(A154,'Trips&amp;Operators'!$C$1:$E$10000,3,FALSE)</f>
        <v>BERLING</v>
      </c>
      <c r="M154" s="6">
        <f t="shared" si="54"/>
        <v>2.6087962964083999E-2</v>
      </c>
      <c r="N154" s="7">
        <f t="shared" si="68"/>
        <v>37.566666668280959</v>
      </c>
      <c r="O154" s="7"/>
      <c r="P154" s="7"/>
      <c r="Q154" s="23"/>
      <c r="R154" s="23"/>
      <c r="S154" s="35">
        <f t="shared" si="55"/>
        <v>1</v>
      </c>
      <c r="T154" s="50" t="str">
        <f t="shared" si="56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23:24:03-0600',mode:absolute,to:'2016-10-28 02:03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4" s="52" t="str">
        <f t="shared" si="58"/>
        <v>N</v>
      </c>
      <c r="X154" s="177">
        <f t="shared" si="69"/>
        <v>1</v>
      </c>
      <c r="Y154" s="67">
        <f t="shared" si="66"/>
        <v>23.299299999999999</v>
      </c>
      <c r="Z154" s="67">
        <f t="shared" si="59"/>
        <v>1.3899999999999999E-2</v>
      </c>
      <c r="AA154" s="67">
        <f t="shared" si="60"/>
        <v>23.285399999999999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61"/>
        <v>0240-27</v>
      </c>
      <c r="AE154" s="91" t="str">
        <f t="shared" si="70"/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AF154" s="88" t="str">
        <f t="shared" si="71"/>
        <v>"C:\Program Files (x86)\AstroGrep\AstroGrep.exe" /spath="%USERPROFILE%\AppData\Local\Temp\OnboardLogs" /stypes="app*4001*20161028*" /stext=" 07:.+((SYSTEM_STATE.+slice.+state.+changed )|(ment ac)|(system.+state.+changed )|(\[timeout)|(PRM\|1\|D)|(kpr)|(kdp)|(\|lc)|(penalty))" /e /r /s</v>
      </c>
      <c r="AG154" s="1" t="str">
        <f t="shared" si="62"/>
        <v>EC</v>
      </c>
      <c r="AH154" s="92" t="str">
        <f t="shared" si="72"/>
        <v>"%USERPROFILE%\Documents\GitHub\eaglep3\Utilities\RefineRTDCRunTimes.py" --tripid 240-27 --locoid 4001 --swversion DE.1.0.8.0 --startMP 204:232993 --initTime 2016-10-28T00:24:03 --startdatetime 2016-10-28T00:26:20 --delay 1 --endMP 204:139 --enddatetime 2016-10-28T01:03:54 --enforcementcount 0 &gt;&gt;C:\Users\stu\Documents\GitHub\eaglep3-reporting\EC\2016-10-27-refined-times.txt</v>
      </c>
      <c r="AI154" s="122" t="str">
        <f t="shared" si="73"/>
        <v>echo {"issue":{"subject":"","project_id":79,"tracker_id":40,"status_id":1,"priority_id":2,"assigned_to_id":23,"start_date":"2016-10-28","description":"","custom_fields":[{"id":1,"name":"Subdivision","value":"EC"},{"id":4,"name":"Milepost","value":"0.0139"},{"id":17,"name":"Train ID","value":"240-27"},{"id":16,"name":"Locomotive ID","value":"4001"},{"id":130,"name":"Impact","value":""},{"id":150,"name":"Time of Event (Mountain Time)","value":"01:03:54"},{"id":151,"name":"Denver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606</v>
      </c>
      <c r="B155" s="7">
        <v>4040</v>
      </c>
      <c r="C155" s="22" t="s">
        <v>326</v>
      </c>
      <c r="D155" s="22" t="s">
        <v>255</v>
      </c>
      <c r="E155" s="13">
        <v>42670.988530092596</v>
      </c>
      <c r="F155" s="13">
        <v>42671.000173611108</v>
      </c>
      <c r="G155" s="7">
        <v>1</v>
      </c>
      <c r="H155" s="13" t="s">
        <v>640</v>
      </c>
      <c r="I155" s="13">
        <v>42671.025057870371</v>
      </c>
      <c r="J155" s="7">
        <v>0</v>
      </c>
      <c r="K155" s="112" t="str">
        <f t="shared" si="53"/>
        <v>4039/4040</v>
      </c>
      <c r="L155" s="22" t="str">
        <f>VLOOKUP(A155,'Trips&amp;Operators'!$C$1:$E$10000,3,FALSE)</f>
        <v>LEVIN</v>
      </c>
      <c r="M155" s="6">
        <f t="shared" si="54"/>
        <v>2.4884259262762498E-2</v>
      </c>
      <c r="N155" s="7">
        <f t="shared" si="68"/>
        <v>35.833333338377997</v>
      </c>
      <c r="O155" s="7"/>
      <c r="P155" s="7"/>
      <c r="Q155" s="23"/>
      <c r="R155" s="23"/>
      <c r="S155" s="35">
        <f t="shared" si="55"/>
        <v>1</v>
      </c>
      <c r="T155" s="50" t="str">
        <f t="shared" si="56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22:43:29-0600',mode:absolute,to:'2016-10-28 01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5" s="52" t="str">
        <f t="shared" si="58"/>
        <v>N</v>
      </c>
      <c r="X155" s="177">
        <f t="shared" si="69"/>
        <v>1</v>
      </c>
      <c r="Y155" s="67">
        <f t="shared" si="66"/>
        <v>4.4900000000000002E-2</v>
      </c>
      <c r="Z155" s="67">
        <f t="shared" si="59"/>
        <v>23.331499999999998</v>
      </c>
      <c r="AA155" s="67">
        <f t="shared" si="60"/>
        <v>23.2866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61"/>
        <v>0241-27</v>
      </c>
      <c r="AE155" s="91" t="str">
        <f t="shared" si="70"/>
        <v>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 &amp; 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</v>
      </c>
      <c r="AF155" s="88" t="str">
        <f t="shared" si="71"/>
        <v>"C:\Program Files (x86)\AstroGrep\AstroGrep.exe" /spath="%USERPROFILE%\AppData\Local\Temp\OnboardLogs" /stypes="app*4040*20161028*" /stext=" 06:.+((SYSTEM_STATE.+slice.+state.+changed )|(ment ac)|(system.+state.+changed )|(\[timeout)|(PRM\|1\|D)|(kpr)|(kdp)|(\|lc)|(penalty))" /e /r /s</v>
      </c>
      <c r="AG155" s="1" t="str">
        <f t="shared" si="62"/>
        <v>EC</v>
      </c>
      <c r="AH155" s="92" t="str">
        <f t="shared" si="72"/>
        <v>"%USERPROFILE%\Documents\GitHub\eaglep3\Utilities\RefineRTDCRunTimes.py" --tripid 241-27 --locoid 4040 --swversion DE.1.0.8.0 --startMP 204:449 --initTime 2016-10-27T23:43:29 --startdatetime 2016-10-28T00:00:15 --delay 1 --endMP 204:233315 --enddatetime 2016-10-28T00:36:05 --enforcementcount 0 &gt;&gt;C:\Users\stu\Documents\GitHub\eaglep3-reporting\EC\2016-10-27-refined-times.txt</v>
      </c>
      <c r="AI155" s="122" t="str">
        <f t="shared" si="73"/>
        <v>echo {"issue":{"subject":"","project_id":79,"tracker_id":40,"status_id":1,"priority_id":2,"assigned_to_id":23,"start_date":"2016-10-28","description":"","custom_fields":[{"id":1,"name":"Subdivision","value":"EC"},{"id":4,"name":"Milepost","value":"23.3315"},{"id":17,"name":"Train ID","value":"241-27"},{"id":16,"name":"Locomotive ID","value":"4040"},{"id":130,"name":"Impact","value":""},{"id":150,"name":"Time of Event (Mountain Time)","value":"00:36:05"},{"id":151,"name":"Denver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429</v>
      </c>
      <c r="B156" s="7">
        <v>4039</v>
      </c>
      <c r="C156" s="22" t="s">
        <v>326</v>
      </c>
      <c r="D156" s="22" t="s">
        <v>246</v>
      </c>
      <c r="E156" s="13">
        <v>42671.027615740742</v>
      </c>
      <c r="F156" s="13">
        <v>42671.039074074077</v>
      </c>
      <c r="G156" s="7">
        <v>1</v>
      </c>
      <c r="H156" s="13" t="s">
        <v>249</v>
      </c>
      <c r="I156" s="13">
        <v>42671.065636574072</v>
      </c>
      <c r="J156" s="7">
        <v>0</v>
      </c>
      <c r="K156" s="112" t="str">
        <f t="shared" si="53"/>
        <v>4039/4040</v>
      </c>
      <c r="L156" s="22" t="str">
        <f>VLOOKUP(A156,'Trips&amp;Operators'!$C$1:$E$10000,3,FALSE)</f>
        <v>LEVIN</v>
      </c>
      <c r="M156" s="6">
        <f t="shared" si="54"/>
        <v>2.6562499995634425E-2</v>
      </c>
      <c r="N156" s="7">
        <f t="shared" si="68"/>
        <v>38.249999993713573</v>
      </c>
      <c r="O156" s="7"/>
      <c r="P156" s="7"/>
      <c r="Q156" s="23"/>
      <c r="R156" s="23"/>
      <c r="S156" s="35">
        <f t="shared" si="55"/>
        <v>1</v>
      </c>
      <c r="T156" s="50" t="str">
        <f t="shared" si="56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23:39:46-0600',mode:absolute,to:'2016-10-28 02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6" s="52" t="str">
        <f t="shared" si="58"/>
        <v>N</v>
      </c>
      <c r="X156" s="177">
        <f t="shared" si="69"/>
        <v>1</v>
      </c>
      <c r="Y156" s="67">
        <f t="shared" si="66"/>
        <v>23.299399999999999</v>
      </c>
      <c r="Z156" s="67">
        <f t="shared" si="59"/>
        <v>1.5599999999999999E-2</v>
      </c>
      <c r="AA156" s="67">
        <f t="shared" si="60"/>
        <v>23.283799999999999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61"/>
        <v>0242-27</v>
      </c>
      <c r="AE156" s="91" t="str">
        <f t="shared" si="70"/>
        <v>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 &amp; 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</v>
      </c>
      <c r="AF156" s="88" t="str">
        <f t="shared" si="71"/>
        <v>"C:\Program Files (x86)\AstroGrep\AstroGrep.exe" /spath="%USERPROFILE%\AppData\Local\Temp\OnboardLogs" /stypes="app*4039*20161028*" /stext=" 07:.+((SYSTEM_STATE.+slice.+state.+changed )|(ment ac)|(system.+state.+changed )|(\[timeout)|(PRM\|1\|D)|(kpr)|(kdp)|(\|lc)|(penalty))" /e /r /s</v>
      </c>
      <c r="AG156" s="1" t="str">
        <f t="shared" si="62"/>
        <v>EC</v>
      </c>
      <c r="AH156" s="92" t="str">
        <f t="shared" si="72"/>
        <v>"%USERPROFILE%\Documents\GitHub\eaglep3\Utilities\RefineRTDCRunTimes.py" --tripid 242-27 --locoid 4039 --swversion DE.1.0.8.0 --startMP 204:232994 --initTime 2016-10-28T00:39:46 --startdatetime 2016-10-28T00:56:16 --delay 1 --endMP 204:156 --enddatetime 2016-10-28T01:34:31 --enforcementcount 0 &gt;&gt;C:\Users\stu\Documents\GitHub\eaglep3-reporting\EC\2016-10-27-refined-times.txt</v>
      </c>
      <c r="AI156" s="122" t="str">
        <f t="shared" si="73"/>
        <v>echo {"issue":{"subject":"","project_id":79,"tracker_id":40,"status_id":1,"priority_id":2,"assigned_to_id":23,"start_date":"2016-10-28","description":"","custom_fields":[{"id":1,"name":"Subdivision","value":"EC"},{"id":4,"name":"Milepost","value":"0.0156"},{"id":17,"name":"Train ID","value":"242-27"},{"id":16,"name":"Locomotive ID","value":"4039"},{"id":130,"name":"Impact","value":""},{"id":150,"name":"Time of Event (Mountain Time)","value":"01:34:31"},{"id":151,"name":"Denver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607</v>
      </c>
      <c r="B157" s="7">
        <v>4014</v>
      </c>
      <c r="C157" s="22" t="s">
        <v>326</v>
      </c>
      <c r="D157" s="22" t="s">
        <v>323</v>
      </c>
      <c r="E157" s="13">
        <v>42671.011377314811</v>
      </c>
      <c r="F157" s="13">
        <v>42671.021018518521</v>
      </c>
      <c r="G157" s="7">
        <v>1</v>
      </c>
      <c r="H157" s="13" t="s">
        <v>299</v>
      </c>
      <c r="I157" s="13">
        <v>42671.046689814815</v>
      </c>
      <c r="J157" s="7">
        <v>0</v>
      </c>
      <c r="K157" s="112" t="str">
        <f t="shared" si="53"/>
        <v>4013/4014</v>
      </c>
      <c r="L157" s="22" t="str">
        <f>VLOOKUP(A157,'Trips&amp;Operators'!$C$1:$E$10000,3,FALSE)</f>
        <v>DELGADO</v>
      </c>
      <c r="M157" s="6">
        <f t="shared" si="54"/>
        <v>2.5671296294603962E-2</v>
      </c>
      <c r="N157" s="7">
        <f t="shared" si="68"/>
        <v>36.966666664229706</v>
      </c>
      <c r="O157" s="7"/>
      <c r="P157" s="7"/>
      <c r="Q157" s="23"/>
      <c r="R157" s="23"/>
      <c r="S157" s="35">
        <f t="shared" si="55"/>
        <v>1</v>
      </c>
      <c r="T157" s="50" t="str">
        <f t="shared" si="56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23:16:23-0600',mode:absolute,to:'2016-10-28 02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7" s="52" t="str">
        <f t="shared" si="58"/>
        <v>N</v>
      </c>
      <c r="X157" s="177">
        <f t="shared" si="69"/>
        <v>1</v>
      </c>
      <c r="Y157" s="67">
        <f t="shared" si="66"/>
        <v>4.3999999999999997E-2</v>
      </c>
      <c r="Z157" s="67">
        <f t="shared" si="59"/>
        <v>23.331700000000001</v>
      </c>
      <c r="AA157" s="67">
        <f t="shared" si="60"/>
        <v>23.287700000000001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61"/>
        <v>0243-27</v>
      </c>
      <c r="AE157" s="91" t="str">
        <f t="shared" si="70"/>
        <v>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 &amp; 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</v>
      </c>
      <c r="AF157" s="88" t="str">
        <f t="shared" si="71"/>
        <v>"C:\Program Files (x86)\AstroGrep\AstroGrep.exe" /spath="%USERPROFILE%\AppData\Local\Temp\OnboardLogs" /stypes="app*4014*20161028*" /stext=" 07:.+((SYSTEM_STATE.+slice.+state.+changed )|(ment ac)|(system.+state.+changed )|(\[timeout)|(PRM\|1\|D)|(kpr)|(kdp)|(\|lc)|(penalty))" /e /r /s</v>
      </c>
      <c r="AG157" s="1" t="str">
        <f t="shared" si="62"/>
        <v>EC</v>
      </c>
      <c r="AH157" s="92" t="str">
        <f t="shared" si="72"/>
        <v>"%USERPROFILE%\Documents\GitHub\eaglep3\Utilities\RefineRTDCRunTimes.py" --tripid 243-27 --locoid 4014 --swversion DE.1.0.8.0 --startMP 204:440 --initTime 2016-10-28T00:16:23 --startdatetime 2016-10-28T00:30:16 --delay 1 --endMP 204:233317 --enddatetime 2016-10-28T01:07:14 --enforcementcount 0 &gt;&gt;C:\Users\stu\Documents\GitHub\eaglep3-reporting\EC\2016-10-27-refined-times.txt</v>
      </c>
      <c r="AI157" s="122" t="str">
        <f t="shared" si="73"/>
        <v>echo {"issue":{"subject":"","project_id":79,"tracker_id":40,"status_id":1,"priority_id":2,"assigned_to_id":23,"start_date":"2016-10-28","description":"","custom_fields":[{"id":1,"name":"Subdivision","value":"EC"},{"id":4,"name":"Milepost","value":"23.3317"},{"id":17,"name":"Train ID","value":"243-27"},{"id":16,"name":"Locomotive ID","value":"4014"},{"id":130,"name":"Impact","value":""},{"id":150,"name":"Time of Event (Mountain Time)","value":"01:07:14"},{"id":151,"name":"Denver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611</v>
      </c>
      <c r="B158" s="7">
        <v>4013</v>
      </c>
      <c r="C158" s="22" t="s">
        <v>326</v>
      </c>
      <c r="D158" s="22" t="s">
        <v>246</v>
      </c>
      <c r="E158" s="13">
        <v>42671.055497685185</v>
      </c>
      <c r="F158" s="13">
        <v>42671.059895833336</v>
      </c>
      <c r="G158" s="7">
        <v>1</v>
      </c>
      <c r="H158" s="13" t="s">
        <v>681</v>
      </c>
      <c r="I158" s="13">
        <v>42671.08666666667</v>
      </c>
      <c r="J158" s="7">
        <v>0</v>
      </c>
      <c r="K158" s="112" t="str">
        <f t="shared" si="53"/>
        <v>4013/4014</v>
      </c>
      <c r="L158" s="22" t="str">
        <f>VLOOKUP(A158,'Trips&amp;Operators'!$C$1:$E$10000,3,FALSE)</f>
        <v>DELGADO</v>
      </c>
      <c r="M158" s="6">
        <f t="shared" si="54"/>
        <v>2.6770833334012423E-2</v>
      </c>
      <c r="N158" s="7">
        <f t="shared" si="68"/>
        <v>38.550000000977889</v>
      </c>
      <c r="O158" s="7"/>
      <c r="P158" s="7"/>
      <c r="Q158" s="23"/>
      <c r="R158" s="23"/>
      <c r="S158" s="35">
        <f t="shared" si="55"/>
        <v>1</v>
      </c>
      <c r="T158" s="50" t="str">
        <f t="shared" si="56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https://search-rtdc-monitor-bjffxe2xuh6vdkpspy63sjmuny.us-east-1.es.amazonaws.com/_plugin/kibana/#/discover/Steve-Slow-Train-Analysis-(2080s-and-2083s)?_g=(refreshInterval:(display:Off,section:0,value:0),time:(from:'2016-10-28 00:19:55-0600',mode:absolute,to:'2016-10-28 03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8" s="52" t="str">
        <f t="shared" si="58"/>
        <v>N</v>
      </c>
      <c r="X158" s="177">
        <f t="shared" si="69"/>
        <v>1</v>
      </c>
      <c r="Y158" s="67">
        <f t="shared" si="66"/>
        <v>23.299399999999999</v>
      </c>
      <c r="Z158" s="67">
        <f t="shared" si="59"/>
        <v>1.32E-2</v>
      </c>
      <c r="AA158" s="67">
        <f t="shared" si="60"/>
        <v>23.286199999999997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61"/>
        <v>0244-27</v>
      </c>
      <c r="AE158" s="91" t="str">
        <f t="shared" si="70"/>
        <v>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 &amp; 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</v>
      </c>
      <c r="AF158" s="88" t="str">
        <f t="shared" si="71"/>
        <v>"C:\Program Files (x86)\AstroGrep\AstroGrep.exe" /spath="%USERPROFILE%\AppData\Local\Temp\OnboardLogs" /stypes="app*4013*20161028*" /stext=" 08:.+((SYSTEM_STATE.+slice.+state.+changed )|(ment ac)|(system.+state.+changed )|(\[timeout)|(PRM\|1\|D)|(kpr)|(kdp)|(\|lc)|(penalty))" /e /r /s</v>
      </c>
      <c r="AG158" s="1" t="str">
        <f t="shared" si="62"/>
        <v>EC</v>
      </c>
      <c r="AH158" s="92" t="str">
        <f t="shared" si="72"/>
        <v>"%USERPROFILE%\Documents\GitHub\eaglep3\Utilities\RefineRTDCRunTimes.py" --tripid 244-27 --locoid 4013 --swversion DE.1.0.8.0 --startMP 204:232994 --initTime 2016-10-28T01:19:55 --startdatetime 2016-10-28T01:26:15 --delay 1 --endMP 204:132 --enddatetime 2016-10-28T02:04:48 --enforcementcount 0 &gt;&gt;C:\Users\stu\Documents\GitHub\eaglep3-reporting\EC\2016-10-27-refined-times.txt</v>
      </c>
      <c r="AI158" s="122" t="str">
        <f t="shared" si="73"/>
        <v>echo {"issue":{"subject":"","project_id":79,"tracker_id":40,"status_id":1,"priority_id":2,"assigned_to_id":23,"start_date":"2016-10-28","description":"","custom_fields":[{"id":1,"name":"Subdivision","value":"EC"},{"id":4,"name":"Milepost","value":"0.0132"},{"id":17,"name":"Train ID","value":"244-27"},{"id":16,"name":"Locomotive ID","value":"4013"},{"id":130,"name":"Impact","value":""},{"id":150,"name":"Time of Event (Mountain Time)","value":"02:04:48"},{"id":151,"name":"Denver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385</v>
      </c>
      <c r="B159" s="7">
        <v>4010</v>
      </c>
      <c r="C159" s="22" t="s">
        <v>326</v>
      </c>
      <c r="D159" s="22" t="s">
        <v>721</v>
      </c>
      <c r="E159" s="13">
        <v>42670.215555555558</v>
      </c>
      <c r="F159" s="13">
        <v>42670.217199074075</v>
      </c>
      <c r="G159" s="7">
        <v>1</v>
      </c>
      <c r="H159" s="13" t="s">
        <v>722</v>
      </c>
      <c r="I159" s="13">
        <v>42670.226851851854</v>
      </c>
      <c r="J159" s="7">
        <v>0</v>
      </c>
      <c r="K159" s="112" t="str">
        <f t="shared" si="53"/>
        <v>4009/4010</v>
      </c>
      <c r="L159" s="22" t="str">
        <f>VLOOKUP(A159,'Trips&amp;Operators'!$C$1:$E$10000,3,FALSE)</f>
        <v>YORK</v>
      </c>
      <c r="M159" s="6">
        <f t="shared" si="54"/>
        <v>9.6527777786832303E-3</v>
      </c>
      <c r="N159" s="7">
        <f t="shared" si="68"/>
        <v>13.900000001303852</v>
      </c>
      <c r="O159" s="7"/>
      <c r="P159" s="7"/>
      <c r="Q159" s="23"/>
      <c r="R159" s="23"/>
      <c r="S159" s="35">
        <f t="shared" si="55"/>
        <v>1</v>
      </c>
      <c r="T159" s="50" t="str">
        <f t="shared" si="56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04:10:24-0600',mode:absolute,to:'2016-10-27 06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9" s="52" t="str">
        <f t="shared" si="58"/>
        <v>N</v>
      </c>
      <c r="X159" s="177">
        <f t="shared" si="69"/>
        <v>556</v>
      </c>
      <c r="Y159" s="67">
        <f t="shared" si="66"/>
        <v>5.8609</v>
      </c>
      <c r="Z159" s="67">
        <f t="shared" si="59"/>
        <v>7.8200000000000006E-2</v>
      </c>
      <c r="AA159" s="67">
        <f t="shared" si="60"/>
        <v>5.7827000000000002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61"/>
        <v>0800-27</v>
      </c>
      <c r="AE159" s="91" t="str">
        <f t="shared" si="70"/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AF159" s="88" t="str">
        <f t="shared" si="71"/>
        <v>"C:\Program Files (x86)\AstroGrep\AstroGrep.exe" /spath="%USERPROFILE%\AppData\Local\Temp\OnboardLogs" /stypes="app*4010*20161027*" /stext=" 11:.+((SYSTEM_STATE.+slice.+state.+changed )|(ment ac)|(system.+state.+changed )|(\[timeout)|(PRM\|1\|D)|(kpr)|(kdp)|(\|lc)|(penalty))" /e /r /s</v>
      </c>
      <c r="AG159" s="1" t="str">
        <f t="shared" si="62"/>
        <v>NW</v>
      </c>
      <c r="AH159" s="92" t="str">
        <f t="shared" si="72"/>
        <v>"%USERPROFILE%\Documents\GitHub\eaglep3\Utilities\RefineRTDCRunTimes.py" --tripid 800-27 --locoid 4010 --swversion DE.1.0.8.0 --startMP 300:58609 --initTime 2016-10-27T05:10:24 --startdatetime 2016-10-27T05:12:46 --delay 1 --endMP 204:782 --enddatetime 2016-10-27T05:26:40 --enforcementcount 0 &gt;&gt;C:\Users\stu\Documents\GitHub\eaglep3-reporting\EC\2016-10-27-refined-times.txt</v>
      </c>
      <c r="AI159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{"issue":{"subject":"","project_id":79,"tracker_id":40,"status_id":1,"priority_id":2,"assigned_to_id":23,"start_date":"2016-10-27","description":"","custom_fields":[{"id":1,"name":"Subdivision","value":"NW"},{"id":4,"name":"Milepost","value":"0.0782"},{"id":17,"name":"Train ID","value":"800-27"},{"id":16,"name":"Locomotive ID","value":"4010"},{"id":130,"name":"Impact","value":""},{"id":150,"name":"Time of Event (Mountain Time)","value":"05:26:40"},{"id":151,"name":"Denver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389</v>
      </c>
      <c r="B160" s="7">
        <v>4009</v>
      </c>
      <c r="C160" s="22" t="s">
        <v>326</v>
      </c>
      <c r="D160" s="22" t="s">
        <v>723</v>
      </c>
      <c r="E160" s="13">
        <v>42670.228495370371</v>
      </c>
      <c r="F160" s="13">
        <v>42670.243935185186</v>
      </c>
      <c r="G160" s="7">
        <v>0</v>
      </c>
      <c r="H160" s="13" t="s">
        <v>724</v>
      </c>
      <c r="I160" s="13">
        <v>42670.252615740741</v>
      </c>
      <c r="J160" s="7">
        <v>0</v>
      </c>
      <c r="K160" s="112" t="str">
        <f t="shared" si="53"/>
        <v>4009/4010</v>
      </c>
      <c r="L160" s="22" t="str">
        <f>VLOOKUP(A160,'Trips&amp;Operators'!$C$1:$E$10000,3,FALSE)</f>
        <v>YORK</v>
      </c>
      <c r="M160" s="6">
        <f t="shared" si="54"/>
        <v>8.6805555547471158E-3</v>
      </c>
      <c r="N160" s="7">
        <f t="shared" si="68"/>
        <v>12.499999998835847</v>
      </c>
      <c r="O160" s="7"/>
      <c r="P160" s="7"/>
      <c r="Q160" s="23"/>
      <c r="R160" s="23"/>
      <c r="S160" s="35">
        <f t="shared" si="55"/>
        <v>1</v>
      </c>
      <c r="T160" s="50" t="str">
        <f t="shared" si="56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04:29:02-0600',mode:absolute,to:'2016-10-27 07:03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0" s="52" t="str">
        <f t="shared" si="58"/>
        <v>N</v>
      </c>
      <c r="X160" s="177">
        <f t="shared" si="69"/>
        <v>1</v>
      </c>
      <c r="Y160" s="67">
        <f t="shared" si="66"/>
        <v>0.1053</v>
      </c>
      <c r="Z160" s="67">
        <f t="shared" si="59"/>
        <v>5.8914</v>
      </c>
      <c r="AA160" s="67">
        <f t="shared" si="60"/>
        <v>5.7861000000000002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61"/>
        <v>0801-27</v>
      </c>
      <c r="AE160" s="91" t="str">
        <f t="shared" si="70"/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AF160" s="88" t="str">
        <f t="shared" si="71"/>
        <v>"C:\Program Files (x86)\AstroGrep\AstroGrep.exe" /spath="%USERPROFILE%\AppData\Local\Temp\OnboardLogs" /stypes="app*4009*20161027*" /stext=" 12:.+((SYSTEM_STATE.+slice.+state.+changed )|(ment ac)|(system.+state.+changed )|(\[timeout)|(PRM\|1\|D)|(kpr)|(kdp)|(\|lc)|(penalty))" /e /r /s</v>
      </c>
      <c r="AG160" s="1" t="str">
        <f t="shared" si="62"/>
        <v>NW</v>
      </c>
      <c r="AH160" s="92" t="str">
        <f t="shared" si="72"/>
        <v>"%USERPROFILE%\Documents\GitHub\eaglep3\Utilities\RefineRTDCRunTimes.py" --tripid 801-27 --locoid 4009 --swversion DE.1.0.8.0 --startMP 204:1053 --initTime 2016-10-27T05:29:02 --startdatetime 2016-10-27T05:51:16 --delay 0 --endMP 300:58914 --enddatetime 2016-10-27T06:03:46 --enforcementcount 0 &gt;&gt;C:\Users\stu\Documents\GitHub\eaglep3-reporting\EC\2016-10-27-refined-times.txt</v>
      </c>
      <c r="AI160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{"issue":{"subject":"","project_id":79,"tracker_id":40,"status_id":1,"priority_id":2,"assigned_to_id":23,"start_date":"2016-10-27","description":"","custom_fields":[{"id":1,"name":"Subdivision","value":"NW"},{"id":4,"name":"Milepost","value":"5.8914"},{"id":17,"name":"Train ID","value":"801-27"},{"id":16,"name":"Locomotive ID","value":"4009"},{"id":130,"name":"Impact","value":""},{"id":150,"name":"Time of Event (Mountain Time)","value":"06:03:46"},{"id":151,"name":"Denver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455</v>
      </c>
      <c r="B161" s="7">
        <v>4010</v>
      </c>
      <c r="C161" s="22" t="s">
        <v>326</v>
      </c>
      <c r="D161" s="22" t="s">
        <v>725</v>
      </c>
      <c r="E161" s="13">
        <v>42670.254490740743</v>
      </c>
      <c r="F161" s="13">
        <v>42670.257210648146</v>
      </c>
      <c r="G161" s="7">
        <v>1</v>
      </c>
      <c r="H161" s="13" t="s">
        <v>726</v>
      </c>
      <c r="I161" s="13">
        <v>42670.269571759258</v>
      </c>
      <c r="J161" s="7">
        <v>0</v>
      </c>
      <c r="K161" s="112" t="str">
        <f t="shared" si="53"/>
        <v>4009/4010</v>
      </c>
      <c r="L161" s="22" t="str">
        <f>VLOOKUP(A161,'Trips&amp;Operators'!$C$1:$E$10000,3,FALSE)</f>
        <v>YORK</v>
      </c>
      <c r="M161" s="6">
        <f t="shared" si="54"/>
        <v>1.2361111112113576E-2</v>
      </c>
      <c r="N161" s="7">
        <f t="shared" si="68"/>
        <v>17.80000000144355</v>
      </c>
      <c r="O161" s="7"/>
      <c r="P161" s="7"/>
      <c r="Q161" s="23"/>
      <c r="R161" s="23"/>
      <c r="S161" s="35">
        <f t="shared" si="55"/>
        <v>1</v>
      </c>
      <c r="T161" s="50" t="str">
        <f t="shared" si="56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05:06:28-0600',mode:absolute,to:'2016-10-27 07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1" s="52" t="str">
        <f t="shared" si="58"/>
        <v>N</v>
      </c>
      <c r="X161" s="177">
        <f t="shared" si="69"/>
        <v>1</v>
      </c>
      <c r="Y161" s="67">
        <f t="shared" si="66"/>
        <v>5.8601999999999999</v>
      </c>
      <c r="Z161" s="67">
        <f t="shared" si="59"/>
        <v>7.3599999999999999E-2</v>
      </c>
      <c r="AA161" s="67">
        <f t="shared" si="60"/>
        <v>5.7866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61"/>
        <v>0802-27</v>
      </c>
      <c r="AE161" s="91" t="str">
        <f t="shared" si="70"/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AF161" s="88" t="str">
        <f t="shared" si="71"/>
        <v>"C:\Program Files (x86)\AstroGrep\AstroGrep.exe" /spath="%USERPROFILE%\AppData\Local\Temp\OnboardLogs" /stypes="app*4010*20161027*" /stext=" 12:.+((SYSTEM_STATE.+slice.+state.+changed )|(ment ac)|(system.+state.+changed )|(\[timeout)|(PRM\|1\|D)|(kpr)|(kdp)|(\|lc)|(penalty))" /e /r /s</v>
      </c>
      <c r="AG161" s="1" t="str">
        <f t="shared" si="62"/>
        <v>NW</v>
      </c>
      <c r="AH161" s="92" t="str">
        <f t="shared" si="72"/>
        <v>"%USERPROFILE%\Documents\GitHub\eaglep3\Utilities\RefineRTDCRunTimes.py" --tripid 802-27 --locoid 4010 --swversion DE.1.0.8.0 --startMP 300:58602 --initTime 2016-10-27T06:06:28 --startdatetime 2016-10-27T06:10:23 --delay 1 --endMP 204:736 --enddatetime 2016-10-27T06:28:11 --enforcementcount 0 &gt;&gt;C:\Users\stu\Documents\GitHub\eaglep3-reporting\EC\2016-10-27-refined-times.txt</v>
      </c>
      <c r="AI161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{"issue":{"subject":"","project_id":79,"tracker_id":40,"status_id":1,"priority_id":2,"assigned_to_id":23,"start_date":"2016-10-27","description":"","custom_fields":[{"id":1,"name":"Subdivision","value":"NW"},{"id":4,"name":"Milepost","value":"0.0736"},{"id":17,"name":"Train ID","value":"802-27"},{"id":16,"name":"Locomotive ID","value":"4010"},{"id":130,"name":"Impact","value":""},{"id":150,"name":"Time of Event (Mountain Time)","value":"06:28:11"},{"id":151,"name":"Denver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390</v>
      </c>
      <c r="B162" s="7">
        <v>4042</v>
      </c>
      <c r="C162" s="22" t="s">
        <v>326</v>
      </c>
      <c r="D162" s="22" t="s">
        <v>727</v>
      </c>
      <c r="E162" s="13">
        <v>42670.257048611114</v>
      </c>
      <c r="F162" s="13">
        <v>42670.264814814815</v>
      </c>
      <c r="G162" s="7">
        <v>2</v>
      </c>
      <c r="H162" s="13" t="s">
        <v>728</v>
      </c>
      <c r="I162" s="13">
        <v>42670.274363425924</v>
      </c>
      <c r="J162" s="7">
        <v>0</v>
      </c>
      <c r="K162" s="112" t="str">
        <f t="shared" si="53"/>
        <v>4041/4042</v>
      </c>
      <c r="L162" s="22" t="str">
        <f>VLOOKUP(A162,'Trips&amp;Operators'!$C$1:$E$10000,3,FALSE)</f>
        <v>LALONDE</v>
      </c>
      <c r="M162" s="6">
        <f t="shared" si="54"/>
        <v>9.5486111094942316E-3</v>
      </c>
      <c r="N162" s="7">
        <f t="shared" si="68"/>
        <v>13.749999997671694</v>
      </c>
      <c r="O162" s="7"/>
      <c r="P162" s="7"/>
      <c r="Q162" s="23"/>
      <c r="R162" s="23"/>
      <c r="S162" s="35">
        <f t="shared" si="55"/>
        <v>1</v>
      </c>
      <c r="T162" s="50" t="str">
        <f t="shared" si="56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05:10:09-0600',mode:absolute,to:'2016-10-27 07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2" s="52" t="str">
        <f t="shared" si="58"/>
        <v>N</v>
      </c>
      <c r="X162" s="177">
        <f t="shared" si="69"/>
        <v>1</v>
      </c>
      <c r="Y162" s="67">
        <f t="shared" si="66"/>
        <v>4.41E-2</v>
      </c>
      <c r="Z162" s="67">
        <f t="shared" si="59"/>
        <v>5.9001000000000001</v>
      </c>
      <c r="AA162" s="67">
        <f t="shared" si="60"/>
        <v>5.8559999999999999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61"/>
        <v>0803-27</v>
      </c>
      <c r="AE162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62" s="88" t="str">
        <f t="shared" si="71"/>
        <v>"C:\Program Files (x86)\AstroGrep\AstroGrep.exe" /spath="%USERPROFILE%\AppData\Local\Temp\OnboardLogs" /stypes="app*4042*20161027*" /stext=" 12:.+((SYSTEM_STATE.+slice.+state.+changed )|(ment ac)|(system.+state.+changed )|(\[timeout)|(PRM\|1\|D)|(kpr)|(kdp)|(\|lc)|(penalty))" /e /r /s</v>
      </c>
      <c r="AG162" s="1" t="str">
        <f t="shared" si="62"/>
        <v>NW</v>
      </c>
      <c r="AH162" s="92" t="str">
        <f t="shared" si="72"/>
        <v>"%USERPROFILE%\Documents\GitHub\eaglep3\Utilities\RefineRTDCRunTimes.py" --tripid 803-27 --locoid 4042 --swversion DE.1.0.8.0 --startMP 204:441 --initTime 2016-10-27T06:10:09 --startdatetime 2016-10-27T06:21:20 --delay 2 --endMP 300:59001 --enddatetime 2016-10-27T06:35:05 --enforcementcount 0 &gt;&gt;C:\Users\stu\Documents\GitHub\eaglep3-reporting\EC\2016-10-27-refined-times.txt</v>
      </c>
      <c r="AI162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{"issue":{"subject":"","project_id":79,"tracker_id":40,"status_id":1,"priority_id":2,"assigned_to_id":23,"start_date":"2016-10-27","description":"","custom_fields":[{"id":1,"name":"Subdivision","value":"NW"},{"id":4,"name":"Milepost","value":"5.9001"},{"id":17,"name":"Train ID","value":"803-27"},{"id":16,"name":"Locomotive ID","value":"4042"},{"id":130,"name":"Impact","value":""},{"id":150,"name":"Time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457</v>
      </c>
      <c r="B163" s="7">
        <v>4041</v>
      </c>
      <c r="C163" s="22" t="s">
        <v>326</v>
      </c>
      <c r="D163" s="22" t="s">
        <v>368</v>
      </c>
      <c r="E163" s="13">
        <v>42670.27579861111</v>
      </c>
      <c r="F163" s="13">
        <v>42670.277291666665</v>
      </c>
      <c r="G163" s="7">
        <v>1</v>
      </c>
      <c r="H163" s="13" t="s">
        <v>729</v>
      </c>
      <c r="I163" s="13">
        <v>42670.2890162037</v>
      </c>
      <c r="J163" s="7">
        <v>0</v>
      </c>
      <c r="K163" s="112" t="str">
        <f t="shared" si="53"/>
        <v>4041/4042</v>
      </c>
      <c r="L163" s="22" t="str">
        <f>VLOOKUP(A163,'Trips&amp;Operators'!$C$1:$E$10000,3,FALSE)</f>
        <v>LALONDE</v>
      </c>
      <c r="M163" s="6">
        <f t="shared" si="54"/>
        <v>1.1724537034751847E-2</v>
      </c>
      <c r="N163" s="7">
        <f t="shared" si="68"/>
        <v>16.88333333004266</v>
      </c>
      <c r="O163" s="7"/>
      <c r="P163" s="7"/>
      <c r="Q163" s="23"/>
      <c r="R163" s="23"/>
      <c r="S163" s="35">
        <f t="shared" si="55"/>
        <v>1</v>
      </c>
      <c r="T163" s="50" t="str">
        <f t="shared" si="56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05:37:09-0600',mode:absolute,to:'2016-10-27 07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3" s="52" t="str">
        <f t="shared" si="58"/>
        <v>N</v>
      </c>
      <c r="X163" s="177">
        <f t="shared" si="69"/>
        <v>1</v>
      </c>
      <c r="Y163" s="67">
        <f t="shared" si="66"/>
        <v>5.8678999999999997</v>
      </c>
      <c r="Z163" s="67">
        <f t="shared" si="59"/>
        <v>6.8900000000000003E-2</v>
      </c>
      <c r="AA163" s="67">
        <f t="shared" si="60"/>
        <v>5.7989999999999995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61"/>
        <v>0804-27</v>
      </c>
      <c r="AE163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63" s="88" t="str">
        <f t="shared" si="71"/>
        <v>"C:\Program Files (x86)\AstroGrep\AstroGrep.exe" /spath="%USERPROFILE%\AppData\Local\Temp\OnboardLogs" /stypes="app*4041*20161027*" /stext=" 12:.+((SYSTEM_STATE.+slice.+state.+changed )|(ment ac)|(system.+state.+changed )|(\[timeout)|(PRM\|1\|D)|(kpr)|(kdp)|(\|lc)|(penalty))" /e /r /s</v>
      </c>
      <c r="AG163" s="1" t="str">
        <f t="shared" si="62"/>
        <v>NW</v>
      </c>
      <c r="AH163" s="92" t="str">
        <f t="shared" si="72"/>
        <v>"%USERPROFILE%\Documents\GitHub\eaglep3\Utilities\RefineRTDCRunTimes.py" --tripid 804-27 --locoid 4041 --swversion DE.1.0.8.0 --startMP 300:58679 --initTime 2016-10-27T06:37:09 --startdatetime 2016-10-27T06:39:18 --delay 1 --endMP 204:689 --enddatetime 2016-10-27T06:56:11 --enforcementcount 0 &gt;&gt;C:\Users\stu\Documents\GitHub\eaglep3-reporting\EC\2016-10-27-refined-times.txt</v>
      </c>
      <c r="AI163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{"issue":{"subject":"","project_id":79,"tracker_id":40,"status_id":1,"priority_id":2,"assigned_to_id":23,"start_date":"2016-10-27","description":"","custom_fields":[{"id":1,"name":"Subdivision","value":"NW"},{"id":4,"name":"Milepost","value":"0.0689"},{"id":17,"name":"Train ID","value":"804-27"},{"id":16,"name":"Locomotive ID","value":"4041"},{"id":130,"name":"Impact","value":""},{"id":150,"name":"Time of Event (Mountain Time)","value":"06:56:11"},{"id":151,"name":"Denver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460</v>
      </c>
      <c r="B164" s="7">
        <v>4009</v>
      </c>
      <c r="C164" s="22" t="s">
        <v>326</v>
      </c>
      <c r="D164" s="22" t="s">
        <v>730</v>
      </c>
      <c r="E164" s="13">
        <v>42670.279861111114</v>
      </c>
      <c r="F164" s="13">
        <v>42670.285636574074</v>
      </c>
      <c r="G164" s="7">
        <v>1</v>
      </c>
      <c r="H164" s="13" t="s">
        <v>272</v>
      </c>
      <c r="I164" s="13">
        <v>42670.29483796296</v>
      </c>
      <c r="J164" s="7">
        <v>0</v>
      </c>
      <c r="K164" s="112" t="str">
        <f t="shared" si="53"/>
        <v>4009/4010</v>
      </c>
      <c r="L164" s="22" t="str">
        <f>VLOOKUP(A164,'Trips&amp;Operators'!$C$1:$E$10000,3,FALSE)</f>
        <v>YORK</v>
      </c>
      <c r="M164" s="6">
        <f t="shared" si="54"/>
        <v>9.2013888861401938E-3</v>
      </c>
      <c r="N164" s="7">
        <f t="shared" si="68"/>
        <v>13.249999996041879</v>
      </c>
      <c r="O164" s="7"/>
      <c r="P164" s="7"/>
      <c r="Q164" s="23"/>
      <c r="R164" s="23"/>
      <c r="S164" s="35">
        <f t="shared" si="55"/>
        <v>1</v>
      </c>
      <c r="T164" s="50" t="str">
        <f t="shared" si="56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https://search-rtdc-monitor-bjffxe2xuh6vdkpspy63sjmuny.us-east-1.es.amazonaws.com/_plugin/kibana/#/discover/Steve-Slow-Train-Analysis-(2080s-and-2083s)?_g=(refreshInterval:(display:Off,section:0,value:0),time:(from:'2016-10-27 05:43:00-0600',mode:absolute,to:'2016-10-27 08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4" s="52" t="str">
        <f t="shared" si="58"/>
        <v>N</v>
      </c>
      <c r="X164" s="177">
        <f t="shared" si="69"/>
        <v>1</v>
      </c>
      <c r="Y164" s="67">
        <f t="shared" si="66"/>
        <v>0.1041</v>
      </c>
      <c r="Z164" s="67">
        <f t="shared" si="59"/>
        <v>5.8924000000000003</v>
      </c>
      <c r="AA164" s="67">
        <f t="shared" si="60"/>
        <v>5.7883000000000004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61"/>
        <v>0805-27</v>
      </c>
      <c r="AE164" s="91" t="str">
        <f t="shared" si="70"/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AF164" s="88" t="str">
        <f t="shared" si="71"/>
        <v>"C:\Program Files (x86)\AstroGrep\AstroGrep.exe" /spath="%USERPROFILE%\AppData\Local\Temp\OnboardLogs" /stypes="app*4009*20161027*" /stext=" 13:.+((SYSTEM_STATE.+slice.+state.+changed )|(ment ac)|(system.+state.+changed )|(\[timeout)|(PRM\|1\|D)|(kpr)|(kdp)|(\|lc)|(penalty))" /e /r /s</v>
      </c>
      <c r="AG164" s="1" t="str">
        <f t="shared" si="62"/>
        <v>NW</v>
      </c>
      <c r="AH164" s="92" t="str">
        <f t="shared" si="72"/>
        <v>"%USERPROFILE%\Documents\GitHub\eaglep3\Utilities\RefineRTDCRunTimes.py" --tripid 805-27 --locoid 4009 --swversion DE.1.0.8.0 --startMP 204:1041 --initTime 2016-10-27T06:43:00 --startdatetime 2016-10-27T06:51:19 --delay 1 --endMP 300:58924 --enddatetime 2016-10-27T07:04:34 --enforcementcount 0 &gt;&gt;C:\Users\stu\Documents\GitHub\eaglep3-reporting\EC\2016-10-27-refined-times.txt</v>
      </c>
      <c r="AI164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{"issue":{"subject":"","project_id":79,"tracker_id":40,"status_id":1,"priority_id":2,"assigned_to_id":23,"start_date":"2016-10-27","description":"","custom_fields":[{"id":1,"name":"Subdivision","value":"NW"},{"id":4,"name":"Milepost","value":"5.8924"},{"id":17,"name":"Train ID","value":"805-27"},{"id":16,"name":"Locomotive ID","value":"4009"},{"id":130,"name":"Impact","value":""},{"id":150,"name":"Time of Event (Mountain Time)","value":"07:04:34"},{"id":151,"name":"Denver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464</v>
      </c>
      <c r="B165" s="7">
        <v>4010</v>
      </c>
      <c r="C165" s="22" t="s">
        <v>326</v>
      </c>
      <c r="D165" s="22" t="s">
        <v>731</v>
      </c>
      <c r="E165" s="13">
        <v>42670.296354166669</v>
      </c>
      <c r="F165" s="13">
        <v>42670.29892361111</v>
      </c>
      <c r="G165" s="7">
        <v>1</v>
      </c>
      <c r="H165" s="13" t="s">
        <v>732</v>
      </c>
      <c r="I165" s="13">
        <v>42670.310590277775</v>
      </c>
      <c r="J165" s="7">
        <v>0</v>
      </c>
      <c r="K165" s="112" t="str">
        <f t="shared" ref="K165:K228" si="74">IF(ISEVEN(B165),(B165-1)&amp;"/"&amp;B165,B165&amp;"/"&amp;(B165+1))</f>
        <v>4009/4010</v>
      </c>
      <c r="L165" s="22" t="str">
        <f>VLOOKUP(A165,'Trips&amp;Operators'!$C$1:$E$10000,3,FALSE)</f>
        <v>YORK</v>
      </c>
      <c r="M165" s="6">
        <f t="shared" ref="M165:M228" si="75">I165-F165</f>
        <v>1.1666666665405501E-2</v>
      </c>
      <c r="N165" s="7">
        <f t="shared" si="68"/>
        <v>16.799999998183921</v>
      </c>
      <c r="O165" s="7"/>
      <c r="P165" s="7"/>
      <c r="Q165" s="23"/>
      <c r="R165" s="23"/>
      <c r="S165" s="35">
        <f t="shared" ref="S165:S228" si="76">SUM(U165:U165)/IF(AG165="EC",12,1)</f>
        <v>1</v>
      </c>
      <c r="T165" s="50" t="str">
        <f t="shared" ref="T165:T228" si="77">IF(ISEVEN(LEFT(AD165,4)),"Southbound","NorthBound")</f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ref="V165:V228" si="78"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https://search-rtdc-monitor-bjffxe2xuh6vdkpspy63sjmuny.us-east-1.es.amazonaws.com/_plugin/kibana/#/discover/Steve-Slow-Train-Analysis-(2080s-and-2083s)?_g=(refreshInterval:(display:Off,section:0,value:0),time:(from:'2016-10-27 06:06:45-0600',mode:absolute,to:'2016-10-27 08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5" s="52" t="str">
        <f t="shared" ref="W165:W228" si="79">IF(AA165&lt;IF(AG165="EC",23,5.65),"Y","N")</f>
        <v>N</v>
      </c>
      <c r="X165" s="177">
        <f t="shared" si="69"/>
        <v>1</v>
      </c>
      <c r="Y165" s="67">
        <f t="shared" ref="Y165:Y228" si="80">RIGHT(D165,LEN(D165)-4)/10000</f>
        <v>5.8597999999999999</v>
      </c>
      <c r="Z165" s="67">
        <f t="shared" ref="Z165:Z228" si="81">RIGHT(H165,LEN(H165)-4)/10000</f>
        <v>7.4700000000000003E-2</v>
      </c>
      <c r="AA165" s="67">
        <f t="shared" ref="AA165:AA228" si="82">ABS(Z165-Y165)</f>
        <v>5.7850999999999999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ref="AD165:AD228" si="83">IF(LEN(A165)=6,"0"&amp;A165,A165)</f>
        <v>0806-27</v>
      </c>
      <c r="AE165" s="91" t="str">
        <f t="shared" si="70"/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AF165" s="88" t="str">
        <f t="shared" si="71"/>
        <v>"C:\Program Files (x86)\AstroGrep\AstroGrep.exe" /spath="%USERPROFILE%\AppData\Local\Temp\OnboardLogs" /stypes="app*4010*20161027*" /stext=" 13:.+((SYSTEM_STATE.+slice.+state.+changed )|(ment ac)|(system.+state.+changed )|(\[timeout)|(PRM\|1\|D)|(kpr)|(kdp)|(\|lc)|(penalty))" /e /r /s</v>
      </c>
      <c r="AG165" s="1" t="str">
        <f t="shared" ref="AG165:AG228" si="84">IFERROR(IF(VALUE(LEFT(AD165,2))&lt;=2,"EC",IF(OR(VALUE(LEFT(AD165,2))=8,VALUE(LEFT(AD165,2))=18),"NW","Other")),"Other")</f>
        <v>NW</v>
      </c>
      <c r="AH165" s="92" t="str">
        <f t="shared" si="72"/>
        <v>"%USERPROFILE%\Documents\GitHub\eaglep3\Utilities\RefineRTDCRunTimes.py" --tripid 806-27 --locoid 4010 --swversion DE.1.0.8.0 --startMP 300:58598 --initTime 2016-10-27T07:06:45 --startdatetime 2016-10-27T07:10:27 --delay 1 --endMP 204:747 --enddatetime 2016-10-27T07:27:15 --enforcementcount 0 &gt;&gt;C:\Users\stu\Documents\GitHub\eaglep3-reporting\EC\2016-10-27-refined-times.txt</v>
      </c>
      <c r="AI165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{"issue":{"subject":"","project_id":79,"tracker_id":40,"status_id":1,"priority_id":2,"assigned_to_id":23,"start_date":"2016-10-27","description":"","custom_fields":[{"id":1,"name":"Subdivision","value":"NW"},{"id":4,"name":"Milepost","value":"0.0747"},{"id":17,"name":"Train ID","value":"806-27"},{"id":16,"name":"Locomotive ID","value":"4010"},{"id":130,"name":"Impact","value":""},{"id":150,"name":"Time of Event (Mountain Time)","value":"07:27:15"},{"id":151,"name":"Denver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463</v>
      </c>
      <c r="B166" s="7">
        <v>4042</v>
      </c>
      <c r="C166" s="22" t="s">
        <v>326</v>
      </c>
      <c r="D166" s="22" t="s">
        <v>733</v>
      </c>
      <c r="E166" s="13">
        <v>42670.290833333333</v>
      </c>
      <c r="F166" s="13">
        <v>42670.306550925925</v>
      </c>
      <c r="G166" s="7">
        <v>1</v>
      </c>
      <c r="H166" s="13" t="s">
        <v>734</v>
      </c>
      <c r="I166" s="13">
        <v>42670.31590277778</v>
      </c>
      <c r="J166" s="7">
        <v>0</v>
      </c>
      <c r="K166" s="112" t="str">
        <f t="shared" si="74"/>
        <v>4041/4042</v>
      </c>
      <c r="L166" s="22" t="str">
        <f>VLOOKUP(A166,'Trips&amp;Operators'!$C$1:$E$10000,3,FALSE)</f>
        <v>LALONDE</v>
      </c>
      <c r="M166" s="6">
        <f t="shared" si="75"/>
        <v>9.3518518551718444E-3</v>
      </c>
      <c r="N166" s="7">
        <f t="shared" ref="N166:N197" si="85">24*60*SUM($M166:$M166)</f>
        <v>13.466666671447456</v>
      </c>
      <c r="O166" s="7"/>
      <c r="P166" s="7"/>
      <c r="Q166" s="23"/>
      <c r="R166" s="23"/>
      <c r="S166" s="35">
        <f t="shared" si="76"/>
        <v>1</v>
      </c>
      <c r="T166" s="50" t="str">
        <f t="shared" si="77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05:58:48-0600',mode:absolute,to:'2016-10-27 08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6" s="52" t="str">
        <f t="shared" si="79"/>
        <v>N</v>
      </c>
      <c r="X166" s="177">
        <f t="shared" si="69"/>
        <v>1</v>
      </c>
      <c r="Y166" s="67">
        <f t="shared" si="80"/>
        <v>9.7199999999999995E-2</v>
      </c>
      <c r="Z166" s="67">
        <f t="shared" si="81"/>
        <v>5.8978000000000002</v>
      </c>
      <c r="AA166" s="67">
        <f t="shared" si="82"/>
        <v>5.8006000000000002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83"/>
        <v>0807-27</v>
      </c>
      <c r="AE166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66" s="88" t="str">
        <f t="shared" si="71"/>
        <v>"C:\Program Files (x86)\AstroGrep\AstroGrep.exe" /spath="%USERPROFILE%\AppData\Local\Temp\OnboardLogs" /stypes="app*4042*20161027*" /stext=" 13:.+((SYSTEM_STATE.+slice.+state.+changed )|(ment ac)|(system.+state.+changed )|(\[timeout)|(PRM\|1\|D)|(kpr)|(kdp)|(\|lc)|(penalty))" /e /r /s</v>
      </c>
      <c r="AG166" s="1" t="str">
        <f t="shared" si="84"/>
        <v>NW</v>
      </c>
      <c r="AH166" s="92" t="str">
        <f t="shared" si="72"/>
        <v>"%USERPROFILE%\Documents\GitHub\eaglep3\Utilities\RefineRTDCRunTimes.py" --tripid 807-27 --locoid 4042 --swversion DE.1.0.8.0 --startMP 204:972 --initTime 2016-10-27T06:58:48 --startdatetime 2016-10-27T07:21:26 --delay 1 --endMP 300:58978 --enddatetime 2016-10-27T07:34:54 --enforcementcount 0 &gt;&gt;C:\Users\stu\Documents\GitHub\eaglep3-reporting\EC\2016-10-27-refined-times.txt</v>
      </c>
      <c r="AI166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{"issue":{"subject":"","project_id":79,"tracker_id":40,"status_id":1,"priority_id":2,"assigned_to_id":23,"start_date":"2016-10-27","description":"","custom_fields":[{"id":1,"name":"Subdivision","value":"NW"},{"id":4,"name":"Milepost","value":"5.8978"},{"id":17,"name":"Train ID","value":"807-27"},{"id":16,"name":"Locomotive ID","value":"4042"},{"id":130,"name":"Impact","value":""},{"id":150,"name":"Time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467</v>
      </c>
      <c r="B167" s="7">
        <v>4041</v>
      </c>
      <c r="C167" s="22" t="s">
        <v>326</v>
      </c>
      <c r="D167" s="22" t="s">
        <v>378</v>
      </c>
      <c r="E167" s="13">
        <v>42670.317048611112</v>
      </c>
      <c r="F167" s="13">
        <v>42670.318530092591</v>
      </c>
      <c r="G167" s="7">
        <v>1</v>
      </c>
      <c r="H167" s="13" t="s">
        <v>735</v>
      </c>
      <c r="I167" s="13">
        <v>42670.33153935185</v>
      </c>
      <c r="J167" s="7">
        <v>0</v>
      </c>
      <c r="K167" s="112" t="str">
        <f t="shared" si="74"/>
        <v>4041/4042</v>
      </c>
      <c r="L167" s="22" t="str">
        <f>VLOOKUP(A167,'Trips&amp;Operators'!$C$1:$E$10000,3,FALSE)</f>
        <v>LALONDE</v>
      </c>
      <c r="M167" s="6">
        <f t="shared" si="75"/>
        <v>1.3009259258979E-2</v>
      </c>
      <c r="N167" s="7">
        <f t="shared" si="85"/>
        <v>18.73333333292976</v>
      </c>
      <c r="O167" s="7"/>
      <c r="P167" s="7"/>
      <c r="Q167" s="23"/>
      <c r="R167" s="23"/>
      <c r="S167" s="35">
        <f t="shared" si="76"/>
        <v>1</v>
      </c>
      <c r="T167" s="50" t="str">
        <f t="shared" si="77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06:36:33-0600',mode:absolute,to:'2016-10-27 08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7" s="52" t="str">
        <f t="shared" si="79"/>
        <v>N</v>
      </c>
      <c r="X167" s="177">
        <f t="shared" si="69"/>
        <v>1</v>
      </c>
      <c r="Y167" s="67">
        <f t="shared" si="80"/>
        <v>5.8663999999999996</v>
      </c>
      <c r="Z167" s="67">
        <f t="shared" si="81"/>
        <v>6.8400000000000002E-2</v>
      </c>
      <c r="AA167" s="67">
        <f t="shared" si="82"/>
        <v>5.798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83"/>
        <v>0808-27</v>
      </c>
      <c r="AE167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67" s="88" t="str">
        <f t="shared" si="71"/>
        <v>"C:\Program Files (x86)\AstroGrep\AstroGrep.exe" /spath="%USERPROFILE%\AppData\Local\Temp\OnboardLogs" /stypes="app*4041*20161027*" /stext=" 13:.+((SYSTEM_STATE.+slice.+state.+changed )|(ment ac)|(system.+state.+changed )|(\[timeout)|(PRM\|1\|D)|(kpr)|(kdp)|(\|lc)|(penalty))" /e /r /s</v>
      </c>
      <c r="AG167" s="1" t="str">
        <f t="shared" si="84"/>
        <v>NW</v>
      </c>
      <c r="AH167" s="92" t="str">
        <f t="shared" si="72"/>
        <v>"%USERPROFILE%\Documents\GitHub\eaglep3\Utilities\RefineRTDCRunTimes.py" --tripid 808-27 --locoid 4041 --swversion DE.1.0.8.0 --startMP 300:58664 --initTime 2016-10-27T07:36:33 --startdatetime 2016-10-27T07:38:41 --delay 1 --endMP 204:684 --enddatetime 2016-10-27T07:57:25 --enforcementcount 0 &gt;&gt;C:\Users\stu\Documents\GitHub\eaglep3-reporting\EC\2016-10-27-refined-times.txt</v>
      </c>
      <c r="AI167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{"issue":{"subject":"","project_id":79,"tracker_id":40,"status_id":1,"priority_id":2,"assigned_to_id":23,"start_date":"2016-10-27","description":"","custom_fields":[{"id":1,"name":"Subdivision","value":"NW"},{"id":4,"name":"Milepost","value":"0.0684"},{"id":17,"name":"Train ID","value":"808-27"},{"id":16,"name":"Locomotive ID","value":"4041"},{"id":130,"name":"Impact","value":""},{"id":150,"name":"Time of Event (Mountain Time)","value":"07:57:25"},{"id":151,"name":"Denver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469</v>
      </c>
      <c r="B168" s="7">
        <v>4009</v>
      </c>
      <c r="C168" s="22" t="s">
        <v>326</v>
      </c>
      <c r="D168" s="22" t="s">
        <v>736</v>
      </c>
      <c r="E168" s="13">
        <v>42670.322442129633</v>
      </c>
      <c r="F168" s="13">
        <v>42670.327314814815</v>
      </c>
      <c r="G168" s="7">
        <v>1</v>
      </c>
      <c r="H168" s="13" t="s">
        <v>737</v>
      </c>
      <c r="I168" s="13">
        <v>42670.336608796293</v>
      </c>
      <c r="J168" s="7">
        <v>0</v>
      </c>
      <c r="K168" s="112" t="str">
        <f t="shared" si="74"/>
        <v>4009/4010</v>
      </c>
      <c r="L168" s="22" t="str">
        <f>VLOOKUP(A168,'Trips&amp;Operators'!$C$1:$E$10000,3,FALSE)</f>
        <v>YORK</v>
      </c>
      <c r="M168" s="6">
        <f t="shared" si="75"/>
        <v>9.29398147854954E-3</v>
      </c>
      <c r="N168" s="7">
        <f t="shared" si="85"/>
        <v>13.383333329111338</v>
      </c>
      <c r="O168" s="7"/>
      <c r="P168" s="7"/>
      <c r="Q168" s="23"/>
      <c r="R168" s="23"/>
      <c r="S168" s="35">
        <f t="shared" si="76"/>
        <v>1</v>
      </c>
      <c r="T168" s="50" t="str">
        <f t="shared" si="77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06:44:19-0600',mode:absolute,to:'2016-10-27 09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8" s="52" t="str">
        <f t="shared" si="79"/>
        <v>N</v>
      </c>
      <c r="X168" s="177">
        <f t="shared" si="69"/>
        <v>1</v>
      </c>
      <c r="Y168" s="67">
        <f t="shared" si="80"/>
        <v>0.10299999999999999</v>
      </c>
      <c r="Z168" s="67">
        <f t="shared" si="81"/>
        <v>5.8912000000000004</v>
      </c>
      <c r="AA168" s="67">
        <f t="shared" si="82"/>
        <v>5.7882000000000007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83"/>
        <v>0809-27</v>
      </c>
      <c r="AE168" s="91" t="str">
        <f t="shared" si="70"/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AF168" s="88" t="str">
        <f t="shared" si="71"/>
        <v>"C:\Program Files (x86)\AstroGrep\AstroGrep.exe" /spath="%USERPROFILE%\AppData\Local\Temp\OnboardLogs" /stypes="app*4009*20161027*" /stext=" 14:.+((SYSTEM_STATE.+slice.+state.+changed )|(ment ac)|(system.+state.+changed )|(\[timeout)|(PRM\|1\|D)|(kpr)|(kdp)|(\|lc)|(penalty))" /e /r /s</v>
      </c>
      <c r="AG168" s="1" t="str">
        <f t="shared" si="84"/>
        <v>NW</v>
      </c>
      <c r="AH168" s="92" t="str">
        <f t="shared" si="72"/>
        <v>"%USERPROFILE%\Documents\GitHub\eaglep3\Utilities\RefineRTDCRunTimes.py" --tripid 809-27 --locoid 4009 --swversion DE.1.0.8.0 --startMP 204:1030 --initTime 2016-10-27T07:44:19 --startdatetime 2016-10-27T07:51:20 --delay 1 --endMP 300:58912 --enddatetime 2016-10-27T08:04:43 --enforcementcount 0 &gt;&gt;C:\Users\stu\Documents\GitHub\eaglep3-reporting\EC\2016-10-27-refined-times.txt</v>
      </c>
      <c r="AI168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{"issue":{"subject":"","project_id":79,"tracker_id":40,"status_id":1,"priority_id":2,"assigned_to_id":23,"start_date":"2016-10-27","description":"","custom_fields":[{"id":1,"name":"Subdivision","value":"NW"},{"id":4,"name":"Milepost","value":"5.8912"},{"id":17,"name":"Train ID","value":"809-27"},{"id":16,"name":"Locomotive ID","value":"4009"},{"id":130,"name":"Impact","value":""},{"id":150,"name":"Time of Event (Mountain Time)","value":"08:04:43"},{"id":151,"name":"Denver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394</v>
      </c>
      <c r="B169" s="7">
        <v>4010</v>
      </c>
      <c r="C169" s="22" t="s">
        <v>326</v>
      </c>
      <c r="D169" s="22" t="s">
        <v>738</v>
      </c>
      <c r="E169" s="13">
        <v>42670.338449074072</v>
      </c>
      <c r="F169" s="13">
        <v>42670.340509259258</v>
      </c>
      <c r="G169" s="7">
        <v>1</v>
      </c>
      <c r="H169" s="13" t="s">
        <v>739</v>
      </c>
      <c r="I169" s="13">
        <v>42670.351689814815</v>
      </c>
      <c r="J169" s="7">
        <v>0</v>
      </c>
      <c r="K169" s="112" t="str">
        <f t="shared" si="74"/>
        <v>4009/4010</v>
      </c>
      <c r="L169" s="22" t="str">
        <f>VLOOKUP(A169,'Trips&amp;Operators'!$C$1:$E$10000,3,FALSE)</f>
        <v>YORK</v>
      </c>
      <c r="M169" s="6">
        <f t="shared" si="75"/>
        <v>1.1180555557075422E-2</v>
      </c>
      <c r="N169" s="7">
        <f t="shared" si="85"/>
        <v>16.100000002188608</v>
      </c>
      <c r="O169" s="7"/>
      <c r="P169" s="7"/>
      <c r="Q169" s="23"/>
      <c r="R169" s="23"/>
      <c r="S169" s="35">
        <f t="shared" si="76"/>
        <v>1</v>
      </c>
      <c r="T169" s="50" t="str">
        <f t="shared" si="77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07:07:22-0600',mode:absolute,to:'2016-10-27 09:26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9" s="52" t="str">
        <f t="shared" si="79"/>
        <v>N</v>
      </c>
      <c r="X169" s="177">
        <f t="shared" si="69"/>
        <v>1</v>
      </c>
      <c r="Y169" s="67">
        <f t="shared" si="80"/>
        <v>5.8592000000000004</v>
      </c>
      <c r="Z169" s="67">
        <f t="shared" si="81"/>
        <v>1.7100000000000001E-2</v>
      </c>
      <c r="AA169" s="67">
        <f t="shared" si="82"/>
        <v>5.8421000000000003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83"/>
        <v>0810-27</v>
      </c>
      <c r="AE169" s="91" t="str">
        <f t="shared" si="70"/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AF169" s="88" t="str">
        <f t="shared" si="71"/>
        <v>"C:\Program Files (x86)\AstroGrep\AstroGrep.exe" /spath="%USERPROFILE%\AppData\Local\Temp\OnboardLogs" /stypes="app*4010*20161027*" /stext=" 14:.+((SYSTEM_STATE.+slice.+state.+changed )|(ment ac)|(system.+state.+changed )|(\[timeout)|(PRM\|1\|D)|(kpr)|(kdp)|(\|lc)|(penalty))" /e /r /s</v>
      </c>
      <c r="AG169" s="1" t="str">
        <f t="shared" si="84"/>
        <v>NW</v>
      </c>
      <c r="AH169" s="92" t="str">
        <f t="shared" si="72"/>
        <v>"%USERPROFILE%\Documents\GitHub\eaglep3\Utilities\RefineRTDCRunTimes.py" --tripid 810-27 --locoid 4010 --swversion DE.1.0.8.0 --startMP 300:58592 --initTime 2016-10-27T08:07:22 --startdatetime 2016-10-27T08:10:20 --delay 1 --endMP 204:171 --enddatetime 2016-10-27T08:26:26 --enforcementcount 0 &gt;&gt;C:\Users\stu\Documents\GitHub\eaglep3-reporting\EC\2016-10-27-refined-times.txt</v>
      </c>
      <c r="AI169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{"issue":{"subject":"","project_id":79,"tracker_id":40,"status_id":1,"priority_id":2,"assigned_to_id":23,"start_date":"2016-10-27","description":"","custom_fields":[{"id":1,"name":"Subdivision","value":"NW"},{"id":4,"name":"Milepost","value":"0.0171"},{"id":17,"name":"Train ID","value":"810-27"},{"id":16,"name":"Locomotive ID","value":"4010"},{"id":130,"name":"Impact","value":""},{"id":150,"name":"Time of Event (Mountain Time)","value":"08:26:26"},{"id":151,"name":"Denver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395</v>
      </c>
      <c r="B170" s="7">
        <v>4042</v>
      </c>
      <c r="C170" s="22" t="s">
        <v>326</v>
      </c>
      <c r="D170" s="22" t="s">
        <v>371</v>
      </c>
      <c r="E170" s="13">
        <v>42670.333252314813</v>
      </c>
      <c r="F170" s="13">
        <v>42670.348101851851</v>
      </c>
      <c r="G170" s="7">
        <v>1</v>
      </c>
      <c r="H170" s="13" t="s">
        <v>367</v>
      </c>
      <c r="I170" s="13">
        <v>42670.357210648152</v>
      </c>
      <c r="J170" s="7">
        <v>0</v>
      </c>
      <c r="K170" s="112" t="str">
        <f t="shared" si="74"/>
        <v>4041/4042</v>
      </c>
      <c r="L170" s="22" t="str">
        <f>VLOOKUP(A170,'Trips&amp;Operators'!$C$1:$E$10000,3,FALSE)</f>
        <v>LALONDE</v>
      </c>
      <c r="M170" s="6">
        <f t="shared" si="75"/>
        <v>9.1087963010068052E-3</v>
      </c>
      <c r="N170" s="7">
        <f t="shared" si="85"/>
        <v>13.116666673449799</v>
      </c>
      <c r="O170" s="7"/>
      <c r="P170" s="7"/>
      <c r="Q170" s="23"/>
      <c r="R170" s="23"/>
      <c r="S170" s="35">
        <f t="shared" si="76"/>
        <v>1</v>
      </c>
      <c r="T170" s="50" t="str">
        <f t="shared" si="77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06:59:53-0600',mode:absolute,to:'2016-10-27 09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0" s="52" t="str">
        <f t="shared" si="79"/>
        <v>N</v>
      </c>
      <c r="X170" s="177">
        <f t="shared" ref="X170:X201" si="86">VALUE(LEFT(AD170,4))-VALUE(LEFT(AD169,4))</f>
        <v>1</v>
      </c>
      <c r="Y170" s="67">
        <f t="shared" si="80"/>
        <v>9.8299999999999998E-2</v>
      </c>
      <c r="Z170" s="67">
        <f t="shared" si="81"/>
        <v>5.899</v>
      </c>
      <c r="AA170" s="67">
        <f t="shared" si="82"/>
        <v>5.8007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83"/>
        <v>0811-27</v>
      </c>
      <c r="AE170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70" s="88" t="str">
        <f t="shared" si="71"/>
        <v>"C:\Program Files (x86)\AstroGrep\AstroGrep.exe" /spath="%USERPROFILE%\AppData\Local\Temp\OnboardLogs" /stypes="app*4042*20161027*" /stext=" 14:.+((SYSTEM_STATE.+slice.+state.+changed )|(ment ac)|(system.+state.+changed )|(\[timeout)|(PRM\|1\|D)|(kpr)|(kdp)|(\|lc)|(penalty))" /e /r /s</v>
      </c>
      <c r="AG170" s="1" t="str">
        <f t="shared" si="84"/>
        <v>NW</v>
      </c>
      <c r="AH170" s="92" t="str">
        <f t="shared" si="72"/>
        <v>"%USERPROFILE%\Documents\GitHub\eaglep3\Utilities\RefineRTDCRunTimes.py" --tripid 811-27 --locoid 4042 --swversion DE.1.0.8.0 --startMP 204:983 --initTime 2016-10-27T07:59:53 --startdatetime 2016-10-27T08:21:16 --delay 1 --endMP 300:58990 --enddatetime 2016-10-27T08:34:23 --enforcementcount 0 &gt;&gt;C:\Users\stu\Documents\GitHub\eaglep3-reporting\EC\2016-10-27-refined-times.txt</v>
      </c>
      <c r="AI170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{"issue":{"subject":"","project_id":79,"tracker_id":40,"status_id":1,"priority_id":2,"assigned_to_id":23,"start_date":"2016-10-27","description":"","custom_fields":[{"id":1,"name":"Subdivision","value":"NW"},{"id":4,"name":"Milepost","value":"5.899"},{"id":17,"name":"Train ID","value":"811-27"},{"id":16,"name":"Locomotive ID","value":"4042"},{"id":130,"name":"Impact","value":""},{"id":150,"name":"Time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476</v>
      </c>
      <c r="B171" s="7">
        <v>4041</v>
      </c>
      <c r="C171" s="22" t="s">
        <v>326</v>
      </c>
      <c r="D171" s="22" t="s">
        <v>364</v>
      </c>
      <c r="E171" s="13">
        <v>42670.358935185184</v>
      </c>
      <c r="F171" s="13">
        <v>42670.360648148147</v>
      </c>
      <c r="G171" s="7">
        <v>1</v>
      </c>
      <c r="H171" s="13" t="s">
        <v>740</v>
      </c>
      <c r="I171" s="13">
        <v>42670.371574074074</v>
      </c>
      <c r="J171" s="7">
        <v>0</v>
      </c>
      <c r="K171" s="112" t="str">
        <f t="shared" si="74"/>
        <v>4041/4042</v>
      </c>
      <c r="L171" s="22" t="str">
        <f>VLOOKUP(A171,'Trips&amp;Operators'!$C$1:$E$10000,3,FALSE)</f>
        <v>LALONDE</v>
      </c>
      <c r="M171" s="6">
        <f t="shared" si="75"/>
        <v>1.0925925926130731E-2</v>
      </c>
      <c r="N171" s="7">
        <f t="shared" si="85"/>
        <v>15.733333333628252</v>
      </c>
      <c r="O171" s="7"/>
      <c r="P171" s="7"/>
      <c r="Q171" s="23"/>
      <c r="R171" s="23"/>
      <c r="S171" s="35">
        <f t="shared" si="76"/>
        <v>1</v>
      </c>
      <c r="T171" s="50" t="str">
        <f t="shared" si="77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07:36:52-0600',mode:absolute,to:'2016-10-27 09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1" s="52" t="str">
        <f t="shared" si="79"/>
        <v>N</v>
      </c>
      <c r="X171" s="177">
        <f t="shared" si="86"/>
        <v>1</v>
      </c>
      <c r="Y171" s="67">
        <f t="shared" si="80"/>
        <v>5.8674999999999997</v>
      </c>
      <c r="Z171" s="67">
        <f t="shared" si="81"/>
        <v>6.7100000000000007E-2</v>
      </c>
      <c r="AA171" s="67">
        <f t="shared" si="82"/>
        <v>5.8003999999999998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83"/>
        <v>0812-27</v>
      </c>
      <c r="AE171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71" s="88" t="str">
        <f t="shared" si="71"/>
        <v>"C:\Program Files (x86)\AstroGrep\AstroGrep.exe" /spath="%USERPROFILE%\AppData\Local\Temp\OnboardLogs" /stypes="app*4041*20161027*" /stext=" 14:.+((SYSTEM_STATE.+slice.+state.+changed )|(ment ac)|(system.+state.+changed )|(\[timeout)|(PRM\|1\|D)|(kpr)|(kdp)|(\|lc)|(penalty))" /e /r /s</v>
      </c>
      <c r="AG171" s="1" t="str">
        <f t="shared" si="84"/>
        <v>NW</v>
      </c>
      <c r="AH171" s="92" t="str">
        <f t="shared" si="72"/>
        <v>"%USERPROFILE%\Documents\GitHub\eaglep3\Utilities\RefineRTDCRunTimes.py" --tripid 812-27 --locoid 4041 --swversion DE.1.0.8.0 --startMP 300:58675 --initTime 2016-10-27T08:36:52 --startdatetime 2016-10-27T08:39:20 --delay 1 --endMP 204:671 --enddatetime 2016-10-27T08:55:04 --enforcementcount 0 &gt;&gt;C:\Users\stu\Documents\GitHub\eaglep3-reporting\EC\2016-10-27-refined-times.txt</v>
      </c>
      <c r="AI171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{"issue":{"subject":"","project_id":79,"tracker_id":40,"status_id":1,"priority_id":2,"assigned_to_id":23,"start_date":"2016-10-27","description":"","custom_fields":[{"id":1,"name":"Subdivision","value":"NW"},{"id":4,"name":"Milepost","value":"0.0671"},{"id":17,"name":"Train ID","value":"812-27"},{"id":16,"name":"Locomotive ID","value":"4041"},{"id":130,"name":"Impact","value":""},{"id":150,"name":"Time of Event (Mountain Time)","value":"08:55:04"},{"id":151,"name":"Denver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480</v>
      </c>
      <c r="B172" s="7">
        <v>4042</v>
      </c>
      <c r="C172" s="22" t="s">
        <v>326</v>
      </c>
      <c r="D172" s="22" t="s">
        <v>329</v>
      </c>
      <c r="E172" s="13">
        <v>42670.373078703706</v>
      </c>
      <c r="F172" s="13">
        <v>42670.389826388891</v>
      </c>
      <c r="G172" s="7">
        <v>1</v>
      </c>
      <c r="H172" s="13" t="s">
        <v>741</v>
      </c>
      <c r="I172" s="13">
        <v>42670.399270833332</v>
      </c>
      <c r="J172" s="7">
        <v>0</v>
      </c>
      <c r="K172" s="112" t="str">
        <f t="shared" si="74"/>
        <v>4041/4042</v>
      </c>
      <c r="L172" s="22" t="str">
        <f>VLOOKUP(A172,'Trips&amp;Operators'!$C$1:$E$10000,3,FALSE)</f>
        <v>LALONDE</v>
      </c>
      <c r="M172" s="6">
        <f t="shared" si="75"/>
        <v>9.444444440305233E-3</v>
      </c>
      <c r="N172" s="7">
        <f t="shared" si="85"/>
        <v>13.599999994039536</v>
      </c>
      <c r="O172" s="7"/>
      <c r="P172" s="7"/>
      <c r="Q172" s="23"/>
      <c r="R172" s="23"/>
      <c r="S172" s="35">
        <f t="shared" si="76"/>
        <v>1</v>
      </c>
      <c r="T172" s="50" t="str">
        <f t="shared" si="77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07:57:14-0600',mode:absolute,to:'2016-10-27 10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2" s="52" t="str">
        <f t="shared" si="79"/>
        <v>N</v>
      </c>
      <c r="X172" s="177">
        <f t="shared" si="86"/>
        <v>1</v>
      </c>
      <c r="Y172" s="67">
        <f t="shared" si="80"/>
        <v>9.8100000000000007E-2</v>
      </c>
      <c r="Z172" s="67">
        <f t="shared" si="81"/>
        <v>5.8944000000000001</v>
      </c>
      <c r="AA172" s="67">
        <f t="shared" si="82"/>
        <v>5.7963000000000005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83"/>
        <v>0813-27</v>
      </c>
      <c r="AE172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72" s="88" t="str">
        <f t="shared" si="71"/>
        <v>"C:\Program Files (x86)\AstroGrep\AstroGrep.exe" /spath="%USERPROFILE%\AppData\Local\Temp\OnboardLogs" /stypes="app*4042*20161027*" /stext=" 15:.+((SYSTEM_STATE.+slice.+state.+changed )|(ment ac)|(system.+state.+changed )|(\[timeout)|(PRM\|1\|D)|(kpr)|(kdp)|(\|lc)|(penalty))" /e /r /s</v>
      </c>
      <c r="AG172" s="1" t="str">
        <f t="shared" si="84"/>
        <v>NW</v>
      </c>
      <c r="AH172" s="92" t="str">
        <f t="shared" si="72"/>
        <v>"%USERPROFILE%\Documents\GitHub\eaglep3\Utilities\RefineRTDCRunTimes.py" --tripid 813-27 --locoid 4042 --swversion DE.1.0.8.0 --startMP 204:981 --initTime 2016-10-27T08:57:14 --startdatetime 2016-10-27T09:21:21 --delay 1 --endMP 300:58944 --enddatetime 2016-10-27T09:34:57 --enforcementcount 0 &gt;&gt;C:\Users\stu\Documents\GitHub\eaglep3-reporting\EC\2016-10-27-refined-times.txt</v>
      </c>
      <c r="AI172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{"issue":{"subject":"","project_id":79,"tracker_id":40,"status_id":1,"priority_id":2,"assigned_to_id":23,"start_date":"2016-10-27","description":"","custom_fields":[{"id":1,"name":"Subdivision","value":"NW"},{"id":4,"name":"Milepost","value":"5.8944"},{"id":17,"name":"Train ID","value":"813-27"},{"id":16,"name":"Locomotive ID","value":"4042"},{"id":130,"name":"Impact","value":""},{"id":150,"name":"Time of Event (Mountain Time)","value":"09:34:57"},{"id":151,"name":"Denver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483</v>
      </c>
      <c r="B173" s="7">
        <v>4041</v>
      </c>
      <c r="C173" s="22" t="s">
        <v>326</v>
      </c>
      <c r="D173" s="22" t="s">
        <v>742</v>
      </c>
      <c r="E173" s="13">
        <v>42670.400416666664</v>
      </c>
      <c r="F173" s="13">
        <v>42670.402199074073</v>
      </c>
      <c r="G173" s="7">
        <v>1</v>
      </c>
      <c r="H173" s="13" t="s">
        <v>743</v>
      </c>
      <c r="I173" s="13">
        <v>42670.413078703707</v>
      </c>
      <c r="J173" s="7">
        <v>0</v>
      </c>
      <c r="K173" s="112" t="str">
        <f t="shared" si="74"/>
        <v>4041/4042</v>
      </c>
      <c r="L173" s="22" t="str">
        <f>VLOOKUP(A173,'Trips&amp;Operators'!$C$1:$E$10000,3,FALSE)</f>
        <v>LALONDE</v>
      </c>
      <c r="M173" s="6">
        <f t="shared" si="75"/>
        <v>1.0879629633564036E-2</v>
      </c>
      <c r="N173" s="7">
        <f t="shared" si="85"/>
        <v>15.666666672332212</v>
      </c>
      <c r="O173" s="7"/>
      <c r="P173" s="7"/>
      <c r="Q173" s="23"/>
      <c r="R173" s="23"/>
      <c r="S173" s="35">
        <f t="shared" si="76"/>
        <v>1</v>
      </c>
      <c r="T173" s="50" t="str">
        <f t="shared" si="77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08:36:36-0600',mode:absolute,to:'2016-10-27 10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3" s="52" t="str">
        <f t="shared" si="79"/>
        <v>N</v>
      </c>
      <c r="X173" s="177">
        <f t="shared" si="86"/>
        <v>1</v>
      </c>
      <c r="Y173" s="67">
        <f t="shared" si="80"/>
        <v>5.8613</v>
      </c>
      <c r="Z173" s="67">
        <f t="shared" si="81"/>
        <v>6.8500000000000005E-2</v>
      </c>
      <c r="AA173" s="67">
        <f t="shared" si="82"/>
        <v>5.7927999999999997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83"/>
        <v>0814-27</v>
      </c>
      <c r="AE173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73" s="88" t="str">
        <f t="shared" si="71"/>
        <v>"C:\Program Files (x86)\AstroGrep\AstroGrep.exe" /spath="%USERPROFILE%\AppData\Local\Temp\OnboardLogs" /stypes="app*4041*20161027*" /stext=" 15:.+((SYSTEM_STATE.+slice.+state.+changed )|(ment ac)|(system.+state.+changed )|(\[timeout)|(PRM\|1\|D)|(kpr)|(kdp)|(\|lc)|(penalty))" /e /r /s</v>
      </c>
      <c r="AG173" s="1" t="str">
        <f t="shared" si="84"/>
        <v>NW</v>
      </c>
      <c r="AH173" s="92" t="str">
        <f t="shared" si="72"/>
        <v>"%USERPROFILE%\Documents\GitHub\eaglep3\Utilities\RefineRTDCRunTimes.py" --tripid 814-27 --locoid 4041 --swversion DE.1.0.8.0 --startMP 300:58613 --initTime 2016-10-27T09:36:36 --startdatetime 2016-10-27T09:39:10 --delay 1 --endMP 204:685 --enddatetime 2016-10-27T09:54:50 --enforcementcount 0 &gt;&gt;C:\Users\stu\Documents\GitHub\eaglep3-reporting\EC\2016-10-27-refined-times.txt</v>
      </c>
      <c r="AI173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{"issue":{"subject":"","project_id":79,"tracker_id":40,"status_id":1,"priority_id":2,"assigned_to_id":23,"start_date":"2016-10-27","description":"","custom_fields":[{"id":1,"name":"Subdivision","value":"NW"},{"id":4,"name":"Milepost","value":"0.0685"},{"id":17,"name":"Train ID","value":"814-27"},{"id":16,"name":"Locomotive ID","value":"4041"},{"id":130,"name":"Impact","value":""},{"id":150,"name":"Time of Event (Mountain Time)","value":"09:54:50"},{"id":151,"name":"Denver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487</v>
      </c>
      <c r="B174" s="7">
        <v>4042</v>
      </c>
      <c r="C174" s="22" t="s">
        <v>326</v>
      </c>
      <c r="D174" s="22" t="s">
        <v>382</v>
      </c>
      <c r="E174" s="13">
        <v>42670.414664351854</v>
      </c>
      <c r="F174" s="13">
        <v>42670.431666666664</v>
      </c>
      <c r="G174" s="7">
        <v>1</v>
      </c>
      <c r="H174" s="13" t="s">
        <v>328</v>
      </c>
      <c r="I174" s="13">
        <v>42670.440844907411</v>
      </c>
      <c r="J174" s="7">
        <v>0</v>
      </c>
      <c r="K174" s="112" t="str">
        <f t="shared" si="74"/>
        <v>4041/4042</v>
      </c>
      <c r="L174" s="22" t="str">
        <f>VLOOKUP(A174,'Trips&amp;Operators'!$C$1:$E$10000,3,FALSE)</f>
        <v>LALONDE</v>
      </c>
      <c r="M174" s="6">
        <f t="shared" si="75"/>
        <v>9.1782407471328042E-3</v>
      </c>
      <c r="N174" s="7">
        <f t="shared" si="85"/>
        <v>13.216666675871238</v>
      </c>
      <c r="O174" s="7"/>
      <c r="P174" s="7"/>
      <c r="Q174" s="23"/>
      <c r="R174" s="23"/>
      <c r="S174" s="35">
        <f t="shared" si="76"/>
        <v>1</v>
      </c>
      <c r="T174" s="50" t="str">
        <f t="shared" si="77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08:57:07-0600',mode:absolute,to:'2016-10-27 11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4" s="52" t="str">
        <f t="shared" si="79"/>
        <v>N</v>
      </c>
      <c r="X174" s="177">
        <f t="shared" si="86"/>
        <v>1</v>
      </c>
      <c r="Y174" s="67">
        <f t="shared" si="80"/>
        <v>9.6000000000000002E-2</v>
      </c>
      <c r="Z174" s="67">
        <f t="shared" si="81"/>
        <v>5.8952</v>
      </c>
      <c r="AA174" s="67">
        <f t="shared" si="82"/>
        <v>5.7991999999999999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83"/>
        <v>0815-27</v>
      </c>
      <c r="AE174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74" s="88" t="str">
        <f t="shared" si="71"/>
        <v>"C:\Program Files (x86)\AstroGrep\AstroGrep.exe" /spath="%USERPROFILE%\AppData\Local\Temp\OnboardLogs" /stypes="app*4042*20161027*" /stext=" 16:.+((SYSTEM_STATE.+slice.+state.+changed )|(ment ac)|(system.+state.+changed )|(\[timeout)|(PRM\|1\|D)|(kpr)|(kdp)|(\|lc)|(penalty))" /e /r /s</v>
      </c>
      <c r="AG174" s="1" t="str">
        <f t="shared" si="84"/>
        <v>NW</v>
      </c>
      <c r="AH174" s="92" t="str">
        <f t="shared" si="72"/>
        <v>"%USERPROFILE%\Documents\GitHub\eaglep3\Utilities\RefineRTDCRunTimes.py" --tripid 815-27 --locoid 4042 --swversion DE.1.0.8.0 --startMP 204:960 --initTime 2016-10-27T09:57:07 --startdatetime 2016-10-27T10:21:36 --delay 1 --endMP 300:58952 --enddatetime 2016-10-27T10:34:49 --enforcementcount 0 &gt;&gt;C:\Users\stu\Documents\GitHub\eaglep3-reporting\EC\2016-10-27-refined-times.txt</v>
      </c>
      <c r="AI174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{"issue":{"subject":"","project_id":79,"tracker_id":40,"status_id":1,"priority_id":2,"assigned_to_id":23,"start_date":"2016-10-27","description":"","custom_fields":[{"id":1,"name":"Subdivision","value":"NW"},{"id":4,"name":"Milepost","value":"5.8952"},{"id":17,"name":"Train ID","value":"815-27"},{"id":16,"name":"Locomotive ID","value":"4042"},{"id":130,"name":"Impact","value":""},{"id":150,"name":"Time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493</v>
      </c>
      <c r="B175" s="7">
        <v>4041</v>
      </c>
      <c r="C175" s="22" t="s">
        <v>326</v>
      </c>
      <c r="D175" s="22" t="s">
        <v>380</v>
      </c>
      <c r="E175" s="13">
        <v>42670.441863425927</v>
      </c>
      <c r="F175" s="13">
        <v>42670.443240740744</v>
      </c>
      <c r="G175" s="7">
        <v>1</v>
      </c>
      <c r="H175" s="13" t="s">
        <v>735</v>
      </c>
      <c r="I175" s="13">
        <v>42670.454525462963</v>
      </c>
      <c r="J175" s="7">
        <v>0</v>
      </c>
      <c r="K175" s="112" t="str">
        <f t="shared" si="74"/>
        <v>4041/4042</v>
      </c>
      <c r="L175" s="22" t="str">
        <f>VLOOKUP(A175,'Trips&amp;Operators'!$C$1:$E$10000,3,FALSE)</f>
        <v>LALONDE</v>
      </c>
      <c r="M175" s="6">
        <f t="shared" si="75"/>
        <v>1.1284722218988463E-2</v>
      </c>
      <c r="N175" s="7">
        <f t="shared" si="85"/>
        <v>16.249999995343387</v>
      </c>
      <c r="O175" s="7"/>
      <c r="P175" s="7"/>
      <c r="Q175" s="23"/>
      <c r="R175" s="23"/>
      <c r="S175" s="35">
        <f t="shared" si="76"/>
        <v>1</v>
      </c>
      <c r="T175" s="50" t="str">
        <f t="shared" si="77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09:36:17-0600',mode:absolute,to:'2016-10-27 11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5" s="52" t="str">
        <f t="shared" si="79"/>
        <v>N</v>
      </c>
      <c r="X175" s="177">
        <f t="shared" si="86"/>
        <v>1</v>
      </c>
      <c r="Y175" s="67">
        <f t="shared" si="80"/>
        <v>5.8643000000000001</v>
      </c>
      <c r="Z175" s="67">
        <f t="shared" si="81"/>
        <v>6.8400000000000002E-2</v>
      </c>
      <c r="AA175" s="67">
        <f t="shared" si="82"/>
        <v>5.7959000000000005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83"/>
        <v>0816-27</v>
      </c>
      <c r="AE175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75" s="88" t="str">
        <f t="shared" si="71"/>
        <v>"C:\Program Files (x86)\AstroGrep\AstroGrep.exe" /spath="%USERPROFILE%\AppData\Local\Temp\OnboardLogs" /stypes="app*4041*20161027*" /stext=" 16:.+((SYSTEM_STATE.+slice.+state.+changed )|(ment ac)|(system.+state.+changed )|(\[timeout)|(PRM\|1\|D)|(kpr)|(kdp)|(\|lc)|(penalty))" /e /r /s</v>
      </c>
      <c r="AG175" s="1" t="str">
        <f t="shared" si="84"/>
        <v>NW</v>
      </c>
      <c r="AH175" s="92" t="str">
        <f t="shared" si="72"/>
        <v>"%USERPROFILE%\Documents\GitHub\eaglep3\Utilities\RefineRTDCRunTimes.py" --tripid 816-27 --locoid 4041 --swversion DE.1.0.8.0 --startMP 300:58643 --initTime 2016-10-27T10:36:17 --startdatetime 2016-10-27T10:38:16 --delay 1 --endMP 204:684 --enddatetime 2016-10-27T10:54:31 --enforcementcount 0 &gt;&gt;C:\Users\stu\Documents\GitHub\eaglep3-reporting\EC\2016-10-27-refined-times.txt</v>
      </c>
      <c r="AI175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{"issue":{"subject":"","project_id":79,"tracker_id":40,"status_id":1,"priority_id":2,"assigned_to_id":23,"start_date":"2016-10-27","description":"","custom_fields":[{"id":1,"name":"Subdivision","value":"NW"},{"id":4,"name":"Milepost","value":"0.0684"},{"id":17,"name":"Train ID","value":"816-27"},{"id":16,"name":"Locomotive ID","value":"4041"},{"id":130,"name":"Impact","value":""},{"id":150,"name":"Time of Event (Mountain Time)","value":"10:54:31"},{"id":151,"name":"Denver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495</v>
      </c>
      <c r="B176" s="7">
        <v>4042</v>
      </c>
      <c r="C176" s="22" t="s">
        <v>326</v>
      </c>
      <c r="D176" s="22" t="s">
        <v>744</v>
      </c>
      <c r="E176" s="13">
        <v>42670.456319444442</v>
      </c>
      <c r="F176" s="13">
        <v>42670.473113425927</v>
      </c>
      <c r="G176" s="7">
        <v>1</v>
      </c>
      <c r="H176" s="13" t="s">
        <v>331</v>
      </c>
      <c r="I176" s="13">
        <v>42670.482905092591</v>
      </c>
      <c r="J176" s="7">
        <v>0</v>
      </c>
      <c r="K176" s="112" t="str">
        <f t="shared" si="74"/>
        <v>4041/4042</v>
      </c>
      <c r="L176" s="22" t="str">
        <f>VLOOKUP(A176,'Trips&amp;Operators'!$C$1:$E$10000,3,FALSE)</f>
        <v>LALONDE</v>
      </c>
      <c r="M176" s="6">
        <f t="shared" si="75"/>
        <v>9.7916666636592709E-3</v>
      </c>
      <c r="N176" s="7">
        <f t="shared" si="85"/>
        <v>14.09999999566935</v>
      </c>
      <c r="O176" s="7"/>
      <c r="P176" s="7"/>
      <c r="Q176" s="23"/>
      <c r="R176" s="23"/>
      <c r="S176" s="35">
        <f t="shared" si="76"/>
        <v>1</v>
      </c>
      <c r="T176" s="50" t="str">
        <f t="shared" si="77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09:57:06-0600',mode:absolute,to:'2016-10-27 12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6" s="52" t="str">
        <f t="shared" si="79"/>
        <v>N</v>
      </c>
      <c r="X176" s="177">
        <f t="shared" si="86"/>
        <v>1</v>
      </c>
      <c r="Y176" s="67">
        <f t="shared" si="80"/>
        <v>9.7600000000000006E-2</v>
      </c>
      <c r="Z176" s="67">
        <f t="shared" si="81"/>
        <v>5.8967000000000001</v>
      </c>
      <c r="AA176" s="67">
        <f t="shared" si="82"/>
        <v>5.7991000000000001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83"/>
        <v>0817-27</v>
      </c>
      <c r="AE176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76" s="88" t="str">
        <f t="shared" si="71"/>
        <v>"C:\Program Files (x86)\AstroGrep\AstroGrep.exe" /spath="%USERPROFILE%\AppData\Local\Temp\OnboardLogs" /stypes="app*4042*20161027*" /stext=" 17:.+((SYSTEM_STATE.+slice.+state.+changed )|(ment ac)|(system.+state.+changed )|(\[timeout)|(PRM\|1\|D)|(kpr)|(kdp)|(\|lc)|(penalty))" /e /r /s</v>
      </c>
      <c r="AG176" s="1" t="str">
        <f t="shared" si="84"/>
        <v>NW</v>
      </c>
      <c r="AH176" s="92" t="str">
        <f t="shared" si="72"/>
        <v>"%USERPROFILE%\Documents\GitHub\eaglep3\Utilities\RefineRTDCRunTimes.py" --tripid 817-27 --locoid 4042 --swversion DE.1.0.8.0 --startMP 204:976 --initTime 2016-10-27T10:57:06 --startdatetime 2016-10-27T11:21:17 --delay 1 --endMP 300:58967 --enddatetime 2016-10-27T11:35:23 --enforcementcount 0 &gt;&gt;C:\Users\stu\Documents\GitHub\eaglep3-reporting\EC\2016-10-27-refined-times.txt</v>
      </c>
      <c r="AI176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{"issue":{"subject":"","project_id":79,"tracker_id":40,"status_id":1,"priority_id":2,"assigned_to_id":23,"start_date":"2016-10-27","description":"","custom_fields":[{"id":1,"name":"Subdivision","value":"NW"},{"id":4,"name":"Milepost","value":"5.8967"},{"id":17,"name":"Train ID","value":"817-27"},{"id":16,"name":"Locomotive ID","value":"4042"},{"id":130,"name":"Impact","value":""},{"id":150,"name":"Time of Event (Mountain Time)","value":"11:35:23"},{"id":151,"name":"Denver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408</v>
      </c>
      <c r="B177" s="7">
        <v>4041</v>
      </c>
      <c r="C177" s="22" t="s">
        <v>326</v>
      </c>
      <c r="D177" s="22" t="s">
        <v>745</v>
      </c>
      <c r="E177" s="13">
        <v>42670.483935185184</v>
      </c>
      <c r="F177" s="13">
        <v>42670.485844907409</v>
      </c>
      <c r="G177" s="7">
        <v>1</v>
      </c>
      <c r="H177" s="13" t="s">
        <v>746</v>
      </c>
      <c r="I177" s="13">
        <v>42670.496261574073</v>
      </c>
      <c r="J177" s="7">
        <v>0</v>
      </c>
      <c r="K177" s="112" t="str">
        <f t="shared" si="74"/>
        <v>4041/4042</v>
      </c>
      <c r="L177" s="22" t="str">
        <f>VLOOKUP(A177,'Trips&amp;Operators'!$C$1:$E$10000,3,FALSE)</f>
        <v>LALONDE</v>
      </c>
      <c r="M177" s="6">
        <f t="shared" si="75"/>
        <v>1.0416666664241347E-2</v>
      </c>
      <c r="N177" s="7">
        <f t="shared" si="85"/>
        <v>14.99999999650754</v>
      </c>
      <c r="O177" s="7"/>
      <c r="P177" s="7"/>
      <c r="Q177" s="23"/>
      <c r="R177" s="23"/>
      <c r="S177" s="35">
        <f t="shared" si="76"/>
        <v>1</v>
      </c>
      <c r="T177" s="50" t="str">
        <f t="shared" si="77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10:36:52-0600',mode:absolute,to:'2016-10-27 12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7" s="52" t="str">
        <f t="shared" si="79"/>
        <v>N</v>
      </c>
      <c r="X177" s="177">
        <f t="shared" si="86"/>
        <v>1</v>
      </c>
      <c r="Y177" s="67">
        <f t="shared" si="80"/>
        <v>5.8653000000000004</v>
      </c>
      <c r="Z177" s="67">
        <f t="shared" si="81"/>
        <v>6.9400000000000003E-2</v>
      </c>
      <c r="AA177" s="67">
        <f t="shared" si="82"/>
        <v>5.7959000000000005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83"/>
        <v>0818-27</v>
      </c>
      <c r="AE177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77" s="88" t="str">
        <f t="shared" si="71"/>
        <v>"C:\Program Files (x86)\AstroGrep\AstroGrep.exe" /spath="%USERPROFILE%\AppData\Local\Temp\OnboardLogs" /stypes="app*4041*20161027*" /stext=" 17:.+((SYSTEM_STATE.+slice.+state.+changed )|(ment ac)|(system.+state.+changed )|(\[timeout)|(PRM\|1\|D)|(kpr)|(kdp)|(\|lc)|(penalty))" /e /r /s</v>
      </c>
      <c r="AG177" s="1" t="str">
        <f t="shared" si="84"/>
        <v>NW</v>
      </c>
      <c r="AH177" s="92" t="str">
        <f t="shared" si="72"/>
        <v>"%USERPROFILE%\Documents\GitHub\eaglep3\Utilities\RefineRTDCRunTimes.py" --tripid 818-27 --locoid 4041 --swversion DE.1.0.8.0 --startMP 300:58653 --initTime 2016-10-27T11:36:52 --startdatetime 2016-10-27T11:39:37 --delay 1 --endMP 204:694 --enddatetime 2016-10-27T11:54:37 --enforcementcount 0 &gt;&gt;C:\Users\stu\Documents\GitHub\eaglep3-reporting\EC\2016-10-27-refined-times.txt</v>
      </c>
      <c r="AI177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{"issue":{"subject":"","project_id":79,"tracker_id":40,"status_id":1,"priority_id":2,"assigned_to_id":23,"start_date":"2016-10-27","description":"","custom_fields":[{"id":1,"name":"Subdivision","value":"NW"},{"id":4,"name":"Milepost","value":"0.0694"},{"id":17,"name":"Train ID","value":"818-27"},{"id":16,"name":"Locomotive ID","value":"4041"},{"id":130,"name":"Impact","value":""},{"id":150,"name":"Time of Event (Mountain Time)","value":"11:54:37"},{"id":151,"name":"Denver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508</v>
      </c>
      <c r="B178" s="7">
        <v>4042</v>
      </c>
      <c r="C178" s="22" t="s">
        <v>326</v>
      </c>
      <c r="D178" s="22" t="s">
        <v>329</v>
      </c>
      <c r="E178" s="13">
        <v>42670.498194444444</v>
      </c>
      <c r="F178" s="13">
        <v>42670.514097222222</v>
      </c>
      <c r="G178" s="7">
        <v>1</v>
      </c>
      <c r="H178" s="13" t="s">
        <v>331</v>
      </c>
      <c r="I178" s="13">
        <v>42670.523587962962</v>
      </c>
      <c r="J178" s="7">
        <v>0</v>
      </c>
      <c r="K178" s="112" t="str">
        <f t="shared" si="74"/>
        <v>4041/4042</v>
      </c>
      <c r="L178" s="22" t="str">
        <f>VLOOKUP(A178,'Trips&amp;Operators'!$C$1:$E$10000,3,FALSE)</f>
        <v>LALONDE</v>
      </c>
      <c r="M178" s="6">
        <f t="shared" si="75"/>
        <v>9.4907407401478849E-3</v>
      </c>
      <c r="N178" s="7">
        <f t="shared" si="85"/>
        <v>13.666666665812954</v>
      </c>
      <c r="O178" s="7"/>
      <c r="P178" s="7"/>
      <c r="Q178" s="23"/>
      <c r="R178" s="23"/>
      <c r="S178" s="35">
        <f t="shared" si="76"/>
        <v>1</v>
      </c>
      <c r="T178" s="50" t="str">
        <f t="shared" si="77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10:57:24-0600',mode:absolute,to:'2016-10-27 13:33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8" s="52" t="str">
        <f t="shared" si="79"/>
        <v>N</v>
      </c>
      <c r="X178" s="177">
        <f t="shared" si="86"/>
        <v>1</v>
      </c>
      <c r="Y178" s="67">
        <f t="shared" si="80"/>
        <v>9.8100000000000007E-2</v>
      </c>
      <c r="Z178" s="67">
        <f t="shared" si="81"/>
        <v>5.8967000000000001</v>
      </c>
      <c r="AA178" s="67">
        <f t="shared" si="82"/>
        <v>5.7986000000000004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83"/>
        <v>0819-27</v>
      </c>
      <c r="AE178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78" s="88" t="str">
        <f t="shared" si="71"/>
        <v>"C:\Program Files (x86)\AstroGrep\AstroGrep.exe" /spath="%USERPROFILE%\AppData\Local\Temp\OnboardLogs" /stypes="app*4042*20161027*" /stext=" 18:.+((SYSTEM_STATE.+slice.+state.+changed )|(ment ac)|(system.+state.+changed )|(\[timeout)|(PRM\|1\|D)|(kpr)|(kdp)|(\|lc)|(penalty))" /e /r /s</v>
      </c>
      <c r="AG178" s="1" t="str">
        <f t="shared" si="84"/>
        <v>NW</v>
      </c>
      <c r="AH178" s="92" t="str">
        <f t="shared" si="72"/>
        <v>"%USERPROFILE%\Documents\GitHub\eaglep3\Utilities\RefineRTDCRunTimes.py" --tripid 819-27 --locoid 4042 --swversion DE.1.0.8.0 --startMP 204:981 --initTime 2016-10-27T11:57:24 --startdatetime 2016-10-27T12:20:18 --delay 1 --endMP 300:58967 --enddatetime 2016-10-27T12:33:58 --enforcementcount 0 &gt;&gt;C:\Users\stu\Documents\GitHub\eaglep3-reporting\EC\2016-10-27-refined-times.txt</v>
      </c>
      <c r="AI178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{"issue":{"subject":"","project_id":79,"tracker_id":40,"status_id":1,"priority_id":2,"assigned_to_id":23,"start_date":"2016-10-27","description":"","custom_fields":[{"id":1,"name":"Subdivision","value":"NW"},{"id":4,"name":"Milepost","value":"5.8967"},{"id":17,"name":"Train ID","value":"819-27"},{"id":16,"name":"Locomotive ID","value":"4042"},{"id":130,"name":"Impact","value":""},{"id":150,"name":"Time of Event (Mountain Time)","value":"12:33:58"},{"id":151,"name":"Denver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516</v>
      </c>
      <c r="B179" s="7">
        <v>4041</v>
      </c>
      <c r="C179" s="22" t="s">
        <v>326</v>
      </c>
      <c r="D179" s="22" t="s">
        <v>373</v>
      </c>
      <c r="E179" s="13">
        <v>42670.524675925924</v>
      </c>
      <c r="F179" s="13">
        <v>42670.526238425926</v>
      </c>
      <c r="G179" s="7">
        <v>1</v>
      </c>
      <c r="H179" s="13" t="s">
        <v>301</v>
      </c>
      <c r="I179" s="13">
        <v>42670.538344907407</v>
      </c>
      <c r="J179" s="7">
        <v>0</v>
      </c>
      <c r="K179" s="112" t="str">
        <f t="shared" si="74"/>
        <v>4041/4042</v>
      </c>
      <c r="L179" s="22" t="str">
        <f>VLOOKUP(A179,'Trips&amp;Operators'!$C$1:$E$10000,3,FALSE)</f>
        <v>LALONDE</v>
      </c>
      <c r="M179" s="6">
        <f t="shared" si="75"/>
        <v>1.2106481481168885E-2</v>
      </c>
      <c r="N179" s="7">
        <f t="shared" si="85"/>
        <v>17.433333332883194</v>
      </c>
      <c r="O179" s="7"/>
      <c r="P179" s="7"/>
      <c r="Q179" s="23"/>
      <c r="R179" s="23"/>
      <c r="S179" s="35">
        <f t="shared" si="76"/>
        <v>1</v>
      </c>
      <c r="T179" s="50" t="str">
        <f t="shared" si="77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11:35:32-0600',mode:absolute,to:'2016-10-27 13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9" s="52" t="str">
        <f t="shared" si="79"/>
        <v>N</v>
      </c>
      <c r="X179" s="177">
        <f t="shared" si="86"/>
        <v>1</v>
      </c>
      <c r="Y179" s="67">
        <f t="shared" si="80"/>
        <v>5.8666</v>
      </c>
      <c r="Z179" s="67">
        <f t="shared" si="81"/>
        <v>6.9800000000000001E-2</v>
      </c>
      <c r="AA179" s="67">
        <f t="shared" si="82"/>
        <v>5.7968000000000002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83"/>
        <v>0820-27</v>
      </c>
      <c r="AE179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79" s="88" t="str">
        <f t="shared" si="71"/>
        <v>"C:\Program Files (x86)\AstroGrep\AstroGrep.exe" /spath="%USERPROFILE%\AppData\Local\Temp\OnboardLogs" /stypes="app*4041*20161027*" /stext=" 18:.+((SYSTEM_STATE.+slice.+state.+changed )|(ment ac)|(system.+state.+changed )|(\[timeout)|(PRM\|1\|D)|(kpr)|(kdp)|(\|lc)|(penalty))" /e /r /s</v>
      </c>
      <c r="AG179" s="1" t="str">
        <f t="shared" si="84"/>
        <v>NW</v>
      </c>
      <c r="AH179" s="92" t="str">
        <f t="shared" si="72"/>
        <v>"%USERPROFILE%\Documents\GitHub\eaglep3\Utilities\RefineRTDCRunTimes.py" --tripid 820-27 --locoid 4041 --swversion DE.1.0.8.0 --startMP 300:58666 --initTime 2016-10-27T12:35:32 --startdatetime 2016-10-27T12:37:47 --delay 1 --endMP 204:698 --enddatetime 2016-10-27T12:55:13 --enforcementcount 0 &gt;&gt;C:\Users\stu\Documents\GitHub\eaglep3-reporting\EC\2016-10-27-refined-times.txt</v>
      </c>
      <c r="AI179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{"issue":{"subject":"","project_id":79,"tracker_id":40,"status_id":1,"priority_id":2,"assigned_to_id":23,"start_date":"2016-10-27","description":"","custom_fields":[{"id":1,"name":"Subdivision","value":"NW"},{"id":4,"name":"Milepost","value":"0.0698"},{"id":17,"name":"Train ID","value":"820-27"},{"id":16,"name":"Locomotive ID","value":"4041"},{"id":130,"name":"Impact","value":""},{"id":150,"name":"Time of Event (Mountain Time)","value":"12:55:13"},{"id":151,"name":"Denver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520</v>
      </c>
      <c r="B180" s="7">
        <v>4042</v>
      </c>
      <c r="C180" s="22" t="s">
        <v>326</v>
      </c>
      <c r="D180" s="22" t="s">
        <v>375</v>
      </c>
      <c r="E180" s="13">
        <v>42670.545393518521</v>
      </c>
      <c r="F180" s="13">
        <v>42670.556504629632</v>
      </c>
      <c r="G180" s="7">
        <v>2</v>
      </c>
      <c r="H180" s="13" t="s">
        <v>370</v>
      </c>
      <c r="I180" s="13">
        <v>42670.566064814811</v>
      </c>
      <c r="J180" s="7">
        <v>0</v>
      </c>
      <c r="K180" s="112" t="str">
        <f t="shared" si="74"/>
        <v>4041/4042</v>
      </c>
      <c r="L180" s="22" t="str">
        <f>VLOOKUP(A180,'Trips&amp;Operators'!$C$1:$E$10000,3,FALSE)</f>
        <v>HILLS</v>
      </c>
      <c r="M180" s="6">
        <f t="shared" si="75"/>
        <v>9.5601851789979264E-3</v>
      </c>
      <c r="N180" s="7">
        <f t="shared" si="85"/>
        <v>13.766666657757014</v>
      </c>
      <c r="O180" s="7"/>
      <c r="P180" s="7"/>
      <c r="Q180" s="23"/>
      <c r="R180" s="23"/>
      <c r="S180" s="35">
        <f t="shared" si="76"/>
        <v>1</v>
      </c>
      <c r="T180" s="50" t="str">
        <f t="shared" si="77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12:05:22-0600',mode:absolute,to:'2016-10-27 14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0" s="52" t="str">
        <f t="shared" si="79"/>
        <v>N</v>
      </c>
      <c r="X180" s="177">
        <f t="shared" si="86"/>
        <v>1</v>
      </c>
      <c r="Y180" s="67">
        <f t="shared" si="80"/>
        <v>9.8500000000000004E-2</v>
      </c>
      <c r="Z180" s="67">
        <f t="shared" si="81"/>
        <v>5.8998999999999997</v>
      </c>
      <c r="AA180" s="67">
        <f t="shared" si="82"/>
        <v>5.8014000000000001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83"/>
        <v>0821-27</v>
      </c>
      <c r="AE180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80" s="88" t="str">
        <f t="shared" si="71"/>
        <v>"C:\Program Files (x86)\AstroGrep\AstroGrep.exe" /spath="%USERPROFILE%\AppData\Local\Temp\OnboardLogs" /stypes="app*4042*20161027*" /stext=" 19:.+((SYSTEM_STATE.+slice.+state.+changed )|(ment ac)|(system.+state.+changed )|(\[timeout)|(PRM\|1\|D)|(kpr)|(kdp)|(\|lc)|(penalty))" /e /r /s</v>
      </c>
      <c r="AG180" s="1" t="str">
        <f t="shared" si="84"/>
        <v>NW</v>
      </c>
      <c r="AH180" s="92" t="str">
        <f t="shared" si="72"/>
        <v>"%USERPROFILE%\Documents\GitHub\eaglep3\Utilities\RefineRTDCRunTimes.py" --tripid 821-27 --locoid 4042 --swversion DE.1.0.8.0 --startMP 204:985 --initTime 2016-10-27T13:05:22 --startdatetime 2016-10-27T13:21:22 --delay 2 --endMP 300:58999 --enddatetime 2016-10-27T13:35:08 --enforcementcount 0 &gt;&gt;C:\Users\stu\Documents\GitHub\eaglep3-reporting\EC\2016-10-27-refined-times.txt</v>
      </c>
      <c r="AI180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{"issue":{"subject":"","project_id":79,"tracker_id":40,"status_id":1,"priority_id":2,"assigned_to_id":23,"start_date":"2016-10-27","description":"","custom_fields":[{"id":1,"name":"Subdivision","value":"NW"},{"id":4,"name":"Milepost","value":"5.8999"},{"id":17,"name":"Train ID","value":"821-27"},{"id":16,"name":"Locomotive ID","value":"4042"},{"id":130,"name":"Impact","value":""},{"id":150,"name":"Time of Event (Mountain Time)","value":"13:35:08"},{"id":151,"name":"Denver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409</v>
      </c>
      <c r="B181" s="7">
        <v>4041</v>
      </c>
      <c r="C181" s="22" t="s">
        <v>326</v>
      </c>
      <c r="D181" s="22" t="s">
        <v>747</v>
      </c>
      <c r="E181" s="13">
        <v>42670.567465277774</v>
      </c>
      <c r="F181" s="13">
        <v>42670.569062499999</v>
      </c>
      <c r="G181" s="7">
        <v>1</v>
      </c>
      <c r="H181" s="13" t="s">
        <v>748</v>
      </c>
      <c r="I181" s="13">
        <v>42670.579594907409</v>
      </c>
      <c r="J181" s="7">
        <v>0</v>
      </c>
      <c r="K181" s="112" t="str">
        <f t="shared" si="74"/>
        <v>4041/4042</v>
      </c>
      <c r="L181" s="22" t="str">
        <f>VLOOKUP(A181,'Trips&amp;Operators'!$C$1:$E$10000,3,FALSE)</f>
        <v>HILLS</v>
      </c>
      <c r="M181" s="6">
        <f t="shared" si="75"/>
        <v>1.0532407410209998E-2</v>
      </c>
      <c r="N181" s="7">
        <f t="shared" si="85"/>
        <v>15.166666670702398</v>
      </c>
      <c r="O181" s="7"/>
      <c r="P181" s="7"/>
      <c r="Q181" s="23"/>
      <c r="R181" s="23"/>
      <c r="S181" s="35">
        <f t="shared" si="76"/>
        <v>1</v>
      </c>
      <c r="T181" s="50" t="str">
        <f t="shared" si="77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12:37:09-0600',mode:absolute,to:'2016-10-27 14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1" s="52" t="str">
        <f t="shared" si="79"/>
        <v>N</v>
      </c>
      <c r="X181" s="177">
        <f t="shared" si="86"/>
        <v>1</v>
      </c>
      <c r="Y181" s="67">
        <f t="shared" si="80"/>
        <v>5.8692000000000002</v>
      </c>
      <c r="Z181" s="67">
        <f t="shared" si="81"/>
        <v>7.9699999999999993E-2</v>
      </c>
      <c r="AA181" s="67">
        <f t="shared" si="82"/>
        <v>5.7895000000000003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83"/>
        <v>0822-27</v>
      </c>
      <c r="AE181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81" s="88" t="str">
        <f t="shared" si="71"/>
        <v>"C:\Program Files (x86)\AstroGrep\AstroGrep.exe" /spath="%USERPROFILE%\AppData\Local\Temp\OnboardLogs" /stypes="app*4041*20161027*" /stext=" 19:.+((SYSTEM_STATE.+slice.+state.+changed )|(ment ac)|(system.+state.+changed )|(\[timeout)|(PRM\|1\|D)|(kpr)|(kdp)|(\|lc)|(penalty))" /e /r /s</v>
      </c>
      <c r="AG181" s="1" t="str">
        <f t="shared" si="84"/>
        <v>NW</v>
      </c>
      <c r="AH181" s="92" t="str">
        <f t="shared" si="72"/>
        <v>"%USERPROFILE%\Documents\GitHub\eaglep3\Utilities\RefineRTDCRunTimes.py" --tripid 822-27 --locoid 4041 --swversion DE.1.0.8.0 --startMP 300:58692 --initTime 2016-10-27T13:37:09 --startdatetime 2016-10-27T13:39:27 --delay 1 --endMP 204:797 --enddatetime 2016-10-27T13:54:37 --enforcementcount 0 &gt;&gt;C:\Users\stu\Documents\GitHub\eaglep3-reporting\EC\2016-10-27-refined-times.txt</v>
      </c>
      <c r="AI181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{"issue":{"subject":"","project_id":79,"tracker_id":40,"status_id":1,"priority_id":2,"assigned_to_id":23,"start_date":"2016-10-27","description":"","custom_fields":[{"id":1,"name":"Subdivision","value":"NW"},{"id":4,"name":"Milepost","value":"0.0797"},{"id":17,"name":"Train ID","value":"822-27"},{"id":16,"name":"Locomotive ID","value":"4041"},{"id":130,"name":"Impact","value":""},{"id":150,"name":"Time of Event (Mountain Time)","value":"13:54:37"},{"id":151,"name":"Denver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412</v>
      </c>
      <c r="B182" s="7">
        <v>4042</v>
      </c>
      <c r="C182" s="22" t="s">
        <v>326</v>
      </c>
      <c r="D182" s="22" t="s">
        <v>749</v>
      </c>
      <c r="E182" s="13">
        <v>42670.580752314818</v>
      </c>
      <c r="F182" s="13">
        <v>42670.598090277781</v>
      </c>
      <c r="G182" s="7">
        <v>1</v>
      </c>
      <c r="H182" s="13" t="s">
        <v>750</v>
      </c>
      <c r="I182" s="13">
        <v>42670.608206018522</v>
      </c>
      <c r="J182" s="7">
        <v>0</v>
      </c>
      <c r="K182" s="112" t="str">
        <f t="shared" si="74"/>
        <v>4041/4042</v>
      </c>
      <c r="L182" s="22" t="str">
        <f>VLOOKUP(A182,'Trips&amp;Operators'!$C$1:$E$10000,3,FALSE)</f>
        <v>HILLS</v>
      </c>
      <c r="M182" s="6">
        <f t="shared" si="75"/>
        <v>1.0115740740729962E-2</v>
      </c>
      <c r="N182" s="7">
        <f t="shared" si="85"/>
        <v>14.566666666651145</v>
      </c>
      <c r="O182" s="7"/>
      <c r="P182" s="7"/>
      <c r="Q182" s="23"/>
      <c r="R182" s="23"/>
      <c r="S182" s="35">
        <f t="shared" si="76"/>
        <v>1</v>
      </c>
      <c r="T182" s="50" t="str">
        <f t="shared" si="77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12:56:17-0600',mode:absolute,to:'2016-10-27 15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2" s="52" t="str">
        <f t="shared" si="79"/>
        <v>N</v>
      </c>
      <c r="X182" s="177">
        <f t="shared" si="86"/>
        <v>1</v>
      </c>
      <c r="Y182" s="67">
        <f t="shared" si="80"/>
        <v>0.1076</v>
      </c>
      <c r="Z182" s="67">
        <f t="shared" si="81"/>
        <v>5.8971</v>
      </c>
      <c r="AA182" s="67">
        <f t="shared" si="82"/>
        <v>5.7895000000000003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83"/>
        <v>0823-27</v>
      </c>
      <c r="AE182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82" s="88" t="str">
        <f t="shared" si="71"/>
        <v>"C:\Program Files (x86)\AstroGrep\AstroGrep.exe" /spath="%USERPROFILE%\AppData\Local\Temp\OnboardLogs" /stypes="app*4042*20161027*" /stext=" 20:.+((SYSTEM_STATE.+slice.+state.+changed )|(ment ac)|(system.+state.+changed )|(\[timeout)|(PRM\|1\|D)|(kpr)|(kdp)|(\|lc)|(penalty))" /e /r /s</v>
      </c>
      <c r="AG182" s="1" t="str">
        <f t="shared" si="84"/>
        <v>NW</v>
      </c>
      <c r="AH182" s="92" t="str">
        <f t="shared" si="72"/>
        <v>"%USERPROFILE%\Documents\GitHub\eaglep3\Utilities\RefineRTDCRunTimes.py" --tripid 823-27 --locoid 4042 --swversion DE.1.0.8.0 --startMP 204:1076 --initTime 2016-10-27T13:56:17 --startdatetime 2016-10-27T14:21:15 --delay 1 --endMP 300:58971 --enddatetime 2016-10-27T14:35:49 --enforcementcount 0 &gt;&gt;C:\Users\stu\Documents\GitHub\eaglep3-reporting\EC\2016-10-27-refined-times.txt</v>
      </c>
      <c r="AI182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{"issue":{"subject":"","project_id":79,"tracker_id":40,"status_id":1,"priority_id":2,"assigned_to_id":23,"start_date":"2016-10-27","description":"","custom_fields":[{"id":1,"name":"Subdivision","value":"NW"},{"id":4,"name":"Milepost","value":"5.8971"},{"id":17,"name":"Train ID","value":"823-27"},{"id":16,"name":"Locomotive ID","value":"4042"},{"id":130,"name":"Impact","value":""},{"id":150,"name":"Time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532</v>
      </c>
      <c r="B183" s="7">
        <v>4041</v>
      </c>
      <c r="C183" s="22" t="s">
        <v>326</v>
      </c>
      <c r="D183" s="22" t="s">
        <v>378</v>
      </c>
      <c r="E183" s="13">
        <v>42670.609398148146</v>
      </c>
      <c r="F183" s="13">
        <v>42670.61178240741</v>
      </c>
      <c r="G183" s="7">
        <v>1</v>
      </c>
      <c r="H183" s="13" t="s">
        <v>729</v>
      </c>
      <c r="I183" s="13">
        <v>42670.621469907404</v>
      </c>
      <c r="J183" s="7">
        <v>0</v>
      </c>
      <c r="K183" s="112" t="str">
        <f t="shared" si="74"/>
        <v>4041/4042</v>
      </c>
      <c r="L183" s="22" t="str">
        <f>VLOOKUP(A183,'Trips&amp;Operators'!$C$1:$E$10000,3,FALSE)</f>
        <v>HILLS</v>
      </c>
      <c r="M183" s="6">
        <f t="shared" si="75"/>
        <v>9.6874999944702722E-3</v>
      </c>
      <c r="N183" s="7">
        <f t="shared" si="85"/>
        <v>13.949999992037192</v>
      </c>
      <c r="O183" s="7"/>
      <c r="P183" s="7"/>
      <c r="Q183" s="23"/>
      <c r="R183" s="23"/>
      <c r="S183" s="35">
        <f t="shared" si="76"/>
        <v>1</v>
      </c>
      <c r="T183" s="50" t="str">
        <f t="shared" si="77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13:37:32-0600',mode:absolute,to:'2016-10-27 15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3" s="52" t="str">
        <f t="shared" si="79"/>
        <v>N</v>
      </c>
      <c r="X183" s="177">
        <f t="shared" si="86"/>
        <v>1</v>
      </c>
      <c r="Y183" s="67">
        <f t="shared" si="80"/>
        <v>5.8663999999999996</v>
      </c>
      <c r="Z183" s="67">
        <f t="shared" si="81"/>
        <v>6.8900000000000003E-2</v>
      </c>
      <c r="AA183" s="67">
        <f t="shared" si="82"/>
        <v>5.7974999999999994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83"/>
        <v>0824-27</v>
      </c>
      <c r="AE183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83" s="88" t="str">
        <f t="shared" si="71"/>
        <v>"C:\Program Files (x86)\AstroGrep\AstroGrep.exe" /spath="%USERPROFILE%\AppData\Local\Temp\OnboardLogs" /stypes="app*4041*20161027*" /stext=" 20:.+((SYSTEM_STATE.+slice.+state.+changed )|(ment ac)|(system.+state.+changed )|(\[timeout)|(PRM\|1\|D)|(kpr)|(kdp)|(\|lc)|(penalty))" /e /r /s</v>
      </c>
      <c r="AG183" s="1" t="str">
        <f t="shared" si="84"/>
        <v>NW</v>
      </c>
      <c r="AH183" s="92" t="str">
        <f t="shared" si="72"/>
        <v>"%USERPROFILE%\Documents\GitHub\eaglep3\Utilities\RefineRTDCRunTimes.py" --tripid 824-27 --locoid 4041 --swversion DE.1.0.8.0 --startMP 300:58664 --initTime 2016-10-27T14:37:32 --startdatetime 2016-10-27T14:40:58 --delay 1 --endMP 204:689 --enddatetime 2016-10-27T14:54:55 --enforcementcount 0 &gt;&gt;C:\Users\stu\Documents\GitHub\eaglep3-reporting\EC\2016-10-27-refined-times.txt</v>
      </c>
      <c r="AI183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{"issue":{"subject":"","project_id":79,"tracker_id":40,"status_id":1,"priority_id":2,"assigned_to_id":23,"start_date":"2016-10-27","description":"","custom_fields":[{"id":1,"name":"Subdivision","value":"NW"},{"id":4,"name":"Milepost","value":"0.0689"},{"id":17,"name":"Train ID","value":"824-27"},{"id":16,"name":"Locomotive ID","value":"4041"},{"id":130,"name":"Impact","value":""},{"id":150,"name":"Time of Event (Mountain Time)","value":"14:54:55"},{"id":151,"name":"Denver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413</v>
      </c>
      <c r="B184" s="7">
        <v>4042</v>
      </c>
      <c r="C184" s="22" t="s">
        <v>326</v>
      </c>
      <c r="D184" s="22" t="s">
        <v>329</v>
      </c>
      <c r="E184" s="13">
        <v>42670.622766203705</v>
      </c>
      <c r="F184" s="13">
        <v>42670.639930555553</v>
      </c>
      <c r="G184" s="7">
        <v>1</v>
      </c>
      <c r="H184" s="13" t="s">
        <v>751</v>
      </c>
      <c r="I184" s="13">
        <v>42670.650416666664</v>
      </c>
      <c r="J184" s="7">
        <v>0</v>
      </c>
      <c r="K184" s="112" t="str">
        <f t="shared" si="74"/>
        <v>4041/4042</v>
      </c>
      <c r="L184" s="22" t="str">
        <f>VLOOKUP(A184,'Trips&amp;Operators'!$C$1:$E$10000,3,FALSE)</f>
        <v>HILLS</v>
      </c>
      <c r="M184" s="6">
        <f t="shared" si="75"/>
        <v>1.0486111110367347E-2</v>
      </c>
      <c r="N184" s="7">
        <f t="shared" si="85"/>
        <v>15.099999998928979</v>
      </c>
      <c r="O184" s="7"/>
      <c r="P184" s="7"/>
      <c r="Q184" s="23"/>
      <c r="R184" s="23"/>
      <c r="S184" s="35">
        <f t="shared" si="76"/>
        <v>1</v>
      </c>
      <c r="T184" s="50" t="str">
        <f t="shared" si="77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13:56:47-0600',mode:absolute,to:'2016-10-27 16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4" s="52" t="str">
        <f t="shared" si="79"/>
        <v>N</v>
      </c>
      <c r="X184" s="177">
        <f t="shared" si="86"/>
        <v>1</v>
      </c>
      <c r="Y184" s="67">
        <f t="shared" si="80"/>
        <v>9.8100000000000007E-2</v>
      </c>
      <c r="Z184" s="67">
        <f t="shared" si="81"/>
        <v>5.8979999999999997</v>
      </c>
      <c r="AA184" s="67">
        <f t="shared" si="82"/>
        <v>5.7999000000000001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83"/>
        <v>0825-27</v>
      </c>
      <c r="AE184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84" s="88" t="str">
        <f t="shared" si="71"/>
        <v>"C:\Program Files (x86)\AstroGrep\AstroGrep.exe" /spath="%USERPROFILE%\AppData\Local\Temp\OnboardLogs" /stypes="app*4042*20161027*" /stext=" 21:.+((SYSTEM_STATE.+slice.+state.+changed )|(ment ac)|(system.+state.+changed )|(\[timeout)|(PRM\|1\|D)|(kpr)|(kdp)|(\|lc)|(penalty))" /e /r /s</v>
      </c>
      <c r="AG184" s="1" t="str">
        <f t="shared" si="84"/>
        <v>NW</v>
      </c>
      <c r="AH184" s="92" t="str">
        <f t="shared" si="72"/>
        <v>"%USERPROFILE%\Documents\GitHub\eaglep3\Utilities\RefineRTDCRunTimes.py" --tripid 825-27 --locoid 4042 --swversion DE.1.0.8.0 --startMP 204:981 --initTime 2016-10-27T14:56:47 --startdatetime 2016-10-27T15:21:30 --delay 1 --endMP 300:58980 --enddatetime 2016-10-27T15:36:36 --enforcementcount 0 &gt;&gt;C:\Users\stu\Documents\GitHub\eaglep3-reporting\EC\2016-10-27-refined-times.txt</v>
      </c>
      <c r="AI184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{"issue":{"subject":"","project_id":79,"tracker_id":40,"status_id":1,"priority_id":2,"assigned_to_id":23,"start_date":"2016-10-27","description":"","custom_fields":[{"id":1,"name":"Subdivision","value":"NW"},{"id":4,"name":"Milepost","value":"5.898"},{"id":17,"name":"Train ID","value":"825-27"},{"id":16,"name":"Locomotive ID","value":"4042"},{"id":130,"name":"Impact","value":""},{"id":150,"name":"Time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541</v>
      </c>
      <c r="B185" s="7">
        <v>4041</v>
      </c>
      <c r="C185" s="22" t="s">
        <v>326</v>
      </c>
      <c r="D185" s="22" t="s">
        <v>752</v>
      </c>
      <c r="E185" s="13">
        <v>42670.651805555557</v>
      </c>
      <c r="F185" s="13">
        <v>42670.653564814813</v>
      </c>
      <c r="G185" s="7">
        <v>1</v>
      </c>
      <c r="H185" s="13" t="s">
        <v>740</v>
      </c>
      <c r="I185" s="13">
        <v>42670.664027777777</v>
      </c>
      <c r="J185" s="7">
        <v>0</v>
      </c>
      <c r="K185" s="112" t="str">
        <f t="shared" si="74"/>
        <v>4041/4042</v>
      </c>
      <c r="L185" s="22" t="str">
        <f>VLOOKUP(A185,'Trips&amp;Operators'!$C$1:$E$10000,3,FALSE)</f>
        <v>HILLS</v>
      </c>
      <c r="M185" s="6">
        <f t="shared" si="75"/>
        <v>1.0462962964083999E-2</v>
      </c>
      <c r="N185" s="7">
        <f t="shared" si="85"/>
        <v>15.066666668280959</v>
      </c>
      <c r="O185" s="7"/>
      <c r="P185" s="7"/>
      <c r="Q185" s="23"/>
      <c r="R185" s="23"/>
      <c r="S185" s="35">
        <f t="shared" si="76"/>
        <v>1</v>
      </c>
      <c r="T185" s="50" t="str">
        <f t="shared" si="77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14:38:36-0600',mode:absolute,to:'2016-10-27 16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5" s="52" t="str">
        <f t="shared" si="79"/>
        <v>N</v>
      </c>
      <c r="X185" s="177">
        <f t="shared" si="86"/>
        <v>1</v>
      </c>
      <c r="Y185" s="67">
        <f t="shared" si="80"/>
        <v>5.8658000000000001</v>
      </c>
      <c r="Z185" s="67">
        <f t="shared" si="81"/>
        <v>6.7100000000000007E-2</v>
      </c>
      <c r="AA185" s="67">
        <f t="shared" si="82"/>
        <v>5.7987000000000002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83"/>
        <v>0826-27</v>
      </c>
      <c r="AE185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85" s="88" t="str">
        <f t="shared" si="71"/>
        <v>"C:\Program Files (x86)\AstroGrep\AstroGrep.exe" /spath="%USERPROFILE%\AppData\Local\Temp\OnboardLogs" /stypes="app*4041*20161027*" /stext=" 21:.+((SYSTEM_STATE.+slice.+state.+changed )|(ment ac)|(system.+state.+changed )|(\[timeout)|(PRM\|1\|D)|(kpr)|(kdp)|(\|lc)|(penalty))" /e /r /s</v>
      </c>
      <c r="AG185" s="1" t="str">
        <f t="shared" si="84"/>
        <v>NW</v>
      </c>
      <c r="AH185" s="92" t="str">
        <f t="shared" si="72"/>
        <v>"%USERPROFILE%\Documents\GitHub\eaglep3\Utilities\RefineRTDCRunTimes.py" --tripid 826-27 --locoid 4041 --swversion DE.1.0.8.0 --startMP 300:58658 --initTime 2016-10-27T15:38:36 --startdatetime 2016-10-27T15:41:08 --delay 1 --endMP 204:671 --enddatetime 2016-10-27T15:56:12 --enforcementcount 0 &gt;&gt;C:\Users\stu\Documents\GitHub\eaglep3-reporting\EC\2016-10-27-refined-times.txt</v>
      </c>
      <c r="AI185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{"issue":{"subject":"","project_id":79,"tracker_id":40,"status_id":1,"priority_id":2,"assigned_to_id":23,"start_date":"2016-10-27","description":"","custom_fields":[{"id":1,"name":"Subdivision","value":"NW"},{"id":4,"name":"Milepost","value":"0.0671"},{"id":17,"name":"Train ID","value":"826-27"},{"id":16,"name":"Locomotive ID","value":"4041"},{"id":130,"name":"Impact","value":""},{"id":150,"name":"Time of Event (Mountain Time)","value":"15:56:12"},{"id":151,"name":"Denver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543</v>
      </c>
      <c r="B186" s="7">
        <v>4009</v>
      </c>
      <c r="C186" s="22" t="s">
        <v>326</v>
      </c>
      <c r="D186" s="22" t="s">
        <v>382</v>
      </c>
      <c r="E186" s="13">
        <v>42670.65415509259</v>
      </c>
      <c r="F186" s="13">
        <v>42670.660613425927</v>
      </c>
      <c r="G186" s="7">
        <v>3</v>
      </c>
      <c r="H186" s="13" t="s">
        <v>300</v>
      </c>
      <c r="I186" s="13">
        <v>42670.669629629629</v>
      </c>
      <c r="J186" s="7">
        <v>0</v>
      </c>
      <c r="K186" s="112" t="str">
        <f t="shared" si="74"/>
        <v>4009/4010</v>
      </c>
      <c r="L186" s="22" t="str">
        <f>VLOOKUP(A186,'Trips&amp;Operators'!$C$1:$E$10000,3,FALSE)</f>
        <v>YANAI</v>
      </c>
      <c r="M186" s="6">
        <f t="shared" si="75"/>
        <v>9.0162037013215013E-3</v>
      </c>
      <c r="N186" s="7">
        <f t="shared" si="85"/>
        <v>12.983333329902962</v>
      </c>
      <c r="O186" s="7"/>
      <c r="P186" s="7"/>
      <c r="Q186" s="23"/>
      <c r="R186" s="23"/>
      <c r="S186" s="35">
        <f t="shared" si="76"/>
        <v>1</v>
      </c>
      <c r="T186" s="50" t="str">
        <f t="shared" si="77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14:41:59-0600',mode:absolute,to:'2016-10-27 17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6" s="52" t="str">
        <f t="shared" si="79"/>
        <v>N</v>
      </c>
      <c r="X186" s="177">
        <f t="shared" si="86"/>
        <v>1</v>
      </c>
      <c r="Y186" s="67">
        <f t="shared" si="80"/>
        <v>9.6000000000000002E-2</v>
      </c>
      <c r="Z186" s="67">
        <f t="shared" si="81"/>
        <v>5.8940999999999999</v>
      </c>
      <c r="AA186" s="67">
        <f t="shared" si="82"/>
        <v>5.7980999999999998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83"/>
        <v>0827-27</v>
      </c>
      <c r="AE186" s="91" t="str">
        <f t="shared" si="70"/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AF186" s="88" t="str">
        <f t="shared" si="71"/>
        <v>"C:\Program Files (x86)\AstroGrep\AstroGrep.exe" /spath="%USERPROFILE%\AppData\Local\Temp\OnboardLogs" /stypes="app*4009*20161027*" /stext=" 22:.+((SYSTEM_STATE.+slice.+state.+changed )|(ment ac)|(system.+state.+changed )|(\[timeout)|(PRM\|1\|D)|(kpr)|(kdp)|(\|lc)|(penalty))" /e /r /s</v>
      </c>
      <c r="AG186" s="1" t="str">
        <f t="shared" si="84"/>
        <v>NW</v>
      </c>
      <c r="AH186" s="92" t="str">
        <f t="shared" si="72"/>
        <v>"%USERPROFILE%\Documents\GitHub\eaglep3\Utilities\RefineRTDCRunTimes.py" --tripid 827-27 --locoid 4009 --swversion DE.1.0.8.0 --startMP 204:960 --initTime 2016-10-27T15:41:59 --startdatetime 2016-10-27T15:51:17 --delay 3 --endMP 300:58941 --enddatetime 2016-10-27T16:04:16 --enforcementcount 0 &gt;&gt;C:\Users\stu\Documents\GitHub\eaglep3-reporting\EC\2016-10-27-refined-times.txt</v>
      </c>
      <c r="AI186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{"issue":{"subject":"","project_id":79,"tracker_id":40,"status_id":1,"priority_id":2,"assigned_to_id":23,"start_date":"2016-10-27","description":"","custom_fields":[{"id":1,"name":"Subdivision","value":"NW"},{"id":4,"name":"Milepost","value":"5.8941"},{"id":17,"name":"Train ID","value":"827-27"},{"id":16,"name":"Locomotive ID","value":"4009"},{"id":130,"name":"Impact","value":""},{"id":150,"name":"Time of Event (Mountain Time)","value":"16:04:16"},{"id":151,"name":"Denver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546</v>
      </c>
      <c r="B187" s="7">
        <v>4010</v>
      </c>
      <c r="C187" s="22" t="s">
        <v>326</v>
      </c>
      <c r="D187" s="22" t="s">
        <v>381</v>
      </c>
      <c r="E187" s="13">
        <v>42670.670706018522</v>
      </c>
      <c r="F187" s="13">
        <v>42670.672592592593</v>
      </c>
      <c r="G187" s="7">
        <v>1</v>
      </c>
      <c r="H187" s="13" t="s">
        <v>753</v>
      </c>
      <c r="I187" s="13">
        <v>42670.684490740743</v>
      </c>
      <c r="J187" s="7">
        <v>0</v>
      </c>
      <c r="K187" s="112" t="str">
        <f t="shared" si="74"/>
        <v>4009/4010</v>
      </c>
      <c r="L187" s="22" t="str">
        <f>VLOOKUP(A187,'Trips&amp;Operators'!$C$1:$E$10000,3,FALSE)</f>
        <v>YANAI</v>
      </c>
      <c r="M187" s="6">
        <f t="shared" si="75"/>
        <v>1.1898148150066845E-2</v>
      </c>
      <c r="N187" s="7">
        <f t="shared" si="85"/>
        <v>17.133333336096257</v>
      </c>
      <c r="O187" s="7"/>
      <c r="P187" s="7"/>
      <c r="Q187" s="23"/>
      <c r="R187" s="23"/>
      <c r="S187" s="35">
        <f t="shared" si="76"/>
        <v>1</v>
      </c>
      <c r="T187" s="50" t="str">
        <f t="shared" si="77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15:05:49-0600',mode:absolute,to:'2016-10-27 17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7" s="52" t="str">
        <f t="shared" si="79"/>
        <v>N</v>
      </c>
      <c r="X187" s="177">
        <f t="shared" si="86"/>
        <v>1</v>
      </c>
      <c r="Y187" s="67">
        <f t="shared" si="80"/>
        <v>5.8620999999999999</v>
      </c>
      <c r="Z187" s="67">
        <f t="shared" si="81"/>
        <v>6.5600000000000006E-2</v>
      </c>
      <c r="AA187" s="67">
        <f t="shared" si="82"/>
        <v>5.7965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83"/>
        <v>0828-27</v>
      </c>
      <c r="AE187" s="91" t="str">
        <f t="shared" si="70"/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AF187" s="88" t="str">
        <f t="shared" si="71"/>
        <v>"C:\Program Files (x86)\AstroGrep\AstroGrep.exe" /spath="%USERPROFILE%\AppData\Local\Temp\OnboardLogs" /stypes="app*4010*20161027*" /stext=" 22:.+((SYSTEM_STATE.+slice.+state.+changed )|(ment ac)|(system.+state.+changed )|(\[timeout)|(PRM\|1\|D)|(kpr)|(kdp)|(\|lc)|(penalty))" /e /r /s</v>
      </c>
      <c r="AG187" s="1" t="str">
        <f t="shared" si="84"/>
        <v>NW</v>
      </c>
      <c r="AH187" s="92" t="str">
        <f t="shared" si="72"/>
        <v>"%USERPROFILE%\Documents\GitHub\eaglep3\Utilities\RefineRTDCRunTimes.py" --tripid 828-27 --locoid 4010 --swversion DE.1.0.8.0 --startMP 300:58621 --initTime 2016-10-27T16:05:49 --startdatetime 2016-10-27T16:08:32 --delay 1 --endMP 204:656 --enddatetime 2016-10-27T16:25:40 --enforcementcount 0 &gt;&gt;C:\Users\stu\Documents\GitHub\eaglep3-reporting\EC\2016-10-27-refined-times.txt</v>
      </c>
      <c r="AI187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{"issue":{"subject":"","project_id":79,"tracker_id":40,"status_id":1,"priority_id":2,"assigned_to_id":23,"start_date":"2016-10-27","description":"","custom_fields":[{"id":1,"name":"Subdivision","value":"NW"},{"id":4,"name":"Milepost","value":"0.0656"},{"id":17,"name":"Train ID","value":"828-27"},{"id":16,"name":"Locomotive ID","value":"4010"},{"id":130,"name":"Impact","value":""},{"id":150,"name":"Time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545</v>
      </c>
      <c r="B188" s="7">
        <v>4042</v>
      </c>
      <c r="C188" s="22" t="s">
        <v>326</v>
      </c>
      <c r="D188" s="22" t="s">
        <v>754</v>
      </c>
      <c r="E188" s="13">
        <v>42670.667175925926</v>
      </c>
      <c r="F188" s="13">
        <v>42670.68167824074</v>
      </c>
      <c r="G188" s="7">
        <v>1</v>
      </c>
      <c r="H188" s="13" t="s">
        <v>755</v>
      </c>
      <c r="I188" s="13">
        <v>42670.691828703704</v>
      </c>
      <c r="J188" s="7">
        <v>0</v>
      </c>
      <c r="K188" s="112" t="str">
        <f t="shared" si="74"/>
        <v>4041/4042</v>
      </c>
      <c r="L188" s="22" t="str">
        <f>VLOOKUP(A188,'Trips&amp;Operators'!$C$1:$E$10000,3,FALSE)</f>
        <v>HILLS</v>
      </c>
      <c r="M188" s="6">
        <f t="shared" si="75"/>
        <v>1.0150462963792961E-2</v>
      </c>
      <c r="N188" s="7">
        <f t="shared" si="85"/>
        <v>14.616666667861864</v>
      </c>
      <c r="O188" s="7"/>
      <c r="P188" s="7"/>
      <c r="Q188" s="23"/>
      <c r="R188" s="23"/>
      <c r="S188" s="35">
        <f t="shared" si="76"/>
        <v>1</v>
      </c>
      <c r="T188" s="50" t="str">
        <f t="shared" si="77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15:00:44-0600',mode:absolute,to:'2016-10-27 17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8" s="52" t="str">
        <f t="shared" si="79"/>
        <v>N</v>
      </c>
      <c r="X188" s="177">
        <f t="shared" si="86"/>
        <v>1</v>
      </c>
      <c r="Y188" s="67">
        <f t="shared" si="80"/>
        <v>9.6199999999999994E-2</v>
      </c>
      <c r="Z188" s="67">
        <f t="shared" si="81"/>
        <v>5.8993000000000002</v>
      </c>
      <c r="AA188" s="67">
        <f t="shared" si="82"/>
        <v>5.8031000000000006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83"/>
        <v>0829-27</v>
      </c>
      <c r="AE188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88" s="88" t="str">
        <f t="shared" si="71"/>
        <v>"C:\Program Files (x86)\AstroGrep\AstroGrep.exe" /spath="%USERPROFILE%\AppData\Local\Temp\OnboardLogs" /stypes="app*4042*20161027*" /stext=" 22:.+((SYSTEM_STATE.+slice.+state.+changed )|(ment ac)|(system.+state.+changed )|(\[timeout)|(PRM\|1\|D)|(kpr)|(kdp)|(\|lc)|(penalty))" /e /r /s</v>
      </c>
      <c r="AG188" s="1" t="str">
        <f t="shared" si="84"/>
        <v>NW</v>
      </c>
      <c r="AH188" s="92" t="str">
        <f t="shared" si="72"/>
        <v>"%USERPROFILE%\Documents\GitHub\eaglep3\Utilities\RefineRTDCRunTimes.py" --tripid 829-27 --locoid 4042 --swversion DE.1.0.8.0 --startMP 204:962 --initTime 2016-10-27T16:00:44 --startdatetime 2016-10-27T16:21:37 --delay 1 --endMP 300:58993 --enddatetime 2016-10-27T16:36:14 --enforcementcount 0 &gt;&gt;C:\Users\stu\Documents\GitHub\eaglep3-reporting\EC\2016-10-27-refined-times.txt</v>
      </c>
      <c r="AI188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{"issue":{"subject":"","project_id":79,"tracker_id":40,"status_id":1,"priority_id":2,"assigned_to_id":23,"start_date":"2016-10-27","description":"","custom_fields":[{"id":1,"name":"Subdivision","value":"NW"},{"id":4,"name":"Milepost","value":"5.8993"},{"id":17,"name":"Train ID","value":"829-27"},{"id":16,"name":"Locomotive ID","value":"4042"},{"id":130,"name":"Impact","value":""},{"id":150,"name":"Time of Event (Mountain Time)","value":"16:36:14"},{"id":151,"name":"Denver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550</v>
      </c>
      <c r="B189" s="7">
        <v>4041</v>
      </c>
      <c r="C189" s="22" t="s">
        <v>326</v>
      </c>
      <c r="D189" s="22" t="s">
        <v>756</v>
      </c>
      <c r="E189" s="13">
        <v>42670.692870370367</v>
      </c>
      <c r="F189" s="13">
        <v>42670.694479166668</v>
      </c>
      <c r="G189" s="7">
        <v>1</v>
      </c>
      <c r="H189" s="13" t="s">
        <v>757</v>
      </c>
      <c r="I189" s="13">
        <v>42670.705185185187</v>
      </c>
      <c r="J189" s="7">
        <v>0</v>
      </c>
      <c r="K189" s="112" t="str">
        <f t="shared" si="74"/>
        <v>4041/4042</v>
      </c>
      <c r="L189" s="22" t="str">
        <f>VLOOKUP(A189,'Trips&amp;Operators'!$C$1:$E$10000,3,FALSE)</f>
        <v>HILLS</v>
      </c>
      <c r="M189" s="6">
        <f t="shared" si="75"/>
        <v>1.0706018518249039E-2</v>
      </c>
      <c r="N189" s="7">
        <f t="shared" si="85"/>
        <v>15.416666666278616</v>
      </c>
      <c r="O189" s="7"/>
      <c r="P189" s="7"/>
      <c r="Q189" s="23"/>
      <c r="R189" s="23"/>
      <c r="S189" s="35">
        <f t="shared" si="76"/>
        <v>1</v>
      </c>
      <c r="T189" s="50" t="str">
        <f t="shared" si="77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15:37:44-0600',mode:absolute,to:'2016-10-27 17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9" s="52" t="str">
        <f t="shared" si="79"/>
        <v>N</v>
      </c>
      <c r="X189" s="177">
        <f t="shared" si="86"/>
        <v>1</v>
      </c>
      <c r="Y189" s="67">
        <f t="shared" si="80"/>
        <v>5.8677000000000001</v>
      </c>
      <c r="Z189" s="67">
        <f t="shared" si="81"/>
        <v>6.8199999999999997E-2</v>
      </c>
      <c r="AA189" s="67">
        <f t="shared" si="82"/>
        <v>5.7995000000000001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83"/>
        <v>0830-27</v>
      </c>
      <c r="AE189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89" s="88" t="str">
        <f t="shared" si="71"/>
        <v>"C:\Program Files (x86)\AstroGrep\AstroGrep.exe" /spath="%USERPROFILE%\AppData\Local\Temp\OnboardLogs" /stypes="app*4041*20161027*" /stext=" 22:.+((SYSTEM_STATE.+slice.+state.+changed )|(ment ac)|(system.+state.+changed )|(\[timeout)|(PRM\|1\|D)|(kpr)|(kdp)|(\|lc)|(penalty))" /e /r /s</v>
      </c>
      <c r="AG189" s="1" t="str">
        <f t="shared" si="84"/>
        <v>NW</v>
      </c>
      <c r="AH189" s="92" t="str">
        <f t="shared" si="72"/>
        <v>"%USERPROFILE%\Documents\GitHub\eaglep3\Utilities\RefineRTDCRunTimes.py" --tripid 830-27 --locoid 4041 --swversion DE.1.0.8.0 --startMP 300:58677 --initTime 2016-10-27T16:37:44 --startdatetime 2016-10-27T16:40:03 --delay 1 --endMP 204:682 --enddatetime 2016-10-27T16:55:28 --enforcementcount 0 &gt;&gt;C:\Users\stu\Documents\GitHub\eaglep3-reporting\EC\2016-10-27-refined-times.txt</v>
      </c>
      <c r="AI189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{"issue":{"subject":"","project_id":79,"tracker_id":40,"status_id":1,"priority_id":2,"assigned_to_id":23,"start_date":"2016-10-27","description":"","custom_fields":[{"id":1,"name":"Subdivision","value":"NW"},{"id":4,"name":"Milepost","value":"0.0682"},{"id":17,"name":"Train ID","value":"830-27"},{"id":16,"name":"Locomotive ID","value":"4041"},{"id":130,"name":"Impact","value":""},{"id":150,"name":"Time of Event (Mountain Time)","value":"16:55:28"},{"id":151,"name":"Denver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552</v>
      </c>
      <c r="B190" s="7">
        <v>4009</v>
      </c>
      <c r="C190" s="22" t="s">
        <v>326</v>
      </c>
      <c r="D190" s="22" t="s">
        <v>377</v>
      </c>
      <c r="E190" s="13">
        <v>42670.699513888889</v>
      </c>
      <c r="F190" s="13">
        <v>42670.702233796299</v>
      </c>
      <c r="G190" s="7">
        <v>1</v>
      </c>
      <c r="H190" s="13" t="s">
        <v>758</v>
      </c>
      <c r="I190" s="13">
        <v>42670.711122685185</v>
      </c>
      <c r="J190" s="7">
        <v>0</v>
      </c>
      <c r="K190" s="112" t="str">
        <f t="shared" si="74"/>
        <v>4009/4010</v>
      </c>
      <c r="L190" s="22" t="str">
        <f>VLOOKUP(A190,'Trips&amp;Operators'!$C$1:$E$10000,3,FALSE)</f>
        <v>YANAI</v>
      </c>
      <c r="M190" s="6">
        <f t="shared" si="75"/>
        <v>8.8888888858491555E-3</v>
      </c>
      <c r="N190" s="7">
        <f t="shared" si="85"/>
        <v>12.799999995622784</v>
      </c>
      <c r="O190" s="7"/>
      <c r="P190" s="7"/>
      <c r="Q190" s="23"/>
      <c r="R190" s="23"/>
      <c r="S190" s="35">
        <f t="shared" si="76"/>
        <v>1</v>
      </c>
      <c r="T190" s="50" t="str">
        <f t="shared" si="77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15:47:18-0600',mode:absolute,to:'2016-10-27 18:04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0" s="52" t="str">
        <f t="shared" si="79"/>
        <v>N</v>
      </c>
      <c r="X190" s="177">
        <f t="shared" si="86"/>
        <v>1</v>
      </c>
      <c r="Y190" s="67">
        <f t="shared" si="80"/>
        <v>9.5299999999999996E-2</v>
      </c>
      <c r="Z190" s="67">
        <f t="shared" si="81"/>
        <v>5.8939000000000004</v>
      </c>
      <c r="AA190" s="67">
        <f t="shared" si="82"/>
        <v>5.7986000000000004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83"/>
        <v>0831-27</v>
      </c>
      <c r="AE190" s="91" t="str">
        <f t="shared" si="70"/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AF190" s="88" t="str">
        <f t="shared" si="71"/>
        <v>"C:\Program Files (x86)\AstroGrep\AstroGrep.exe" /spath="%USERPROFILE%\AppData\Local\Temp\OnboardLogs" /stypes="app*4009*20161027*" /stext=" 23:.+((SYSTEM_STATE.+slice.+state.+changed )|(ment ac)|(system.+state.+changed )|(\[timeout)|(PRM\|1\|D)|(kpr)|(kdp)|(\|lc)|(penalty))" /e /r /s</v>
      </c>
      <c r="AG190" s="1" t="str">
        <f t="shared" si="84"/>
        <v>NW</v>
      </c>
      <c r="AH190" s="92" t="str">
        <f t="shared" si="72"/>
        <v>"%USERPROFILE%\Documents\GitHub\eaglep3\Utilities\RefineRTDCRunTimes.py" --tripid 831-27 --locoid 4009 --swversion DE.1.0.8.0 --startMP 204:953 --initTime 2016-10-27T16:47:18 --startdatetime 2016-10-27T16:51:13 --delay 1 --endMP 300:58939 --enddatetime 2016-10-27T17:04:01 --enforcementcount 0 &gt;&gt;C:\Users\stu\Documents\GitHub\eaglep3-reporting\EC\2016-10-27-refined-times.txt</v>
      </c>
      <c r="AI190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{"issue":{"subject":"","project_id":79,"tracker_id":40,"status_id":1,"priority_id":2,"assigned_to_id":23,"start_date":"2016-10-27","description":"","custom_fields":[{"id":1,"name":"Subdivision","value":"NW"},{"id":4,"name":"Milepost","value":"5.8939"},{"id":17,"name":"Train ID","value":"831-27"},{"id":16,"name":"Locomotive ID","value":"4009"},{"id":130,"name":"Impact","value":""},{"id":150,"name":"Time of Event (Mountain Time)","value":"17:04:01"},{"id":151,"name":"Denver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556</v>
      </c>
      <c r="B191" s="7">
        <v>4010</v>
      </c>
      <c r="C191" s="22" t="s">
        <v>326</v>
      </c>
      <c r="D191" s="22" t="s">
        <v>759</v>
      </c>
      <c r="E191" s="13">
        <v>42670.712141203701</v>
      </c>
      <c r="F191" s="13">
        <v>42670.713368055556</v>
      </c>
      <c r="G191" s="7">
        <v>1</v>
      </c>
      <c r="H191" s="13" t="s">
        <v>379</v>
      </c>
      <c r="I191" s="13">
        <v>42670.725844907407</v>
      </c>
      <c r="J191" s="7">
        <v>0</v>
      </c>
      <c r="K191" s="112" t="str">
        <f t="shared" si="74"/>
        <v>4009/4010</v>
      </c>
      <c r="L191" s="22" t="str">
        <f>VLOOKUP(A191,'Trips&amp;Operators'!$C$1:$E$10000,3,FALSE)</f>
        <v>YANAI</v>
      </c>
      <c r="M191" s="6">
        <f t="shared" si="75"/>
        <v>1.247685185080627E-2</v>
      </c>
      <c r="N191" s="7">
        <f t="shared" si="85"/>
        <v>17.966666665161029</v>
      </c>
      <c r="O191" s="7"/>
      <c r="P191" s="7"/>
      <c r="Q191" s="23"/>
      <c r="R191" s="23"/>
      <c r="S191" s="35">
        <f t="shared" si="76"/>
        <v>1</v>
      </c>
      <c r="T191" s="50" t="str">
        <f t="shared" si="77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16:05:29-0600',mode:absolute,to:'2016-10-27 18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1" s="52" t="str">
        <f t="shared" si="79"/>
        <v>N</v>
      </c>
      <c r="X191" s="177">
        <f t="shared" si="86"/>
        <v>1</v>
      </c>
      <c r="Y191" s="67">
        <f t="shared" si="80"/>
        <v>5.8628</v>
      </c>
      <c r="Z191" s="67">
        <f t="shared" si="81"/>
        <v>6.6799999999999998E-2</v>
      </c>
      <c r="AA191" s="67">
        <f t="shared" si="82"/>
        <v>5.7960000000000003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83"/>
        <v>0832-27</v>
      </c>
      <c r="AE191" s="91" t="str">
        <f t="shared" si="70"/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AF191" s="88" t="str">
        <f t="shared" si="71"/>
        <v>"C:\Program Files (x86)\AstroGrep\AstroGrep.exe" /spath="%USERPROFILE%\AppData\Local\Temp\OnboardLogs" /stypes="app*4010*20161027*" /stext=" 23:.+((SYSTEM_STATE.+slice.+state.+changed )|(ment ac)|(system.+state.+changed )|(\[timeout)|(PRM\|1\|D)|(kpr)|(kdp)|(\|lc)|(penalty))" /e /r /s</v>
      </c>
      <c r="AG191" s="1" t="str">
        <f t="shared" si="84"/>
        <v>NW</v>
      </c>
      <c r="AH191" s="92" t="str">
        <f t="shared" si="72"/>
        <v>"%USERPROFILE%\Documents\GitHub\eaglep3\Utilities\RefineRTDCRunTimes.py" --tripid 832-27 --locoid 4010 --swversion DE.1.0.8.0 --startMP 300:58628 --initTime 2016-10-27T17:05:29 --startdatetime 2016-10-27T17:07:15 --delay 1 --endMP 204:668 --enddatetime 2016-10-27T17:25:13 --enforcementcount 0 &gt;&gt;C:\Users\stu\Documents\GitHub\eaglep3-reporting\EC\2016-10-27-refined-times.txt</v>
      </c>
      <c r="AI191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{"issue":{"subject":"","project_id":79,"tracker_id":40,"status_id":1,"priority_id":2,"assigned_to_id":23,"start_date":"2016-10-27","description":"","custom_fields":[{"id":1,"name":"Subdivision","value":"NW"},{"id":4,"name":"Milepost","value":"0.0668"},{"id":17,"name":"Train ID","value":"832-27"},{"id":16,"name":"Locomotive ID","value":"4010"},{"id":130,"name":"Impact","value":""},{"id":150,"name":"Time of Event (Mountain Time)","value":"17:25:13"},{"id":151,"name":"Denver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417</v>
      </c>
      <c r="B192" s="7">
        <v>4042</v>
      </c>
      <c r="C192" s="22" t="s">
        <v>326</v>
      </c>
      <c r="D192" s="22" t="s">
        <v>369</v>
      </c>
      <c r="E192" s="13">
        <v>42670.706817129627</v>
      </c>
      <c r="F192" s="13">
        <v>42670.723275462966</v>
      </c>
      <c r="G192" s="7">
        <v>1</v>
      </c>
      <c r="H192" s="13" t="s">
        <v>760</v>
      </c>
      <c r="I192" s="13">
        <v>42670.733935185184</v>
      </c>
      <c r="J192" s="7">
        <v>0</v>
      </c>
      <c r="K192" s="112" t="str">
        <f t="shared" si="74"/>
        <v>4041/4042</v>
      </c>
      <c r="L192" s="22" t="str">
        <f>VLOOKUP(A192,'Trips&amp;Operators'!$C$1:$E$10000,3,FALSE)</f>
        <v>HILLS</v>
      </c>
      <c r="M192" s="6">
        <f t="shared" si="75"/>
        <v>1.0659722218406387E-2</v>
      </c>
      <c r="N192" s="7">
        <f t="shared" si="85"/>
        <v>15.349999994505197</v>
      </c>
      <c r="O192" s="7"/>
      <c r="P192" s="7"/>
      <c r="Q192" s="23"/>
      <c r="R192" s="23"/>
      <c r="S192" s="35">
        <f t="shared" si="76"/>
        <v>1</v>
      </c>
      <c r="T192" s="50" t="str">
        <f t="shared" si="77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15:57:49-0600',mode:absolute,to:'2016-10-27 18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2" s="52" t="str">
        <f t="shared" si="79"/>
        <v>N</v>
      </c>
      <c r="X192" s="177">
        <f t="shared" si="86"/>
        <v>1</v>
      </c>
      <c r="Y192" s="67">
        <f t="shared" si="80"/>
        <v>9.7100000000000006E-2</v>
      </c>
      <c r="Z192" s="67">
        <f t="shared" si="81"/>
        <v>5.8906999999999998</v>
      </c>
      <c r="AA192" s="67">
        <f t="shared" si="82"/>
        <v>5.7935999999999996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83"/>
        <v>0833-27</v>
      </c>
      <c r="AE192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92" s="88" t="str">
        <f t="shared" si="71"/>
        <v>"C:\Program Files (x86)\AstroGrep\AstroGrep.exe" /spath="%USERPROFILE%\AppData\Local\Temp\OnboardLogs" /stypes="app*4042*20161027*" /stext=" 23:.+((SYSTEM_STATE.+slice.+state.+changed )|(ment ac)|(system.+state.+changed )|(\[timeout)|(PRM\|1\|D)|(kpr)|(kdp)|(\|lc)|(penalty))" /e /r /s</v>
      </c>
      <c r="AG192" s="1" t="str">
        <f t="shared" si="84"/>
        <v>NW</v>
      </c>
      <c r="AH192" s="92" t="str">
        <f t="shared" si="72"/>
        <v>"%USERPROFILE%\Documents\GitHub\eaglep3\Utilities\RefineRTDCRunTimes.py" --tripid 833-27 --locoid 4042 --swversion DE.1.0.8.0 --startMP 204:971 --initTime 2016-10-27T16:57:49 --startdatetime 2016-10-27T17:21:31 --delay 1 --endMP 300:58907 --enddatetime 2016-10-27T17:36:52 --enforcementcount 0 &gt;&gt;C:\Users\stu\Documents\GitHub\eaglep3-reporting\EC\2016-10-27-refined-times.txt</v>
      </c>
      <c r="AI192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{"issue":{"subject":"","project_id":79,"tracker_id":40,"status_id":1,"priority_id":2,"assigned_to_id":23,"start_date":"2016-10-27","description":"","custom_fields":[{"id":1,"name":"Subdivision","value":"NW"},{"id":4,"name":"Milepost","value":"5.8907"},{"id":17,"name":"Train ID","value":"833-27"},{"id":16,"name":"Locomotive ID","value":"4042"},{"id":130,"name":"Impact","value":""},{"id":150,"name":"Time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566</v>
      </c>
      <c r="B193" s="7">
        <v>4041</v>
      </c>
      <c r="C193" s="22" t="s">
        <v>326</v>
      </c>
      <c r="D193" s="22" t="s">
        <v>731</v>
      </c>
      <c r="E193" s="13">
        <v>42670.736458333333</v>
      </c>
      <c r="F193" s="13">
        <v>42670.738483796296</v>
      </c>
      <c r="G193" s="7">
        <v>1</v>
      </c>
      <c r="H193" s="13" t="s">
        <v>301</v>
      </c>
      <c r="I193" s="13">
        <v>42670.748333333337</v>
      </c>
      <c r="J193" s="7">
        <v>0</v>
      </c>
      <c r="K193" s="112" t="str">
        <f t="shared" si="74"/>
        <v>4041/4042</v>
      </c>
      <c r="L193" s="22" t="str">
        <f>VLOOKUP(A193,'Trips&amp;Operators'!$C$1:$E$10000,3,FALSE)</f>
        <v>HILLS</v>
      </c>
      <c r="M193" s="6">
        <f t="shared" si="75"/>
        <v>9.8495370402815752E-3</v>
      </c>
      <c r="N193" s="7">
        <f t="shared" si="85"/>
        <v>14.183333338005468</v>
      </c>
      <c r="O193" s="7"/>
      <c r="P193" s="7"/>
      <c r="Q193" s="23"/>
      <c r="R193" s="23"/>
      <c r="S193" s="35">
        <f t="shared" si="76"/>
        <v>1</v>
      </c>
      <c r="T193" s="50" t="str">
        <f t="shared" si="77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16:40:30-0600',mode:absolute,to:'2016-10-27 18:57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3" s="52" t="str">
        <f t="shared" si="79"/>
        <v>N</v>
      </c>
      <c r="X193" s="177">
        <f t="shared" si="86"/>
        <v>1</v>
      </c>
      <c r="Y193" s="67">
        <f t="shared" si="80"/>
        <v>5.8597999999999999</v>
      </c>
      <c r="Z193" s="67">
        <f t="shared" si="81"/>
        <v>6.9800000000000001E-2</v>
      </c>
      <c r="AA193" s="67">
        <f t="shared" si="82"/>
        <v>5.79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83"/>
        <v>0834-27</v>
      </c>
      <c r="AE193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93" s="88" t="str">
        <f t="shared" si="71"/>
        <v>"C:\Program Files (x86)\AstroGrep\AstroGrep.exe" /spath="%USERPROFILE%\AppData\Local\Temp\OnboardLogs" /stypes="app*4041*20161027*" /stext=" 23:.+((SYSTEM_STATE.+slice.+state.+changed )|(ment ac)|(system.+state.+changed )|(\[timeout)|(PRM\|1\|D)|(kpr)|(kdp)|(\|lc)|(penalty))" /e /r /s</v>
      </c>
      <c r="AG193" s="1" t="str">
        <f t="shared" si="84"/>
        <v>NW</v>
      </c>
      <c r="AH193" s="92" t="str">
        <f t="shared" si="72"/>
        <v>"%USERPROFILE%\Documents\GitHub\eaglep3\Utilities\RefineRTDCRunTimes.py" --tripid 834-27 --locoid 4041 --swversion DE.1.0.8.0 --startMP 300:58598 --initTime 2016-10-27T17:40:30 --startdatetime 2016-10-27T17:43:25 --delay 1 --endMP 204:698 --enddatetime 2016-10-27T17:57:36 --enforcementcount 0 &gt;&gt;C:\Users\stu\Documents\GitHub\eaglep3-reporting\EC\2016-10-27-refined-times.txt</v>
      </c>
      <c r="AI193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{"issue":{"subject":"","project_id":79,"tracker_id":40,"status_id":1,"priority_id":2,"assigned_to_id":23,"start_date":"2016-10-27","description":"","custom_fields":[{"id":1,"name":"Subdivision","value":"NW"},{"id":4,"name":"Milepost","value":"0.0698"},{"id":17,"name":"Train ID","value":"834-27"},{"id":16,"name":"Locomotive ID","value":"4041"},{"id":130,"name":"Impact","value":""},{"id":150,"name":"Time of Event (Mountain Time)","value":"17:57:36"},{"id":151,"name":"Denver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568</v>
      </c>
      <c r="B194" s="7">
        <v>4009</v>
      </c>
      <c r="C194" s="22" t="s">
        <v>326</v>
      </c>
      <c r="D194" s="22" t="s">
        <v>761</v>
      </c>
      <c r="E194" s="13">
        <v>42670.73877314815</v>
      </c>
      <c r="F194" s="13">
        <v>42670.743969907409</v>
      </c>
      <c r="G194" s="7">
        <v>0</v>
      </c>
      <c r="H194" s="13" t="s">
        <v>300</v>
      </c>
      <c r="I194" s="13">
        <v>42670.752974537034</v>
      </c>
      <c r="J194" s="7">
        <v>0</v>
      </c>
      <c r="K194" s="112" t="str">
        <f t="shared" si="74"/>
        <v>4009/4010</v>
      </c>
      <c r="L194" s="22" t="str">
        <f>VLOOKUP(A194,'Trips&amp;Operators'!$C$1:$E$10000,3,FALSE)</f>
        <v>YANAI</v>
      </c>
      <c r="M194" s="6">
        <f t="shared" si="75"/>
        <v>9.0046296245418489E-3</v>
      </c>
      <c r="N194" s="7">
        <f t="shared" si="85"/>
        <v>12.966666659340262</v>
      </c>
      <c r="O194" s="7"/>
      <c r="P194" s="7"/>
      <c r="Q194" s="23"/>
      <c r="R194" s="23"/>
      <c r="S194" s="35">
        <f t="shared" si="76"/>
        <v>1</v>
      </c>
      <c r="T194" s="50" t="str">
        <f t="shared" si="77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16:43:50-0600',mode:absolute,to:'2016-10-27 19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4" s="52" t="str">
        <f t="shared" si="79"/>
        <v>N</v>
      </c>
      <c r="X194" s="177">
        <f t="shared" si="86"/>
        <v>1</v>
      </c>
      <c r="Y194" s="67">
        <f t="shared" si="80"/>
        <v>9.3399999999999997E-2</v>
      </c>
      <c r="Z194" s="67">
        <f t="shared" si="81"/>
        <v>5.8940999999999999</v>
      </c>
      <c r="AA194" s="67">
        <f t="shared" si="82"/>
        <v>5.8007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83"/>
        <v>0835-27</v>
      </c>
      <c r="AE194" s="91" t="str">
        <f t="shared" si="70"/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AF194" s="88" t="str">
        <f t="shared" si="71"/>
        <v>"C:\Program Files (x86)\AstroGrep\AstroGrep.exe" /spath="%USERPROFILE%\AppData\Local\Temp\OnboardLogs" /stypes="app*4009*20161028*" /stext=" 00:.+((SYSTEM_STATE.+slice.+state.+changed )|(ment ac)|(system.+state.+changed )|(\[timeout)|(PRM\|1\|D)|(kpr)|(kdp)|(\|lc)|(penalty))" /e /r /s</v>
      </c>
      <c r="AG194" s="1" t="str">
        <f t="shared" si="84"/>
        <v>NW</v>
      </c>
      <c r="AH194" s="92" t="str">
        <f t="shared" si="72"/>
        <v>"%USERPROFILE%\Documents\GitHub\eaglep3\Utilities\RefineRTDCRunTimes.py" --tripid 835-27 --locoid 4009 --swversion DE.1.0.8.0 --startMP 204:934 --initTime 2016-10-27T17:43:50 --startdatetime 2016-10-27T17:51:19 --delay 0 --endMP 300:58941 --enddatetime 2016-10-27T18:04:17 --enforcementcount 0 &gt;&gt;C:\Users\stu\Documents\GitHub\eaglep3-reporting\EC\2016-10-27-refined-times.txt</v>
      </c>
      <c r="AI194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{"issue":{"subject":"","project_id":79,"tracker_id":40,"status_id":1,"priority_id":2,"assigned_to_id":23,"start_date":"2016-10-27","description":"","custom_fields":[{"id":1,"name":"Subdivision","value":"NW"},{"id":4,"name":"Milepost","value":"5.8941"},{"id":17,"name":"Train ID","value":"835-27"},{"id":16,"name":"Locomotive ID","value":"4009"},{"id":130,"name":"Impact","value":""},{"id":150,"name":"Time of Event (Mountain Time)","value":"18:04:17"},{"id":151,"name":"Denver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571</v>
      </c>
      <c r="B195" s="7">
        <v>4010</v>
      </c>
      <c r="C195" s="22" t="s">
        <v>326</v>
      </c>
      <c r="D195" s="22" t="s">
        <v>330</v>
      </c>
      <c r="E195" s="13">
        <v>42670.754120370373</v>
      </c>
      <c r="F195" s="13">
        <v>42670.755300925928</v>
      </c>
      <c r="G195" s="7">
        <v>1</v>
      </c>
      <c r="H195" s="13" t="s">
        <v>762</v>
      </c>
      <c r="I195" s="13">
        <v>42670.767685185187</v>
      </c>
      <c r="J195" s="7">
        <v>0</v>
      </c>
      <c r="K195" s="112" t="str">
        <f t="shared" si="74"/>
        <v>4009/4010</v>
      </c>
      <c r="L195" s="22" t="str">
        <f>VLOOKUP(A195,'Trips&amp;Operators'!$C$1:$E$10000,3,FALSE)</f>
        <v>YANAI</v>
      </c>
      <c r="M195" s="6">
        <f t="shared" si="75"/>
        <v>1.2384259258396924E-2</v>
      </c>
      <c r="N195" s="7">
        <f t="shared" si="85"/>
        <v>17.83333333209157</v>
      </c>
      <c r="O195" s="7"/>
      <c r="P195" s="7"/>
      <c r="Q195" s="23"/>
      <c r="R195" s="23"/>
      <c r="S195" s="35">
        <f t="shared" si="76"/>
        <v>1</v>
      </c>
      <c r="T195" s="50" t="str">
        <f t="shared" si="77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17:05:56-0600',mode:absolute,to:'2016-10-27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5" s="52" t="str">
        <f t="shared" si="79"/>
        <v>N</v>
      </c>
      <c r="X195" s="177">
        <f t="shared" si="86"/>
        <v>1</v>
      </c>
      <c r="Y195" s="67">
        <f t="shared" si="80"/>
        <v>5.8624000000000001</v>
      </c>
      <c r="Z195" s="67">
        <f t="shared" si="81"/>
        <v>6.5699999999999995E-2</v>
      </c>
      <c r="AA195" s="67">
        <f t="shared" si="82"/>
        <v>5.7967000000000004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83"/>
        <v>0836-27</v>
      </c>
      <c r="AE195" s="91" t="str">
        <f t="shared" si="70"/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AF195" s="88" t="str">
        <f t="shared" si="71"/>
        <v>"C:\Program Files (x86)\AstroGrep\AstroGrep.exe" /spath="%USERPROFILE%\AppData\Local\Temp\OnboardLogs" /stypes="app*4010*20161028*" /stext=" 00:.+((SYSTEM_STATE.+slice.+state.+changed )|(ment ac)|(system.+state.+changed )|(\[timeout)|(PRM\|1\|D)|(kpr)|(kdp)|(\|lc)|(penalty))" /e /r /s</v>
      </c>
      <c r="AG195" s="1" t="str">
        <f t="shared" si="84"/>
        <v>NW</v>
      </c>
      <c r="AH195" s="92" t="str">
        <f t="shared" si="72"/>
        <v>"%USERPROFILE%\Documents\GitHub\eaglep3\Utilities\RefineRTDCRunTimes.py" --tripid 836-27 --locoid 4010 --swversion DE.1.0.8.0 --startMP 300:58624 --initTime 2016-10-27T18:05:56 --startdatetime 2016-10-27T18:07:38 --delay 1 --endMP 204:657 --enddatetime 2016-10-27T18:25:28 --enforcementcount 0 &gt;&gt;C:\Users\stu\Documents\GitHub\eaglep3-reporting\EC\2016-10-27-refined-times.txt</v>
      </c>
      <c r="AI195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{"issue":{"subject":"","project_id":79,"tracker_id":40,"status_id":1,"priority_id":2,"assigned_to_id":23,"start_date":"2016-10-27","description":"","custom_fields":[{"id":1,"name":"Subdivision","value":"NW"},{"id":4,"name":"Milepost","value":"0.0657"},{"id":17,"name":"Train ID","value":"836-27"},{"id":16,"name":"Locomotive ID","value":"4010"},{"id":130,"name":"Impact","value":""},{"id":150,"name":"Time of Event (Mountain Time)","value":"18:25:28"},{"id":151,"name":"Denver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419</v>
      </c>
      <c r="B196" s="7">
        <v>4042</v>
      </c>
      <c r="C196" s="22" t="s">
        <v>326</v>
      </c>
      <c r="D196" s="22" t="s">
        <v>366</v>
      </c>
      <c r="E196" s="13">
        <v>42670.750289351854</v>
      </c>
      <c r="F196" s="13">
        <v>42670.764756944445</v>
      </c>
      <c r="G196" s="7">
        <v>1</v>
      </c>
      <c r="H196" s="13" t="s">
        <v>331</v>
      </c>
      <c r="I196" s="13">
        <v>42670.775648148148</v>
      </c>
      <c r="J196" s="7">
        <v>0</v>
      </c>
      <c r="K196" s="112" t="str">
        <f t="shared" si="74"/>
        <v>4041/4042</v>
      </c>
      <c r="L196" s="22" t="str">
        <f>VLOOKUP(A196,'Trips&amp;Operators'!$C$1:$E$10000,3,FALSE)</f>
        <v>HILLS</v>
      </c>
      <c r="M196" s="6">
        <f t="shared" si="75"/>
        <v>1.0891203703067731E-2</v>
      </c>
      <c r="N196" s="7">
        <f t="shared" si="85"/>
        <v>15.683333332417533</v>
      </c>
      <c r="O196" s="7"/>
      <c r="P196" s="7"/>
      <c r="Q196" s="23"/>
      <c r="R196" s="23"/>
      <c r="S196" s="35">
        <f t="shared" si="76"/>
        <v>1</v>
      </c>
      <c r="T196" s="50" t="str">
        <f t="shared" si="77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17:00:25-0600',mode:absolute,to:'2016-10-27 19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52" t="str">
        <f t="shared" si="79"/>
        <v>N</v>
      </c>
      <c r="X196" s="177">
        <f t="shared" si="86"/>
        <v>1</v>
      </c>
      <c r="Y196" s="67">
        <f t="shared" si="80"/>
        <v>9.8799999999999999E-2</v>
      </c>
      <c r="Z196" s="67">
        <f t="shared" si="81"/>
        <v>5.8967000000000001</v>
      </c>
      <c r="AA196" s="67">
        <f t="shared" si="82"/>
        <v>5.7979000000000003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83"/>
        <v>0837-27</v>
      </c>
      <c r="AE196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196" s="88" t="str">
        <f t="shared" si="71"/>
        <v>"C:\Program Files (x86)\AstroGrep\AstroGrep.exe" /spath="%USERPROFILE%\AppData\Local\Temp\OnboardLogs" /stypes="app*4042*20161028*" /stext=" 00:.+((SYSTEM_STATE.+slice.+state.+changed )|(ment ac)|(system.+state.+changed )|(\[timeout)|(PRM\|1\|D)|(kpr)|(kdp)|(\|lc)|(penalty))" /e /r /s</v>
      </c>
      <c r="AG196" s="1" t="str">
        <f t="shared" si="84"/>
        <v>NW</v>
      </c>
      <c r="AH196" s="92" t="str">
        <f t="shared" si="72"/>
        <v>"%USERPROFILE%\Documents\GitHub\eaglep3\Utilities\RefineRTDCRunTimes.py" --tripid 837-27 --locoid 4042 --swversion DE.1.0.8.0 --startMP 204:988 --initTime 2016-10-27T18:00:25 --startdatetime 2016-10-27T18:21:15 --delay 1 --endMP 300:58967 --enddatetime 2016-10-27T18:36:56 --enforcementcount 0 &gt;&gt;C:\Users\stu\Documents\GitHub\eaglep3-reporting\EC\2016-10-27-refined-times.txt</v>
      </c>
      <c r="AI196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{"issue":{"subject":"","project_id":79,"tracker_id":40,"status_id":1,"priority_id":2,"assigned_to_id":23,"start_date":"2016-10-27","description":"","custom_fields":[{"id":1,"name":"Subdivision","value":"NW"},{"id":4,"name":"Milepost","value":"5.8967"},{"id":17,"name":"Train ID","value":"837-27"},{"id":16,"name":"Locomotive ID","value":"4042"},{"id":130,"name":"Impact","value":""},{"id":150,"name":"Time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577</v>
      </c>
      <c r="B197" s="7">
        <v>4041</v>
      </c>
      <c r="C197" s="22" t="s">
        <v>326</v>
      </c>
      <c r="D197" s="22" t="s">
        <v>763</v>
      </c>
      <c r="E197" s="13">
        <v>42670.777060185188</v>
      </c>
      <c r="F197" s="13">
        <v>42670.778784722221</v>
      </c>
      <c r="G197" s="7">
        <v>1</v>
      </c>
      <c r="H197" s="13" t="s">
        <v>764</v>
      </c>
      <c r="I197" s="13">
        <v>42670.790613425925</v>
      </c>
      <c r="J197" s="7">
        <v>0</v>
      </c>
      <c r="K197" s="112" t="str">
        <f t="shared" si="74"/>
        <v>4041/4042</v>
      </c>
      <c r="L197" s="22" t="str">
        <f>VLOOKUP(A197,'Trips&amp;Operators'!$C$1:$E$10000,3,FALSE)</f>
        <v>HILLS</v>
      </c>
      <c r="M197" s="6">
        <f t="shared" si="75"/>
        <v>1.1828703703940846E-2</v>
      </c>
      <c r="N197" s="7">
        <f t="shared" si="85"/>
        <v>17.033333333674818</v>
      </c>
      <c r="O197" s="7"/>
      <c r="P197" s="7"/>
      <c r="Q197" s="23"/>
      <c r="R197" s="23"/>
      <c r="S197" s="35">
        <f t="shared" si="76"/>
        <v>1</v>
      </c>
      <c r="T197" s="50" t="str">
        <f t="shared" si="77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17:38:58-0600',mode:absolute,to:'2016-10-27 19:58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7" s="52" t="str">
        <f t="shared" si="79"/>
        <v>N</v>
      </c>
      <c r="X197" s="177">
        <f t="shared" si="86"/>
        <v>1</v>
      </c>
      <c r="Y197" s="67">
        <f t="shared" si="80"/>
        <v>5.8655999999999997</v>
      </c>
      <c r="Z197" s="67">
        <f t="shared" si="81"/>
        <v>6.7299999999999999E-2</v>
      </c>
      <c r="AA197" s="67">
        <f t="shared" si="82"/>
        <v>5.7982999999999993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83"/>
        <v>0838-27</v>
      </c>
      <c r="AE197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97" s="88" t="str">
        <f t="shared" si="71"/>
        <v>"C:\Program Files (x86)\AstroGrep\AstroGrep.exe" /spath="%USERPROFILE%\AppData\Local\Temp\OnboardLogs" /stypes="app*4041*20161028*" /stext=" 00:.+((SYSTEM_STATE.+slice.+state.+changed )|(ment ac)|(system.+state.+changed )|(\[timeout)|(PRM\|1\|D)|(kpr)|(kdp)|(\|lc)|(penalty))" /e /r /s</v>
      </c>
      <c r="AG197" s="1" t="str">
        <f t="shared" si="84"/>
        <v>NW</v>
      </c>
      <c r="AH197" s="92" t="str">
        <f t="shared" si="72"/>
        <v>"%USERPROFILE%\Documents\GitHub\eaglep3\Utilities\RefineRTDCRunTimes.py" --tripid 838-27 --locoid 4041 --swversion DE.1.0.8.0 --startMP 300:58656 --initTime 2016-10-27T18:38:58 --startdatetime 2016-10-27T18:41:27 --delay 1 --endMP 204:673 --enddatetime 2016-10-27T18:58:29 --enforcementcount 0 &gt;&gt;C:\Users\stu\Documents\GitHub\eaglep3-reporting\EC\2016-10-27-refined-times.txt</v>
      </c>
      <c r="AI197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{"issue":{"subject":"","project_id":79,"tracker_id":40,"status_id":1,"priority_id":2,"assigned_to_id":23,"start_date":"2016-10-27","description":"","custom_fields":[{"id":1,"name":"Subdivision","value":"NW"},{"id":4,"name":"Milepost","value":"0.0673"},{"id":17,"name":"Train ID","value":"838-27"},{"id":16,"name":"Locomotive ID","value":"4041"},{"id":130,"name":"Impact","value":""},{"id":150,"name":"Time of Event (Mountain Time)","value":"18:58:29"},{"id":151,"name":"Denver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578</v>
      </c>
      <c r="B198" s="7">
        <v>4009</v>
      </c>
      <c r="C198" s="22" t="s">
        <v>326</v>
      </c>
      <c r="D198" s="22" t="s">
        <v>765</v>
      </c>
      <c r="E198" s="13">
        <v>42670.782673611109</v>
      </c>
      <c r="F198" s="13">
        <v>42670.785590277781</v>
      </c>
      <c r="G198" s="7">
        <v>1</v>
      </c>
      <c r="H198" s="13" t="s">
        <v>737</v>
      </c>
      <c r="I198" s="13">
        <v>42670.794930555552</v>
      </c>
      <c r="J198" s="7">
        <v>0</v>
      </c>
      <c r="K198" s="112" t="str">
        <f t="shared" si="74"/>
        <v>4009/4010</v>
      </c>
      <c r="L198" s="22" t="str">
        <f>VLOOKUP(A198,'Trips&amp;Operators'!$C$1:$E$10000,3,FALSE)</f>
        <v>YANAI</v>
      </c>
      <c r="M198" s="6">
        <f t="shared" si="75"/>
        <v>9.3402777711162344E-3</v>
      </c>
      <c r="N198" s="7">
        <f t="shared" ref="N198:N229" si="87">24*60*SUM($M198:$M198)</f>
        <v>13.449999990407377</v>
      </c>
      <c r="O198" s="7"/>
      <c r="P198" s="7"/>
      <c r="Q198" s="23"/>
      <c r="R198" s="23"/>
      <c r="S198" s="35">
        <f t="shared" si="76"/>
        <v>1</v>
      </c>
      <c r="T198" s="50" t="str">
        <f t="shared" si="77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17:47:03-0600',mode:absolute,to:'2016-10-27 20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8" s="52" t="str">
        <f t="shared" si="79"/>
        <v>N</v>
      </c>
      <c r="X198" s="177">
        <f t="shared" si="86"/>
        <v>1</v>
      </c>
      <c r="Y198" s="67">
        <f t="shared" si="80"/>
        <v>9.2499999999999999E-2</v>
      </c>
      <c r="Z198" s="67">
        <f t="shared" si="81"/>
        <v>5.8912000000000004</v>
      </c>
      <c r="AA198" s="67">
        <f t="shared" si="82"/>
        <v>5.7987000000000002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83"/>
        <v>0839-27</v>
      </c>
      <c r="AE198" s="91" t="str">
        <f t="shared" si="70"/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AF198" s="88" t="str">
        <f t="shared" si="71"/>
        <v>"C:\Program Files (x86)\AstroGrep\AstroGrep.exe" /spath="%USERPROFILE%\AppData\Local\Temp\OnboardLogs" /stypes="app*4009*20161028*" /stext=" 01:.+((SYSTEM_STATE.+slice.+state.+changed )|(ment ac)|(system.+state.+changed )|(\[timeout)|(PRM\|1\|D)|(kpr)|(kdp)|(\|lc)|(penalty))" /e /r /s</v>
      </c>
      <c r="AG198" s="1" t="str">
        <f t="shared" si="84"/>
        <v>NW</v>
      </c>
      <c r="AH198" s="92" t="str">
        <f t="shared" si="72"/>
        <v>"%USERPROFILE%\Documents\GitHub\eaglep3\Utilities\RefineRTDCRunTimes.py" --tripid 839-27 --locoid 4009 --swversion DE.1.0.8.0 --startMP 204:925 --initTime 2016-10-27T18:47:03 --startdatetime 2016-10-27T18:51:15 --delay 1 --endMP 300:58912 --enddatetime 2016-10-27T19:04:42 --enforcementcount 0 &gt;&gt;C:\Users\stu\Documents\GitHub\eaglep3-reporting\EC\2016-10-27-refined-times.txt</v>
      </c>
      <c r="AI198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{"issue":{"subject":"","project_id":79,"tracker_id":40,"status_id":1,"priority_id":2,"assigned_to_id":23,"start_date":"2016-10-27","description":"","custom_fields":[{"id":1,"name":"Subdivision","value":"NW"},{"id":4,"name":"Milepost","value":"5.8912"},{"id":17,"name":"Train ID","value":"839-27"},{"id":16,"name":"Locomotive ID","value":"4009"},{"id":130,"name":"Impact","value":""},{"id":150,"name":"Time of Event (Mountain Time)","value":"19:04:42"},{"id":151,"name":"Denver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585</v>
      </c>
      <c r="B199" s="7">
        <v>4041</v>
      </c>
      <c r="C199" s="22" t="s">
        <v>326</v>
      </c>
      <c r="D199" s="22" t="s">
        <v>766</v>
      </c>
      <c r="E199" s="13">
        <v>42670.818159722221</v>
      </c>
      <c r="F199" s="13">
        <v>42670.820243055554</v>
      </c>
      <c r="G199" s="7">
        <v>1</v>
      </c>
      <c r="H199" s="13" t="s">
        <v>767</v>
      </c>
      <c r="I199" s="13">
        <v>42670.830972222226</v>
      </c>
      <c r="J199" s="7">
        <v>0</v>
      </c>
      <c r="K199" s="112" t="str">
        <f t="shared" si="74"/>
        <v>4041/4042</v>
      </c>
      <c r="L199" s="22" t="str">
        <f>VLOOKUP(A199,'Trips&amp;Operators'!$C$1:$E$10000,3,FALSE)</f>
        <v>HILLS</v>
      </c>
      <c r="M199" s="6">
        <f t="shared" si="75"/>
        <v>1.0729166671808343E-2</v>
      </c>
      <c r="N199" s="7">
        <f t="shared" si="87"/>
        <v>15.450000007404014</v>
      </c>
      <c r="O199" s="7"/>
      <c r="P199" s="7"/>
      <c r="Q199" s="23"/>
      <c r="R199" s="23"/>
      <c r="S199" s="35">
        <f t="shared" si="76"/>
        <v>1</v>
      </c>
      <c r="T199" s="50" t="str">
        <f t="shared" si="77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18:38:09-0600',mode:absolute,to:'2016-10-27 20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9" s="52" t="str">
        <f t="shared" si="79"/>
        <v>N</v>
      </c>
      <c r="X199" s="177">
        <f t="shared" si="86"/>
        <v>1</v>
      </c>
      <c r="Y199" s="67">
        <f t="shared" si="80"/>
        <v>5.8667999999999996</v>
      </c>
      <c r="Z199" s="67">
        <f t="shared" si="81"/>
        <v>6.6400000000000001E-2</v>
      </c>
      <c r="AA199" s="67">
        <f t="shared" si="82"/>
        <v>5.8003999999999998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83"/>
        <v>0840-27</v>
      </c>
      <c r="AE199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199" s="88" t="str">
        <f t="shared" si="71"/>
        <v>"C:\Program Files (x86)\AstroGrep\AstroGrep.exe" /spath="%USERPROFILE%\AppData\Local\Temp\OnboardLogs" /stypes="app*4041*20161028*" /stext=" 01:.+((SYSTEM_STATE.+slice.+state.+changed )|(ment ac)|(system.+state.+changed )|(\[timeout)|(PRM\|1\|D)|(kpr)|(kdp)|(\|lc)|(penalty))" /e /r /s</v>
      </c>
      <c r="AG199" s="1" t="str">
        <f t="shared" si="84"/>
        <v>NW</v>
      </c>
      <c r="AH199" s="92" t="str">
        <f t="shared" si="72"/>
        <v>"%USERPROFILE%\Documents\GitHub\eaglep3\Utilities\RefineRTDCRunTimes.py" --tripid 840-27 --locoid 4041 --swversion DE.1.0.8.0 --startMP 300:58668 --initTime 2016-10-27T19:38:09 --startdatetime 2016-10-27T19:41:09 --delay 1 --endMP 204:664 --enddatetime 2016-10-27T19:56:36 --enforcementcount 0 &gt;&gt;C:\Users\stu\Documents\GitHub\eaglep3-reporting\EC\2016-10-27-refined-times.txt</v>
      </c>
      <c r="AI199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{"issue":{"subject":"","project_id":79,"tracker_id":40,"status_id":1,"priority_id":2,"assigned_to_id":23,"start_date":"2016-10-27","description":"","custom_fields":[{"id":1,"name":"Subdivision","value":"NW"},{"id":4,"name":"Milepost","value":"0.0664"},{"id":17,"name":"Train ID","value":"840-27"},{"id":16,"name":"Locomotive ID","value":"4041"},{"id":130,"name":"Impact","value":""},{"id":150,"name":"Time of Event (Mountain Time)","value":"19:56:36"},{"id":151,"name":"Denver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421</v>
      </c>
      <c r="B200" s="7">
        <v>4042</v>
      </c>
      <c r="C200" s="22" t="s">
        <v>326</v>
      </c>
      <c r="D200" s="22" t="s">
        <v>329</v>
      </c>
      <c r="E200" s="13">
        <v>42670.793252314812</v>
      </c>
      <c r="F200" s="13">
        <v>42670.806435185186</v>
      </c>
      <c r="G200" s="7">
        <v>1</v>
      </c>
      <c r="H200" s="13" t="s">
        <v>374</v>
      </c>
      <c r="I200" s="13">
        <v>42670.817025462966</v>
      </c>
      <c r="J200" s="7">
        <v>0</v>
      </c>
      <c r="K200" s="112" t="str">
        <f t="shared" si="74"/>
        <v>4041/4042</v>
      </c>
      <c r="L200" s="22" t="str">
        <f>VLOOKUP(A200,'Trips&amp;Operators'!$C$1:$E$10000,3,FALSE)</f>
        <v>HILLS</v>
      </c>
      <c r="M200" s="6">
        <f t="shared" si="75"/>
        <v>1.0590277779556345E-2</v>
      </c>
      <c r="N200" s="7">
        <f t="shared" si="87"/>
        <v>15.250000002561137</v>
      </c>
      <c r="O200" s="7"/>
      <c r="P200" s="7"/>
      <c r="Q200" s="23"/>
      <c r="R200" s="23"/>
      <c r="S200" s="35">
        <f t="shared" si="76"/>
        <v>1</v>
      </c>
      <c r="T200" s="50" t="str">
        <f t="shared" si="77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18:02:17-0600',mode:absolute,to:'2016-10-27 20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0" s="52" t="str">
        <f t="shared" si="79"/>
        <v>N</v>
      </c>
      <c r="X200" s="177">
        <f t="shared" si="86"/>
        <v>1</v>
      </c>
      <c r="Y200" s="67">
        <f t="shared" si="80"/>
        <v>9.8100000000000007E-2</v>
      </c>
      <c r="Z200" s="67">
        <f t="shared" si="81"/>
        <v>5.8987999999999996</v>
      </c>
      <c r="AA200" s="67">
        <f t="shared" si="82"/>
        <v>5.8007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83"/>
        <v>0841-27</v>
      </c>
      <c r="AE200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200" s="88" t="str">
        <f t="shared" si="71"/>
        <v>"C:\Program Files (x86)\AstroGrep\AstroGrep.exe" /spath="%USERPROFILE%\AppData\Local\Temp\OnboardLogs" /stypes="app*4042*20161028*" /stext=" 01:.+((SYSTEM_STATE.+slice.+state.+changed )|(ment ac)|(system.+state.+changed )|(\[timeout)|(PRM\|1\|D)|(kpr)|(kdp)|(\|lc)|(penalty))" /e /r /s</v>
      </c>
      <c r="AG200" s="1" t="str">
        <f t="shared" si="84"/>
        <v>NW</v>
      </c>
      <c r="AH200" s="92" t="str">
        <f t="shared" si="72"/>
        <v>"%USERPROFILE%\Documents\GitHub\eaglep3\Utilities\RefineRTDCRunTimes.py" --tripid 841-27 --locoid 4042 --swversion DE.1.0.8.0 --startMP 204:981 --initTime 2016-10-27T19:02:17 --startdatetime 2016-10-27T19:21:16 --delay 1 --endMP 300:58988 --enddatetime 2016-10-27T19:36:31 --enforcementcount 0 &gt;&gt;C:\Users\stu\Documents\GitHub\eaglep3-reporting\EC\2016-10-27-refined-times.txt</v>
      </c>
      <c r="AI200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{"issue":{"subject":"","project_id":79,"tracker_id":40,"status_id":1,"priority_id":2,"assigned_to_id":23,"start_date":"2016-10-27","description":"","custom_fields":[{"id":1,"name":"Subdivision","value":"NW"},{"id":4,"name":"Milepost","value":"5.8988"},{"id":17,"name":"Train ID","value":"841-27"},{"id":16,"name":"Locomotive ID","value":"4042"},{"id":130,"name":"Impact","value":""},{"id":150,"name":"Time of Event (Mountain Time)","value":"19:36:31"},{"id":151,"name":"Denver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424</v>
      </c>
      <c r="B201" s="7">
        <v>4041</v>
      </c>
      <c r="C201" s="22" t="s">
        <v>326</v>
      </c>
      <c r="D201" s="22" t="s">
        <v>376</v>
      </c>
      <c r="E201" s="13">
        <v>42670.859548611108</v>
      </c>
      <c r="F201" s="13">
        <v>42670.861539351848</v>
      </c>
      <c r="G201" s="7">
        <v>1</v>
      </c>
      <c r="H201" s="13" t="s">
        <v>768</v>
      </c>
      <c r="I201" s="13">
        <v>42670.874456018515</v>
      </c>
      <c r="J201" s="7">
        <v>0</v>
      </c>
      <c r="K201" s="112" t="str">
        <f t="shared" si="74"/>
        <v>4041/4042</v>
      </c>
      <c r="L201" s="22" t="str">
        <f>VLOOKUP(A201,'Trips&amp;Operators'!$C$1:$E$10000,3,FALSE)</f>
        <v>HILLS</v>
      </c>
      <c r="M201" s="6">
        <f t="shared" si="75"/>
        <v>1.2916666666569654E-2</v>
      </c>
      <c r="N201" s="7">
        <f t="shared" si="87"/>
        <v>18.599999999860302</v>
      </c>
      <c r="O201" s="7"/>
      <c r="P201" s="7"/>
      <c r="Q201" s="23"/>
      <c r="R201" s="23"/>
      <c r="S201" s="35">
        <f t="shared" si="76"/>
        <v>1</v>
      </c>
      <c r="T201" s="50" t="str">
        <f t="shared" si="77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19:37:45-0600',mode:absolute,to:'2016-10-27 21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1" s="52" t="str">
        <f t="shared" si="79"/>
        <v>N</v>
      </c>
      <c r="X201" s="177">
        <f t="shared" si="86"/>
        <v>1</v>
      </c>
      <c r="Y201" s="67">
        <f t="shared" si="80"/>
        <v>5.867</v>
      </c>
      <c r="Z201" s="67">
        <f t="shared" si="81"/>
        <v>7.6399999999999996E-2</v>
      </c>
      <c r="AA201" s="67">
        <f t="shared" si="82"/>
        <v>5.7906000000000004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83"/>
        <v>0842-27</v>
      </c>
      <c r="AE201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201" s="88" t="str">
        <f t="shared" si="71"/>
        <v>"C:\Program Files (x86)\AstroGrep\AstroGrep.exe" /spath="%USERPROFILE%\AppData\Local\Temp\OnboardLogs" /stypes="app*4041*20161028*" /stext=" 02:.+((SYSTEM_STATE.+slice.+state.+changed )|(ment ac)|(system.+state.+changed )|(\[timeout)|(PRM\|1\|D)|(kpr)|(kdp)|(\|lc)|(penalty))" /e /r /s</v>
      </c>
      <c r="AG201" s="1" t="str">
        <f t="shared" si="84"/>
        <v>NW</v>
      </c>
      <c r="AH201" s="92" t="str">
        <f t="shared" si="72"/>
        <v>"%USERPROFILE%\Documents\GitHub\eaglep3\Utilities\RefineRTDCRunTimes.py" --tripid 842-27 --locoid 4041 --swversion DE.1.0.8.0 --startMP 300:58670 --initTime 2016-10-27T20:37:45 --startdatetime 2016-10-27T20:40:37 --delay 1 --endMP 204:764 --enddatetime 2016-10-27T20:59:13 --enforcementcount 0 &gt;&gt;C:\Users\stu\Documents\GitHub\eaglep3-reporting\EC\2016-10-27-refined-times.txt</v>
      </c>
      <c r="AI201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{"issue":{"subject":"","project_id":79,"tracker_id":40,"status_id":1,"priority_id":2,"assigned_to_id":23,"start_date":"2016-10-27","description":"","custom_fields":[{"id":1,"name":"Subdivision","value":"NW"},{"id":4,"name":"Milepost","value":"0.0764"},{"id":17,"name":"Train ID","value":"842-27"},{"id":16,"name":"Locomotive ID","value":"4041"},{"id":130,"name":"Impact","value":""},{"id":150,"name":"Time of Event (Mountain Time)","value":"20:59:13"},{"id":151,"name":"Denver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423</v>
      </c>
      <c r="B202" s="7">
        <v>4042</v>
      </c>
      <c r="C202" s="22" t="s">
        <v>326</v>
      </c>
      <c r="D202" s="22" t="s">
        <v>769</v>
      </c>
      <c r="E202" s="13">
        <v>42670.832187499997</v>
      </c>
      <c r="F202" s="13">
        <v>42670.848078703704</v>
      </c>
      <c r="G202" s="7">
        <v>1</v>
      </c>
      <c r="H202" s="13" t="s">
        <v>372</v>
      </c>
      <c r="I202" s="13">
        <v>42670.858159722222</v>
      </c>
      <c r="J202" s="7">
        <v>0</v>
      </c>
      <c r="K202" s="112" t="str">
        <f t="shared" si="74"/>
        <v>4041/4042</v>
      </c>
      <c r="L202" s="22" t="str">
        <f>VLOOKUP(A202,'Trips&amp;Operators'!$C$1:$E$10000,3,FALSE)</f>
        <v>HILLS</v>
      </c>
      <c r="M202" s="6">
        <f t="shared" si="75"/>
        <v>1.0081018517666962E-2</v>
      </c>
      <c r="N202" s="7">
        <f t="shared" si="87"/>
        <v>14.516666665440425</v>
      </c>
      <c r="O202" s="7"/>
      <c r="P202" s="7"/>
      <c r="Q202" s="23"/>
      <c r="R202" s="23"/>
      <c r="S202" s="35">
        <f t="shared" si="76"/>
        <v>1</v>
      </c>
      <c r="T202" s="50" t="str">
        <f t="shared" si="77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18:58:21-0600',mode:absolute,to:'2016-10-27 21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79"/>
        <v>N</v>
      </c>
      <c r="X202" s="177">
        <f t="shared" ref="X202:X233" si="88">VALUE(LEFT(AD202,4))-VALUE(LEFT(AD201,4))</f>
        <v>1</v>
      </c>
      <c r="Y202" s="67">
        <f t="shared" si="80"/>
        <v>9.6500000000000002E-2</v>
      </c>
      <c r="Z202" s="67">
        <f t="shared" si="81"/>
        <v>5.8975999999999997</v>
      </c>
      <c r="AA202" s="67">
        <f t="shared" si="82"/>
        <v>5.8010999999999999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83"/>
        <v>0843-27</v>
      </c>
      <c r="AE202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202" s="88" t="str">
        <f t="shared" si="71"/>
        <v>"C:\Program Files (x86)\AstroGrep\AstroGrep.exe" /spath="%USERPROFILE%\AppData\Local\Temp\OnboardLogs" /stypes="app*4042*20161028*" /stext=" 02:.+((SYSTEM_STATE.+slice.+state.+changed )|(ment ac)|(system.+state.+changed )|(\[timeout)|(PRM\|1\|D)|(kpr)|(kdp)|(\|lc)|(penalty))" /e /r /s</v>
      </c>
      <c r="AG202" s="1" t="str">
        <f t="shared" si="84"/>
        <v>NW</v>
      </c>
      <c r="AH202" s="92" t="str">
        <f t="shared" si="72"/>
        <v>"%USERPROFILE%\Documents\GitHub\eaglep3\Utilities\RefineRTDCRunTimes.py" --tripid 843-27 --locoid 4042 --swversion DE.1.0.8.0 --startMP 204:965 --initTime 2016-10-27T19:58:21 --startdatetime 2016-10-27T20:21:14 --delay 1 --endMP 300:58976 --enddatetime 2016-10-27T20:35:45 --enforcementcount 0 &gt;&gt;C:\Users\stu\Documents\GitHub\eaglep3-reporting\EC\2016-10-27-refined-times.txt</v>
      </c>
      <c r="AI202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{"issue":{"subject":"","project_id":79,"tracker_id":40,"status_id":1,"priority_id":2,"assigned_to_id":23,"start_date":"2016-10-27","description":"","custom_fields":[{"id":1,"name":"Subdivision","value":"NW"},{"id":4,"name":"Milepost","value":"5.8976"},{"id":17,"name":"Train ID","value":"843-27"},{"id":16,"name":"Locomotive ID","value":"4042"},{"id":130,"name":"Impact","value":""},{"id":150,"name":"Time of Event (Mountain Time)","value":"20:35:45"},{"id":151,"name":"Denver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594</v>
      </c>
      <c r="B203" s="7">
        <v>4041</v>
      </c>
      <c r="C203" s="22" t="s">
        <v>326</v>
      </c>
      <c r="D203" s="22" t="s">
        <v>759</v>
      </c>
      <c r="E203" s="13">
        <v>42670.900277777779</v>
      </c>
      <c r="F203" s="13">
        <v>42670.901747685188</v>
      </c>
      <c r="G203" s="7">
        <v>1</v>
      </c>
      <c r="H203" s="13" t="s">
        <v>770</v>
      </c>
      <c r="I203" s="13">
        <v>42670.912928240738</v>
      </c>
      <c r="J203" s="7">
        <v>0</v>
      </c>
      <c r="K203" s="112" t="str">
        <f t="shared" si="74"/>
        <v>4041/4042</v>
      </c>
      <c r="L203" s="22" t="str">
        <f>VLOOKUP(A203,'Trips&amp;Operators'!$C$1:$E$10000,3,FALSE)</f>
        <v>YANAI</v>
      </c>
      <c r="M203" s="6">
        <f t="shared" si="75"/>
        <v>1.1180555549799465E-2</v>
      </c>
      <c r="N203" s="7">
        <f t="shared" si="87"/>
        <v>16.099999991711229</v>
      </c>
      <c r="O203" s="7"/>
      <c r="P203" s="7"/>
      <c r="Q203" s="23"/>
      <c r="R203" s="23"/>
      <c r="S203" s="35">
        <f t="shared" si="76"/>
        <v>1</v>
      </c>
      <c r="T203" s="50" t="str">
        <f t="shared" si="77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20:36:24-0600',mode:absolute,to:'2016-10-27 22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3" s="52" t="str">
        <f t="shared" si="79"/>
        <v>N</v>
      </c>
      <c r="X203" s="177">
        <f t="shared" si="88"/>
        <v>1</v>
      </c>
      <c r="Y203" s="67">
        <f t="shared" si="80"/>
        <v>5.8628</v>
      </c>
      <c r="Z203" s="67">
        <f t="shared" si="81"/>
        <v>7.5200000000000003E-2</v>
      </c>
      <c r="AA203" s="67">
        <f t="shared" si="82"/>
        <v>5.7876000000000003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83"/>
        <v>0844-27</v>
      </c>
      <c r="AE203" s="91" t="str">
        <f t="shared" si="70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203" s="88" t="str">
        <f t="shared" si="71"/>
        <v>"C:\Program Files (x86)\AstroGrep\AstroGrep.exe" /spath="%USERPROFILE%\AppData\Local\Temp\OnboardLogs" /stypes="app*4041*20161028*" /stext=" 03:.+((SYSTEM_STATE.+slice.+state.+changed )|(ment ac)|(system.+state.+changed )|(\[timeout)|(PRM\|1\|D)|(kpr)|(kdp)|(\|lc)|(penalty))" /e /r /s</v>
      </c>
      <c r="AG203" s="1" t="str">
        <f t="shared" si="84"/>
        <v>NW</v>
      </c>
      <c r="AH203" s="92" t="str">
        <f t="shared" si="72"/>
        <v>"%USERPROFILE%\Documents\GitHub\eaglep3\Utilities\RefineRTDCRunTimes.py" --tripid 844-27 --locoid 4041 --swversion DE.1.0.8.0 --startMP 300:58628 --initTime 2016-10-27T21:36:24 --startdatetime 2016-10-27T21:38:31 --delay 1 --endMP 204:752 --enddatetime 2016-10-27T21:54:37 --enforcementcount 0 &gt;&gt;C:\Users\stu\Documents\GitHub\eaglep3-reporting\EC\2016-10-27-refined-times.txt</v>
      </c>
      <c r="AI203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{"issue":{"subject":"","project_id":79,"tracker_id":40,"status_id":1,"priority_id":2,"assigned_to_id":23,"start_date":"2016-10-27","description":"","custom_fields":[{"id":1,"name":"Subdivision","value":"NW"},{"id":4,"name":"Milepost","value":"0.0752"},{"id":17,"name":"Train ID","value":"844-27"},{"id":16,"name":"Locomotive ID","value":"4041"},{"id":130,"name":"Impact","value":""},{"id":150,"name":"Time of Event (Mountain Time)","value":"21:54:37"},{"id":151,"name":"Denver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591</v>
      </c>
      <c r="B204" s="7">
        <v>4042</v>
      </c>
      <c r="C204" s="22" t="s">
        <v>326</v>
      </c>
      <c r="D204" s="22" t="s">
        <v>771</v>
      </c>
      <c r="E204" s="13">
        <v>42670.886354166665</v>
      </c>
      <c r="F204" s="13">
        <v>42670.889745370368</v>
      </c>
      <c r="G204" s="7">
        <v>1</v>
      </c>
      <c r="H204" s="13" t="s">
        <v>272</v>
      </c>
      <c r="I204" s="13">
        <v>42670.899097222224</v>
      </c>
      <c r="J204" s="7">
        <v>0</v>
      </c>
      <c r="K204" s="112" t="str">
        <f t="shared" si="74"/>
        <v>4041/4042</v>
      </c>
      <c r="L204" s="22" t="str">
        <f>VLOOKUP(A204,'Trips&amp;Operators'!$C$1:$E$10000,3,FALSE)</f>
        <v>YANAI</v>
      </c>
      <c r="M204" s="6">
        <f t="shared" si="75"/>
        <v>9.3518518551718444E-3</v>
      </c>
      <c r="N204" s="7">
        <f t="shared" si="87"/>
        <v>13.466666671447456</v>
      </c>
      <c r="O204" s="7"/>
      <c r="P204" s="7"/>
      <c r="Q204" s="23"/>
      <c r="R204" s="23"/>
      <c r="S204" s="35">
        <f t="shared" si="76"/>
        <v>1</v>
      </c>
      <c r="T204" s="50" t="str">
        <f t="shared" si="77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20:16:21-0600',mode:absolute,to:'2016-10-27 22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52" t="str">
        <f t="shared" si="79"/>
        <v>N</v>
      </c>
      <c r="X204" s="177">
        <f t="shared" si="88"/>
        <v>1</v>
      </c>
      <c r="Y204" s="67">
        <f t="shared" si="80"/>
        <v>0.1018</v>
      </c>
      <c r="Z204" s="67">
        <f t="shared" si="81"/>
        <v>5.8924000000000003</v>
      </c>
      <c r="AA204" s="67">
        <f t="shared" si="82"/>
        <v>5.7906000000000004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83"/>
        <v>0845-27</v>
      </c>
      <c r="AE204" s="91" t="str">
        <f t="shared" si="70"/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204" s="88" t="str">
        <f t="shared" si="71"/>
        <v>"C:\Program Files (x86)\AstroGrep\AstroGrep.exe" /spath="%USERPROFILE%\AppData\Local\Temp\OnboardLogs" /stypes="app*4042*20161028*" /stext=" 03:.+((SYSTEM_STATE.+slice.+state.+changed )|(ment ac)|(system.+state.+changed )|(\[timeout)|(PRM\|1\|D)|(kpr)|(kdp)|(\|lc)|(penalty))" /e /r /s</v>
      </c>
      <c r="AG204" s="1" t="str">
        <f t="shared" si="84"/>
        <v>NW</v>
      </c>
      <c r="AH204" s="92" t="str">
        <f t="shared" si="72"/>
        <v>"%USERPROFILE%\Documents\GitHub\eaglep3\Utilities\RefineRTDCRunTimes.py" --tripid 845-27 --locoid 4042 --swversion DE.1.0.8.0 --startMP 204:1018 --initTime 2016-10-27T21:16:21 --startdatetime 2016-10-27T21:21:14 --delay 1 --endMP 300:58924 --enddatetime 2016-10-27T21:34:42 --enforcementcount 0 &gt;&gt;C:\Users\stu\Documents\GitHub\eaglep3-reporting\EC\2016-10-27-refined-times.txt</v>
      </c>
      <c r="AI204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{"issue":{"subject":"","project_id":79,"tracker_id":40,"status_id":1,"priority_id":2,"assigned_to_id":23,"start_date":"2016-10-27","description":"","custom_fields":[{"id":1,"name":"Subdivision","value":"NW"},{"id":4,"name":"Milepost","value":"5.8924"},{"id":17,"name":"Train ID","value":"845-27"},{"id":16,"name":"Locomotive ID","value":"4042"},{"id":130,"name":"Impact","value":""},{"id":150,"name":"Time of Event (Mountain Time)","value":"21:34:42"},{"id":151,"name":"Denver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597</v>
      </c>
      <c r="B205" s="7">
        <v>4042</v>
      </c>
      <c r="C205" s="22" t="s">
        <v>326</v>
      </c>
      <c r="D205" s="22" t="s">
        <v>772</v>
      </c>
      <c r="E205" s="13">
        <v>42670.914120370369</v>
      </c>
      <c r="F205" s="13">
        <v>42670.93141203704</v>
      </c>
      <c r="G205" s="7">
        <v>1</v>
      </c>
      <c r="H205" s="13" t="s">
        <v>773</v>
      </c>
      <c r="I205" s="13">
        <v>42670.940393518518</v>
      </c>
      <c r="J205" s="7">
        <v>0</v>
      </c>
      <c r="K205" s="112" t="str">
        <f t="shared" si="74"/>
        <v>4041/4042</v>
      </c>
      <c r="L205" s="22" t="str">
        <f>VLOOKUP(A205,'Trips&amp;Operators'!$C$1:$E$10000,3,FALSE)</f>
        <v>YANAI</v>
      </c>
      <c r="M205" s="6">
        <f t="shared" si="75"/>
        <v>8.9814814782585017E-3</v>
      </c>
      <c r="N205" s="7">
        <f t="shared" si="87"/>
        <v>12.933333328692243</v>
      </c>
      <c r="O205" s="7"/>
      <c r="P205" s="7"/>
      <c r="Q205" s="23"/>
      <c r="R205" s="23"/>
      <c r="S205" s="35">
        <f t="shared" si="76"/>
        <v>1</v>
      </c>
      <c r="T205" s="50" t="str">
        <f t="shared" si="7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20:56:20-0600',mode:absolute,to:'2016-10-27 23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si="79"/>
        <v>N</v>
      </c>
      <c r="X205" s="177">
        <f t="shared" si="88"/>
        <v>2</v>
      </c>
      <c r="Y205" s="67">
        <f t="shared" si="80"/>
        <v>0.1055</v>
      </c>
      <c r="Z205" s="67">
        <f t="shared" si="81"/>
        <v>5.8925999999999998</v>
      </c>
      <c r="AA205" s="67">
        <f t="shared" si="82"/>
        <v>5.7870999999999997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83"/>
        <v>0847-27</v>
      </c>
      <c r="AE205" s="91" t="str">
        <f t="shared" ref="AE205:AE243" si="8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AF205" s="88" t="str">
        <f t="shared" ref="AF205:AF243" si="9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/stypes="app*4042*20161028*" /stext=" 04:.+((SYSTEM_STATE.+slice.+state.+changed )|(ment ac)|(system.+state.+changed )|(\[timeout)|(PRM\|1\|D)|(kpr)|(kdp)|(\|lc)|(penalty))" /e /r /s</v>
      </c>
      <c r="AG205" s="1" t="str">
        <f t="shared" si="84"/>
        <v>NW</v>
      </c>
      <c r="AH205" s="92" t="str">
        <f t="shared" si="72"/>
        <v>"%USERPROFILE%\Documents\GitHub\eaglep3\Utilities\RefineRTDCRunTimes.py" --tripid 847-27 --locoid 4042 --swversion DE.1.0.8.0 --startMP 204:1055 --initTime 2016-10-27T21:56:20 --startdatetime 2016-10-27T22:21:14 --delay 1 --endMP 300:58926 --enddatetime 2016-10-27T22:34:10 --enforcementcount 0 &gt;&gt;C:\Users\stu\Documents\GitHub\eaglep3-reporting\EC\2016-10-27-refined-times.txt</v>
      </c>
      <c r="AI205" s="122" t="str">
        <f t="shared" si="73"/>
        <v>echo {"issue":{"subject":"","project_id":79,"tracker_id":40,"status_id":1,"priority_id":2,"assigned_to_id":23,"start_date":"2016-10-27","description":"","custom_fields":[{"id":1,"name":"Subdivision","value":"NW"},{"id":4,"name":"Milepost","value":"5.8926"},{"id":17,"name":"Train ID","value":"847-27"},{"id":16,"name":"Locomotive ID","value":"4042"},{"id":130,"name":"Impact","value":""},{"id":150,"name":"Time of Event (Mountain Time)","value":"22:34:10"},{"id":151,"name":"Denver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7" t="s">
        <v>430</v>
      </c>
      <c r="B206" s="7">
        <v>4008</v>
      </c>
      <c r="C206" s="22" t="s">
        <v>326</v>
      </c>
      <c r="D206" s="22" t="s">
        <v>682</v>
      </c>
      <c r="E206" s="13">
        <v>42670.11990740741</v>
      </c>
      <c r="F206" s="13">
        <v>42670.121180555558</v>
      </c>
      <c r="G206" s="7">
        <v>1</v>
      </c>
      <c r="H206" s="13" t="s">
        <v>181</v>
      </c>
      <c r="I206" s="13">
        <v>42670.127199074072</v>
      </c>
      <c r="J206" s="7">
        <v>0</v>
      </c>
      <c r="K206" s="112" t="str">
        <f t="shared" si="74"/>
        <v>4007/4008</v>
      </c>
      <c r="L206" s="22" t="str">
        <f>VLOOKUP(A206,'Trips&amp;Operators'!$C$1:$E$10000,3,FALSE)</f>
        <v>MAELZER</v>
      </c>
      <c r="M206" s="6">
        <f t="shared" si="75"/>
        <v>6.018518513883464E-3</v>
      </c>
      <c r="N206" s="7">
        <f t="shared" si="87"/>
        <v>8.6666666599921882</v>
      </c>
      <c r="O206" s="7"/>
      <c r="P206" s="7"/>
      <c r="Q206" s="23"/>
      <c r="R206" s="23"/>
      <c r="S206" s="35">
        <f t="shared" si="76"/>
        <v>1</v>
      </c>
      <c r="T206" s="50" t="str">
        <f t="shared" si="77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01:52:40-0600',mode:absolute,to:'2016-10-27 04:03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6" s="52" t="str">
        <f t="shared" si="79"/>
        <v>Y</v>
      </c>
      <c r="X206" s="177">
        <f t="shared" si="88"/>
        <v>-545</v>
      </c>
      <c r="Y206" s="67">
        <f t="shared" si="80"/>
        <v>2.3290000000000002</v>
      </c>
      <c r="Z206" s="67">
        <f t="shared" si="81"/>
        <v>1.41E-2</v>
      </c>
      <c r="AA206" s="67">
        <f t="shared" si="82"/>
        <v>2.3149000000000002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83"/>
        <v>0302-27</v>
      </c>
      <c r="AE206" s="91" t="str">
        <f t="shared" si="89"/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AF206" s="88" t="str">
        <f t="shared" si="90"/>
        <v>"C:\Program Files (x86)\AstroGrep\AstroGrep.exe" /spath="%USERPROFILE%\AppData\Local\Temp\OnboardLogs" /stypes="app*4008*20161027*" /stext=" 09:.+((SYSTEM_STATE.+slice.+state.+changed )|(ment ac)|(system.+state.+changed )|(\[timeout)|(PRM\|1\|D)|(kpr)|(kdp)|(\|lc)|(penalty))" /e /r /s</v>
      </c>
      <c r="AG206" s="1" t="str">
        <f t="shared" si="84"/>
        <v>Other</v>
      </c>
      <c r="AH206" s="92" t="str">
        <f t="shared" si="72"/>
        <v>"%USERPROFILE%\Documents\GitHub\eaglep3\Utilities\RefineRTDCRunTimes.py" --tripid 302-27 --locoid 4008 --swversion DE.1.0.8.0 --startMP 300:23290 --initTime 2016-10-27T02:52:40 --startdatetime 2016-10-27T02:54:30 --delay 1 --endMP 204:141 --enddatetime 2016-10-27T03:03:10 --enforcementcount 0 &gt;&gt;C:\Users\stu\Documents\GitHub\eaglep3-reporting\EC\2016-10-27-refined-times.txt</v>
      </c>
      <c r="AI206" s="122" t="str">
        <f t="shared" si="73"/>
        <v>echo {"issue":{"subject":"","project_id":79,"tracker_id":40,"status_id":1,"priority_id":2,"assigned_to_id":23,"start_date":"2016-10-27","description":"","custom_fields":[{"id":1,"name":"Subdivision","value":"Other"},{"id":4,"name":"Milepost","value":"0.0141"},{"id":17,"name":"Train ID","value":"302-27"},{"id":16,"name":"Locomotive ID","value":"4008"},{"id":130,"name":"Impact","value":""},{"id":150,"name":"Time of Event (Mountain Time)","value":"03:03:10"},{"id":151,"name":"Denver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s="21" customFormat="1" x14ac:dyDescent="0.25">
      <c r="A207" s="37" t="s">
        <v>576</v>
      </c>
      <c r="B207" s="7">
        <v>4038</v>
      </c>
      <c r="C207" s="22" t="s">
        <v>326</v>
      </c>
      <c r="D207" s="22" t="s">
        <v>351</v>
      </c>
      <c r="E207" s="13">
        <v>42670.776655092595</v>
      </c>
      <c r="F207" s="13">
        <v>25568.708333333332</v>
      </c>
      <c r="G207" s="7">
        <v>1</v>
      </c>
      <c r="H207" s="13" t="s">
        <v>325</v>
      </c>
      <c r="I207" s="13">
        <v>25568.708333333332</v>
      </c>
      <c r="J207" s="7">
        <v>0</v>
      </c>
      <c r="K207" s="112" t="str">
        <f t="shared" si="74"/>
        <v>4037/4038</v>
      </c>
      <c r="L207" s="22" t="str">
        <f>VLOOKUP(A207,'Trips&amp;Operators'!$C$1:$E$10000,3,FALSE)</f>
        <v>LOPES</v>
      </c>
      <c r="M207" s="6">
        <f t="shared" si="75"/>
        <v>0</v>
      </c>
      <c r="N207" s="7">
        <f t="shared" si="87"/>
        <v>0</v>
      </c>
      <c r="O207" s="7"/>
      <c r="P207" s="7"/>
      <c r="Q207" s="23"/>
      <c r="R207" s="23"/>
      <c r="S207" s="35">
        <f t="shared" si="76"/>
        <v>1</v>
      </c>
      <c r="T207" s="50" t="str">
        <f t="shared" si="7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17:38:23-0600',mode:absolute,to:'1969-12-31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7" s="52" t="str">
        <f t="shared" si="79"/>
        <v>Y</v>
      </c>
      <c r="X207" s="177">
        <f t="shared" si="88"/>
        <v>1</v>
      </c>
      <c r="Y207" s="67">
        <f t="shared" si="80"/>
        <v>4.58E-2</v>
      </c>
      <c r="Z207" s="67">
        <f t="shared" si="81"/>
        <v>2.3304</v>
      </c>
      <c r="AA207" s="67">
        <f t="shared" si="82"/>
        <v>2.2846000000000002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3"/>
        <v>0303-27</v>
      </c>
      <c r="AE207" s="91" t="str">
        <f t="shared" si="89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7" s="88" t="str">
        <f t="shared" si="90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07" s="1" t="str">
        <f t="shared" si="84"/>
        <v>Other</v>
      </c>
      <c r="AH207" s="92" t="str">
        <f t="shared" si="72"/>
        <v>"%USERPROFILE%\Documents\GitHub\eaglep3\Utilities\RefineRTDCRunTimes.py" --tripid 303-27 --locoid 4038 --swversion DE.1.0.8.0 --startMP 204:458 --initTime 2016-10-27T18:38:23 --startdatetime 1969-12-31T17:00:00 --delay 1 --endMP 300:23304 --enddatetime 1969-12-31T17:00:00 --enforcementcount 0 &gt;&gt;C:\Users\stu\Documents\GitHub\eaglep3-reporting\EC\2016-10-27-refined-times.txt</v>
      </c>
      <c r="AI207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ID","value":"303-27"},{"id":16,"name":"Locomotive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432</v>
      </c>
      <c r="B208" s="7">
        <v>4013</v>
      </c>
      <c r="C208" s="22" t="s">
        <v>326</v>
      </c>
      <c r="D208" s="22" t="s">
        <v>683</v>
      </c>
      <c r="E208" s="13">
        <v>42670.143946759257</v>
      </c>
      <c r="F208" s="13">
        <v>42670.145590277774</v>
      </c>
      <c r="G208" s="7">
        <v>1</v>
      </c>
      <c r="H208" s="13" t="s">
        <v>216</v>
      </c>
      <c r="I208" s="13">
        <v>42670.151712962965</v>
      </c>
      <c r="J208" s="7">
        <v>0</v>
      </c>
      <c r="K208" s="112" t="str">
        <f t="shared" si="74"/>
        <v>4013/4014</v>
      </c>
      <c r="L208" s="22" t="str">
        <f>VLOOKUP(A208,'Trips&amp;Operators'!$C$1:$E$10000,3,FALSE)</f>
        <v>SPECTOR</v>
      </c>
      <c r="M208" s="6">
        <f t="shared" si="75"/>
        <v>6.1226851903484203E-3</v>
      </c>
      <c r="N208" s="7">
        <f t="shared" si="87"/>
        <v>8.8166666741017252</v>
      </c>
      <c r="O208" s="7"/>
      <c r="P208" s="7"/>
      <c r="Q208" s="23"/>
      <c r="R208" s="23"/>
      <c r="S208" s="35">
        <f t="shared" si="76"/>
        <v>1</v>
      </c>
      <c r="T208" s="50" t="str">
        <f t="shared" si="77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02:27:17-0600',mode:absolute,to:'2016-10-27 04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8" s="52" t="str">
        <f t="shared" si="79"/>
        <v>Y</v>
      </c>
      <c r="X208" s="177">
        <f t="shared" si="88"/>
        <v>1</v>
      </c>
      <c r="Y208" s="67">
        <f t="shared" si="80"/>
        <v>2.3285</v>
      </c>
      <c r="Z208" s="67">
        <f t="shared" si="81"/>
        <v>1.49E-2</v>
      </c>
      <c r="AA208" s="67">
        <f t="shared" si="82"/>
        <v>2.3136000000000001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3"/>
        <v>0304-27</v>
      </c>
      <c r="AE208" s="91" t="str">
        <f t="shared" si="89"/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AF208" s="88" t="str">
        <f t="shared" si="90"/>
        <v>"C:\Program Files (x86)\AstroGrep\AstroGrep.exe" /spath="%USERPROFILE%\AppData\Local\Temp\OnboardLogs" /stypes="app*4013*20161027*" /stext=" 09:.+((SYSTEM_STATE.+slice.+state.+changed )|(ment ac)|(system.+state.+changed )|(\[timeout)|(PRM\|1\|D)|(kpr)|(kdp)|(\|lc)|(penalty))" /e /r /s</v>
      </c>
      <c r="AG208" s="1" t="str">
        <f t="shared" si="84"/>
        <v>Other</v>
      </c>
      <c r="AH208" s="92" t="str">
        <f t="shared" ref="AH208:AH243" si="91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304-27 --locoid 4013 --swversion DE.1.0.8.0 --startMP 300:23285 --initTime 2016-10-27T03:27:17 --startdatetime 2016-10-27T03:29:39 --delay 1 --endMP 204:149 --enddatetime 2016-10-27T03:38:28 --enforcementcount 0 &gt;&gt;C:\Users\stu\Documents\GitHub\eaglep3-reporting\EC\2016-10-27-refined-times.txt</v>
      </c>
      <c r="AI208" s="122" t="str">
        <f t="shared" ref="AI208:AI243" si="92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{"issue":{"subject":"","project_id":79,"tracker_id":40,"status_id":1,"priority_id":2,"assigned_to_id":23,"start_date":"2016-10-27","description":"","custom_fields":[{"id":1,"name":"Subdivision","value":"Other"},{"id":4,"name":"Milepost","value":"0.0149"},{"id":17,"name":"Train ID","value":"304-27"},{"id":16,"name":"Locomotive ID","value":"4013"},{"id":130,"name":"Impact","value":""},{"id":150,"name":"Time of Event (Mountain Time)","value":"03:38:28"},{"id":151,"name":"Denver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583</v>
      </c>
      <c r="B209" s="7">
        <v>4022</v>
      </c>
      <c r="C209" s="22" t="s">
        <v>326</v>
      </c>
      <c r="D209" s="22" t="s">
        <v>255</v>
      </c>
      <c r="E209" s="13">
        <v>42670.799502314818</v>
      </c>
      <c r="F209" s="13">
        <v>42670.808171296296</v>
      </c>
      <c r="G209" s="7">
        <v>1</v>
      </c>
      <c r="H209" s="13" t="s">
        <v>684</v>
      </c>
      <c r="I209" s="13">
        <v>42670.814652777779</v>
      </c>
      <c r="J209" s="7">
        <v>0</v>
      </c>
      <c r="K209" s="112" t="str">
        <f t="shared" si="74"/>
        <v>4021/4022</v>
      </c>
      <c r="L209" s="22" t="str">
        <f>VLOOKUP(A209,'Trips&amp;Operators'!$C$1:$E$10000,3,FALSE)</f>
        <v>YOUNG</v>
      </c>
      <c r="M209" s="6">
        <f t="shared" si="75"/>
        <v>6.4814814832061529E-3</v>
      </c>
      <c r="N209" s="7">
        <f t="shared" si="87"/>
        <v>9.3333333358168602</v>
      </c>
      <c r="O209" s="7"/>
      <c r="P209" s="7"/>
      <c r="Q209" s="23"/>
      <c r="R209" s="23"/>
      <c r="S209" s="35">
        <f t="shared" si="76"/>
        <v>1</v>
      </c>
      <c r="T209" s="50" t="str">
        <f t="shared" si="7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18:11:17-0600',mode:absolute,to:'2016-10-27 20:33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9" s="52" t="str">
        <f t="shared" si="79"/>
        <v>Y</v>
      </c>
      <c r="X209" s="177">
        <f t="shared" si="88"/>
        <v>1</v>
      </c>
      <c r="Y209" s="67">
        <f t="shared" si="80"/>
        <v>4.4900000000000002E-2</v>
      </c>
      <c r="Z209" s="67">
        <f t="shared" si="81"/>
        <v>2.3311999999999999</v>
      </c>
      <c r="AA209" s="67">
        <f t="shared" si="82"/>
        <v>2.2862999999999998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3"/>
        <v>0305-27</v>
      </c>
      <c r="AE209" s="91" t="str">
        <f t="shared" si="89"/>
        <v>aws s3 cp s3://rtdc.mdm.uploadarchive.raw/RTDC4022/ "%USERPROFILE%\AppData\Local\Temp\OnboardLogs"\RTDC4022\2016-10-27 --exclude "*" --recursive --include "*20161027*" &amp; "%USERPROFILE%\Documents\GitHub\mrs-test-scripts\Headless Mode &amp; Sideloading\WalkAndUnGZ.bat" "%USERPROFILE%\AppData\Local\Temp\OnboardLogs"\RTDC4022\2016-10-27 &amp; aws s3 cp s3://rtdc.mdm.uploadarchive.raw/RTDC4022/ "%USERPROFILE%\AppData\Local\Temp\OnboardLogs"\RTDC4022\2016-10-28 --exclude "*" --recursive --include "*20161028*" &amp; "%USERPROFILE%\Documents\GitHub\mrs-test-scripts\Headless Mode &amp; Sideloading\WalkAndUnGZ.bat" "%USERPROFILE%\AppData\Local\Temp\OnboardLogs"\RTDC4022\2016-10-28</v>
      </c>
      <c r="AF209" s="88" t="str">
        <f t="shared" si="90"/>
        <v>"C:\Program Files (x86)\AstroGrep\AstroGrep.exe" /spath="%USERPROFILE%\AppData\Local\Temp\OnboardLogs" /stypes="app*4022*20161028*" /stext=" 01:.+((SYSTEM_STATE.+slice.+state.+changed )|(ment ac)|(system.+state.+changed )|(\[timeout)|(PRM\|1\|D)|(kpr)|(kdp)|(\|lc)|(penalty))" /e /r /s</v>
      </c>
      <c r="AG209" s="1" t="str">
        <f t="shared" si="84"/>
        <v>Other</v>
      </c>
      <c r="AH209" s="92" t="str">
        <f t="shared" si="91"/>
        <v>"%USERPROFILE%\Documents\GitHub\eaglep3\Utilities\RefineRTDCRunTimes.py" --tripid 305-27 --locoid 4022 --swversion DE.1.0.8.0 --startMP 204:449 --initTime 2016-10-27T19:11:17 --startdatetime 2016-10-27T19:23:46 --delay 1 --endMP 300:23312 --enddatetime 2016-10-27T19:33:06 --enforcementcount 0 &gt;&gt;C:\Users\stu\Documents\GitHub\eaglep3-reporting\EC\2016-10-27-refined-times.txt</v>
      </c>
      <c r="AI209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{"issue":{"subject":"","project_id":79,"tracker_id":40,"status_id":1,"priority_id":2,"assigned_to_id":23,"start_date":"2016-10-27","description":"","custom_fields":[{"id":1,"name":"Subdivision","value":"Other"},{"id":4,"name":"Milepost","value":"2.3312"},{"id":17,"name":"Train ID","value":"305-27"},{"id":16,"name":"Locomotive ID","value":"4022"},{"id":130,"name":"Impact","value":""},{"id":150,"name":"Time of Event (Mountain Time)","value":"19:33:06"},{"id":151,"name":"Denver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384</v>
      </c>
      <c r="B210" s="7">
        <v>4005</v>
      </c>
      <c r="C210" s="22" t="s">
        <v>326</v>
      </c>
      <c r="D210" s="22" t="s">
        <v>685</v>
      </c>
      <c r="E210" s="13">
        <v>42670.164918981478</v>
      </c>
      <c r="F210" s="13">
        <v>42670.166145833333</v>
      </c>
      <c r="G210" s="7">
        <v>1</v>
      </c>
      <c r="H210" s="13" t="s">
        <v>283</v>
      </c>
      <c r="I210" s="13">
        <v>42670.172395833331</v>
      </c>
      <c r="J210" s="7">
        <v>0</v>
      </c>
      <c r="K210" s="112" t="str">
        <f t="shared" si="74"/>
        <v>4005/4006</v>
      </c>
      <c r="L210" s="22" t="str">
        <f>VLOOKUP(A210,'Trips&amp;Operators'!$C$1:$E$10000,3,FALSE)</f>
        <v>MALAVE</v>
      </c>
      <c r="M210" s="6">
        <f t="shared" si="75"/>
        <v>6.2499999985448085E-3</v>
      </c>
      <c r="N210" s="7">
        <f t="shared" si="87"/>
        <v>8.9999999979045242</v>
      </c>
      <c r="O210" s="7"/>
      <c r="P210" s="7"/>
      <c r="Q210" s="23"/>
      <c r="R210" s="23"/>
      <c r="S210" s="35">
        <f t="shared" si="76"/>
        <v>1</v>
      </c>
      <c r="T210" s="50" t="str">
        <f t="shared" si="77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02:57:29-0600',mode:absolute,to:'2016-10-27 05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10" s="52" t="str">
        <f t="shared" si="79"/>
        <v>Y</v>
      </c>
      <c r="X210" s="177">
        <f t="shared" si="88"/>
        <v>1</v>
      </c>
      <c r="Y210" s="67">
        <f t="shared" si="80"/>
        <v>2.3506</v>
      </c>
      <c r="Z210" s="67">
        <f t="shared" si="81"/>
        <v>1.67E-2</v>
      </c>
      <c r="AA210" s="67">
        <f t="shared" si="82"/>
        <v>2.3338999999999999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3"/>
        <v>0306-27</v>
      </c>
      <c r="AE210" s="91" t="str">
        <f t="shared" si="89"/>
        <v>aws s3 cp s3://rtdc.mdm.uploadarchive.raw/RTDC4005/ "%USERPROFILE%\AppData\Local\Temp\OnboardLogs"\RTDC4005\2016-10-27 --exclude "*" --recursive --include "*20161027*" &amp; "%USERPROFILE%\Documents\GitHub\mrs-test-scripts\Headless Mode &amp; Sideloading\WalkAndUnGZ.bat" "%USERPROFILE%\AppData\Local\Temp\OnboardLogs"\RTDC4005\2016-10-27 &amp; 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</v>
      </c>
      <c r="AF210" s="88" t="str">
        <f t="shared" si="90"/>
        <v>"C:\Program Files (x86)\AstroGrep\AstroGrep.exe" /spath="%USERPROFILE%\AppData\Local\Temp\OnboardLogs" /stypes="app*4005*20161027*" /stext=" 10:.+((SYSTEM_STATE.+slice.+state.+changed )|(ment ac)|(system.+state.+changed )|(\[timeout)|(PRM\|1\|D)|(kpr)|(kdp)|(\|lc)|(penalty))" /e /r /s</v>
      </c>
      <c r="AG210" s="1" t="str">
        <f t="shared" si="84"/>
        <v>Other</v>
      </c>
      <c r="AH210" s="92" t="str">
        <f t="shared" si="91"/>
        <v>"%USERPROFILE%\Documents\GitHub\eaglep3\Utilities\RefineRTDCRunTimes.py" --tripid 306-27 --locoid 4005 --swversion DE.1.0.8.0 --startMP 300:23506 --initTime 2016-10-27T03:57:29 --startdatetime 2016-10-27T03:59:15 --delay 1 --endMP 204:167 --enddatetime 2016-10-27T04:08:15 --enforcementcount 0 &gt;&gt;C:\Users\stu\Documents\GitHub\eaglep3-reporting\EC\2016-10-27-refined-times.txt</v>
      </c>
      <c r="AI210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{"issue":{"subject":"","project_id":79,"tracker_id":40,"status_id":1,"priority_id":2,"assigned_to_id":23,"start_date":"2016-10-27","description":"","custom_fields":[{"id":1,"name":"Subdivision","value":"Other"},{"id":4,"name":"Milepost","value":"0.0167"},{"id":17,"name":"Train ID","value":"306-27"},{"id":16,"name":"Locomotive ID","value":"4005"},{"id":130,"name":"Impact","value":""},{"id":150,"name":"Time of Event (Mountain Time)","value":"04:08:15"},{"id":151,"name":"Denver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586</v>
      </c>
      <c r="B211" s="7">
        <v>4007</v>
      </c>
      <c r="C211" s="22" t="s">
        <v>326</v>
      </c>
      <c r="D211" s="22" t="s">
        <v>229</v>
      </c>
      <c r="E211" s="13">
        <v>42670.818784722222</v>
      </c>
      <c r="F211" s="13">
        <v>25568.708333333332</v>
      </c>
      <c r="G211" s="7">
        <v>3</v>
      </c>
      <c r="H211" s="13" t="s">
        <v>358</v>
      </c>
      <c r="I211" s="13">
        <v>25568.708333333332</v>
      </c>
      <c r="J211" s="7">
        <v>0</v>
      </c>
      <c r="K211" s="112" t="str">
        <f t="shared" si="74"/>
        <v>4007/4008</v>
      </c>
      <c r="L211" s="22" t="str">
        <f>VLOOKUP(A211,'Trips&amp;Operators'!$C$1:$E$10000,3,FALSE)</f>
        <v>ROMERO</v>
      </c>
      <c r="M211" s="6">
        <f t="shared" si="75"/>
        <v>0</v>
      </c>
      <c r="N211" s="7">
        <f t="shared" si="87"/>
        <v>0</v>
      </c>
      <c r="O211" s="7"/>
      <c r="P211" s="7"/>
      <c r="Q211" s="23"/>
      <c r="R211" s="23"/>
      <c r="S211" s="35">
        <f t="shared" si="76"/>
        <v>1</v>
      </c>
      <c r="T211" s="50" t="str">
        <f t="shared" si="77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18:39:03-0600',mode:absolute,to:'1969-12-31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1" s="52" t="str">
        <f t="shared" si="79"/>
        <v>Y</v>
      </c>
      <c r="X211" s="177">
        <f t="shared" si="88"/>
        <v>1</v>
      </c>
      <c r="Y211" s="67">
        <f t="shared" si="80"/>
        <v>4.6899999999999997E-2</v>
      </c>
      <c r="Z211" s="67">
        <f t="shared" si="81"/>
        <v>2.3302</v>
      </c>
      <c r="AA211" s="67">
        <f t="shared" si="82"/>
        <v>2.2833000000000001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3"/>
        <v>0307-27</v>
      </c>
      <c r="AE211" s="91" t="str">
        <f t="shared" si="8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1" s="88" t="str">
        <f t="shared" si="90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1" s="1" t="str">
        <f t="shared" si="84"/>
        <v>Other</v>
      </c>
      <c r="AH211" s="92" t="str">
        <f t="shared" si="91"/>
        <v>"%USERPROFILE%\Documents\GitHub\eaglep3\Utilities\RefineRTDCRunTimes.py" --tripid 307-27 --locoid 4007 --swversion DE.1.0.8.0 --startMP 204:469 --initTime 2016-10-27T19:39:03 --startdatetime 1969-12-31T17:00:00 --delay 3 --endMP 300:23302 --enddatetime 1969-12-31T17:00:00 --enforcementcount 0 &gt;&gt;C:\Users\stu\Documents\GitHub\eaglep3-reporting\EC\2016-10-27-refined-times.txt</v>
      </c>
      <c r="AI211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ID","value":"307-27"},{"id":16,"name":"Locomotive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435</v>
      </c>
      <c r="B212" s="7">
        <v>4037</v>
      </c>
      <c r="C212" s="22" t="s">
        <v>326</v>
      </c>
      <c r="D212" s="22" t="s">
        <v>686</v>
      </c>
      <c r="E212" s="13">
        <v>42670.167372685188</v>
      </c>
      <c r="F212" s="13">
        <v>42670.172766203701</v>
      </c>
      <c r="G212" s="7">
        <v>7</v>
      </c>
      <c r="H212" s="13" t="s">
        <v>271</v>
      </c>
      <c r="I212" s="13">
        <v>42670.178391203706</v>
      </c>
      <c r="J212" s="7">
        <v>0</v>
      </c>
      <c r="K212" s="112" t="str">
        <f t="shared" si="74"/>
        <v>4037/4038</v>
      </c>
      <c r="L212" s="22" t="str">
        <f>VLOOKUP(A212,'Trips&amp;Operators'!$C$1:$E$10000,3,FALSE)</f>
        <v>STRICKLAND</v>
      </c>
      <c r="M212" s="6">
        <f t="shared" si="75"/>
        <v>5.6250000052386895E-3</v>
      </c>
      <c r="N212" s="7">
        <f t="shared" si="87"/>
        <v>8.1000000075437129</v>
      </c>
      <c r="O212" s="7"/>
      <c r="P212" s="7"/>
      <c r="Q212" s="23"/>
      <c r="R212" s="23"/>
      <c r="S212" s="35">
        <f t="shared" si="76"/>
        <v>1</v>
      </c>
      <c r="T212" s="50" t="str">
        <f t="shared" si="77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03:01:01-0600',mode:absolute,to:'2016-10-27 05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2" s="52" t="str">
        <f t="shared" si="79"/>
        <v>Y</v>
      </c>
      <c r="X212" s="177">
        <f t="shared" si="88"/>
        <v>1</v>
      </c>
      <c r="Y212" s="67">
        <f t="shared" si="80"/>
        <v>2.0365000000000002</v>
      </c>
      <c r="Z212" s="67">
        <f t="shared" si="81"/>
        <v>1.6299999999999999E-2</v>
      </c>
      <c r="AA212" s="67">
        <f t="shared" si="82"/>
        <v>2.0202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3"/>
        <v>0308-27</v>
      </c>
      <c r="AE212" s="91" t="str">
        <f t="shared" si="89"/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AF212" s="88" t="str">
        <f t="shared" si="90"/>
        <v>"C:\Program Files (x86)\AstroGrep\AstroGrep.exe" /spath="%USERPROFILE%\AppData\Local\Temp\OnboardLogs" /stypes="app*4037*20161027*" /stext=" 10:.+((SYSTEM_STATE.+slice.+state.+changed )|(ment ac)|(system.+state.+changed )|(\[timeout)|(PRM\|1\|D)|(kpr)|(kdp)|(\|lc)|(penalty))" /e /r /s</v>
      </c>
      <c r="AG212" s="1" t="str">
        <f t="shared" si="84"/>
        <v>Other</v>
      </c>
      <c r="AH212" s="92" t="str">
        <f t="shared" si="91"/>
        <v>"%USERPROFILE%\Documents\GitHub\eaglep3\Utilities\RefineRTDCRunTimes.py" --tripid 308-27 --locoid 4037 --swversion DE.1.0.8.0 --startMP 300:20365 --initTime 2016-10-27T04:01:01 --startdatetime 2016-10-27T04:08:47 --delay 7 --endMP 204:163 --enddatetime 2016-10-27T04:16:53 --enforcementcount 0 &gt;&gt;C:\Users\stu\Documents\GitHub\eaglep3-reporting\EC\2016-10-27-refined-times.txt</v>
      </c>
      <c r="AI212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{"issue":{"subject":"","project_id":79,"tracker_id":40,"status_id":1,"priority_id":2,"assigned_to_id":23,"start_date":"2016-10-27","description":"","custom_fields":[{"id":1,"name":"Subdivision","value":"Other"},{"id":4,"name":"Milepost","value":"0.0163"},{"id":17,"name":"Train ID","value":"308-27"},{"id":16,"name":"Locomotive ID","value":"4037"},{"id":130,"name":"Impact","value":""},{"id":150,"name":"Time of Event (Mountain Time)","value":"04:16:53"},{"id":151,"name":"Denver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s="21" customFormat="1" x14ac:dyDescent="0.25">
      <c r="A213" s="37" t="s">
        <v>609</v>
      </c>
      <c r="B213" s="7">
        <v>4018</v>
      </c>
      <c r="C213" s="22" t="s">
        <v>326</v>
      </c>
      <c r="D213" s="22" t="s">
        <v>223</v>
      </c>
      <c r="E213" s="13">
        <v>42671.026041666664</v>
      </c>
      <c r="F213" s="13">
        <v>25568.708333333332</v>
      </c>
      <c r="G213" s="7">
        <v>1</v>
      </c>
      <c r="H213" s="13" t="s">
        <v>687</v>
      </c>
      <c r="I213" s="13">
        <v>25568.708333333332</v>
      </c>
      <c r="J213" s="7">
        <v>0</v>
      </c>
      <c r="K213" s="112" t="str">
        <f t="shared" si="74"/>
        <v>4017/4018</v>
      </c>
      <c r="L213" s="22" t="str">
        <f>VLOOKUP(A213,'Trips&amp;Operators'!$C$1:$E$10000,3,FALSE)</f>
        <v>SMITH</v>
      </c>
      <c r="M213" s="6">
        <f t="shared" si="75"/>
        <v>0</v>
      </c>
      <c r="N213" s="7">
        <f t="shared" si="87"/>
        <v>0</v>
      </c>
      <c r="O213" s="7"/>
      <c r="P213" s="7"/>
      <c r="Q213" s="23"/>
      <c r="R213" s="23"/>
      <c r="S213" s="35">
        <f t="shared" si="76"/>
        <v>1</v>
      </c>
      <c r="T213" s="50" t="str">
        <f t="shared" si="77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23:37:30-0600',mode:absolute,to:'1969-12-31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3" s="52" t="str">
        <f t="shared" si="79"/>
        <v>Y</v>
      </c>
      <c r="X213" s="177">
        <f t="shared" si="88"/>
        <v>1</v>
      </c>
      <c r="Y213" s="67">
        <f t="shared" si="80"/>
        <v>4.5499999999999999E-2</v>
      </c>
      <c r="Z213" s="67">
        <f t="shared" si="81"/>
        <v>3.1269</v>
      </c>
      <c r="AA213" s="67">
        <f t="shared" si="82"/>
        <v>3.0813999999999999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3"/>
        <v>0309-27</v>
      </c>
      <c r="AE213" s="91" t="str">
        <f t="shared" si="89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3" s="88" t="str">
        <f t="shared" si="90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13" s="1" t="str">
        <f t="shared" si="84"/>
        <v>Other</v>
      </c>
      <c r="AH213" s="92" t="str">
        <f t="shared" si="91"/>
        <v>"%USERPROFILE%\Documents\GitHub\eaglep3\Utilities\RefineRTDCRunTimes.py" --tripid 309-27 --locoid 4018 --swversion DE.1.0.8.0 --startMP 204:455 --initTime 2016-10-28T00:37:30 --startdatetime 1969-12-31T17:00:00 --delay 1 --endMP 300:31269 --enddatetime 1969-12-31T17:00:00 --enforcementcount 0 &gt;&gt;C:\Users\stu\Documents\GitHub\eaglep3-reporting\EC\2016-10-27-refined-times.txt</v>
      </c>
      <c r="AI213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{"issue":{"subject":"","project_id":79,"tracker_id":40,"status_id":1,"priority_id":2,"assigned_to_id":23,"start_date":"1969-12-31","description":"","custom_fields":[{"id":1,"name":"Subdivision","value":"Other"},{"id":4,"name":"Milepost","value":"3.1269"},{"id":17,"name":"Train ID","value":"309-27"},{"id":16,"name":"Locomotive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439</v>
      </c>
      <c r="B214" s="7">
        <v>4017</v>
      </c>
      <c r="C214" s="22" t="s">
        <v>326</v>
      </c>
      <c r="D214" s="22" t="s">
        <v>688</v>
      </c>
      <c r="E214" s="13">
        <v>42670.184976851851</v>
      </c>
      <c r="F214" s="13">
        <v>42670.186597222222</v>
      </c>
      <c r="G214" s="7">
        <v>1</v>
      </c>
      <c r="H214" s="13" t="s">
        <v>176</v>
      </c>
      <c r="I214" s="13">
        <v>42670.192673611113</v>
      </c>
      <c r="J214" s="7">
        <v>0</v>
      </c>
      <c r="K214" s="112" t="str">
        <f t="shared" si="74"/>
        <v>4017/4018</v>
      </c>
      <c r="L214" s="22" t="str">
        <f>VLOOKUP(A214,'Trips&amp;Operators'!$C$1:$E$10000,3,FALSE)</f>
        <v>MACDONALD</v>
      </c>
      <c r="M214" s="6">
        <f t="shared" si="75"/>
        <v>6.0763888905057684E-3</v>
      </c>
      <c r="N214" s="7">
        <f t="shared" si="87"/>
        <v>8.7500000023283064</v>
      </c>
      <c r="O214" s="7"/>
      <c r="P214" s="7"/>
      <c r="Q214" s="23"/>
      <c r="R214" s="23"/>
      <c r="S214" s="35">
        <f t="shared" si="76"/>
        <v>1</v>
      </c>
      <c r="T214" s="50" t="str">
        <f t="shared" si="77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03:26:22-0600',mode:absolute,to:'2016-10-27 05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4" s="52" t="str">
        <f t="shared" si="79"/>
        <v>Y</v>
      </c>
      <c r="X214" s="177">
        <f t="shared" si="88"/>
        <v>1</v>
      </c>
      <c r="Y214" s="67">
        <f t="shared" si="80"/>
        <v>2.3304999999999998</v>
      </c>
      <c r="Z214" s="67">
        <f t="shared" si="81"/>
        <v>1.52E-2</v>
      </c>
      <c r="AA214" s="67">
        <f t="shared" si="82"/>
        <v>2.3152999999999997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3"/>
        <v>0310-27</v>
      </c>
      <c r="AE214" s="91" t="str">
        <f t="shared" si="89"/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AF214" s="88" t="str">
        <f t="shared" si="90"/>
        <v>"C:\Program Files (x86)\AstroGrep\AstroGrep.exe" /spath="%USERPROFILE%\AppData\Local\Temp\OnboardLogs" /stypes="app*4017*20161027*" /stext=" 10:.+((SYSTEM_STATE.+slice.+state.+changed )|(ment ac)|(system.+state.+changed )|(\[timeout)|(PRM\|1\|D)|(kpr)|(kdp)|(\|lc)|(penalty))" /e /r /s</v>
      </c>
      <c r="AG214" s="1" t="str">
        <f t="shared" si="84"/>
        <v>Other</v>
      </c>
      <c r="AH214" s="92" t="str">
        <f t="shared" si="91"/>
        <v>"%USERPROFILE%\Documents\GitHub\eaglep3\Utilities\RefineRTDCRunTimes.py" --tripid 310-27 --locoid 4017 --swversion DE.1.0.8.0 --startMP 300:23305 --initTime 2016-10-27T04:26:22 --startdatetime 2016-10-27T04:28:42 --delay 1 --endMP 204:152 --enddatetime 2016-10-27T04:37:27 --enforcementcount 0 &gt;&gt;C:\Users\stu\Documents\GitHub\eaglep3-reporting\EC\2016-10-27-refined-times.txt</v>
      </c>
      <c r="AI214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{"issue":{"subject":"","project_id":79,"tracker_id":40,"status_id":1,"priority_id":2,"assigned_to_id":23,"start_date":"2016-10-27","description":"","custom_fields":[{"id":1,"name":"Subdivision","value":"Other"},{"id":4,"name":"Milepost","value":"0.0152"},{"id":17,"name":"Train ID","value":"310-27"},{"id":16,"name":"Locomotive ID","value":"4017"},{"id":130,"name":"Impact","value":""},{"id":150,"name":"Time of Event (Mountain Time)","value":"04:37:27"},{"id":151,"name":"Denver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s="21" customFormat="1" x14ac:dyDescent="0.25">
      <c r="A215" s="37" t="s">
        <v>610</v>
      </c>
      <c r="B215" s="7">
        <v>4002</v>
      </c>
      <c r="C215" s="22" t="s">
        <v>326</v>
      </c>
      <c r="D215" s="22" t="s">
        <v>689</v>
      </c>
      <c r="E215" s="13">
        <v>42671.046354166669</v>
      </c>
      <c r="F215" s="13">
        <v>25568.708333333332</v>
      </c>
      <c r="G215" s="7">
        <v>1</v>
      </c>
      <c r="H215" s="13" t="s">
        <v>358</v>
      </c>
      <c r="I215" s="13">
        <v>25568.708333333332</v>
      </c>
      <c r="J215" s="7">
        <v>0</v>
      </c>
      <c r="K215" s="112" t="str">
        <f t="shared" si="74"/>
        <v>4001/4002</v>
      </c>
      <c r="L215" s="22" t="str">
        <f>VLOOKUP(A215,'Trips&amp;Operators'!$C$1:$E$10000,3,FALSE)</f>
        <v>BERLING</v>
      </c>
      <c r="M215" s="6">
        <f t="shared" si="75"/>
        <v>0</v>
      </c>
      <c r="N215" s="7">
        <f t="shared" si="87"/>
        <v>0</v>
      </c>
      <c r="O215" s="7"/>
      <c r="P215" s="7"/>
      <c r="Q215" s="23"/>
      <c r="R215" s="23"/>
      <c r="S215" s="35">
        <f t="shared" si="76"/>
        <v>1</v>
      </c>
      <c r="T215" s="50" t="str">
        <f t="shared" si="77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https://search-rtdc-monitor-bjffxe2xuh6vdkpspy63sjmuny.us-east-1.es.amazonaws.com/_plugin/kibana/#/discover/Steve-Slow-Train-Analysis-(2080s-and-2083s)?_g=(refreshInterval:(display:Off,section:0,value:0),time:(from:'2016-10-28 00:06:45-0600',mode:absolute,to:'1969-12-31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5" s="52" t="str">
        <f t="shared" si="79"/>
        <v>Y</v>
      </c>
      <c r="X215" s="177">
        <f t="shared" si="88"/>
        <v>1</v>
      </c>
      <c r="Y215" s="67">
        <f t="shared" si="80"/>
        <v>4.4400000000000002E-2</v>
      </c>
      <c r="Z215" s="67">
        <f t="shared" si="81"/>
        <v>2.3302</v>
      </c>
      <c r="AA215" s="67">
        <f t="shared" si="82"/>
        <v>2.2858000000000001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3"/>
        <v>0311-27</v>
      </c>
      <c r="AE215" s="91" t="str">
        <f t="shared" si="8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5" s="88" t="str">
        <f t="shared" si="90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5" s="1" t="str">
        <f t="shared" si="84"/>
        <v>Other</v>
      </c>
      <c r="AH215" s="92" t="str">
        <f t="shared" si="91"/>
        <v>"%USERPROFILE%\Documents\GitHub\eaglep3\Utilities\RefineRTDCRunTimes.py" --tripid 311-27 --locoid 4002 --swversion DE.1.0.8.0 --startMP 204:444 --initTime 2016-10-28T01:06:45 --startdatetime 1969-12-31T17:00:00 --delay 1 --endMP 300:23302 --enddatetime 1969-12-31T17:00:00 --enforcementcount 0 &gt;&gt;C:\Users\stu\Documents\GitHub\eaglep3-reporting\EC\2016-10-27-refined-times.txt</v>
      </c>
      <c r="AI215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ID","value":"311-27"},{"id":16,"name":"Locomotive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 s="37" t="s">
        <v>612</v>
      </c>
      <c r="B216" s="7">
        <v>4040</v>
      </c>
      <c r="C216" s="22" t="s">
        <v>326</v>
      </c>
      <c r="D216" s="22" t="s">
        <v>230</v>
      </c>
      <c r="E216" s="13">
        <v>42671.067465277774</v>
      </c>
      <c r="F216" s="13">
        <v>25568.708333333332</v>
      </c>
      <c r="G216" s="7">
        <v>1</v>
      </c>
      <c r="H216" s="13" t="s">
        <v>690</v>
      </c>
      <c r="I216" s="13">
        <v>25568.708333333332</v>
      </c>
      <c r="J216" s="7">
        <v>0</v>
      </c>
      <c r="K216" s="112" t="str">
        <f t="shared" si="74"/>
        <v>4039/4040</v>
      </c>
      <c r="L216" s="22" t="str">
        <f>VLOOKUP(A216,'Trips&amp;Operators'!$C$1:$E$10000,3,FALSE)</f>
        <v>LEVIN</v>
      </c>
      <c r="M216" s="6">
        <f t="shared" si="75"/>
        <v>0</v>
      </c>
      <c r="N216" s="7">
        <f t="shared" si="87"/>
        <v>0</v>
      </c>
      <c r="O216" s="7"/>
      <c r="P216" s="7"/>
      <c r="Q216" s="23"/>
      <c r="R216" s="23"/>
      <c r="S216" s="35">
        <f t="shared" si="76"/>
        <v>1</v>
      </c>
      <c r="T216" s="50" t="str">
        <f t="shared" si="77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https://search-rtdc-monitor-bjffxe2xuh6vdkpspy63sjmuny.us-east-1.es.amazonaws.com/_plugin/kibana/#/discover/Steve-Slow-Train-Analysis-(2080s-and-2083s)?_g=(refreshInterval:(display:Off,section:0,value:0),time:(from:'2016-10-28 00:37:09-0600',mode:absolute,to:'1969-12-31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6" s="52" t="str">
        <f t="shared" si="79"/>
        <v>Y</v>
      </c>
      <c r="X216" s="177">
        <f t="shared" si="88"/>
        <v>2</v>
      </c>
      <c r="Y216" s="67">
        <f t="shared" si="80"/>
        <v>4.5100000000000001E-2</v>
      </c>
      <c r="Z216" s="67">
        <f t="shared" si="81"/>
        <v>2.3300999999999998</v>
      </c>
      <c r="AA216" s="67">
        <f t="shared" si="82"/>
        <v>2.2849999999999997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3"/>
        <v>0313-27</v>
      </c>
      <c r="AE216" s="91" t="str">
        <f t="shared" si="89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6" s="88" t="str">
        <f t="shared" si="90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16" s="1" t="str">
        <f t="shared" si="84"/>
        <v>Other</v>
      </c>
      <c r="AH216" s="92" t="str">
        <f t="shared" si="91"/>
        <v>"%USERPROFILE%\Documents\GitHub\eaglep3\Utilities\RefineRTDCRunTimes.py" --tripid 313-27 --locoid 4040 --swversion DE.1.0.8.0 --startMP 204:451 --initTime 2016-10-28T01:37:09 --startdatetime 1969-12-31T17:00:00 --delay 1 --endMP 300:23301 --enddatetime 1969-12-31T17:00:00 --enforcementcount 0 &gt;&gt;C:\Users\stu\Documents\GitHub\eaglep3-reporting\EC\2016-10-27-refined-times.txt</v>
      </c>
      <c r="AI216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ID","value":"313-27"},{"id":16,"name":"Locomotive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7" t="s">
        <v>342</v>
      </c>
      <c r="B217" s="7">
        <v>4046</v>
      </c>
      <c r="C217" s="22" t="s">
        <v>326</v>
      </c>
      <c r="D217" s="22" t="s">
        <v>221</v>
      </c>
      <c r="E217" s="13">
        <v>42670.087673611109</v>
      </c>
      <c r="F217" s="13">
        <v>25568.708333333332</v>
      </c>
      <c r="G217" s="7">
        <v>1</v>
      </c>
      <c r="H217" s="13" t="s">
        <v>327</v>
      </c>
      <c r="I217" s="13">
        <v>25568.708333333332</v>
      </c>
      <c r="J217" s="7">
        <v>0</v>
      </c>
      <c r="K217" s="112" t="str">
        <f t="shared" si="74"/>
        <v>4045/4046</v>
      </c>
      <c r="L217" s="22" t="str">
        <f>VLOOKUP(A217,'Trips&amp;Operators'!$C$1:$E$10000,3,FALSE)</f>
        <v>BERLING</v>
      </c>
      <c r="M217" s="6">
        <f t="shared" si="75"/>
        <v>0</v>
      </c>
      <c r="N217" s="7">
        <f t="shared" si="87"/>
        <v>0</v>
      </c>
      <c r="O217" s="7"/>
      <c r="P217" s="7"/>
      <c r="Q217" s="23"/>
      <c r="R217" s="23"/>
      <c r="S217" s="35">
        <f t="shared" si="76"/>
        <v>1</v>
      </c>
      <c r="T217" s="50" t="str">
        <f t="shared" si="77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01:06:15-0600',mode:absolute,to:'1969-12-31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7" s="52" t="str">
        <f t="shared" si="79"/>
        <v>Y</v>
      </c>
      <c r="X217" s="177">
        <f t="shared" si="88"/>
        <v>2</v>
      </c>
      <c r="Y217" s="67">
        <f t="shared" si="80"/>
        <v>4.53E-2</v>
      </c>
      <c r="Z217" s="67">
        <f t="shared" si="81"/>
        <v>2.3313999999999999</v>
      </c>
      <c r="AA217" s="67">
        <f t="shared" si="82"/>
        <v>2.2860999999999998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3"/>
        <v>0315-26</v>
      </c>
      <c r="AE217" s="91" t="str">
        <f t="shared" si="89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7" s="88" t="str">
        <f t="shared" si="90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17" s="1" t="str">
        <f t="shared" si="84"/>
        <v>Other</v>
      </c>
      <c r="AH217" s="92" t="str">
        <f t="shared" si="91"/>
        <v>"%USERPROFILE%\Documents\GitHub\eaglep3\Utilities\RefineRTDCRunTimes.py" --tripid 315-26 --locoid 4046 --swversion DE.1.0.8.0 --startMP 204:453 --initTime 2016-10-27T02:06:15 --startdatetime 1969-12-31T17:00:00 --delay 1 --endMP 300:23314 --enddatetime 1969-12-31T17:00:00 --enforcementcount 0 &gt;&gt;C:\Users\stu\Documents\GitHub\eaglep3-reporting\EC\2016-10-27-refined-times.txt</v>
      </c>
      <c r="AI217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ID","value":"315-26"},{"id":16,"name":"Locomotive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s="21" customFormat="1" x14ac:dyDescent="0.25">
      <c r="A218" s="37" t="s">
        <v>613</v>
      </c>
      <c r="B218" s="7">
        <v>4014</v>
      </c>
      <c r="C218" s="22" t="s">
        <v>326</v>
      </c>
      <c r="D218" s="22" t="s">
        <v>281</v>
      </c>
      <c r="E218" s="13">
        <v>42671.088449074072</v>
      </c>
      <c r="F218" s="13">
        <v>42671.090532407405</v>
      </c>
      <c r="G218" s="7">
        <v>1</v>
      </c>
      <c r="H218" s="13" t="s">
        <v>690</v>
      </c>
      <c r="I218" s="13">
        <v>42671.095960648148</v>
      </c>
      <c r="J218" s="7">
        <v>0</v>
      </c>
      <c r="K218" s="112" t="str">
        <f t="shared" si="74"/>
        <v>4013/4014</v>
      </c>
      <c r="L218" s="22" t="str">
        <f>VLOOKUP(A218,'Trips&amp;Operators'!$C$1:$E$10000,3,FALSE)</f>
        <v>DELGADO</v>
      </c>
      <c r="M218" s="6">
        <f t="shared" si="75"/>
        <v>5.4282407436403446E-3</v>
      </c>
      <c r="N218" s="7">
        <f t="shared" si="87"/>
        <v>7.8166666708420962</v>
      </c>
      <c r="O218" s="7"/>
      <c r="P218" s="7"/>
      <c r="Q218" s="23"/>
      <c r="R218" s="23"/>
      <c r="S218" s="35">
        <f t="shared" si="76"/>
        <v>1</v>
      </c>
      <c r="T218" s="50" t="str">
        <f t="shared" si="77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https://search-rtdc-monitor-bjffxe2xuh6vdkpspy63sjmuny.us-east-1.es.amazonaws.com/_plugin/kibana/#/discover/Steve-Slow-Train-Analysis-(2080s-and-2083s)?_g=(refreshInterval:(display:Off,section:0,value:0),time:(from:'2016-10-28 01:07:22-0600',mode:absolute,to:'2016-10-28 03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8" s="52" t="str">
        <f t="shared" si="79"/>
        <v>Y</v>
      </c>
      <c r="X218" s="177">
        <f t="shared" si="88"/>
        <v>0</v>
      </c>
      <c r="Y218" s="67">
        <f t="shared" si="80"/>
        <v>4.5699999999999998E-2</v>
      </c>
      <c r="Z218" s="67">
        <f t="shared" si="81"/>
        <v>2.3300999999999998</v>
      </c>
      <c r="AA218" s="67">
        <f t="shared" si="82"/>
        <v>2.2843999999999998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3"/>
        <v>0315-27</v>
      </c>
      <c r="AE218" s="91" t="str">
        <f t="shared" si="89"/>
        <v>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 &amp; 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</v>
      </c>
      <c r="AF218" s="88" t="str">
        <f t="shared" si="90"/>
        <v>"C:\Program Files (x86)\AstroGrep\AstroGrep.exe" /spath="%USERPROFILE%\AppData\Local\Temp\OnboardLogs" /stypes="app*4014*20161028*" /stext=" 08:.+((SYSTEM_STATE.+slice.+state.+changed )|(ment ac)|(system.+state.+changed )|(\[timeout)|(PRM\|1\|D)|(kpr)|(kdp)|(\|lc)|(penalty))" /e /r /s</v>
      </c>
      <c r="AG218" s="1" t="str">
        <f t="shared" si="84"/>
        <v>Other</v>
      </c>
      <c r="AH218" s="92" t="str">
        <f t="shared" si="91"/>
        <v>"%USERPROFILE%\Documents\GitHub\eaglep3\Utilities\RefineRTDCRunTimes.py" --tripid 315-27 --locoid 4014 --swversion DE.1.0.8.0 --startMP 204:457 --initTime 2016-10-28T02:07:22 --startdatetime 2016-10-28T02:10:22 --delay 1 --endMP 300:23301 --enddatetime 2016-10-28T02:18:11 --enforcementcount 0 &gt;&gt;C:\Users\stu\Documents\GitHub\eaglep3-reporting\EC\2016-10-27-refined-times.txt</v>
      </c>
      <c r="AI218" s="122" t="str">
        <f t="shared" si="92"/>
        <v>echo {"issue":{"subject":"","project_id":79,"tracker_id":40,"status_id":1,"priority_id":2,"assigned_to_id":23,"start_date":"2016-10-28","description":"","custom_fields":[{"id":1,"name":"Subdivision","value":"Other"},{"id":4,"name":"Milepost","value":"2.3301"},{"id":17,"name":"Train ID","value":"315-27"},{"id":16,"name":"Locomotive ID","value":"4014"},{"id":130,"name":"Impact","value":""},{"id":150,"name":"Time of Event (Mountain Time)","value":"02:18:11"},{"id":151,"name":"Denver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445</v>
      </c>
      <c r="B219" s="7">
        <v>4009</v>
      </c>
      <c r="C219" s="22" t="s">
        <v>326</v>
      </c>
      <c r="D219" s="22" t="s">
        <v>774</v>
      </c>
      <c r="E219" s="13">
        <v>42670.206354166665</v>
      </c>
      <c r="F219" s="13">
        <v>42670.208124999997</v>
      </c>
      <c r="G219" s="7">
        <v>2</v>
      </c>
      <c r="H219" s="13" t="s">
        <v>775</v>
      </c>
      <c r="I219" s="13">
        <v>42670.213275462964</v>
      </c>
      <c r="J219" s="7">
        <v>0</v>
      </c>
      <c r="K219" s="112" t="str">
        <f t="shared" si="74"/>
        <v>4009/4010</v>
      </c>
      <c r="L219" s="22" t="str">
        <f>VLOOKUP(A219,'Trips&amp;Operators'!$C$1:$E$10000,3,FALSE)</f>
        <v>YORK</v>
      </c>
      <c r="M219" s="6">
        <f t="shared" si="75"/>
        <v>5.1504629664123058E-3</v>
      </c>
      <c r="N219" s="7">
        <f t="shared" si="87"/>
        <v>7.4166666716337204</v>
      </c>
      <c r="O219" s="7"/>
      <c r="P219" s="7"/>
      <c r="Q219" s="23"/>
      <c r="R219" s="23"/>
      <c r="S219" s="35">
        <f t="shared" si="76"/>
        <v>0</v>
      </c>
      <c r="T219" s="50" t="str">
        <f t="shared" si="77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03:57:09-0600',mode:absolute,to:'2016-10-27 06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9" s="52" t="str">
        <f t="shared" si="79"/>
        <v>Y</v>
      </c>
      <c r="X219" s="177">
        <f t="shared" si="88"/>
        <v>586</v>
      </c>
      <c r="Y219" s="67">
        <f t="shared" si="80"/>
        <v>2.9780000000000002</v>
      </c>
      <c r="Z219" s="67">
        <f t="shared" si="81"/>
        <v>5.8921999999999999</v>
      </c>
      <c r="AA219" s="67">
        <f t="shared" si="82"/>
        <v>2.9141999999999997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83"/>
        <v>0901-27</v>
      </c>
      <c r="AE219" s="91" t="str">
        <f t="shared" si="89"/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AF219" s="88" t="str">
        <f t="shared" si="90"/>
        <v>"C:\Program Files (x86)\AstroGrep\AstroGrep.exe" /spath="%USERPROFILE%\AppData\Local\Temp\OnboardLogs" /stypes="app*4009*20161027*" /stext=" 11:.+((SYSTEM_STATE.+slice.+state.+changed )|(ment ac)|(system.+state.+changed )|(\[timeout)|(PRM\|1\|D)|(kpr)|(kdp)|(\|lc)|(penalty))" /e /r /s</v>
      </c>
      <c r="AG219" s="1" t="str">
        <f t="shared" si="84"/>
        <v>Other</v>
      </c>
      <c r="AH219" s="92" t="str">
        <f t="shared" si="91"/>
        <v>"%USERPROFILE%\Documents\GitHub\eaglep3\Utilities\RefineRTDCRunTimes.py" --tripid 901-27 --locoid 4009 --swversion DE.1.0.8.0 --startMP 300:29780 --initTime 2016-10-27T04:57:09 --startdatetime 2016-10-27T04:59:42 --delay 2 --endMP 300:58922 --enddatetime 2016-10-27T05:07:07 --enforcementcount 0 &gt;&gt;C:\Users\stu\Documents\GitHub\eaglep3-reporting\EC\2016-10-27-refined-times.txt</v>
      </c>
      <c r="AI219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{"issue":{"subject":"","project_id":79,"tracker_id":40,"status_id":1,"priority_id":2,"assigned_to_id":23,"start_date":"2016-10-27","description":"","custom_fields":[{"id":1,"name":"Subdivision","value":"Other"},{"id":4,"name":"Milepost","value":"5.8922"},{"id":17,"name":"Train ID","value":"901-27"},{"id":16,"name":"Locomotive ID","value":"4009"},{"id":130,"name":"Impact","value":""},{"id":150,"name":"Time of Event (Mountain Time)","value":"05:07:07"},{"id":151,"name":"Denver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452</v>
      </c>
      <c r="B220" s="7">
        <v>4041</v>
      </c>
      <c r="C220" s="22" t="s">
        <v>326</v>
      </c>
      <c r="D220" s="22" t="s">
        <v>776</v>
      </c>
      <c r="E220" s="13">
        <v>42670.247349537036</v>
      </c>
      <c r="F220" s="13">
        <v>42670.249108796299</v>
      </c>
      <c r="G220" s="7">
        <v>1</v>
      </c>
      <c r="H220" s="13" t="s">
        <v>777</v>
      </c>
      <c r="I220" s="13">
        <v>42670.254618055558</v>
      </c>
      <c r="J220" s="7">
        <v>0</v>
      </c>
      <c r="K220" s="112" t="str">
        <f t="shared" si="74"/>
        <v>4041/4042</v>
      </c>
      <c r="L220" s="22" t="str">
        <f>VLOOKUP(A220,'Trips&amp;Operators'!$C$1:$E$10000,3,FALSE)</f>
        <v>LALONDE</v>
      </c>
      <c r="M220" s="6">
        <f t="shared" si="75"/>
        <v>5.5092592592700385E-3</v>
      </c>
      <c r="N220" s="7">
        <f t="shared" si="87"/>
        <v>7.9333333333488554</v>
      </c>
      <c r="O220" s="7"/>
      <c r="P220" s="7"/>
      <c r="Q220" s="23"/>
      <c r="R220" s="23"/>
      <c r="S220" s="35">
        <f t="shared" si="76"/>
        <v>1</v>
      </c>
      <c r="T220" s="50" t="str">
        <f t="shared" si="77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04:56:11-0600',mode:absolute,to:'2016-10-27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0" s="52" t="str">
        <f t="shared" si="79"/>
        <v>Y</v>
      </c>
      <c r="X220" s="177">
        <f t="shared" si="88"/>
        <v>1</v>
      </c>
      <c r="Y220" s="67">
        <f t="shared" si="80"/>
        <v>2.2305999999999999</v>
      </c>
      <c r="Z220" s="67">
        <f t="shared" si="81"/>
        <v>1.5299999999999999E-2</v>
      </c>
      <c r="AA220" s="67">
        <f t="shared" si="82"/>
        <v>2.2153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83"/>
        <v>0902-27</v>
      </c>
      <c r="AE220" s="91" t="str">
        <f t="shared" si="89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220" s="88" t="str">
        <f t="shared" si="90"/>
        <v>"C:\Program Files (x86)\AstroGrep\AstroGrep.exe" /spath="%USERPROFILE%\AppData\Local\Temp\OnboardLogs" /stypes="app*4041*20161027*" /stext=" 12:.+((SYSTEM_STATE.+slice.+state.+changed )|(ment ac)|(system.+state.+changed )|(\[timeout)|(PRM\|1\|D)|(kpr)|(kdp)|(\|lc)|(penalty))" /e /r /s</v>
      </c>
      <c r="AG220" s="1" t="str">
        <f t="shared" si="84"/>
        <v>Other</v>
      </c>
      <c r="AH220" s="92" t="str">
        <f t="shared" si="91"/>
        <v>"%USERPROFILE%\Documents\GitHub\eaglep3\Utilities\RefineRTDCRunTimes.py" --tripid 902-27 --locoid 4041 --swversion DE.1.0.8.0 --startMP 300:22306 --initTime 2016-10-27T05:56:11 --startdatetime 2016-10-27T05:58:43 --delay 1 --endMP 204:153 --enddatetime 2016-10-27T06:06:39 --enforcementcount 0 &gt;&gt;C:\Users\stu\Documents\GitHub\eaglep3-reporting\EC\2016-10-27-refined-times.txt</v>
      </c>
      <c r="AI220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{"issue":{"subject":"","project_id":79,"tracker_id":40,"status_id":1,"priority_id":2,"assigned_to_id":23,"start_date":"2016-10-27","description":"","custom_fields":[{"id":1,"name":"Subdivision","value":"Other"},{"id":4,"name":"Milepost","value":"0.0153"},{"id":17,"name":"Train ID","value":"902-27"},{"id":16,"name":"Locomotive ID","value":"4041"},{"id":130,"name":"Impact","value":""},{"id":150,"name":"Time of Event (Mountain Time)","value":"06:06:39"},{"id":151,"name":"Denver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475</v>
      </c>
      <c r="B221" s="7">
        <v>4009</v>
      </c>
      <c r="C221" s="22" t="s">
        <v>326</v>
      </c>
      <c r="D221" s="22" t="s">
        <v>224</v>
      </c>
      <c r="E221" s="13">
        <v>42670.355729166666</v>
      </c>
      <c r="F221" s="13">
        <v>25568.708333333332</v>
      </c>
      <c r="G221" s="7">
        <v>0</v>
      </c>
      <c r="H221" s="13" t="s">
        <v>778</v>
      </c>
      <c r="I221" s="13">
        <v>25568.708333333332</v>
      </c>
      <c r="J221" s="7">
        <v>0</v>
      </c>
      <c r="K221" s="112" t="str">
        <f t="shared" si="74"/>
        <v>4009/4010</v>
      </c>
      <c r="L221" s="22" t="str">
        <f>VLOOKUP(A221,'Trips&amp;Operators'!$C$1:$E$10000,3,FALSE)</f>
        <v>YORK</v>
      </c>
      <c r="M221" s="6">
        <f t="shared" si="75"/>
        <v>0</v>
      </c>
      <c r="N221" s="7">
        <f t="shared" si="87"/>
        <v>0</v>
      </c>
      <c r="O221" s="7"/>
      <c r="P221" s="7"/>
      <c r="Q221" s="23"/>
      <c r="R221" s="23"/>
      <c r="S221" s="35">
        <f t="shared" si="76"/>
        <v>1</v>
      </c>
      <c r="T221" s="50" t="str">
        <f t="shared" si="77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07:32:15-0600',mode:absolute,to:'1969-12-31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1" s="52" t="str">
        <f t="shared" si="79"/>
        <v>Y</v>
      </c>
      <c r="X221" s="177">
        <f t="shared" si="88"/>
        <v>1</v>
      </c>
      <c r="Y221" s="67">
        <f t="shared" si="80"/>
        <v>4.6600000000000003E-2</v>
      </c>
      <c r="Z221" s="67">
        <f t="shared" si="81"/>
        <v>2.4239000000000002</v>
      </c>
      <c r="AA221" s="67">
        <f t="shared" si="82"/>
        <v>2.3773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83"/>
        <v>0903-27</v>
      </c>
      <c r="AE221" s="91" t="str">
        <f t="shared" si="89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1" s="88" t="str">
        <f t="shared" si="90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221" s="1" t="str">
        <f t="shared" si="84"/>
        <v>Other</v>
      </c>
      <c r="AH221" s="92" t="str">
        <f t="shared" si="91"/>
        <v>"%USERPROFILE%\Documents\GitHub\eaglep3\Utilities\RefineRTDCRunTimes.py" --tripid 903-27 --locoid 4009 --swversion DE.1.0.8.0 --startMP 204:466 --initTime 2016-10-27T08:32:15 --startdatetime 1969-12-31T17:00:00 --delay 0 --endMP 300:24239 --enddatetime 1969-12-31T17:00:00 --enforcementcount 0 &gt;&gt;C:\Users\stu\Documents\GitHub\eaglep3-reporting\EC\2016-10-27-refined-times.txt</v>
      </c>
      <c r="AI221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{"issue":{"subject":"","project_id":79,"tracker_id":40,"status_id":1,"priority_id":2,"assigned_to_id":23,"start_date":"1969-12-31","description":"","custom_fields":[{"id":1,"name":"Subdivision","value":"Other"},{"id":4,"name":"Milepost","value":"2.4239"},{"id":17,"name":"Train ID","value":"903-27"},{"id":16,"name":"Locomotive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537</v>
      </c>
      <c r="B222" s="7">
        <v>4010</v>
      </c>
      <c r="C222" s="22" t="s">
        <v>326</v>
      </c>
      <c r="D222" s="22" t="s">
        <v>779</v>
      </c>
      <c r="E222" s="13">
        <v>42670.632581018515</v>
      </c>
      <c r="F222" s="13">
        <v>42670.636793981481</v>
      </c>
      <c r="G222" s="7">
        <v>5</v>
      </c>
      <c r="H222" s="13" t="s">
        <v>735</v>
      </c>
      <c r="I222" s="13">
        <v>42670.642581018517</v>
      </c>
      <c r="J222" s="7">
        <v>0</v>
      </c>
      <c r="K222" s="112" t="str">
        <f t="shared" si="74"/>
        <v>4009/4010</v>
      </c>
      <c r="L222" s="22" t="str">
        <f>VLOOKUP(A222,'Trips&amp;Operators'!$C$1:$E$10000,3,FALSE)</f>
        <v>YANAI</v>
      </c>
      <c r="M222" s="6">
        <f t="shared" si="75"/>
        <v>5.7870370364980772E-3</v>
      </c>
      <c r="N222" s="7">
        <f t="shared" si="87"/>
        <v>8.3333333325572312</v>
      </c>
      <c r="O222" s="7"/>
      <c r="P222" s="7"/>
      <c r="Q222" s="23"/>
      <c r="R222" s="23"/>
      <c r="S222" s="35">
        <f t="shared" si="76"/>
        <v>1</v>
      </c>
      <c r="T222" s="50" t="str">
        <f t="shared" si="77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14:10:55-0600',mode:absolute,to:'2016-10-27 16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2" s="52" t="str">
        <f t="shared" si="79"/>
        <v>Y</v>
      </c>
      <c r="X222" s="177">
        <f t="shared" si="88"/>
        <v>1</v>
      </c>
      <c r="Y222" s="67">
        <f t="shared" si="80"/>
        <v>2.3475999999999999</v>
      </c>
      <c r="Z222" s="67">
        <f t="shared" si="81"/>
        <v>6.8400000000000002E-2</v>
      </c>
      <c r="AA222" s="67">
        <f t="shared" si="82"/>
        <v>2.2791999999999999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83"/>
        <v>0904-27</v>
      </c>
      <c r="AE222" s="91" t="str">
        <f t="shared" si="89"/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AF222" s="88" t="str">
        <f t="shared" si="90"/>
        <v>"C:\Program Files (x86)\AstroGrep\AstroGrep.exe" /spath="%USERPROFILE%\AppData\Local\Temp\OnboardLogs" /stypes="app*4010*20161027*" /stext=" 21:.+((SYSTEM_STATE.+slice.+state.+changed )|(ment ac)|(system.+state.+changed )|(\[timeout)|(PRM\|1\|D)|(kpr)|(kdp)|(\|lc)|(penalty))" /e /r /s</v>
      </c>
      <c r="AG222" s="1" t="str">
        <f t="shared" si="84"/>
        <v>Other</v>
      </c>
      <c r="AH222" s="92" t="str">
        <f t="shared" si="91"/>
        <v>"%USERPROFILE%\Documents\GitHub\eaglep3\Utilities\RefineRTDCRunTimes.py" --tripid 904-27 --locoid 4010 --swversion DE.1.0.8.0 --startMP 300:23476 --initTime 2016-10-27T15:10:55 --startdatetime 2016-10-27T15:16:59 --delay 5 --endMP 204:684 --enddatetime 2016-10-27T15:25:19 --enforcementcount 0 &gt;&gt;C:\Users\stu\Documents\GitHub\eaglep3-reporting\EC\2016-10-27-refined-times.txt</v>
      </c>
      <c r="AI222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{"issue":{"subject":"","project_id":79,"tracker_id":40,"status_id":1,"priority_id":2,"assigned_to_id":23,"start_date":"2016-10-27","description":"","custom_fields":[{"id":1,"name":"Subdivision","value":"Other"},{"id":4,"name":"Milepost","value":"0.0684"},{"id":17,"name":"Train ID","value":"904-27"},{"id":16,"name":"Locomotive ID","value":"4010"},{"id":130,"name":"Impact","value":""},{"id":150,"name":"Time of Event (Mountain Time)","value":"15:25:19"},{"id":151,"name":"Denver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582</v>
      </c>
      <c r="B223" s="7">
        <v>4010</v>
      </c>
      <c r="C223" s="22" t="s">
        <v>326</v>
      </c>
      <c r="D223" s="22" t="s">
        <v>738</v>
      </c>
      <c r="E223" s="13">
        <v>42670.796388888892</v>
      </c>
      <c r="F223" s="13">
        <v>25568.708333333332</v>
      </c>
      <c r="G223" s="7">
        <v>0</v>
      </c>
      <c r="H223" s="13" t="s">
        <v>780</v>
      </c>
      <c r="I223" s="13">
        <v>25568.708333333332</v>
      </c>
      <c r="J223" s="7">
        <v>0</v>
      </c>
      <c r="K223" s="112" t="str">
        <f t="shared" si="74"/>
        <v>4009/4010</v>
      </c>
      <c r="L223" s="22" t="str">
        <f>VLOOKUP(A223,'Trips&amp;Operators'!$C$1:$E$10000,3,FALSE)</f>
        <v>YANAI</v>
      </c>
      <c r="M223" s="6">
        <f t="shared" si="75"/>
        <v>0</v>
      </c>
      <c r="N223" s="7">
        <f t="shared" si="87"/>
        <v>0</v>
      </c>
      <c r="O223" s="7"/>
      <c r="P223" s="7"/>
      <c r="Q223" s="23"/>
      <c r="R223" s="23"/>
      <c r="S223" s="35">
        <f t="shared" si="76"/>
        <v>0</v>
      </c>
      <c r="T223" s="50" t="str">
        <f t="shared" si="77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18:06:48-0600',mode:absolute,to:'1969-12-31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3" s="52" t="str">
        <f t="shared" si="79"/>
        <v>Y</v>
      </c>
      <c r="X223" s="177">
        <f t="shared" si="88"/>
        <v>2</v>
      </c>
      <c r="Y223" s="67">
        <f t="shared" si="80"/>
        <v>5.8592000000000004</v>
      </c>
      <c r="Z223" s="67">
        <f t="shared" si="81"/>
        <v>2.8793000000000002</v>
      </c>
      <c r="AA223" s="67">
        <f t="shared" si="82"/>
        <v>2.9799000000000002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83"/>
        <v>0906-27</v>
      </c>
      <c r="AE223" s="91" t="str">
        <f t="shared" si="89"/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23" s="88" t="str">
        <f t="shared" si="90"/>
        <v>"C:\Program Files (x86)\AstroGrep\AstroGrep.exe" /spath="%USERPROFILE%\AppData\Local\Temp\OnboardLogs" /stypes="app*4010*19691231*" /stext=" 23:.+((SYSTEM_STATE.+slice.+state.+changed )|(ment ac)|(system.+state.+changed )|(\[timeout)|(PRM\|1\|D)|(kpr)|(kdp)|(\|lc)|(penalty))" /e /r /s</v>
      </c>
      <c r="AG223" s="1" t="str">
        <f t="shared" si="84"/>
        <v>Other</v>
      </c>
      <c r="AH223" s="92" t="str">
        <f t="shared" si="91"/>
        <v>"%USERPROFILE%\Documents\GitHub\eaglep3\Utilities\RefineRTDCRunTimes.py" --tripid 906-27 --locoid 4010 --swversion DE.1.0.8.0 --startMP 300:58592 --initTime 2016-10-27T19:06:48 --startdatetime 1969-12-31T17:00:00 --delay 0 --endMP 300:28793 --enddatetime 1969-12-31T17:00:00 --enforcementcount 0 &gt;&gt;C:\Users\stu\Documents\GitHub\eaglep3-reporting\EC\2016-10-27-refined-times.txt</v>
      </c>
      <c r="AI223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{"issue":{"subject":"","project_id":79,"tracker_id":40,"status_id":1,"priority_id":2,"assigned_to_id":23,"start_date":"1969-12-31","description":"","custom_fields":[{"id":1,"name":"Subdivision","value":"Other"},{"id":4,"name":"Milepost","value":"2.8793"},{"id":17,"name":"Train ID","value":"906-27"},{"id":16,"name":"Locomotive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 s="37" t="s">
        <v>599</v>
      </c>
      <c r="B224" s="7">
        <v>4041</v>
      </c>
      <c r="C224" s="22" t="s">
        <v>326</v>
      </c>
      <c r="D224" s="22" t="s">
        <v>781</v>
      </c>
      <c r="E224" s="13">
        <v>42670.941782407404</v>
      </c>
      <c r="F224" s="13">
        <v>42670.943136574075</v>
      </c>
      <c r="G224" s="7">
        <v>0</v>
      </c>
      <c r="H224" s="13" t="s">
        <v>782</v>
      </c>
      <c r="I224" s="13">
        <v>42670.94734953704</v>
      </c>
      <c r="J224" s="7">
        <v>0</v>
      </c>
      <c r="K224" s="112" t="str">
        <f t="shared" si="74"/>
        <v>4041/4042</v>
      </c>
      <c r="L224" s="22" t="str">
        <f>VLOOKUP(A224,'Trips&amp;Operators'!$C$1:$E$10000,3,FALSE)</f>
        <v>YANAI</v>
      </c>
      <c r="M224" s="6">
        <f t="shared" si="75"/>
        <v>4.2129629655391909E-3</v>
      </c>
      <c r="N224" s="7">
        <f t="shared" si="87"/>
        <v>6.0666666703764349</v>
      </c>
      <c r="O224" s="7"/>
      <c r="P224" s="7"/>
      <c r="Q224" s="23"/>
      <c r="R224" s="23"/>
      <c r="S224" s="35">
        <f t="shared" si="76"/>
        <v>0</v>
      </c>
      <c r="T224" s="50" t="str">
        <f t="shared" si="77"/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21:36:10-0600',mode:absolute,to:'2016-10-27 23:44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4" s="52" t="str">
        <f t="shared" si="79"/>
        <v>Y</v>
      </c>
      <c r="X224" s="177">
        <f t="shared" si="88"/>
        <v>2</v>
      </c>
      <c r="Y224" s="67">
        <f t="shared" si="80"/>
        <v>5.8619000000000003</v>
      </c>
      <c r="Z224" s="67">
        <f t="shared" si="81"/>
        <v>2.1419999999999999</v>
      </c>
      <c r="AA224" s="67">
        <f t="shared" si="82"/>
        <v>3.7199000000000004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83"/>
        <v>0908-27</v>
      </c>
      <c r="AE224" s="91" t="str">
        <f t="shared" si="89"/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AF224" s="88" t="str">
        <f t="shared" si="90"/>
        <v>"C:\Program Files (x86)\AstroGrep\AstroGrep.exe" /spath="%USERPROFILE%\AppData\Local\Temp\OnboardLogs" /stypes="app*4041*20161028*" /stext=" 04:.+((SYSTEM_STATE.+slice.+state.+changed )|(ment ac)|(system.+state.+changed )|(\[timeout)|(PRM\|1\|D)|(kpr)|(kdp)|(\|lc)|(penalty))" /e /r /s</v>
      </c>
      <c r="AG224" s="1" t="str">
        <f t="shared" si="84"/>
        <v>Other</v>
      </c>
      <c r="AH224" s="92" t="str">
        <f t="shared" si="91"/>
        <v>"%USERPROFILE%\Documents\GitHub\eaglep3\Utilities\RefineRTDCRunTimes.py" --tripid 908-27 --locoid 4041 --swversion DE.1.0.8.0 --startMP 300:58619 --initTime 2016-10-27T22:36:10 --startdatetime 2016-10-27T22:38:07 --delay 0 --endMP 300:21420 --enddatetime 2016-10-27T22:44:11 --enforcementcount 0 &gt;&gt;C:\Users\stu\Documents\GitHub\eaglep3-reporting\EC\2016-10-27-refined-times.txt</v>
      </c>
      <c r="AI224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{"issue":{"subject":"","project_id":79,"tracker_id":40,"status_id":1,"priority_id":2,"assigned_to_id":23,"start_date":"2016-10-27","description":"","custom_fields":[{"id":1,"name":"Subdivision","value":"Other"},{"id":4,"name":"Milepost","value":"2.142"},{"id":17,"name":"Train ID","value":"908-27"},{"id":16,"name":"Locomotive ID","value":"4041"},{"id":130,"name":"Impact","value":""},{"id":150,"name":"Time of Event (Mountain Time)","value":"22:44:11"},{"id":151,"name":"Denver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38" x14ac:dyDescent="0.25">
      <c r="A225" s="37" t="s">
        <v>491</v>
      </c>
      <c r="B225" s="7">
        <v>4028</v>
      </c>
      <c r="C225" s="22" t="s">
        <v>326</v>
      </c>
      <c r="D225" s="22" t="s">
        <v>691</v>
      </c>
      <c r="E225" s="13">
        <v>42670.435567129629</v>
      </c>
      <c r="F225" s="13">
        <v>42670.438263888886</v>
      </c>
      <c r="G225" s="7">
        <v>3</v>
      </c>
      <c r="H225" s="13" t="s">
        <v>692</v>
      </c>
      <c r="I225" s="13">
        <v>42670.443726851852</v>
      </c>
      <c r="J225" s="7">
        <v>0</v>
      </c>
      <c r="K225" s="112" t="str">
        <f t="shared" si="74"/>
        <v>4027/4028</v>
      </c>
      <c r="L225" s="22" t="str">
        <f>VLOOKUP(A225,'Trips&amp;Operators'!$C$1:$E$10000,3,FALSE)</f>
        <v>OUN</v>
      </c>
      <c r="M225" s="6">
        <f t="shared" si="75"/>
        <v>5.4629629667033441E-3</v>
      </c>
      <c r="N225" s="7">
        <f t="shared" si="87"/>
        <v>7.8666666720528156</v>
      </c>
      <c r="O225" s="7"/>
      <c r="P225" s="7"/>
      <c r="Q225" s="23"/>
      <c r="R225" s="23"/>
      <c r="S225" s="35">
        <f t="shared" si="76"/>
        <v>0</v>
      </c>
      <c r="T225" s="50" t="e">
        <f t="shared" si="77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09:27:13-0600',mode:absolute,to:'2016-10-27 11:38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5" s="52" t="str">
        <f t="shared" si="79"/>
        <v>Y</v>
      </c>
      <c r="X225" s="177" t="e">
        <f t="shared" si="88"/>
        <v>#VALUE!</v>
      </c>
      <c r="Y225" s="67">
        <f t="shared" si="80"/>
        <v>2.3494999999999999</v>
      </c>
      <c r="Z225" s="67">
        <f t="shared" si="81"/>
        <v>9.0800000000000006E-2</v>
      </c>
      <c r="AA225" s="67">
        <f t="shared" si="82"/>
        <v>2.2586999999999997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83"/>
        <v>50-27</v>
      </c>
      <c r="AE225" s="91" t="str">
        <f t="shared" si="89"/>
        <v>aws s3 cp s3://rtdc.mdm.uploadarchive.raw/RTDC4028/ "%USERPROFILE%\AppData\Local\Temp\OnboardLogs"\RTDC4028\2016-10-27 --exclude "*" --recursive --include "*20161027*" &amp; "%USERPROFILE%\Documents\GitHub\mrs-test-scripts\Headless Mode &amp; Sideloading\WalkAndUnGZ.bat" "%USERPROFILE%\AppData\Local\Temp\OnboardLogs"\RTDC4028\2016-10-27 &amp; 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</v>
      </c>
      <c r="AF225" s="88" t="str">
        <f t="shared" si="90"/>
        <v>"C:\Program Files (x86)\AstroGrep\AstroGrep.exe" /spath="%USERPROFILE%\AppData\Local\Temp\OnboardLogs" /stypes="app*4028*20161027*" /stext=" 16:.+((SYSTEM_STATE.+slice.+state.+changed )|(ment ac)|(system.+state.+changed )|(\[timeout)|(PRM\|1\|D)|(kpr)|(kdp)|(\|lc)|(penalty))" /e /r /s</v>
      </c>
      <c r="AG225" s="1" t="str">
        <f t="shared" si="84"/>
        <v>Other</v>
      </c>
      <c r="AH225" s="92" t="str">
        <f t="shared" si="91"/>
        <v>"%USERPROFILE%\Documents\GitHub\eaglep3\Utilities\RefineRTDCRunTimes.py" --tripid 50-27 --locoid 4028 --swversion DE.1.0.8.0 --startMP 300:23495 --initTime 2016-10-27T10:27:13 --startdatetime 2016-10-27T10:31:06 --delay 3 --endMP 204:908 --enddatetime 2016-10-27T10:38:58 --enforcementcount 0 &gt;&gt;C:\Users\stu\Documents\GitHub\eaglep3-reporting\EC\2016-10-27-refined-times.txt</v>
      </c>
      <c r="AI225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{"issue":{"subject":"","project_id":79,"tracker_id":40,"status_id":1,"priority_id":2,"assigned_to_id":23,"start_date":"2016-10-27","description":"","custom_fields":[{"id":1,"name":"Subdivision","value":"Other"},{"id":4,"name":"Milepost","value":"0.0908"},{"id":17,"name":"Train ID","value":"50-27"},{"id":16,"name":"Locomotive ID","value":"4028"},{"id":130,"name":"Impact","value":""},{"id":150,"name":"Time of Event (Mountain Time)","value":"10:38:58"},{"id":151,"name":"Denver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498</v>
      </c>
      <c r="B226" s="7">
        <v>4027</v>
      </c>
      <c r="C226" s="22" t="s">
        <v>326</v>
      </c>
      <c r="D226" s="22" t="s">
        <v>693</v>
      </c>
      <c r="E226" s="13">
        <v>42670.459270833337</v>
      </c>
      <c r="F226" s="13">
        <v>42670.472453703704</v>
      </c>
      <c r="G226" s="7">
        <v>3</v>
      </c>
      <c r="H226" s="13" t="s">
        <v>694</v>
      </c>
      <c r="I226" s="13">
        <v>42670.478541666664</v>
      </c>
      <c r="J226" s="7">
        <v>0</v>
      </c>
      <c r="K226" s="112" t="str">
        <f t="shared" si="74"/>
        <v>4027/4028</v>
      </c>
      <c r="L226" s="22" t="str">
        <f>VLOOKUP(A226,'Trips&amp;Operators'!$C$1:$E$10000,3,FALSE)</f>
        <v>BRANNON</v>
      </c>
      <c r="M226" s="6">
        <f t="shared" si="75"/>
        <v>6.0879629600094631E-3</v>
      </c>
      <c r="N226" s="7">
        <f t="shared" si="87"/>
        <v>8.7666666624136269</v>
      </c>
      <c r="O226" s="7"/>
      <c r="P226" s="7"/>
      <c r="Q226" s="23"/>
      <c r="R226" s="23"/>
      <c r="S226" s="35">
        <f t="shared" si="76"/>
        <v>0</v>
      </c>
      <c r="T226" s="50" t="e">
        <f t="shared" si="77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10:01:21-0600',mode:absolute,to:'2016-10-27 12:29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6" s="52" t="str">
        <f t="shared" si="79"/>
        <v>Y</v>
      </c>
      <c r="X226" s="177" t="e">
        <f t="shared" si="88"/>
        <v>#VALUE!</v>
      </c>
      <c r="Y226" s="67">
        <f t="shared" si="80"/>
        <v>0.12139999999999999</v>
      </c>
      <c r="Z226" s="67">
        <f t="shared" si="81"/>
        <v>2.4228999999999998</v>
      </c>
      <c r="AA226" s="67">
        <f t="shared" si="82"/>
        <v>2.3014999999999999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83"/>
        <v>51-27</v>
      </c>
      <c r="AE226" s="91" t="str">
        <f t="shared" si="89"/>
        <v>aws s3 cp s3://rtdc.mdm.uploadarchive.raw/RTDC4027/ "%USERPROFILE%\AppData\Local\Temp\OnboardLogs"\RTDC4027\2016-10-27 --exclude "*" --recursive --include "*20161027*" &amp; "%USERPROFILE%\Documents\GitHub\mrs-test-scripts\Headless Mode &amp; Sideloading\WalkAndUnGZ.bat" "%USERPROFILE%\AppData\Local\Temp\OnboardLogs"\RTDC4027\2016-10-27 &amp; 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</v>
      </c>
      <c r="AF226" s="88" t="str">
        <f t="shared" si="90"/>
        <v>"C:\Program Files (x86)\AstroGrep\AstroGrep.exe" /spath="%USERPROFILE%\AppData\Local\Temp\OnboardLogs" /stypes="app*4027*20161027*" /stext=" 17:.+((SYSTEM_STATE.+slice.+state.+changed )|(ment ac)|(system.+state.+changed )|(\[timeout)|(PRM\|1\|D)|(kpr)|(kdp)|(\|lc)|(penalty))" /e /r /s</v>
      </c>
      <c r="AG226" s="1" t="str">
        <f t="shared" si="84"/>
        <v>Other</v>
      </c>
      <c r="AH226" s="92" t="str">
        <f t="shared" si="91"/>
        <v>"%USERPROFILE%\Documents\GitHub\eaglep3\Utilities\RefineRTDCRunTimes.py" --tripid 51-27 --locoid 4027 --swversion DE.1.0.8.0 --startMP 204:1214 --initTime 2016-10-27T11:01:21 --startdatetime 2016-10-27T11:20:20 --delay 3 --endMP 300:24229 --enddatetime 2016-10-27T11:29:06 --enforcementcount 0 &gt;&gt;C:\Users\stu\Documents\GitHub\eaglep3-reporting\EC\2016-10-27-refined-times.txt</v>
      </c>
      <c r="AI226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{"issue":{"subject":"","project_id":79,"tracker_id":40,"status_id":1,"priority_id":2,"assigned_to_id":23,"start_date":"2016-10-27","description":"","custom_fields":[{"id":1,"name":"Subdivision","value":"Other"},{"id":4,"name":"Milepost","value":"2.4229"},{"id":17,"name":"Train ID","value":"51-27"},{"id":16,"name":"Locomotive ID","value":"4027"},{"id":130,"name":"Impact","value":""},{"id":150,"name":"Time of Event (Mountain Time)","value":"11:29:06"},{"id":151,"name":"Denver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496</v>
      </c>
      <c r="B227" s="7">
        <v>4030</v>
      </c>
      <c r="C227" s="22" t="s">
        <v>326</v>
      </c>
      <c r="D227" s="22" t="s">
        <v>695</v>
      </c>
      <c r="E227" s="13">
        <v>42670.460717592592</v>
      </c>
      <c r="F227" s="13">
        <v>42670.461793981478</v>
      </c>
      <c r="G227" s="7">
        <v>1</v>
      </c>
      <c r="H227" s="13" t="s">
        <v>696</v>
      </c>
      <c r="I227" s="13">
        <v>42670.467314814814</v>
      </c>
      <c r="J227" s="7">
        <v>0</v>
      </c>
      <c r="K227" s="112" t="str">
        <f t="shared" si="74"/>
        <v>4029/4030</v>
      </c>
      <c r="L227" s="22" t="str">
        <f>VLOOKUP(A227,'Trips&amp;Operators'!$C$1:$E$10000,3,FALSE)</f>
        <v>MOSES</v>
      </c>
      <c r="M227" s="6">
        <f t="shared" si="75"/>
        <v>5.5208333360496908E-3</v>
      </c>
      <c r="N227" s="7">
        <f t="shared" si="87"/>
        <v>7.9500000039115548</v>
      </c>
      <c r="O227" s="7"/>
      <c r="P227" s="7"/>
      <c r="Q227" s="23"/>
      <c r="R227" s="23"/>
      <c r="S227" s="35">
        <f t="shared" si="76"/>
        <v>0</v>
      </c>
      <c r="T227" s="50" t="e">
        <f t="shared" si="77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10:03:26-0600',mode:absolute,to:'2016-10-27 12:12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7" s="52" t="str">
        <f t="shared" si="79"/>
        <v>Y</v>
      </c>
      <c r="X227" s="177" t="e">
        <f t="shared" si="88"/>
        <v>#VALUE!</v>
      </c>
      <c r="Y227" s="67">
        <f t="shared" si="80"/>
        <v>2.2166000000000001</v>
      </c>
      <c r="Z227" s="67">
        <f t="shared" si="81"/>
        <v>1.2E-2</v>
      </c>
      <c r="AA227" s="67">
        <f t="shared" si="82"/>
        <v>2.2046000000000001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83"/>
        <v>52-27</v>
      </c>
      <c r="AE227" s="91" t="str">
        <f t="shared" si="89"/>
        <v>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 &amp; aws s3 cp s3://rtdc.mdm.uploadarchive.raw/RTDC4030/ "%USERPROFILE%\AppData\Local\Temp\OnboardLogs"\RTDC4030\2016-10-28 --exclude "*" --recursive --include "*20161028*" &amp; "%USERPROFILE%\Documents\GitHub\mrs-test-scripts\Headless Mode &amp; Sideloading\WalkAndUnGZ.bat" "%USERPROFILE%\AppData\Local\Temp\OnboardLogs"\RTDC4030\2016-10-28</v>
      </c>
      <c r="AF227" s="88" t="str">
        <f t="shared" si="90"/>
        <v>"C:\Program Files (x86)\AstroGrep\AstroGrep.exe" /spath="%USERPROFILE%\AppData\Local\Temp\OnboardLogs" /stypes="app*4030*20161027*" /stext=" 17:.+((SYSTEM_STATE.+slice.+state.+changed )|(ment ac)|(system.+state.+changed )|(\[timeout)|(PRM\|1\|D)|(kpr)|(kdp)|(\|lc)|(penalty))" /e /r /s</v>
      </c>
      <c r="AG227" s="1" t="str">
        <f t="shared" si="84"/>
        <v>Other</v>
      </c>
      <c r="AH227" s="92" t="str">
        <f t="shared" si="91"/>
        <v>"%USERPROFILE%\Documents\GitHub\eaglep3\Utilities\RefineRTDCRunTimes.py" --tripid 52-27 --locoid 4030 --swversion DE.1.0.8.0 --startMP 300:22166 --initTime 2016-10-27T11:03:26 --startdatetime 2016-10-27T11:04:59 --delay 1 --endMP 204:120 --enddatetime 2016-10-27T11:12:56 --enforcementcount 0 &gt;&gt;C:\Users\stu\Documents\GitHub\eaglep3-reporting\EC\2016-10-27-refined-times.txt</v>
      </c>
      <c r="AI227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{"issue":{"subject":"","project_id":79,"tracker_id":40,"status_id":1,"priority_id":2,"assigned_to_id":23,"start_date":"2016-10-27","description":"","custom_fields":[{"id":1,"name":"Subdivision","value":"Other"},{"id":4,"name":"Milepost","value":"0.012"},{"id":17,"name":"Train ID","value":"52-27"},{"id":16,"name":"Locomotive ID","value":"4030"},{"id":130,"name":"Impact","value":""},{"id":150,"name":"Time of Event (Mountain Time)","value":"11:12:56"},{"id":151,"name":"Denver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506</v>
      </c>
      <c r="B228" s="7">
        <v>4029</v>
      </c>
      <c r="C228" s="22" t="s">
        <v>326</v>
      </c>
      <c r="D228" s="22" t="s">
        <v>349</v>
      </c>
      <c r="E228" s="13">
        <v>42670.487870370373</v>
      </c>
      <c r="F228" s="13">
        <v>42670.496793981481</v>
      </c>
      <c r="G228" s="7">
        <v>3</v>
      </c>
      <c r="H228" s="13" t="s">
        <v>697</v>
      </c>
      <c r="I228" s="13">
        <v>42670.50377314815</v>
      </c>
      <c r="J228" s="7">
        <v>0</v>
      </c>
      <c r="K228" s="112" t="str">
        <f t="shared" si="74"/>
        <v>4029/4030</v>
      </c>
      <c r="L228" s="22" t="str">
        <f>VLOOKUP(A228,'Trips&amp;Operators'!$C$1:$E$10000,3,FALSE)</f>
        <v>STRICKLAND</v>
      </c>
      <c r="M228" s="6">
        <f t="shared" si="75"/>
        <v>6.9791666683158837E-3</v>
      </c>
      <c r="N228" s="7">
        <f t="shared" si="87"/>
        <v>10.050000002374873</v>
      </c>
      <c r="O228" s="7"/>
      <c r="P228" s="7"/>
      <c r="Q228" s="23"/>
      <c r="R228" s="23"/>
      <c r="S228" s="35">
        <f t="shared" si="76"/>
        <v>0</v>
      </c>
      <c r="T228" s="50" t="e">
        <f t="shared" si="77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https://search-rtdc-monitor-bjffxe2xuh6vdkpspy63sjmuny.us-east-1.es.amazonaws.com/_plugin/kibana/#/discover/Steve-Slow-Train-Analysis-(2080s-and-2083s)?_g=(refreshInterval:(display:Off,section:0,value:0),time:(from:'2016-10-27 10:42:32-0600',mode:absolute,to:'2016-10-27 13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8" s="52" t="str">
        <f t="shared" si="79"/>
        <v>Y</v>
      </c>
      <c r="X228" s="177" t="e">
        <f t="shared" si="88"/>
        <v>#VALUE!</v>
      </c>
      <c r="Y228" s="67">
        <f t="shared" si="80"/>
        <v>4.3499999999999997E-2</v>
      </c>
      <c r="Z228" s="67">
        <f t="shared" si="81"/>
        <v>2.4207999999999998</v>
      </c>
      <c r="AA228" s="67">
        <f t="shared" si="82"/>
        <v>2.3773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83"/>
        <v>53-27</v>
      </c>
      <c r="AE228" s="91" t="str">
        <f t="shared" si="89"/>
        <v>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 &amp; aws s3 cp s3://rtdc.mdm.uploadarchive.raw/RTDC4029/ "%USERPROFILE%\AppData\Local\Temp\OnboardLogs"\RTDC4029\2016-10-28 --exclude "*" --recursive --include "*20161028*" &amp; "%USERPROFILE%\Documents\GitHub\mrs-test-scripts\Headless Mode &amp; Sideloading\WalkAndUnGZ.bat" "%USERPROFILE%\AppData\Local\Temp\OnboardLogs"\RTDC4029\2016-10-28</v>
      </c>
      <c r="AF228" s="88" t="str">
        <f t="shared" si="90"/>
        <v>"C:\Program Files (x86)\AstroGrep\AstroGrep.exe" /spath="%USERPROFILE%\AppData\Local\Temp\OnboardLogs" /stypes="app*4029*20161027*" /stext=" 18:.+((SYSTEM_STATE.+slice.+state.+changed )|(ment ac)|(system.+state.+changed )|(\[timeout)|(PRM\|1\|D)|(kpr)|(kdp)|(\|lc)|(penalty))" /e /r /s</v>
      </c>
      <c r="AG228" s="1" t="str">
        <f t="shared" si="84"/>
        <v>Other</v>
      </c>
      <c r="AH228" s="92" t="str">
        <f t="shared" si="91"/>
        <v>"%USERPROFILE%\Documents\GitHub\eaglep3\Utilities\RefineRTDCRunTimes.py" --tripid 53-27 --locoid 4029 --swversion DE.1.0.8.0 --startMP 204:435 --initTime 2016-10-27T11:42:32 --startdatetime 2016-10-27T11:55:23 --delay 3 --endMP 300:24208 --enddatetime 2016-10-27T12:05:26 --enforcementcount 0 &gt;&gt;C:\Users\stu\Documents\GitHub\eaglep3-reporting\EC\2016-10-27-refined-times.txt</v>
      </c>
      <c r="AI228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{"issue":{"subject":"","project_id":79,"tracker_id":40,"status_id":1,"priority_id":2,"assigned_to_id":23,"start_date":"2016-10-27","description":"","custom_fields":[{"id":1,"name":"Subdivision","value":"Other"},{"id":4,"name":"Milepost","value":"2.4208"},{"id":17,"name":"Train ID","value":"53-27"},{"id":16,"name":"Locomotive ID","value":"4029"},{"id":130,"name":"Impact","value":""},{"id":150,"name":"Time of Event (Mountain Time)","value":"12:05:26"},{"id":151,"name":"Denver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565</v>
      </c>
      <c r="B229" s="7">
        <v>4030</v>
      </c>
      <c r="C229" s="22" t="s">
        <v>326</v>
      </c>
      <c r="D229" s="22" t="s">
        <v>698</v>
      </c>
      <c r="E229" s="13">
        <v>42670.735555555555</v>
      </c>
      <c r="F229" s="13">
        <v>42670.737256944441</v>
      </c>
      <c r="G229" s="7">
        <v>2</v>
      </c>
      <c r="H229" s="13" t="s">
        <v>699</v>
      </c>
      <c r="I229" s="13">
        <v>42670.742303240739</v>
      </c>
      <c r="J229" s="7">
        <v>0</v>
      </c>
      <c r="K229" s="112" t="str">
        <f t="shared" ref="K229:K243" si="93">IF(ISEVEN(B229),(B229-1)&amp;"/"&amp;B229,B229&amp;"/"&amp;(B229+1))</f>
        <v>4029/4030</v>
      </c>
      <c r="L229" s="22" t="str">
        <f>VLOOKUP(A229,'Trips&amp;Operators'!$C$1:$E$10000,3,FALSE)</f>
        <v>LEVIN</v>
      </c>
      <c r="M229" s="6">
        <f t="shared" ref="M229:M243" si="94">I229-F229</f>
        <v>5.0462962972233072E-3</v>
      </c>
      <c r="N229" s="7">
        <f t="shared" si="87"/>
        <v>7.2666666680015624</v>
      </c>
      <c r="O229" s="7"/>
      <c r="P229" s="7"/>
      <c r="Q229" s="23"/>
      <c r="R229" s="23"/>
      <c r="S229" s="35">
        <f t="shared" ref="S229:S243" si="95">SUM(U229:U229)/IF(AG229="EC",12,1)</f>
        <v>0</v>
      </c>
      <c r="T229" s="50" t="e">
        <f t="shared" ref="T229:T243" si="96">IF(ISEVEN(LEFT(AD229,4)),"Southbound","NorthBound")</f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ref="V229:V243" si="97">"https://search-rtdc-monitor-bjffxe2xuh6vdkpspy63sjmuny.us-east-1.es.amazonaws.com/_plugin/kibana/#/discover/Steve-Slow-Train-Analysis-(2080s-and-2083s)?_g=(refreshInterval:(display:Off,section:0,value:0),time:(from:'"&amp;TEXT(E229-1/24,"yyyy-MM-DD hh:mm:ss")&amp;"-0600',mode:absolute,to:'"&amp;TEXT(I229+1/24,"yyyy-MM-DD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https://search-rtdc-monitor-bjffxe2xuh6vdkpspy63sjmuny.us-east-1.es.amazonaws.com/_plugin/kibana/#/discover/Steve-Slow-Train-Analysis-(2080s-and-2083s)?_g=(refreshInterval:(display:Off,section:0,value:0),time:(from:'2016-10-27 16:39:12-0600',mode:absolute,to:'2016-10-27 18:48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9" s="52" t="str">
        <f t="shared" ref="W229:W243" si="98">IF(AA229&lt;IF(AG229="EC",23,5.65),"Y","N")</f>
        <v>Y</v>
      </c>
      <c r="X229" s="177" t="e">
        <f t="shared" si="88"/>
        <v>#VALUE!</v>
      </c>
      <c r="Y229" s="67">
        <f t="shared" ref="Y229:Y243" si="99">RIGHT(D229,LEN(D229)-4)/10000</f>
        <v>2.3740999999999999</v>
      </c>
      <c r="Z229" s="67">
        <f t="shared" ref="Z229:Z243" si="100">RIGHT(H229,LEN(H229)-4)/10000</f>
        <v>0.1173</v>
      </c>
      <c r="AA229" s="67">
        <f t="shared" ref="AA229:AA243" si="101">ABS(Z229-Y229)</f>
        <v>2.2567999999999997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ref="AD229:AD243" si="102">IF(LEN(A229)=6,"0"&amp;A229,A229)</f>
        <v>54-27</v>
      </c>
      <c r="AE229" s="91" t="str">
        <f t="shared" si="89"/>
        <v>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 &amp; aws s3 cp s3://rtdc.mdm.uploadarchive.raw/RTDC4030/ "%USERPROFILE%\AppData\Local\Temp\OnboardLogs"\RTDC4030\2016-10-28 --exclude "*" --recursive --include "*20161028*" &amp; "%USERPROFILE%\Documents\GitHub\mrs-test-scripts\Headless Mode &amp; Sideloading\WalkAndUnGZ.bat" "%USERPROFILE%\AppData\Local\Temp\OnboardLogs"\RTDC4030\2016-10-28</v>
      </c>
      <c r="AF229" s="88" t="str">
        <f t="shared" si="90"/>
        <v>"C:\Program Files (x86)\AstroGrep\AstroGrep.exe" /spath="%USERPROFILE%\AppData\Local\Temp\OnboardLogs" /stypes="app*4030*20161027*" /stext=" 23:.+((SYSTEM_STATE.+slice.+state.+changed )|(ment ac)|(system.+state.+changed )|(\[timeout)|(PRM\|1\|D)|(kpr)|(kdp)|(\|lc)|(penalty))" /e /r /s</v>
      </c>
      <c r="AG229" s="1" t="str">
        <f t="shared" ref="AG229:AG243" si="103">IFERROR(IF(VALUE(LEFT(AD229,2))&lt;=2,"EC",IF(OR(VALUE(LEFT(AD229,2))=8,VALUE(LEFT(AD229,2))=18),"NW","Other")),"Other")</f>
        <v>Other</v>
      </c>
      <c r="AH229" s="92" t="str">
        <f t="shared" si="91"/>
        <v>"%USERPROFILE%\Documents\GitHub\eaglep3\Utilities\RefineRTDCRunTimes.py" --tripid 54-27 --locoid 4030 --swversion DE.1.0.8.0 --startMP 300:23741 --initTime 2016-10-27T17:39:12 --startdatetime 2016-10-27T17:41:39 --delay 2 --endMP 204:1173 --enddatetime 2016-10-27T17:48:55 --enforcementcount 0 &gt;&gt;C:\Users\stu\Documents\GitHub\eaglep3-reporting\EC\2016-10-27-refined-times.txt</v>
      </c>
      <c r="AI229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{"issue":{"subject":"","project_id":79,"tracker_id":40,"status_id":1,"priority_id":2,"assigned_to_id":23,"start_date":"2016-10-27","description":"","custom_fields":[{"id":1,"name":"Subdivision","value":"Other"},{"id":4,"name":"Milepost","value":"0.1173"},{"id":17,"name":"Train ID","value":"54-27"},{"id":16,"name":"Locomotive ID","value":"4030"},{"id":130,"name":"Impact","value":""},{"id":150,"name":"Time of Event (Mountain Time)","value":"17:48:55"},{"id":151,"name":"Denver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418</v>
      </c>
      <c r="B230" s="7">
        <v>4045</v>
      </c>
      <c r="C230" s="22" t="s">
        <v>326</v>
      </c>
      <c r="D230" s="22" t="s">
        <v>700</v>
      </c>
      <c r="E230" s="13">
        <v>42670.737650462965</v>
      </c>
      <c r="F230" s="13">
        <v>42670.739328703705</v>
      </c>
      <c r="G230" s="7">
        <v>1</v>
      </c>
      <c r="H230" s="13" t="s">
        <v>701</v>
      </c>
      <c r="I230" s="13">
        <v>42670.745775462965</v>
      </c>
      <c r="J230" s="7">
        <v>0</v>
      </c>
      <c r="K230" s="112" t="str">
        <f t="shared" si="93"/>
        <v>4045/4046</v>
      </c>
      <c r="L230" s="22" t="str">
        <f>VLOOKUP(A230,'Trips&amp;Operators'!$C$1:$E$10000,3,FALSE)</f>
        <v>MATTHEWS</v>
      </c>
      <c r="M230" s="6">
        <f t="shared" si="94"/>
        <v>6.4467592601431534E-3</v>
      </c>
      <c r="N230" s="7">
        <f t="shared" ref="N230:N243" si="104">24*60*SUM($M230:$M230)</f>
        <v>9.2833333346061409</v>
      </c>
      <c r="O230" s="7"/>
      <c r="P230" s="7"/>
      <c r="Q230" s="23"/>
      <c r="R230" s="23"/>
      <c r="S230" s="35">
        <f t="shared" si="95"/>
        <v>0</v>
      </c>
      <c r="T230" s="50" t="e">
        <f t="shared" si="96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16:42:13-0600',mode:absolute,to:'2016-10-27 18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30" s="52" t="str">
        <f t="shared" si="98"/>
        <v>Y</v>
      </c>
      <c r="X230" s="177" t="e">
        <f t="shared" si="88"/>
        <v>#VALUE!</v>
      </c>
      <c r="Y230" s="67">
        <f t="shared" si="99"/>
        <v>2.3163999999999998</v>
      </c>
      <c r="Z230" s="67">
        <f t="shared" si="100"/>
        <v>0.1623</v>
      </c>
      <c r="AA230" s="67">
        <f t="shared" si="101"/>
        <v>2.1540999999999997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102"/>
        <v>56-27</v>
      </c>
      <c r="AE230" s="91" t="str">
        <f t="shared" si="89"/>
        <v>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 &amp; aws s3 cp s3://rtdc.mdm.uploadarchive.raw/RTDC4045/ "%USERPROFILE%\AppData\Local\Temp\OnboardLogs"\RTDC4045\2016-10-28 --exclude "*" --recursive --include "*20161028*" &amp; "%USERPROFILE%\Documents\GitHub\mrs-test-scripts\Headless Mode &amp; Sideloading\WalkAndUnGZ.bat" "%USERPROFILE%\AppData\Local\Temp\OnboardLogs"\RTDC4045\2016-10-28</v>
      </c>
      <c r="AF230" s="88" t="str">
        <f t="shared" si="90"/>
        <v>"C:\Program Files (x86)\AstroGrep\AstroGrep.exe" /spath="%USERPROFILE%\AppData\Local\Temp\OnboardLogs" /stypes="app*4045*20161027*" /stext=" 23:.+((SYSTEM_STATE.+slice.+state.+changed )|(ment ac)|(system.+state.+changed )|(\[timeout)|(PRM\|1\|D)|(kpr)|(kdp)|(\|lc)|(penalty))" /e /r /s</v>
      </c>
      <c r="AG230" s="1" t="str">
        <f t="shared" si="103"/>
        <v>Other</v>
      </c>
      <c r="AH230" s="92" t="str">
        <f t="shared" si="91"/>
        <v>"%USERPROFILE%\Documents\GitHub\eaglep3\Utilities\RefineRTDCRunTimes.py" --tripid 56-27 --locoid 4045 --swversion DE.1.0.8.0 --startMP 300:23164 --initTime 2016-10-27T17:42:13 --startdatetime 2016-10-27T17:44:38 --delay 1 --endMP 204:1623 --enddatetime 2016-10-27T17:53:55 --enforcementcount 0 &gt;&gt;C:\Users\stu\Documents\GitHub\eaglep3-reporting\EC\2016-10-27-refined-times.txt</v>
      </c>
      <c r="AI230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{"issue":{"subject":"","project_id":79,"tracker_id":40,"status_id":1,"priority_id":2,"assigned_to_id":23,"start_date":"2016-10-27","description":"","custom_fields":[{"id":1,"name":"Subdivision","value":"Other"},{"id":4,"name":"Milepost","value":"0.1623"},{"id":17,"name":"Train ID","value":"56-27"},{"id":16,"name":"Locomotive ID","value":"4045"},{"id":130,"name":"Impact","value":""},{"id":150,"name":"Time of Event (Mountain Time)","value":"17:53:55"},{"id":151,"name":"Denver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339</v>
      </c>
      <c r="B231" s="7">
        <v>4051</v>
      </c>
      <c r="C231" s="22" t="s">
        <v>326</v>
      </c>
      <c r="D231" s="22" t="s">
        <v>702</v>
      </c>
      <c r="E231" s="13">
        <v>42670.138449074075</v>
      </c>
      <c r="F231" s="13">
        <v>42670.165752314817</v>
      </c>
      <c r="G231" s="7">
        <v>1</v>
      </c>
      <c r="H231" s="13" t="s">
        <v>703</v>
      </c>
      <c r="I231" s="13">
        <v>42670.182488425926</v>
      </c>
      <c r="J231" s="7">
        <v>0</v>
      </c>
      <c r="K231" s="112" t="str">
        <f t="shared" si="93"/>
        <v>4051/4052</v>
      </c>
      <c r="L231" s="22" t="str">
        <f>VLOOKUP(A231,'Trips&amp;Operators'!$C$1:$E$10000,3,FALSE)</f>
        <v>YOUNG</v>
      </c>
      <c r="M231" s="6">
        <f t="shared" si="94"/>
        <v>1.6736111108912155E-2</v>
      </c>
      <c r="N231" s="7">
        <f t="shared" si="104"/>
        <v>24.099999996833503</v>
      </c>
      <c r="O231" s="7"/>
      <c r="P231" s="7"/>
      <c r="Q231" s="23"/>
      <c r="R231" s="23"/>
      <c r="S231" s="35">
        <f t="shared" si="95"/>
        <v>0</v>
      </c>
      <c r="T231" s="50" t="e">
        <f t="shared" si="96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02:19:22-0600',mode:absolute,to:'2016-10-27 05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1" s="52" t="str">
        <f t="shared" si="98"/>
        <v>N</v>
      </c>
      <c r="X231" s="177" t="e">
        <f t="shared" si="88"/>
        <v>#VALUE!</v>
      </c>
      <c r="Y231" s="67">
        <f t="shared" si="99"/>
        <v>1.0093000000000001</v>
      </c>
      <c r="Z231" s="67">
        <f t="shared" si="100"/>
        <v>12.828099999999999</v>
      </c>
      <c r="AA231" s="67">
        <f t="shared" si="101"/>
        <v>11.8188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102"/>
        <v>58-26</v>
      </c>
      <c r="AE231" s="91" t="str">
        <f t="shared" si="89"/>
        <v>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 &amp; 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</v>
      </c>
      <c r="AF231" s="88" t="str">
        <f t="shared" si="90"/>
        <v>"C:\Program Files (x86)\AstroGrep\AstroGrep.exe" /spath="%USERPROFILE%\AppData\Local\Temp\OnboardLogs" /stypes="app*4051*20161027*" /stext=" 10:.+((SYSTEM_STATE.+slice.+state.+changed )|(ment ac)|(system.+state.+changed )|(\[timeout)|(PRM\|1\|D)|(kpr)|(kdp)|(\|lc)|(penalty))" /e /r /s</v>
      </c>
      <c r="AG231" s="1" t="str">
        <f t="shared" si="103"/>
        <v>Other</v>
      </c>
      <c r="AH231" s="92" t="str">
        <f t="shared" si="91"/>
        <v>"%USERPROFILE%\Documents\GitHub\eaglep3\Utilities\RefineRTDCRunTimes.py" --tripid 58-26 --locoid 4051 --swversion DE.1.0.8.0 --startMP 204:10093 --initTime 2016-10-27T03:19:22 --startdatetime 2016-10-27T03:58:41 --delay 1 --endMP 204:128281 --enddatetime 2016-10-27T04:22:47 --enforcementcount 0 &gt;&gt;C:\Users\stu\Documents\GitHub\eaglep3-reporting\EC\2016-10-27-refined-times.txt</v>
      </c>
      <c r="AI231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{"issue":{"subject":"","project_id":79,"tracker_id":40,"status_id":1,"priority_id":2,"assigned_to_id":23,"start_date":"2016-10-27","description":"","custom_fields":[{"id":1,"name":"Subdivision","value":"Other"},{"id":4,"name":"Milepost","value":"12.8281"},{"id":17,"name":"Train ID","value":"58-26"},{"id":16,"name":"Locomotive ID","value":"4051"},{"id":130,"name":"Impact","value":""},{"id":150,"name":"Time of Event (Mountain Time)","value":"04:22:47"},{"id":151,"name":"Denver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339</v>
      </c>
      <c r="B232" s="7">
        <v>4051</v>
      </c>
      <c r="C232" s="22" t="s">
        <v>326</v>
      </c>
      <c r="D232" s="22" t="s">
        <v>359</v>
      </c>
      <c r="E232" s="13">
        <v>42670.098611111112</v>
      </c>
      <c r="F232" s="13">
        <v>42670.147858796299</v>
      </c>
      <c r="G232" s="7">
        <v>1</v>
      </c>
      <c r="H232" s="13" t="s">
        <v>360</v>
      </c>
      <c r="I232" s="13">
        <v>42670.161932870367</v>
      </c>
      <c r="J232" s="7">
        <v>0</v>
      </c>
      <c r="K232" s="112" t="str">
        <f t="shared" si="93"/>
        <v>4051/4052</v>
      </c>
      <c r="L232" s="22" t="str">
        <f>VLOOKUP(A232,'Trips&amp;Operators'!$C$1:$E$10000,3,FALSE)</f>
        <v>YOUNG</v>
      </c>
      <c r="M232" s="6">
        <f t="shared" si="94"/>
        <v>1.4074074068048503E-2</v>
      </c>
      <c r="N232" s="7">
        <f t="shared" si="104"/>
        <v>20.266666657989845</v>
      </c>
      <c r="O232" s="7"/>
      <c r="P232" s="7"/>
      <c r="Q232" s="23"/>
      <c r="R232" s="23"/>
      <c r="S232" s="35">
        <f t="shared" si="95"/>
        <v>0</v>
      </c>
      <c r="T232" s="50" t="e">
        <f t="shared" si="96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01:22:00-0600',mode:absolute,to:'2016-10-27 04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2" s="52" t="str">
        <f t="shared" si="98"/>
        <v>N</v>
      </c>
      <c r="X232" s="177" t="e">
        <f t="shared" si="88"/>
        <v>#VALUE!</v>
      </c>
      <c r="Y232" s="67">
        <f t="shared" si="99"/>
        <v>1.0228999999999999</v>
      </c>
      <c r="Z232" s="67">
        <f t="shared" si="100"/>
        <v>12.8268</v>
      </c>
      <c r="AA232" s="67">
        <f t="shared" si="101"/>
        <v>11.803900000000001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102"/>
        <v>58-26</v>
      </c>
      <c r="AE232" s="91" t="str">
        <f t="shared" si="89"/>
        <v>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 &amp; 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</v>
      </c>
      <c r="AF232" s="88" t="str">
        <f t="shared" si="90"/>
        <v>"C:\Program Files (x86)\AstroGrep\AstroGrep.exe" /spath="%USERPROFILE%\AppData\Local\Temp\OnboardLogs" /stypes="app*4051*20161027*" /stext=" 09:.+((SYSTEM_STATE.+slice.+state.+changed )|(ment ac)|(system.+state.+changed )|(\[timeout)|(PRM\|1\|D)|(kpr)|(kdp)|(\|lc)|(penalty))" /e /r /s</v>
      </c>
      <c r="AG232" s="1" t="str">
        <f t="shared" si="103"/>
        <v>Other</v>
      </c>
      <c r="AH232" s="92" t="str">
        <f t="shared" si="91"/>
        <v>"%USERPROFILE%\Documents\GitHub\eaglep3\Utilities\RefineRTDCRunTimes.py" --tripid 58-26 --locoid 4051 --swversion DE.1.0.8.0 --startMP 204:10229 --initTime 2016-10-27T02:22:00 --startdatetime 2016-10-27T03:32:55 --delay 1 --endMP 204:128268 --enddatetime 2016-10-27T03:53:11 --enforcementcount 0 &gt;&gt;C:\Users\stu\Documents\GitHub\eaglep3-reporting\EC\2016-10-27-refined-times.txt</v>
      </c>
      <c r="AI232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{"issue":{"subject":"","project_id":79,"tracker_id":40,"status_id":1,"priority_id":2,"assigned_to_id":23,"start_date":"2016-10-27","description":"","custom_fields":[{"id":1,"name":"Subdivision","value":"Other"},{"id":4,"name":"Milepost","value":"12.8268"},{"id":17,"name":"Train ID","value":"58-26"},{"id":16,"name":"Locomotive ID","value":"4051"},{"id":130,"name":"Impact","value":""},{"id":150,"name":"Time of Event (Mountain Time)","value":"03:53:11"},{"id":151,"name":"Denver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339</v>
      </c>
      <c r="B233" s="7">
        <v>4052</v>
      </c>
      <c r="C233" s="22" t="s">
        <v>326</v>
      </c>
      <c r="D233" s="22" t="s">
        <v>362</v>
      </c>
      <c r="E233" s="13">
        <v>42670.079004629632</v>
      </c>
      <c r="F233" s="13">
        <v>42670.100995370369</v>
      </c>
      <c r="G233" s="7">
        <v>2</v>
      </c>
      <c r="H233" s="13" t="s">
        <v>363</v>
      </c>
      <c r="I233" s="13">
        <v>42670.115451388891</v>
      </c>
      <c r="J233" s="7">
        <v>0</v>
      </c>
      <c r="K233" s="112" t="str">
        <f t="shared" si="93"/>
        <v>4051/4052</v>
      </c>
      <c r="L233" s="22" t="str">
        <f>VLOOKUP(A233,'Trips&amp;Operators'!$C$1:$E$10000,3,FALSE)</f>
        <v>YOUNG</v>
      </c>
      <c r="M233" s="6">
        <f t="shared" si="94"/>
        <v>1.4456018521741498E-2</v>
      </c>
      <c r="N233" s="7">
        <f t="shared" si="104"/>
        <v>20.816666671307757</v>
      </c>
      <c r="O233" s="7"/>
      <c r="P233" s="7"/>
      <c r="Q233" s="23"/>
      <c r="R233" s="23"/>
      <c r="S233" s="35">
        <f t="shared" si="95"/>
        <v>0</v>
      </c>
      <c r="T233" s="50" t="e">
        <f t="shared" si="96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00:53:46-0600',mode:absolute,to:'2016-10-27 03:46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3" s="52" t="str">
        <f t="shared" si="98"/>
        <v>N</v>
      </c>
      <c r="X233" s="177" t="e">
        <f t="shared" si="88"/>
        <v>#VALUE!</v>
      </c>
      <c r="Y233" s="67">
        <f t="shared" si="99"/>
        <v>12.8001</v>
      </c>
      <c r="Z233" s="67">
        <f t="shared" si="100"/>
        <v>0.99929999999999997</v>
      </c>
      <c r="AA233" s="67">
        <f t="shared" si="101"/>
        <v>11.800800000000001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102"/>
        <v>58-26</v>
      </c>
      <c r="AE233" s="91" t="str">
        <f t="shared" si="89"/>
        <v>aws s3 cp s3://rtdc.mdm.uploadarchive.raw/RTDC4052/ "%USERPROFILE%\AppData\Local\Temp\OnboardLogs"\RTDC4052\2016-10-27 --exclude "*" --recursive --include "*20161027*" &amp; "%USERPROFILE%\Documents\GitHub\mrs-test-scripts\Headless Mode &amp; Sideloading\WalkAndUnGZ.bat" "%USERPROFILE%\AppData\Local\Temp\OnboardLogs"\RTDC4052\2016-10-27 &amp; 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</v>
      </c>
      <c r="AF233" s="88" t="str">
        <f t="shared" si="90"/>
        <v>"C:\Program Files (x86)\AstroGrep\AstroGrep.exe" /spath="%USERPROFILE%\AppData\Local\Temp\OnboardLogs" /stypes="app*4052*20161027*" /stext=" 08:.+((SYSTEM_STATE.+slice.+state.+changed )|(ment ac)|(system.+state.+changed )|(\[timeout)|(PRM\|1\|D)|(kpr)|(kdp)|(\|lc)|(penalty))" /e /r /s</v>
      </c>
      <c r="AG233" s="1" t="str">
        <f t="shared" si="103"/>
        <v>Other</v>
      </c>
      <c r="AH233" s="92" t="str">
        <f t="shared" si="91"/>
        <v>"%USERPROFILE%\Documents\GitHub\eaglep3\Utilities\RefineRTDCRunTimes.py" --tripid 58-26 --locoid 4052 --swversion DE.1.0.8.0 --startMP 204:128001 --initTime 2016-10-27T01:53:46 --startdatetime 2016-10-27T02:25:26 --delay 2 --endMP 204:9993 --enddatetime 2016-10-27T02:46:15 --enforcementcount 0 &gt;&gt;C:\Users\stu\Documents\GitHub\eaglep3-reporting\EC\2016-10-27-refined-times.txt</v>
      </c>
      <c r="AI233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{"issue":{"subject":"","project_id":79,"tracker_id":40,"status_id":1,"priority_id":2,"assigned_to_id":23,"start_date":"2016-10-27","description":"","custom_fields":[{"id":1,"name":"Subdivision","value":"Other"},{"id":4,"name":"Milepost","value":"0.9993"},{"id":17,"name":"Train ID","value":"58-26"},{"id":16,"name":"Locomotive ID","value":"4052"},{"id":130,"name":"Impact","value":""},{"id":150,"name":"Time of Event (Mountain Time)","value":"02:46:15"},{"id":151,"name":"Denver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339</v>
      </c>
      <c r="B234" s="7">
        <v>4052</v>
      </c>
      <c r="C234" s="22" t="s">
        <v>326</v>
      </c>
      <c r="D234" s="22" t="s">
        <v>704</v>
      </c>
      <c r="E234" s="13">
        <v>42670.11818287037</v>
      </c>
      <c r="F234" s="13">
        <v>42670.147858796299</v>
      </c>
      <c r="G234" s="7">
        <v>1</v>
      </c>
      <c r="H234" s="13" t="s">
        <v>705</v>
      </c>
      <c r="I234" s="13">
        <v>42670.161932870367</v>
      </c>
      <c r="J234" s="7">
        <v>0</v>
      </c>
      <c r="K234" s="112" t="str">
        <f t="shared" si="93"/>
        <v>4051/4052</v>
      </c>
      <c r="L234" s="22" t="str">
        <f>VLOOKUP(A234,'Trips&amp;Operators'!$C$1:$E$10000,3,FALSE)</f>
        <v>YOUNG</v>
      </c>
      <c r="M234" s="6">
        <f t="shared" si="94"/>
        <v>1.4074074068048503E-2</v>
      </c>
      <c r="N234" s="7">
        <f t="shared" si="104"/>
        <v>20.266666657989845</v>
      </c>
      <c r="O234" s="7"/>
      <c r="P234" s="7"/>
      <c r="Q234" s="23"/>
      <c r="R234" s="23"/>
      <c r="S234" s="35">
        <f t="shared" si="95"/>
        <v>0</v>
      </c>
      <c r="T234" s="50" t="e">
        <f t="shared" si="96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01:50:11-0600',mode:absolute,to:'2016-10-27 04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4" s="52" t="str">
        <f t="shared" si="98"/>
        <v>N</v>
      </c>
      <c r="X234" s="177" t="e">
        <f t="shared" ref="X234:X243" si="105">VALUE(LEFT(AD234,4))-VALUE(LEFT(AD233,4))</f>
        <v>#VALUE!</v>
      </c>
      <c r="Y234" s="67">
        <f t="shared" si="99"/>
        <v>12.801399999999999</v>
      </c>
      <c r="Z234" s="67">
        <f t="shared" si="100"/>
        <v>0.98499999999999999</v>
      </c>
      <c r="AA234" s="67">
        <f t="shared" si="101"/>
        <v>11.8164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102"/>
        <v>58-26</v>
      </c>
      <c r="AE234" s="91" t="str">
        <f t="shared" si="89"/>
        <v>aws s3 cp s3://rtdc.mdm.uploadarchive.raw/RTDC4052/ "%USERPROFILE%\AppData\Local\Temp\OnboardLogs"\RTDC4052\2016-10-27 --exclude "*" --recursive --include "*20161027*" &amp; "%USERPROFILE%\Documents\GitHub\mrs-test-scripts\Headless Mode &amp; Sideloading\WalkAndUnGZ.bat" "%USERPROFILE%\AppData\Local\Temp\OnboardLogs"\RTDC4052\2016-10-27 &amp; 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</v>
      </c>
      <c r="AF234" s="88" t="str">
        <f t="shared" si="90"/>
        <v>"C:\Program Files (x86)\AstroGrep\AstroGrep.exe" /spath="%USERPROFILE%\AppData\Local\Temp\OnboardLogs" /stypes="app*4052*20161027*" /stext=" 09:.+((SYSTEM_STATE.+slice.+state.+changed )|(ment ac)|(system.+state.+changed )|(\[timeout)|(PRM\|1\|D)|(kpr)|(kdp)|(\|lc)|(penalty))" /e /r /s</v>
      </c>
      <c r="AG234" s="1" t="str">
        <f t="shared" si="103"/>
        <v>Other</v>
      </c>
      <c r="AH234" s="92" t="str">
        <f t="shared" si="91"/>
        <v>"%USERPROFILE%\Documents\GitHub\eaglep3\Utilities\RefineRTDCRunTimes.py" --tripid 58-26 --locoid 4052 --swversion DE.1.0.8.0 --startMP 204:128014 --initTime 2016-10-27T02:50:11 --startdatetime 2016-10-27T03:32:55 --delay 1 --endMP 204:9850 --enddatetime 2016-10-27T03:53:11 --enforcementcount 0 &gt;&gt;C:\Users\stu\Documents\GitHub\eaglep3-reporting\EC\2016-10-27-refined-times.txt</v>
      </c>
      <c r="AI234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{"issue":{"subject":"","project_id":79,"tracker_id":40,"status_id":1,"priority_id":2,"assigned_to_id":23,"start_date":"2016-10-27","description":"","custom_fields":[{"id":1,"name":"Subdivision","value":"Other"},{"id":4,"name":"Milepost","value":"0.985"},{"id":17,"name":"Train ID","value":"58-26"},{"id":16,"name":"Locomotive ID","value":"4052"},{"id":130,"name":"Impact","value":""},{"id":150,"name":"Time of Event (Mountain Time)","value":"03:53:11"},{"id":151,"name":"Denver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339</v>
      </c>
      <c r="B235" s="7">
        <v>4052</v>
      </c>
      <c r="C235" s="22" t="s">
        <v>326</v>
      </c>
      <c r="D235" s="22" t="s">
        <v>704</v>
      </c>
      <c r="E235" s="13">
        <v>42670.1641087963</v>
      </c>
      <c r="F235" s="13">
        <v>42670.165752314817</v>
      </c>
      <c r="G235" s="7">
        <v>1</v>
      </c>
      <c r="H235" s="13" t="s">
        <v>706</v>
      </c>
      <c r="I235" s="13">
        <v>42670.182488425926</v>
      </c>
      <c r="J235" s="7">
        <v>0</v>
      </c>
      <c r="K235" s="112" t="str">
        <f t="shared" si="93"/>
        <v>4051/4052</v>
      </c>
      <c r="L235" s="22" t="str">
        <f>VLOOKUP(A235,'Trips&amp;Operators'!$C$1:$E$10000,3,FALSE)</f>
        <v>YOUNG</v>
      </c>
      <c r="M235" s="6">
        <f t="shared" si="94"/>
        <v>1.6736111108912155E-2</v>
      </c>
      <c r="N235" s="7">
        <f t="shared" si="104"/>
        <v>24.099999996833503</v>
      </c>
      <c r="O235" s="7"/>
      <c r="P235" s="7"/>
      <c r="Q235" s="23"/>
      <c r="R235" s="23"/>
      <c r="S235" s="35">
        <f t="shared" si="95"/>
        <v>0</v>
      </c>
      <c r="T235" s="50" t="e">
        <f t="shared" si="96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02:56:19-0600',mode:absolute,to:'2016-10-27 05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5" s="52" t="str">
        <f t="shared" si="98"/>
        <v>N</v>
      </c>
      <c r="X235" s="177" t="e">
        <f t="shared" si="105"/>
        <v>#VALUE!</v>
      </c>
      <c r="Y235" s="67">
        <f t="shared" si="99"/>
        <v>12.801399999999999</v>
      </c>
      <c r="Z235" s="67">
        <f t="shared" si="100"/>
        <v>1.4200000000000001E-2</v>
      </c>
      <c r="AA235" s="67">
        <f t="shared" si="101"/>
        <v>12.787199999999999</v>
      </c>
      <c r="AB235" s="64" t="e">
        <f>VLOOKUP(A235,Enforcements!$C$7:$K$21,8,0)</f>
        <v>#N/A</v>
      </c>
      <c r="AC235" s="60" t="e">
        <f>VLOOKUP(A235,Enforcements!$C$7:$E$21,3,0)</f>
        <v>#N/A</v>
      </c>
      <c r="AD235" s="61" t="str">
        <f t="shared" si="102"/>
        <v>58-26</v>
      </c>
      <c r="AE235" s="91" t="str">
        <f t="shared" si="89"/>
        <v>aws s3 cp s3://rtdc.mdm.uploadarchive.raw/RTDC4052/ "%USERPROFILE%\AppData\Local\Temp\OnboardLogs"\RTDC4052\2016-10-27 --exclude "*" --recursive --include "*20161027*" &amp; "%USERPROFILE%\Documents\GitHub\mrs-test-scripts\Headless Mode &amp; Sideloading\WalkAndUnGZ.bat" "%USERPROFILE%\AppData\Local\Temp\OnboardLogs"\RTDC4052\2016-10-27 &amp; 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</v>
      </c>
      <c r="AF235" s="88" t="str">
        <f t="shared" si="90"/>
        <v>"C:\Program Files (x86)\AstroGrep\AstroGrep.exe" /spath="%USERPROFILE%\AppData\Local\Temp\OnboardLogs" /stypes="app*4052*20161027*" /stext=" 10:.+((SYSTEM_STATE.+slice.+state.+changed )|(ment ac)|(system.+state.+changed )|(\[timeout)|(PRM\|1\|D)|(kpr)|(kdp)|(\|lc)|(penalty))" /e /r /s</v>
      </c>
      <c r="AG235" s="1" t="str">
        <f t="shared" si="103"/>
        <v>Other</v>
      </c>
      <c r="AH235" s="92" t="str">
        <f t="shared" si="91"/>
        <v>"%USERPROFILE%\Documents\GitHub\eaglep3\Utilities\RefineRTDCRunTimes.py" --tripid 58-26 --locoid 4052 --swversion DE.1.0.8.0 --startMP 204:128014 --initTime 2016-10-27T03:56:19 --startdatetime 2016-10-27T03:58:41 --delay 1 --endMP 204:142 --enddatetime 2016-10-27T04:22:47 --enforcementcount 0 &gt;&gt;C:\Users\stu\Documents\GitHub\eaglep3-reporting\EC\2016-10-27-refined-times.txt</v>
      </c>
      <c r="AI235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{"issue":{"subject":"","project_id":79,"tracker_id":40,"status_id":1,"priority_id":2,"assigned_to_id":23,"start_date":"2016-10-27","description":"","custom_fields":[{"id":1,"name":"Subdivision","value":"Other"},{"id":4,"name":"Milepost","value":"0.0142"},{"id":17,"name":"Train ID","value":"58-26"},{"id":16,"name":"Locomotive ID","value":"4052"},{"id":130,"name":"Impact","value":""},{"id":150,"name":"Time of Event (Mountain Time)","value":"04:22:47"},{"id":151,"name":"Denver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560</v>
      </c>
      <c r="B236" s="7">
        <v>4011</v>
      </c>
      <c r="C236" s="22" t="s">
        <v>326</v>
      </c>
      <c r="D236" s="22" t="s">
        <v>707</v>
      </c>
      <c r="E236" s="13">
        <v>42670.721180555556</v>
      </c>
      <c r="F236" s="13">
        <v>25568.708333333332</v>
      </c>
      <c r="G236" s="7">
        <v>2</v>
      </c>
      <c r="H236" s="13" t="s">
        <v>708</v>
      </c>
      <c r="I236" s="13">
        <v>25568.708333333332</v>
      </c>
      <c r="J236" s="7">
        <v>0</v>
      </c>
      <c r="K236" s="112" t="str">
        <f t="shared" si="93"/>
        <v>4011/4012</v>
      </c>
      <c r="L236" s="22" t="str">
        <f>VLOOKUP(A236,'Trips&amp;Operators'!$C$1:$E$10000,3,FALSE)</f>
        <v>OUN</v>
      </c>
      <c r="M236" s="6">
        <f t="shared" si="94"/>
        <v>0</v>
      </c>
      <c r="N236" s="7">
        <f t="shared" si="104"/>
        <v>0</v>
      </c>
      <c r="O236" s="7"/>
      <c r="P236" s="7"/>
      <c r="Q236" s="23"/>
      <c r="R236" s="23"/>
      <c r="S236" s="35">
        <f t="shared" si="95"/>
        <v>0</v>
      </c>
      <c r="T236" s="50" t="e">
        <f t="shared" si="96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16:18:30-0600',mode:absolute,to:'1969-12-31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6" s="52" t="str">
        <f t="shared" si="98"/>
        <v>Y</v>
      </c>
      <c r="X236" s="177" t="e">
        <f t="shared" si="105"/>
        <v>#VALUE!</v>
      </c>
      <c r="Y236" s="67">
        <f t="shared" si="99"/>
        <v>0.14580000000000001</v>
      </c>
      <c r="Z236" s="67">
        <f t="shared" si="100"/>
        <v>2.3290999999999999</v>
      </c>
      <c r="AA236" s="67">
        <f t="shared" si="101"/>
        <v>2.1833</v>
      </c>
      <c r="AB236" s="64" t="e">
        <f>VLOOKUP(A236,Enforcements!$C$7:$K$21,8,0)</f>
        <v>#N/A</v>
      </c>
      <c r="AC236" s="60" t="e">
        <f>VLOOKUP(A236,Enforcements!$C$7:$E$21,3,0)</f>
        <v>#N/A</v>
      </c>
      <c r="AD236" s="61" t="str">
        <f t="shared" si="102"/>
        <v>65-27</v>
      </c>
      <c r="AE236" s="91" t="str">
        <f t="shared" si="8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36" s="88" t="str">
        <f t="shared" si="90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36" s="1" t="str">
        <f t="shared" si="103"/>
        <v>Other</v>
      </c>
      <c r="AH236" s="92" t="str">
        <f t="shared" si="91"/>
        <v>"%USERPROFILE%\Documents\GitHub\eaglep3\Utilities\RefineRTDCRunTimes.py" --tripid 65-27 --locoid 4011 --swversion DE.1.0.8.0 --startMP 204:1458 --initTime 2016-10-27T17:18:30 --startdatetime 1969-12-31T17:00:00 --delay 2 --endMP 300:23291 --enddatetime 1969-12-31T17:00:00 --enforcementcount 0 &gt;&gt;C:\Users\stu\Documents\GitHub\eaglep3-reporting\EC\2016-10-27-refined-times.txt</v>
      </c>
      <c r="AI236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ID","value":"65-27"},{"id":16,"name":"Locomotive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601</v>
      </c>
      <c r="B237" s="7">
        <v>4052</v>
      </c>
      <c r="C237" s="22" t="s">
        <v>326</v>
      </c>
      <c r="D237" s="22" t="s">
        <v>709</v>
      </c>
      <c r="E237" s="13">
        <v>42671.046655092592</v>
      </c>
      <c r="F237" s="13">
        <v>42671.091192129628</v>
      </c>
      <c r="G237" s="7">
        <v>1</v>
      </c>
      <c r="H237" s="13" t="s">
        <v>710</v>
      </c>
      <c r="I237" s="13">
        <v>42671.104942129627</v>
      </c>
      <c r="J237" s="7">
        <v>0</v>
      </c>
      <c r="K237" s="112" t="str">
        <f t="shared" si="93"/>
        <v>4051/4052</v>
      </c>
      <c r="L237" s="22" t="str">
        <f>VLOOKUP(A237,'Trips&amp;Operators'!$C$1:$E$10000,3,FALSE)</f>
        <v>YOUNG</v>
      </c>
      <c r="M237" s="6">
        <f t="shared" si="94"/>
        <v>1.374999999825377E-2</v>
      </c>
      <c r="N237" s="7">
        <f t="shared" si="104"/>
        <v>19.799999997485429</v>
      </c>
      <c r="O237" s="7"/>
      <c r="P237" s="7"/>
      <c r="Q237" s="23"/>
      <c r="R237" s="23"/>
      <c r="S237" s="35">
        <f t="shared" si="95"/>
        <v>0</v>
      </c>
      <c r="T237" s="50" t="e">
        <f t="shared" si="96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https://search-rtdc-monitor-bjffxe2xuh6vdkpspy63sjmuny.us-east-1.es.amazonaws.com/_plugin/kibana/#/discover/Steve-Slow-Train-Analysis-(2080s-and-2083s)?_g=(refreshInterval:(display:Off,section:0,value:0),time:(from:'2016-10-28 00:07:11-0600',mode:absolute,to:'2016-10-28 03:31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7" s="52" t="str">
        <f t="shared" si="98"/>
        <v>N</v>
      </c>
      <c r="X237" s="177" t="e">
        <f t="shared" si="105"/>
        <v>#VALUE!</v>
      </c>
      <c r="Y237" s="67">
        <f t="shared" si="99"/>
        <v>12.8002</v>
      </c>
      <c r="Z237" s="67">
        <f t="shared" si="100"/>
        <v>0.96419999999999995</v>
      </c>
      <c r="AA237" s="67">
        <f t="shared" si="101"/>
        <v>11.836</v>
      </c>
      <c r="AB237" s="64" t="e">
        <f>VLOOKUP(A237,Enforcements!$C$7:$K$21,8,0)</f>
        <v>#N/A</v>
      </c>
      <c r="AC237" s="60" t="e">
        <f>VLOOKUP(A237,Enforcements!$C$7:$E$21,3,0)</f>
        <v>#N/A</v>
      </c>
      <c r="AD237" s="61" t="str">
        <f t="shared" si="102"/>
        <v>66-27</v>
      </c>
      <c r="AE237" s="91" t="str">
        <f t="shared" si="89"/>
        <v>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 &amp; 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</v>
      </c>
      <c r="AF237" s="88" t="str">
        <f t="shared" si="90"/>
        <v>"C:\Program Files (x86)\AstroGrep\AstroGrep.exe" /spath="%USERPROFILE%\AppData\Local\Temp\OnboardLogs" /stypes="app*4052*20161028*" /stext=" 08:.+((SYSTEM_STATE.+slice.+state.+changed )|(ment ac)|(system.+state.+changed )|(\[timeout)|(PRM\|1\|D)|(kpr)|(kdp)|(\|lc)|(penalty))" /e /r /s</v>
      </c>
      <c r="AG237" s="1" t="str">
        <f t="shared" si="103"/>
        <v>Other</v>
      </c>
      <c r="AH237" s="92" t="str">
        <f t="shared" si="91"/>
        <v>"%USERPROFILE%\Documents\GitHub\eaglep3\Utilities\RefineRTDCRunTimes.py" --tripid 66-27 --locoid 4052 --swversion DE.1.0.8.0 --startMP 204:128002 --initTime 2016-10-28T01:07:11 --startdatetime 2016-10-28T02:11:19 --delay 1 --endMP 204:9642 --enddatetime 2016-10-28T02:31:07 --enforcementcount 0 &gt;&gt;C:\Users\stu\Documents\GitHub\eaglep3-reporting\EC\2016-10-27-refined-times.txt</v>
      </c>
      <c r="AI237" s="122" t="str">
        <f t="shared" si="92"/>
        <v>echo {"issue":{"subject":"","project_id":79,"tracker_id":40,"status_id":1,"priority_id":2,"assigned_to_id":23,"start_date":"2016-10-28","description":"","custom_fields":[{"id":1,"name":"Subdivision","value":"Other"},{"id":4,"name":"Milepost","value":"0.9642"},{"id":17,"name":"Train ID","value":"66-27"},{"id":16,"name":"Locomotive ID","value":"4052"},{"id":130,"name":"Impact","value":""},{"id":150,"name":"Time of Event (Mountain Time)","value":"02:31:07"},{"id":151,"name":"Denver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601</v>
      </c>
      <c r="B238" s="7">
        <v>4052</v>
      </c>
      <c r="C238" s="22" t="s">
        <v>326</v>
      </c>
      <c r="D238" s="22" t="s">
        <v>709</v>
      </c>
      <c r="E238" s="13">
        <v>42671.088865740741</v>
      </c>
      <c r="F238" s="13">
        <v>42671.125798611109</v>
      </c>
      <c r="G238" s="7">
        <v>1</v>
      </c>
      <c r="H238" s="13" t="s">
        <v>711</v>
      </c>
      <c r="I238" s="13">
        <v>42671.142465277779</v>
      </c>
      <c r="J238" s="7">
        <v>0</v>
      </c>
      <c r="K238" s="112" t="str">
        <f t="shared" si="93"/>
        <v>4051/4052</v>
      </c>
      <c r="L238" s="22" t="str">
        <f>VLOOKUP(A238,'Trips&amp;Operators'!$C$1:$E$10000,3,FALSE)</f>
        <v>YOUNG</v>
      </c>
      <c r="M238" s="6">
        <f t="shared" si="94"/>
        <v>1.6666666670062114E-2</v>
      </c>
      <c r="N238" s="7">
        <f t="shared" si="104"/>
        <v>24.000000004889444</v>
      </c>
      <c r="O238" s="7"/>
      <c r="P238" s="7"/>
      <c r="Q238" s="23"/>
      <c r="R238" s="23"/>
      <c r="S238" s="35">
        <f t="shared" si="95"/>
        <v>0</v>
      </c>
      <c r="T238" s="50" t="e">
        <f t="shared" si="96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https://search-rtdc-monitor-bjffxe2xuh6vdkpspy63sjmuny.us-east-1.es.amazonaws.com/_plugin/kibana/#/discover/Steve-Slow-Train-Analysis-(2080s-and-2083s)?_g=(refreshInterval:(display:Off,section:0,value:0),time:(from:'2016-10-28 01:07:58-0600',mode:absolute,to:'2016-10-28 04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8" s="52" t="str">
        <f t="shared" si="98"/>
        <v>N</v>
      </c>
      <c r="X238" s="177" t="e">
        <f t="shared" si="105"/>
        <v>#VALUE!</v>
      </c>
      <c r="Y238" s="67">
        <f t="shared" si="99"/>
        <v>12.8002</v>
      </c>
      <c r="Z238" s="67">
        <f t="shared" si="100"/>
        <v>0.9627</v>
      </c>
      <c r="AA238" s="67">
        <f t="shared" si="101"/>
        <v>11.8375</v>
      </c>
      <c r="AB238" s="64" t="e">
        <f>VLOOKUP(A238,Enforcements!$C$7:$K$21,8,0)</f>
        <v>#N/A</v>
      </c>
      <c r="AC238" s="60" t="e">
        <f>VLOOKUP(A238,Enforcements!$C$7:$E$21,3,0)</f>
        <v>#N/A</v>
      </c>
      <c r="AD238" s="61" t="str">
        <f t="shared" si="102"/>
        <v>66-27</v>
      </c>
      <c r="AE238" s="91" t="str">
        <f t="shared" si="89"/>
        <v>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 &amp; 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</v>
      </c>
      <c r="AF238" s="88" t="str">
        <f t="shared" si="90"/>
        <v>"C:\Program Files (x86)\AstroGrep\AstroGrep.exe" /spath="%USERPROFILE%\AppData\Local\Temp\OnboardLogs" /stypes="app*4052*20161028*" /stext=" 09:.+((SYSTEM_STATE.+slice.+state.+changed )|(ment ac)|(system.+state.+changed )|(\[timeout)|(PRM\|1\|D)|(kpr)|(kdp)|(\|lc)|(penalty))" /e /r /s</v>
      </c>
      <c r="AG238" s="1" t="str">
        <f t="shared" si="103"/>
        <v>Other</v>
      </c>
      <c r="AH238" s="92" t="str">
        <f t="shared" si="91"/>
        <v>"%USERPROFILE%\Documents\GitHub\eaglep3\Utilities\RefineRTDCRunTimes.py" --tripid 66-27 --locoid 4052 --swversion DE.1.0.8.0 --startMP 204:128002 --initTime 2016-10-28T02:07:58 --startdatetime 2016-10-28T03:01:09 --delay 1 --endMP 204:9627 --enddatetime 2016-10-28T03:25:09 --enforcementcount 0 &gt;&gt;C:\Users\stu\Documents\GitHub\eaglep3-reporting\EC\2016-10-27-refined-times.txt</v>
      </c>
      <c r="AI238" s="122" t="str">
        <f t="shared" si="92"/>
        <v>echo {"issue":{"subject":"","project_id":79,"tracker_id":40,"status_id":1,"priority_id":2,"assigned_to_id":23,"start_date":"2016-10-28","description":"","custom_fields":[{"id":1,"name":"Subdivision","value":"Other"},{"id":4,"name":"Milepost","value":"0.9627"},{"id":17,"name":"Train ID","value":"66-27"},{"id":16,"name":"Locomotive ID","value":"4052"},{"id":130,"name":"Impact","value":""},{"id":150,"name":"Time of Event (Mountain Time)","value":"03:25:09"},{"id":151,"name":"Denver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601</v>
      </c>
      <c r="B239" s="7">
        <v>4052</v>
      </c>
      <c r="C239" s="22" t="s">
        <v>326</v>
      </c>
      <c r="D239" s="22" t="s">
        <v>712</v>
      </c>
      <c r="E239" s="13">
        <v>42670.969155092593</v>
      </c>
      <c r="F239" s="13">
        <v>42670.971979166665</v>
      </c>
      <c r="G239" s="7">
        <v>1</v>
      </c>
      <c r="H239" s="13" t="s">
        <v>713</v>
      </c>
      <c r="I239" s="13">
        <v>42670.978692129633</v>
      </c>
      <c r="J239" s="7">
        <v>0</v>
      </c>
      <c r="K239" s="112" t="str">
        <f t="shared" si="93"/>
        <v>4051/4052</v>
      </c>
      <c r="L239" s="22" t="str">
        <f>VLOOKUP(A239,'Trips&amp;Operators'!$C$1:$E$10000,3,FALSE)</f>
        <v>YOUNG</v>
      </c>
      <c r="M239" s="6">
        <f t="shared" si="94"/>
        <v>6.7129629678674974E-3</v>
      </c>
      <c r="N239" s="7">
        <f t="shared" si="104"/>
        <v>9.6666666737291962</v>
      </c>
      <c r="O239" s="7"/>
      <c r="P239" s="7"/>
      <c r="Q239" s="23"/>
      <c r="R239" s="23"/>
      <c r="S239" s="35">
        <f t="shared" si="95"/>
        <v>0</v>
      </c>
      <c r="T239" s="50" t="e">
        <f t="shared" si="96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22:15:35-0600',mode:absolute,to:'2016-10-28 00:29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9" s="52" t="str">
        <f t="shared" si="98"/>
        <v>Y</v>
      </c>
      <c r="X239" s="177" t="e">
        <f t="shared" si="105"/>
        <v>#VALUE!</v>
      </c>
      <c r="Y239" s="67">
        <f t="shared" si="99"/>
        <v>3.0983000000000001</v>
      </c>
      <c r="Z239" s="67">
        <f t="shared" si="100"/>
        <v>8.5800000000000001E-2</v>
      </c>
      <c r="AA239" s="67">
        <f t="shared" si="101"/>
        <v>3.0125000000000002</v>
      </c>
      <c r="AB239" s="64" t="e">
        <f>VLOOKUP(A239,Enforcements!$C$7:$K$21,8,0)</f>
        <v>#N/A</v>
      </c>
      <c r="AC239" s="60" t="e">
        <f>VLOOKUP(A239,Enforcements!$C$7:$E$21,3,0)</f>
        <v>#N/A</v>
      </c>
      <c r="AD239" s="61" t="str">
        <f t="shared" si="102"/>
        <v>66-27</v>
      </c>
      <c r="AE239" s="91" t="str">
        <f t="shared" si="89"/>
        <v>aws s3 cp s3://rtdc.mdm.uploadarchive.raw/RTDC4052/ "%USERPROFILE%\AppData\Local\Temp\OnboardLogs"\RTDC4052\2016-10-27 --exclude "*" --recursive --include "*20161027*" &amp; "%USERPROFILE%\Documents\GitHub\mrs-test-scripts\Headless Mode &amp; Sideloading\WalkAndUnGZ.bat" "%USERPROFILE%\AppData\Local\Temp\OnboardLogs"\RTDC4052\2016-10-27 &amp; 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</v>
      </c>
      <c r="AF239" s="88" t="str">
        <f t="shared" si="90"/>
        <v>"C:\Program Files (x86)\AstroGrep\AstroGrep.exe" /spath="%USERPROFILE%\AppData\Local\Temp\OnboardLogs" /stypes="app*4052*20161028*" /stext=" 05:.+((SYSTEM_STATE.+slice.+state.+changed )|(ment ac)|(system.+state.+changed )|(\[timeout)|(PRM\|1\|D)|(kpr)|(kdp)|(\|lc)|(penalty))" /e /r /s</v>
      </c>
      <c r="AG239" s="1" t="str">
        <f t="shared" si="103"/>
        <v>Other</v>
      </c>
      <c r="AH239" s="92" t="str">
        <f t="shared" si="91"/>
        <v>"%USERPROFILE%\Documents\GitHub\eaglep3\Utilities\RefineRTDCRunTimes.py" --tripid 66-27 --locoid 4052 --swversion DE.1.0.8.0 --startMP 300:30983 --initTime 2016-10-27T23:15:35 --startdatetime 2016-10-27T23:19:39 --delay 1 --endMP 204:858 --enddatetime 2016-10-27T23:29:19 --enforcementcount 0 &gt;&gt;C:\Users\stu\Documents\GitHub\eaglep3-reporting\EC\2016-10-27-refined-times.txt</v>
      </c>
      <c r="AI239" s="122" t="str">
        <f t="shared" si="92"/>
        <v>echo {"issue":{"subject":"","project_id":79,"tracker_id":40,"status_id":1,"priority_id":2,"assigned_to_id":23,"start_date":"2016-10-27","description":"","custom_fields":[{"id":1,"name":"Subdivision","value":"Other"},{"id":4,"name":"Milepost","value":"0.0858"},{"id":17,"name":"Train ID","value":"66-27"},{"id":16,"name":"Locomotive ID","value":"4052"},{"id":130,"name":"Impact","value":""},{"id":150,"name":"Time of Event (Mountain Time)","value":"23:29:19"},{"id":151,"name":"Denver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604</v>
      </c>
      <c r="B240" s="7">
        <v>4051</v>
      </c>
      <c r="C240" s="22" t="s">
        <v>326</v>
      </c>
      <c r="D240" s="22" t="s">
        <v>714</v>
      </c>
      <c r="E240" s="13">
        <v>42670.980497685188</v>
      </c>
      <c r="F240" s="13">
        <v>42671.024652777778</v>
      </c>
      <c r="G240" s="7">
        <v>1</v>
      </c>
      <c r="H240" s="13" t="s">
        <v>361</v>
      </c>
      <c r="I240" s="13">
        <v>42671.045243055552</v>
      </c>
      <c r="J240" s="7">
        <v>0</v>
      </c>
      <c r="K240" s="112" t="str">
        <f t="shared" si="93"/>
        <v>4051/4052</v>
      </c>
      <c r="L240" s="22" t="str">
        <f>VLOOKUP(A240,'Trips&amp;Operators'!$C$1:$E$10000,3,FALSE)</f>
        <v>YOUNG</v>
      </c>
      <c r="M240" s="6">
        <f t="shared" si="94"/>
        <v>2.0590277774317656E-2</v>
      </c>
      <c r="N240" s="7">
        <f t="shared" si="104"/>
        <v>29.649999995017424</v>
      </c>
      <c r="O240" s="7"/>
      <c r="P240" s="7"/>
      <c r="Q240" s="23"/>
      <c r="R240" s="23"/>
      <c r="S240" s="35">
        <f t="shared" si="95"/>
        <v>0</v>
      </c>
      <c r="T240" s="50" t="e">
        <f t="shared" si="96"/>
        <v>#VALUE!</v>
      </c>
      <c r="U240" s="17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22:31:55-0600',mode:absolute,to:'2016-10-28 02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0" s="52" t="str">
        <f t="shared" si="98"/>
        <v>N</v>
      </c>
      <c r="X240" s="177" t="e">
        <f t="shared" si="105"/>
        <v>#VALUE!</v>
      </c>
      <c r="Y240" s="67">
        <f t="shared" si="99"/>
        <v>0.11700000000000001</v>
      </c>
      <c r="Z240" s="67">
        <f t="shared" si="100"/>
        <v>12.827199999999999</v>
      </c>
      <c r="AA240" s="67">
        <f t="shared" si="101"/>
        <v>12.710199999999999</v>
      </c>
      <c r="AB240" s="64" t="e">
        <f>VLOOKUP(A240,Enforcements!$C$7:$K$21,8,0)</f>
        <v>#N/A</v>
      </c>
      <c r="AC240" s="60" t="e">
        <f>VLOOKUP(A240,Enforcements!$C$7:$E$21,3,0)</f>
        <v>#N/A</v>
      </c>
      <c r="AD240" s="61" t="str">
        <f t="shared" si="102"/>
        <v>67-27</v>
      </c>
      <c r="AE240" s="91" t="str">
        <f t="shared" si="89"/>
        <v>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 &amp; aws s3 cp s3://rtdc.mdm.uploadarchive.raw/RTDC4051/ "%USERPROFILE%\AppData\Local\Temp\OnboardLogs"\RTDC4051\2016-10-29 --exclude "*" --recursive --include "*20161029*" &amp; "%USERPROFILE%\Documents\GitHub\mrs-test-scripts\Headless Mode &amp; Sideloading\WalkAndUnGZ.bat" "%USERPROFILE%\AppData\Local\Temp\OnboardLogs"\RTDC4051\2016-10-29</v>
      </c>
      <c r="AF240" s="88" t="str">
        <f t="shared" si="90"/>
        <v>"C:\Program Files (x86)\AstroGrep\AstroGrep.exe" /spath="%USERPROFILE%\AppData\Local\Temp\OnboardLogs" /stypes="app*4051*20161028*" /stext=" 07:.+((SYSTEM_STATE.+slice.+state.+changed )|(ment ac)|(system.+state.+changed )|(\[timeout)|(PRM\|1\|D)|(kpr)|(kdp)|(\|lc)|(penalty))" /e /r /s</v>
      </c>
      <c r="AG240" s="1" t="str">
        <f t="shared" si="103"/>
        <v>Other</v>
      </c>
      <c r="AH240" s="92" t="str">
        <f t="shared" si="91"/>
        <v>"%USERPROFILE%\Documents\GitHub\eaglep3\Utilities\RefineRTDCRunTimes.py" --tripid 67-27 --locoid 4051 --swversion DE.1.0.8.0 --startMP 204:1170 --initTime 2016-10-27T23:31:55 --startdatetime 2016-10-28T00:35:30 --delay 1 --endMP 204:128272 --enddatetime 2016-10-28T01:05:09 --enforcementcount 0 &gt;&gt;C:\Users\stu\Documents\GitHub\eaglep3-reporting\EC\2016-10-27-refined-times.txt</v>
      </c>
      <c r="AI240" s="122" t="str">
        <f t="shared" si="92"/>
        <v>echo {"issue":{"subject":"","project_id":79,"tracker_id":40,"status_id":1,"priority_id":2,"assigned_to_id":23,"start_date":"2016-10-28","description":"","custom_fields":[{"id":1,"name":"Subdivision","value":"Other"},{"id":4,"name":"Milepost","value":"12.8272"},{"id":17,"name":"Train ID","value":"67-27"},{"id":16,"name":"Locomotive ID","value":"4051"},{"id":130,"name":"Impact","value":""},{"id":150,"name":"Time of Event (Mountain Time)","value":"01:05:09"},{"id":151,"name":"Denver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604</v>
      </c>
      <c r="B241" s="7">
        <v>4051</v>
      </c>
      <c r="C241" s="22" t="s">
        <v>326</v>
      </c>
      <c r="D241" s="22" t="s">
        <v>715</v>
      </c>
      <c r="E241" s="13">
        <v>42671.106087962966</v>
      </c>
      <c r="F241" s="13">
        <v>42671.108020833337</v>
      </c>
      <c r="G241" s="7">
        <v>1</v>
      </c>
      <c r="H241" s="13" t="s">
        <v>716</v>
      </c>
      <c r="I241" s="13">
        <v>42671.12222222222</v>
      </c>
      <c r="J241" s="7">
        <v>0</v>
      </c>
      <c r="K241" s="112" t="str">
        <f t="shared" si="93"/>
        <v>4051/4052</v>
      </c>
      <c r="L241" s="22" t="str">
        <f>VLOOKUP(A241,'Trips&amp;Operators'!$C$1:$E$10000,3,FALSE)</f>
        <v>YOUNG</v>
      </c>
      <c r="M241" s="6">
        <f t="shared" si="94"/>
        <v>1.4201388883520849E-2</v>
      </c>
      <c r="N241" s="7">
        <f t="shared" si="104"/>
        <v>20.449999992270023</v>
      </c>
      <c r="O241" s="7"/>
      <c r="P241" s="7"/>
      <c r="Q241" s="23"/>
      <c r="R241" s="23"/>
      <c r="S241" s="35">
        <f t="shared" si="95"/>
        <v>0</v>
      </c>
      <c r="T241" s="50" t="e">
        <f t="shared" si="96"/>
        <v>#VALUE!</v>
      </c>
      <c r="U241" s="17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https://search-rtdc-monitor-bjffxe2xuh6vdkpspy63sjmuny.us-east-1.es.amazonaws.com/_plugin/kibana/#/discover/Steve-Slow-Train-Analysis-(2080s-and-2083s)?_g=(refreshInterval:(display:Off,section:0,value:0),time:(from:'2016-10-28 01:32:46-0600',mode:absolute,to:'2016-10-28 03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1" s="52" t="str">
        <f t="shared" si="98"/>
        <v>N</v>
      </c>
      <c r="X241" s="177" t="e">
        <f t="shared" si="105"/>
        <v>#VALUE!</v>
      </c>
      <c r="Y241" s="67">
        <f t="shared" si="99"/>
        <v>0.9929</v>
      </c>
      <c r="Z241" s="67">
        <f t="shared" si="100"/>
        <v>12.826599999999999</v>
      </c>
      <c r="AA241" s="67">
        <f t="shared" si="101"/>
        <v>11.833699999999999</v>
      </c>
      <c r="AB241" s="64" t="e">
        <f>VLOOKUP(A241,Enforcements!$C$7:$K$21,8,0)</f>
        <v>#N/A</v>
      </c>
      <c r="AC241" s="60" t="e">
        <f>VLOOKUP(A241,Enforcements!$C$7:$E$21,3,0)</f>
        <v>#N/A</v>
      </c>
      <c r="AD241" s="61" t="str">
        <f t="shared" si="102"/>
        <v>67-27</v>
      </c>
      <c r="AE241" s="91" t="str">
        <f t="shared" si="89"/>
        <v>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 &amp; aws s3 cp s3://rtdc.mdm.uploadarchive.raw/RTDC4051/ "%USERPROFILE%\AppData\Local\Temp\OnboardLogs"\RTDC4051\2016-10-29 --exclude "*" --recursive --include "*20161029*" &amp; "%USERPROFILE%\Documents\GitHub\mrs-test-scripts\Headless Mode &amp; Sideloading\WalkAndUnGZ.bat" "%USERPROFILE%\AppData\Local\Temp\OnboardLogs"\RTDC4051\2016-10-29</v>
      </c>
      <c r="AF241" s="88" t="str">
        <f t="shared" si="90"/>
        <v>"C:\Program Files (x86)\AstroGrep\AstroGrep.exe" /spath="%USERPROFILE%\AppData\Local\Temp\OnboardLogs" /stypes="app*4051*20161028*" /stext=" 08:.+((SYSTEM_STATE.+slice.+state.+changed )|(ment ac)|(system.+state.+changed )|(\[timeout)|(PRM\|1\|D)|(kpr)|(kdp)|(\|lc)|(penalty))" /e /r /s</v>
      </c>
      <c r="AG241" s="1" t="str">
        <f t="shared" si="103"/>
        <v>Other</v>
      </c>
      <c r="AH241" s="92" t="str">
        <f t="shared" si="91"/>
        <v>"%USERPROFILE%\Documents\GitHub\eaglep3\Utilities\RefineRTDCRunTimes.py" --tripid 67-27 --locoid 4051 --swversion DE.1.0.8.0 --startMP 204:9929 --initTime 2016-10-28T02:32:46 --startdatetime 2016-10-28T02:35:33 --delay 1 --endMP 204:128266 --enddatetime 2016-10-28T02:56:00 --enforcementcount 0 &gt;&gt;C:\Users\stu\Documents\GitHub\eaglep3-reporting\EC\2016-10-27-refined-times.txt</v>
      </c>
      <c r="AI241" s="122" t="str">
        <f t="shared" si="92"/>
        <v>echo {"issue":{"subject":"","project_id":79,"tracker_id":40,"status_id":1,"priority_id":2,"assigned_to_id":23,"start_date":"2016-10-28","description":"","custom_fields":[{"id":1,"name":"Subdivision","value":"Other"},{"id":4,"name":"Milepost","value":"12.8266"},{"id":17,"name":"Train ID","value":"67-27"},{"id":16,"name":"Locomotive ID","value":"4051"},{"id":130,"name":"Impact","value":""},{"id":150,"name":"Time of Event (Mountain Time)","value":"02:56:00"},{"id":151,"name":"Denver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 s="37" t="s">
        <v>604</v>
      </c>
      <c r="B242" s="7">
        <v>4051</v>
      </c>
      <c r="C242" s="22" t="s">
        <v>326</v>
      </c>
      <c r="D242" s="22" t="s">
        <v>717</v>
      </c>
      <c r="E242" s="13">
        <v>42671.071863425925</v>
      </c>
      <c r="F242" s="13">
        <v>42671.108020833337</v>
      </c>
      <c r="G242" s="7">
        <v>1</v>
      </c>
      <c r="H242" s="13" t="s">
        <v>718</v>
      </c>
      <c r="I242" s="13">
        <v>42671.12222222222</v>
      </c>
      <c r="J242" s="7">
        <v>0</v>
      </c>
      <c r="K242" s="112" t="str">
        <f t="shared" si="93"/>
        <v>4051/4052</v>
      </c>
      <c r="L242" s="22" t="str">
        <f>VLOOKUP(A242,'Trips&amp;Operators'!$C$1:$E$10000,3,FALSE)</f>
        <v>YOUNG</v>
      </c>
      <c r="M242" s="6">
        <f t="shared" si="94"/>
        <v>1.4201388883520849E-2</v>
      </c>
      <c r="N242" s="7">
        <f t="shared" si="104"/>
        <v>20.449999992270023</v>
      </c>
      <c r="O242" s="7"/>
      <c r="P242" s="7"/>
      <c r="Q242" s="23"/>
      <c r="R242" s="23"/>
      <c r="S242" s="35">
        <f t="shared" si="95"/>
        <v>0</v>
      </c>
      <c r="T242" s="50" t="e">
        <f t="shared" si="96"/>
        <v>#VALUE!</v>
      </c>
      <c r="U242" s="17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https://search-rtdc-monitor-bjffxe2xuh6vdkpspy63sjmuny.us-east-1.es.amazonaws.com/_plugin/kibana/#/discover/Steve-Slow-Train-Analysis-(2080s-and-2083s)?_g=(refreshInterval:(display:Off,section:0,value:0),time:(from:'2016-10-28 00:43:29-0600',mode:absolute,to:'2016-10-28 03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2" s="52" t="str">
        <f t="shared" si="98"/>
        <v>N</v>
      </c>
      <c r="X242" s="177" t="e">
        <f t="shared" si="105"/>
        <v>#VALUE!</v>
      </c>
      <c r="Y242" s="67">
        <f t="shared" si="99"/>
        <v>0.99529999999999996</v>
      </c>
      <c r="Z242" s="67">
        <f t="shared" si="100"/>
        <v>12.8269</v>
      </c>
      <c r="AA242" s="67">
        <f t="shared" si="101"/>
        <v>11.8316</v>
      </c>
      <c r="AB242" s="64" t="e">
        <f>VLOOKUP(A242,Enforcements!$C$7:$K$21,8,0)</f>
        <v>#N/A</v>
      </c>
      <c r="AC242" s="60" t="e">
        <f>VLOOKUP(A242,Enforcements!$C$7:$E$21,3,0)</f>
        <v>#N/A</v>
      </c>
      <c r="AD242" s="61" t="str">
        <f t="shared" si="102"/>
        <v>67-27</v>
      </c>
      <c r="AE242" s="91" t="str">
        <f t="shared" si="89"/>
        <v>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 &amp; aws s3 cp s3://rtdc.mdm.uploadarchive.raw/RTDC4051/ "%USERPROFILE%\AppData\Local\Temp\OnboardLogs"\RTDC4051\2016-10-29 --exclude "*" --recursive --include "*20161029*" &amp; "%USERPROFILE%\Documents\GitHub\mrs-test-scripts\Headless Mode &amp; Sideloading\WalkAndUnGZ.bat" "%USERPROFILE%\AppData\Local\Temp\OnboardLogs"\RTDC4051\2016-10-29</v>
      </c>
      <c r="AF242" s="88" t="str">
        <f t="shared" si="90"/>
        <v>"C:\Program Files (x86)\AstroGrep\AstroGrep.exe" /spath="%USERPROFILE%\AppData\Local\Temp\OnboardLogs" /stypes="app*4051*20161028*" /stext=" 08:.+((SYSTEM_STATE.+slice.+state.+changed )|(ment ac)|(system.+state.+changed )|(\[timeout)|(PRM\|1\|D)|(kpr)|(kdp)|(\|lc)|(penalty))" /e /r /s</v>
      </c>
      <c r="AG242" s="1" t="str">
        <f t="shared" si="103"/>
        <v>Other</v>
      </c>
      <c r="AH242" s="92" t="str">
        <f t="shared" si="91"/>
        <v>"%USERPROFILE%\Documents\GitHub\eaglep3\Utilities\RefineRTDCRunTimes.py" --tripid 67-27 --locoid 4051 --swversion DE.1.0.8.0 --startMP 204:9953 --initTime 2016-10-28T01:43:29 --startdatetime 2016-10-28T02:35:33 --delay 1 --endMP 204:128269 --enddatetime 2016-10-28T02:56:00 --enforcementcount 0 &gt;&gt;C:\Users\stu\Documents\GitHub\eaglep3-reporting\EC\2016-10-27-refined-times.txt</v>
      </c>
      <c r="AI242" s="122" t="str">
        <f t="shared" si="92"/>
        <v>echo {"issue":{"subject":"","project_id":79,"tracker_id":40,"status_id":1,"priority_id":2,"assigned_to_id":23,"start_date":"2016-10-28","description":"","custom_fields":[{"id":1,"name":"Subdivision","value":"Other"},{"id":4,"name":"Milepost","value":"12.8269"},{"id":17,"name":"Train ID","value":"67-27"},{"id":16,"name":"Locomotive ID","value":"4051"},{"id":130,"name":"Impact","value":""},{"id":150,"name":"Time of Event (Mountain Time)","value":"02:56:00"},{"id":151,"name":"Denver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3"/>
      <c r="AK242" s="53"/>
      <c r="AL242" s="53"/>
    </row>
    <row r="243" spans="1:38" x14ac:dyDescent="0.25">
      <c r="A243" s="37" t="s">
        <v>573</v>
      </c>
      <c r="B243" s="7">
        <v>4029</v>
      </c>
      <c r="C243" s="22" t="s">
        <v>326</v>
      </c>
      <c r="D243" s="22" t="s">
        <v>719</v>
      </c>
      <c r="E243" s="13">
        <v>42670.759085648147</v>
      </c>
      <c r="F243" s="13">
        <v>25568.708333333332</v>
      </c>
      <c r="G243" s="7">
        <v>1</v>
      </c>
      <c r="H243" s="13" t="s">
        <v>720</v>
      </c>
      <c r="I243" s="13">
        <v>25568.708333333332</v>
      </c>
      <c r="J243" s="7">
        <v>0</v>
      </c>
      <c r="K243" s="112" t="str">
        <f t="shared" si="93"/>
        <v>4029/4030</v>
      </c>
      <c r="L243" s="22" t="str">
        <f>VLOOKUP(A243,'Trips&amp;Operators'!$C$1:$E$10000,3,FALSE)</f>
        <v>SHOOK</v>
      </c>
      <c r="M243" s="6">
        <f t="shared" si="94"/>
        <v>0</v>
      </c>
      <c r="N243" s="7">
        <f t="shared" si="104"/>
        <v>0</v>
      </c>
      <c r="O243" s="7"/>
      <c r="P243" s="7"/>
      <c r="Q243" s="23"/>
      <c r="R243" s="23"/>
      <c r="S243" s="35">
        <f t="shared" si="95"/>
        <v>0</v>
      </c>
      <c r="T243" s="50" t="e">
        <f t="shared" si="96"/>
        <v>#VALUE!</v>
      </c>
      <c r="U243" s="17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https://search-rtdc-monitor-bjffxe2xuh6vdkpspy63sjmuny.us-east-1.es.amazonaws.com/_plugin/kibana/#/discover/Steve-Slow-Train-Analysis-(2080s-and-2083s)?_g=(refreshInterval:(display:Off,section:0,value:0),time:(from:'2016-10-27 17:13:05-0600',mode:absolute,to:'1969-12-31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43" s="52" t="str">
        <f t="shared" si="98"/>
        <v>Y</v>
      </c>
      <c r="X243" s="177" t="e">
        <f t="shared" si="105"/>
        <v>#VALUE!</v>
      </c>
      <c r="Y243" s="67">
        <f t="shared" si="99"/>
        <v>3.1399999999999997E-2</v>
      </c>
      <c r="Z243" s="67">
        <f t="shared" si="100"/>
        <v>2.4211999999999998</v>
      </c>
      <c r="AA243" s="67">
        <f t="shared" si="101"/>
        <v>2.3897999999999997</v>
      </c>
      <c r="AB243" s="64" t="e">
        <f>VLOOKUP(A243,Enforcements!$C$7:$K$21,8,0)</f>
        <v>#N/A</v>
      </c>
      <c r="AC243" s="60" t="e">
        <f>VLOOKUP(A243,Enforcements!$C$7:$E$21,3,0)</f>
        <v>#N/A</v>
      </c>
      <c r="AD243" s="61" t="str">
        <f t="shared" si="102"/>
        <v>69-27</v>
      </c>
      <c r="AE243" s="91" t="str">
        <f t="shared" si="8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43" s="88" t="str">
        <f t="shared" si="90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43" s="1" t="str">
        <f t="shared" si="103"/>
        <v>Other</v>
      </c>
      <c r="AH243" s="92" t="str">
        <f t="shared" si="91"/>
        <v>"%USERPROFILE%\Documents\GitHub\eaglep3\Utilities\RefineRTDCRunTimes.py" --tripid 69-27 --locoid 4029 --swversion DE.1.0.8.0 --startMP 204:314 --initTime 2016-10-27T18:13:05 --startdatetime 1969-12-31T17:00:00 --delay 1 --endMP 300:24212 --enddatetime 1969-12-31T17:00:00 --enforcementcount 0 &gt;&gt;C:\Users\stu\Documents\GitHub\eaglep3-reporting\EC\2016-10-27-refined-times.txt</v>
      </c>
      <c r="AI243" s="122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{"issue":{"subject":"","project_id":79,"tracker_id":40,"status_id":1,"priority_id":2,"assigned_to_id":23,"start_date":"1969-12-31","description":"","custom_fields":[{"id":1,"name":"Subdivision","value":"Other"},{"id":4,"name":"Milepost","value":"2.4212"},{"id":17,"name":"Train ID","value":"69-27"},{"id":16,"name":"Locomotive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3"/>
      <c r="AK243" s="53"/>
      <c r="AL243" s="53"/>
    </row>
    <row r="244" spans="1:3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</sheetData>
  <autoFilter ref="A12:AG277"/>
  <sortState ref="A13:AH200">
    <sortCondition ref="AG13:AG200"/>
    <sortCondition ref="AD13:AD200"/>
  </sortState>
  <mergeCells count="1">
    <mergeCell ref="A11:P11"/>
  </mergeCells>
  <conditionalFormatting sqref="W11:W12 W278:X1048576 W13:X243">
    <cfRule type="cellIs" dxfId="10" priority="344" operator="equal">
      <formula>"Y"</formula>
    </cfRule>
  </conditionalFormatting>
  <conditionalFormatting sqref="X278:X1048576 X13:X243">
    <cfRule type="cellIs" dxfId="9" priority="327" operator="greaterThan">
      <formula>1</formula>
    </cfRule>
  </conditionalFormatting>
  <conditionalFormatting sqref="X278:X1048576 X12:X243">
    <cfRule type="cellIs" dxfId="8" priority="324" operator="equal">
      <formula>0</formula>
    </cfRule>
  </conditionalFormatting>
  <conditionalFormatting sqref="A13:S243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Values'!$C$2:$C$14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0"/>
  <sheetViews>
    <sheetView topLeftCell="A29" workbookViewId="0">
      <selection activeCell="N41" sqref="L41:N4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1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53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- 2016-10-27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42670.599548611113</v>
      </c>
      <c r="B7" s="31" t="s">
        <v>290</v>
      </c>
      <c r="C7" s="31" t="s">
        <v>411</v>
      </c>
      <c r="D7" s="31" t="s">
        <v>49</v>
      </c>
      <c r="E7" s="31" t="s">
        <v>154</v>
      </c>
      <c r="F7" s="47">
        <v>0</v>
      </c>
      <c r="G7" s="47">
        <v>244</v>
      </c>
      <c r="H7" s="47">
        <v>26907</v>
      </c>
      <c r="I7" s="47">
        <v>27235</v>
      </c>
      <c r="J7" s="31" t="s">
        <v>153</v>
      </c>
      <c r="K7" s="47">
        <v>27053</v>
      </c>
      <c r="L7" s="157" t="s">
        <v>50</v>
      </c>
      <c r="M7" s="158">
        <f t="shared" ref="M7:M38" si="0">CONVERT((I7-K7)/10000,"mi","ft")*IF(L7="Increasing Mileposts (1)",-1,1)</f>
        <v>-96.096000000000004</v>
      </c>
      <c r="N7" s="159" t="str">
        <f>VLOOKUP(C7,'Trips&amp;Operators'!$C$1:$E$99999,3,FALSE)</f>
        <v>ROMERO</v>
      </c>
      <c r="O7" s="184" t="s">
        <v>231</v>
      </c>
      <c r="P7" s="160" t="s">
        <v>803</v>
      </c>
      <c r="Q7" s="31"/>
      <c r="R7" s="100" t="str">
        <f>VLOOKUP(C7,'Train Runs'!$A$13:$AE$10021,31,0)</f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S7" s="103" t="str">
        <f>VLOOKUP(C7,'Train Runs'!$A$13:$AE$10021,22,0)</f>
        <v>https://search-rtdc-monitor-bjffxe2xuh6vdkpspy63sjmuny.us-east-1.es.amazonaws.com/_plugin/kibana/#/discover/Steve-Slow-Train-Analysis-(2080s-and-2083s)?_g=(refreshInterval:(display:Off,section:0,value:0),time:(from:'2016-10-27 13:08:14-0600',mode:absolute,to:'2016-10-27 15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/stypes="*4002*201610272*" /stext=" 20:.+((SYSTEM_STATE.+slice.+state.+changed )|(ment ac)|(system.+state.+changed )|(\[timeout)|(PRM\|1\|D)|(kpr)|(kdp)|(\|lc)|(penalty))" /e /r /s</v>
      </c>
      <c r="U7" s="9" t="str">
        <f t="shared" ref="U7:U38" si="2">MID(B7,13,4)</f>
        <v>4002</v>
      </c>
      <c r="V7" s="36">
        <f t="shared" ref="V7:V38" si="3">A7+6/24</f>
        <v>42670.849548611113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arrival","project_id":79,"tracker_id":40,"status_id":1,"priority_id":2,"assigned_to_id":23,"start_date":"2016-10-27","description":"","custom_fields":[{"id":1,"name":"Subdivision","value":"EC"},{"id":4,"name":"Milepost","value":"2.7053"},{"id":17,"name":"Train ID","value":"185-27"},{"id":16,"name":"Locomotive ID","value":"4002"},{"id":130,"name":"Impact","value":""},{"id":150,"name":"Time of Event (Mountain Time)","value":"14:23:21"},{"id":151,"name":"Denver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"%USERPROFILE%\AppData\Local\Temp\OnboardLogs"\RTDC4002\*4002*201610272* | grep -SE "((Enforcement Ac)|(PRM))" -</v>
      </c>
    </row>
    <row r="8" spans="1:29" s="1" customFormat="1" x14ac:dyDescent="0.25">
      <c r="A8" s="36">
        <v>42670.817245370374</v>
      </c>
      <c r="B8" s="31" t="s">
        <v>290</v>
      </c>
      <c r="C8" s="31" t="s">
        <v>422</v>
      </c>
      <c r="D8" s="31" t="s">
        <v>49</v>
      </c>
      <c r="E8" s="31" t="s">
        <v>154</v>
      </c>
      <c r="F8" s="47">
        <v>0</v>
      </c>
      <c r="G8" s="47">
        <v>243</v>
      </c>
      <c r="H8" s="47">
        <v>26794</v>
      </c>
      <c r="I8" s="47">
        <v>27155</v>
      </c>
      <c r="J8" s="31" t="s">
        <v>153</v>
      </c>
      <c r="K8" s="47">
        <v>27053</v>
      </c>
      <c r="L8" s="157" t="s">
        <v>50</v>
      </c>
      <c r="M8" s="158">
        <f t="shared" si="0"/>
        <v>-53.856000000000002</v>
      </c>
      <c r="N8" s="159" t="str">
        <f>VLOOKUP(C8,'Trips&amp;Operators'!$C$1:$E$99999,3,FALSE)</f>
        <v>BERLING</v>
      </c>
      <c r="O8" s="184" t="s">
        <v>231</v>
      </c>
      <c r="P8" s="160" t="s">
        <v>803</v>
      </c>
      <c r="Q8" s="31"/>
      <c r="R8" s="100" t="str">
        <f>VLOOKUP(C8,'Train Runs'!$A$13:$AE$10021,31,0)</f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S8" s="103" t="str">
        <f>VLOOKUP(C8,'Train Runs'!$A$13:$AE$10021,22,0)</f>
        <v>https://search-rtdc-monitor-bjffxe2xuh6vdkpspy63sjmuny.us-east-1.es.amazonaws.com/_plugin/kibana/#/discover/Steve-Slow-Train-Analysis-(2080s-and-2083s)?_g=(refreshInterval:(display:Off,section:0,value:0),time:(from:'2016-10-27 18:22:22-0600',mode:absolute,to:'2016-10-27 21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8" s="105" t="str">
        <f t="shared" si="1"/>
        <v>"C:\Program Files (x86)\AstroGrep\AstroGrep.exe" /spath="%USERPROFILE%\AppData\Local\Temp\OnboardLogs" /stypes="*4002*201610280*" /stext=" 01:.+((SYSTEM_STATE.+slice.+state.+changed )|(ment ac)|(system.+state.+changed )|(\[timeout)|(PRM\|1\|D)|(kpr)|(kdp)|(\|lc)|(penalty))" /e /r /s</v>
      </c>
      <c r="U8" s="9" t="str">
        <f t="shared" si="2"/>
        <v>4002</v>
      </c>
      <c r="V8" s="36">
        <f t="shared" si="3"/>
        <v>42671.067245370374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arrival","project_id":79,"tracker_id":40,"status_id":1,"priority_id":2,"assigned_to_id":23,"start_date":"2016-10-27","description":"","custom_fields":[{"id":1,"name":"Subdivision","value":"EC"},{"id":4,"name":"Milepost","value":"2.7053"},{"id":17,"name":"Train ID","value":"223-27"},{"id":16,"name":"Locomotive ID","value":"4002"},{"id":130,"name":"Impact","value":""},{"id":150,"name":"Time of Event (Mountain Time)","value":"19:36:50"},{"id":151,"name":"Denver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"%USERPROFILE%\AppData\Local\Temp\OnboardLogs"\RTDC4002\*4002*201610280* | grep -SE "((Enforcement Ac)|(PRM))" -</v>
      </c>
    </row>
    <row r="9" spans="1:29" s="1" customFormat="1" x14ac:dyDescent="0.25">
      <c r="A9" s="36">
        <v>42670.394375000003</v>
      </c>
      <c r="B9" s="31" t="s">
        <v>397</v>
      </c>
      <c r="C9" s="31" t="s">
        <v>398</v>
      </c>
      <c r="D9" s="31" t="s">
        <v>98</v>
      </c>
      <c r="E9" s="31" t="s">
        <v>154</v>
      </c>
      <c r="F9" s="47">
        <v>180</v>
      </c>
      <c r="G9" s="47">
        <v>247</v>
      </c>
      <c r="H9" s="47">
        <v>27035</v>
      </c>
      <c r="I9" s="47">
        <v>26216</v>
      </c>
      <c r="J9" s="31" t="s">
        <v>153</v>
      </c>
      <c r="K9" s="47">
        <v>27350</v>
      </c>
      <c r="L9" s="157" t="s">
        <v>51</v>
      </c>
      <c r="M9" s="158">
        <f t="shared" si="0"/>
        <v>-598.75199999999995</v>
      </c>
      <c r="N9" s="159" t="str">
        <f>VLOOKUP(C9,'Trips&amp;Operators'!$C$1:$E$99999,3,FALSE)</f>
        <v>MALAVE</v>
      </c>
      <c r="O9" s="184" t="s">
        <v>231</v>
      </c>
      <c r="P9" s="160" t="s">
        <v>803</v>
      </c>
      <c r="Q9" s="31"/>
      <c r="R9" s="100" t="str">
        <f>VLOOKUP(C9,'Train Runs'!$A$13:$AE$10021,31,0)</f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S9" s="103" t="str">
        <f>VLOOKUP(C9,'Train Runs'!$A$13:$AE$10021,22,0)</f>
        <v>https://search-rtdc-monitor-bjffxe2xuh6vdkpspy63sjmuny.us-east-1.es.amazonaws.com/_plugin/kibana/#/discover/Steve-Slow-Train-Analysis-(2080s-and-2083s)?_g=(refreshInterval:(display:Off,section:0,value:0),time:(from:'2016-10-27 07:54:53-0600',mode:absolute,to:'2016-10-27 10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 t="shared" si="1"/>
        <v>"C:\Program Files (x86)\AstroGrep\AstroGrep.exe" /spath="%USERPROFILE%\AppData\Local\Temp\OnboardLogs" /stypes="*4013*201610271*" /stext=" 15:.+((SYSTEM_STATE.+slice.+state.+changed )|(ment ac)|(system.+state.+changed )|(\[timeout)|(PRM\|1\|D)|(kpr)|(kdp)|(\|lc)|(penalty))" /e /r /s</v>
      </c>
      <c r="U9" s="9" t="str">
        <f t="shared" si="2"/>
        <v>4013</v>
      </c>
      <c r="V9" s="36">
        <f t="shared" si="3"/>
        <v>42670.644375000003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arrival","project_id":79,"tracker_id":40,"status_id":1,"priority_id":2,"assigned_to_id":23,"start_date":"2016-10-27","description":"","custom_fields":[{"id":1,"name":"Subdivision","value":"EC"},{"id":4,"name":"Milepost","value":"2.735"},{"id":17,"name":"Train ID","value":"136-27"},{"id":16,"name":"Locomotive ID","value":"4013"},{"id":130,"name":"Impact","value":""},{"id":150,"name":"Time of Event (Mountain Time)","value":"09:27:54"},{"id":151,"name":"Denver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"%USERPROFILE%\AppData\Local\Temp\OnboardLogs"\RTDC4013\*4013*201610271* | grep -SE "((Enforcement Ac)|(PRM))" -</v>
      </c>
    </row>
    <row r="10" spans="1:29" s="1" customFormat="1" x14ac:dyDescent="0.25">
      <c r="A10" s="36">
        <v>42670.468136574076</v>
      </c>
      <c r="B10" s="31" t="s">
        <v>397</v>
      </c>
      <c r="C10" s="31" t="s">
        <v>404</v>
      </c>
      <c r="D10" s="31" t="s">
        <v>98</v>
      </c>
      <c r="E10" s="31" t="s">
        <v>154</v>
      </c>
      <c r="F10" s="47">
        <v>180</v>
      </c>
      <c r="G10" s="47">
        <v>237</v>
      </c>
      <c r="H10" s="47">
        <v>27104</v>
      </c>
      <c r="I10" s="47">
        <v>26464</v>
      </c>
      <c r="J10" s="31" t="s">
        <v>153</v>
      </c>
      <c r="K10" s="47">
        <v>27350</v>
      </c>
      <c r="L10" s="157" t="s">
        <v>51</v>
      </c>
      <c r="M10" s="158">
        <f t="shared" si="0"/>
        <v>-467.80799999999999</v>
      </c>
      <c r="N10" s="159" t="str">
        <f>VLOOKUP(C10,'Trips&amp;Operators'!$C$1:$E$99999,3,FALSE)</f>
        <v>MALAVE</v>
      </c>
      <c r="O10" s="184" t="s">
        <v>231</v>
      </c>
      <c r="P10" s="160" t="s">
        <v>803</v>
      </c>
      <c r="Q10" s="31"/>
      <c r="R10" s="100" t="str">
        <f>VLOOKUP(C10,'Train Runs'!$A$13:$AE$10021,31,0)</f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S10" s="103" t="str">
        <f>VLOOKUP(C10,'Train Runs'!$A$13:$AE$10021,22,0)</f>
        <v>https://search-rtdc-monitor-bjffxe2xuh6vdkpspy63sjmuny.us-east-1.es.amazonaws.com/_plugin/kibana/#/discover/Steve-Slow-Train-Analysis-(2080s-and-2083s)?_g=(refreshInterval:(display:Off,section:0,value:0),time:(from:'2016-10-27 09:38:37-0600',mode:absolute,to:'2016-10-27 12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0" s="105" t="str">
        <f t="shared" si="1"/>
        <v>"C:\Program Files (x86)\AstroGrep\AstroGrep.exe" /spath="%USERPROFILE%\AppData\Local\Temp\OnboardLogs" /stypes="*4013*201610271*" /stext=" 17:.+((SYSTEM_STATE.+slice.+state.+changed )|(ment ac)|(system.+state.+changed )|(\[timeout)|(PRM\|1\|D)|(kpr)|(kdp)|(\|lc)|(penalty))" /e /r /s</v>
      </c>
      <c r="U10" s="9" t="str">
        <f t="shared" si="2"/>
        <v>4013</v>
      </c>
      <c r="V10" s="36">
        <f t="shared" si="3"/>
        <v>42670.718136574076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arrival","project_id":79,"tracker_id":40,"status_id":1,"priority_id":2,"assigned_to_id":23,"start_date":"2016-10-27","description":"","custom_fields":[{"id":1,"name":"Subdivision","value":"EC"},{"id":4,"name":"Milepost","value":"2.735"},{"id":17,"name":"Train ID","value":"150-27"},{"id":16,"name":"Locomotive ID","value":"4013"},{"id":130,"name":"Impact","value":""},{"id":150,"name":"Time of Event (Mountain Time)","value":"11:14:07"},{"id":151,"name":"Denver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"%USERPROFILE%\AppData\Local\Temp\OnboardLogs"\RTDC4013\*4013*201610271* | grep -SE "((Enforcement Ac)|(PRM))" -</v>
      </c>
    </row>
    <row r="11" spans="1:29" s="1" customFormat="1" x14ac:dyDescent="0.25">
      <c r="A11" s="36">
        <v>42670.334479166668</v>
      </c>
      <c r="B11" s="31" t="s">
        <v>269</v>
      </c>
      <c r="C11" s="31" t="s">
        <v>393</v>
      </c>
      <c r="D11" s="31" t="s">
        <v>98</v>
      </c>
      <c r="E11" s="31" t="s">
        <v>154</v>
      </c>
      <c r="F11" s="47">
        <v>190</v>
      </c>
      <c r="G11" s="47">
        <v>245</v>
      </c>
      <c r="H11" s="47">
        <v>27055</v>
      </c>
      <c r="I11" s="47">
        <v>26478</v>
      </c>
      <c r="J11" s="31" t="s">
        <v>153</v>
      </c>
      <c r="K11" s="47">
        <v>27350</v>
      </c>
      <c r="L11" s="157" t="s">
        <v>51</v>
      </c>
      <c r="M11" s="158">
        <f t="shared" si="0"/>
        <v>-460.416</v>
      </c>
      <c r="N11" s="159" t="str">
        <f>VLOOKUP(C11,'Trips&amp;Operators'!$C$1:$E$99999,3,FALSE)</f>
        <v>STRICKLAND</v>
      </c>
      <c r="O11" s="184" t="s">
        <v>231</v>
      </c>
      <c r="P11" s="160" t="s">
        <v>803</v>
      </c>
      <c r="Q11" s="31"/>
      <c r="R11" s="100" t="str">
        <f>VLOOKUP(C11,'Train Runs'!$A$13:$AE$10021,31,0)</f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S11" s="103" t="str">
        <f>VLOOKUP(C11,'Train Runs'!$A$13:$AE$10021,22,0)</f>
        <v>https://search-rtdc-monitor-bjffxe2xuh6vdkpspy63sjmuny.us-east-1.es.amazonaws.com/_plugin/kibana/#/discover/Steve-Slow-Train-Analysis-(2080s-and-2083s)?_g=(refreshInterval:(display:Off,section:0,value:0),time:(from:'2016-10-27 06:21:33-0600',mode:absolute,to:'2016-10-27 09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1" s="105" t="str">
        <f t="shared" si="1"/>
        <v>"C:\Program Files (x86)\AstroGrep\AstroGrep.exe" /spath="%USERPROFILE%\AppData\Local\Temp\OnboardLogs" /stypes="*4037*201610271*" /stext=" 14:.+((SYSTEM_STATE.+slice.+state.+changed )|(ment ac)|(system.+state.+changed )|(\[timeout)|(PRM\|1\|D)|(kpr)|(kdp)|(\|lc)|(penalty))" /e /r /s</v>
      </c>
      <c r="U11" s="9" t="str">
        <f t="shared" si="2"/>
        <v>4037</v>
      </c>
      <c r="V11" s="36">
        <f t="shared" si="3"/>
        <v>42670.584479166668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arrival","project_id":79,"tracker_id":40,"status_id":1,"priority_id":2,"assigned_to_id":23,"start_date":"2016-10-27","description":"","custom_fields":[{"id":1,"name":"Subdivision","value":"EC"},{"id":4,"name":"Milepost","value":"2.735"},{"id":17,"name":"Train ID","value":"124-27"},{"id":16,"name":"Locomotive ID","value":"4037"},{"id":130,"name":"Impact","value":""},{"id":150,"name":"Time of Event (Mountain Time)","value":"08:01:39"},{"id":151,"name":"Denver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"%USERPROFILE%\AppData\Local\Temp\OnboardLogs"\RTDC4037\*4037*201610271* | grep -SE "((Enforcement Ac)|(PRM))" -</v>
      </c>
    </row>
    <row r="12" spans="1:29" s="1" customFormat="1" x14ac:dyDescent="0.25">
      <c r="A12" s="36">
        <v>42670.59103009259</v>
      </c>
      <c r="B12" s="31" t="s">
        <v>304</v>
      </c>
      <c r="C12" s="31" t="s">
        <v>410</v>
      </c>
      <c r="D12" s="31" t="s">
        <v>49</v>
      </c>
      <c r="E12" s="31" t="s">
        <v>154</v>
      </c>
      <c r="F12" s="47">
        <v>0</v>
      </c>
      <c r="G12" s="47">
        <v>269</v>
      </c>
      <c r="H12" s="47">
        <v>33265</v>
      </c>
      <c r="I12" s="47">
        <v>32686</v>
      </c>
      <c r="J12" s="31" t="s">
        <v>153</v>
      </c>
      <c r="K12" s="47">
        <v>33257</v>
      </c>
      <c r="L12" s="157" t="s">
        <v>51</v>
      </c>
      <c r="M12" s="158">
        <f t="shared" si="0"/>
        <v>-301.488</v>
      </c>
      <c r="N12" s="159" t="str">
        <f>VLOOKUP(C12,'Trips&amp;Operators'!$C$1:$E$99999,3,FALSE)</f>
        <v>BONDS</v>
      </c>
      <c r="O12" s="184" t="s">
        <v>231</v>
      </c>
      <c r="P12" s="160" t="s">
        <v>803</v>
      </c>
      <c r="Q12" s="31"/>
      <c r="R12" s="100" t="str">
        <f>VLOOKUP(C12,'Train Runs'!$A$13:$AE$10021,31,0)</f>
        <v>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 &amp; aws s3 cp s3://rtdc.mdm.uploadarchive.raw/RTDC4008/ "%USERPROFILE%\AppData\Local\Temp\OnboardLogs"\RTDC4008\2016-10-28 --exclude "*" --recursive --include "*20161028*" &amp; "%USERPROFILE%\Documents\GitHub\mrs-test-scripts\Headless Mode &amp; Sideloading\WalkAndUnGZ.bat" "%USERPROFILE%\AppData\Local\Temp\OnboardLogs"\RTDC4008\2016-10-28</v>
      </c>
      <c r="S12" s="103" t="str">
        <f>VLOOKUP(C12,'Train Runs'!$A$13:$AE$10021,22,0)</f>
        <v>https://search-rtdc-monitor-bjffxe2xuh6vdkpspy63sjmuny.us-east-1.es.amazonaws.com/_plugin/kibana/#/discover/Steve-Slow-Train-Analysis-(2080s-and-2083s)?_g=(refreshInterval:(display:Off,section:0,value:0),time:(from:'2016-10-27 12:24:24-0600',mode:absolute,to:'2016-10-27 15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2" s="105" t="str">
        <f t="shared" si="1"/>
        <v>"C:\Program Files (x86)\AstroGrep\AstroGrep.exe" /spath="%USERPROFILE%\AppData\Local\Temp\OnboardLogs" /stypes="*4008*201610272*" /stext=" 20:.+((SYSTEM_STATE.+slice.+state.+changed )|(ment ac)|(system.+state.+changed )|(\[timeout)|(PRM\|1\|D)|(kpr)|(kdp)|(\|lc)|(penalty))" /e /r /s</v>
      </c>
      <c r="U12" s="9" t="str">
        <f t="shared" si="2"/>
        <v>4008</v>
      </c>
      <c r="V12" s="36">
        <f t="shared" si="3"/>
        <v>42670.84103009259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arrival","project_id":79,"tracker_id":40,"status_id":1,"priority_id":2,"assigned_to_id":23,"start_date":"2016-10-27","description":"","custom_fields":[{"id":1,"name":"Subdivision","value":"EC"},{"id":4,"name":"Milepost","value":"3.3257"},{"id":17,"name":"Train ID","value":"174-27"},{"id":16,"name":"Locomotive ID","value":"4008"},{"id":130,"name":"Impact","value":""},{"id":150,"name":"Time of Event (Mountain Time)","value":"14:11:05"},{"id":151,"name":"Denver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"%USERPROFILE%\AppData\Local\Temp\OnboardLogs"\RTDC4008\*4008*201610272* | grep -SE "((Enforcement Ac)|(PRM))" -</v>
      </c>
    </row>
    <row r="13" spans="1:29" s="1" customFormat="1" x14ac:dyDescent="0.25">
      <c r="A13" s="36">
        <v>42670.694571759261</v>
      </c>
      <c r="B13" s="31" t="s">
        <v>269</v>
      </c>
      <c r="C13" s="31" t="s">
        <v>415</v>
      </c>
      <c r="D13" s="31" t="s">
        <v>49</v>
      </c>
      <c r="E13" s="31" t="s">
        <v>154</v>
      </c>
      <c r="F13" s="47">
        <v>0</v>
      </c>
      <c r="G13" s="47">
        <v>205</v>
      </c>
      <c r="H13" s="47">
        <v>33305</v>
      </c>
      <c r="I13" s="47">
        <v>33169</v>
      </c>
      <c r="J13" s="31" t="s">
        <v>153</v>
      </c>
      <c r="K13" s="47">
        <v>33257</v>
      </c>
      <c r="L13" s="157" t="s">
        <v>51</v>
      </c>
      <c r="M13" s="158">
        <f t="shared" si="0"/>
        <v>-46.463999999999999</v>
      </c>
      <c r="N13" s="159" t="str">
        <f>VLOOKUP(C13,'Trips&amp;Operators'!$C$1:$E$99999,3,FALSE)</f>
        <v>LOPES</v>
      </c>
      <c r="O13" s="184" t="s">
        <v>231</v>
      </c>
      <c r="P13" s="160" t="s">
        <v>803</v>
      </c>
      <c r="Q13" s="31"/>
      <c r="R13" s="100" t="str">
        <f>VLOOKUP(C13,'Train Runs'!$A$13:$AE$10021,31,0)</f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S13" s="103" t="str">
        <f>VLOOKUP(C13,'Train Runs'!$A$13:$AE$10021,22,0)</f>
        <v>https://search-rtdc-monitor-bjffxe2xuh6vdkpspy63sjmuny.us-east-1.es.amazonaws.com/_plugin/kibana/#/discover/Steve-Slow-Train-Analysis-(2080s-and-2083s)?_g=(refreshInterval:(display:Off,section:0,value:0),time:(from:'2016-10-27 14:53:21-0600',mode:absolute,to:'2016-10-27 17:49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3" s="105" t="str">
        <f t="shared" si="1"/>
        <v>"C:\Program Files (x86)\AstroGrep\AstroGrep.exe" /spath="%USERPROFILE%\AppData\Local\Temp\OnboardLogs" /stypes="*4037*201610272*" /stext=" 22:.+((SYSTEM_STATE.+slice.+state.+changed )|(ment ac)|(system.+state.+changed )|(\[timeout)|(PRM\|1\|D)|(kpr)|(kdp)|(\|lc)|(penalty))" /e /r /s</v>
      </c>
      <c r="U13" s="9" t="str">
        <f t="shared" si="2"/>
        <v>4037</v>
      </c>
      <c r="V13" s="36">
        <f t="shared" si="3"/>
        <v>42670.944571759261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{"issue":{"subject":"Early arrival","project_id":79,"tracker_id":40,"status_id":1,"priority_id":2,"assigned_to_id":23,"start_date":"2016-10-27","description":"","custom_fields":[{"id":1,"name":"Subdivision","value":"EC"},{"id":4,"name":"Milepost","value":"3.3257"},{"id":17,"name":"Train ID","value":"194-27"},{"id":16,"name":"Locomotive ID","value":"4037"},{"id":130,"name":"Impact","value":""},{"id":150,"name":"Time of Event (Mountain Time)","value":"16:40:11"},{"id":151,"name":"Denver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"%USERPROFILE%\AppData\Local\Temp\OnboardLogs"\RTDC4037\*4037*201610272* | grep -SE "((Enforcement Ac)|(PRM))" -</v>
      </c>
    </row>
    <row r="14" spans="1:29" s="1" customFormat="1" x14ac:dyDescent="0.25">
      <c r="A14" s="36">
        <v>42670.247812499998</v>
      </c>
      <c r="B14" s="31" t="s">
        <v>332</v>
      </c>
      <c r="C14" s="31" t="s">
        <v>387</v>
      </c>
      <c r="D14" s="31" t="s">
        <v>49</v>
      </c>
      <c r="E14" s="31" t="s">
        <v>154</v>
      </c>
      <c r="F14" s="47">
        <v>540</v>
      </c>
      <c r="G14" s="47">
        <v>618</v>
      </c>
      <c r="H14" s="47">
        <v>51755</v>
      </c>
      <c r="I14" s="47">
        <v>53902</v>
      </c>
      <c r="J14" s="31" t="s">
        <v>153</v>
      </c>
      <c r="K14" s="47">
        <v>53156</v>
      </c>
      <c r="L14" s="157" t="s">
        <v>50</v>
      </c>
      <c r="M14" s="158">
        <f t="shared" si="0"/>
        <v>-393.88799999999998</v>
      </c>
      <c r="N14" s="159" t="str">
        <f>VLOOKUP(C14,'Trips&amp;Operators'!$C$1:$E$99999,3,FALSE)</f>
        <v>SPECTOR</v>
      </c>
      <c r="O14" s="184" t="s">
        <v>231</v>
      </c>
      <c r="P14" s="160" t="s">
        <v>803</v>
      </c>
      <c r="Q14" s="31"/>
      <c r="R14" s="100" t="str">
        <f>VLOOKUP(C14,'Train Runs'!$A$13:$AE$10021,31,0)</f>
        <v>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 &amp; aws s3 cp s3://rtdc.mdm.uploadarchive.raw/RTDC4040/ "%USERPROFILE%\AppData\Local\Temp\OnboardLogs"\RTDC4040\2016-10-28 --exclude "*" --recursive --include "*20161028*" &amp; "%USERPROFILE%\Documents\GitHub\mrs-test-scripts\Headless Mode &amp; Sideloading\WalkAndUnGZ.bat" "%USERPROFILE%\AppData\Local\Temp\OnboardLogs"\RTDC4040\2016-10-28</v>
      </c>
      <c r="S14" s="103" t="str">
        <f>VLOOKUP(C14,'Train Runs'!$A$13:$AE$10021,22,0)</f>
        <v>https://search-rtdc-monitor-bjffxe2xuh6vdkpspy63sjmuny.us-east-1.es.amazonaws.com/_plugin/kibana/#/discover/Steve-Slow-Train-Analysis-(2080s-and-2083s)?_g=(refreshInterval:(display:Off,section:0,value:0),time:(from:'2016-10-27 04:41:14-0600',mode:absolute,to:'2016-10-27 07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4" s="105" t="str">
        <f t="shared" si="1"/>
        <v>"C:\Program Files (x86)\AstroGrep\AstroGrep.exe" /spath="%USERPROFILE%\AppData\Local\Temp\OnboardLogs" /stypes="*4040*201610271*" /stext=" 11:.+((SYSTEM_STATE.+slice.+state.+changed )|(ment ac)|(system.+state.+changed )|(\[timeout)|(PRM\|1\|D)|(kpr)|(kdp)|(\|lc)|(penalty))" /e /r /s</v>
      </c>
      <c r="U14" s="9" t="str">
        <f t="shared" si="2"/>
        <v>4040</v>
      </c>
      <c r="V14" s="36">
        <f t="shared" si="3"/>
        <v>42670.497812499998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{"issue":{"subject":"Early arrival","project_id":79,"tracker_id":40,"status_id":1,"priority_id":2,"assigned_to_id":23,"start_date":"2016-10-27","description":"","custom_fields":[{"id":1,"name":"Subdivision","value":"EC"},{"id":4,"name":"Milepost","value":"5.3156"},{"id":17,"name":"Train ID","value":"117-27"},{"id":16,"name":"Locomotive ID","value":"4040"},{"id":130,"name":"Impact","value":""},{"id":150,"name":"Time of Event (Mountain Time)","value":"05:56:51"},{"id":151,"name":"Denver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"%USERPROFILE%\AppData\Local\Temp\OnboardLogs"\RTDC4040\*4040*201610271* | grep -SE "((Enforcement Ac)|(PRM))" -</v>
      </c>
    </row>
    <row r="15" spans="1:29" s="1" customFormat="1" x14ac:dyDescent="0.25">
      <c r="A15" s="36">
        <v>42670.480069444442</v>
      </c>
      <c r="B15" s="31" t="s">
        <v>269</v>
      </c>
      <c r="C15" s="31" t="s">
        <v>406</v>
      </c>
      <c r="D15" s="31" t="s">
        <v>49</v>
      </c>
      <c r="E15" s="31" t="s">
        <v>232</v>
      </c>
      <c r="F15" s="47">
        <v>450</v>
      </c>
      <c r="G15" s="47">
        <v>510</v>
      </c>
      <c r="H15" s="47">
        <v>17233</v>
      </c>
      <c r="I15" s="47">
        <v>13821</v>
      </c>
      <c r="J15" s="31" t="s">
        <v>233</v>
      </c>
      <c r="K15" s="47">
        <v>15167</v>
      </c>
      <c r="L15" s="157" t="s">
        <v>51</v>
      </c>
      <c r="M15" s="158">
        <f t="shared" si="0"/>
        <v>-710.68799999999999</v>
      </c>
      <c r="N15" s="159" t="str">
        <f>VLOOKUP(C15,'Trips&amp;Operators'!$C$1:$E$99999,3,FALSE)</f>
        <v>STRICKLAND</v>
      </c>
      <c r="O15" s="184" t="s">
        <v>231</v>
      </c>
      <c r="P15" s="160"/>
      <c r="Q15" s="31"/>
      <c r="R15" s="100" t="str">
        <f>VLOOKUP(C15,'Train Runs'!$A$13:$AE$10021,31,0)</f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S15" s="103" t="str">
        <f>VLOOKUP(C15,'Train Runs'!$A$13:$AE$10021,22,0)</f>
        <v>https://search-rtdc-monitor-bjffxe2xuh6vdkpspy63sjmuny.us-east-1.es.amazonaws.com/_plugin/kibana/#/discover/Steve-Slow-Train-Analysis-(2080s-and-2083s)?_g=(refreshInterval:(display:Off,section:0,value:0),time:(from:'2016-10-27 09:47:45-0600',mode:absolute,to:'2016-10-27 12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/stypes="*4037*201610271*" /stext=" 17:.+((SYSTEM_STATE.+slice.+state.+changed )|(ment ac)|(system.+state.+changed )|(\[timeout)|(PRM\|1\|D)|(kpr)|(kdp)|(\|lc)|(penalty))" /e /r /s</v>
      </c>
      <c r="U15" s="9" t="str">
        <f t="shared" si="2"/>
        <v>4037</v>
      </c>
      <c r="V15" s="36">
        <f t="shared" si="3"/>
        <v>42670.730069444442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{"issue":{"subject":"","project_id":79,"tracker_id":40,"status_id":1,"priority_id":2,"assigned_to_id":23,"start_date":"2016-10-27","description":"","custom_fields":[{"id":1,"name":"Subdivision","value":"EC"},{"id":4,"name":"Milepost","value":"1.5167"},{"id":17,"name":"Train ID","value":"152-27"},{"id":16,"name":"Locomotive ID","value":"4037"},{"id":130,"name":"Impact","value":""},{"id":150,"name":"Time of Event (Mountain Time)","value":"11:31:18"},{"id":151,"name":"Denver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"%USERPROFILE%\AppData\Local\Temp\OnboardLogs"\RTDC4037\*4037*201610271* | grep -SE "((Enforcement Ac)|(PRM))" -</v>
      </c>
    </row>
    <row r="16" spans="1:29" s="1" customFormat="1" x14ac:dyDescent="0.25">
      <c r="A16" s="36">
        <v>42670.600138888891</v>
      </c>
      <c r="B16" s="31" t="s">
        <v>290</v>
      </c>
      <c r="C16" s="31" t="s">
        <v>411</v>
      </c>
      <c r="D16" s="31" t="s">
        <v>98</v>
      </c>
      <c r="E16" s="31" t="s">
        <v>232</v>
      </c>
      <c r="F16" s="47">
        <v>200</v>
      </c>
      <c r="G16" s="47">
        <v>251</v>
      </c>
      <c r="H16" s="47">
        <v>27599</v>
      </c>
      <c r="I16" s="47">
        <v>27978</v>
      </c>
      <c r="J16" s="31" t="s">
        <v>233</v>
      </c>
      <c r="K16" s="47">
        <v>27333</v>
      </c>
      <c r="L16" s="157" t="s">
        <v>50</v>
      </c>
      <c r="M16" s="158">
        <f t="shared" si="0"/>
        <v>-340.56</v>
      </c>
      <c r="N16" s="159" t="str">
        <f>VLOOKUP(C16,'Trips&amp;Operators'!$C$1:$E$99999,3,FALSE)</f>
        <v>ROMERO</v>
      </c>
      <c r="O16" s="184" t="s">
        <v>231</v>
      </c>
      <c r="P16" s="160"/>
      <c r="Q16" s="31"/>
      <c r="R16" s="100" t="str">
        <f>VLOOKUP(C16,'Train Runs'!$A$13:$AE$10021,31,0)</f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S16" s="103" t="str">
        <f>VLOOKUP(C16,'Train Runs'!$A$13:$AE$10021,22,0)</f>
        <v>https://search-rtdc-monitor-bjffxe2xuh6vdkpspy63sjmuny.us-east-1.es.amazonaws.com/_plugin/kibana/#/discover/Steve-Slow-Train-Analysis-(2080s-and-2083s)?_g=(refreshInterval:(display:Off,section:0,value:0),time:(from:'2016-10-27 13:08:14-0600',mode:absolute,to:'2016-10-27 15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6" s="105" t="str">
        <f t="shared" si="1"/>
        <v>"C:\Program Files (x86)\AstroGrep\AstroGrep.exe" /spath="%USERPROFILE%\AppData\Local\Temp\OnboardLogs" /stypes="*4002*201610272*" /stext=" 20:.+((SYSTEM_STATE.+slice.+state.+changed )|(ment ac)|(system.+state.+changed )|(\[timeout)|(PRM\|1\|D)|(kpr)|(kdp)|(\|lc)|(penalty))" /e /r /s</v>
      </c>
      <c r="U16" s="9" t="str">
        <f t="shared" si="2"/>
        <v>4002</v>
      </c>
      <c r="V16" s="36">
        <f t="shared" si="3"/>
        <v>42670.850138888891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{"issue":{"subject":"","project_id":79,"tracker_id":40,"status_id":1,"priority_id":2,"assigned_to_id":23,"start_date":"2016-10-27","description":"","custom_fields":[{"id":1,"name":"Subdivision","value":"EC"},{"id":4,"name":"Milepost","value":"2.7333"},{"id":17,"name":"Train ID","value":"185-27"},{"id":16,"name":"Locomotive ID","value":"4002"},{"id":130,"name":"Impact","value":""},{"id":150,"name":"Time of Event (Mountain Time)","value":"14:24:12"},{"id":151,"name":"Denver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"%USERPROFILE%\AppData\Local\Temp\OnboardLogs"\RTDC4002\*4002*201610272* | grep -SE "((Enforcement Ac)|(PRM))" -</v>
      </c>
    </row>
    <row r="17" spans="1:30" s="1" customFormat="1" x14ac:dyDescent="0.25">
      <c r="A17" s="36">
        <v>42670.383622685185</v>
      </c>
      <c r="B17" s="31" t="s">
        <v>397</v>
      </c>
      <c r="C17" s="31" t="s">
        <v>398</v>
      </c>
      <c r="D17" s="31" t="s">
        <v>98</v>
      </c>
      <c r="E17" s="31" t="s">
        <v>232</v>
      </c>
      <c r="F17" s="47">
        <v>400</v>
      </c>
      <c r="G17" s="47">
        <v>453</v>
      </c>
      <c r="H17" s="47">
        <v>116772</v>
      </c>
      <c r="I17" s="47">
        <v>115141</v>
      </c>
      <c r="J17" s="31" t="s">
        <v>233</v>
      </c>
      <c r="K17" s="47">
        <v>119716</v>
      </c>
      <c r="L17" s="157" t="s">
        <v>51</v>
      </c>
      <c r="M17" s="158">
        <f t="shared" si="0"/>
        <v>-2415.6</v>
      </c>
      <c r="N17" s="159" t="str">
        <f>VLOOKUP(C17,'Trips&amp;Operators'!$C$1:$E$99999,3,FALSE)</f>
        <v>MALAVE</v>
      </c>
      <c r="O17" s="184" t="s">
        <v>231</v>
      </c>
      <c r="P17" s="160"/>
      <c r="Q17" s="31"/>
      <c r="R17" s="100" t="str">
        <f>VLOOKUP(C17,'Train Runs'!$A$13:$AE$10021,31,0)</f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S17" s="103" t="str">
        <f>VLOOKUP(C17,'Train Runs'!$A$13:$AE$10021,22,0)</f>
        <v>https://search-rtdc-monitor-bjffxe2xuh6vdkpspy63sjmuny.us-east-1.es.amazonaws.com/_plugin/kibana/#/discover/Steve-Slow-Train-Analysis-(2080s-and-2083s)?_g=(refreshInterval:(display:Off,section:0,value:0),time:(from:'2016-10-27 07:54:53-0600',mode:absolute,to:'2016-10-27 10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7" s="105" t="str">
        <f t="shared" si="1"/>
        <v>"C:\Program Files (x86)\AstroGrep\AstroGrep.exe" /spath="%USERPROFILE%\AppData\Local\Temp\OnboardLogs" /stypes="*4013*201610271*" /stext=" 15:.+((SYSTEM_STATE.+slice.+state.+changed )|(ment ac)|(system.+state.+changed )|(\[timeout)|(PRM\|1\|D)|(kpr)|(kdp)|(\|lc)|(penalty))" /e /r /s</v>
      </c>
      <c r="U17" s="9" t="str">
        <f t="shared" si="2"/>
        <v>4013</v>
      </c>
      <c r="V17" s="36">
        <f t="shared" si="3"/>
        <v>42670.633622685185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{"issue":{"subject":"","project_id":79,"tracker_id":40,"status_id":1,"priority_id":2,"assigned_to_id":23,"start_date":"2016-10-27","description":"","custom_fields":[{"id":1,"name":"Subdivision","value":"EC"},{"id":4,"name":"Milepost","value":"11.9716"},{"id":17,"name":"Train ID","value":"136-27"},{"id":16,"name":"Locomotive ID","value":"4013"},{"id":130,"name":"Impact","value":""},{"id":150,"name":"Time of Event (Mountain Time)","value":"09:12:25"},{"id":151,"name":"Denver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"%USERPROFILE%\AppData\Local\Temp\OnboardLogs"\RTDC4013\*4013*201610271* | grep -SE "((Enforcement Ac)|(PRM))" -</v>
      </c>
    </row>
    <row r="18" spans="1:30" s="1" customFormat="1" x14ac:dyDescent="0.25">
      <c r="A18" s="36">
        <v>42670.421342592592</v>
      </c>
      <c r="B18" s="31" t="s">
        <v>401</v>
      </c>
      <c r="C18" s="31" t="s">
        <v>402</v>
      </c>
      <c r="D18" s="31" t="s">
        <v>98</v>
      </c>
      <c r="E18" s="31" t="s">
        <v>232</v>
      </c>
      <c r="F18" s="47">
        <v>600</v>
      </c>
      <c r="G18" s="47">
        <v>652</v>
      </c>
      <c r="H18" s="47">
        <v>123742</v>
      </c>
      <c r="I18" s="47">
        <v>126663</v>
      </c>
      <c r="J18" s="31" t="s">
        <v>233</v>
      </c>
      <c r="K18" s="47">
        <v>119716</v>
      </c>
      <c r="L18" s="157" t="s">
        <v>50</v>
      </c>
      <c r="M18" s="158">
        <f t="shared" si="0"/>
        <v>-3668.0160000000001</v>
      </c>
      <c r="N18" s="159" t="str">
        <f>VLOOKUP(C18,'Trips&amp;Operators'!$C$1:$E$99999,3,FALSE)</f>
        <v>MALAVE</v>
      </c>
      <c r="O18" s="184" t="s">
        <v>231</v>
      </c>
      <c r="P18" s="160"/>
      <c r="Q18" s="31"/>
      <c r="R18" s="100" t="str">
        <f>VLOOKUP(C18,'Train Runs'!$A$13:$AE$10021,31,0)</f>
        <v>aws s3 cp s3://rtdc.mdm.uploadarchive.raw/RTDC4014/ "%USERPROFILE%\AppData\Local\Temp\OnboardLogs"\RTDC4014\2016-10-27 --exclude "*" --recursive --include "*20161027*" &amp; "%USERPROFILE%\Documents\GitHub\mrs-test-scripts\Headless Mode &amp; Sideloading\WalkAndUnGZ.bat" "%USERPROFILE%\AppData\Local\Temp\OnboardLogs"\RTDC4014\2016-10-27 &amp; 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</v>
      </c>
      <c r="S18" s="103" t="str">
        <f>VLOOKUP(C18,'Train Runs'!$A$13:$AE$10021,22,0)</f>
        <v>https://search-rtdc-monitor-bjffxe2xuh6vdkpspy63sjmuny.us-east-1.es.amazonaws.com/_plugin/kibana/#/discover/Steve-Slow-Train-Analysis-(2080s-and-2083s)?_g=(refreshInterval:(display:Off,section:0,value:0),time:(from:'2016-10-27 08:42:52-0600',mode:absolute,to:'2016-10-27 11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8" s="105" t="str">
        <f t="shared" si="1"/>
        <v>"C:\Program Files (x86)\AstroGrep\AstroGrep.exe" /spath="%USERPROFILE%\AppData\Local\Temp\OnboardLogs" /stypes="*4014*201610271*" /stext=" 16:.+((SYSTEM_STATE.+slice.+state.+changed )|(ment ac)|(system.+state.+changed )|(\[timeout)|(PRM\|1\|D)|(kpr)|(kdp)|(\|lc)|(penalty))" /e /r /s</v>
      </c>
      <c r="U18" s="9" t="str">
        <f t="shared" si="2"/>
        <v>4014</v>
      </c>
      <c r="V18" s="36">
        <f t="shared" si="3"/>
        <v>42670.671342592592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{"issue":{"subject":"","project_id":79,"tracker_id":40,"status_id":1,"priority_id":2,"assigned_to_id":23,"start_date":"2016-10-27","description":"","custom_fields":[{"id":1,"name":"Subdivision","value":"EC"},{"id":4,"name":"Milepost","value":"11.9716"},{"id":17,"name":"Train ID","value":"149-27"},{"id":16,"name":"Locomotive ID","value":"4014"},{"id":130,"name":"Impact","value":""},{"id":150,"name":"Time of Event (Mountain Time)","value":"10:06:44"},{"id":151,"name":"Denver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"%USERPROFILE%\AppData\Local\Temp\OnboardLogs"\RTDC4014\*4014*201610271* | grep -SE "((Enforcement Ac)|(PRM))" -</v>
      </c>
    </row>
    <row r="19" spans="1:30" s="1" customFormat="1" x14ac:dyDescent="0.25">
      <c r="A19" s="36">
        <v>42670.898692129631</v>
      </c>
      <c r="B19" s="31" t="s">
        <v>187</v>
      </c>
      <c r="C19" s="31" t="s">
        <v>426</v>
      </c>
      <c r="D19" s="31" t="s">
        <v>98</v>
      </c>
      <c r="E19" s="31" t="s">
        <v>232</v>
      </c>
      <c r="F19" s="47">
        <v>700</v>
      </c>
      <c r="G19" s="47">
        <v>750</v>
      </c>
      <c r="H19" s="47">
        <v>174283</v>
      </c>
      <c r="I19" s="47">
        <v>177349</v>
      </c>
      <c r="J19" s="31" t="s">
        <v>233</v>
      </c>
      <c r="K19" s="47">
        <v>161962</v>
      </c>
      <c r="L19" s="157" t="s">
        <v>50</v>
      </c>
      <c r="M19" s="158">
        <f t="shared" si="0"/>
        <v>-8124.3360000000002</v>
      </c>
      <c r="N19" s="159" t="str">
        <f>VLOOKUP(C19,'Trips&amp;Operators'!$C$1:$E$99999,3,FALSE)</f>
        <v>SMITH</v>
      </c>
      <c r="O19" s="184" t="s">
        <v>231</v>
      </c>
      <c r="P19" s="160"/>
      <c r="Q19" s="31"/>
      <c r="R19" s="100" t="str">
        <f>VLOOKUP(C19,'Train Runs'!$A$13:$AE$10021,31,0)</f>
        <v>aws s3 cp s3://rtdc.mdm.uploadarchive.raw/RTDC4018/ "%USERPROFILE%\AppData\Local\Temp\OnboardLogs"\RTDC4018\2016-10-27 --exclude "*" --recursive --include "*20161027*" &amp; "%USERPROFILE%\Documents\GitHub\mrs-test-scripts\Headless Mode &amp; Sideloading\WalkAndUnGZ.bat" "%USERPROFILE%\AppData\Local\Temp\OnboardLogs"\RTDC4018\2016-10-27 &amp; aws s3 cp s3://rtdc.mdm.uploadarchive.raw/RTDC4018/ "%USERPROFILE%\AppData\Local\Temp\OnboardLogs"\RTDC4018\2016-10-28 --exclude "*" --recursive --include "*20161028*" &amp; "%USERPROFILE%\Documents\GitHub\mrs-test-scripts\Headless Mode &amp; Sideloading\WalkAndUnGZ.bat" "%USERPROFILE%\AppData\Local\Temp\OnboardLogs"\RTDC4018\2016-10-28</v>
      </c>
      <c r="S19" s="103" t="str">
        <f>VLOOKUP(C19,'Train Runs'!$A$13:$AE$10021,22,0)</f>
        <v>https://search-rtdc-monitor-bjffxe2xuh6vdkpspy63sjmuny.us-east-1.es.amazonaws.com/_plugin/kibana/#/discover/Steve-Slow-Train-Analysis-(2080s-and-2083s)?_g=(refreshInterval:(display:Off,section:0,value:0),time:(from:'2016-10-27 19:43:16-0600',mode:absolute,to:'2016-10-27 22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9" s="105" t="str">
        <f t="shared" si="1"/>
        <v>"C:\Program Files (x86)\AstroGrep\AstroGrep.exe" /spath="%USERPROFILE%\AppData\Local\Temp\OnboardLogs" /stypes="*4018*201610280*" /stext=" 03:.+((SYSTEM_STATE.+slice.+state.+changed )|(ment ac)|(system.+state.+changed )|(\[timeout)|(PRM\|1\|D)|(kpr)|(kdp)|(\|lc)|(penalty))" /e /r /s</v>
      </c>
      <c r="U19" s="9" t="str">
        <f t="shared" si="2"/>
        <v>4018</v>
      </c>
      <c r="V19" s="36">
        <f t="shared" si="3"/>
        <v>42671.148692129631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{"issue":{"subject":"","project_id":79,"tracker_id":40,"status_id":1,"priority_id":2,"assigned_to_id":23,"start_date":"2016-10-27","description":"","custom_fields":[{"id":1,"name":"Subdivision","value":"EC"},{"id":4,"name":"Milepost","value":"16.1962"},{"id":17,"name":"Train ID","value":"229-27"},{"id":16,"name":"Locomotive ID","value":"4018"},{"id":130,"name":"Impact","value":""},{"id":150,"name":"Time of Event (Mountain Time)","value":"21:34:07"},{"id":151,"name":"Denver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"%USERPROFILE%\AppData\Local\Temp\OnboardLogs"\RTDC4018\*4018*201610280* | grep -SE "((Enforcement Ac)|(PRM))" -</v>
      </c>
    </row>
    <row r="20" spans="1:30" x14ac:dyDescent="0.25">
      <c r="A20" s="36">
        <v>42670.96125</v>
      </c>
      <c r="B20" s="31" t="s">
        <v>208</v>
      </c>
      <c r="C20" s="31" t="s">
        <v>428</v>
      </c>
      <c r="D20" s="31" t="s">
        <v>98</v>
      </c>
      <c r="E20" s="31" t="s">
        <v>232</v>
      </c>
      <c r="F20" s="47">
        <v>700</v>
      </c>
      <c r="G20" s="47">
        <v>756</v>
      </c>
      <c r="H20" s="47">
        <v>175363</v>
      </c>
      <c r="I20" s="47">
        <v>172350</v>
      </c>
      <c r="J20" s="31" t="s">
        <v>233</v>
      </c>
      <c r="K20" s="47">
        <v>183829</v>
      </c>
      <c r="L20" s="157" t="s">
        <v>51</v>
      </c>
      <c r="M20" s="158">
        <f t="shared" si="0"/>
        <v>-6060.9120000000003</v>
      </c>
      <c r="N20" s="159" t="str">
        <f>VLOOKUP(C20,'Trips&amp;Operators'!$C$1:$E$99999,3,FALSE)</f>
        <v>LEVIN</v>
      </c>
      <c r="O20" s="184" t="s">
        <v>231</v>
      </c>
      <c r="P20" s="160"/>
      <c r="Q20" s="31"/>
      <c r="R20" s="100" t="str">
        <f>VLOOKUP(C20,'Train Runs'!$A$13:$AE$10021,31,0)</f>
        <v>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 &amp; 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</v>
      </c>
      <c r="S20" s="103" t="str">
        <f>VLOOKUP(C20,'Train Runs'!$A$13:$AE$10021,22,0)</f>
        <v>https://search-rtdc-monitor-bjffxe2xuh6vdkpspy63sjmuny.us-east-1.es.amazonaws.com/_plugin/kibana/#/discover/Steve-Slow-Train-Analysis-(2080s-and-2083s)?_g=(refreshInterval:(display:Off,section:0,value:0),time:(from:'2016-10-27 21:47:45-0600',mode:absolute,to:'2016-10-28 00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 t="shared" si="1"/>
        <v>"C:\Program Files (x86)\AstroGrep\AstroGrep.exe" /spath="%USERPROFILE%\AppData\Local\Temp\OnboardLogs" /stypes="*4039*201610280*" /stext=" 05:.+((SYSTEM_STATE.+slice.+state.+changed )|(ment ac)|(system.+state.+changed )|(\[timeout)|(PRM\|1\|D)|(kpr)|(kdp)|(\|lc)|(penalty))" /e /r /s</v>
      </c>
      <c r="U20" s="9" t="str">
        <f t="shared" si="2"/>
        <v>4039</v>
      </c>
      <c r="V20" s="36">
        <f t="shared" si="3"/>
        <v>42671.21125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{"issue":{"subject":"","project_id":79,"tracker_id":40,"status_id":1,"priority_id":2,"assigned_to_id":23,"start_date":"2016-10-27","description":"","custom_fields":[{"id":1,"name":"Subdivision","value":"EC"},{"id":4,"name":"Milepost","value":"18.3829"},{"id":17,"name":"Train ID","value":"234-27"},{"id":16,"name":"Locomotive ID","value":"4039"},{"id":130,"name":"Impact","value":""},{"id":150,"name":"Time of Event (Mountain Time)","value":"23:04:12"},{"id":151,"name":"Denver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"%USERPROFILE%\AppData\Local\Temp\OnboardLogs"\RTDC4039\*4039*201610280* | grep -SE "((Enforcement Ac)|(PRM))" -</v>
      </c>
      <c r="AD20" s="1"/>
    </row>
    <row r="21" spans="1:30" s="1" customFormat="1" x14ac:dyDescent="0.25">
      <c r="A21" s="36">
        <v>42670.293587962966</v>
      </c>
      <c r="B21" s="31" t="s">
        <v>336</v>
      </c>
      <c r="C21" s="31" t="s">
        <v>391</v>
      </c>
      <c r="D21" s="31" t="s">
        <v>49</v>
      </c>
      <c r="E21" s="31" t="s">
        <v>232</v>
      </c>
      <c r="F21" s="47">
        <v>450</v>
      </c>
      <c r="G21" s="47">
        <v>585</v>
      </c>
      <c r="H21" s="47">
        <v>187904</v>
      </c>
      <c r="I21" s="47">
        <v>190595</v>
      </c>
      <c r="J21" s="31" t="s">
        <v>233</v>
      </c>
      <c r="K21" s="47">
        <v>190834</v>
      </c>
      <c r="L21" s="157" t="s">
        <v>50</v>
      </c>
      <c r="M21" s="158">
        <f t="shared" si="0"/>
        <v>126.19199999999999</v>
      </c>
      <c r="N21" s="159" t="str">
        <f>VLOOKUP(C21,'Trips&amp;Operators'!$C$1:$E$99999,3,FALSE)</f>
        <v>STRICKLAND</v>
      </c>
      <c r="O21" s="184" t="s">
        <v>231</v>
      </c>
      <c r="P21" s="160"/>
      <c r="Q21" s="31"/>
      <c r="R21" s="100" t="str">
        <f>VLOOKUP(C21,'Train Runs'!$A$13:$AE$10021,31,0)</f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S21" s="103" t="str">
        <f>VLOOKUP(C21,'Train Runs'!$A$13:$AE$10021,22,0)</f>
        <v>https://search-rtdc-monitor-bjffxe2xuh6vdkpspy63sjmuny.us-east-1.es.amazonaws.com/_plugin/kibana/#/discover/Steve-Slow-Train-Analysis-(2080s-and-2083s)?_g=(refreshInterval:(display:Off,section:0,value:0),time:(from:'2016-10-27 05:21:27-0600',mode:absolute,to:'2016-10-27 08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1" s="105" t="str">
        <f t="shared" si="1"/>
        <v>"C:\Program Files (x86)\AstroGrep\AstroGrep.exe" /spath="%USERPROFILE%\AppData\Local\Temp\OnboardLogs" /stypes="*4038*201610271*" /stext=" 13:.+((SYSTEM_STATE.+slice.+state.+changed )|(ment ac)|(system.+state.+changed )|(\[timeout)|(PRM\|1\|D)|(kpr)|(kdp)|(\|lc)|(penalty))" /e /r /s</v>
      </c>
      <c r="U21" s="9" t="str">
        <f t="shared" si="2"/>
        <v>4038</v>
      </c>
      <c r="V21" s="36">
        <f t="shared" si="3"/>
        <v>42670.543587962966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{"issue":{"subject":"","project_id":79,"tracker_id":40,"status_id":1,"priority_id":2,"assigned_to_id":23,"start_date":"2016-10-27","description":"","custom_fields":[{"id":1,"name":"Subdivision","value":"EC"},{"id":4,"name":"Milepost","value":"19.0834"},{"id":17,"name":"Train ID","value":"123-27"},{"id":16,"name":"Locomotive ID","value":"4038"},{"id":130,"name":"Impact","value":""},{"id":150,"name":"Time of Event (Mountain Time)","value":"07:02:46"},{"id":151,"name":"Denver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"%USERPROFILE%\AppData\Local\Temp\OnboardLogs"\RTDC4038\*4038*201610271* | grep -SE "((Enforcement Ac)|(PRM))" -</v>
      </c>
    </row>
    <row r="22" spans="1:30" x14ac:dyDescent="0.25">
      <c r="A22" s="36">
        <v>42670.471145833333</v>
      </c>
      <c r="B22" s="31" t="s">
        <v>234</v>
      </c>
      <c r="C22" s="31" t="s">
        <v>405</v>
      </c>
      <c r="D22" s="31" t="s">
        <v>98</v>
      </c>
      <c r="E22" s="31" t="s">
        <v>232</v>
      </c>
      <c r="F22" s="47">
        <v>600</v>
      </c>
      <c r="G22" s="47">
        <v>652</v>
      </c>
      <c r="H22" s="47">
        <v>183994</v>
      </c>
      <c r="I22" s="47">
        <v>180979</v>
      </c>
      <c r="J22" s="31" t="s">
        <v>233</v>
      </c>
      <c r="K22" s="47">
        <v>190834</v>
      </c>
      <c r="L22" s="157" t="s">
        <v>51</v>
      </c>
      <c r="M22" s="158">
        <f t="shared" si="0"/>
        <v>-5203.4399999999996</v>
      </c>
      <c r="N22" s="159" t="str">
        <f>VLOOKUP(C22,'Trips&amp;Operators'!$C$1:$E$99999,3,FALSE)</f>
        <v>MACDONALD</v>
      </c>
      <c r="O22" s="184" t="s">
        <v>231</v>
      </c>
      <c r="P22" s="160"/>
      <c r="Q22" s="31"/>
      <c r="R22" s="100" t="str">
        <f>VLOOKUP(C22,'Train Runs'!$A$13:$AE$10021,31,0)</f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S22" s="103" t="str">
        <f>VLOOKUP(C22,'Train Runs'!$A$13:$AE$10021,22,0)</f>
        <v>https://search-rtdc-monitor-bjffxe2xuh6vdkpspy63sjmuny.us-east-1.es.amazonaws.com/_plugin/kibana/#/discover/Steve-Slow-Train-Analysis-(2080s-and-2083s)?_g=(refreshInterval:(display:Off,section:0,value:0),time:(from:'2016-10-27 10:06:25-0600',mode:absolute,to:'2016-10-27 12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2" s="105" t="str">
        <f t="shared" si="1"/>
        <v>"C:\Program Files (x86)\AstroGrep\AstroGrep.exe" /spath="%USERPROFILE%\AppData\Local\Temp\OnboardLogs" /stypes="*4017*201610271*" /stext=" 17:.+((SYSTEM_STATE.+slice.+state.+changed )|(ment ac)|(system.+state.+changed )|(\[timeout)|(PRM\|1\|D)|(kpr)|(kdp)|(\|lc)|(penalty))" /e /r /s</v>
      </c>
      <c r="U22" s="9" t="str">
        <f t="shared" si="2"/>
        <v>4017</v>
      </c>
      <c r="V22" s="36">
        <f t="shared" si="3"/>
        <v>42670.721145833333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{"issue":{"subject":"","project_id":79,"tracker_id":40,"status_id":1,"priority_id":2,"assigned_to_id":23,"start_date":"2016-10-27","description":"","custom_fields":[{"id":1,"name":"Subdivision","value":"EC"},{"id":4,"name":"Milepost","value":"19.0834"},{"id":17,"name":"Train ID","value":"154-27"},{"id":16,"name":"Locomotive ID","value":"4017"},{"id":130,"name":"Impact","value":""},{"id":150,"name":"Time of Event (Mountain Time)","value":"11:18:27"},{"id":151,"name":"Denver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"%USERPROFILE%\AppData\Local\Temp\OnboardLogs"\RTDC4017\*4017*201610271* | grep -SE "((Enforcement Ac)|(PRM))" -</v>
      </c>
      <c r="AD22" s="1"/>
    </row>
    <row r="23" spans="1:30" x14ac:dyDescent="0.25">
      <c r="A23" s="36">
        <v>42670.242210648146</v>
      </c>
      <c r="B23" s="31" t="s">
        <v>234</v>
      </c>
      <c r="C23" s="31" t="s">
        <v>386</v>
      </c>
      <c r="D23" s="31" t="s">
        <v>49</v>
      </c>
      <c r="E23" s="31" t="s">
        <v>232</v>
      </c>
      <c r="F23" s="47">
        <v>450</v>
      </c>
      <c r="G23" s="47">
        <v>505</v>
      </c>
      <c r="H23" s="47">
        <v>192007</v>
      </c>
      <c r="I23" s="47">
        <v>190283</v>
      </c>
      <c r="J23" s="31" t="s">
        <v>233</v>
      </c>
      <c r="K23" s="47">
        <v>191108</v>
      </c>
      <c r="L23" s="157" t="s">
        <v>51</v>
      </c>
      <c r="M23" s="158">
        <f t="shared" si="0"/>
        <v>-435.6</v>
      </c>
      <c r="N23" s="159" t="str">
        <f>VLOOKUP(C23,'Trips&amp;Operators'!$C$1:$E$99999,3,FALSE)</f>
        <v>MACDONALD</v>
      </c>
      <c r="O23" s="184" t="s">
        <v>231</v>
      </c>
      <c r="P23" s="160"/>
      <c r="Q23" s="31"/>
      <c r="R23" s="100" t="str">
        <f>VLOOKUP(C23,'Train Runs'!$A$13:$AE$10021,31,0)</f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S23" s="103" t="str">
        <f>VLOOKUP(C23,'Train Runs'!$A$13:$AE$10021,22,0)</f>
        <v>https://search-rtdc-monitor-bjffxe2xuh6vdkpspy63sjmuny.us-east-1.es.amazonaws.com/_plugin/kibana/#/discover/Steve-Slow-Train-Analysis-(2080s-and-2083s)?_g=(refreshInterval:(display:Off,section:0,value:0),time:(from:'2016-10-27 04:37:51-0600',mode:absolute,to:'2016-10-27 06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3" s="105" t="str">
        <f t="shared" si="1"/>
        <v>"C:\Program Files (x86)\AstroGrep\AstroGrep.exe" /spath="%USERPROFILE%\AppData\Local\Temp\OnboardLogs" /stypes="*4017*201610271*" /stext=" 11:.+((SYSTEM_STATE.+slice.+state.+changed )|(ment ac)|(system.+state.+changed )|(\[timeout)|(PRM\|1\|D)|(kpr)|(kdp)|(\|lc)|(penalty))" /e /r /s</v>
      </c>
      <c r="U23" s="9" t="str">
        <f t="shared" si="2"/>
        <v>4017</v>
      </c>
      <c r="V23" s="36">
        <f t="shared" si="3"/>
        <v>42670.492210648146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{"issue":{"subject":"","project_id":79,"tracker_id":40,"status_id":1,"priority_id":2,"assigned_to_id":23,"start_date":"2016-10-27","description":"","custom_fields":[{"id":1,"name":"Subdivision","value":"EC"},{"id":4,"name":"Milepost","value":"19.1108"},{"id":17,"name":"Train ID","value":"110-27"},{"id":16,"name":"Locomotive ID","value":"4017"},{"id":130,"name":"Impact","value":""},{"id":150,"name":"Time of Event (Mountain Time)","value":"05:48:47"},{"id":151,"name":"Denver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"%USERPROFILE%\AppData\Local\Temp\OnboardLogs"\RTDC4017\*4017*201610271* | grep -SE "((Enforcement Ac)|(PRM))" -</v>
      </c>
      <c r="AD23" s="1"/>
    </row>
    <row r="24" spans="1:30" x14ac:dyDescent="0.25">
      <c r="A24" s="36">
        <v>42670.394444444442</v>
      </c>
      <c r="B24" s="31" t="s">
        <v>234</v>
      </c>
      <c r="C24" s="31" t="s">
        <v>399</v>
      </c>
      <c r="D24" s="31" t="s">
        <v>98</v>
      </c>
      <c r="E24" s="31" t="s">
        <v>232</v>
      </c>
      <c r="F24" s="47">
        <v>350</v>
      </c>
      <c r="G24" s="47">
        <v>402</v>
      </c>
      <c r="H24" s="47">
        <v>228213</v>
      </c>
      <c r="I24" s="47">
        <v>227425</v>
      </c>
      <c r="J24" s="31" t="s">
        <v>233</v>
      </c>
      <c r="K24" s="47">
        <v>232107</v>
      </c>
      <c r="L24" s="157" t="s">
        <v>51</v>
      </c>
      <c r="M24" s="158">
        <f t="shared" si="0"/>
        <v>-2472.096</v>
      </c>
      <c r="N24" s="159" t="str">
        <f>VLOOKUP(C24,'Trips&amp;Operators'!$C$1:$E$99999,3,FALSE)</f>
        <v>MACDONALD</v>
      </c>
      <c r="O24" s="184" t="s">
        <v>231</v>
      </c>
      <c r="P24" s="160"/>
      <c r="Q24" s="31"/>
      <c r="R24" s="100" t="str">
        <f>VLOOKUP(C24,'Train Runs'!$A$13:$AE$10021,31,0)</f>
        <v>aws s3 cp s3://rtdc.mdm.uploadarchive.raw/RTDC4017/ "%USERPROFILE%\AppData\Local\Temp\OnboardLogs"\RTDC4017\2016-10-27 --exclude "*" --recursive --include "*20161027*" &amp; "%USERPROFILE%\Documents\GitHub\mrs-test-scripts\Headless Mode &amp; Sideloading\WalkAndUnGZ.bat" "%USERPROFILE%\AppData\Local\Temp\OnboardLogs"\RTDC4017\2016-10-27 &amp; aws s3 cp s3://rtdc.mdm.uploadarchive.raw/RTDC4017/ "%USERPROFILE%\AppData\Local\Temp\OnboardLogs"\RTDC4017\2016-10-28 --exclude "*" --recursive --include "*20161028*" &amp; "%USERPROFILE%\Documents\GitHub\mrs-test-scripts\Headless Mode &amp; Sideloading\WalkAndUnGZ.bat" "%USERPROFILE%\AppData\Local\Temp\OnboardLogs"\RTDC4017\2016-10-28</v>
      </c>
      <c r="S24" s="103" t="str">
        <f>VLOOKUP(C24,'Train Runs'!$A$13:$AE$10021,22,0)</f>
        <v>https://search-rtdc-monitor-bjffxe2xuh6vdkpspy63sjmuny.us-east-1.es.amazonaws.com/_plugin/kibana/#/discover/Steve-Slow-Train-Analysis-(2080s-and-2083s)?_g=(refreshInterval:(display:Off,section:0,value:0),time:(from:'2016-10-27 08:24:24-0600',mode:absolute,to:'2016-10-27 11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4" s="105" t="str">
        <f t="shared" si="1"/>
        <v>"C:\Program Files (x86)\AstroGrep\AstroGrep.exe" /spath="%USERPROFILE%\AppData\Local\Temp\OnboardLogs" /stypes="*4017*201610271*" /stext=" 15:.+((SYSTEM_STATE.+slice.+state.+changed )|(ment ac)|(system.+state.+changed )|(\[timeout)|(PRM\|1\|D)|(kpr)|(kdp)|(\|lc)|(penalty))" /e /r /s</v>
      </c>
      <c r="U24" s="9" t="str">
        <f t="shared" si="2"/>
        <v>4017</v>
      </c>
      <c r="V24" s="36">
        <f t="shared" si="3"/>
        <v>42670.644444444442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{"issue":{"subject":"","project_id":79,"tracker_id":40,"status_id":1,"priority_id":2,"assigned_to_id":23,"start_date":"2016-10-27","description":"","custom_fields":[{"id":1,"name":"Subdivision","value":"EC"},{"id":4,"name":"Milepost","value":"23.2107"},{"id":17,"name":"Train ID","value":"140-27"},{"id":16,"name":"Locomotive ID","value":"4017"},{"id":130,"name":"Impact","value":""},{"id":150,"name":"Time of Event (Mountain Time)","value":"09:28:00"},{"id":151,"name":"Denver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"%USERPROFILE%\AppData\Local\Temp\OnboardLogs"\RTDC4017\*4017*201610271* | grep -SE "((Enforcement Ac)|(PRM))" -</v>
      </c>
      <c r="AD24" s="1"/>
    </row>
    <row r="25" spans="1:30" ht="15" customHeight="1" x14ac:dyDescent="0.25">
      <c r="A25" s="36">
        <v>42670.936539351853</v>
      </c>
      <c r="B25" s="31" t="s">
        <v>291</v>
      </c>
      <c r="C25" s="31" t="s">
        <v>427</v>
      </c>
      <c r="D25" s="31" t="s">
        <v>98</v>
      </c>
      <c r="E25" s="31" t="s">
        <v>232</v>
      </c>
      <c r="F25" s="47">
        <v>350</v>
      </c>
      <c r="G25" s="47">
        <v>403</v>
      </c>
      <c r="H25" s="47">
        <v>224616</v>
      </c>
      <c r="I25" s="47">
        <v>222931</v>
      </c>
      <c r="J25" s="31" t="s">
        <v>233</v>
      </c>
      <c r="K25" s="47">
        <v>232107</v>
      </c>
      <c r="L25" s="157" t="s">
        <v>51</v>
      </c>
      <c r="M25" s="158">
        <f t="shared" si="0"/>
        <v>-4844.9279999999999</v>
      </c>
      <c r="N25" s="159" t="str">
        <f>VLOOKUP(C25,'Trips&amp;Operators'!$C$1:$E$99999,3,FALSE)</f>
        <v>BERLING</v>
      </c>
      <c r="O25" s="184" t="s">
        <v>231</v>
      </c>
      <c r="P25" s="160"/>
      <c r="Q25" s="31"/>
      <c r="R25" s="100" t="str">
        <f>VLOOKUP(C25,'Train Runs'!$A$13:$AE$10021,31,0)</f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S25" s="103" t="str">
        <f>VLOOKUP(C25,'Train Runs'!$A$13:$AE$10021,22,0)</f>
        <v>https://search-rtdc-monitor-bjffxe2xuh6vdkpspy63sjmuny.us-east-1.es.amazonaws.com/_plugin/kibana/#/discover/Steve-Slow-Train-Analysis-(2080s-and-2083s)?_g=(refreshInterval:(display:Off,section:0,value:0),time:(from:'2016-10-27 21:15:38-0600',mode:absolute,to:'2016-10-28 00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5" s="105" t="str">
        <f t="shared" si="1"/>
        <v>"C:\Program Files (x86)\AstroGrep\AstroGrep.exe" /spath="%USERPROFILE%\AppData\Local\Temp\OnboardLogs" /stypes="*4001*201610280*" /stext=" 04:.+((SYSTEM_STATE.+slice.+state.+changed )|(ment ac)|(system.+state.+changed )|(\[timeout)|(PRM\|1\|D)|(kpr)|(kdp)|(\|lc)|(penalty))" /e /r /s</v>
      </c>
      <c r="U25" s="9" t="str">
        <f t="shared" si="2"/>
        <v>4001</v>
      </c>
      <c r="V25" s="36">
        <f t="shared" si="3"/>
        <v>42671.186539351853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{"issue":{"subject":"","project_id":79,"tracker_id":40,"status_id":1,"priority_id":2,"assigned_to_id":23,"start_date":"2016-10-27","description":"","custom_fields":[{"id":1,"name":"Subdivision","value":"EC"},{"id":4,"name":"Milepost","value":"23.2107"},{"id":17,"name":"Train ID","value":"232-27"},{"id":16,"name":"Locomotive ID","value":"4001"},{"id":130,"name":"Impact","value":""},{"id":150,"name":"Time of Event (Mountain Time)","value":"22:28:37"},{"id":151,"name":"Denver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"%USERPROFILE%\AppData\Local\Temp\OnboardLogs"\RTDC4001\*4001*201610280* | grep -SE "((Enforcement Ac)|(PRM))" -</v>
      </c>
      <c r="AD25" s="1"/>
    </row>
    <row r="26" spans="1:30" x14ac:dyDescent="0.25">
      <c r="A26" s="36">
        <v>42671.040555555555</v>
      </c>
      <c r="B26" s="31" t="s">
        <v>208</v>
      </c>
      <c r="C26" s="31" t="s">
        <v>429</v>
      </c>
      <c r="D26" s="31" t="s">
        <v>98</v>
      </c>
      <c r="E26" s="31" t="s">
        <v>232</v>
      </c>
      <c r="F26" s="47">
        <v>350</v>
      </c>
      <c r="G26" s="47">
        <v>400</v>
      </c>
      <c r="H26" s="47">
        <v>225712</v>
      </c>
      <c r="I26" s="47">
        <v>224651</v>
      </c>
      <c r="J26" s="31" t="s">
        <v>233</v>
      </c>
      <c r="K26" s="47">
        <v>232107</v>
      </c>
      <c r="L26" s="157" t="s">
        <v>51</v>
      </c>
      <c r="M26" s="158">
        <f t="shared" si="0"/>
        <v>-3936.768</v>
      </c>
      <c r="N26" s="159" t="str">
        <f>VLOOKUP(C26,'Trips&amp;Operators'!$C$1:$E$99999,3,FALSE)</f>
        <v>LEVIN</v>
      </c>
      <c r="O26" s="184" t="s">
        <v>231</v>
      </c>
      <c r="P26" s="160"/>
      <c r="Q26" s="31"/>
      <c r="R26" s="100" t="str">
        <f>VLOOKUP(C26,'Train Runs'!$A$13:$AE$10021,31,0)</f>
        <v>aws s3 cp s3://rtdc.mdm.uploadarchive.raw/RTDC4039/ "%USERPROFILE%\AppData\Local\Temp\OnboardLogs"\RTDC4039\2016-10-28 --exclude "*" --recursive --include "*20161028*" &amp; "%USERPROFILE%\Documents\GitHub\mrs-test-scripts\Headless Mode &amp; Sideloading\WalkAndUnGZ.bat" "%USERPROFILE%\AppData\Local\Temp\OnboardLogs"\RTDC4039\2016-10-28 &amp; 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</v>
      </c>
      <c r="S26" s="103" t="str">
        <f>VLOOKUP(C26,'Train Runs'!$A$13:$AE$10021,22,0)</f>
        <v>https://search-rtdc-monitor-bjffxe2xuh6vdkpspy63sjmuny.us-east-1.es.amazonaws.com/_plugin/kibana/#/discover/Steve-Slow-Train-Analysis-(2080s-and-2083s)?_g=(refreshInterval:(display:Off,section:0,value:0),time:(from:'2016-10-27 23:39:46-0600',mode:absolute,to:'2016-10-28 02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6" s="105" t="str">
        <f t="shared" si="1"/>
        <v>"C:\Program Files (x86)\AstroGrep\AstroGrep.exe" /spath="%USERPROFILE%\AppData\Local\Temp\OnboardLogs" /stypes="*4039*201610280*" /stext=" 06:.+((SYSTEM_STATE.+slice.+state.+changed )|(ment ac)|(system.+state.+changed )|(\[timeout)|(PRM\|1\|D)|(kpr)|(kdp)|(\|lc)|(penalty))" /e /r /s</v>
      </c>
      <c r="U26" s="9" t="str">
        <f t="shared" si="2"/>
        <v>4039</v>
      </c>
      <c r="V26" s="36">
        <f t="shared" si="3"/>
        <v>42671.290555555555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{"issue":{"subject":"","project_id":79,"tracker_id":40,"status_id":1,"priority_id":2,"assigned_to_id":23,"start_date":"2016-10-28","description":"","custom_fields":[{"id":1,"name":"Subdivision","value":"EC"},{"id":4,"name":"Milepost","value":"23.2107"},{"id":17,"name":"Train ID","value":"242-27"},{"id":16,"name":"Locomotive ID","value":"4039"},{"id":130,"name":"Impact","value":""},{"id":150,"name":"Time of Event (Mountain Time)","value":"00:58:24"},{"id":151,"name":"Denver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"%USERPROFILE%\AppData\Local\Temp\OnboardLogs"\RTDC4039\*4039*201610280* | grep -SE "((Enforcement Ac)|(PRM))" -</v>
      </c>
      <c r="AD26" s="1"/>
    </row>
    <row r="27" spans="1:30" x14ac:dyDescent="0.25">
      <c r="A27" s="36">
        <v>42670.250023148146</v>
      </c>
      <c r="B27" s="31" t="s">
        <v>269</v>
      </c>
      <c r="C27" s="31" t="s">
        <v>388</v>
      </c>
      <c r="D27" s="31" t="s">
        <v>98</v>
      </c>
      <c r="E27" s="31" t="s">
        <v>235</v>
      </c>
      <c r="F27" s="47">
        <v>200</v>
      </c>
      <c r="G27" s="47">
        <v>258</v>
      </c>
      <c r="H27" s="47">
        <v>83362</v>
      </c>
      <c r="I27" s="47">
        <v>82752</v>
      </c>
      <c r="J27" s="31" t="s">
        <v>236</v>
      </c>
      <c r="K27" s="47">
        <v>87902</v>
      </c>
      <c r="L27" s="157" t="s">
        <v>51</v>
      </c>
      <c r="M27" s="158">
        <f t="shared" si="0"/>
        <v>-2719.2</v>
      </c>
      <c r="N27" s="159" t="str">
        <f>VLOOKUP(C27,'Trips&amp;Operators'!$C$1:$E$99999,3,FALSE)</f>
        <v>STRICKLAND</v>
      </c>
      <c r="O27" s="184" t="s">
        <v>231</v>
      </c>
      <c r="P27" s="160" t="s">
        <v>804</v>
      </c>
      <c r="Q27" s="31"/>
      <c r="R27" s="100" t="str">
        <f>VLOOKUP(C27,'Train Runs'!$A$13:$AE$10021,31,0)</f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S27" s="103" t="str">
        <f>VLOOKUP(C27,'Train Runs'!$A$13:$AE$10021,22,0)</f>
        <v>https://search-rtdc-monitor-bjffxe2xuh6vdkpspy63sjmuny.us-east-1.es.amazonaws.com/_plugin/kibana/#/discover/Steve-Slow-Train-Analysis-(2080s-and-2083s)?_g=(refreshInterval:(display:Off,section:0,value:0),time:(from:'2016-10-27 04:23:02-0600',mode:absolute,to:'2016-10-27 06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7" s="105" t="str">
        <f t="shared" si="1"/>
        <v>"C:\Program Files (x86)\AstroGrep\AstroGrep.exe" /spath="%USERPROFILE%\AppData\Local\Temp\OnboardLogs" /stypes="*4037*201610271*" /stext=" 12:.+((SYSTEM_STATE.+slice.+state.+changed )|(ment ac)|(system.+state.+changed )|(\[timeout)|(PRM\|1\|D)|(kpr)|(kdp)|(\|lc)|(penalty))" /e /r /s</v>
      </c>
      <c r="U27" s="9" t="str">
        <f t="shared" si="2"/>
        <v>4037</v>
      </c>
      <c r="V27" s="36">
        <f t="shared" si="3"/>
        <v>42670.500023148146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Overspeed","project_id":79,"tracker_id":40,"status_id":1,"priority_id":2,"assigned_to_id":23,"start_date":"2016-10-27","description":"","custom_fields":[{"id":1,"name":"Subdivision","value":"EC"},{"id":4,"name":"Milepost","value":"8.7902"},{"id":17,"name":"Train ID","value":"108-27"},{"id":16,"name":"Locomotive ID","value":"4037"},{"id":130,"name":"Impact","value":""},{"id":150,"name":"Time of Event (Mountain Time)","value":"06:00:02"},{"id":151,"name":"Denver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"%USERPROFILE%\AppData\Local\Temp\OnboardLogs"\RTDC4037\*4037*201610271* | grep -SE "((Enforcement Ac)|(PRM))" -</v>
      </c>
      <c r="AD27" s="1"/>
    </row>
    <row r="28" spans="1:30" x14ac:dyDescent="0.25">
      <c r="A28" s="36">
        <v>42670.316018518519</v>
      </c>
      <c r="B28" s="31" t="s">
        <v>290</v>
      </c>
      <c r="C28" s="31" t="s">
        <v>392</v>
      </c>
      <c r="D28" s="31" t="s">
        <v>49</v>
      </c>
      <c r="E28" s="31" t="s">
        <v>235</v>
      </c>
      <c r="F28" s="47">
        <v>0</v>
      </c>
      <c r="G28" s="47">
        <v>416</v>
      </c>
      <c r="H28" s="47">
        <v>105967</v>
      </c>
      <c r="I28" s="47">
        <v>107131</v>
      </c>
      <c r="J28" s="31" t="s">
        <v>236</v>
      </c>
      <c r="K28" s="47">
        <v>107939</v>
      </c>
      <c r="L28" s="157" t="s">
        <v>50</v>
      </c>
      <c r="M28" s="158">
        <f t="shared" si="0"/>
        <v>426.62400000000002</v>
      </c>
      <c r="N28" s="159" t="str">
        <f>VLOOKUP(C28,'Trips&amp;Operators'!$C$1:$E$99999,3,FALSE)</f>
        <v>MAELZER</v>
      </c>
      <c r="O28" s="184" t="s">
        <v>231</v>
      </c>
      <c r="P28" s="160" t="s">
        <v>805</v>
      </c>
      <c r="Q28" s="31"/>
      <c r="R28" s="100" t="str">
        <f>VLOOKUP(C28,'Train Runs'!$A$13:$AE$10021,31,0)</f>
        <v>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 &amp; 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</v>
      </c>
      <c r="S28" s="103" t="str">
        <f>VLOOKUP(C28,'Train Runs'!$A$13:$AE$10021,22,0)</f>
        <v>https://search-rtdc-monitor-bjffxe2xuh6vdkpspy63sjmuny.us-east-1.es.amazonaws.com/_plugin/kibana/#/discover/Steve-Slow-Train-Analysis-(2080s-and-2083s)?_g=(refreshInterval:(display:Off,section:0,value:0),time:(from:'2016-10-27 06:04:41-0600',mode:absolute,to:'2016-10-27 08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28" s="105" t="str">
        <f t="shared" si="1"/>
        <v>"C:\Program Files (x86)\AstroGrep\AstroGrep.exe" /spath="%USERPROFILE%\AppData\Local\Temp\OnboardLogs" /stypes="*4002*201610271*" /stext=" 13:.+((SYSTEM_STATE.+slice.+state.+changed )|(ment ac)|(system.+state.+changed )|(\[timeout)|(PRM\|1\|D)|(kpr)|(kdp)|(\|lc)|(penalty))" /e /r /s</v>
      </c>
      <c r="U28" s="9" t="str">
        <f t="shared" si="2"/>
        <v>4002</v>
      </c>
      <c r="V28" s="36">
        <f t="shared" si="3"/>
        <v>42670.566018518519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{"issue":{"subject":"Chambers 2N STOP, cleared afterward","project_id":79,"tracker_id":40,"status_id":1,"priority_id":2,"assigned_to_id":23,"start_date":"2016-10-27","description":"","custom_fields":[{"id":1,"name":"Subdivision","value":"EC"},{"id":4,"name":"Milepost","value":"10.7939"},{"id":17,"name":"Train ID","value":"129-27"},{"id":16,"name":"Locomotive ID","value":"4002"},{"id":130,"name":"Impact","value":""},{"id":150,"name":"Time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"%USERPROFILE%\AppData\Local\Temp\OnboardLogs"\RTDC4002\*4002*201610271* | grep -SE "((Enforcement Ac)|(PRM))" -</v>
      </c>
      <c r="AD28" s="1"/>
    </row>
    <row r="29" spans="1:30" x14ac:dyDescent="0.25">
      <c r="A29" s="36">
        <v>42670.411550925928</v>
      </c>
      <c r="B29" s="31" t="s">
        <v>269</v>
      </c>
      <c r="C29" s="31" t="s">
        <v>400</v>
      </c>
      <c r="D29" s="31" t="s">
        <v>49</v>
      </c>
      <c r="E29" s="31" t="s">
        <v>237</v>
      </c>
      <c r="F29" s="47">
        <v>0</v>
      </c>
      <c r="G29" s="47">
        <v>73</v>
      </c>
      <c r="H29" s="47">
        <v>240</v>
      </c>
      <c r="I29" s="47">
        <v>178</v>
      </c>
      <c r="J29" s="31" t="s">
        <v>238</v>
      </c>
      <c r="K29" s="47">
        <v>1</v>
      </c>
      <c r="L29" s="157" t="s">
        <v>51</v>
      </c>
      <c r="M29" s="158">
        <f t="shared" si="0"/>
        <v>93.456000000000003</v>
      </c>
      <c r="N29" s="159" t="str">
        <f>VLOOKUP(C29,'Trips&amp;Operators'!$C$1:$E$99999,3,FALSE)</f>
        <v>STRICKLAND</v>
      </c>
      <c r="O29" s="184" t="s">
        <v>231</v>
      </c>
      <c r="P29" s="160"/>
      <c r="Q29" s="31"/>
      <c r="R29" s="100" t="str">
        <f>VLOOKUP(C29,'Train Runs'!$A$13:$AE$10021,31,0)</f>
        <v>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 &amp; 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</v>
      </c>
      <c r="S29" s="103" t="str">
        <f>VLOOKUP(C29,'Train Runs'!$A$13:$AE$10021,22,0)</f>
        <v>https://search-rtdc-monitor-bjffxe2xuh6vdkpspy63sjmuny.us-east-1.es.amazonaws.com/_plugin/kibana/#/discover/Steve-Slow-Train-Analysis-(2080s-and-2083s)?_g=(refreshInterval:(display:Off,section:0,value:0),time:(from:'2016-10-27 08:04:24-0600',mode:absolute,to:'2016-10-27 10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9" s="105" t="str">
        <f t="shared" si="1"/>
        <v>"C:\Program Files (x86)\AstroGrep\AstroGrep.exe" /spath="%USERPROFILE%\AppData\Local\Temp\OnboardLogs" /stypes="*4037*201610271*" /stext=" 15:.+((SYSTEM_STATE.+slice.+state.+changed )|(ment ac)|(system.+state.+changed )|(\[timeout)|(PRM\|1\|D)|(kpr)|(kdp)|(\|lc)|(penalty))" /e /r /s</v>
      </c>
      <c r="U29" s="9" t="str">
        <f t="shared" si="2"/>
        <v>4037</v>
      </c>
      <c r="V29" s="36">
        <f t="shared" si="3"/>
        <v>42670.661550925928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{"issue":{"subject":"","project_id":79,"tracker_id":40,"status_id":1,"priority_id":2,"assigned_to_id":23,"start_date":"2016-10-27","description":"","custom_fields":[{"id":1,"name":"Subdivision","value":"EC"},{"id":4,"name":"Milepost","value":"0.0001"},{"id":17,"name":"Train ID","value":"138-27"},{"id":16,"name":"Locomotive ID","value":"4037"},{"id":130,"name":"Impact","value":""},{"id":150,"name":"Time of Event (Mountain Time)","value":"09:52:38"},{"id":151,"name":"Denver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"%USERPROFILE%\AppData\Local\Temp\OnboardLogs"\RTDC4037\*4037*201610271* | grep -SE "((Enforcement Ac)|(PRM))" -</v>
      </c>
      <c r="AD29" s="1"/>
    </row>
    <row r="30" spans="1:30" x14ac:dyDescent="0.25">
      <c r="A30" s="36">
        <v>42670.691018518519</v>
      </c>
      <c r="B30" s="31" t="s">
        <v>397</v>
      </c>
      <c r="C30" s="31" t="s">
        <v>414</v>
      </c>
      <c r="D30" s="31" t="s">
        <v>49</v>
      </c>
      <c r="E30" s="31" t="s">
        <v>237</v>
      </c>
      <c r="F30" s="47">
        <v>0</v>
      </c>
      <c r="G30" s="47">
        <v>58</v>
      </c>
      <c r="H30" s="47">
        <v>192</v>
      </c>
      <c r="I30" s="47">
        <v>114</v>
      </c>
      <c r="J30" s="31" t="s">
        <v>238</v>
      </c>
      <c r="K30" s="47">
        <v>1</v>
      </c>
      <c r="L30" s="157" t="s">
        <v>51</v>
      </c>
      <c r="M30" s="158">
        <f t="shared" si="0"/>
        <v>59.664000000000001</v>
      </c>
      <c r="N30" s="159" t="str">
        <f>VLOOKUP(C30,'Trips&amp;Operators'!$C$1:$E$99999,3,FALSE)</f>
        <v>MOSES</v>
      </c>
      <c r="O30" s="184" t="s">
        <v>231</v>
      </c>
      <c r="P30" s="160"/>
      <c r="Q30" s="31"/>
      <c r="R30" s="100" t="str">
        <f>VLOOKUP(C30,'Train Runs'!$A$13:$AE$10021,31,0)</f>
        <v>aws s3 cp s3://rtdc.mdm.uploadarchive.raw/RTDC4013/ "%USERPROFILE%\AppData\Local\Temp\OnboardLogs"\RTDC4013\2016-10-27 --exclude "*" --recursive --include "*20161027*" &amp; "%USERPROFILE%\Documents\GitHub\mrs-test-scripts\Headless Mode &amp; Sideloading\WalkAndUnGZ.bat" "%USERPROFILE%\AppData\Local\Temp\OnboardLogs"\RTDC4013\2016-10-27 &amp; aws s3 cp s3://rtdc.mdm.uploadarchive.raw/RTDC4013/ "%USERPROFILE%\AppData\Local\Temp\OnboardLogs"\RTDC4013\2016-10-28 --exclude "*" --recursive --include "*20161028*" &amp; "%USERPROFILE%\Documents\GitHub\mrs-test-scripts\Headless Mode &amp; Sideloading\WalkAndUnGZ.bat" "%USERPROFILE%\AppData\Local\Temp\OnboardLogs"\RTDC4013\2016-10-28</v>
      </c>
      <c r="S30" s="103" t="str">
        <f>VLOOKUP(C30,'Train Runs'!$A$13:$AE$10021,22,0)</f>
        <v>https://search-rtdc-monitor-bjffxe2xuh6vdkpspy63sjmuny.us-east-1.es.amazonaws.com/_plugin/kibana/#/discover/Steve-Slow-Train-Analysis-(2080s-and-2083s)?_g=(refreshInterval:(display:Off,section:0,value:0),time:(from:'2016-10-27 14:52:20-0600',mode:absolute,to:'2016-10-27 17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0" s="105" t="str">
        <f t="shared" si="1"/>
        <v>"C:\Program Files (x86)\AstroGrep\AstroGrep.exe" /spath="%USERPROFILE%\AppData\Local\Temp\OnboardLogs" /stypes="*4013*201610272*" /stext=" 22:.+((SYSTEM_STATE.+slice.+state.+changed )|(ment ac)|(system.+state.+changed )|(\[timeout)|(PRM\|1\|D)|(kpr)|(kdp)|(\|lc)|(penalty))" /e /r /s</v>
      </c>
      <c r="U30" s="9" t="str">
        <f t="shared" si="2"/>
        <v>4013</v>
      </c>
      <c r="V30" s="36">
        <f t="shared" si="3"/>
        <v>42670.941018518519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{"issue":{"subject":"","project_id":79,"tracker_id":40,"status_id":1,"priority_id":2,"assigned_to_id":23,"start_date":"2016-10-27","description":"","custom_fields":[{"id":1,"name":"Subdivision","value":"EC"},{"id":4,"name":"Milepost","value":"0.0001"},{"id":17,"name":"Train ID","value":"192-27"},{"id":16,"name":"Locomotive ID","value":"4013"},{"id":130,"name":"Impact","value":""},{"id":150,"name":"Time of Event (Mountain Time)","value":"16:35:04"},{"id":151,"name":"Denver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"%USERPROFILE%\AppData\Local\Temp\OnboardLogs"\RTDC4013\*4013*201610272* | grep -SE "((Enforcement Ac)|(PRM))" -</v>
      </c>
      <c r="AD30" s="1"/>
    </row>
    <row r="31" spans="1:30" ht="15" customHeight="1" x14ac:dyDescent="0.25">
      <c r="A31" s="36">
        <v>42670.722187500003</v>
      </c>
      <c r="B31" s="31" t="s">
        <v>285</v>
      </c>
      <c r="C31" s="31" t="s">
        <v>416</v>
      </c>
      <c r="D31" s="31" t="s">
        <v>49</v>
      </c>
      <c r="E31" s="31" t="s">
        <v>237</v>
      </c>
      <c r="F31" s="47">
        <v>0</v>
      </c>
      <c r="G31" s="47">
        <v>45</v>
      </c>
      <c r="H31" s="47">
        <v>156</v>
      </c>
      <c r="I31" s="47">
        <v>125</v>
      </c>
      <c r="J31" s="31" t="s">
        <v>238</v>
      </c>
      <c r="K31" s="47">
        <v>1</v>
      </c>
      <c r="L31" s="157" t="s">
        <v>51</v>
      </c>
      <c r="M31" s="158">
        <f t="shared" si="0"/>
        <v>65.471999999999994</v>
      </c>
      <c r="N31" s="159" t="str">
        <f>VLOOKUP(C31,'Trips&amp;Operators'!$C$1:$E$99999,3,FALSE)</f>
        <v>JACKSON</v>
      </c>
      <c r="O31" s="184" t="s">
        <v>231</v>
      </c>
      <c r="P31" s="160"/>
      <c r="Q31" s="31"/>
      <c r="R31" s="100" t="str">
        <f>VLOOKUP(C31,'Train Runs'!$A$13:$AE$10021,31,0)</f>
        <v>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 &amp; 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</v>
      </c>
      <c r="S31" s="103" t="str">
        <f>VLOOKUP(C31,'Train Runs'!$A$13:$AE$10021,22,0)</f>
        <v>https://search-rtdc-monitor-bjffxe2xuh6vdkpspy63sjmuny.us-east-1.es.amazonaws.com/_plugin/kibana/#/discover/Steve-Slow-Train-Analysis-(2080s-and-2083s)?_g=(refreshInterval:(display:Off,section:0,value:0),time:(from:'2016-10-27 15:33:07-0600',mode:absolute,to:'2016-10-27 18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1" s="105" t="str">
        <f t="shared" si="1"/>
        <v>"C:\Program Files (x86)\AstroGrep\AstroGrep.exe" /spath="%USERPROFILE%\AppData\Local\Temp\OnboardLogs" /stypes="*4021*201610272*" /stext=" 23:.+((SYSTEM_STATE.+slice.+state.+changed )|(ment ac)|(system.+state.+changed )|(\[timeout)|(PRM\|1\|D)|(kpr)|(kdp)|(\|lc)|(penalty))" /e /r /s</v>
      </c>
      <c r="U31" s="9" t="str">
        <f t="shared" si="2"/>
        <v>4021</v>
      </c>
      <c r="V31" s="36">
        <f t="shared" si="3"/>
        <v>42670.972187500003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{"issue":{"subject":"","project_id":79,"tracker_id":40,"status_id":1,"priority_id":2,"assigned_to_id":23,"start_date":"2016-10-27","description":"","custom_fields":[{"id":1,"name":"Subdivision","value":"EC"},{"id":4,"name":"Milepost","value":"0.0001"},{"id":17,"name":"Train ID","value":"198-27"},{"id":16,"name":"Locomotive ID","value":"4021"},{"id":130,"name":"Impact","value":""},{"id":150,"name":"Time of Event (Mountain Time)","value":"17:19:57"},{"id":151,"name":"Denver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"%USERPROFILE%\AppData\Local\Temp\OnboardLogs"\RTDC4021\*4021*201610272* | grep -SE "((Enforcement Ac)|(PRM))" -</v>
      </c>
      <c r="AD31" s="1"/>
    </row>
    <row r="32" spans="1:30" x14ac:dyDescent="0.25">
      <c r="A32" s="36">
        <v>42670.805358796293</v>
      </c>
      <c r="B32" s="31" t="s">
        <v>291</v>
      </c>
      <c r="C32" s="31" t="s">
        <v>420</v>
      </c>
      <c r="D32" s="31" t="s">
        <v>49</v>
      </c>
      <c r="E32" s="31" t="s">
        <v>237</v>
      </c>
      <c r="F32" s="47">
        <v>0</v>
      </c>
      <c r="G32" s="47">
        <v>78</v>
      </c>
      <c r="H32" s="47">
        <v>276</v>
      </c>
      <c r="I32" s="47">
        <v>211</v>
      </c>
      <c r="J32" s="31" t="s">
        <v>238</v>
      </c>
      <c r="K32" s="47">
        <v>1</v>
      </c>
      <c r="L32" s="157" t="s">
        <v>51</v>
      </c>
      <c r="M32" s="158">
        <f t="shared" si="0"/>
        <v>110.88</v>
      </c>
      <c r="N32" s="159" t="str">
        <f>VLOOKUP(C32,'Trips&amp;Operators'!$C$1:$E$99999,3,FALSE)</f>
        <v>BERLING</v>
      </c>
      <c r="O32" s="184" t="s">
        <v>231</v>
      </c>
      <c r="P32" s="160"/>
      <c r="Q32" s="31"/>
      <c r="R32" s="100" t="str">
        <f>VLOOKUP(C32,'Train Runs'!$A$13:$AE$10021,31,0)</f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S32" s="103" t="str">
        <f>VLOOKUP(C32,'Train Runs'!$A$13:$AE$10021,22,0)</f>
        <v>https://search-rtdc-monitor-bjffxe2xuh6vdkpspy63sjmuny.us-east-1.es.amazonaws.com/_plugin/kibana/#/discover/Steve-Slow-Train-Analysis-(2080s-and-2083s)?_g=(refreshInterval:(display:Off,section:0,value:0),time:(from:'2016-10-27 17:30:53-0600',mode:absolute,to:'2016-10-27 20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2" s="105" t="str">
        <f t="shared" si="1"/>
        <v>"C:\Program Files (x86)\AstroGrep\AstroGrep.exe" /spath="%USERPROFILE%\AppData\Local\Temp\OnboardLogs" /stypes="*4001*201610280*" /stext=" 01:.+((SYSTEM_STATE.+slice.+state.+changed )|(ment ac)|(system.+state.+changed )|(\[timeout)|(PRM\|1\|D)|(kpr)|(kdp)|(\|lc)|(penalty))" /e /r /s</v>
      </c>
      <c r="U32" s="9" t="str">
        <f t="shared" si="2"/>
        <v>4001</v>
      </c>
      <c r="V32" s="36">
        <f t="shared" si="3"/>
        <v>42671.055358796293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{"issue":{"subject":"","project_id":79,"tracker_id":40,"status_id":1,"priority_id":2,"assigned_to_id":23,"start_date":"2016-10-27","description":"","custom_fields":[{"id":1,"name":"Subdivision","value":"EC"},{"id":4,"name":"Milepost","value":"0.0001"},{"id":17,"name":"Train ID","value":"214-27"},{"id":16,"name":"Locomotive ID","value":"4001"},{"id":130,"name":"Impact","value":""},{"id":150,"name":"Time of Event (Mountain Time)","value":"19:19:43"},{"id":151,"name":"Denver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"%USERPROFILE%\AppData\Local\Temp\OnboardLogs"\RTDC4001\*4001*201610280* | grep -SE "((Enforcement Ac)|(PRM))" -</v>
      </c>
      <c r="AD32" s="1"/>
    </row>
    <row r="33" spans="1:30" ht="15" customHeight="1" x14ac:dyDescent="0.25">
      <c r="A33" s="36">
        <v>42670.878784722219</v>
      </c>
      <c r="B33" s="31" t="s">
        <v>291</v>
      </c>
      <c r="C33" s="31" t="s">
        <v>425</v>
      </c>
      <c r="D33" s="31" t="s">
        <v>49</v>
      </c>
      <c r="E33" s="31" t="s">
        <v>237</v>
      </c>
      <c r="F33" s="47">
        <v>0</v>
      </c>
      <c r="G33" s="47">
        <v>43</v>
      </c>
      <c r="H33" s="47">
        <v>143</v>
      </c>
      <c r="I33" s="47">
        <v>110</v>
      </c>
      <c r="J33" s="31" t="s">
        <v>238</v>
      </c>
      <c r="K33" s="47">
        <v>1</v>
      </c>
      <c r="L33" s="157" t="s">
        <v>51</v>
      </c>
      <c r="M33" s="158">
        <f t="shared" si="0"/>
        <v>57.552</v>
      </c>
      <c r="N33" s="159" t="str">
        <f>VLOOKUP(C33,'Trips&amp;Operators'!$C$1:$E$99999,3,FALSE)</f>
        <v>BERLING</v>
      </c>
      <c r="O33" s="184" t="s">
        <v>231</v>
      </c>
      <c r="P33" s="160"/>
      <c r="Q33" s="31"/>
      <c r="R33" s="100" t="str">
        <f>VLOOKUP(C33,'Train Runs'!$A$13:$AE$10021,31,0)</f>
        <v>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 &amp; 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</v>
      </c>
      <c r="S33" s="103" t="str">
        <f>VLOOKUP(C33,'Train Runs'!$A$13:$AE$10021,22,0)</f>
        <v>https://search-rtdc-monitor-bjffxe2xuh6vdkpspy63sjmuny.us-east-1.es.amazonaws.com/_plugin/kibana/#/discover/Steve-Slow-Train-Analysis-(2080s-and-2083s)?_g=(refreshInterval:(display:Off,section:0,value:0),time:(from:'2016-10-27 19:14:32-0600',mode:absolute,to:'2016-10-27 22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3" s="105" t="str">
        <f t="shared" si="1"/>
        <v>"C:\Program Files (x86)\AstroGrep\AstroGrep.exe" /spath="%USERPROFILE%\AppData\Local\Temp\OnboardLogs" /stypes="*4001*201610280*" /stext=" 03:.+((SYSTEM_STATE.+slice.+state.+changed )|(ment ac)|(system.+state.+changed )|(\[timeout)|(PRM\|1\|D)|(kpr)|(kdp)|(\|lc)|(penalty))" /e /r /s</v>
      </c>
      <c r="U33" s="9" t="str">
        <f t="shared" si="2"/>
        <v>4001</v>
      </c>
      <c r="V33" s="36">
        <f t="shared" si="3"/>
        <v>42671.128784722219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{"issue":{"subject":"","project_id":79,"tracker_id":40,"status_id":1,"priority_id":2,"assigned_to_id":23,"start_date":"2016-10-27","description":"","custom_fields":[{"id":1,"name":"Subdivision","value":"EC"},{"id":4,"name":"Milepost","value":"0.0001"},{"id":17,"name":"Train ID","value":"224-27"},{"id":16,"name":"Locomotive ID","value":"4001"},{"id":130,"name":"Impact","value":""},{"id":150,"name":"Time of Event (Mountain Time)","value":"21:05:27"},{"id":151,"name":"Denver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"%USERPROFILE%\AppData\Local\Temp\OnboardLogs"\RTDC4001\*4001*201610280* | grep -SE "((Enforcement Ac)|(PRM))" -</v>
      </c>
      <c r="AD33" s="1"/>
    </row>
    <row r="34" spans="1:30" x14ac:dyDescent="0.25">
      <c r="A34" s="36">
        <v>42670.370208333334</v>
      </c>
      <c r="B34" s="31" t="s">
        <v>336</v>
      </c>
      <c r="C34" s="31" t="s">
        <v>396</v>
      </c>
      <c r="D34" s="31" t="s">
        <v>49</v>
      </c>
      <c r="E34" s="31" t="s">
        <v>237</v>
      </c>
      <c r="F34" s="47">
        <v>0</v>
      </c>
      <c r="G34" s="47">
        <v>106</v>
      </c>
      <c r="H34" s="47">
        <v>233044</v>
      </c>
      <c r="I34" s="47">
        <v>233320</v>
      </c>
      <c r="J34" s="31" t="s">
        <v>238</v>
      </c>
      <c r="K34" s="47">
        <v>233491</v>
      </c>
      <c r="L34" s="157" t="s">
        <v>50</v>
      </c>
      <c r="M34" s="158">
        <f t="shared" si="0"/>
        <v>90.287999999999997</v>
      </c>
      <c r="N34" s="159" t="str">
        <f>VLOOKUP(C34,'Trips&amp;Operators'!$C$1:$E$99999,3,FALSE)</f>
        <v>STRICKLAND</v>
      </c>
      <c r="O34" s="184" t="s">
        <v>231</v>
      </c>
      <c r="P34" s="160"/>
      <c r="Q34" s="31"/>
      <c r="R34" s="100" t="str">
        <f>VLOOKUP(C34,'Train Runs'!$A$13:$AE$10021,31,0)</f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S34" s="103" t="str">
        <f>VLOOKUP(C34,'Train Runs'!$A$13:$AE$10021,22,0)</f>
        <v>https://search-rtdc-monitor-bjffxe2xuh6vdkpspy63sjmuny.us-east-1.es.amazonaws.com/_plugin/kibana/#/discover/Steve-Slow-Train-Analysis-(2080s-and-2083s)?_g=(refreshInterval:(display:Off,section:0,value:0),time:(from:'2016-10-27 07:11:44-0600',mode:absolute,to:'2016-10-27 09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4" s="105" t="str">
        <f t="shared" si="1"/>
        <v>"C:\Program Files (x86)\AstroGrep\AstroGrep.exe" /spath="%USERPROFILE%\AppData\Local\Temp\OnboardLogs" /stypes="*4038*201610271*" /stext=" 14:.+((SYSTEM_STATE.+slice.+state.+changed )|(ment ac)|(system.+state.+changed )|(\[timeout)|(PRM\|1\|D)|(kpr)|(kdp)|(\|lc)|(penalty))" /e /r /s</v>
      </c>
      <c r="U34" s="9" t="str">
        <f t="shared" si="2"/>
        <v>4038</v>
      </c>
      <c r="V34" s="36">
        <f t="shared" si="3"/>
        <v>42670.620208333334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{"issue":{"subject":"","project_id":79,"tracker_id":40,"status_id":1,"priority_id":2,"assigned_to_id":23,"start_date":"2016-10-27","description":"","custom_fields":[{"id":1,"name":"Subdivision","value":"EC"},{"id":4,"name":"Milepost","value":"23.3491"},{"id":17,"name":"Train ID","value":"137-27"},{"id":16,"name":"Locomotive ID","value":"4038"},{"id":130,"name":"Impact","value":""},{"id":150,"name":"Time of Event (Mountain Time)","value":"08:53:06"},{"id":151,"name":"Denver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"%USERPROFILE%\AppData\Local\Temp\OnboardLogs"\RTDC4038\*4038*201610271* | grep -SE "((Enforcement Ac)|(PRM))" -</v>
      </c>
      <c r="AD34" s="1"/>
    </row>
    <row r="35" spans="1:30" x14ac:dyDescent="0.25">
      <c r="A35" s="36">
        <v>42670.444328703707</v>
      </c>
      <c r="B35" s="31" t="s">
        <v>336</v>
      </c>
      <c r="C35" s="31" t="s">
        <v>403</v>
      </c>
      <c r="D35" s="31" t="s">
        <v>49</v>
      </c>
      <c r="E35" s="31" t="s">
        <v>237</v>
      </c>
      <c r="F35" s="47">
        <v>0</v>
      </c>
      <c r="G35" s="47">
        <v>112</v>
      </c>
      <c r="H35" s="47">
        <v>232938</v>
      </c>
      <c r="I35" s="47">
        <v>233123</v>
      </c>
      <c r="J35" s="31" t="s">
        <v>238</v>
      </c>
      <c r="K35" s="47">
        <v>233491</v>
      </c>
      <c r="L35" s="157" t="s">
        <v>50</v>
      </c>
      <c r="M35" s="158">
        <f t="shared" si="0"/>
        <v>194.304</v>
      </c>
      <c r="N35" s="159" t="str">
        <f>VLOOKUP(C35,'Trips&amp;Operators'!$C$1:$E$99999,3,FALSE)</f>
        <v>STRICKLAND</v>
      </c>
      <c r="O35" s="184" t="s">
        <v>231</v>
      </c>
      <c r="P35" s="160"/>
      <c r="Q35" s="31"/>
      <c r="R35" s="100" t="str">
        <f>VLOOKUP(C35,'Train Runs'!$A$13:$AE$10021,31,0)</f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S35" s="103" t="str">
        <f>VLOOKUP(C35,'Train Runs'!$A$13:$AE$10021,22,0)</f>
        <v>https://search-rtdc-monitor-bjffxe2xuh6vdkpspy63sjmuny.us-east-1.es.amazonaws.com/_plugin/kibana/#/discover/Steve-Slow-Train-Analysis-(2080s-and-2083s)?_g=(refreshInterval:(display:Off,section:0,value:0),time:(from:'2016-10-27 08:55:37-0600',mode:absolute,to:'2016-10-27 11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5" s="105" t="str">
        <f t="shared" si="1"/>
        <v>"C:\Program Files (x86)\AstroGrep\AstroGrep.exe" /spath="%USERPROFILE%\AppData\Local\Temp\OnboardLogs" /stypes="*4038*201610271*" /stext=" 16:.+((SYSTEM_STATE.+slice.+state.+changed )|(ment ac)|(system.+state.+changed )|(\[timeout)|(PRM\|1\|D)|(kpr)|(kdp)|(\|lc)|(penalty))" /e /r /s</v>
      </c>
      <c r="U35" s="9" t="str">
        <f t="shared" si="2"/>
        <v>4038</v>
      </c>
      <c r="V35" s="36">
        <f t="shared" si="3"/>
        <v>42670.694328703707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{"issue":{"subject":"","project_id":79,"tracker_id":40,"status_id":1,"priority_id":2,"assigned_to_id":23,"start_date":"2016-10-27","description":"","custom_fields":[{"id":1,"name":"Subdivision","value":"EC"},{"id":4,"name":"Milepost","value":"23.3491"},{"id":17,"name":"Train ID","value":"151-27"},{"id":16,"name":"Locomotive ID","value":"4038"},{"id":130,"name":"Impact","value":""},{"id":150,"name":"Time of Event (Mountain Time)","value":"10:39:50"},{"id":151,"name":"Denver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"%USERPROFILE%\AppData\Local\Temp\OnboardLogs"\RTDC4038\*4038*201610271* | grep -SE "((Enforcement Ac)|(PRM))" -</v>
      </c>
      <c r="AD35" s="1"/>
    </row>
    <row r="36" spans="1:30" x14ac:dyDescent="0.25">
      <c r="A36" s="36">
        <v>42670.444675925923</v>
      </c>
      <c r="B36" s="31" t="s">
        <v>336</v>
      </c>
      <c r="C36" s="31" t="s">
        <v>403</v>
      </c>
      <c r="D36" s="31" t="s">
        <v>49</v>
      </c>
      <c r="E36" s="31" t="s">
        <v>237</v>
      </c>
      <c r="F36" s="47">
        <v>0</v>
      </c>
      <c r="G36" s="47">
        <v>44</v>
      </c>
      <c r="H36" s="47">
        <v>233132</v>
      </c>
      <c r="I36" s="47">
        <v>233195</v>
      </c>
      <c r="J36" s="31" t="s">
        <v>238</v>
      </c>
      <c r="K36" s="47">
        <v>233491</v>
      </c>
      <c r="L36" s="157" t="s">
        <v>50</v>
      </c>
      <c r="M36" s="158">
        <f t="shared" si="0"/>
        <v>156.28800000000001</v>
      </c>
      <c r="N36" s="159" t="str">
        <f>VLOOKUP(C36,'Trips&amp;Operators'!$C$1:$E$99999,3,FALSE)</f>
        <v>STRICKLAND</v>
      </c>
      <c r="O36" s="184" t="s">
        <v>231</v>
      </c>
      <c r="P36" s="160"/>
      <c r="Q36" s="31"/>
      <c r="R36" s="100" t="str">
        <f>VLOOKUP(C36,'Train Runs'!$A$13:$AE$10021,31,0)</f>
        <v>aws s3 cp s3://rtdc.mdm.uploadarchive.raw/RTDC4038/ "%USERPROFILE%\AppData\Local\Temp\OnboardLogs"\RTDC4038\2016-10-27 --exclude "*" --recursive --include "*20161027*" &amp; "%USERPROFILE%\Documents\GitHub\mrs-test-scripts\Headless Mode &amp; Sideloading\WalkAndUnGZ.bat" "%USERPROFILE%\AppData\Local\Temp\OnboardLogs"\RTDC4038\2016-10-27 &amp; 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</v>
      </c>
      <c r="S36" s="103" t="str">
        <f>VLOOKUP(C36,'Train Runs'!$A$13:$AE$10021,22,0)</f>
        <v>https://search-rtdc-monitor-bjffxe2xuh6vdkpspy63sjmuny.us-east-1.es.amazonaws.com/_plugin/kibana/#/discover/Steve-Slow-Train-Analysis-(2080s-and-2083s)?_g=(refreshInterval:(display:Off,section:0,value:0),time:(from:'2016-10-27 08:55:37-0600',mode:absolute,to:'2016-10-27 11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6" s="105" t="str">
        <f t="shared" si="1"/>
        <v>"C:\Program Files (x86)\AstroGrep\AstroGrep.exe" /spath="%USERPROFILE%\AppData\Local\Temp\OnboardLogs" /stypes="*4038*201610271*" /stext=" 16:.+((SYSTEM_STATE.+slice.+state.+changed )|(ment ac)|(system.+state.+changed )|(\[timeout)|(PRM\|1\|D)|(kpr)|(kdp)|(\|lc)|(penalty))" /e /r /s</v>
      </c>
      <c r="U36" s="9" t="str">
        <f t="shared" si="2"/>
        <v>4038</v>
      </c>
      <c r="V36" s="36">
        <f t="shared" si="3"/>
        <v>42670.694675925923</v>
      </c>
      <c r="W36" s="50" t="str">
        <f t="shared" si="4"/>
        <v>EC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{"issue":{"subject":"","project_id":79,"tracker_id":40,"status_id":1,"priority_id":2,"assigned_to_id":23,"start_date":"2016-10-27","description":"","custom_fields":[{"id":1,"name":"Subdivision","value":"EC"},{"id":4,"name":"Milepost","value":"23.3491"},{"id":17,"name":"Train ID","value":"151-27"},{"id":16,"name":"Locomotive ID","value":"4038"},{"id":130,"name":"Impact","value":""},{"id":150,"name":"Time of Event (Mountain Time)","value":"10:40:20"},{"id":151,"name":"Denver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"%USERPROFILE%\AppData\Local\Temp\OnboardLogs"\RTDC4038\*4038*201610271* | grep -SE "((Enforcement Ac)|(PRM))" -</v>
      </c>
      <c r="AD36" s="1"/>
    </row>
    <row r="37" spans="1:30" x14ac:dyDescent="0.25">
      <c r="A37" s="36">
        <v>42670.483773148146</v>
      </c>
      <c r="B37" s="31" t="s">
        <v>196</v>
      </c>
      <c r="C37" s="31" t="s">
        <v>407</v>
      </c>
      <c r="D37" s="31" t="s">
        <v>49</v>
      </c>
      <c r="E37" s="31" t="s">
        <v>237</v>
      </c>
      <c r="F37" s="47">
        <v>0</v>
      </c>
      <c r="G37" s="47">
        <v>95</v>
      </c>
      <c r="H37" s="47">
        <v>233106</v>
      </c>
      <c r="I37" s="47">
        <v>233208</v>
      </c>
      <c r="J37" s="31" t="s">
        <v>238</v>
      </c>
      <c r="K37" s="47">
        <v>233491</v>
      </c>
      <c r="L37" s="157" t="s">
        <v>50</v>
      </c>
      <c r="M37" s="158">
        <f t="shared" si="0"/>
        <v>149.42400000000001</v>
      </c>
      <c r="N37" s="159" t="str">
        <f>VLOOKUP(C37,'Trips&amp;Operators'!$C$1:$E$99999,3,FALSE)</f>
        <v>BONDS</v>
      </c>
      <c r="O37" s="184" t="s">
        <v>231</v>
      </c>
      <c r="P37" s="160"/>
      <c r="Q37" s="31"/>
      <c r="R37" s="100" t="str">
        <f>VLOOKUP(C37,'Train Runs'!$A$13:$AE$10021,31,0)</f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S37" s="103" t="str">
        <f>VLOOKUP(C37,'Train Runs'!$A$13:$AE$10021,22,0)</f>
        <v>https://search-rtdc-monitor-bjffxe2xuh6vdkpspy63sjmuny.us-east-1.es.amazonaws.com/_plugin/kibana/#/discover/Steve-Slow-Train-Analysis-(2080s-and-2083s)?_g=(refreshInterval:(display:Off,section:0,value:0),time:(from:'2016-10-27 09:54:04-0600',mode:absolute,to:'2016-10-27 12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7" s="105" t="str">
        <f t="shared" si="1"/>
        <v>"C:\Program Files (x86)\AstroGrep\AstroGrep.exe" /spath="%USERPROFILE%\AppData\Local\Temp\OnboardLogs" /stypes="*4007*201610271*" /stext=" 17:.+((SYSTEM_STATE.+slice.+state.+changed )|(ment ac)|(system.+state.+changed )|(\[timeout)|(PRM\|1\|D)|(kpr)|(kdp)|(\|lc)|(penalty))" /e /r /s</v>
      </c>
      <c r="U37" s="9" t="str">
        <f t="shared" si="2"/>
        <v>4007</v>
      </c>
      <c r="V37" s="36">
        <f t="shared" si="3"/>
        <v>42670.733773148146</v>
      </c>
      <c r="W37" s="50" t="str">
        <f t="shared" si="4"/>
        <v>EC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{"issue":{"subject":"","project_id":79,"tracker_id":40,"status_id":1,"priority_id":2,"assigned_to_id":23,"start_date":"2016-10-27","description":"","custom_fields":[{"id":1,"name":"Subdivision","value":"EC"},{"id":4,"name":"Milepost","value":"23.3491"},{"id":17,"name":"Train ID","value":"159-27"},{"id":16,"name":"Locomotive ID","value":"4007"},{"id":130,"name":"Impact","value":""},{"id":150,"name":"Time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"%USERPROFILE%\AppData\Local\Temp\OnboardLogs"\RTDC4007\*4007*201610271* | grep -SE "((Enforcement Ac)|(PRM))" -</v>
      </c>
      <c r="AD37" s="1"/>
    </row>
    <row r="38" spans="1:30" x14ac:dyDescent="0.25">
      <c r="A38" s="36">
        <v>42670.484178240738</v>
      </c>
      <c r="B38" s="31" t="s">
        <v>196</v>
      </c>
      <c r="C38" s="31" t="s">
        <v>407</v>
      </c>
      <c r="D38" s="31" t="s">
        <v>49</v>
      </c>
      <c r="E38" s="31" t="s">
        <v>237</v>
      </c>
      <c r="F38" s="47">
        <v>0</v>
      </c>
      <c r="G38" s="47">
        <v>50</v>
      </c>
      <c r="H38" s="47">
        <v>233297</v>
      </c>
      <c r="I38" s="47">
        <v>233342</v>
      </c>
      <c r="J38" s="31" t="s">
        <v>238</v>
      </c>
      <c r="K38" s="47">
        <v>233491</v>
      </c>
      <c r="L38" s="157" t="s">
        <v>50</v>
      </c>
      <c r="M38" s="158">
        <f t="shared" si="0"/>
        <v>78.671999999999997</v>
      </c>
      <c r="N38" s="159" t="str">
        <f>VLOOKUP(C38,'Trips&amp;Operators'!$C$1:$E$99999,3,FALSE)</f>
        <v>BONDS</v>
      </c>
      <c r="O38" s="184" t="s">
        <v>231</v>
      </c>
      <c r="P38" s="160"/>
      <c r="Q38" s="31"/>
      <c r="R38" s="100" t="str">
        <f>VLOOKUP(C38,'Train Runs'!$A$13:$AE$10021,31,0)</f>
        <v>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 &amp; aws s3 cp s3://rtdc.mdm.uploadarchive.raw/RTDC4007/ "%USERPROFILE%\AppData\Local\Temp\OnboardLogs"\RTDC4007\2016-10-28 --exclude "*" --recursive --include "*20161028*" &amp; "%USERPROFILE%\Documents\GitHub\mrs-test-scripts\Headless Mode &amp; Sideloading\WalkAndUnGZ.bat" "%USERPROFILE%\AppData\Local\Temp\OnboardLogs"\RTDC4007\2016-10-28</v>
      </c>
      <c r="S38" s="103" t="str">
        <f>VLOOKUP(C38,'Train Runs'!$A$13:$AE$10021,22,0)</f>
        <v>https://search-rtdc-monitor-bjffxe2xuh6vdkpspy63sjmuny.us-east-1.es.amazonaws.com/_plugin/kibana/#/discover/Steve-Slow-Train-Analysis-(2080s-and-2083s)?_g=(refreshInterval:(display:Off,section:0,value:0),time:(from:'2016-10-27 09:54:04-0600',mode:absolute,to:'2016-10-27 12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8" s="105" t="str">
        <f t="shared" si="1"/>
        <v>"C:\Program Files (x86)\AstroGrep\AstroGrep.exe" /spath="%USERPROFILE%\AppData\Local\Temp\OnboardLogs" /stypes="*4007*201610271*" /stext=" 17:.+((SYSTEM_STATE.+slice.+state.+changed )|(ment ac)|(system.+state.+changed )|(\[timeout)|(PRM\|1\|D)|(kpr)|(kdp)|(\|lc)|(penalty))" /e /r /s</v>
      </c>
      <c r="U38" s="9" t="str">
        <f t="shared" si="2"/>
        <v>4007</v>
      </c>
      <c r="V38" s="36">
        <f t="shared" si="3"/>
        <v>42670.734178240738</v>
      </c>
      <c r="W38" s="50" t="str">
        <f t="shared" si="4"/>
        <v>EC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{"issue":{"subject":"","project_id":79,"tracker_id":40,"status_id":1,"priority_id":2,"assigned_to_id":23,"start_date":"2016-10-27","description":"","custom_fields":[{"id":1,"name":"Subdivision","value":"EC"},{"id":4,"name":"Milepost","value":"23.3491"},{"id":17,"name":"Train ID","value":"159-27"},{"id":16,"name":"Locomotive ID","value":"4007"},{"id":130,"name":"Impact","value":""},{"id":150,"name":"Time of Event (Mountain Time)","value":"11:37:13"},{"id":151,"name":"Denver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"%USERPROFILE%\AppData\Local\Temp\OnboardLogs"\RTDC4007\*4007*201610271* | grep -SE "((Enforcement Ac)|(PRM))" -</v>
      </c>
      <c r="AD38" s="1"/>
    </row>
    <row r="39" spans="1:30" x14ac:dyDescent="0.25">
      <c r="A39" s="36">
        <v>42670.849351851852</v>
      </c>
      <c r="B39" s="31" t="s">
        <v>243</v>
      </c>
      <c r="C39" s="31" t="s">
        <v>423</v>
      </c>
      <c r="D39" s="31" t="s">
        <v>98</v>
      </c>
      <c r="E39" s="31" t="s">
        <v>232</v>
      </c>
      <c r="F39" s="47">
        <v>150</v>
      </c>
      <c r="G39" s="47">
        <v>213</v>
      </c>
      <c r="H39" s="47">
        <v>5198</v>
      </c>
      <c r="I39" s="47">
        <v>5580</v>
      </c>
      <c r="J39" s="31" t="s">
        <v>233</v>
      </c>
      <c r="K39" s="47">
        <v>574</v>
      </c>
      <c r="L39" s="157" t="s">
        <v>50</v>
      </c>
      <c r="M39" s="158">
        <f t="shared" ref="M39:M60" si="8">CONVERT((I39-K39)/10000,"mi","ft")*IF(L39="Increasing Mileposts (1)",-1,1)</f>
        <v>-2643.1680000000001</v>
      </c>
      <c r="N39" s="159" t="str">
        <f>VLOOKUP(C39,'Trips&amp;Operators'!$C$1:$E$99999,3,FALSE)</f>
        <v>HILLS</v>
      </c>
      <c r="O39" s="184" t="s">
        <v>231</v>
      </c>
      <c r="P39" s="160"/>
      <c r="Q39" s="31"/>
      <c r="R39" s="100" t="str">
        <f>VLOOKUP(C39,'Train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39" s="103" t="str">
        <f>VLOOKUP(C39,'Train Runs'!$A$13:$AE$10021,22,0)</f>
        <v>https://search-rtdc-monitor-bjffxe2xuh6vdkpspy63sjmuny.us-east-1.es.amazonaws.com/_plugin/kibana/#/discover/Steve-Slow-Train-Analysis-(2080s-and-2083s)?_g=(refreshInterval:(display:Off,section:0,value:0),time:(from:'2016-10-27 18:58:21-0600',mode:absolute,to:'2016-10-27 21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9" s="105" t="str">
        <f t="shared" ref="T39:T6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/stypes="*4042*201610280*" /stext=" 02:.+((SYSTEM_STATE.+slice.+state.+changed )|(ment ac)|(system.+state.+changed )|(\[timeout)|(PRM\|1\|D)|(kpr)|(kdp)|(\|lc)|(penalty))" /e /r /s</v>
      </c>
      <c r="U39" s="9" t="str">
        <f t="shared" ref="U39:U60" si="10">MID(B39,13,4)</f>
        <v>4042</v>
      </c>
      <c r="V39" s="36">
        <f t="shared" ref="V39:V60" si="11">A39+6/24</f>
        <v>42671.099351851852</v>
      </c>
      <c r="W39" s="50" t="str">
        <f t="shared" ref="W39:W60" si="12">IF(VALUE(LEFT(IF(LEN(C39)=6,"0"&amp;C39,C39),2))&lt;=2,"EC",IF(OR(VALUE(LEFT(IF(LEN(C39)=6,"0"&amp;C39,C39),2))=8,VALUE(LEFT(IF(LEN(C39)=6,"0"&amp;C39,C39),2))=18),"NW","Other"))</f>
        <v>NW</v>
      </c>
      <c r="X39" s="50" t="str">
        <f t="shared" ref="X39:X60" si="13">IF(AND(E39="TRACK WARRANT AUTHORITY",G39&lt;10),"OMIT","KEEP")</f>
        <v>KEEP</v>
      </c>
      <c r="Y39" s="122" t="str">
        <f t="shared" ref="Y39:Y6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{"issue":{"subject":"","project_id":79,"tracker_id":40,"status_id":1,"priority_id":2,"assigned_to_id":23,"start_date":"2016-10-27","description":"","custom_fields":[{"id":1,"name":"Subdivision","value":"NW"},{"id":4,"name":"Milepost","value":"0.0574"},{"id":17,"name":"Train ID","value":"843-27"},{"id":16,"name":"Locomotive ID","value":"4042"},{"id":130,"name":"Impact","value":""},{"id":150,"name":"Time of Event (Mountain Time)","value":"20:23:04"},{"id":151,"name":"Denver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ref="AC39:AC60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"%USERPROFILE%\AppData\Local\Temp\OnboardLogs"\RTDC4042\*4042*201610280* | grep -SE "((Enforcement Ac)|(PRM))" -</v>
      </c>
      <c r="AD39" s="1"/>
    </row>
    <row r="40" spans="1:30" x14ac:dyDescent="0.25">
      <c r="A40" s="36">
        <v>42670.345057870371</v>
      </c>
      <c r="B40" s="31" t="s">
        <v>192</v>
      </c>
      <c r="C40" s="31" t="s">
        <v>394</v>
      </c>
      <c r="D40" s="31" t="s">
        <v>98</v>
      </c>
      <c r="E40" s="31" t="s">
        <v>232</v>
      </c>
      <c r="F40" s="47">
        <v>400</v>
      </c>
      <c r="G40" s="47">
        <v>455</v>
      </c>
      <c r="H40" s="47">
        <v>39411</v>
      </c>
      <c r="I40" s="47">
        <v>37936</v>
      </c>
      <c r="J40" s="31" t="s">
        <v>233</v>
      </c>
      <c r="K40" s="47">
        <v>40977</v>
      </c>
      <c r="L40" s="157" t="s">
        <v>51</v>
      </c>
      <c r="M40" s="158">
        <f t="shared" si="8"/>
        <v>-1605.6479999999999</v>
      </c>
      <c r="N40" s="159" t="str">
        <f>VLOOKUP(C40,'Trips&amp;Operators'!$C$1:$E$99999,3,FALSE)</f>
        <v>YORK</v>
      </c>
      <c r="O40" s="184" t="s">
        <v>231</v>
      </c>
      <c r="P40" s="160"/>
      <c r="Q40" s="31"/>
      <c r="R40" s="100" t="str">
        <f>VLOOKUP(C40,'Train Runs'!$A$13:$AE$10021,31,0)</f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S40" s="103" t="str">
        <f>VLOOKUP(C40,'Train Runs'!$A$13:$AE$10021,22,0)</f>
        <v>https://search-rtdc-monitor-bjffxe2xuh6vdkpspy63sjmuny.us-east-1.es.amazonaws.com/_plugin/kibana/#/discover/Steve-Slow-Train-Analysis-(2080s-and-2083s)?_g=(refreshInterval:(display:Off,section:0,value:0),time:(from:'2016-10-27 07:07:22-0600',mode:absolute,to:'2016-10-27 09:26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0" s="105" t="str">
        <f t="shared" si="9"/>
        <v>"C:\Program Files (x86)\AstroGrep\AstroGrep.exe" /spath="%USERPROFILE%\AppData\Local\Temp\OnboardLogs" /stypes="*4010*201610271*" /stext=" 14:.+((SYSTEM_STATE.+slice.+state.+changed )|(ment ac)|(system.+state.+changed )|(\[timeout)|(PRM\|1\|D)|(kpr)|(kdp)|(\|lc)|(penalty))" /e /r /s</v>
      </c>
      <c r="U40" s="9" t="str">
        <f t="shared" si="10"/>
        <v>4010</v>
      </c>
      <c r="V40" s="36">
        <f t="shared" si="11"/>
        <v>42670.595057870371</v>
      </c>
      <c r="W40" s="50" t="str">
        <f t="shared" si="12"/>
        <v>NW</v>
      </c>
      <c r="X40" s="50" t="str">
        <f t="shared" si="13"/>
        <v>KEEP</v>
      </c>
      <c r="Y40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{"issue":{"subject":"","project_id":79,"tracker_id":40,"status_id":1,"priority_id":2,"assigned_to_id":23,"start_date":"2016-10-27","description":"","custom_fields":[{"id":1,"name":"Subdivision","value":"NW"},{"id":4,"name":"Milepost","value":"4.0977"},{"id":17,"name":"Train ID","value":"810-27"},{"id":16,"name":"Locomotive ID","value":"4010"},{"id":130,"name":"Impact","value":""},{"id":150,"name":"Time of Event (Mountain Time)","value":"08:16:53"},{"id":151,"name":"Denver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15"/>
        <v>grep -hSE -A100 "Enforcement Action" "%USERPROFILE%\AppData\Local\Temp\OnboardLogs"\RTDC4010\*4010*201610271* | grep -SE "((Enforcement Ac)|(PRM))" -</v>
      </c>
      <c r="AD40" s="1"/>
    </row>
    <row r="41" spans="1:30" x14ac:dyDescent="0.25">
      <c r="A41" s="36">
        <v>42670.60601851852</v>
      </c>
      <c r="B41" s="31" t="s">
        <v>243</v>
      </c>
      <c r="C41" s="31" t="s">
        <v>412</v>
      </c>
      <c r="D41" s="31" t="s">
        <v>49</v>
      </c>
      <c r="E41" s="31" t="s">
        <v>232</v>
      </c>
      <c r="F41" s="47">
        <v>150</v>
      </c>
      <c r="G41" s="47">
        <v>281</v>
      </c>
      <c r="H41" s="47">
        <v>56467</v>
      </c>
      <c r="I41" s="47">
        <v>56957</v>
      </c>
      <c r="J41" s="31" t="s">
        <v>233</v>
      </c>
      <c r="K41" s="47">
        <v>57008</v>
      </c>
      <c r="L41" s="157" t="s">
        <v>50</v>
      </c>
      <c r="M41" s="158">
        <f t="shared" si="8"/>
        <v>26.928000000000001</v>
      </c>
      <c r="N41" s="159" t="str">
        <f>VLOOKUP(C41,'Trips&amp;Operators'!$C$1:$E$99999,3,FALSE)</f>
        <v>HILLS</v>
      </c>
      <c r="O41" s="184" t="s">
        <v>231</v>
      </c>
      <c r="P41" s="160"/>
      <c r="Q41" s="31"/>
      <c r="R41" s="100" t="str">
        <f>VLOOKUP(C41,'Train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41" s="103" t="str">
        <f>VLOOKUP(C41,'Train Runs'!$A$13:$AE$10021,22,0)</f>
        <v>https://search-rtdc-monitor-bjffxe2xuh6vdkpspy63sjmuny.us-east-1.es.amazonaws.com/_plugin/kibana/#/discover/Steve-Slow-Train-Analysis-(2080s-and-2083s)?_g=(refreshInterval:(display:Off,section:0,value:0),time:(from:'2016-10-27 12:56:17-0600',mode:absolute,to:'2016-10-27 15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41" s="105" t="str">
        <f t="shared" si="9"/>
        <v>"C:\Program Files (x86)\AstroGrep\AstroGrep.exe" /spath="%USERPROFILE%\AppData\Local\Temp\OnboardLogs" /stypes="*4042*201610272*" /stext=" 20:.+((SYSTEM_STATE.+slice.+state.+changed )|(ment ac)|(system.+state.+changed )|(\[timeout)|(PRM\|1\|D)|(kpr)|(kdp)|(\|lc)|(penalty))" /e /r /s</v>
      </c>
      <c r="U41" s="9" t="str">
        <f t="shared" si="10"/>
        <v>4042</v>
      </c>
      <c r="V41" s="36">
        <f t="shared" si="11"/>
        <v>42670.85601851852</v>
      </c>
      <c r="W41" s="50" t="str">
        <f t="shared" si="12"/>
        <v>NW</v>
      </c>
      <c r="X41" s="50" t="str">
        <f t="shared" si="13"/>
        <v>KEEP</v>
      </c>
      <c r="Y41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{"issue":{"subject":"","project_id":79,"tracker_id":40,"status_id":1,"priority_id":2,"assigned_to_id":23,"start_date":"2016-10-27","description":"","custom_fields":[{"id":1,"name":"Subdivision","value":"NW"},{"id":4,"name":"Milepost","value":"5.7008"},{"id":17,"name":"Train ID","value":"823-27"},{"id":16,"name":"Locomotive ID","value":"4042"},{"id":130,"name":"Impact","value":""},{"id":150,"name":"Time of Event (Mountain Time)","value":"14:32:40"},{"id":151,"name":"Denver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15"/>
        <v>grep -hSE -A100 "Enforcement Action" "%USERPROFILE%\AppData\Local\Temp\OnboardLogs"\RTDC4042\*4042*201610272* | grep -SE "((Enforcement Ac)|(PRM))" -</v>
      </c>
      <c r="AD41" s="1"/>
    </row>
    <row r="42" spans="1:30" x14ac:dyDescent="0.25">
      <c r="A42" s="36">
        <v>42670.773611111108</v>
      </c>
      <c r="B42" s="31" t="s">
        <v>243</v>
      </c>
      <c r="C42" s="31" t="s">
        <v>419</v>
      </c>
      <c r="D42" s="31" t="s">
        <v>49</v>
      </c>
      <c r="E42" s="31" t="s">
        <v>232</v>
      </c>
      <c r="F42" s="47">
        <v>150</v>
      </c>
      <c r="G42" s="47">
        <v>338</v>
      </c>
      <c r="H42" s="47">
        <v>56179</v>
      </c>
      <c r="I42" s="47">
        <v>56836</v>
      </c>
      <c r="J42" s="31" t="s">
        <v>233</v>
      </c>
      <c r="K42" s="47">
        <v>57008</v>
      </c>
      <c r="L42" s="157" t="s">
        <v>50</v>
      </c>
      <c r="M42" s="158">
        <f t="shared" si="8"/>
        <v>90.816000000000003</v>
      </c>
      <c r="N42" s="159" t="str">
        <f>VLOOKUP(C42,'Trips&amp;Operators'!$C$1:$E$99999,3,FALSE)</f>
        <v>HILLS</v>
      </c>
      <c r="O42" s="184" t="s">
        <v>231</v>
      </c>
      <c r="P42" s="160"/>
      <c r="Q42" s="31"/>
      <c r="R42" s="100" t="str">
        <f>VLOOKUP(C42,'Train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42" s="103" t="str">
        <f>VLOOKUP(C42,'Train Runs'!$A$13:$AE$10021,22,0)</f>
        <v>https://search-rtdc-monitor-bjffxe2xuh6vdkpspy63sjmuny.us-east-1.es.amazonaws.com/_plugin/kibana/#/discover/Steve-Slow-Train-Analysis-(2080s-and-2083s)?_g=(refreshInterval:(display:Off,section:0,value:0),time:(from:'2016-10-27 17:00:25-0600',mode:absolute,to:'2016-10-27 19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42" s="105" t="str">
        <f t="shared" si="9"/>
        <v>"C:\Program Files (x86)\AstroGrep\AstroGrep.exe" /spath="%USERPROFILE%\AppData\Local\Temp\OnboardLogs" /stypes="*4042*201610280*" /stext=" 00:.+((SYSTEM_STATE.+slice.+state.+changed )|(ment ac)|(system.+state.+changed )|(\[timeout)|(PRM\|1\|D)|(kpr)|(kdp)|(\|lc)|(penalty))" /e /r /s</v>
      </c>
      <c r="U42" s="9" t="str">
        <f t="shared" si="10"/>
        <v>4042</v>
      </c>
      <c r="V42" s="36">
        <f t="shared" si="11"/>
        <v>42671.023611111108</v>
      </c>
      <c r="W42" s="50" t="str">
        <f t="shared" si="12"/>
        <v>NW</v>
      </c>
      <c r="X42" s="50" t="str">
        <f t="shared" si="13"/>
        <v>KEEP</v>
      </c>
      <c r="Y42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{"issue":{"subject":"","project_id":79,"tracker_id":40,"status_id":1,"priority_id":2,"assigned_to_id":23,"start_date":"2016-10-27","description":"","custom_fields":[{"id":1,"name":"Subdivision","value":"NW"},{"id":4,"name":"Milepost","value":"5.7008"},{"id":17,"name":"Train ID","value":"837-27"},{"id":16,"name":"Locomotive ID","value":"4042"},{"id":130,"name":"Impact","value":""},{"id":150,"name":"Time of Event (Mountain Time)","value":"18:34:00"},{"id":151,"name":"Denver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15"/>
        <v>grep -hSE -A100 "Enforcement Action" "%USERPROFILE%\AppData\Local\Temp\OnboardLogs"\RTDC4042\*4042*201610280* | grep -SE "((Enforcement Ac)|(PRM))" -</v>
      </c>
      <c r="AD42" s="1"/>
    </row>
    <row r="43" spans="1:30" x14ac:dyDescent="0.25">
      <c r="A43" s="36">
        <v>42670.814768518518</v>
      </c>
      <c r="B43" s="31" t="s">
        <v>243</v>
      </c>
      <c r="C43" s="31" t="s">
        <v>421</v>
      </c>
      <c r="D43" s="31" t="s">
        <v>49</v>
      </c>
      <c r="E43" s="31" t="s">
        <v>232</v>
      </c>
      <c r="F43" s="47">
        <v>150</v>
      </c>
      <c r="G43" s="47">
        <v>429</v>
      </c>
      <c r="H43" s="47">
        <v>55501</v>
      </c>
      <c r="I43" s="47">
        <v>56568</v>
      </c>
      <c r="J43" s="31" t="s">
        <v>233</v>
      </c>
      <c r="K43" s="47">
        <v>57008</v>
      </c>
      <c r="L43" s="157" t="s">
        <v>50</v>
      </c>
      <c r="M43" s="158">
        <f t="shared" si="8"/>
        <v>232.32</v>
      </c>
      <c r="N43" s="159" t="str">
        <f>VLOOKUP(C43,'Trips&amp;Operators'!$C$1:$E$99999,3,FALSE)</f>
        <v>HILLS</v>
      </c>
      <c r="O43" s="184" t="s">
        <v>231</v>
      </c>
      <c r="P43" s="160"/>
      <c r="Q43" s="31"/>
      <c r="R43" s="100" t="str">
        <f>VLOOKUP(C43,'Train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43" s="103" t="str">
        <f>VLOOKUP(C43,'Train Runs'!$A$13:$AE$10021,22,0)</f>
        <v>https://search-rtdc-monitor-bjffxe2xuh6vdkpspy63sjmuny.us-east-1.es.amazonaws.com/_plugin/kibana/#/discover/Steve-Slow-Train-Analysis-(2080s-and-2083s)?_g=(refreshInterval:(display:Off,section:0,value:0),time:(from:'2016-10-27 18:02:17-0600',mode:absolute,to:'2016-10-27 20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43" s="105" t="str">
        <f t="shared" si="9"/>
        <v>"C:\Program Files (x86)\AstroGrep\AstroGrep.exe" /spath="%USERPROFILE%\AppData\Local\Temp\OnboardLogs" /stypes="*4042*201610280*" /stext=" 01:.+((SYSTEM_STATE.+slice.+state.+changed )|(ment ac)|(system.+state.+changed )|(\[timeout)|(PRM\|1\|D)|(kpr)|(kdp)|(\|lc)|(penalty))" /e /r /s</v>
      </c>
      <c r="U43" s="9" t="str">
        <f t="shared" si="10"/>
        <v>4042</v>
      </c>
      <c r="V43" s="36">
        <f t="shared" si="11"/>
        <v>42671.064768518518</v>
      </c>
      <c r="W43" s="50" t="str">
        <f t="shared" si="12"/>
        <v>NW</v>
      </c>
      <c r="X43" s="50" t="str">
        <f t="shared" si="13"/>
        <v>KEEP</v>
      </c>
      <c r="Y43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{"issue":{"subject":"","project_id":79,"tracker_id":40,"status_id":1,"priority_id":2,"assigned_to_id":23,"start_date":"2016-10-27","description":"","custom_fields":[{"id":1,"name":"Subdivision","value":"NW"},{"id":4,"name":"Milepost","value":"5.7008"},{"id":17,"name":"Train ID","value":"841-27"},{"id":16,"name":"Locomotive ID","value":"4042"},{"id":130,"name":"Impact","value":""},{"id":150,"name":"Time of Event (Mountain Time)","value":"19:33:16"},{"id":151,"name":"Denver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15"/>
        <v>grep -hSE -A100 "Enforcement Action" "%USERPROFILE%\AppData\Local\Temp\OnboardLogs"\RTDC4042\*4042*201610280* | grep -SE "((Enforcement Ac)|(PRM))" -</v>
      </c>
      <c r="AD43" s="1"/>
    </row>
    <row r="44" spans="1:30" x14ac:dyDescent="0.25">
      <c r="A44" s="36">
        <v>42670.223344907405</v>
      </c>
      <c r="B44" s="31" t="s">
        <v>192</v>
      </c>
      <c r="C44" s="31" t="s">
        <v>385</v>
      </c>
      <c r="D44" s="31" t="s">
        <v>98</v>
      </c>
      <c r="E44" s="31" t="s">
        <v>235</v>
      </c>
      <c r="F44" s="47">
        <v>0</v>
      </c>
      <c r="G44" s="47">
        <v>69</v>
      </c>
      <c r="H44" s="47">
        <v>11000</v>
      </c>
      <c r="I44" s="47">
        <v>10765</v>
      </c>
      <c r="J44" s="31" t="s">
        <v>236</v>
      </c>
      <c r="K44" s="47">
        <v>11016</v>
      </c>
      <c r="L44" s="157" t="s">
        <v>51</v>
      </c>
      <c r="M44" s="158">
        <f t="shared" si="8"/>
        <v>-132.52799999999999</v>
      </c>
      <c r="N44" s="159" t="str">
        <f>VLOOKUP(C44,'Trips&amp;Operators'!$C$1:$E$99999,3,FALSE)</f>
        <v>YORK</v>
      </c>
      <c r="O44" s="184" t="s">
        <v>264</v>
      </c>
      <c r="P44" s="160" t="s">
        <v>802</v>
      </c>
      <c r="Q44" s="31"/>
      <c r="R44" s="100" t="str">
        <f>VLOOKUP(C44,'Train Runs'!$A$13:$AE$10021,31,0)</f>
        <v>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 &amp; 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</v>
      </c>
      <c r="S44" s="103" t="str">
        <f>VLOOKUP(C44,'Train Runs'!$A$13:$AE$10021,22,0)</f>
        <v>https://search-rtdc-monitor-bjffxe2xuh6vdkpspy63sjmuny.us-east-1.es.amazonaws.com/_plugin/kibana/#/discover/Steve-Slow-Train-Analysis-(2080s-and-2083s)?_g=(refreshInterval:(display:Off,section:0,value:0),time:(from:'2016-10-27 04:10:24-0600',mode:absolute,to:'2016-10-27 06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4" s="105" t="str">
        <f t="shared" si="9"/>
        <v>"C:\Program Files (x86)\AstroGrep\AstroGrep.exe" /spath="%USERPROFILE%\AppData\Local\Temp\OnboardLogs" /stypes="*4010*201610271*" /stext=" 11:.+((SYSTEM_STATE.+slice.+state.+changed )|(ment ac)|(system.+state.+changed )|(\[timeout)|(PRM\|1\|D)|(kpr)|(kdp)|(\|lc)|(penalty))" /e /r /s</v>
      </c>
      <c r="U44" s="9" t="str">
        <f t="shared" si="10"/>
        <v>4010</v>
      </c>
      <c r="V44" s="36">
        <f t="shared" si="11"/>
        <v>42670.473344907405</v>
      </c>
      <c r="W44" s="50" t="str">
        <f t="shared" si="12"/>
        <v>NW</v>
      </c>
      <c r="X44" s="50" t="str">
        <f t="shared" si="13"/>
        <v>KEEP</v>
      </c>
      <c r="Y44" s="122" t="str">
        <f t="shared" si="14"/>
        <v>echo {"issue":{"subject":"Discrepancy between GPS- and Wheeltach-derived location under I-25","project_id":79,"tracker_id":40,"status_id":1,"priority_id":2,"assigned_to_id":23,"start_date":"2016-10-27","description":"","custom_fields":[{"id":1,"name":"Subdivision","value":"NW"},{"id":4,"name":"Milepost","value":"1.1016"},{"id":17,"name":"Train ID","value":"800-27"},{"id":16,"name":"Locomotive ID","value":"4010"},{"id":130,"name":"Impact","value":"Enforcement"},{"id":150,"name":"Time of Event (Mountain Time)","value":"05:21:37"},{"id":151,"name":"Denver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4" s="53"/>
      <c r="AA44" s="53" t="s">
        <v>125</v>
      </c>
      <c r="AB44" s="53" t="s">
        <v>178</v>
      </c>
      <c r="AC44" s="141" t="str">
        <f t="shared" si="15"/>
        <v>grep -hSE -A100 "Enforcement Action" "%USERPROFILE%\AppData\Local\Temp\OnboardLogs"\RTDC4010\*4010*201610271* | grep -SE "((Enforcement Ac)|(PRM))" -</v>
      </c>
      <c r="AD44" s="1"/>
    </row>
    <row r="45" spans="1:30" x14ac:dyDescent="0.25">
      <c r="A45" s="36">
        <v>42670.49627314815</v>
      </c>
      <c r="B45" s="31" t="s">
        <v>244</v>
      </c>
      <c r="C45" s="31" t="s">
        <v>408</v>
      </c>
      <c r="D45" s="31" t="s">
        <v>49</v>
      </c>
      <c r="E45" s="31" t="s">
        <v>237</v>
      </c>
      <c r="F45" s="47">
        <v>0</v>
      </c>
      <c r="G45" s="47">
        <v>36</v>
      </c>
      <c r="H45" s="47">
        <v>699</v>
      </c>
      <c r="I45" s="47">
        <v>666</v>
      </c>
      <c r="J45" s="31" t="s">
        <v>238</v>
      </c>
      <c r="K45" s="47">
        <v>575</v>
      </c>
      <c r="L45" s="157" t="s">
        <v>51</v>
      </c>
      <c r="M45" s="158">
        <f t="shared" si="8"/>
        <v>48.048000000000002</v>
      </c>
      <c r="N45" s="159" t="str">
        <f>VLOOKUP(C45,'Trips&amp;Operators'!$C$1:$E$99999,3,FALSE)</f>
        <v>LALONDE</v>
      </c>
      <c r="O45" s="184" t="s">
        <v>231</v>
      </c>
      <c r="P45" s="160"/>
      <c r="Q45" s="31"/>
      <c r="R45" s="100" t="str">
        <f>VLOOKUP(C45,'Train Runs'!$A$13:$AE$10021,31,0)</f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S45" s="103" t="str">
        <f>VLOOKUP(C45,'Train Runs'!$A$13:$AE$10021,22,0)</f>
        <v>https://search-rtdc-monitor-bjffxe2xuh6vdkpspy63sjmuny.us-east-1.es.amazonaws.com/_plugin/kibana/#/discover/Steve-Slow-Train-Analysis-(2080s-and-2083s)?_g=(refreshInterval:(display:Off,section:0,value:0),time:(from:'2016-10-27 10:36:52-0600',mode:absolute,to:'2016-10-27 12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5" s="105" t="str">
        <f t="shared" si="9"/>
        <v>"C:\Program Files (x86)\AstroGrep\AstroGrep.exe" /spath="%USERPROFILE%\AppData\Local\Temp\OnboardLogs" /stypes="*4041*201610271*" /stext=" 17:.+((SYSTEM_STATE.+slice.+state.+changed )|(ment ac)|(system.+state.+changed )|(\[timeout)|(PRM\|1\|D)|(kpr)|(kdp)|(\|lc)|(penalty))" /e /r /s</v>
      </c>
      <c r="U45" s="9" t="str">
        <f t="shared" si="10"/>
        <v>4041</v>
      </c>
      <c r="V45" s="36">
        <f t="shared" si="11"/>
        <v>42670.74627314815</v>
      </c>
      <c r="W45" s="50" t="str">
        <f t="shared" si="12"/>
        <v>NW</v>
      </c>
      <c r="X45" s="50" t="str">
        <f t="shared" si="13"/>
        <v>KEEP</v>
      </c>
      <c r="Y45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{"issue":{"subject":"","project_id":79,"tracker_id":40,"status_id":1,"priority_id":2,"assigned_to_id":23,"start_date":"2016-10-27","description":"","custom_fields":[{"id":1,"name":"Subdivision","value":"NW"},{"id":4,"name":"Milepost","value":"0.0575"},{"id":17,"name":"Train ID","value":"818-27"},{"id":16,"name":"Locomotive ID","value":"4041"},{"id":130,"name":"Impact","value":""},{"id":150,"name":"Time of Event (Mountain Time)","value":"11:54:38"},{"id":151,"name":"Denver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15"/>
        <v>grep -hSE -A100 "Enforcement Action" "%USERPROFILE%\AppData\Local\Temp\OnboardLogs"\RTDC4041\*4041*201610271* | grep -SE "((Enforcement Ac)|(PRM))" -</v>
      </c>
      <c r="AD45" s="1"/>
    </row>
    <row r="46" spans="1:30" x14ac:dyDescent="0.25">
      <c r="A46" s="36">
        <v>42670.579606481479</v>
      </c>
      <c r="B46" s="31" t="s">
        <v>244</v>
      </c>
      <c r="C46" s="31" t="s">
        <v>409</v>
      </c>
      <c r="D46" s="31" t="s">
        <v>49</v>
      </c>
      <c r="E46" s="31" t="s">
        <v>237</v>
      </c>
      <c r="F46" s="47">
        <v>0</v>
      </c>
      <c r="G46" s="47">
        <v>80</v>
      </c>
      <c r="H46" s="47">
        <v>852</v>
      </c>
      <c r="I46" s="47">
        <v>766</v>
      </c>
      <c r="J46" s="31" t="s">
        <v>238</v>
      </c>
      <c r="K46" s="47">
        <v>575</v>
      </c>
      <c r="L46" s="157" t="s">
        <v>51</v>
      </c>
      <c r="M46" s="158">
        <f t="shared" si="8"/>
        <v>100.848</v>
      </c>
      <c r="N46" s="159" t="str">
        <f>VLOOKUP(C46,'Trips&amp;Operators'!$C$1:$E$99999,3,FALSE)</f>
        <v>HILLS</v>
      </c>
      <c r="O46" s="184" t="s">
        <v>231</v>
      </c>
      <c r="P46" s="160"/>
      <c r="Q46" s="31"/>
      <c r="R46" s="100" t="str">
        <f>VLOOKUP(C46,'Train Runs'!$A$13:$AE$10021,31,0)</f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S46" s="103" t="str">
        <f>VLOOKUP(C46,'Train Runs'!$A$13:$AE$10021,22,0)</f>
        <v>https://search-rtdc-monitor-bjffxe2xuh6vdkpspy63sjmuny.us-east-1.es.amazonaws.com/_plugin/kibana/#/discover/Steve-Slow-Train-Analysis-(2080s-and-2083s)?_g=(refreshInterval:(display:Off,section:0,value:0),time:(from:'2016-10-27 12:37:09-0600',mode:absolute,to:'2016-10-27 14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6" s="105" t="str">
        <f t="shared" si="9"/>
        <v>"C:\Program Files (x86)\AstroGrep\AstroGrep.exe" /spath="%USERPROFILE%\AppData\Local\Temp\OnboardLogs" /stypes="*4041*201610271*" /stext=" 19:.+((SYSTEM_STATE.+slice.+state.+changed )|(ment ac)|(system.+state.+changed )|(\[timeout)|(PRM\|1\|D)|(kpr)|(kdp)|(\|lc)|(penalty))" /e /r /s</v>
      </c>
      <c r="U46" s="9" t="str">
        <f t="shared" si="10"/>
        <v>4041</v>
      </c>
      <c r="V46" s="36">
        <f t="shared" si="11"/>
        <v>42670.829606481479</v>
      </c>
      <c r="W46" s="50" t="str">
        <f t="shared" si="12"/>
        <v>NW</v>
      </c>
      <c r="X46" s="50" t="str">
        <f t="shared" si="13"/>
        <v>KEEP</v>
      </c>
      <c r="Y46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{"issue":{"subject":"","project_id":79,"tracker_id":40,"status_id":1,"priority_id":2,"assigned_to_id":23,"start_date":"2016-10-27","description":"","custom_fields":[{"id":1,"name":"Subdivision","value":"NW"},{"id":4,"name":"Milepost","value":"0.0575"},{"id":17,"name":"Train ID","value":"822-27"},{"id":16,"name":"Locomotive ID","value":"4041"},{"id":130,"name":"Impact","value":""},{"id":150,"name":"Time of Event (Mountain Time)","value":"13:54:38"},{"id":151,"name":"Denver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15"/>
        <v>grep -hSE -A100 "Enforcement Action" "%USERPROFILE%\AppData\Local\Temp\OnboardLogs"\RTDC4041\*4041*201610271* | grep -SE "((Enforcement Ac)|(PRM))" -</v>
      </c>
      <c r="AD46" s="1"/>
    </row>
    <row r="47" spans="1:30" x14ac:dyDescent="0.25">
      <c r="A47" s="36">
        <v>42670.871678240743</v>
      </c>
      <c r="B47" s="31" t="s">
        <v>244</v>
      </c>
      <c r="C47" s="31" t="s">
        <v>424</v>
      </c>
      <c r="D47" s="31" t="s">
        <v>49</v>
      </c>
      <c r="E47" s="31" t="s">
        <v>237</v>
      </c>
      <c r="F47" s="47">
        <v>0</v>
      </c>
      <c r="G47" s="47">
        <v>133</v>
      </c>
      <c r="H47" s="47">
        <v>1105</v>
      </c>
      <c r="I47" s="47">
        <v>930</v>
      </c>
      <c r="J47" s="31" t="s">
        <v>238</v>
      </c>
      <c r="K47" s="47">
        <v>575</v>
      </c>
      <c r="L47" s="157" t="s">
        <v>51</v>
      </c>
      <c r="M47" s="158">
        <f t="shared" si="8"/>
        <v>187.44</v>
      </c>
      <c r="N47" s="159" t="str">
        <f>VLOOKUP(C47,'Trips&amp;Operators'!$C$1:$E$99999,3,FALSE)</f>
        <v>HILLS</v>
      </c>
      <c r="O47" s="184" t="s">
        <v>231</v>
      </c>
      <c r="P47" s="160"/>
      <c r="Q47" s="31"/>
      <c r="R47" s="100" t="str">
        <f>VLOOKUP(C47,'Train Runs'!$A$13:$AE$10021,31,0)</f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S47" s="103" t="str">
        <f>VLOOKUP(C47,'Train Runs'!$A$13:$AE$10021,22,0)</f>
        <v>https://search-rtdc-monitor-bjffxe2xuh6vdkpspy63sjmuny.us-east-1.es.amazonaws.com/_plugin/kibana/#/discover/Steve-Slow-Train-Analysis-(2080s-and-2083s)?_g=(refreshInterval:(display:Off,section:0,value:0),time:(from:'2016-10-27 19:37:45-0600',mode:absolute,to:'2016-10-27 21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7" s="105" t="str">
        <f t="shared" si="9"/>
        <v>"C:\Program Files (x86)\AstroGrep\AstroGrep.exe" /spath="%USERPROFILE%\AppData\Local\Temp\OnboardLogs" /stypes="*4041*201610280*" /stext=" 02:.+((SYSTEM_STATE.+slice.+state.+changed )|(ment ac)|(system.+state.+changed )|(\[timeout)|(PRM\|1\|D)|(kpr)|(kdp)|(\|lc)|(penalty))" /e /r /s</v>
      </c>
      <c r="U47" s="9" t="str">
        <f t="shared" si="10"/>
        <v>4041</v>
      </c>
      <c r="V47" s="36">
        <f t="shared" si="11"/>
        <v>42671.121678240743</v>
      </c>
      <c r="W47" s="50" t="str">
        <f t="shared" si="12"/>
        <v>NW</v>
      </c>
      <c r="X47" s="50" t="str">
        <f t="shared" si="13"/>
        <v>KEEP</v>
      </c>
      <c r="Y47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{"issue":{"subject":"","project_id":79,"tracker_id":40,"status_id":1,"priority_id":2,"assigned_to_id":23,"start_date":"2016-10-27","description":"","custom_fields":[{"id":1,"name":"Subdivision","value":"NW"},{"id":4,"name":"Milepost","value":"0.0575"},{"id":17,"name":"Train ID","value":"842-27"},{"id":16,"name":"Locomotive ID","value":"4041"},{"id":130,"name":"Impact","value":""},{"id":150,"name":"Time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15"/>
        <v>grep -hSE -A100 "Enforcement Action" "%USERPROFILE%\AppData\Local\Temp\OnboardLogs"\RTDC4041\*4041*201610280* | grep -SE "((Enforcement Ac)|(PRM))" -</v>
      </c>
      <c r="AD47" s="1"/>
    </row>
    <row r="48" spans="1:30" x14ac:dyDescent="0.25">
      <c r="A48" s="36">
        <v>42670.873576388891</v>
      </c>
      <c r="B48" s="31" t="s">
        <v>244</v>
      </c>
      <c r="C48" s="31" t="s">
        <v>424</v>
      </c>
      <c r="D48" s="31" t="s">
        <v>49</v>
      </c>
      <c r="E48" s="31" t="s">
        <v>237</v>
      </c>
      <c r="F48" s="47">
        <v>0</v>
      </c>
      <c r="G48" s="47">
        <v>36</v>
      </c>
      <c r="H48" s="47">
        <v>909</v>
      </c>
      <c r="I48" s="47">
        <v>860</v>
      </c>
      <c r="J48" s="31" t="s">
        <v>238</v>
      </c>
      <c r="K48" s="47">
        <v>575</v>
      </c>
      <c r="L48" s="157" t="s">
        <v>51</v>
      </c>
      <c r="M48" s="158">
        <f t="shared" si="8"/>
        <v>150.47999999999999</v>
      </c>
      <c r="N48" s="159" t="str">
        <f>VLOOKUP(C48,'Trips&amp;Operators'!$C$1:$E$99999,3,FALSE)</f>
        <v>HILLS</v>
      </c>
      <c r="O48" s="184" t="s">
        <v>231</v>
      </c>
      <c r="P48" s="160"/>
      <c r="Q48" s="31"/>
      <c r="R48" s="100" t="str">
        <f>VLOOKUP(C48,'Train Runs'!$A$13:$AE$10021,31,0)</f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S48" s="103" t="str">
        <f>VLOOKUP(C48,'Train Runs'!$A$13:$AE$10021,22,0)</f>
        <v>https://search-rtdc-monitor-bjffxe2xuh6vdkpspy63sjmuny.us-east-1.es.amazonaws.com/_plugin/kibana/#/discover/Steve-Slow-Train-Analysis-(2080s-and-2083s)?_g=(refreshInterval:(display:Off,section:0,value:0),time:(from:'2016-10-27 19:37:45-0600',mode:absolute,to:'2016-10-27 21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8" s="105" t="str">
        <f t="shared" si="9"/>
        <v>"C:\Program Files (x86)\AstroGrep\AstroGrep.exe" /spath="%USERPROFILE%\AppData\Local\Temp\OnboardLogs" /stypes="*4041*201610280*" /stext=" 02:.+((SYSTEM_STATE.+slice.+state.+changed )|(ment ac)|(system.+state.+changed )|(\[timeout)|(PRM\|1\|D)|(kpr)|(kdp)|(\|lc)|(penalty))" /e /r /s</v>
      </c>
      <c r="U48" s="9" t="str">
        <f t="shared" si="10"/>
        <v>4041</v>
      </c>
      <c r="V48" s="36">
        <f t="shared" si="11"/>
        <v>42671.123576388891</v>
      </c>
      <c r="W48" s="50" t="str">
        <f t="shared" si="12"/>
        <v>NW</v>
      </c>
      <c r="X48" s="50" t="str">
        <f t="shared" si="13"/>
        <v>KEEP</v>
      </c>
      <c r="Y48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{"issue":{"subject":"","project_id":79,"tracker_id":40,"status_id":1,"priority_id":2,"assigned_to_id":23,"start_date":"2016-10-27","description":"","custom_fields":[{"id":1,"name":"Subdivision","value":"NW"},{"id":4,"name":"Milepost","value":"0.0575"},{"id":17,"name":"Train ID","value":"842-27"},{"id":16,"name":"Locomotive ID","value":"4041"},{"id":130,"name":"Impact","value":""},{"id":150,"name":"Time of Event (Mountain Time)","value":"20:57:57"},{"id":151,"name":"Denver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 t="shared" si="15"/>
        <v>grep -hSE -A100 "Enforcement Action" "%USERPROFILE%\AppData\Local\Temp\OnboardLogs"\RTDC4041\*4041*201610280* | grep -SE "((Enforcement Ac)|(PRM))" -</v>
      </c>
      <c r="AD48" s="1"/>
    </row>
    <row r="49" spans="1:30" x14ac:dyDescent="0.25">
      <c r="A49" s="36">
        <v>42670.87395833333</v>
      </c>
      <c r="B49" s="31" t="s">
        <v>244</v>
      </c>
      <c r="C49" s="31" t="s">
        <v>424</v>
      </c>
      <c r="D49" s="31" t="s">
        <v>49</v>
      </c>
      <c r="E49" s="31" t="s">
        <v>237</v>
      </c>
      <c r="F49" s="47">
        <v>0</v>
      </c>
      <c r="G49" s="47">
        <v>39</v>
      </c>
      <c r="H49" s="47">
        <v>850</v>
      </c>
      <c r="I49" s="47">
        <v>801</v>
      </c>
      <c r="J49" s="31" t="s">
        <v>238</v>
      </c>
      <c r="K49" s="47">
        <v>575</v>
      </c>
      <c r="L49" s="157" t="s">
        <v>51</v>
      </c>
      <c r="M49" s="158">
        <f t="shared" si="8"/>
        <v>119.328</v>
      </c>
      <c r="N49" s="159" t="str">
        <f>VLOOKUP(C49,'Trips&amp;Operators'!$C$1:$E$99999,3,FALSE)</f>
        <v>HILLS</v>
      </c>
      <c r="O49" s="184" t="s">
        <v>231</v>
      </c>
      <c r="P49" s="160"/>
      <c r="Q49" s="31"/>
      <c r="R49" s="100" t="str">
        <f>VLOOKUP(C49,'Train Runs'!$A$13:$AE$10021,31,0)</f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S49" s="103" t="str">
        <f>VLOOKUP(C49,'Train Runs'!$A$13:$AE$10021,22,0)</f>
        <v>https://search-rtdc-monitor-bjffxe2xuh6vdkpspy63sjmuny.us-east-1.es.amazonaws.com/_plugin/kibana/#/discover/Steve-Slow-Train-Analysis-(2080s-and-2083s)?_g=(refreshInterval:(display:Off,section:0,value:0),time:(from:'2016-10-27 19:37:45-0600',mode:absolute,to:'2016-10-27 21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9" s="105" t="str">
        <f t="shared" si="9"/>
        <v>"C:\Program Files (x86)\AstroGrep\AstroGrep.exe" /spath="%USERPROFILE%\AppData\Local\Temp\OnboardLogs" /stypes="*4041*201610280*" /stext=" 02:.+((SYSTEM_STATE.+slice.+state.+changed )|(ment ac)|(system.+state.+changed )|(\[timeout)|(PRM\|1\|D)|(kpr)|(kdp)|(\|lc)|(penalty))" /e /r /s</v>
      </c>
      <c r="U49" s="9" t="str">
        <f t="shared" si="10"/>
        <v>4041</v>
      </c>
      <c r="V49" s="36">
        <f t="shared" si="11"/>
        <v>42671.12395833333</v>
      </c>
      <c r="W49" s="50" t="str">
        <f t="shared" si="12"/>
        <v>NW</v>
      </c>
      <c r="X49" s="50" t="str">
        <f t="shared" si="13"/>
        <v>KEEP</v>
      </c>
      <c r="Y49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{"issue":{"subject":"","project_id":79,"tracker_id":40,"status_id":1,"priority_id":2,"assigned_to_id":23,"start_date":"2016-10-27","description":"","custom_fields":[{"id":1,"name":"Subdivision","value":"NW"},{"id":4,"name":"Milepost","value":"0.0575"},{"id":17,"name":"Train ID","value":"842-27"},{"id":16,"name":"Locomotive ID","value":"4041"},{"id":130,"name":"Impact","value":""},{"id":150,"name":"Time of Event (Mountain Time)","value":"20:58:30"},{"id":151,"name":"Denver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 t="shared" si="15"/>
        <v>grep -hSE -A100 "Enforcement Action" "%USERPROFILE%\AppData\Local\Temp\OnboardLogs"\RTDC4041\*4041*201610280* | grep -SE "((Enforcement Ac)|(PRM))" -</v>
      </c>
      <c r="AD49" s="1"/>
    </row>
    <row r="50" spans="1:30" x14ac:dyDescent="0.25">
      <c r="A50" s="36">
        <v>42670.874444444446</v>
      </c>
      <c r="B50" s="31" t="s">
        <v>244</v>
      </c>
      <c r="C50" s="31" t="s">
        <v>424</v>
      </c>
      <c r="D50" s="31" t="s">
        <v>49</v>
      </c>
      <c r="E50" s="31" t="s">
        <v>237</v>
      </c>
      <c r="F50" s="47">
        <v>0</v>
      </c>
      <c r="G50" s="47">
        <v>29</v>
      </c>
      <c r="H50" s="47">
        <v>771</v>
      </c>
      <c r="I50" s="47">
        <v>748</v>
      </c>
      <c r="J50" s="31" t="s">
        <v>238</v>
      </c>
      <c r="K50" s="47">
        <v>575</v>
      </c>
      <c r="L50" s="157" t="s">
        <v>51</v>
      </c>
      <c r="M50" s="158">
        <f t="shared" si="8"/>
        <v>91.343999999999994</v>
      </c>
      <c r="N50" s="159" t="str">
        <f>VLOOKUP(C50,'Trips&amp;Operators'!$C$1:$E$99999,3,FALSE)</f>
        <v>HILLS</v>
      </c>
      <c r="O50" s="184" t="s">
        <v>231</v>
      </c>
      <c r="P50" s="160"/>
      <c r="Q50" s="31"/>
      <c r="R50" s="100" t="str">
        <f>VLOOKUP(C50,'Train Runs'!$A$13:$AE$10021,31,0)</f>
        <v>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 &amp; 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</v>
      </c>
      <c r="S50" s="103" t="str">
        <f>VLOOKUP(C50,'Train Runs'!$A$13:$AE$10021,22,0)</f>
        <v>https://search-rtdc-monitor-bjffxe2xuh6vdkpspy63sjmuny.us-east-1.es.amazonaws.com/_plugin/kibana/#/discover/Steve-Slow-Train-Analysis-(2080s-and-2083s)?_g=(refreshInterval:(display:Off,section:0,value:0),time:(from:'2016-10-27 19:37:45-0600',mode:absolute,to:'2016-10-27 21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50" s="105" t="str">
        <f t="shared" si="9"/>
        <v>"C:\Program Files (x86)\AstroGrep\AstroGrep.exe" /spath="%USERPROFILE%\AppData\Local\Temp\OnboardLogs" /stypes="*4041*201610280*" /stext=" 02:.+((SYSTEM_STATE.+slice.+state.+changed )|(ment ac)|(system.+state.+changed )|(\[timeout)|(PRM\|1\|D)|(kpr)|(kdp)|(\|lc)|(penalty))" /e /r /s</v>
      </c>
      <c r="U50" s="9" t="str">
        <f t="shared" si="10"/>
        <v>4041</v>
      </c>
      <c r="V50" s="36">
        <f t="shared" si="11"/>
        <v>42671.124444444446</v>
      </c>
      <c r="W50" s="50" t="str">
        <f t="shared" si="12"/>
        <v>NW</v>
      </c>
      <c r="X50" s="50" t="str">
        <f t="shared" si="13"/>
        <v>KEEP</v>
      </c>
      <c r="Y50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{"issue":{"subject":"","project_id":79,"tracker_id":40,"status_id":1,"priority_id":2,"assigned_to_id":23,"start_date":"2016-10-27","description":"","custom_fields":[{"id":1,"name":"Subdivision","value":"NW"},{"id":4,"name":"Milepost","value":"0.0575"},{"id":17,"name":"Train ID","value":"842-27"},{"id":16,"name":"Locomotive ID","value":"4041"},{"id":130,"name":"Impact","value":""},{"id":150,"name":"Time of Event (Mountain Time)","value":"20:59:12"},{"id":151,"name":"Denver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 t="shared" si="15"/>
        <v>grep -hSE -A100 "Enforcement Action" "%USERPROFILE%\AppData\Local\Temp\OnboardLogs"\RTDC4041\*4041*201610280* | grep -SE "((Enforcement Ac)|(PRM))" -</v>
      </c>
      <c r="AD50" s="1"/>
    </row>
    <row r="51" spans="1:30" x14ac:dyDescent="0.25">
      <c r="A51" s="36">
        <v>42670.252615740741</v>
      </c>
      <c r="B51" s="31" t="s">
        <v>193</v>
      </c>
      <c r="C51" s="31" t="s">
        <v>389</v>
      </c>
      <c r="D51" s="31" t="s">
        <v>49</v>
      </c>
      <c r="E51" s="31" t="s">
        <v>237</v>
      </c>
      <c r="F51" s="47">
        <v>0</v>
      </c>
      <c r="G51" s="47">
        <v>53</v>
      </c>
      <c r="H51" s="47">
        <v>58901</v>
      </c>
      <c r="I51" s="47">
        <v>58946</v>
      </c>
      <c r="J51" s="31" t="s">
        <v>238</v>
      </c>
      <c r="K51" s="47">
        <v>59048</v>
      </c>
      <c r="L51" s="157" t="s">
        <v>50</v>
      </c>
      <c r="M51" s="158">
        <f t="shared" si="8"/>
        <v>53.856000000000002</v>
      </c>
      <c r="N51" s="159" t="str">
        <f>VLOOKUP(C51,'Trips&amp;Operators'!$C$1:$E$99999,3,FALSE)</f>
        <v>YORK</v>
      </c>
      <c r="O51" s="184" t="s">
        <v>231</v>
      </c>
      <c r="P51" s="160"/>
      <c r="Q51" s="31"/>
      <c r="R51" s="100" t="str">
        <f>VLOOKUP(C51,'Train Runs'!$A$13:$AE$10021,31,0)</f>
        <v>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 &amp; 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</v>
      </c>
      <c r="S51" s="103" t="str">
        <f>VLOOKUP(C51,'Train Runs'!$A$13:$AE$10021,22,0)</f>
        <v>https://search-rtdc-monitor-bjffxe2xuh6vdkpspy63sjmuny.us-east-1.es.amazonaws.com/_plugin/kibana/#/discover/Steve-Slow-Train-Analysis-(2080s-and-2083s)?_g=(refreshInterval:(display:Off,section:0,value:0),time:(from:'2016-10-27 04:29:02-0600',mode:absolute,to:'2016-10-27 07:03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51" s="105" t="str">
        <f t="shared" si="9"/>
        <v>"C:\Program Files (x86)\AstroGrep\AstroGrep.exe" /spath="%USERPROFILE%\AppData\Local\Temp\OnboardLogs" /stypes="*4009*201610271*" /stext=" 12:.+((SYSTEM_STATE.+slice.+state.+changed )|(ment ac)|(system.+state.+changed )|(\[timeout)|(PRM\|1\|D)|(kpr)|(kdp)|(\|lc)|(penalty))" /e /r /s</v>
      </c>
      <c r="U51" s="9" t="str">
        <f t="shared" si="10"/>
        <v>4009</v>
      </c>
      <c r="V51" s="36">
        <f t="shared" si="11"/>
        <v>42670.502615740741</v>
      </c>
      <c r="W51" s="50" t="str">
        <f t="shared" si="12"/>
        <v>NW</v>
      </c>
      <c r="X51" s="50" t="str">
        <f t="shared" si="13"/>
        <v>KEEP</v>
      </c>
      <c r="Y51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{"issue":{"subject":"","project_id":79,"tracker_id":40,"status_id":1,"priority_id":2,"assigned_to_id":23,"start_date":"2016-10-27","description":"","custom_fields":[{"id":1,"name":"Subdivision","value":"NW"},{"id":4,"name":"Milepost","value":"5.9048"},{"id":17,"name":"Train ID","value":"801-27"},{"id":16,"name":"Locomotive ID","value":"4009"},{"id":130,"name":"Impact","value":""},{"id":150,"name":"Time of Event (Mountain Time)","value":"06:03:46"},{"id":151,"name":"Denver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41" t="str">
        <f t="shared" si="15"/>
        <v>grep -hSE -A100 "Enforcement Action" "%USERPROFILE%\AppData\Local\Temp\OnboardLogs"\RTDC4009\*4009*201610271* | grep -SE "((Enforcement Ac)|(PRM))" -</v>
      </c>
      <c r="AD51" s="1"/>
    </row>
    <row r="52" spans="1:30" x14ac:dyDescent="0.25">
      <c r="A52" s="36">
        <v>42670.274363425924</v>
      </c>
      <c r="B52" s="31" t="s">
        <v>243</v>
      </c>
      <c r="C52" s="31" t="s">
        <v>390</v>
      </c>
      <c r="D52" s="31" t="s">
        <v>49</v>
      </c>
      <c r="E52" s="31" t="s">
        <v>237</v>
      </c>
      <c r="F52" s="47">
        <v>0</v>
      </c>
      <c r="G52" s="47">
        <v>24</v>
      </c>
      <c r="H52" s="47">
        <v>59022</v>
      </c>
      <c r="I52" s="47">
        <v>59031</v>
      </c>
      <c r="J52" s="31" t="s">
        <v>238</v>
      </c>
      <c r="K52" s="47">
        <v>59048</v>
      </c>
      <c r="L52" s="157" t="s">
        <v>50</v>
      </c>
      <c r="M52" s="158">
        <f t="shared" si="8"/>
        <v>8.9760000000000009</v>
      </c>
      <c r="N52" s="159" t="str">
        <f>VLOOKUP(C52,'Trips&amp;Operators'!$C$1:$E$99999,3,FALSE)</f>
        <v>LALONDE</v>
      </c>
      <c r="O52" s="184" t="s">
        <v>231</v>
      </c>
      <c r="P52" s="160"/>
      <c r="Q52" s="31"/>
      <c r="R52" s="100" t="str">
        <f>VLOOKUP(C52,'Train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52" s="103" t="str">
        <f>VLOOKUP(C52,'Train Runs'!$A$13:$AE$10021,22,0)</f>
        <v>https://search-rtdc-monitor-bjffxe2xuh6vdkpspy63sjmuny.us-east-1.es.amazonaws.com/_plugin/kibana/#/discover/Steve-Slow-Train-Analysis-(2080s-and-2083s)?_g=(refreshInterval:(display:Off,section:0,value:0),time:(from:'2016-10-27 05:10:09-0600',mode:absolute,to:'2016-10-27 07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2" s="105" t="str">
        <f t="shared" si="9"/>
        <v>"C:\Program Files (x86)\AstroGrep\AstroGrep.exe" /spath="%USERPROFILE%\AppData\Local\Temp\OnboardLogs" /stypes="*4042*201610271*" /stext=" 12:.+((SYSTEM_STATE.+slice.+state.+changed )|(ment ac)|(system.+state.+changed )|(\[timeout)|(PRM\|1\|D)|(kpr)|(kdp)|(\|lc)|(penalty))" /e /r /s</v>
      </c>
      <c r="U52" s="9" t="str">
        <f t="shared" si="10"/>
        <v>4042</v>
      </c>
      <c r="V52" s="36">
        <f t="shared" si="11"/>
        <v>42670.524363425924</v>
      </c>
      <c r="W52" s="50" t="str">
        <f t="shared" si="12"/>
        <v>NW</v>
      </c>
      <c r="X52" s="50" t="str">
        <f t="shared" si="13"/>
        <v>KEEP</v>
      </c>
      <c r="Y52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{"issue":{"subject":"","project_id":79,"tracker_id":40,"status_id":1,"priority_id":2,"assigned_to_id":23,"start_date":"2016-10-27","description":"","custom_fields":[{"id":1,"name":"Subdivision","value":"NW"},{"id":4,"name":"Milepost","value":"5.9048"},{"id":17,"name":"Train ID","value":"803-27"},{"id":16,"name":"Locomotive ID","value":"4042"},{"id":130,"name":"Impact","value":""},{"id":150,"name":"Time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41" t="str">
        <f t="shared" si="15"/>
        <v>grep -hSE -A100 "Enforcement Action" "%USERPROFILE%\AppData\Local\Temp\OnboardLogs"\RTDC4042\*4042*201610271* | grep -SE "((Enforcement Ac)|(PRM))" -</v>
      </c>
      <c r="AD52" s="1"/>
    </row>
    <row r="53" spans="1:30" x14ac:dyDescent="0.25">
      <c r="A53" s="36">
        <v>42670.357210648152</v>
      </c>
      <c r="B53" s="31" t="s">
        <v>243</v>
      </c>
      <c r="C53" s="31" t="s">
        <v>395</v>
      </c>
      <c r="D53" s="31" t="s">
        <v>49</v>
      </c>
      <c r="E53" s="31" t="s">
        <v>237</v>
      </c>
      <c r="F53" s="47">
        <v>0</v>
      </c>
      <c r="G53" s="47">
        <v>35</v>
      </c>
      <c r="H53" s="47">
        <v>58988</v>
      </c>
      <c r="I53" s="47">
        <v>59022</v>
      </c>
      <c r="J53" s="31" t="s">
        <v>238</v>
      </c>
      <c r="K53" s="47">
        <v>59048</v>
      </c>
      <c r="L53" s="157" t="s">
        <v>50</v>
      </c>
      <c r="M53" s="158">
        <f t="shared" si="8"/>
        <v>13.728</v>
      </c>
      <c r="N53" s="159" t="str">
        <f>VLOOKUP(C53,'Trips&amp;Operators'!$C$1:$E$99999,3,FALSE)</f>
        <v>LALONDE</v>
      </c>
      <c r="O53" s="184" t="s">
        <v>231</v>
      </c>
      <c r="P53" s="160"/>
      <c r="Q53" s="31"/>
      <c r="R53" s="100" t="str">
        <f>VLOOKUP(C53,'Train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53" s="103" t="str">
        <f>VLOOKUP(C53,'Train Runs'!$A$13:$AE$10021,22,0)</f>
        <v>https://search-rtdc-monitor-bjffxe2xuh6vdkpspy63sjmuny.us-east-1.es.amazonaws.com/_plugin/kibana/#/discover/Steve-Slow-Train-Analysis-(2080s-and-2083s)?_g=(refreshInterval:(display:Off,section:0,value:0),time:(from:'2016-10-27 06:59:53-0600',mode:absolute,to:'2016-10-27 09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3" s="105" t="str">
        <f t="shared" si="9"/>
        <v>"C:\Program Files (x86)\AstroGrep\AstroGrep.exe" /spath="%USERPROFILE%\AppData\Local\Temp\OnboardLogs" /stypes="*4042*201610271*" /stext=" 14:.+((SYSTEM_STATE.+slice.+state.+changed )|(ment ac)|(system.+state.+changed )|(\[timeout)|(PRM\|1\|D)|(kpr)|(kdp)|(\|lc)|(penalty))" /e /r /s</v>
      </c>
      <c r="U53" s="9" t="str">
        <f t="shared" si="10"/>
        <v>4042</v>
      </c>
      <c r="V53" s="36">
        <f t="shared" si="11"/>
        <v>42670.607210648152</v>
      </c>
      <c r="W53" s="50" t="str">
        <f t="shared" si="12"/>
        <v>NW</v>
      </c>
      <c r="X53" s="50" t="str">
        <f t="shared" si="13"/>
        <v>KEEP</v>
      </c>
      <c r="Y53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{"issue":{"subject":"","project_id":79,"tracker_id":40,"status_id":1,"priority_id":2,"assigned_to_id":23,"start_date":"2016-10-27","description":"","custom_fields":[{"id":1,"name":"Subdivision","value":"NW"},{"id":4,"name":"Milepost","value":"5.9048"},{"id":17,"name":"Train ID","value":"811-27"},{"id":16,"name":"Locomotive ID","value":"4042"},{"id":130,"name":"Impact","value":""},{"id":150,"name":"Time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41" t="str">
        <f t="shared" si="15"/>
        <v>grep -hSE -A100 "Enforcement Action" "%USERPROFILE%\AppData\Local\Temp\OnboardLogs"\RTDC4042\*4042*201610271* | grep -SE "((Enforcement Ac)|(PRM))" -</v>
      </c>
      <c r="AD53" s="1"/>
    </row>
    <row r="54" spans="1:30" x14ac:dyDescent="0.25">
      <c r="A54" s="36">
        <v>42670.649305555555</v>
      </c>
      <c r="B54" s="31" t="s">
        <v>243</v>
      </c>
      <c r="C54" s="31" t="s">
        <v>413</v>
      </c>
      <c r="D54" s="31" t="s">
        <v>49</v>
      </c>
      <c r="E54" s="31" t="s">
        <v>237</v>
      </c>
      <c r="F54" s="47">
        <v>0</v>
      </c>
      <c r="G54" s="47">
        <v>144</v>
      </c>
      <c r="H54" s="47">
        <v>57880</v>
      </c>
      <c r="I54" s="47">
        <v>58033</v>
      </c>
      <c r="J54" s="31" t="s">
        <v>238</v>
      </c>
      <c r="K54" s="47">
        <v>59048</v>
      </c>
      <c r="L54" s="157" t="s">
        <v>50</v>
      </c>
      <c r="M54" s="158">
        <f t="shared" si="8"/>
        <v>535.91999999999996</v>
      </c>
      <c r="N54" s="159" t="str">
        <f>VLOOKUP(C54,'Trips&amp;Operators'!$C$1:$E$99999,3,FALSE)</f>
        <v>HILLS</v>
      </c>
      <c r="O54" s="184" t="s">
        <v>231</v>
      </c>
      <c r="P54" s="160"/>
      <c r="Q54" s="31"/>
      <c r="R54" s="100" t="str">
        <f>VLOOKUP(C54,'Train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54" s="103" t="str">
        <f>VLOOKUP(C54,'Train Runs'!$A$13:$AE$10021,22,0)</f>
        <v>https://search-rtdc-monitor-bjffxe2xuh6vdkpspy63sjmuny.us-east-1.es.amazonaws.com/_plugin/kibana/#/discover/Steve-Slow-Train-Analysis-(2080s-and-2083s)?_g=(refreshInterval:(display:Off,section:0,value:0),time:(from:'2016-10-27 13:56:47-0600',mode:absolute,to:'2016-10-27 16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4" s="105" t="str">
        <f t="shared" si="9"/>
        <v>"C:\Program Files (x86)\AstroGrep\AstroGrep.exe" /spath="%USERPROFILE%\AppData\Local\Temp\OnboardLogs" /stypes="*4042*201610272*" /stext=" 21:.+((SYSTEM_STATE.+slice.+state.+changed )|(ment ac)|(system.+state.+changed )|(\[timeout)|(PRM\|1\|D)|(kpr)|(kdp)|(\|lc)|(penalty))" /e /r /s</v>
      </c>
      <c r="U54" s="9" t="str">
        <f t="shared" si="10"/>
        <v>4042</v>
      </c>
      <c r="V54" s="36">
        <f t="shared" si="11"/>
        <v>42670.899305555555</v>
      </c>
      <c r="W54" s="50" t="str">
        <f t="shared" si="12"/>
        <v>NW</v>
      </c>
      <c r="X54" s="50" t="str">
        <f t="shared" si="13"/>
        <v>KEEP</v>
      </c>
      <c r="Y54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{"issue":{"subject":"","project_id":79,"tracker_id":40,"status_id":1,"priority_id":2,"assigned_to_id":23,"start_date":"2016-10-27","description":"","custom_fields":[{"id":1,"name":"Subdivision","value":"NW"},{"id":4,"name":"Milepost","value":"5.9048"},{"id":17,"name":"Train ID","value":"825-27"},{"id":16,"name":"Locomotive ID","value":"4042"},{"id":130,"name":"Impact","value":""},{"id":150,"name":"Time of Event (Mountain Time)","value":"15:35:00"},{"id":151,"name":"Denver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41" t="str">
        <f t="shared" si="15"/>
        <v>grep -hSE -A100 "Enforcement Action" "%USERPROFILE%\AppData\Local\Temp\OnboardLogs"\RTDC4042\*4042*201610272* | grep -SE "((Enforcement Ac)|(PRM))" -</v>
      </c>
      <c r="AD54" s="1"/>
    </row>
    <row r="55" spans="1:30" x14ac:dyDescent="0.25">
      <c r="A55" s="36">
        <v>42670.650416666664</v>
      </c>
      <c r="B55" s="31" t="s">
        <v>243</v>
      </c>
      <c r="C55" s="31" t="s">
        <v>413</v>
      </c>
      <c r="D55" s="31" t="s">
        <v>49</v>
      </c>
      <c r="E55" s="31" t="s">
        <v>237</v>
      </c>
      <c r="F55" s="47">
        <v>0</v>
      </c>
      <c r="G55" s="47">
        <v>19</v>
      </c>
      <c r="H55" s="47">
        <v>58992</v>
      </c>
      <c r="I55" s="47">
        <v>59012</v>
      </c>
      <c r="J55" s="31" t="s">
        <v>238</v>
      </c>
      <c r="K55" s="47">
        <v>59048</v>
      </c>
      <c r="L55" s="157" t="s">
        <v>50</v>
      </c>
      <c r="M55" s="158">
        <f t="shared" si="8"/>
        <v>19.007999999999999</v>
      </c>
      <c r="N55" s="159" t="str">
        <f>VLOOKUP(C55,'Trips&amp;Operators'!$C$1:$E$99999,3,FALSE)</f>
        <v>HILLS</v>
      </c>
      <c r="O55" s="184" t="s">
        <v>231</v>
      </c>
      <c r="P55" s="160"/>
      <c r="Q55" s="31"/>
      <c r="R55" s="100" t="str">
        <f>VLOOKUP(C55,'Train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55" s="103" t="str">
        <f>VLOOKUP(C55,'Train Runs'!$A$13:$AE$10021,22,0)</f>
        <v>https://search-rtdc-monitor-bjffxe2xuh6vdkpspy63sjmuny.us-east-1.es.amazonaws.com/_plugin/kibana/#/discover/Steve-Slow-Train-Analysis-(2080s-and-2083s)?_g=(refreshInterval:(display:Off,section:0,value:0),time:(from:'2016-10-27 13:56:47-0600',mode:absolute,to:'2016-10-27 16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5" s="105" t="str">
        <f t="shared" si="9"/>
        <v>"C:\Program Files (x86)\AstroGrep\AstroGrep.exe" /spath="%USERPROFILE%\AppData\Local\Temp\OnboardLogs" /stypes="*4042*201610272*" /stext=" 21:.+((SYSTEM_STATE.+slice.+state.+changed )|(ment ac)|(system.+state.+changed )|(\[timeout)|(PRM\|1\|D)|(kpr)|(kdp)|(\|lc)|(penalty))" /e /r /s</v>
      </c>
      <c r="U55" s="9" t="str">
        <f t="shared" si="10"/>
        <v>4042</v>
      </c>
      <c r="V55" s="36">
        <f t="shared" si="11"/>
        <v>42670.900416666664</v>
      </c>
      <c r="W55" s="50" t="str">
        <f t="shared" si="12"/>
        <v>NW</v>
      </c>
      <c r="X55" s="50" t="str">
        <f t="shared" si="13"/>
        <v>KEEP</v>
      </c>
      <c r="Y55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{"issue":{"subject":"","project_id":79,"tracker_id":40,"status_id":1,"priority_id":2,"assigned_to_id":23,"start_date":"2016-10-27","description":"","custom_fields":[{"id":1,"name":"Subdivision","value":"NW"},{"id":4,"name":"Milepost","value":"5.9048"},{"id":17,"name":"Train ID","value":"825-27"},{"id":16,"name":"Locomotive ID","value":"4042"},{"id":130,"name":"Impact","value":""},{"id":150,"name":"Time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41" t="str">
        <f t="shared" si="15"/>
        <v>grep -hSE -A100 "Enforcement Action" "%USERPROFILE%\AppData\Local\Temp\OnboardLogs"\RTDC4042\*4042*201610272* | grep -SE "((Enforcement Ac)|(PRM))" -</v>
      </c>
      <c r="AD55" s="1"/>
    </row>
    <row r="56" spans="1:30" x14ac:dyDescent="0.25">
      <c r="A56" s="36">
        <v>42670.733935185184</v>
      </c>
      <c r="B56" s="31" t="s">
        <v>243</v>
      </c>
      <c r="C56" s="31" t="s">
        <v>417</v>
      </c>
      <c r="D56" s="31" t="s">
        <v>49</v>
      </c>
      <c r="E56" s="31" t="s">
        <v>237</v>
      </c>
      <c r="F56" s="47">
        <v>0</v>
      </c>
      <c r="G56" s="47">
        <v>91</v>
      </c>
      <c r="H56" s="47">
        <v>58747</v>
      </c>
      <c r="I56" s="47">
        <v>58843</v>
      </c>
      <c r="J56" s="31" t="s">
        <v>238</v>
      </c>
      <c r="K56" s="47">
        <v>59048</v>
      </c>
      <c r="L56" s="157" t="s">
        <v>50</v>
      </c>
      <c r="M56" s="158">
        <f t="shared" si="8"/>
        <v>108.24</v>
      </c>
      <c r="N56" s="159" t="str">
        <f>VLOOKUP(C56,'Trips&amp;Operators'!$C$1:$E$99999,3,FALSE)</f>
        <v>HILLS</v>
      </c>
      <c r="O56" s="184" t="s">
        <v>231</v>
      </c>
      <c r="P56" s="160"/>
      <c r="Q56" s="31"/>
      <c r="R56" s="100" t="str">
        <f>VLOOKUP(C56,'Train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56" s="103" t="str">
        <f>VLOOKUP(C56,'Train Runs'!$A$13:$AE$10021,22,0)</f>
        <v>https://search-rtdc-monitor-bjffxe2xuh6vdkpspy63sjmuny.us-east-1.es.amazonaws.com/_plugin/kibana/#/discover/Steve-Slow-Train-Analysis-(2080s-and-2083s)?_g=(refreshInterval:(display:Off,section:0,value:0),time:(from:'2016-10-27 15:57:49-0600',mode:absolute,to:'2016-10-27 18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6" s="105" t="str">
        <f t="shared" si="9"/>
        <v>"C:\Program Files (x86)\AstroGrep\AstroGrep.exe" /spath="%USERPROFILE%\AppData\Local\Temp\OnboardLogs" /stypes="*4042*201610272*" /stext=" 23:.+((SYSTEM_STATE.+slice.+state.+changed )|(ment ac)|(system.+state.+changed )|(\[timeout)|(PRM\|1\|D)|(kpr)|(kdp)|(\|lc)|(penalty))" /e /r /s</v>
      </c>
      <c r="U56" s="9" t="str">
        <f t="shared" si="10"/>
        <v>4042</v>
      </c>
      <c r="V56" s="36">
        <f t="shared" si="11"/>
        <v>42670.983935185184</v>
      </c>
      <c r="W56" s="50" t="str">
        <f t="shared" si="12"/>
        <v>NW</v>
      </c>
      <c r="X56" s="50" t="str">
        <f t="shared" si="13"/>
        <v>KEEP</v>
      </c>
      <c r="Y56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{"issue":{"subject":"","project_id":79,"tracker_id":40,"status_id":1,"priority_id":2,"assigned_to_id":23,"start_date":"2016-10-27","description":"","custom_fields":[{"id":1,"name":"Subdivision","value":"NW"},{"id":4,"name":"Milepost","value":"5.9048"},{"id":17,"name":"Train ID","value":"833-27"},{"id":16,"name":"Locomotive ID","value":"4042"},{"id":130,"name":"Impact","value":""},{"id":150,"name":"Time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41" t="str">
        <f t="shared" si="15"/>
        <v>grep -hSE -A100 "Enforcement Action" "%USERPROFILE%\AppData\Local\Temp\OnboardLogs"\RTDC4042\*4042*201610272* | grep -SE "((Enforcement Ac)|(PRM))" -</v>
      </c>
      <c r="AD56" s="1"/>
    </row>
    <row r="57" spans="1:30" x14ac:dyDescent="0.25">
      <c r="A57" s="36">
        <v>42670.734629629631</v>
      </c>
      <c r="B57" s="31" t="s">
        <v>243</v>
      </c>
      <c r="C57" s="31" t="s">
        <v>417</v>
      </c>
      <c r="D57" s="31" t="s">
        <v>49</v>
      </c>
      <c r="E57" s="31" t="s">
        <v>237</v>
      </c>
      <c r="F57" s="47">
        <v>0</v>
      </c>
      <c r="G57" s="47">
        <v>35</v>
      </c>
      <c r="H57" s="47">
        <v>58909</v>
      </c>
      <c r="I57" s="47">
        <v>58939</v>
      </c>
      <c r="J57" s="31" t="s">
        <v>238</v>
      </c>
      <c r="K57" s="47">
        <v>59048</v>
      </c>
      <c r="L57" s="157" t="s">
        <v>50</v>
      </c>
      <c r="M57" s="158">
        <f t="shared" si="8"/>
        <v>57.552</v>
      </c>
      <c r="N57" s="159" t="str">
        <f>VLOOKUP(C57,'Trips&amp;Operators'!$C$1:$E$99999,3,FALSE)</f>
        <v>HILLS</v>
      </c>
      <c r="O57" s="184" t="s">
        <v>231</v>
      </c>
      <c r="P57" s="160"/>
      <c r="Q57" s="31"/>
      <c r="R57" s="100" t="str">
        <f>VLOOKUP(C57,'Train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57" s="103" t="str">
        <f>VLOOKUP(C57,'Train Runs'!$A$13:$AE$10021,22,0)</f>
        <v>https://search-rtdc-monitor-bjffxe2xuh6vdkpspy63sjmuny.us-east-1.es.amazonaws.com/_plugin/kibana/#/discover/Steve-Slow-Train-Analysis-(2080s-and-2083s)?_g=(refreshInterval:(display:Off,section:0,value:0),time:(from:'2016-10-27 15:57:49-0600',mode:absolute,to:'2016-10-27 18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7" s="105" t="str">
        <f t="shared" si="9"/>
        <v>"C:\Program Files (x86)\AstroGrep\AstroGrep.exe" /spath="%USERPROFILE%\AppData\Local\Temp\OnboardLogs" /stypes="*4042*201610272*" /stext=" 23:.+((SYSTEM_STATE.+slice.+state.+changed )|(ment ac)|(system.+state.+changed )|(\[timeout)|(PRM\|1\|D)|(kpr)|(kdp)|(\|lc)|(penalty))" /e /r /s</v>
      </c>
      <c r="U57" s="9" t="str">
        <f t="shared" si="10"/>
        <v>4042</v>
      </c>
      <c r="V57" s="36">
        <f t="shared" si="11"/>
        <v>42670.984629629631</v>
      </c>
      <c r="W57" s="50" t="str">
        <f t="shared" si="12"/>
        <v>NW</v>
      </c>
      <c r="X57" s="50" t="str">
        <f t="shared" si="13"/>
        <v>KEEP</v>
      </c>
      <c r="Y57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{"issue":{"subject":"","project_id":79,"tracker_id":40,"status_id":1,"priority_id":2,"assigned_to_id":23,"start_date":"2016-10-27","description":"","custom_fields":[{"id":1,"name":"Subdivision","value":"NW"},{"id":4,"name":"Milepost","value":"5.9048"},{"id":17,"name":"Train ID","value":"833-27"},{"id":16,"name":"Locomotive ID","value":"4042"},{"id":130,"name":"Impact","value":""},{"id":150,"name":"Time of Event (Mountain Time)","value":"17:37:52"},{"id":151,"name":"Denver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41" t="str">
        <f t="shared" si="15"/>
        <v>grep -hSE -A100 "Enforcement Action" "%USERPROFILE%\AppData\Local\Temp\OnboardLogs"\RTDC4042\*4042*201610272* | grep -SE "((Enforcement Ac)|(PRM))" -</v>
      </c>
      <c r="AD57" s="1"/>
    </row>
    <row r="58" spans="1:30" x14ac:dyDescent="0.25">
      <c r="A58" s="36">
        <v>42670.775648148148</v>
      </c>
      <c r="B58" s="31" t="s">
        <v>243</v>
      </c>
      <c r="C58" s="31" t="s">
        <v>419</v>
      </c>
      <c r="D58" s="31" t="s">
        <v>49</v>
      </c>
      <c r="E58" s="31" t="s">
        <v>237</v>
      </c>
      <c r="F58" s="47">
        <v>0</v>
      </c>
      <c r="G58" s="47">
        <v>33</v>
      </c>
      <c r="H58" s="47">
        <v>58978</v>
      </c>
      <c r="I58" s="47">
        <v>58999</v>
      </c>
      <c r="J58" s="31" t="s">
        <v>238</v>
      </c>
      <c r="K58" s="47">
        <v>59048</v>
      </c>
      <c r="L58" s="157" t="s">
        <v>50</v>
      </c>
      <c r="M58" s="158">
        <f t="shared" si="8"/>
        <v>25.872</v>
      </c>
      <c r="N58" s="159" t="str">
        <f>VLOOKUP(C58,'Trips&amp;Operators'!$C$1:$E$99999,3,FALSE)</f>
        <v>HILLS</v>
      </c>
      <c r="O58" s="184" t="s">
        <v>231</v>
      </c>
      <c r="P58" s="160"/>
      <c r="Q58" s="31"/>
      <c r="R58" s="100" t="str">
        <f>VLOOKUP(C58,'Train Runs'!$A$13:$AE$10021,31,0)</f>
        <v>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 &amp; 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</v>
      </c>
      <c r="S58" s="103" t="str">
        <f>VLOOKUP(C58,'Train Runs'!$A$13:$AE$10021,22,0)</f>
        <v>https://search-rtdc-monitor-bjffxe2xuh6vdkpspy63sjmuny.us-east-1.es.amazonaws.com/_plugin/kibana/#/discover/Steve-Slow-Train-Analysis-(2080s-and-2083s)?_g=(refreshInterval:(display:Off,section:0,value:0),time:(from:'2016-10-27 17:00:25-0600',mode:absolute,to:'2016-10-27 19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8" s="105" t="str">
        <f t="shared" si="9"/>
        <v>"C:\Program Files (x86)\AstroGrep\AstroGrep.exe" /spath="%USERPROFILE%\AppData\Local\Temp\OnboardLogs" /stypes="*4042*201610280*" /stext=" 00:.+((SYSTEM_STATE.+slice.+state.+changed )|(ment ac)|(system.+state.+changed )|(\[timeout)|(PRM\|1\|D)|(kpr)|(kdp)|(\|lc)|(penalty))" /e /r /s</v>
      </c>
      <c r="U58" s="9" t="str">
        <f t="shared" si="10"/>
        <v>4042</v>
      </c>
      <c r="V58" s="36">
        <f t="shared" si="11"/>
        <v>42671.025648148148</v>
      </c>
      <c r="W58" s="50" t="str">
        <f t="shared" si="12"/>
        <v>NW</v>
      </c>
      <c r="X58" s="50" t="str">
        <f t="shared" si="13"/>
        <v>KEEP</v>
      </c>
      <c r="Y58" s="122" t="str">
        <f t="shared" si="14"/>
        <v>echo {"issue":{"subject":"","project_id":79,"tracker_id":40,"status_id":1,"priority_id":2,"assigned_to_id":23,"start_date":"2016-10-27","description":"","custom_fields":[{"id":1,"name":"Subdivision","value":"NW"},{"id":4,"name":"Milepost","value":"5.9048"},{"id":17,"name":"Train ID","value":"837-27"},{"id":16,"name":"Locomotive ID","value":"4042"},{"id":130,"name":"Impact","value":""},{"id":150,"name":"Time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41" t="str">
        <f t="shared" si="15"/>
        <v>grep -hSE -A100 "Enforcement Action" "%USERPROFILE%\AppData\Local\Temp\OnboardLogs"\RTDC4042\*4042*201610280* | grep -SE "((Enforcement Ac)|(PRM))" -</v>
      </c>
      <c r="AD58" s="1"/>
    </row>
    <row r="59" spans="1:30" x14ac:dyDescent="0.25">
      <c r="A59" s="36">
        <v>42670.172395833331</v>
      </c>
      <c r="B59" s="31" t="s">
        <v>383</v>
      </c>
      <c r="C59" s="31" t="s">
        <v>384</v>
      </c>
      <c r="D59" s="31" t="s">
        <v>49</v>
      </c>
      <c r="E59" s="31" t="s">
        <v>237</v>
      </c>
      <c r="F59" s="47">
        <v>0</v>
      </c>
      <c r="G59" s="47">
        <v>137</v>
      </c>
      <c r="H59" s="47">
        <v>611</v>
      </c>
      <c r="I59" s="47">
        <v>451</v>
      </c>
      <c r="J59" s="31" t="s">
        <v>238</v>
      </c>
      <c r="K59" s="47">
        <v>1</v>
      </c>
      <c r="L59" s="157" t="s">
        <v>51</v>
      </c>
      <c r="M59" s="158">
        <f t="shared" si="8"/>
        <v>237.6</v>
      </c>
      <c r="N59" s="159" t="str">
        <f>VLOOKUP(C59,'Trips&amp;Operators'!$C$1:$E$99999,3,FALSE)</f>
        <v>MALAVE</v>
      </c>
      <c r="O59" s="184" t="s">
        <v>231</v>
      </c>
      <c r="P59" s="160"/>
      <c r="Q59" s="31"/>
      <c r="R59" s="100" t="str">
        <f>VLOOKUP(C59,'Train Runs'!$A$13:$AE$10021,31,0)</f>
        <v>aws s3 cp s3://rtdc.mdm.uploadarchive.raw/RTDC4005/ "%USERPROFILE%\AppData\Local\Temp\OnboardLogs"\RTDC4005\2016-10-27 --exclude "*" --recursive --include "*20161027*" &amp; "%USERPROFILE%\Documents\GitHub\mrs-test-scripts\Headless Mode &amp; Sideloading\WalkAndUnGZ.bat" "%USERPROFILE%\AppData\Local\Temp\OnboardLogs"\RTDC4005\2016-10-27 &amp; 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</v>
      </c>
      <c r="S59" s="103" t="str">
        <f>VLOOKUP(C59,'Train Runs'!$A$13:$AE$10021,22,0)</f>
        <v>https://search-rtdc-monitor-bjffxe2xuh6vdkpspy63sjmuny.us-east-1.es.amazonaws.com/_plugin/kibana/#/discover/Steve-Slow-Train-Analysis-(2080s-and-2083s)?_g=(refreshInterval:(display:Off,section:0,value:0),time:(from:'2016-10-27 02:57:29-0600',mode:absolute,to:'2016-10-27 05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59" s="105" t="str">
        <f t="shared" si="9"/>
        <v>"C:\Program Files (x86)\AstroGrep\AstroGrep.exe" /spath="%USERPROFILE%\AppData\Local\Temp\OnboardLogs" /stypes="*4005*201610271*" /stext=" 10:.+((SYSTEM_STATE.+slice.+state.+changed )|(ment ac)|(system.+state.+changed )|(\[timeout)|(PRM\|1\|D)|(kpr)|(kdp)|(\|lc)|(penalty))" /e /r /s</v>
      </c>
      <c r="U59" s="9" t="str">
        <f t="shared" si="10"/>
        <v>4005</v>
      </c>
      <c r="V59" s="36">
        <f t="shared" si="11"/>
        <v>42670.422395833331</v>
      </c>
      <c r="W59" s="50" t="str">
        <f t="shared" si="12"/>
        <v>Other</v>
      </c>
      <c r="X59" s="50" t="str">
        <f t="shared" si="13"/>
        <v>KEEP</v>
      </c>
      <c r="Y59" s="122" t="str">
        <f t="shared" si="14"/>
        <v>echo {"issue":{"subject":"","project_id":79,"tracker_id":40,"status_id":1,"priority_id":2,"assigned_to_id":23,"start_date":"2016-10-27","description":"","custom_fields":[{"id":1,"name":"Subdivision","value":"Other"},{"id":4,"name":"Milepost","value":"0.0001"},{"id":17,"name":"Train ID","value":"306-27"},{"id":16,"name":"Locomotive ID","value":"4005"},{"id":130,"name":"Impact","value":""},{"id":150,"name":"Time of Event (Mountain Time)","value":"04:08:15"},{"id":151,"name":"Denver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41" t="str">
        <f t="shared" si="15"/>
        <v>grep -hSE -A100 "Enforcement Action" "%USERPROFILE%\AppData\Local\Temp\OnboardLogs"\RTDC4005\*4005*201610271* | grep -SE "((Enforcement Ac)|(PRM))" -</v>
      </c>
      <c r="AD59" s="1"/>
    </row>
    <row r="60" spans="1:30" x14ac:dyDescent="0.25">
      <c r="A60" s="36">
        <v>42670.745775462965</v>
      </c>
      <c r="B60" s="31" t="s">
        <v>302</v>
      </c>
      <c r="C60" s="31" t="s">
        <v>418</v>
      </c>
      <c r="D60" s="31" t="s">
        <v>98</v>
      </c>
      <c r="E60" s="31" t="s">
        <v>237</v>
      </c>
      <c r="F60" s="47">
        <v>0</v>
      </c>
      <c r="G60" s="47">
        <v>9</v>
      </c>
      <c r="H60" s="47">
        <v>825</v>
      </c>
      <c r="I60" s="47">
        <v>0</v>
      </c>
      <c r="J60" s="31" t="s">
        <v>238</v>
      </c>
      <c r="K60" s="47">
        <v>826</v>
      </c>
      <c r="L60" s="157" t="s">
        <v>51</v>
      </c>
      <c r="M60" s="158">
        <f t="shared" si="8"/>
        <v>-436.12799999999999</v>
      </c>
      <c r="N60" s="159" t="str">
        <f>VLOOKUP(C60,'Trips&amp;Operators'!$C$1:$E$99999,3,FALSE)</f>
        <v>MATTHEWS</v>
      </c>
      <c r="O60" s="184" t="s">
        <v>231</v>
      </c>
      <c r="P60" s="160"/>
      <c r="Q60" s="31"/>
      <c r="R60" s="100" t="str">
        <f>VLOOKUP(C60,'Train Runs'!$A$13:$AE$10021,31,0)</f>
        <v>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 &amp; aws s3 cp s3://rtdc.mdm.uploadarchive.raw/RTDC4045/ "%USERPROFILE%\AppData\Local\Temp\OnboardLogs"\RTDC4045\2016-10-28 --exclude "*" --recursive --include "*20161028*" &amp; "%USERPROFILE%\Documents\GitHub\mrs-test-scripts\Headless Mode &amp; Sideloading\WalkAndUnGZ.bat" "%USERPROFILE%\AppData\Local\Temp\OnboardLogs"\RTDC4045\2016-10-28</v>
      </c>
      <c r="S60" s="103" t="str">
        <f>VLOOKUP(C60,'Train Runs'!$A$13:$AE$10021,22,0)</f>
        <v>https://search-rtdc-monitor-bjffxe2xuh6vdkpspy63sjmuny.us-east-1.es.amazonaws.com/_plugin/kibana/#/discover/Steve-Slow-Train-Analysis-(2080s-and-2083s)?_g=(refreshInterval:(display:Off,section:0,value:0),time:(from:'2016-10-27 16:42:13-0600',mode:absolute,to:'2016-10-27 18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60" s="105" t="str">
        <f t="shared" si="9"/>
        <v>"C:\Program Files (x86)\AstroGrep\AstroGrep.exe" /spath="%USERPROFILE%\AppData\Local\Temp\OnboardLogs" /stypes="*4045*201610272*" /stext=" 23:.+((SYSTEM_STATE.+slice.+state.+changed )|(ment ac)|(system.+state.+changed )|(\[timeout)|(PRM\|1\|D)|(kpr)|(kdp)|(\|lc)|(penalty))" /e /r /s</v>
      </c>
      <c r="U60" s="9" t="str">
        <f t="shared" si="10"/>
        <v>4045</v>
      </c>
      <c r="V60" s="36">
        <f t="shared" si="11"/>
        <v>42670.995775462965</v>
      </c>
      <c r="W60" s="50" t="str">
        <f t="shared" si="12"/>
        <v>Other</v>
      </c>
      <c r="X60" s="50" t="str">
        <f t="shared" si="13"/>
        <v>OMIT</v>
      </c>
      <c r="Y60" s="122" t="str">
        <f t="shared" si="14"/>
        <v>echo {"issue":{"subject":"","project_id":79,"tracker_id":40,"status_id":1,"priority_id":2,"assigned_to_id":23,"start_date":"2016-10-27","description":"","custom_fields":[{"id":1,"name":"Subdivision","value":"Other"},{"id":4,"name":"Milepost","value":"0.0826"},{"id":17,"name":"Train ID","value":"56-27"},{"id":16,"name":"Locomotive ID","value":"4045"},{"id":130,"name":"Impact","value":""},{"id":150,"name":"Time of Event (Mountain Time)","value":"17:53:55"},{"id":151,"name":"Denver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41" t="str">
        <f t="shared" si="15"/>
        <v>grep -hSE -A100 "Enforcement Action" "%USERPROFILE%\AppData\Local\Temp\OnboardLogs"\RTDC4045\*4045*201610272* | grep -SE "((Enforcement Ac)|(PRM))" -</v>
      </c>
      <c r="AD60" s="1"/>
    </row>
  </sheetData>
  <autoFilter ref="A6:AC36">
    <sortState ref="A7:AC60">
      <sortCondition ref="W7:W60"/>
      <sortCondition ref="E7:E60"/>
      <sortCondition ref="K7:K60"/>
      <sortCondition ref="F7:F60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60">
    <cfRule type="cellIs" dxfId="1" priority="2" operator="equal">
      <formula>"Y"</formula>
    </cfRule>
  </conditionalFormatting>
  <conditionalFormatting sqref="A7:P60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AB7:AB60</xm:sqref>
        </x14:dataValidation>
        <x14:dataValidation type="list" allowBlank="1" showInputMessage="1" showErrorMessage="1">
          <x14:formula1>
            <xm:f>'Redmine List Values'!$A$2:$A$7</xm:f>
          </x14:formula1>
          <xm:sqref>AA7:AA60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:A5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2016-10-27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s="21" customFormat="1" x14ac:dyDescent="0.25">
      <c r="A3" s="180"/>
      <c r="B3" s="47" t="str">
        <f>A3&amp;"-"&amp;IF(DAY(Variables!$A$2)&lt;10,0,"")&amp;DAY(Variables!$A$2)</f>
        <v>-27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3" s="31" t="e">
        <f>VLOOKUP(B3,'Train Runs'!$A$13:$A$100018,1,FALSE)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-27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4" s="31" t="e">
        <f>VLOOKUP(B4,'Train Runs'!$A$13:$A$100018,1,FALSE)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-27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5" s="31" t="e">
        <f>VLOOKUP(B5,'Train Runs'!$A$13:$A$100018,1,FALSE)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-27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6" s="31" t="e">
        <f>VLOOKUP(B6,'Train Runs'!$A$13:$A$100018,1,FALSE)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-27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7" s="31" t="e">
        <f>VLOOKUP(B7,'Train Runs'!$A$13:$A$100018,1,FALSE)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-27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8" s="31" t="e">
        <f>VLOOKUP(B8,'Train Runs'!$A$13:$A$100018,1,FALSE)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-27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9" s="31" t="e">
        <f>VLOOKUP(B9,'Train Runs'!$A$13:$A$100018,1,FALSE)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-27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0" s="31" t="e">
        <f>VLOOKUP(B10,'Train Runs'!$A$13:$A$100018,1,FALSE)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-27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1" s="31" t="e">
        <f>VLOOKUP(B11,'Train Runs'!$A$13:$A$100018,1,FALSE)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-27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2" s="31" t="e">
        <f>VLOOKUP(B12,'Train Runs'!$A$13:$A$100018,1,FALSE)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-27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3" s="31" t="e">
        <f>VLOOKUP(B13,'Train Runs'!$A$13:$A$100018,1,FALSE)</f>
        <v>#N/A</v>
      </c>
      <c r="K13" s="21" t="e">
        <f t="shared" si="1"/>
        <v>#N/A</v>
      </c>
    </row>
    <row r="14" spans="1:11" x14ac:dyDescent="0.25">
      <c r="A14" s="180"/>
      <c r="B14" s="47" t="str">
        <f>A14&amp;"-"&amp;IF(DAY(Variables!$A$2)&lt;10,0,"")&amp;DAY(Variables!$A$2)</f>
        <v>-27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4" s="31" t="e">
        <f>VLOOKUP(B14,'Train Runs'!$A$13:$A$100018,1,FALSE)</f>
        <v>#N/A</v>
      </c>
      <c r="K14" s="21" t="e">
        <f t="shared" si="1"/>
        <v>#N/A</v>
      </c>
    </row>
    <row r="15" spans="1:11" x14ac:dyDescent="0.25">
      <c r="A15" s="180"/>
      <c r="B15" s="47" t="str">
        <f>A15&amp;"-"&amp;IF(DAY(Variables!$A$2)&lt;10,0,"")&amp;DAY(Variables!$A$2)</f>
        <v>-27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5" s="31" t="e">
        <f>VLOOKUP(B15,'Train Runs'!$A$13:$A$100018,1,FALSE)</f>
        <v>#N/A</v>
      </c>
      <c r="K15" s="21" t="e">
        <f t="shared" si="1"/>
        <v>#N/A</v>
      </c>
    </row>
    <row r="16" spans="1:11" x14ac:dyDescent="0.25">
      <c r="A16" s="180"/>
      <c r="B16" s="47" t="str">
        <f>A16&amp;"-"&amp;IF(DAY(Variables!$A$2)&lt;10,0,"")&amp;DAY(Variables!$A$2)</f>
        <v>-27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6" s="31" t="e">
        <f>VLOOKUP(B16,'Train Runs'!$A$13:$A$100018,1,FALSE)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183</v>
      </c>
      <c r="B1" s="21" t="s">
        <v>184</v>
      </c>
      <c r="C1" s="21" t="s">
        <v>0</v>
      </c>
      <c r="D1" s="21" t="s">
        <v>185</v>
      </c>
      <c r="E1" s="21" t="s">
        <v>186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42670.046909722223</v>
      </c>
      <c r="B2" s="21" t="s">
        <v>258</v>
      </c>
      <c r="C2" s="21" t="s">
        <v>338</v>
      </c>
      <c r="D2" s="21">
        <v>1230000</v>
      </c>
      <c r="E2" s="21" t="s">
        <v>209</v>
      </c>
      <c r="F2" s="21" t="str">
        <f t="shared" ref="F2:F65" si="0">B2</f>
        <v>rtdc.l.rtdc.4016:itc</v>
      </c>
      <c r="G2" s="8">
        <f t="shared" ref="G2:G65" si="1">A2</f>
        <v>42670.046909722223</v>
      </c>
    </row>
    <row r="3" spans="1:7" x14ac:dyDescent="0.25">
      <c r="A3" s="8">
        <v>42670.050486111111</v>
      </c>
      <c r="B3" s="21" t="s">
        <v>156</v>
      </c>
      <c r="C3" s="21" t="s">
        <v>339</v>
      </c>
      <c r="D3" s="21">
        <v>140000</v>
      </c>
      <c r="E3" s="21" t="s">
        <v>265</v>
      </c>
      <c r="F3" s="21" t="str">
        <f t="shared" si="0"/>
        <v>rtdc.l.rtdc.4051:itc</v>
      </c>
      <c r="G3" s="8">
        <f t="shared" si="1"/>
        <v>42670.050486111111</v>
      </c>
    </row>
    <row r="4" spans="1:7" x14ac:dyDescent="0.25">
      <c r="A4" s="8">
        <v>42670.051122685189</v>
      </c>
      <c r="B4" s="21" t="s">
        <v>156</v>
      </c>
      <c r="C4" s="21" t="s">
        <v>339</v>
      </c>
      <c r="D4" s="21">
        <v>140000</v>
      </c>
      <c r="E4" s="21" t="s">
        <v>265</v>
      </c>
      <c r="F4" s="21" t="str">
        <f t="shared" si="0"/>
        <v>rtdc.l.rtdc.4051:itc</v>
      </c>
      <c r="G4" s="8">
        <f t="shared" si="1"/>
        <v>42670.051122685189</v>
      </c>
    </row>
    <row r="5" spans="1:7" x14ac:dyDescent="0.25">
      <c r="A5" s="8">
        <v>42670.052442129629</v>
      </c>
      <c r="B5" s="21" t="s">
        <v>156</v>
      </c>
      <c r="C5" s="21" t="s">
        <v>339</v>
      </c>
      <c r="D5" s="21">
        <v>140000</v>
      </c>
      <c r="E5" s="21" t="s">
        <v>265</v>
      </c>
      <c r="F5" s="21" t="str">
        <f t="shared" si="0"/>
        <v>rtdc.l.rtdc.4051:itc</v>
      </c>
      <c r="G5" s="8">
        <f t="shared" si="1"/>
        <v>42670.052442129629</v>
      </c>
    </row>
    <row r="6" spans="1:7" x14ac:dyDescent="0.25">
      <c r="A6" s="8">
        <v>42670.053553240738</v>
      </c>
      <c r="B6" s="21" t="s">
        <v>302</v>
      </c>
      <c r="C6" s="21" t="s">
        <v>340</v>
      </c>
      <c r="D6" s="21">
        <v>2350000</v>
      </c>
      <c r="E6" s="21" t="s">
        <v>252</v>
      </c>
      <c r="F6" s="21" t="str">
        <f t="shared" si="0"/>
        <v>rtdc.l.rtdc.4045:itc</v>
      </c>
      <c r="G6" s="8">
        <f t="shared" si="1"/>
        <v>42670.053553240738</v>
      </c>
    </row>
    <row r="7" spans="1:7" x14ac:dyDescent="0.25">
      <c r="A7" s="8">
        <v>42670.069050925929</v>
      </c>
      <c r="B7" s="21" t="s">
        <v>305</v>
      </c>
      <c r="C7" s="21" t="s">
        <v>341</v>
      </c>
      <c r="D7" s="21">
        <v>1300000</v>
      </c>
      <c r="E7" s="21" t="s">
        <v>113</v>
      </c>
      <c r="F7" s="21" t="str">
        <f t="shared" si="0"/>
        <v>rtdc.l.rtdc.4031:itc</v>
      </c>
      <c r="G7" s="8">
        <f t="shared" si="1"/>
        <v>42670.069050925929</v>
      </c>
    </row>
    <row r="8" spans="1:7" x14ac:dyDescent="0.25">
      <c r="A8" s="8">
        <v>42670.079525462963</v>
      </c>
      <c r="B8" s="21" t="s">
        <v>157</v>
      </c>
      <c r="C8" s="21" t="s">
        <v>339</v>
      </c>
      <c r="D8" s="21">
        <v>140000</v>
      </c>
      <c r="E8" s="21" t="s">
        <v>265</v>
      </c>
      <c r="F8" s="21" t="str">
        <f t="shared" si="0"/>
        <v>rtdc.l.rtdc.4052:itc</v>
      </c>
      <c r="G8" s="8">
        <f t="shared" si="1"/>
        <v>42670.079525462963</v>
      </c>
    </row>
    <row r="9" spans="1:7" ht="15.75" thickBot="1" x14ac:dyDescent="0.3">
      <c r="A9" s="25">
        <v>42670.088055555556</v>
      </c>
      <c r="B9" s="21" t="s">
        <v>303</v>
      </c>
      <c r="C9" s="21" t="s">
        <v>342</v>
      </c>
      <c r="D9" s="21">
        <v>2350000</v>
      </c>
      <c r="E9" s="21" t="s">
        <v>252</v>
      </c>
      <c r="F9" s="21" t="str">
        <f t="shared" si="0"/>
        <v>rtdc.l.rtdc.4046:itc</v>
      </c>
      <c r="G9" s="8">
        <f t="shared" si="1"/>
        <v>42670.088055555556</v>
      </c>
    </row>
    <row r="10" spans="1:7" x14ac:dyDescent="0.25">
      <c r="A10" s="8">
        <v>42670.098923611113</v>
      </c>
      <c r="B10" s="21" t="s">
        <v>156</v>
      </c>
      <c r="C10" s="21" t="s">
        <v>339</v>
      </c>
      <c r="D10" s="21">
        <v>140000</v>
      </c>
      <c r="E10" s="21" t="s">
        <v>265</v>
      </c>
      <c r="F10" s="21" t="str">
        <f t="shared" si="0"/>
        <v>rtdc.l.rtdc.4051:itc</v>
      </c>
      <c r="G10" s="8">
        <f t="shared" si="1"/>
        <v>42670.098923611113</v>
      </c>
    </row>
    <row r="11" spans="1:7" x14ac:dyDescent="0.25">
      <c r="A11" s="8">
        <v>42670.117743055554</v>
      </c>
      <c r="B11" s="21" t="s">
        <v>157</v>
      </c>
      <c r="C11" s="21" t="s">
        <v>339</v>
      </c>
      <c r="D11" s="21">
        <v>140000</v>
      </c>
      <c r="E11" s="21" t="s">
        <v>265</v>
      </c>
      <c r="F11" s="21" t="str">
        <f t="shared" si="0"/>
        <v>rtdc.l.rtdc.4052:itc</v>
      </c>
      <c r="G11" s="8">
        <f t="shared" si="1"/>
        <v>42670.117743055554</v>
      </c>
    </row>
    <row r="12" spans="1:7" x14ac:dyDescent="0.25">
      <c r="A12" s="8">
        <v>42670.118460648147</v>
      </c>
      <c r="B12" s="21" t="s">
        <v>157</v>
      </c>
      <c r="C12" s="21" t="s">
        <v>339</v>
      </c>
      <c r="D12" s="21">
        <v>140000</v>
      </c>
      <c r="E12" s="21" t="s">
        <v>265</v>
      </c>
      <c r="F12" s="21" t="str">
        <f t="shared" si="0"/>
        <v>rtdc.l.rtdc.4052:itc</v>
      </c>
      <c r="G12" s="8">
        <f t="shared" si="1"/>
        <v>42670.118460648147</v>
      </c>
    </row>
    <row r="13" spans="1:7" x14ac:dyDescent="0.25">
      <c r="A13" s="8">
        <v>42670.120370370372</v>
      </c>
      <c r="B13" s="21" t="s">
        <v>304</v>
      </c>
      <c r="C13" s="21" t="s">
        <v>430</v>
      </c>
      <c r="D13" s="21">
        <v>2010000</v>
      </c>
      <c r="E13" s="21" t="s">
        <v>333</v>
      </c>
      <c r="F13" s="21" t="str">
        <f t="shared" si="0"/>
        <v>rtdc.l.rtdc.4008:itc</v>
      </c>
      <c r="G13" s="8">
        <f t="shared" si="1"/>
        <v>42670.120370370372</v>
      </c>
    </row>
    <row r="14" spans="1:7" x14ac:dyDescent="0.25">
      <c r="A14" s="8">
        <v>42670.130810185183</v>
      </c>
      <c r="B14" s="21" t="s">
        <v>290</v>
      </c>
      <c r="C14" s="21" t="s">
        <v>431</v>
      </c>
      <c r="D14" s="21">
        <v>2010000</v>
      </c>
      <c r="E14" s="21" t="s">
        <v>333</v>
      </c>
      <c r="F14" s="21" t="str">
        <f t="shared" si="0"/>
        <v>rtdc.l.rtdc.4002:itc</v>
      </c>
      <c r="G14" s="8">
        <f t="shared" si="1"/>
        <v>42670.130810185183</v>
      </c>
    </row>
    <row r="15" spans="1:7" x14ac:dyDescent="0.25">
      <c r="A15" s="8">
        <v>42670.135775462964</v>
      </c>
      <c r="B15" s="21" t="s">
        <v>156</v>
      </c>
      <c r="C15" s="21" t="s">
        <v>339</v>
      </c>
      <c r="D15" s="21">
        <v>140000</v>
      </c>
      <c r="E15" s="21" t="s">
        <v>265</v>
      </c>
      <c r="F15" s="21" t="str">
        <f t="shared" si="0"/>
        <v>rtdc.l.rtdc.4051:itc</v>
      </c>
      <c r="G15" s="8">
        <f t="shared" si="1"/>
        <v>42670.135775462964</v>
      </c>
    </row>
    <row r="16" spans="1:7" x14ac:dyDescent="0.25">
      <c r="A16" s="8">
        <v>42670.136597222219</v>
      </c>
      <c r="B16" s="21" t="s">
        <v>156</v>
      </c>
      <c r="C16" s="21" t="s">
        <v>339</v>
      </c>
      <c r="D16" s="21">
        <v>140000</v>
      </c>
      <c r="E16" s="21" t="s">
        <v>265</v>
      </c>
      <c r="F16" s="21" t="str">
        <f t="shared" si="0"/>
        <v>rtdc.l.rtdc.4051:itc</v>
      </c>
      <c r="G16" s="8">
        <f t="shared" si="1"/>
        <v>42670.136597222219</v>
      </c>
    </row>
    <row r="17" spans="1:7" x14ac:dyDescent="0.25">
      <c r="A17" s="8">
        <v>42670.137442129628</v>
      </c>
      <c r="B17" s="21" t="s">
        <v>156</v>
      </c>
      <c r="C17" s="21" t="s">
        <v>339</v>
      </c>
      <c r="D17" s="21">
        <v>140000</v>
      </c>
      <c r="E17" s="21" t="s">
        <v>265</v>
      </c>
      <c r="F17" s="21" t="str">
        <f t="shared" si="0"/>
        <v>rtdc.l.rtdc.4051:itc</v>
      </c>
      <c r="G17" s="8">
        <f t="shared" si="1"/>
        <v>42670.137442129628</v>
      </c>
    </row>
    <row r="18" spans="1:7" x14ac:dyDescent="0.25">
      <c r="A18" s="8">
        <v>42670.138726851852</v>
      </c>
      <c r="B18" s="21" t="s">
        <v>156</v>
      </c>
      <c r="C18" s="21" t="s">
        <v>339</v>
      </c>
      <c r="D18" s="21">
        <v>140000</v>
      </c>
      <c r="E18" s="21" t="s">
        <v>265</v>
      </c>
      <c r="F18" s="21" t="str">
        <f t="shared" si="0"/>
        <v>rtdc.l.rtdc.4051:itc</v>
      </c>
      <c r="G18" s="8">
        <f t="shared" si="1"/>
        <v>42670.138726851852</v>
      </c>
    </row>
    <row r="19" spans="1:7" x14ac:dyDescent="0.25">
      <c r="A19" s="8">
        <v>42670.144537037035</v>
      </c>
      <c r="B19" s="21" t="s">
        <v>397</v>
      </c>
      <c r="C19" s="21" t="s">
        <v>432</v>
      </c>
      <c r="D19" s="21">
        <v>1090000</v>
      </c>
      <c r="E19" s="21" t="s">
        <v>293</v>
      </c>
      <c r="F19" s="21" t="str">
        <f t="shared" si="0"/>
        <v>rtdc.l.rtdc.4013:itc</v>
      </c>
      <c r="G19" s="8">
        <f t="shared" si="1"/>
        <v>42670.144537037035</v>
      </c>
    </row>
    <row r="20" spans="1:7" x14ac:dyDescent="0.25">
      <c r="A20" s="8">
        <v>42670.155034722222</v>
      </c>
      <c r="B20" s="21" t="s">
        <v>332</v>
      </c>
      <c r="C20" s="21" t="s">
        <v>433</v>
      </c>
      <c r="D20" s="21">
        <v>1090000</v>
      </c>
      <c r="E20" s="21" t="s">
        <v>293</v>
      </c>
      <c r="F20" s="21" t="str">
        <f t="shared" si="0"/>
        <v>rtdc.l.rtdc.4040:itc</v>
      </c>
      <c r="G20" s="8">
        <f t="shared" si="1"/>
        <v>42670.155034722222</v>
      </c>
    </row>
    <row r="21" spans="1:7" x14ac:dyDescent="0.25">
      <c r="A21" s="8">
        <v>42670.164479166669</v>
      </c>
      <c r="B21" s="21" t="s">
        <v>157</v>
      </c>
      <c r="C21" s="21" t="s">
        <v>339</v>
      </c>
      <c r="D21" s="21">
        <v>140000</v>
      </c>
      <c r="E21" s="21" t="s">
        <v>265</v>
      </c>
      <c r="F21" s="21" t="str">
        <f t="shared" si="0"/>
        <v>rtdc.l.rtdc.4052:itc</v>
      </c>
      <c r="G21" s="8">
        <f t="shared" si="1"/>
        <v>42670.164479166669</v>
      </c>
    </row>
    <row r="22" spans="1:7" x14ac:dyDescent="0.25">
      <c r="A22" s="27">
        <v>42670.165381944447</v>
      </c>
      <c r="B22" s="21" t="s">
        <v>383</v>
      </c>
      <c r="C22" s="21" t="s">
        <v>384</v>
      </c>
      <c r="D22" s="21">
        <v>1310000</v>
      </c>
      <c r="E22" s="21" t="s">
        <v>434</v>
      </c>
      <c r="F22" s="21" t="str">
        <f t="shared" si="0"/>
        <v>rtdc.l.rtdc.4005:itc</v>
      </c>
      <c r="G22" s="8">
        <f t="shared" si="1"/>
        <v>42670.165381944447</v>
      </c>
    </row>
    <row r="23" spans="1:7" x14ac:dyDescent="0.25">
      <c r="A23" s="8">
        <v>42670.168009259258</v>
      </c>
      <c r="B23" s="21" t="s">
        <v>269</v>
      </c>
      <c r="C23" s="21" t="s">
        <v>435</v>
      </c>
      <c r="D23" s="21">
        <v>1760000</v>
      </c>
      <c r="E23" s="21" t="s">
        <v>334</v>
      </c>
      <c r="F23" s="21" t="str">
        <f t="shared" si="0"/>
        <v>rtdc.l.rtdc.4037:itc</v>
      </c>
      <c r="G23" s="8">
        <f t="shared" si="1"/>
        <v>42670.168009259258</v>
      </c>
    </row>
    <row r="24" spans="1:7" x14ac:dyDescent="0.25">
      <c r="A24" s="8">
        <v>42670.169930555552</v>
      </c>
      <c r="B24" s="21" t="s">
        <v>304</v>
      </c>
      <c r="C24" s="21" t="s">
        <v>436</v>
      </c>
      <c r="D24" s="21">
        <v>2010000</v>
      </c>
      <c r="E24" s="21" t="s">
        <v>333</v>
      </c>
      <c r="F24" s="21" t="str">
        <f t="shared" si="0"/>
        <v>rtdc.l.rtdc.4008:itc</v>
      </c>
      <c r="G24" s="8">
        <f t="shared" si="1"/>
        <v>42670.169930555552</v>
      </c>
    </row>
    <row r="25" spans="1:7" x14ac:dyDescent="0.25">
      <c r="A25" s="8">
        <v>42670.176215277781</v>
      </c>
      <c r="B25" s="21" t="s">
        <v>280</v>
      </c>
      <c r="C25" s="21" t="s">
        <v>437</v>
      </c>
      <c r="D25" s="21">
        <v>1310000</v>
      </c>
      <c r="E25" s="21" t="s">
        <v>434</v>
      </c>
      <c r="F25" s="21" t="str">
        <f t="shared" si="0"/>
        <v>rtdc.l.rtdc.4011:itc</v>
      </c>
      <c r="G25" s="8">
        <f t="shared" si="1"/>
        <v>42670.176215277781</v>
      </c>
    </row>
    <row r="26" spans="1:7" x14ac:dyDescent="0.25">
      <c r="A26" s="8">
        <v>42670.180694444447</v>
      </c>
      <c r="B26" s="21" t="s">
        <v>336</v>
      </c>
      <c r="C26" s="21" t="s">
        <v>438</v>
      </c>
      <c r="D26" s="21">
        <v>1760000</v>
      </c>
      <c r="E26" s="21" t="s">
        <v>334</v>
      </c>
      <c r="F26" s="21" t="str">
        <f t="shared" si="0"/>
        <v>rtdc.l.rtdc.4038:itc</v>
      </c>
      <c r="G26" s="8">
        <f t="shared" si="1"/>
        <v>42670.180694444447</v>
      </c>
    </row>
    <row r="27" spans="1:7" x14ac:dyDescent="0.25">
      <c r="A27" s="8">
        <v>42670.185856481483</v>
      </c>
      <c r="B27" s="21" t="s">
        <v>234</v>
      </c>
      <c r="C27" s="21" t="s">
        <v>439</v>
      </c>
      <c r="D27" s="21">
        <v>2560000</v>
      </c>
      <c r="E27" s="21" t="s">
        <v>440</v>
      </c>
      <c r="F27" s="21" t="str">
        <f t="shared" si="0"/>
        <v>rtdc.l.rtdc.4017:itc</v>
      </c>
      <c r="G27" s="8">
        <f t="shared" si="1"/>
        <v>42670.185856481483</v>
      </c>
    </row>
    <row r="28" spans="1:7" x14ac:dyDescent="0.25">
      <c r="A28" s="8">
        <v>42670.193402777775</v>
      </c>
      <c r="B28" s="21" t="s">
        <v>304</v>
      </c>
      <c r="C28" s="21" t="s">
        <v>436</v>
      </c>
      <c r="D28" s="21">
        <v>2010000</v>
      </c>
      <c r="E28" s="21" t="s">
        <v>333</v>
      </c>
      <c r="F28" s="21" t="str">
        <f t="shared" si="0"/>
        <v>rtdc.l.rtdc.4008:itc</v>
      </c>
      <c r="G28" s="8">
        <f t="shared" si="1"/>
        <v>42670.193402777775</v>
      </c>
    </row>
    <row r="29" spans="1:7" x14ac:dyDescent="0.25">
      <c r="A29" s="8">
        <v>42670.194664351853</v>
      </c>
      <c r="B29" s="21" t="s">
        <v>187</v>
      </c>
      <c r="C29" s="21" t="s">
        <v>441</v>
      </c>
      <c r="D29" s="21">
        <v>2560000</v>
      </c>
      <c r="E29" s="21" t="s">
        <v>440</v>
      </c>
      <c r="F29" s="21" t="str">
        <f t="shared" si="0"/>
        <v>rtdc.l.rtdc.4018:itc</v>
      </c>
      <c r="G29" s="8">
        <f t="shared" si="1"/>
        <v>42670.194664351853</v>
      </c>
    </row>
    <row r="30" spans="1:7" x14ac:dyDescent="0.25">
      <c r="A30" s="8">
        <v>42670.194907407407</v>
      </c>
      <c r="B30" s="21" t="s">
        <v>397</v>
      </c>
      <c r="C30" s="21" t="s">
        <v>442</v>
      </c>
      <c r="D30" s="21">
        <v>1090000</v>
      </c>
      <c r="E30" s="21" t="s">
        <v>293</v>
      </c>
      <c r="F30" s="21" t="str">
        <f t="shared" si="0"/>
        <v>rtdc.l.rtdc.4013:itc</v>
      </c>
      <c r="G30" s="8">
        <f t="shared" si="1"/>
        <v>42670.194907407407</v>
      </c>
    </row>
    <row r="31" spans="1:7" x14ac:dyDescent="0.25">
      <c r="A31" s="8">
        <v>42670.205023148148</v>
      </c>
      <c r="B31" s="21" t="s">
        <v>443</v>
      </c>
      <c r="C31" s="21" t="s">
        <v>444</v>
      </c>
      <c r="D31" s="21">
        <v>1110000</v>
      </c>
      <c r="E31" s="21" t="s">
        <v>286</v>
      </c>
      <c r="F31" s="21" t="str">
        <f t="shared" si="0"/>
        <v>rtdc.l.rtdc.4022:itc</v>
      </c>
      <c r="G31" s="8">
        <f t="shared" si="1"/>
        <v>42670.205023148148</v>
      </c>
    </row>
    <row r="32" spans="1:7" x14ac:dyDescent="0.25">
      <c r="A32" s="8">
        <v>42670.207442129627</v>
      </c>
      <c r="B32" s="21" t="s">
        <v>193</v>
      </c>
      <c r="C32" s="21" t="s">
        <v>445</v>
      </c>
      <c r="D32" s="21">
        <v>1830000</v>
      </c>
      <c r="E32" s="21" t="s">
        <v>446</v>
      </c>
      <c r="F32" s="21" t="str">
        <f t="shared" si="0"/>
        <v>rtdc.l.rtdc.4009:itc</v>
      </c>
      <c r="G32" s="8">
        <f t="shared" si="1"/>
        <v>42670.207442129627</v>
      </c>
    </row>
    <row r="33" spans="1:7" x14ac:dyDescent="0.25">
      <c r="A33" s="8">
        <v>42670.213692129626</v>
      </c>
      <c r="B33" s="21" t="s">
        <v>290</v>
      </c>
      <c r="C33" s="21" t="s">
        <v>447</v>
      </c>
      <c r="D33" s="21">
        <v>2010000</v>
      </c>
      <c r="E33" s="21" t="s">
        <v>333</v>
      </c>
      <c r="F33" s="21" t="str">
        <f t="shared" si="0"/>
        <v>rtdc.l.rtdc.4002:itc</v>
      </c>
      <c r="G33" s="8">
        <f t="shared" si="1"/>
        <v>42670.213692129626</v>
      </c>
    </row>
    <row r="34" spans="1:7" x14ac:dyDescent="0.25">
      <c r="A34" s="8">
        <v>42670.21503472222</v>
      </c>
      <c r="B34" s="21" t="s">
        <v>383</v>
      </c>
      <c r="C34" s="21" t="s">
        <v>448</v>
      </c>
      <c r="D34" s="21">
        <v>1310000</v>
      </c>
      <c r="E34" s="21" t="s">
        <v>434</v>
      </c>
      <c r="F34" s="21" t="str">
        <f t="shared" si="0"/>
        <v>rtdc.l.rtdc.4005:itc</v>
      </c>
      <c r="G34" s="8">
        <f t="shared" si="1"/>
        <v>42670.21503472222</v>
      </c>
    </row>
    <row r="35" spans="1:7" x14ac:dyDescent="0.25">
      <c r="A35" s="8">
        <v>42670.216226851851</v>
      </c>
      <c r="B35" s="21" t="s">
        <v>192</v>
      </c>
      <c r="C35" s="21" t="s">
        <v>385</v>
      </c>
      <c r="D35" s="21">
        <v>1830000</v>
      </c>
      <c r="E35" s="21" t="s">
        <v>446</v>
      </c>
      <c r="F35" s="21" t="str">
        <f t="shared" si="0"/>
        <v>rtdc.l.rtdc.4010:itc</v>
      </c>
      <c r="G35" s="8">
        <f t="shared" si="1"/>
        <v>42670.216226851851</v>
      </c>
    </row>
    <row r="36" spans="1:7" x14ac:dyDescent="0.25">
      <c r="A36" s="8">
        <v>42670.223819444444</v>
      </c>
      <c r="B36" s="21" t="s">
        <v>196</v>
      </c>
      <c r="C36" s="21" t="s">
        <v>449</v>
      </c>
      <c r="D36" s="21">
        <v>2450000</v>
      </c>
      <c r="E36" s="21" t="s">
        <v>306</v>
      </c>
      <c r="F36" s="21" t="str">
        <f t="shared" si="0"/>
        <v>rtdc.l.rtdc.4007:itc</v>
      </c>
      <c r="G36" s="8">
        <f t="shared" si="1"/>
        <v>42670.223819444444</v>
      </c>
    </row>
    <row r="37" spans="1:7" x14ac:dyDescent="0.25">
      <c r="A37" s="8">
        <v>42670.224699074075</v>
      </c>
      <c r="B37" s="21" t="s">
        <v>269</v>
      </c>
      <c r="C37" s="21" t="s">
        <v>388</v>
      </c>
      <c r="D37" s="21">
        <v>1760000</v>
      </c>
      <c r="E37" s="21" t="s">
        <v>334</v>
      </c>
      <c r="F37" s="21" t="str">
        <f t="shared" si="0"/>
        <v>rtdc.l.rtdc.4037:itc</v>
      </c>
      <c r="G37" s="8">
        <f t="shared" si="1"/>
        <v>42670.224699074075</v>
      </c>
    </row>
    <row r="38" spans="1:7" x14ac:dyDescent="0.25">
      <c r="A38" s="8">
        <v>42670.228784722225</v>
      </c>
      <c r="B38" s="21" t="s">
        <v>193</v>
      </c>
      <c r="C38" s="21" t="s">
        <v>389</v>
      </c>
      <c r="D38" s="21">
        <v>1830000</v>
      </c>
      <c r="E38" s="21" t="s">
        <v>446</v>
      </c>
      <c r="F38" s="21" t="str">
        <f t="shared" si="0"/>
        <v>rtdc.l.rtdc.4009:itc</v>
      </c>
      <c r="G38" s="8">
        <f t="shared" si="1"/>
        <v>42670.228784722225</v>
      </c>
    </row>
    <row r="39" spans="1:7" x14ac:dyDescent="0.25">
      <c r="A39" s="8">
        <v>42670.235138888886</v>
      </c>
      <c r="B39" s="21" t="s">
        <v>234</v>
      </c>
      <c r="C39" s="21" t="s">
        <v>386</v>
      </c>
      <c r="D39" s="21">
        <v>2560000</v>
      </c>
      <c r="E39" s="21" t="s">
        <v>440</v>
      </c>
      <c r="F39" s="21" t="str">
        <f t="shared" si="0"/>
        <v>rtdc.l.rtdc.4017:itc</v>
      </c>
      <c r="G39" s="8">
        <f t="shared" si="1"/>
        <v>42670.235138888886</v>
      </c>
    </row>
    <row r="40" spans="1:7" x14ac:dyDescent="0.25">
      <c r="A40" s="8">
        <v>42670.237372685187</v>
      </c>
      <c r="B40" s="26" t="s">
        <v>332</v>
      </c>
      <c r="C40" s="21" t="s">
        <v>387</v>
      </c>
      <c r="D40" s="21">
        <v>1090000</v>
      </c>
      <c r="E40" s="21" t="s">
        <v>293</v>
      </c>
      <c r="F40" s="21" t="str">
        <f t="shared" si="0"/>
        <v>rtdc.l.rtdc.4040:itc</v>
      </c>
      <c r="G40" s="8">
        <f t="shared" si="1"/>
        <v>42670.237372685187</v>
      </c>
    </row>
    <row r="41" spans="1:7" x14ac:dyDescent="0.25">
      <c r="A41" s="8">
        <v>42670.241562499999</v>
      </c>
      <c r="B41" s="21" t="s">
        <v>401</v>
      </c>
      <c r="C41" s="21" t="s">
        <v>450</v>
      </c>
      <c r="D41" s="21">
        <v>1240000</v>
      </c>
      <c r="E41" s="21" t="s">
        <v>295</v>
      </c>
      <c r="F41" s="21" t="str">
        <f t="shared" si="0"/>
        <v>rtdc.l.rtdc.4014:itc</v>
      </c>
      <c r="G41" s="8">
        <f t="shared" si="1"/>
        <v>42670.241562499999</v>
      </c>
    </row>
    <row r="42" spans="1:7" x14ac:dyDescent="0.25">
      <c r="A42" s="8">
        <v>42670.242766203701</v>
      </c>
      <c r="B42" s="21" t="s">
        <v>401</v>
      </c>
      <c r="C42" s="21" t="s">
        <v>450</v>
      </c>
      <c r="D42" s="21">
        <v>1240000</v>
      </c>
      <c r="E42" s="21" t="s">
        <v>295</v>
      </c>
      <c r="F42" s="21" t="str">
        <f t="shared" si="0"/>
        <v>rtdc.l.rtdc.4014:itc</v>
      </c>
      <c r="G42" s="8">
        <f t="shared" si="1"/>
        <v>42670.242766203701</v>
      </c>
    </row>
    <row r="43" spans="1:7" x14ac:dyDescent="0.25">
      <c r="A43" s="8">
        <v>42670.245856481481</v>
      </c>
      <c r="B43" s="21" t="s">
        <v>285</v>
      </c>
      <c r="C43" s="21" t="s">
        <v>451</v>
      </c>
      <c r="D43" s="21">
        <v>1110000</v>
      </c>
      <c r="E43" s="21" t="s">
        <v>286</v>
      </c>
      <c r="F43" s="21" t="str">
        <f t="shared" si="0"/>
        <v>rtdc.l.rtdc.4021:itc</v>
      </c>
      <c r="G43" s="8">
        <f t="shared" si="1"/>
        <v>42670.245856481481</v>
      </c>
    </row>
    <row r="44" spans="1:7" x14ac:dyDescent="0.25">
      <c r="A44" s="8">
        <v>42670.248159722221</v>
      </c>
      <c r="B44" s="21" t="s">
        <v>244</v>
      </c>
      <c r="C44" s="21" t="s">
        <v>452</v>
      </c>
      <c r="D44" s="21">
        <v>2530000</v>
      </c>
      <c r="E44" s="21" t="s">
        <v>453</v>
      </c>
      <c r="F44" s="21" t="str">
        <f t="shared" si="0"/>
        <v>rtdc.l.rtdc.4041:itc</v>
      </c>
      <c r="G44" s="8">
        <f t="shared" si="1"/>
        <v>42670.248159722221</v>
      </c>
    </row>
    <row r="45" spans="1:7" x14ac:dyDescent="0.25">
      <c r="A45" s="8">
        <v>42670.248333333337</v>
      </c>
      <c r="B45" s="21" t="s">
        <v>269</v>
      </c>
      <c r="C45" s="21" t="s">
        <v>388</v>
      </c>
      <c r="D45" s="21">
        <v>1760000</v>
      </c>
      <c r="E45" s="21" t="s">
        <v>334</v>
      </c>
      <c r="F45" s="21" t="str">
        <f t="shared" si="0"/>
        <v>rtdc.l.rtdc.4037:itc</v>
      </c>
      <c r="G45" s="8">
        <f t="shared" si="1"/>
        <v>42670.248333333337</v>
      </c>
    </row>
    <row r="46" spans="1:7" x14ac:dyDescent="0.25">
      <c r="A46" s="8">
        <v>42670.253055555557</v>
      </c>
      <c r="B46" s="21" t="s">
        <v>291</v>
      </c>
      <c r="C46" s="21" t="s">
        <v>454</v>
      </c>
      <c r="D46" s="21">
        <v>2010000</v>
      </c>
      <c r="E46" s="21" t="s">
        <v>333</v>
      </c>
      <c r="F46" s="21" t="str">
        <f t="shared" si="0"/>
        <v>rtdc.l.rtdc.4001:itc</v>
      </c>
      <c r="G46" s="8">
        <f t="shared" si="1"/>
        <v>42670.253055555557</v>
      </c>
    </row>
    <row r="47" spans="1:7" x14ac:dyDescent="0.25">
      <c r="A47" s="8">
        <v>42670.254861111112</v>
      </c>
      <c r="B47" s="21" t="s">
        <v>192</v>
      </c>
      <c r="C47" s="21" t="s">
        <v>455</v>
      </c>
      <c r="D47" s="21">
        <v>1830000</v>
      </c>
      <c r="E47" s="21" t="s">
        <v>446</v>
      </c>
      <c r="F47" s="21" t="str">
        <f t="shared" si="0"/>
        <v>rtdc.l.rtdc.4010:itc</v>
      </c>
      <c r="G47" s="8">
        <f t="shared" si="1"/>
        <v>42670.254861111112</v>
      </c>
    </row>
    <row r="48" spans="1:7" x14ac:dyDescent="0.25">
      <c r="A48" s="8">
        <v>42670.2580787037</v>
      </c>
      <c r="B48" s="21" t="s">
        <v>243</v>
      </c>
      <c r="C48" s="21" t="s">
        <v>390</v>
      </c>
      <c r="D48" s="21">
        <v>2530000</v>
      </c>
      <c r="E48" s="21" t="s">
        <v>453</v>
      </c>
      <c r="F48" s="21" t="str">
        <f t="shared" si="0"/>
        <v>rtdc.l.rtdc.4042:itc</v>
      </c>
      <c r="G48" s="8">
        <f t="shared" si="1"/>
        <v>42670.2580787037</v>
      </c>
    </row>
    <row r="49" spans="1:7" x14ac:dyDescent="0.25">
      <c r="A49" s="8">
        <v>42670.2653125</v>
      </c>
      <c r="B49" s="21" t="s">
        <v>336</v>
      </c>
      <c r="C49" s="21" t="s">
        <v>391</v>
      </c>
      <c r="D49" s="21">
        <v>1760000</v>
      </c>
      <c r="E49" s="21" t="s">
        <v>334</v>
      </c>
      <c r="F49" s="21" t="str">
        <f t="shared" si="0"/>
        <v>rtdc.l.rtdc.4038:itc</v>
      </c>
      <c r="G49" s="8">
        <f t="shared" si="1"/>
        <v>42670.2653125</v>
      </c>
    </row>
    <row r="50" spans="1:7" x14ac:dyDescent="0.25">
      <c r="A50" s="8">
        <v>42670.266608796293</v>
      </c>
      <c r="B50" s="21" t="s">
        <v>304</v>
      </c>
      <c r="C50" s="21" t="s">
        <v>456</v>
      </c>
      <c r="D50" s="21">
        <v>2450000</v>
      </c>
      <c r="E50" s="21" t="s">
        <v>306</v>
      </c>
      <c r="F50" s="21" t="str">
        <f t="shared" si="0"/>
        <v>rtdc.l.rtdc.4008:itc</v>
      </c>
      <c r="G50" s="8">
        <f t="shared" si="1"/>
        <v>42670.266608796293</v>
      </c>
    </row>
    <row r="51" spans="1:7" x14ac:dyDescent="0.25">
      <c r="A51" s="8">
        <v>42670.27615740741</v>
      </c>
      <c r="B51" s="21" t="s">
        <v>244</v>
      </c>
      <c r="C51" s="21" t="s">
        <v>457</v>
      </c>
      <c r="D51" s="21">
        <v>2530000</v>
      </c>
      <c r="E51" s="21" t="s">
        <v>453</v>
      </c>
      <c r="F51" s="21" t="str">
        <f t="shared" si="0"/>
        <v>rtdc.l.rtdc.4041:itc</v>
      </c>
      <c r="G51" s="8">
        <f t="shared" si="1"/>
        <v>42670.27615740741</v>
      </c>
    </row>
    <row r="52" spans="1:7" x14ac:dyDescent="0.25">
      <c r="A52" s="8">
        <v>42670.276805555557</v>
      </c>
      <c r="B52" s="21" t="s">
        <v>208</v>
      </c>
      <c r="C52" s="21" t="s">
        <v>458</v>
      </c>
      <c r="D52" s="21">
        <v>1090000</v>
      </c>
      <c r="E52" s="21" t="s">
        <v>293</v>
      </c>
      <c r="F52" s="21" t="str">
        <f t="shared" si="0"/>
        <v>rtdc.l.rtdc.4039:itc</v>
      </c>
      <c r="G52" s="8">
        <f t="shared" si="1"/>
        <v>42670.276805555557</v>
      </c>
    </row>
    <row r="53" spans="1:7" x14ac:dyDescent="0.25">
      <c r="A53" s="8">
        <v>42670.277731481481</v>
      </c>
      <c r="B53" s="21" t="s">
        <v>187</v>
      </c>
      <c r="C53" s="21" t="s">
        <v>459</v>
      </c>
      <c r="D53" s="21">
        <v>2560000</v>
      </c>
      <c r="E53" s="21" t="s">
        <v>440</v>
      </c>
      <c r="F53" s="21" t="str">
        <f t="shared" si="0"/>
        <v>rtdc.l.rtdc.4018:itc</v>
      </c>
      <c r="G53" s="8">
        <f t="shared" si="1"/>
        <v>42670.277731481481</v>
      </c>
    </row>
    <row r="54" spans="1:7" x14ac:dyDescent="0.25">
      <c r="A54" s="8">
        <v>42670.280300925922</v>
      </c>
      <c r="B54" s="21" t="s">
        <v>193</v>
      </c>
      <c r="C54" s="21" t="s">
        <v>460</v>
      </c>
      <c r="D54" s="21">
        <v>1830000</v>
      </c>
      <c r="E54" s="21" t="s">
        <v>446</v>
      </c>
      <c r="F54" s="21" t="str">
        <f t="shared" si="0"/>
        <v>rtdc.l.rtdc.4009:itc</v>
      </c>
      <c r="G54" s="8">
        <f t="shared" si="1"/>
        <v>42670.280300925922</v>
      </c>
    </row>
    <row r="55" spans="1:7" x14ac:dyDescent="0.25">
      <c r="A55" s="8">
        <v>42670.28392361111</v>
      </c>
      <c r="B55" s="21" t="s">
        <v>397</v>
      </c>
      <c r="C55" s="21" t="s">
        <v>461</v>
      </c>
      <c r="D55" s="21">
        <v>1240000</v>
      </c>
      <c r="E55" s="21" t="s">
        <v>295</v>
      </c>
      <c r="F55" s="21" t="str">
        <f t="shared" si="0"/>
        <v>rtdc.l.rtdc.4013:itc</v>
      </c>
      <c r="G55" s="8">
        <f t="shared" si="1"/>
        <v>42670.28392361111</v>
      </c>
    </row>
    <row r="56" spans="1:7" x14ac:dyDescent="0.25">
      <c r="A56" s="8">
        <v>42670.285115740742</v>
      </c>
      <c r="B56" s="21" t="s">
        <v>443</v>
      </c>
      <c r="C56" s="21" t="s">
        <v>462</v>
      </c>
      <c r="D56" s="21">
        <v>1110000</v>
      </c>
      <c r="E56" s="21" t="s">
        <v>286</v>
      </c>
      <c r="F56" s="21" t="str">
        <f t="shared" si="0"/>
        <v>rtdc.l.rtdc.4022:itc</v>
      </c>
      <c r="G56" s="8">
        <f t="shared" si="1"/>
        <v>42670.285115740742</v>
      </c>
    </row>
    <row r="57" spans="1:7" x14ac:dyDescent="0.25">
      <c r="A57" s="8">
        <v>42670.291365740741</v>
      </c>
      <c r="B57" s="21" t="s">
        <v>243</v>
      </c>
      <c r="C57" s="21" t="s">
        <v>463</v>
      </c>
      <c r="D57" s="21">
        <v>2530000</v>
      </c>
      <c r="E57" s="21" t="s">
        <v>453</v>
      </c>
      <c r="F57" s="21" t="str">
        <f t="shared" si="0"/>
        <v>rtdc.l.rtdc.4042:itc</v>
      </c>
      <c r="G57" s="8">
        <f t="shared" si="1"/>
        <v>42670.291365740741</v>
      </c>
    </row>
    <row r="58" spans="1:7" x14ac:dyDescent="0.25">
      <c r="A58" s="8">
        <v>42670.295277777775</v>
      </c>
      <c r="B58" s="21" t="s">
        <v>290</v>
      </c>
      <c r="C58" s="21" t="s">
        <v>392</v>
      </c>
      <c r="D58" s="21">
        <v>2010000</v>
      </c>
      <c r="E58" s="21" t="s">
        <v>333</v>
      </c>
      <c r="F58" s="21" t="str">
        <f t="shared" si="0"/>
        <v>rtdc.l.rtdc.4002:itc</v>
      </c>
      <c r="G58" s="8">
        <f t="shared" si="1"/>
        <v>42670.295277777775</v>
      </c>
    </row>
    <row r="59" spans="1:7" x14ac:dyDescent="0.25">
      <c r="A59" s="8">
        <v>42670.296782407408</v>
      </c>
      <c r="B59" s="21" t="s">
        <v>192</v>
      </c>
      <c r="C59" s="21" t="s">
        <v>464</v>
      </c>
      <c r="D59" s="21">
        <v>1830000</v>
      </c>
      <c r="E59" s="21" t="s">
        <v>446</v>
      </c>
      <c r="F59" s="21" t="str">
        <f t="shared" si="0"/>
        <v>rtdc.l.rtdc.4010:itc</v>
      </c>
      <c r="G59" s="8">
        <f t="shared" si="1"/>
        <v>42670.296782407408</v>
      </c>
    </row>
    <row r="60" spans="1:7" x14ac:dyDescent="0.25">
      <c r="A60" s="8">
        <v>42670.307685185187</v>
      </c>
      <c r="B60" s="21" t="s">
        <v>269</v>
      </c>
      <c r="C60" s="21" t="s">
        <v>393</v>
      </c>
      <c r="D60" s="21">
        <v>1760000</v>
      </c>
      <c r="E60" s="21" t="s">
        <v>334</v>
      </c>
      <c r="F60" s="21" t="str">
        <f t="shared" si="0"/>
        <v>rtdc.l.rtdc.4037:itc</v>
      </c>
      <c r="G60" s="8">
        <f t="shared" si="1"/>
        <v>42670.307685185187</v>
      </c>
    </row>
    <row r="61" spans="1:7" x14ac:dyDescent="0.25">
      <c r="A61" s="8">
        <v>42670.308483796296</v>
      </c>
      <c r="B61" s="21" t="s">
        <v>196</v>
      </c>
      <c r="C61" s="21" t="s">
        <v>465</v>
      </c>
      <c r="D61" s="21">
        <v>2450000</v>
      </c>
      <c r="E61" s="21" t="s">
        <v>306</v>
      </c>
      <c r="F61" s="21" t="str">
        <f t="shared" si="0"/>
        <v>rtdc.l.rtdc.4007:itc</v>
      </c>
      <c r="G61" s="8">
        <f t="shared" si="1"/>
        <v>42670.308483796296</v>
      </c>
    </row>
    <row r="62" spans="1:7" x14ac:dyDescent="0.25">
      <c r="A62" s="8">
        <v>42670.313472222224</v>
      </c>
      <c r="B62" s="21" t="s">
        <v>332</v>
      </c>
      <c r="C62" s="21" t="s">
        <v>466</v>
      </c>
      <c r="D62" s="21">
        <v>1090000</v>
      </c>
      <c r="E62" s="21" t="s">
        <v>293</v>
      </c>
      <c r="F62" s="21" t="str">
        <f t="shared" si="0"/>
        <v>rtdc.l.rtdc.4040:itc</v>
      </c>
      <c r="G62" s="8">
        <f t="shared" si="1"/>
        <v>42670.313472222224</v>
      </c>
    </row>
    <row r="63" spans="1:7" x14ac:dyDescent="0.25">
      <c r="A63" s="8">
        <v>42670.317384259259</v>
      </c>
      <c r="B63" s="21" t="s">
        <v>244</v>
      </c>
      <c r="C63" s="21" t="s">
        <v>467</v>
      </c>
      <c r="D63" s="21">
        <v>2530000</v>
      </c>
      <c r="E63" s="21" t="s">
        <v>453</v>
      </c>
      <c r="F63" s="21" t="str">
        <f t="shared" si="0"/>
        <v>rtdc.l.rtdc.4041:itc</v>
      </c>
      <c r="G63" s="8">
        <f t="shared" si="1"/>
        <v>42670.317384259259</v>
      </c>
    </row>
    <row r="64" spans="1:7" x14ac:dyDescent="0.25">
      <c r="A64" s="27">
        <v>42670.318611111114</v>
      </c>
      <c r="B64" s="21" t="s">
        <v>234</v>
      </c>
      <c r="C64" s="21" t="s">
        <v>468</v>
      </c>
      <c r="D64" s="21">
        <v>2560000</v>
      </c>
      <c r="E64" s="21" t="s">
        <v>440</v>
      </c>
      <c r="F64" s="21" t="str">
        <f t="shared" si="0"/>
        <v>rtdc.l.rtdc.4017:itc</v>
      </c>
      <c r="G64" s="8">
        <f t="shared" si="1"/>
        <v>42670.318611111114</v>
      </c>
    </row>
    <row r="65" spans="1:7" x14ac:dyDescent="0.25">
      <c r="A65" s="8">
        <v>42670.322824074072</v>
      </c>
      <c r="B65" s="21" t="s">
        <v>193</v>
      </c>
      <c r="C65" s="21" t="s">
        <v>469</v>
      </c>
      <c r="D65" s="21">
        <v>1830000</v>
      </c>
      <c r="E65" s="21" t="s">
        <v>446</v>
      </c>
      <c r="F65" s="21" t="str">
        <f t="shared" si="0"/>
        <v>rtdc.l.rtdc.4009:itc</v>
      </c>
      <c r="G65" s="8">
        <f t="shared" si="1"/>
        <v>42670.322824074072</v>
      </c>
    </row>
    <row r="66" spans="1:7" x14ac:dyDescent="0.25">
      <c r="A66" s="8">
        <v>42670.328020833331</v>
      </c>
      <c r="B66" s="21" t="s">
        <v>285</v>
      </c>
      <c r="C66" s="21" t="s">
        <v>470</v>
      </c>
      <c r="D66" s="21">
        <v>1110000</v>
      </c>
      <c r="E66" s="21" t="s">
        <v>286</v>
      </c>
      <c r="F66" s="21" t="str">
        <f t="shared" ref="F66:F129" si="2">B66</f>
        <v>rtdc.l.rtdc.4021:itc</v>
      </c>
      <c r="G66" s="8">
        <f t="shared" ref="G66:G129" si="3">A66</f>
        <v>42670.328020833331</v>
      </c>
    </row>
    <row r="67" spans="1:7" x14ac:dyDescent="0.25">
      <c r="A67" s="8">
        <v>42670.331875000003</v>
      </c>
      <c r="B67" s="21" t="s">
        <v>401</v>
      </c>
      <c r="C67" s="21" t="s">
        <v>471</v>
      </c>
      <c r="D67" s="21">
        <v>1310000</v>
      </c>
      <c r="E67" s="21" t="s">
        <v>434</v>
      </c>
      <c r="F67" s="21" t="str">
        <f t="shared" si="2"/>
        <v>rtdc.l.rtdc.4014:itc</v>
      </c>
      <c r="G67" s="8">
        <f t="shared" si="3"/>
        <v>42670.331875000003</v>
      </c>
    </row>
    <row r="68" spans="1:7" x14ac:dyDescent="0.25">
      <c r="A68" s="8">
        <v>42670.333796296298</v>
      </c>
      <c r="B68" s="21" t="s">
        <v>243</v>
      </c>
      <c r="C68" s="21" t="s">
        <v>395</v>
      </c>
      <c r="D68" s="21">
        <v>2530000</v>
      </c>
      <c r="E68" s="21" t="s">
        <v>453</v>
      </c>
      <c r="F68" s="21" t="str">
        <f t="shared" si="2"/>
        <v>rtdc.l.rtdc.4042:itc</v>
      </c>
      <c r="G68" s="8">
        <f t="shared" si="3"/>
        <v>42670.333796296298</v>
      </c>
    </row>
    <row r="69" spans="1:7" x14ac:dyDescent="0.25">
      <c r="A69" s="8">
        <v>42670.336458333331</v>
      </c>
      <c r="B69" s="21" t="s">
        <v>291</v>
      </c>
      <c r="C69" s="21" t="s">
        <v>472</v>
      </c>
      <c r="D69" s="21">
        <v>2010000</v>
      </c>
      <c r="E69" s="21" t="s">
        <v>333</v>
      </c>
      <c r="F69" s="21" t="str">
        <f t="shared" si="2"/>
        <v>rtdc.l.rtdc.4001:itc</v>
      </c>
      <c r="G69" s="8">
        <f t="shared" si="3"/>
        <v>42670.336458333331</v>
      </c>
    </row>
    <row r="70" spans="1:7" x14ac:dyDescent="0.25">
      <c r="A70" s="8">
        <v>42670.337233796294</v>
      </c>
      <c r="B70" s="21" t="s">
        <v>291</v>
      </c>
      <c r="C70" s="21" t="s">
        <v>472</v>
      </c>
      <c r="D70" s="21">
        <v>2010000</v>
      </c>
      <c r="E70" s="21" t="s">
        <v>333</v>
      </c>
      <c r="F70" s="21" t="str">
        <f t="shared" si="2"/>
        <v>rtdc.l.rtdc.4001:itc</v>
      </c>
      <c r="G70" s="8">
        <f t="shared" si="3"/>
        <v>42670.337233796294</v>
      </c>
    </row>
    <row r="71" spans="1:7" x14ac:dyDescent="0.25">
      <c r="A71" s="8">
        <v>42670.338391203702</v>
      </c>
      <c r="B71" s="21" t="s">
        <v>291</v>
      </c>
      <c r="C71" s="21" t="s">
        <v>472</v>
      </c>
      <c r="D71" s="21">
        <v>2010000</v>
      </c>
      <c r="E71" s="21" t="s">
        <v>333</v>
      </c>
      <c r="F71" s="21" t="str">
        <f t="shared" si="2"/>
        <v>rtdc.l.rtdc.4001:itc</v>
      </c>
      <c r="G71" s="8">
        <f t="shared" si="3"/>
        <v>42670.338391203702</v>
      </c>
    </row>
    <row r="72" spans="1:7" x14ac:dyDescent="0.25">
      <c r="A72" s="8">
        <v>42670.338900462964</v>
      </c>
      <c r="B72" s="21" t="s">
        <v>192</v>
      </c>
      <c r="C72" s="21" t="s">
        <v>394</v>
      </c>
      <c r="D72" s="21">
        <v>1830000</v>
      </c>
      <c r="E72" s="21" t="s">
        <v>446</v>
      </c>
      <c r="F72" s="21" t="str">
        <f t="shared" si="2"/>
        <v>rtdc.l.rtdc.4010:itc</v>
      </c>
      <c r="G72" s="8">
        <f t="shared" si="3"/>
        <v>42670.338900462964</v>
      </c>
    </row>
    <row r="73" spans="1:7" x14ac:dyDescent="0.25">
      <c r="A73" s="8">
        <v>42670.341840277775</v>
      </c>
      <c r="B73" s="21" t="s">
        <v>336</v>
      </c>
      <c r="C73" s="21" t="s">
        <v>396</v>
      </c>
      <c r="D73" s="21">
        <v>1760000</v>
      </c>
      <c r="E73" s="21" t="s">
        <v>334</v>
      </c>
      <c r="F73" s="21" t="str">
        <f t="shared" si="2"/>
        <v>rtdc.l.rtdc.4038:itc</v>
      </c>
      <c r="G73" s="8">
        <f t="shared" si="3"/>
        <v>42670.341840277775</v>
      </c>
    </row>
    <row r="74" spans="1:7" x14ac:dyDescent="0.25">
      <c r="A74" s="8">
        <v>42670.350590277776</v>
      </c>
      <c r="B74" s="21" t="s">
        <v>304</v>
      </c>
      <c r="C74" s="21" t="s">
        <v>473</v>
      </c>
      <c r="D74" s="21">
        <v>2450000</v>
      </c>
      <c r="E74" s="21" t="s">
        <v>306</v>
      </c>
      <c r="F74" s="21" t="str">
        <f t="shared" si="2"/>
        <v>rtdc.l.rtdc.4008:itc</v>
      </c>
      <c r="G74" s="8">
        <f t="shared" si="3"/>
        <v>42670.350590277776</v>
      </c>
    </row>
    <row r="75" spans="1:7" x14ac:dyDescent="0.25">
      <c r="A75" s="8">
        <v>42670.351215277777</v>
      </c>
      <c r="B75" s="21" t="s">
        <v>304</v>
      </c>
      <c r="C75" s="21" t="s">
        <v>473</v>
      </c>
      <c r="D75" s="21">
        <v>2450000</v>
      </c>
      <c r="E75" s="21" t="s">
        <v>306</v>
      </c>
      <c r="F75" s="21" t="str">
        <f t="shared" si="2"/>
        <v>rtdc.l.rtdc.4008:itc</v>
      </c>
      <c r="G75" s="8">
        <f t="shared" si="3"/>
        <v>42670.351215277777</v>
      </c>
    </row>
    <row r="76" spans="1:7" x14ac:dyDescent="0.25">
      <c r="A76" s="8">
        <v>42670.352384259262</v>
      </c>
      <c r="B76" s="21" t="s">
        <v>304</v>
      </c>
      <c r="C76" s="21" t="s">
        <v>473</v>
      </c>
      <c r="D76" s="21">
        <v>2450000</v>
      </c>
      <c r="E76" s="21" t="s">
        <v>306</v>
      </c>
      <c r="F76" s="21" t="str">
        <f t="shared" si="2"/>
        <v>rtdc.l.rtdc.4008:itc</v>
      </c>
      <c r="G76" s="8">
        <f t="shared" si="3"/>
        <v>42670.352384259262</v>
      </c>
    </row>
    <row r="77" spans="1:7" x14ac:dyDescent="0.25">
      <c r="A77" s="8">
        <v>42670.353275462963</v>
      </c>
      <c r="B77" s="21" t="s">
        <v>187</v>
      </c>
      <c r="C77" s="21" t="s">
        <v>474</v>
      </c>
      <c r="D77" s="21">
        <v>2560000</v>
      </c>
      <c r="E77" s="21" t="s">
        <v>440</v>
      </c>
      <c r="F77" s="21" t="str">
        <f t="shared" si="2"/>
        <v>rtdc.l.rtdc.4018:itc</v>
      </c>
      <c r="G77" s="8">
        <f t="shared" si="3"/>
        <v>42670.353275462963</v>
      </c>
    </row>
    <row r="78" spans="1:7" x14ac:dyDescent="0.25">
      <c r="A78" s="8">
        <v>42670.356030092589</v>
      </c>
      <c r="B78" s="21" t="s">
        <v>193</v>
      </c>
      <c r="C78" s="21" t="s">
        <v>475</v>
      </c>
      <c r="D78" s="21">
        <v>1830000</v>
      </c>
      <c r="E78" s="21" t="s">
        <v>446</v>
      </c>
      <c r="F78" s="21" t="str">
        <f t="shared" si="2"/>
        <v>rtdc.l.rtdc.4009:itc</v>
      </c>
      <c r="G78" s="8">
        <f t="shared" si="3"/>
        <v>42670.356030092589</v>
      </c>
    </row>
    <row r="79" spans="1:7" x14ac:dyDescent="0.25">
      <c r="A79" s="8">
        <v>42670.359375</v>
      </c>
      <c r="B79" s="21" t="s">
        <v>244</v>
      </c>
      <c r="C79" s="21" t="s">
        <v>476</v>
      </c>
      <c r="D79" s="21">
        <v>2530000</v>
      </c>
      <c r="E79" s="21" t="s">
        <v>453</v>
      </c>
      <c r="F79" s="21" t="str">
        <f t="shared" si="2"/>
        <v>rtdc.l.rtdc.4041:itc</v>
      </c>
      <c r="G79" s="8">
        <f t="shared" si="3"/>
        <v>42670.359375</v>
      </c>
    </row>
    <row r="80" spans="1:7" x14ac:dyDescent="0.25">
      <c r="A80" s="8">
        <v>42670.362013888887</v>
      </c>
      <c r="B80" s="21" t="s">
        <v>443</v>
      </c>
      <c r="C80" s="21" t="s">
        <v>477</v>
      </c>
      <c r="D80" s="21">
        <v>1110000</v>
      </c>
      <c r="E80" s="21" t="s">
        <v>286</v>
      </c>
      <c r="F80" s="21" t="str">
        <f t="shared" si="2"/>
        <v>rtdc.l.rtdc.4022:itc</v>
      </c>
      <c r="G80" s="8">
        <f t="shared" si="3"/>
        <v>42670.362013888887</v>
      </c>
    </row>
    <row r="81" spans="1:7" x14ac:dyDescent="0.25">
      <c r="A81" s="8">
        <v>42670.362523148149</v>
      </c>
      <c r="B81" s="21" t="s">
        <v>208</v>
      </c>
      <c r="C81" s="21" t="s">
        <v>478</v>
      </c>
      <c r="D81" s="21">
        <v>1090000</v>
      </c>
      <c r="E81" s="21" t="s">
        <v>293</v>
      </c>
      <c r="F81" s="21" t="str">
        <f t="shared" si="2"/>
        <v>rtdc.l.rtdc.4039:itc</v>
      </c>
      <c r="G81" s="8">
        <f t="shared" si="3"/>
        <v>42670.362523148149</v>
      </c>
    </row>
    <row r="82" spans="1:7" x14ac:dyDescent="0.25">
      <c r="A82" s="8">
        <v>42670.369953703703</v>
      </c>
      <c r="B82" s="21" t="s">
        <v>290</v>
      </c>
      <c r="C82" s="21" t="s">
        <v>479</v>
      </c>
      <c r="D82" s="21">
        <v>2010000</v>
      </c>
      <c r="E82" s="21" t="s">
        <v>333</v>
      </c>
      <c r="F82" s="21" t="str">
        <f t="shared" si="2"/>
        <v>rtdc.l.rtdc.4002:itc</v>
      </c>
      <c r="G82" s="8">
        <f t="shared" si="3"/>
        <v>42670.369953703703</v>
      </c>
    </row>
    <row r="83" spans="1:7" x14ac:dyDescent="0.25">
      <c r="A83" s="8">
        <v>42670.371863425928</v>
      </c>
      <c r="B83" s="21" t="s">
        <v>397</v>
      </c>
      <c r="C83" s="21" t="s">
        <v>398</v>
      </c>
      <c r="D83" s="21">
        <v>1310000</v>
      </c>
      <c r="E83" s="21" t="s">
        <v>434</v>
      </c>
      <c r="F83" s="21" t="str">
        <f t="shared" si="2"/>
        <v>rtdc.l.rtdc.4013:itc</v>
      </c>
      <c r="G83" s="8">
        <f t="shared" si="3"/>
        <v>42670.371863425928</v>
      </c>
    </row>
    <row r="84" spans="1:7" x14ac:dyDescent="0.25">
      <c r="A84" s="8">
        <v>42670.373506944445</v>
      </c>
      <c r="B84" s="21" t="s">
        <v>243</v>
      </c>
      <c r="C84" s="21" t="s">
        <v>480</v>
      </c>
      <c r="D84" s="21">
        <v>2530000</v>
      </c>
      <c r="E84" s="21" t="s">
        <v>453</v>
      </c>
      <c r="F84" s="21" t="str">
        <f t="shared" si="2"/>
        <v>rtdc.l.rtdc.4042:itc</v>
      </c>
      <c r="G84" s="8">
        <f t="shared" si="3"/>
        <v>42670.373506944445</v>
      </c>
    </row>
    <row r="85" spans="1:7" x14ac:dyDescent="0.25">
      <c r="A85" s="8">
        <v>42670.378530092596</v>
      </c>
      <c r="B85" s="21" t="s">
        <v>269</v>
      </c>
      <c r="C85" s="21" t="s">
        <v>400</v>
      </c>
      <c r="D85" s="21">
        <v>1760000</v>
      </c>
      <c r="E85" s="21" t="s">
        <v>334</v>
      </c>
      <c r="F85" s="21" t="str">
        <f t="shared" si="2"/>
        <v>rtdc.l.rtdc.4037:itc</v>
      </c>
      <c r="G85" s="8">
        <f t="shared" si="3"/>
        <v>42670.378530092596</v>
      </c>
    </row>
    <row r="86" spans="1:7" x14ac:dyDescent="0.25">
      <c r="A86" s="8">
        <v>42670.382326388892</v>
      </c>
      <c r="B86" s="21" t="s">
        <v>196</v>
      </c>
      <c r="C86" s="21" t="s">
        <v>481</v>
      </c>
      <c r="D86" s="21">
        <v>2450000</v>
      </c>
      <c r="E86" s="21" t="s">
        <v>306</v>
      </c>
      <c r="F86" s="21" t="str">
        <f t="shared" si="2"/>
        <v>rtdc.l.rtdc.4007:itc</v>
      </c>
      <c r="G86" s="8">
        <f t="shared" si="3"/>
        <v>42670.382326388892</v>
      </c>
    </row>
    <row r="87" spans="1:7" x14ac:dyDescent="0.25">
      <c r="A87" s="8">
        <v>42670.392233796294</v>
      </c>
      <c r="B87" s="21" t="s">
        <v>234</v>
      </c>
      <c r="C87" s="21" t="s">
        <v>399</v>
      </c>
      <c r="D87" s="21">
        <v>2560000</v>
      </c>
      <c r="E87" s="21" t="s">
        <v>440</v>
      </c>
      <c r="F87" s="21" t="str">
        <f t="shared" si="2"/>
        <v>rtdc.l.rtdc.4017:itc</v>
      </c>
      <c r="G87" s="8">
        <f t="shared" si="3"/>
        <v>42670.392233796294</v>
      </c>
    </row>
    <row r="88" spans="1:7" x14ac:dyDescent="0.25">
      <c r="A88" s="8">
        <v>42670.392465277779</v>
      </c>
      <c r="B88" s="21" t="s">
        <v>332</v>
      </c>
      <c r="C88" s="21" t="s">
        <v>482</v>
      </c>
      <c r="D88" s="21">
        <v>1090000</v>
      </c>
      <c r="E88" s="21" t="s">
        <v>293</v>
      </c>
      <c r="F88" s="21" t="str">
        <f t="shared" si="2"/>
        <v>rtdc.l.rtdc.4040:itc</v>
      </c>
      <c r="G88" s="8">
        <f t="shared" si="3"/>
        <v>42670.392465277779</v>
      </c>
    </row>
    <row r="89" spans="1:7" x14ac:dyDescent="0.25">
      <c r="A89" s="8">
        <v>42670.400914351849</v>
      </c>
      <c r="B89" s="21" t="s">
        <v>244</v>
      </c>
      <c r="C89" s="21" t="s">
        <v>483</v>
      </c>
      <c r="D89" s="21">
        <v>2530000</v>
      </c>
      <c r="E89" s="21" t="s">
        <v>453</v>
      </c>
      <c r="F89" s="21" t="str">
        <f t="shared" si="2"/>
        <v>rtdc.l.rtdc.4041:itc</v>
      </c>
      <c r="G89" s="8">
        <f t="shared" si="3"/>
        <v>42670.400914351849</v>
      </c>
    </row>
    <row r="90" spans="1:7" x14ac:dyDescent="0.25">
      <c r="A90" s="8">
        <v>42670.401458333334</v>
      </c>
      <c r="B90" s="21" t="s">
        <v>285</v>
      </c>
      <c r="C90" s="21" t="s">
        <v>484</v>
      </c>
      <c r="D90" s="21">
        <v>1110000</v>
      </c>
      <c r="E90" s="21" t="s">
        <v>286</v>
      </c>
      <c r="F90" s="21" t="str">
        <f t="shared" si="2"/>
        <v>rtdc.l.rtdc.4021:itc</v>
      </c>
      <c r="G90" s="8">
        <f t="shared" si="3"/>
        <v>42670.401458333334</v>
      </c>
    </row>
    <row r="91" spans="1:7" x14ac:dyDescent="0.25">
      <c r="A91" s="8">
        <v>42670.405277777776</v>
      </c>
      <c r="B91" s="21" t="s">
        <v>401</v>
      </c>
      <c r="C91" s="21" t="s">
        <v>402</v>
      </c>
      <c r="D91" s="21">
        <v>1310000</v>
      </c>
      <c r="E91" s="21" t="s">
        <v>434</v>
      </c>
      <c r="F91" s="21" t="str">
        <f t="shared" si="2"/>
        <v>rtdc.l.rtdc.4014:itc</v>
      </c>
      <c r="G91" s="8">
        <f t="shared" si="3"/>
        <v>42670.405277777776</v>
      </c>
    </row>
    <row r="92" spans="1:7" x14ac:dyDescent="0.25">
      <c r="A92" s="8">
        <v>42670.406354166669</v>
      </c>
      <c r="B92" s="21" t="s">
        <v>291</v>
      </c>
      <c r="C92" s="21" t="s">
        <v>485</v>
      </c>
      <c r="D92" s="21">
        <v>2010000</v>
      </c>
      <c r="E92" s="21" t="s">
        <v>333</v>
      </c>
      <c r="F92" s="21" t="str">
        <f t="shared" si="2"/>
        <v>rtdc.l.rtdc.4001:itc</v>
      </c>
      <c r="G92" s="8">
        <f t="shared" si="3"/>
        <v>42670.406354166669</v>
      </c>
    </row>
    <row r="93" spans="1:7" x14ac:dyDescent="0.25">
      <c r="A93" s="8">
        <v>42670.413611111115</v>
      </c>
      <c r="B93" s="21" t="s">
        <v>304</v>
      </c>
      <c r="C93" s="21" t="s">
        <v>486</v>
      </c>
      <c r="D93" s="21">
        <v>2450000</v>
      </c>
      <c r="E93" s="21" t="s">
        <v>306</v>
      </c>
      <c r="F93" s="21" t="str">
        <f t="shared" si="2"/>
        <v>rtdc.l.rtdc.4008:itc</v>
      </c>
      <c r="G93" s="8">
        <f t="shared" si="3"/>
        <v>42670.413611111115</v>
      </c>
    </row>
    <row r="94" spans="1:7" x14ac:dyDescent="0.25">
      <c r="A94" s="8">
        <v>42670.414027777777</v>
      </c>
      <c r="B94" s="21" t="s">
        <v>336</v>
      </c>
      <c r="C94" s="21" t="s">
        <v>403</v>
      </c>
      <c r="D94" s="21">
        <v>1760000</v>
      </c>
      <c r="E94" s="21" t="s">
        <v>334</v>
      </c>
      <c r="F94" s="21" t="str">
        <f t="shared" si="2"/>
        <v>rtdc.l.rtdc.4038:itc</v>
      </c>
      <c r="G94" s="8">
        <f t="shared" si="3"/>
        <v>42670.414027777777</v>
      </c>
    </row>
    <row r="95" spans="1:7" x14ac:dyDescent="0.25">
      <c r="A95" s="8">
        <v>42670.415046296293</v>
      </c>
      <c r="B95" s="21" t="s">
        <v>243</v>
      </c>
      <c r="C95" s="21" t="s">
        <v>487</v>
      </c>
      <c r="D95" s="21">
        <v>2530000</v>
      </c>
      <c r="E95" s="21" t="s">
        <v>453</v>
      </c>
      <c r="F95" s="21" t="str">
        <f t="shared" si="2"/>
        <v>rtdc.l.rtdc.4042:itc</v>
      </c>
      <c r="G95" s="8">
        <f t="shared" si="3"/>
        <v>42670.415046296293</v>
      </c>
    </row>
    <row r="96" spans="1:7" x14ac:dyDescent="0.25">
      <c r="A96" s="8">
        <v>42670.427615740744</v>
      </c>
      <c r="B96" s="21" t="s">
        <v>187</v>
      </c>
      <c r="C96" s="21" t="s">
        <v>488</v>
      </c>
      <c r="D96" s="21">
        <v>2560000</v>
      </c>
      <c r="E96" s="21" t="s">
        <v>440</v>
      </c>
      <c r="F96" s="21" t="str">
        <f t="shared" si="2"/>
        <v>rtdc.l.rtdc.4018:itc</v>
      </c>
      <c r="G96" s="8">
        <f t="shared" si="3"/>
        <v>42670.427615740744</v>
      </c>
    </row>
    <row r="97" spans="1:7" x14ac:dyDescent="0.25">
      <c r="A97" s="8">
        <v>42670.429409722223</v>
      </c>
      <c r="B97" s="21" t="s">
        <v>208</v>
      </c>
      <c r="C97" s="21" t="s">
        <v>489</v>
      </c>
      <c r="D97" s="21">
        <v>1090000</v>
      </c>
      <c r="E97" s="21" t="s">
        <v>293</v>
      </c>
      <c r="F97" s="21" t="str">
        <f t="shared" si="2"/>
        <v>rtdc.l.rtdc.4039:itc</v>
      </c>
      <c r="G97" s="8">
        <f t="shared" si="3"/>
        <v>42670.429409722223</v>
      </c>
    </row>
    <row r="98" spans="1:7" x14ac:dyDescent="0.25">
      <c r="A98" s="8">
        <v>42670.432592592595</v>
      </c>
      <c r="B98" s="21" t="s">
        <v>443</v>
      </c>
      <c r="C98" s="21" t="s">
        <v>490</v>
      </c>
      <c r="D98" s="21">
        <v>1830000</v>
      </c>
      <c r="E98" s="21" t="s">
        <v>446</v>
      </c>
      <c r="F98" s="21" t="str">
        <f t="shared" si="2"/>
        <v>rtdc.l.rtdc.4022:itc</v>
      </c>
      <c r="G98" s="8">
        <f t="shared" si="3"/>
        <v>42670.432592592595</v>
      </c>
    </row>
    <row r="99" spans="1:7" x14ac:dyDescent="0.25">
      <c r="A99" s="8">
        <v>42670.437534722223</v>
      </c>
      <c r="B99" s="21" t="s">
        <v>239</v>
      </c>
      <c r="C99" s="21" t="s">
        <v>491</v>
      </c>
      <c r="D99" s="21">
        <v>2110000</v>
      </c>
      <c r="E99" s="21" t="s">
        <v>492</v>
      </c>
      <c r="F99" s="21" t="str">
        <f t="shared" si="2"/>
        <v>rtdc.l.rtdc.4028:itc</v>
      </c>
      <c r="G99" s="8">
        <f t="shared" si="3"/>
        <v>42670.437534722223</v>
      </c>
    </row>
    <row r="100" spans="1:7" x14ac:dyDescent="0.25">
      <c r="A100" s="8">
        <v>42670.442210648151</v>
      </c>
      <c r="B100" s="21" t="s">
        <v>244</v>
      </c>
      <c r="C100" s="21" t="s">
        <v>493</v>
      </c>
      <c r="D100" s="21">
        <v>2530000</v>
      </c>
      <c r="E100" s="21" t="s">
        <v>453</v>
      </c>
      <c r="F100" s="21" t="str">
        <f t="shared" si="2"/>
        <v>rtdc.l.rtdc.4041:itc</v>
      </c>
      <c r="G100" s="8">
        <f t="shared" si="3"/>
        <v>42670.442210648151</v>
      </c>
    </row>
    <row r="101" spans="1:7" x14ac:dyDescent="0.25">
      <c r="A101" s="8">
        <v>42670.443657407406</v>
      </c>
      <c r="B101" s="21" t="s">
        <v>290</v>
      </c>
      <c r="C101" s="21" t="s">
        <v>494</v>
      </c>
      <c r="D101" s="21">
        <v>1240000</v>
      </c>
      <c r="E101" s="21" t="s">
        <v>295</v>
      </c>
      <c r="F101" s="21" t="str">
        <f t="shared" si="2"/>
        <v>rtdc.l.rtdc.4002:itc</v>
      </c>
      <c r="G101" s="8">
        <f t="shared" si="3"/>
        <v>42670.443657407406</v>
      </c>
    </row>
    <row r="102" spans="1:7" x14ac:dyDescent="0.25">
      <c r="A102" s="8">
        <v>42670.443749999999</v>
      </c>
      <c r="B102" s="21" t="s">
        <v>397</v>
      </c>
      <c r="C102" s="21" t="s">
        <v>404</v>
      </c>
      <c r="D102" s="21">
        <v>1310000</v>
      </c>
      <c r="E102" s="21" t="s">
        <v>434</v>
      </c>
      <c r="F102" s="21" t="str">
        <f t="shared" si="2"/>
        <v>rtdc.l.rtdc.4013:itc</v>
      </c>
      <c r="G102" s="8">
        <f t="shared" si="3"/>
        <v>42670.443749999999</v>
      </c>
    </row>
    <row r="103" spans="1:7" x14ac:dyDescent="0.25">
      <c r="A103" s="8">
        <v>42670.450601851851</v>
      </c>
      <c r="B103" s="21" t="s">
        <v>269</v>
      </c>
      <c r="C103" s="21" t="s">
        <v>406</v>
      </c>
      <c r="D103" s="21">
        <v>1760000</v>
      </c>
      <c r="E103" s="21" t="s">
        <v>334</v>
      </c>
      <c r="F103" s="21" t="str">
        <f t="shared" si="2"/>
        <v>rtdc.l.rtdc.4037:itc</v>
      </c>
      <c r="G103" s="8">
        <f t="shared" si="3"/>
        <v>42670.450601851851</v>
      </c>
    </row>
    <row r="104" spans="1:7" x14ac:dyDescent="0.25">
      <c r="A104" s="8">
        <v>42670.45480324074</v>
      </c>
      <c r="B104" s="21" t="s">
        <v>196</v>
      </c>
      <c r="C104" s="21" t="s">
        <v>407</v>
      </c>
      <c r="D104" s="21">
        <v>940000</v>
      </c>
      <c r="E104" s="21" t="s">
        <v>294</v>
      </c>
      <c r="F104" s="21" t="str">
        <f t="shared" si="2"/>
        <v>rtdc.l.rtdc.4007:itc</v>
      </c>
      <c r="G104" s="8">
        <f t="shared" si="3"/>
        <v>42670.45480324074</v>
      </c>
    </row>
    <row r="105" spans="1:7" x14ac:dyDescent="0.25">
      <c r="A105" s="8">
        <v>42670.456782407404</v>
      </c>
      <c r="B105" s="21" t="s">
        <v>243</v>
      </c>
      <c r="C105" s="21" t="s">
        <v>495</v>
      </c>
      <c r="D105" s="21">
        <v>2530000</v>
      </c>
      <c r="E105" s="21" t="s">
        <v>453</v>
      </c>
      <c r="F105" s="21" t="str">
        <f t="shared" si="2"/>
        <v>rtdc.l.rtdc.4042:itc</v>
      </c>
      <c r="G105" s="8">
        <f t="shared" si="3"/>
        <v>42670.456782407404</v>
      </c>
    </row>
    <row r="106" spans="1:7" x14ac:dyDescent="0.25">
      <c r="A106" s="8">
        <v>42670.459432870368</v>
      </c>
      <c r="B106" s="21" t="s">
        <v>251</v>
      </c>
      <c r="C106" s="21" t="s">
        <v>496</v>
      </c>
      <c r="D106" s="21">
        <v>2040000</v>
      </c>
      <c r="E106" s="21" t="s">
        <v>337</v>
      </c>
      <c r="F106" s="21" t="str">
        <f t="shared" si="2"/>
        <v>rtdc.l.rtdc.4030:itc</v>
      </c>
      <c r="G106" s="8">
        <f t="shared" si="3"/>
        <v>42670.459432870368</v>
      </c>
    </row>
    <row r="107" spans="1:7" x14ac:dyDescent="0.25">
      <c r="A107" s="8">
        <v>42670.459907407407</v>
      </c>
      <c r="B107" s="21" t="s">
        <v>497</v>
      </c>
      <c r="C107" s="21" t="s">
        <v>498</v>
      </c>
      <c r="D107" s="21">
        <v>1190000</v>
      </c>
      <c r="E107" s="21" t="s">
        <v>292</v>
      </c>
      <c r="F107" s="21" t="str">
        <f t="shared" si="2"/>
        <v>rtdc.l.rtdc.4027:itc</v>
      </c>
      <c r="G107" s="8">
        <f t="shared" si="3"/>
        <v>42670.459907407407</v>
      </c>
    </row>
    <row r="108" spans="1:7" x14ac:dyDescent="0.25">
      <c r="A108" s="8">
        <v>42670.461030092592</v>
      </c>
      <c r="B108" s="21" t="s">
        <v>251</v>
      </c>
      <c r="C108" s="21" t="s">
        <v>496</v>
      </c>
      <c r="D108" s="21">
        <v>2040000</v>
      </c>
      <c r="E108" s="21" t="s">
        <v>337</v>
      </c>
      <c r="F108" s="21" t="str">
        <f t="shared" si="2"/>
        <v>rtdc.l.rtdc.4030:itc</v>
      </c>
      <c r="G108" s="8">
        <f t="shared" si="3"/>
        <v>42670.461030092592</v>
      </c>
    </row>
    <row r="109" spans="1:7" x14ac:dyDescent="0.25">
      <c r="A109" s="8">
        <v>42670.463356481479</v>
      </c>
      <c r="B109" s="21" t="s">
        <v>234</v>
      </c>
      <c r="C109" s="21" t="s">
        <v>405</v>
      </c>
      <c r="D109" s="21">
        <v>2560000</v>
      </c>
      <c r="E109" s="21" t="s">
        <v>440</v>
      </c>
      <c r="F109" s="21" t="str">
        <f t="shared" si="2"/>
        <v>rtdc.l.rtdc.4017:itc</v>
      </c>
      <c r="G109" s="8">
        <f t="shared" si="3"/>
        <v>42670.463356481479</v>
      </c>
    </row>
    <row r="110" spans="1:7" x14ac:dyDescent="0.25">
      <c r="A110" s="8">
        <v>42670.466273148151</v>
      </c>
      <c r="B110" s="21" t="s">
        <v>332</v>
      </c>
      <c r="C110" s="21" t="s">
        <v>499</v>
      </c>
      <c r="D110" s="21">
        <v>2020000</v>
      </c>
      <c r="E110" s="21" t="s">
        <v>500</v>
      </c>
      <c r="F110" s="21" t="str">
        <f t="shared" si="2"/>
        <v>rtdc.l.rtdc.4040:itc</v>
      </c>
      <c r="G110" s="8">
        <f t="shared" si="3"/>
        <v>42670.466273148151</v>
      </c>
    </row>
    <row r="111" spans="1:7" x14ac:dyDescent="0.25">
      <c r="A111" s="8">
        <v>42670.471053240741</v>
      </c>
      <c r="B111" s="21" t="s">
        <v>285</v>
      </c>
      <c r="C111" s="21" t="s">
        <v>501</v>
      </c>
      <c r="D111" s="21">
        <v>1830000</v>
      </c>
      <c r="E111" s="21" t="s">
        <v>446</v>
      </c>
      <c r="F111" s="21" t="str">
        <f t="shared" si="2"/>
        <v>rtdc.l.rtdc.4021:itc</v>
      </c>
      <c r="G111" s="8">
        <f t="shared" si="3"/>
        <v>42670.471053240741</v>
      </c>
    </row>
    <row r="112" spans="1:7" x14ac:dyDescent="0.25">
      <c r="A112" s="8">
        <v>42670.473773148151</v>
      </c>
      <c r="B112" s="21" t="s">
        <v>285</v>
      </c>
      <c r="C112" s="21" t="s">
        <v>501</v>
      </c>
      <c r="D112" s="21">
        <v>1830000</v>
      </c>
      <c r="E112" s="21" t="s">
        <v>446</v>
      </c>
      <c r="F112" s="21" t="str">
        <f t="shared" si="2"/>
        <v>rtdc.l.rtdc.4021:itc</v>
      </c>
      <c r="G112" s="8">
        <f t="shared" si="3"/>
        <v>42670.473773148151</v>
      </c>
    </row>
    <row r="113" spans="1:7" x14ac:dyDescent="0.25">
      <c r="A113" s="8">
        <v>42670.476030092592</v>
      </c>
      <c r="B113" s="21" t="s">
        <v>291</v>
      </c>
      <c r="C113" s="21" t="s">
        <v>502</v>
      </c>
      <c r="D113" s="21">
        <v>1240000</v>
      </c>
      <c r="E113" s="21" t="s">
        <v>295</v>
      </c>
      <c r="F113" s="21" t="str">
        <f t="shared" si="2"/>
        <v>rtdc.l.rtdc.4001:itc</v>
      </c>
      <c r="G113" s="8">
        <f t="shared" si="3"/>
        <v>42670.476030092592</v>
      </c>
    </row>
    <row r="114" spans="1:7" x14ac:dyDescent="0.25">
      <c r="A114" s="8">
        <v>42670.477060185185</v>
      </c>
      <c r="B114" s="21" t="s">
        <v>401</v>
      </c>
      <c r="C114" s="21" t="s">
        <v>503</v>
      </c>
      <c r="D114" s="21">
        <v>2040000</v>
      </c>
      <c r="E114" s="21" t="s">
        <v>337</v>
      </c>
      <c r="F114" s="21" t="str">
        <f t="shared" si="2"/>
        <v>rtdc.l.rtdc.4014:itc</v>
      </c>
      <c r="G114" s="8">
        <f t="shared" si="3"/>
        <v>42670.477060185185</v>
      </c>
    </row>
    <row r="115" spans="1:7" x14ac:dyDescent="0.25">
      <c r="A115" s="8">
        <v>42670.484305555554</v>
      </c>
      <c r="B115" s="21" t="s">
        <v>244</v>
      </c>
      <c r="C115" s="21" t="s">
        <v>408</v>
      </c>
      <c r="D115" s="21">
        <v>2530000</v>
      </c>
      <c r="E115" s="21" t="s">
        <v>453</v>
      </c>
      <c r="F115" s="21" t="str">
        <f t="shared" si="2"/>
        <v>rtdc.l.rtdc.4041:itc</v>
      </c>
      <c r="G115" s="8">
        <f t="shared" si="3"/>
        <v>42670.484305555554</v>
      </c>
    </row>
    <row r="116" spans="1:7" x14ac:dyDescent="0.25">
      <c r="A116" s="8">
        <v>42670.487060185187</v>
      </c>
      <c r="B116" s="21" t="s">
        <v>336</v>
      </c>
      <c r="C116" s="21" t="s">
        <v>504</v>
      </c>
      <c r="D116" s="21">
        <v>2440000</v>
      </c>
      <c r="E116" s="21" t="s">
        <v>505</v>
      </c>
      <c r="F116" s="21" t="str">
        <f t="shared" si="2"/>
        <v>rtdc.l.rtdc.4038:itc</v>
      </c>
      <c r="G116" s="8">
        <f t="shared" si="3"/>
        <v>42670.487060185187</v>
      </c>
    </row>
    <row r="117" spans="1:7" x14ac:dyDescent="0.25">
      <c r="A117" s="8">
        <v>42670.489432870374</v>
      </c>
      <c r="B117" s="21" t="s">
        <v>250</v>
      </c>
      <c r="C117" s="21" t="s">
        <v>506</v>
      </c>
      <c r="D117" s="21">
        <v>1760000</v>
      </c>
      <c r="E117" s="21" t="s">
        <v>334</v>
      </c>
      <c r="F117" s="21" t="str">
        <f t="shared" si="2"/>
        <v>rtdc.l.rtdc.4029:itc</v>
      </c>
      <c r="G117" s="8">
        <f t="shared" si="3"/>
        <v>42670.489432870374</v>
      </c>
    </row>
    <row r="118" spans="1:7" x14ac:dyDescent="0.25">
      <c r="A118" s="8">
        <v>42670.493287037039</v>
      </c>
      <c r="B118" s="21" t="s">
        <v>304</v>
      </c>
      <c r="C118" s="21" t="s">
        <v>507</v>
      </c>
      <c r="D118" s="21">
        <v>940000</v>
      </c>
      <c r="E118" s="21" t="s">
        <v>294</v>
      </c>
      <c r="F118" s="21" t="str">
        <f t="shared" si="2"/>
        <v>rtdc.l.rtdc.4008:itc</v>
      </c>
      <c r="G118" s="8">
        <f t="shared" si="3"/>
        <v>42670.493287037039</v>
      </c>
    </row>
    <row r="119" spans="1:7" x14ac:dyDescent="0.25">
      <c r="A119" s="8">
        <v>42670.498541666668</v>
      </c>
      <c r="B119" s="21" t="s">
        <v>243</v>
      </c>
      <c r="C119" s="21" t="s">
        <v>508</v>
      </c>
      <c r="D119" s="21">
        <v>2530000</v>
      </c>
      <c r="E119" s="21" t="s">
        <v>453</v>
      </c>
      <c r="F119" s="21" t="str">
        <f t="shared" si="2"/>
        <v>rtdc.l.rtdc.4042:itc</v>
      </c>
      <c r="G119" s="8">
        <f t="shared" si="3"/>
        <v>42670.498541666668</v>
      </c>
    </row>
    <row r="120" spans="1:7" x14ac:dyDescent="0.25">
      <c r="A120" s="8">
        <v>42670.499675925923</v>
      </c>
      <c r="B120" s="21" t="s">
        <v>187</v>
      </c>
      <c r="C120" s="21" t="s">
        <v>509</v>
      </c>
      <c r="D120" s="21">
        <v>1140000</v>
      </c>
      <c r="E120" s="21" t="s">
        <v>265</v>
      </c>
      <c r="F120" s="21" t="str">
        <f t="shared" si="2"/>
        <v>rtdc.l.rtdc.4018:itc</v>
      </c>
      <c r="G120" s="8">
        <f t="shared" si="3"/>
        <v>42670.499675925923</v>
      </c>
    </row>
    <row r="121" spans="1:7" x14ac:dyDescent="0.25">
      <c r="A121" s="8">
        <v>42670.501736111109</v>
      </c>
      <c r="B121" s="21" t="s">
        <v>187</v>
      </c>
      <c r="C121" s="21" t="s">
        <v>509</v>
      </c>
      <c r="D121" s="21">
        <v>1140000</v>
      </c>
      <c r="E121" s="21" t="s">
        <v>265</v>
      </c>
      <c r="F121" s="21" t="str">
        <f t="shared" si="2"/>
        <v>rtdc.l.rtdc.4018:itc</v>
      </c>
      <c r="G121" s="8">
        <f t="shared" si="3"/>
        <v>42670.501736111109</v>
      </c>
    </row>
    <row r="122" spans="1:7" x14ac:dyDescent="0.25">
      <c r="A122" s="8">
        <v>42670.504641203705</v>
      </c>
      <c r="B122" s="26" t="s">
        <v>208</v>
      </c>
      <c r="C122" s="21" t="s">
        <v>510</v>
      </c>
      <c r="D122" s="21">
        <v>2020000</v>
      </c>
      <c r="E122" s="21" t="s">
        <v>500</v>
      </c>
      <c r="F122" s="21" t="str">
        <f t="shared" si="2"/>
        <v>rtdc.l.rtdc.4039:itc</v>
      </c>
      <c r="G122" s="8">
        <f t="shared" si="3"/>
        <v>42670.504641203705</v>
      </c>
    </row>
    <row r="123" spans="1:7" x14ac:dyDescent="0.25">
      <c r="A123" s="8">
        <v>42670.507025462961</v>
      </c>
      <c r="B123" s="21" t="s">
        <v>443</v>
      </c>
      <c r="C123" s="21" t="s">
        <v>511</v>
      </c>
      <c r="D123" s="21">
        <v>970000</v>
      </c>
      <c r="E123" s="21" t="s">
        <v>307</v>
      </c>
      <c r="F123" s="21" t="str">
        <f t="shared" si="2"/>
        <v>rtdc.l.rtdc.4022:itc</v>
      </c>
      <c r="G123" s="8">
        <f t="shared" si="3"/>
        <v>42670.507025462961</v>
      </c>
    </row>
    <row r="124" spans="1:7" x14ac:dyDescent="0.25">
      <c r="A124" s="8">
        <v>42670.515763888892</v>
      </c>
      <c r="B124" s="21" t="s">
        <v>397</v>
      </c>
      <c r="C124" s="21" t="s">
        <v>512</v>
      </c>
      <c r="D124" s="21">
        <v>2040000</v>
      </c>
      <c r="E124" s="21" t="s">
        <v>337</v>
      </c>
      <c r="F124" s="21" t="str">
        <f t="shared" si="2"/>
        <v>rtdc.l.rtdc.4013:itc</v>
      </c>
      <c r="G124" s="8">
        <f t="shared" si="3"/>
        <v>42670.515763888892</v>
      </c>
    </row>
    <row r="125" spans="1:7" x14ac:dyDescent="0.25">
      <c r="A125" s="8">
        <v>42670.517789351848</v>
      </c>
      <c r="B125" s="21" t="s">
        <v>290</v>
      </c>
      <c r="C125" s="21" t="s">
        <v>513</v>
      </c>
      <c r="D125" s="21">
        <v>2470000</v>
      </c>
      <c r="E125" s="21" t="s">
        <v>514</v>
      </c>
      <c r="F125" s="21" t="str">
        <f t="shared" si="2"/>
        <v>rtdc.l.rtdc.4002:itc</v>
      </c>
      <c r="G125" s="8">
        <f t="shared" si="3"/>
        <v>42670.517789351848</v>
      </c>
    </row>
    <row r="126" spans="1:7" x14ac:dyDescent="0.25">
      <c r="A126" s="8">
        <v>42670.521724537037</v>
      </c>
      <c r="B126" s="21" t="s">
        <v>269</v>
      </c>
      <c r="C126" s="21" t="s">
        <v>515</v>
      </c>
      <c r="D126" s="21">
        <v>2440000</v>
      </c>
      <c r="E126" s="21" t="s">
        <v>505</v>
      </c>
      <c r="F126" s="21" t="str">
        <f t="shared" si="2"/>
        <v>rtdc.l.rtdc.4037:itc</v>
      </c>
      <c r="G126" s="8">
        <f t="shared" si="3"/>
        <v>42670.521724537037</v>
      </c>
    </row>
    <row r="127" spans="1:7" x14ac:dyDescent="0.25">
      <c r="A127" s="8">
        <v>42670.525069444448</v>
      </c>
      <c r="B127" s="21" t="s">
        <v>244</v>
      </c>
      <c r="C127" s="21" t="s">
        <v>516</v>
      </c>
      <c r="D127" s="21">
        <v>2530000</v>
      </c>
      <c r="E127" s="21" t="s">
        <v>453</v>
      </c>
      <c r="F127" s="21" t="str">
        <f t="shared" si="2"/>
        <v>rtdc.l.rtdc.4041:itc</v>
      </c>
      <c r="G127" s="8">
        <f t="shared" si="3"/>
        <v>42670.525069444448</v>
      </c>
    </row>
    <row r="128" spans="1:7" x14ac:dyDescent="0.25">
      <c r="A128" s="8">
        <v>42670.526076388887</v>
      </c>
      <c r="B128" s="21" t="s">
        <v>196</v>
      </c>
      <c r="C128" s="21" t="s">
        <v>517</v>
      </c>
      <c r="D128" s="21">
        <v>940000</v>
      </c>
      <c r="E128" s="21" t="s">
        <v>294</v>
      </c>
      <c r="F128" s="21" t="str">
        <f t="shared" si="2"/>
        <v>rtdc.l.rtdc.4007:itc</v>
      </c>
      <c r="G128" s="8">
        <f t="shared" si="3"/>
        <v>42670.526076388887</v>
      </c>
    </row>
    <row r="129" spans="1:7" x14ac:dyDescent="0.25">
      <c r="A129" s="8">
        <v>42670.531921296293</v>
      </c>
      <c r="B129" s="21" t="s">
        <v>234</v>
      </c>
      <c r="C129" s="21" t="s">
        <v>518</v>
      </c>
      <c r="D129" s="21">
        <v>1140000</v>
      </c>
      <c r="E129" s="21" t="s">
        <v>265</v>
      </c>
      <c r="F129" s="21" t="str">
        <f t="shared" si="2"/>
        <v>rtdc.l.rtdc.4017:itc</v>
      </c>
      <c r="G129" s="8">
        <f t="shared" si="3"/>
        <v>42670.531921296293</v>
      </c>
    </row>
    <row r="130" spans="1:7" x14ac:dyDescent="0.25">
      <c r="A130" s="8">
        <v>42670.537442129629</v>
      </c>
      <c r="B130" s="21" t="s">
        <v>332</v>
      </c>
      <c r="C130" s="21" t="s">
        <v>519</v>
      </c>
      <c r="D130" s="21">
        <v>2020000</v>
      </c>
      <c r="E130" s="21" t="s">
        <v>500</v>
      </c>
      <c r="F130" s="21" t="str">
        <f t="shared" ref="F130:F193" si="4">B130</f>
        <v>rtdc.l.rtdc.4040:itc</v>
      </c>
      <c r="G130" s="8">
        <f t="shared" ref="G130:G193" si="5">A130</f>
        <v>42670.537442129629</v>
      </c>
    </row>
    <row r="131" spans="1:7" x14ac:dyDescent="0.25">
      <c r="A131" s="8">
        <v>42670.546724537038</v>
      </c>
      <c r="B131" s="21" t="s">
        <v>243</v>
      </c>
      <c r="C131" s="21" t="s">
        <v>520</v>
      </c>
      <c r="D131" s="21">
        <v>2220000</v>
      </c>
      <c r="E131" s="21" t="s">
        <v>335</v>
      </c>
      <c r="F131" s="21" t="str">
        <f t="shared" si="4"/>
        <v>rtdc.l.rtdc.4042:itc</v>
      </c>
      <c r="G131" s="8">
        <f t="shared" si="5"/>
        <v>42670.546724537038</v>
      </c>
    </row>
    <row r="132" spans="1:7" x14ac:dyDescent="0.25">
      <c r="A132" s="8">
        <v>42670.546944444446</v>
      </c>
      <c r="B132" s="21" t="s">
        <v>285</v>
      </c>
      <c r="C132" s="21" t="s">
        <v>521</v>
      </c>
      <c r="D132" s="21">
        <v>970000</v>
      </c>
      <c r="E132" s="21" t="s">
        <v>307</v>
      </c>
      <c r="F132" s="21" t="str">
        <f t="shared" si="4"/>
        <v>rtdc.l.rtdc.4021:itc</v>
      </c>
      <c r="G132" s="8">
        <f t="shared" si="5"/>
        <v>42670.546944444446</v>
      </c>
    </row>
    <row r="133" spans="1:7" x14ac:dyDescent="0.25">
      <c r="A133" s="8">
        <v>42670.550451388888</v>
      </c>
      <c r="B133" s="21" t="s">
        <v>401</v>
      </c>
      <c r="C133" s="21" t="s">
        <v>522</v>
      </c>
      <c r="D133" s="21">
        <v>2040000</v>
      </c>
      <c r="E133" s="21" t="s">
        <v>337</v>
      </c>
      <c r="F133" s="21" t="str">
        <f t="shared" si="4"/>
        <v>rtdc.l.rtdc.4014:itc</v>
      </c>
      <c r="G133" s="8">
        <f t="shared" si="5"/>
        <v>42670.550451388888</v>
      </c>
    </row>
    <row r="134" spans="1:7" x14ac:dyDescent="0.25">
      <c r="A134" s="8">
        <v>42670.55741898148</v>
      </c>
      <c r="B134" s="21" t="s">
        <v>336</v>
      </c>
      <c r="C134" s="21" t="s">
        <v>523</v>
      </c>
      <c r="D134" s="21">
        <v>2440000</v>
      </c>
      <c r="E134" s="21" t="s">
        <v>505</v>
      </c>
      <c r="F134" s="21" t="str">
        <f t="shared" si="4"/>
        <v>rtdc.l.rtdc.4038:itc</v>
      </c>
      <c r="G134" s="8">
        <f t="shared" si="5"/>
        <v>42670.55741898148</v>
      </c>
    </row>
    <row r="135" spans="1:7" x14ac:dyDescent="0.25">
      <c r="A135" s="8">
        <v>42670.558078703703</v>
      </c>
      <c r="B135" s="21" t="s">
        <v>291</v>
      </c>
      <c r="C135" s="21" t="s">
        <v>524</v>
      </c>
      <c r="D135" s="21">
        <v>2470000</v>
      </c>
      <c r="E135" s="21" t="s">
        <v>514</v>
      </c>
      <c r="F135" s="21" t="str">
        <f t="shared" si="4"/>
        <v>rtdc.l.rtdc.4001:itc</v>
      </c>
      <c r="G135" s="8">
        <f t="shared" si="5"/>
        <v>42670.558078703703</v>
      </c>
    </row>
    <row r="136" spans="1:7" x14ac:dyDescent="0.25">
      <c r="A136" s="8">
        <v>42670.559363425928</v>
      </c>
      <c r="B136" s="21" t="s">
        <v>304</v>
      </c>
      <c r="C136" s="21" t="s">
        <v>410</v>
      </c>
      <c r="D136" s="21">
        <v>940000</v>
      </c>
      <c r="E136" s="21" t="s">
        <v>294</v>
      </c>
      <c r="F136" s="21" t="str">
        <f t="shared" si="4"/>
        <v>rtdc.l.rtdc.4008:itc</v>
      </c>
      <c r="G136" s="8">
        <f t="shared" si="5"/>
        <v>42670.559363425928</v>
      </c>
    </row>
    <row r="137" spans="1:7" x14ac:dyDescent="0.25">
      <c r="A137" s="8">
        <v>42670.567986111113</v>
      </c>
      <c r="B137" s="21" t="s">
        <v>244</v>
      </c>
      <c r="C137" s="21" t="s">
        <v>409</v>
      </c>
      <c r="D137" s="21">
        <v>2220000</v>
      </c>
      <c r="E137" s="21" t="s">
        <v>335</v>
      </c>
      <c r="F137" s="21" t="str">
        <f t="shared" si="4"/>
        <v>rtdc.l.rtdc.4041:itc</v>
      </c>
      <c r="G137" s="8">
        <f t="shared" si="5"/>
        <v>42670.567986111113</v>
      </c>
    </row>
    <row r="138" spans="1:7" x14ac:dyDescent="0.25">
      <c r="A138" s="8">
        <v>42670.568912037037</v>
      </c>
      <c r="B138" s="21" t="s">
        <v>187</v>
      </c>
      <c r="C138" s="21" t="s">
        <v>525</v>
      </c>
      <c r="D138" s="21">
        <v>1140000</v>
      </c>
      <c r="E138" s="21" t="s">
        <v>265</v>
      </c>
      <c r="F138" s="21" t="str">
        <f t="shared" si="4"/>
        <v>rtdc.l.rtdc.4018:itc</v>
      </c>
      <c r="G138" s="8">
        <f t="shared" si="5"/>
        <v>42670.568912037037</v>
      </c>
    </row>
    <row r="139" spans="1:7" x14ac:dyDescent="0.25">
      <c r="A139" s="8">
        <v>42670.575775462959</v>
      </c>
      <c r="B139" s="21" t="s">
        <v>208</v>
      </c>
      <c r="C139" s="21" t="s">
        <v>526</v>
      </c>
      <c r="D139" s="21">
        <v>2020000</v>
      </c>
      <c r="E139" s="21" t="s">
        <v>500</v>
      </c>
      <c r="F139" s="21" t="str">
        <f t="shared" si="4"/>
        <v>rtdc.l.rtdc.4039:itc</v>
      </c>
      <c r="G139" s="8">
        <f t="shared" si="5"/>
        <v>42670.575775462959</v>
      </c>
    </row>
    <row r="140" spans="1:7" x14ac:dyDescent="0.25">
      <c r="A140" s="8">
        <v>42670.579432870371</v>
      </c>
      <c r="B140" s="21" t="s">
        <v>443</v>
      </c>
      <c r="C140" s="21" t="s">
        <v>527</v>
      </c>
      <c r="D140" s="21">
        <v>970000</v>
      </c>
      <c r="E140" s="21" t="s">
        <v>307</v>
      </c>
      <c r="F140" s="21" t="str">
        <f t="shared" si="4"/>
        <v>rtdc.l.rtdc.4022:itc</v>
      </c>
      <c r="G140" s="8">
        <f t="shared" si="5"/>
        <v>42670.579432870371</v>
      </c>
    </row>
    <row r="141" spans="1:7" x14ac:dyDescent="0.25">
      <c r="A141" s="8">
        <v>42670.581122685187</v>
      </c>
      <c r="B141" s="21" t="s">
        <v>243</v>
      </c>
      <c r="C141" s="21" t="s">
        <v>412</v>
      </c>
      <c r="D141" s="21">
        <v>2220000</v>
      </c>
      <c r="E141" s="21" t="s">
        <v>335</v>
      </c>
      <c r="F141" s="21" t="str">
        <f t="shared" si="4"/>
        <v>rtdc.l.rtdc.4042:itc</v>
      </c>
      <c r="G141" s="8">
        <f t="shared" si="5"/>
        <v>42670.581122685187</v>
      </c>
    </row>
    <row r="142" spans="1:7" x14ac:dyDescent="0.25">
      <c r="A142" s="8">
        <v>42670.588622685187</v>
      </c>
      <c r="B142" s="21" t="s">
        <v>397</v>
      </c>
      <c r="C142" s="21" t="s">
        <v>528</v>
      </c>
      <c r="D142" s="21">
        <v>2040000</v>
      </c>
      <c r="E142" s="21" t="s">
        <v>337</v>
      </c>
      <c r="F142" s="21" t="str">
        <f t="shared" si="4"/>
        <v>rtdc.l.rtdc.4013:itc</v>
      </c>
      <c r="G142" s="8">
        <f t="shared" si="5"/>
        <v>42670.588622685187</v>
      </c>
    </row>
    <row r="143" spans="1:7" x14ac:dyDescent="0.25">
      <c r="A143" s="8">
        <v>42670.589432870373</v>
      </c>
      <c r="B143" s="21" t="s">
        <v>290</v>
      </c>
      <c r="C143" s="21" t="s">
        <v>411</v>
      </c>
      <c r="D143" s="21">
        <v>2470000</v>
      </c>
      <c r="E143" s="21" t="s">
        <v>514</v>
      </c>
      <c r="F143" s="21" t="str">
        <f t="shared" si="4"/>
        <v>rtdc.l.rtdc.4002:itc</v>
      </c>
      <c r="G143" s="8">
        <f t="shared" si="5"/>
        <v>42670.589432870373</v>
      </c>
    </row>
    <row r="144" spans="1:7" x14ac:dyDescent="0.25">
      <c r="A144" s="8">
        <v>42670.590289351851</v>
      </c>
      <c r="B144" s="21" t="s">
        <v>269</v>
      </c>
      <c r="C144" s="21" t="s">
        <v>529</v>
      </c>
      <c r="D144" s="21">
        <v>2440000</v>
      </c>
      <c r="E144" s="21" t="s">
        <v>505</v>
      </c>
      <c r="F144" s="21" t="str">
        <f t="shared" si="4"/>
        <v>rtdc.l.rtdc.4037:itc</v>
      </c>
      <c r="G144" s="8">
        <f t="shared" si="5"/>
        <v>42670.590289351851</v>
      </c>
    </row>
    <row r="145" spans="1:7" x14ac:dyDescent="0.25">
      <c r="A145" s="8">
        <v>42670.605312500003</v>
      </c>
      <c r="B145" s="21" t="s">
        <v>234</v>
      </c>
      <c r="C145" s="21" t="s">
        <v>530</v>
      </c>
      <c r="D145" s="21">
        <v>1140000</v>
      </c>
      <c r="E145" s="21" t="s">
        <v>265</v>
      </c>
      <c r="F145" s="21" t="str">
        <f t="shared" si="4"/>
        <v>rtdc.l.rtdc.4017:itc</v>
      </c>
      <c r="G145" s="8">
        <f t="shared" si="5"/>
        <v>42670.605312500003</v>
      </c>
    </row>
    <row r="146" spans="1:7" x14ac:dyDescent="0.25">
      <c r="A146" s="8">
        <v>42670.609236111108</v>
      </c>
      <c r="B146" s="21" t="s">
        <v>332</v>
      </c>
      <c r="C146" s="21" t="s">
        <v>531</v>
      </c>
      <c r="D146" s="21">
        <v>2020000</v>
      </c>
      <c r="E146" s="21" t="s">
        <v>500</v>
      </c>
      <c r="F146" s="21" t="str">
        <f t="shared" si="4"/>
        <v>rtdc.l.rtdc.4040:itc</v>
      </c>
      <c r="G146" s="8">
        <f t="shared" si="5"/>
        <v>42670.609236111108</v>
      </c>
    </row>
    <row r="147" spans="1:7" x14ac:dyDescent="0.25">
      <c r="A147" s="8">
        <v>42670.60974537037</v>
      </c>
      <c r="B147" s="21" t="s">
        <v>244</v>
      </c>
      <c r="C147" s="21" t="s">
        <v>532</v>
      </c>
      <c r="D147" s="21">
        <v>2220000</v>
      </c>
      <c r="E147" s="21" t="s">
        <v>335</v>
      </c>
      <c r="F147" s="21" t="str">
        <f t="shared" si="4"/>
        <v>rtdc.l.rtdc.4041:itc</v>
      </c>
      <c r="G147" s="8">
        <f t="shared" si="5"/>
        <v>42670.60974537037</v>
      </c>
    </row>
    <row r="148" spans="1:7" x14ac:dyDescent="0.25">
      <c r="A148" s="8">
        <v>42670.618831018517</v>
      </c>
      <c r="B148" s="21" t="s">
        <v>285</v>
      </c>
      <c r="C148" s="21" t="s">
        <v>533</v>
      </c>
      <c r="D148" s="21">
        <v>970000</v>
      </c>
      <c r="E148" s="21" t="s">
        <v>307</v>
      </c>
      <c r="F148" s="21" t="str">
        <f t="shared" si="4"/>
        <v>rtdc.l.rtdc.4021:itc</v>
      </c>
      <c r="G148" s="8">
        <f t="shared" si="5"/>
        <v>42670.618831018517</v>
      </c>
    </row>
    <row r="149" spans="1:7" x14ac:dyDescent="0.25">
      <c r="A149" s="8">
        <v>42670.621134259258</v>
      </c>
      <c r="B149" s="21" t="s">
        <v>401</v>
      </c>
      <c r="C149" s="21" t="s">
        <v>534</v>
      </c>
      <c r="D149" s="21">
        <v>2040000</v>
      </c>
      <c r="E149" s="21" t="s">
        <v>337</v>
      </c>
      <c r="F149" s="21" t="str">
        <f t="shared" si="4"/>
        <v>rtdc.l.rtdc.4014:itc</v>
      </c>
      <c r="G149" s="8">
        <f t="shared" si="5"/>
        <v>42670.621134259258</v>
      </c>
    </row>
    <row r="150" spans="1:7" x14ac:dyDescent="0.25">
      <c r="A150" s="8">
        <v>42670.623645833337</v>
      </c>
      <c r="B150" s="21" t="s">
        <v>243</v>
      </c>
      <c r="C150" s="21" t="s">
        <v>413</v>
      </c>
      <c r="D150" s="21">
        <v>2220000</v>
      </c>
      <c r="E150" s="21" t="s">
        <v>335</v>
      </c>
      <c r="F150" s="21" t="str">
        <f t="shared" si="4"/>
        <v>rtdc.l.rtdc.4042:itc</v>
      </c>
      <c r="G150" s="8">
        <f t="shared" si="5"/>
        <v>42670.623645833337</v>
      </c>
    </row>
    <row r="151" spans="1:7" x14ac:dyDescent="0.25">
      <c r="A151" s="8">
        <v>42670.630439814813</v>
      </c>
      <c r="B151" s="21" t="s">
        <v>336</v>
      </c>
      <c r="C151" s="21" t="s">
        <v>535</v>
      </c>
      <c r="D151" s="21">
        <v>2440000</v>
      </c>
      <c r="E151" s="21" t="s">
        <v>505</v>
      </c>
      <c r="F151" s="21" t="str">
        <f t="shared" si="4"/>
        <v>rtdc.l.rtdc.4038:itc</v>
      </c>
      <c r="G151" s="8">
        <f t="shared" si="5"/>
        <v>42670.630439814813</v>
      </c>
    </row>
    <row r="152" spans="1:7" x14ac:dyDescent="0.25">
      <c r="A152" s="8">
        <v>42670.631481481483</v>
      </c>
      <c r="B152" s="21" t="s">
        <v>291</v>
      </c>
      <c r="C152" s="21" t="s">
        <v>536</v>
      </c>
      <c r="D152" s="21">
        <v>2470000</v>
      </c>
      <c r="E152" s="21" t="s">
        <v>514</v>
      </c>
      <c r="F152" s="21" t="str">
        <f t="shared" si="4"/>
        <v>rtdc.l.rtdc.4001:itc</v>
      </c>
      <c r="G152" s="8">
        <f t="shared" si="5"/>
        <v>42670.631481481483</v>
      </c>
    </row>
    <row r="153" spans="1:7" x14ac:dyDescent="0.25">
      <c r="A153" s="8">
        <v>42670.633263888885</v>
      </c>
      <c r="B153" s="21" t="s">
        <v>192</v>
      </c>
      <c r="C153" s="21" t="s">
        <v>537</v>
      </c>
      <c r="D153" s="21">
        <v>1230000</v>
      </c>
      <c r="E153" s="21" t="s">
        <v>209</v>
      </c>
      <c r="F153" s="21" t="str">
        <f t="shared" si="4"/>
        <v>rtdc.l.rtdc.4010:itc</v>
      </c>
      <c r="G153" s="8">
        <f t="shared" si="5"/>
        <v>42670.633263888885</v>
      </c>
    </row>
    <row r="154" spans="1:7" x14ac:dyDescent="0.25">
      <c r="A154" s="8">
        <v>42670.642488425925</v>
      </c>
      <c r="B154" s="21" t="s">
        <v>304</v>
      </c>
      <c r="C154" s="21" t="s">
        <v>538</v>
      </c>
      <c r="D154" s="21">
        <v>940000</v>
      </c>
      <c r="E154" s="21" t="s">
        <v>294</v>
      </c>
      <c r="F154" s="21" t="str">
        <f t="shared" si="4"/>
        <v>rtdc.l.rtdc.4008:itc</v>
      </c>
      <c r="G154" s="8">
        <f t="shared" si="5"/>
        <v>42670.642488425925</v>
      </c>
    </row>
    <row r="155" spans="1:7" x14ac:dyDescent="0.25">
      <c r="A155" s="8">
        <v>42670.642905092594</v>
      </c>
      <c r="B155" s="21" t="s">
        <v>187</v>
      </c>
      <c r="C155" s="21" t="s">
        <v>539</v>
      </c>
      <c r="D155" s="21">
        <v>1140000</v>
      </c>
      <c r="E155" s="21" t="s">
        <v>265</v>
      </c>
      <c r="F155" s="21" t="str">
        <f t="shared" si="4"/>
        <v>rtdc.l.rtdc.4018:itc</v>
      </c>
      <c r="G155" s="8">
        <f t="shared" si="5"/>
        <v>42670.642905092594</v>
      </c>
    </row>
    <row r="156" spans="1:7" x14ac:dyDescent="0.25">
      <c r="A156" s="8">
        <v>42670.647847222222</v>
      </c>
      <c r="B156" s="21" t="s">
        <v>208</v>
      </c>
      <c r="C156" s="21" t="s">
        <v>540</v>
      </c>
      <c r="D156" s="21">
        <v>2020000</v>
      </c>
      <c r="E156" s="21" t="s">
        <v>500</v>
      </c>
      <c r="F156" s="21" t="str">
        <f t="shared" si="4"/>
        <v>rtdc.l.rtdc.4039:itc</v>
      </c>
      <c r="G156" s="8">
        <f t="shared" si="5"/>
        <v>42670.647847222222</v>
      </c>
    </row>
    <row r="157" spans="1:7" x14ac:dyDescent="0.25">
      <c r="A157" s="8">
        <v>42670.652222222219</v>
      </c>
      <c r="B157" s="21" t="s">
        <v>244</v>
      </c>
      <c r="C157" s="21" t="s">
        <v>541</v>
      </c>
      <c r="D157" s="21">
        <v>2220000</v>
      </c>
      <c r="E157" s="21" t="s">
        <v>335</v>
      </c>
      <c r="F157" s="21" t="str">
        <f t="shared" si="4"/>
        <v>rtdc.l.rtdc.4041:itc</v>
      </c>
      <c r="G157" s="8">
        <f t="shared" si="5"/>
        <v>42670.652222222219</v>
      </c>
    </row>
    <row r="158" spans="1:7" x14ac:dyDescent="0.25">
      <c r="A158" s="8">
        <v>42670.652557870373</v>
      </c>
      <c r="B158" s="21" t="s">
        <v>443</v>
      </c>
      <c r="C158" s="21" t="s">
        <v>542</v>
      </c>
      <c r="D158" s="21">
        <v>970000</v>
      </c>
      <c r="E158" s="21" t="s">
        <v>307</v>
      </c>
      <c r="F158" s="21" t="str">
        <f t="shared" si="4"/>
        <v>rtdc.l.rtdc.4022:itc</v>
      </c>
      <c r="G158" s="8">
        <f t="shared" si="5"/>
        <v>42670.652557870373</v>
      </c>
    </row>
    <row r="159" spans="1:7" x14ac:dyDescent="0.25">
      <c r="A159" s="8">
        <v>42670.655011574076</v>
      </c>
      <c r="B159" s="21" t="s">
        <v>193</v>
      </c>
      <c r="C159" s="21" t="s">
        <v>543</v>
      </c>
      <c r="D159" s="21">
        <v>1230000</v>
      </c>
      <c r="E159" s="21" t="s">
        <v>209</v>
      </c>
      <c r="F159" s="21" t="str">
        <f t="shared" si="4"/>
        <v>rtdc.l.rtdc.4009:itc</v>
      </c>
      <c r="G159" s="8">
        <f t="shared" si="5"/>
        <v>42670.655011574076</v>
      </c>
    </row>
    <row r="160" spans="1:7" x14ac:dyDescent="0.25">
      <c r="A160" s="8">
        <v>42670.660393518519</v>
      </c>
      <c r="B160" s="21" t="s">
        <v>290</v>
      </c>
      <c r="C160" s="21" t="s">
        <v>544</v>
      </c>
      <c r="D160" s="21">
        <v>2470000</v>
      </c>
      <c r="E160" s="21" t="s">
        <v>514</v>
      </c>
      <c r="F160" s="21" t="str">
        <f t="shared" si="4"/>
        <v>rtdc.l.rtdc.4002:itc</v>
      </c>
      <c r="G160" s="8">
        <f t="shared" si="5"/>
        <v>42670.660393518519</v>
      </c>
    </row>
    <row r="161" spans="1:7" x14ac:dyDescent="0.25">
      <c r="A161" s="8">
        <v>42670.661921296298</v>
      </c>
      <c r="B161" s="21" t="s">
        <v>397</v>
      </c>
      <c r="C161" s="21" t="s">
        <v>414</v>
      </c>
      <c r="D161" s="21">
        <v>2040000</v>
      </c>
      <c r="E161" s="21" t="s">
        <v>337</v>
      </c>
      <c r="F161" s="21" t="str">
        <f t="shared" si="4"/>
        <v>rtdc.l.rtdc.4013:itc</v>
      </c>
      <c r="G161" s="8">
        <f t="shared" si="5"/>
        <v>42670.661921296298</v>
      </c>
    </row>
    <row r="162" spans="1:7" x14ac:dyDescent="0.25">
      <c r="A162" s="8">
        <v>42670.662349537037</v>
      </c>
      <c r="B162" s="21" t="s">
        <v>269</v>
      </c>
      <c r="C162" s="21" t="s">
        <v>415</v>
      </c>
      <c r="D162" s="21">
        <v>2440000</v>
      </c>
      <c r="E162" s="21" t="s">
        <v>505</v>
      </c>
      <c r="F162" s="21" t="str">
        <f t="shared" si="4"/>
        <v>rtdc.l.rtdc.4037:itc</v>
      </c>
      <c r="G162" s="8">
        <f t="shared" si="5"/>
        <v>42670.662349537037</v>
      </c>
    </row>
    <row r="163" spans="1:7" x14ac:dyDescent="0.25">
      <c r="A163" s="8">
        <v>42670.667754629627</v>
      </c>
      <c r="B163" s="21" t="s">
        <v>243</v>
      </c>
      <c r="C163" s="21" t="s">
        <v>545</v>
      </c>
      <c r="D163" s="21">
        <v>2220000</v>
      </c>
      <c r="E163" s="21" t="s">
        <v>335</v>
      </c>
      <c r="F163" s="21" t="str">
        <f t="shared" si="4"/>
        <v>rtdc.l.rtdc.4042:itc</v>
      </c>
      <c r="G163" s="8">
        <f t="shared" si="5"/>
        <v>42670.667754629627</v>
      </c>
    </row>
    <row r="164" spans="1:7" x14ac:dyDescent="0.25">
      <c r="A164" s="8">
        <v>42670.671481481484</v>
      </c>
      <c r="B164" s="21" t="s">
        <v>192</v>
      </c>
      <c r="C164" s="21" t="s">
        <v>546</v>
      </c>
      <c r="D164" s="21">
        <v>1230000</v>
      </c>
      <c r="E164" s="21" t="s">
        <v>209</v>
      </c>
      <c r="F164" s="21" t="str">
        <f t="shared" si="4"/>
        <v>rtdc.l.rtdc.4010:itc</v>
      </c>
      <c r="G164" s="8">
        <f t="shared" si="5"/>
        <v>42670.671481481484</v>
      </c>
    </row>
    <row r="165" spans="1:7" x14ac:dyDescent="0.25">
      <c r="A165" s="8">
        <v>42670.6718287037</v>
      </c>
      <c r="B165" s="21" t="s">
        <v>196</v>
      </c>
      <c r="C165" s="21" t="s">
        <v>547</v>
      </c>
      <c r="D165" s="21">
        <v>940000</v>
      </c>
      <c r="E165" s="21" t="s">
        <v>294</v>
      </c>
      <c r="F165" s="21" t="str">
        <f t="shared" si="4"/>
        <v>rtdc.l.rtdc.4007:itc</v>
      </c>
      <c r="G165" s="8">
        <f t="shared" si="5"/>
        <v>42670.6718287037</v>
      </c>
    </row>
    <row r="166" spans="1:7" x14ac:dyDescent="0.25">
      <c r="A166" s="8">
        <v>42670.673344907409</v>
      </c>
      <c r="B166" s="21" t="s">
        <v>196</v>
      </c>
      <c r="C166" s="21" t="s">
        <v>547</v>
      </c>
      <c r="D166" s="21">
        <v>940000</v>
      </c>
      <c r="E166" s="21" t="s">
        <v>294</v>
      </c>
      <c r="F166" s="21" t="str">
        <f t="shared" si="4"/>
        <v>rtdc.l.rtdc.4007:itc</v>
      </c>
      <c r="G166" s="8">
        <f t="shared" si="5"/>
        <v>42670.673344907409</v>
      </c>
    </row>
    <row r="167" spans="1:7" x14ac:dyDescent="0.25">
      <c r="A167" s="8">
        <v>42670.675034722219</v>
      </c>
      <c r="B167" s="21" t="s">
        <v>196</v>
      </c>
      <c r="C167" s="21" t="s">
        <v>547</v>
      </c>
      <c r="D167" s="21">
        <v>940000</v>
      </c>
      <c r="E167" s="21" t="s">
        <v>294</v>
      </c>
      <c r="F167" s="21" t="str">
        <f t="shared" si="4"/>
        <v>rtdc.l.rtdc.4007:itc</v>
      </c>
      <c r="G167" s="8">
        <f t="shared" si="5"/>
        <v>42670.675034722219</v>
      </c>
    </row>
    <row r="168" spans="1:7" x14ac:dyDescent="0.25">
      <c r="A168" s="8">
        <v>42670.681145833332</v>
      </c>
      <c r="B168" s="21" t="s">
        <v>234</v>
      </c>
      <c r="C168" s="21" t="s">
        <v>548</v>
      </c>
      <c r="D168" s="21">
        <v>1140000</v>
      </c>
      <c r="E168" s="21" t="s">
        <v>265</v>
      </c>
      <c r="F168" s="21" t="str">
        <f t="shared" si="4"/>
        <v>rtdc.l.rtdc.4017:itc</v>
      </c>
      <c r="G168" s="8">
        <f t="shared" si="5"/>
        <v>42670.681145833332</v>
      </c>
    </row>
    <row r="169" spans="1:7" x14ac:dyDescent="0.25">
      <c r="A169" s="8">
        <v>42670.684363425928</v>
      </c>
      <c r="B169" s="21" t="s">
        <v>332</v>
      </c>
      <c r="C169" s="21" t="s">
        <v>549</v>
      </c>
      <c r="D169" s="21">
        <v>2020000</v>
      </c>
      <c r="E169" s="21" t="s">
        <v>500</v>
      </c>
      <c r="F169" s="21" t="str">
        <f t="shared" si="4"/>
        <v>rtdc.l.rtdc.4040:itc</v>
      </c>
      <c r="G169" s="8">
        <f t="shared" si="5"/>
        <v>42670.684363425928</v>
      </c>
    </row>
    <row r="170" spans="1:7" x14ac:dyDescent="0.25">
      <c r="A170" s="8">
        <v>42670.69017361111</v>
      </c>
      <c r="B170" s="21" t="s">
        <v>285</v>
      </c>
      <c r="C170" s="21" t="s">
        <v>416</v>
      </c>
      <c r="D170" s="21">
        <v>970000</v>
      </c>
      <c r="E170" s="21" t="s">
        <v>307</v>
      </c>
      <c r="F170" s="21" t="str">
        <f t="shared" si="4"/>
        <v>rtdc.l.rtdc.4021:itc</v>
      </c>
      <c r="G170" s="8">
        <f t="shared" si="5"/>
        <v>42670.69017361111</v>
      </c>
    </row>
    <row r="171" spans="1:7" x14ac:dyDescent="0.25">
      <c r="A171" s="8">
        <v>42670.693206018521</v>
      </c>
      <c r="B171" s="21" t="s">
        <v>244</v>
      </c>
      <c r="C171" s="21" t="s">
        <v>550</v>
      </c>
      <c r="D171" s="21">
        <v>2220000</v>
      </c>
      <c r="E171" s="21" t="s">
        <v>335</v>
      </c>
      <c r="F171" s="21" t="str">
        <f t="shared" si="4"/>
        <v>rtdc.l.rtdc.4041:itc</v>
      </c>
      <c r="G171" s="8">
        <f t="shared" si="5"/>
        <v>42670.693206018521</v>
      </c>
    </row>
    <row r="172" spans="1:7" x14ac:dyDescent="0.25">
      <c r="A172" s="8">
        <v>42670.695081018515</v>
      </c>
      <c r="B172" s="21" t="s">
        <v>401</v>
      </c>
      <c r="C172" s="21" t="s">
        <v>551</v>
      </c>
      <c r="D172" s="21">
        <v>2040000</v>
      </c>
      <c r="E172" s="21" t="s">
        <v>337</v>
      </c>
      <c r="F172" s="21" t="str">
        <f t="shared" si="4"/>
        <v>rtdc.l.rtdc.4014:itc</v>
      </c>
      <c r="G172" s="8">
        <f t="shared" si="5"/>
        <v>42670.695081018515</v>
      </c>
    </row>
    <row r="173" spans="1:7" x14ac:dyDescent="0.25">
      <c r="A173" s="8">
        <v>42670.699837962966</v>
      </c>
      <c r="B173" s="21" t="s">
        <v>193</v>
      </c>
      <c r="C173" s="21" t="s">
        <v>552</v>
      </c>
      <c r="D173" s="21">
        <v>1230000</v>
      </c>
      <c r="E173" s="21" t="s">
        <v>209</v>
      </c>
      <c r="F173" s="21" t="str">
        <f t="shared" si="4"/>
        <v>rtdc.l.rtdc.4009:itc</v>
      </c>
      <c r="G173" s="8">
        <f t="shared" si="5"/>
        <v>42670.699837962966</v>
      </c>
    </row>
    <row r="174" spans="1:7" x14ac:dyDescent="0.25">
      <c r="A174" s="8">
        <v>42670.703217592592</v>
      </c>
      <c r="B174" s="21" t="s">
        <v>291</v>
      </c>
      <c r="C174" s="21" t="s">
        <v>553</v>
      </c>
      <c r="D174" s="21">
        <v>2470000</v>
      </c>
      <c r="E174" s="21" t="s">
        <v>514</v>
      </c>
      <c r="F174" s="21" t="str">
        <f t="shared" si="4"/>
        <v>rtdc.l.rtdc.4001:itc</v>
      </c>
      <c r="G174" s="8">
        <f t="shared" si="5"/>
        <v>42670.703217592592</v>
      </c>
    </row>
    <row r="175" spans="1:7" x14ac:dyDescent="0.25">
      <c r="A175" s="8">
        <v>42670.703796296293</v>
      </c>
      <c r="B175" s="21" t="s">
        <v>336</v>
      </c>
      <c r="C175" s="21" t="s">
        <v>554</v>
      </c>
      <c r="D175" s="21">
        <v>2440000</v>
      </c>
      <c r="E175" s="21" t="s">
        <v>505</v>
      </c>
      <c r="F175" s="21" t="str">
        <f t="shared" si="4"/>
        <v>rtdc.l.rtdc.4038:itc</v>
      </c>
      <c r="G175" s="8">
        <f t="shared" si="5"/>
        <v>42670.703796296293</v>
      </c>
    </row>
    <row r="176" spans="1:7" x14ac:dyDescent="0.25">
      <c r="A176" s="8">
        <v>42670.707280092596</v>
      </c>
      <c r="B176" s="21" t="s">
        <v>304</v>
      </c>
      <c r="C176" s="21" t="s">
        <v>555</v>
      </c>
      <c r="D176" s="21">
        <v>940000</v>
      </c>
      <c r="E176" s="21" t="s">
        <v>294</v>
      </c>
      <c r="F176" s="21" t="str">
        <f t="shared" si="4"/>
        <v>rtdc.l.rtdc.4008:itc</v>
      </c>
      <c r="G176" s="8">
        <f t="shared" si="5"/>
        <v>42670.707280092596</v>
      </c>
    </row>
    <row r="177" spans="1:7" x14ac:dyDescent="0.25">
      <c r="A177" s="8">
        <v>42670.707337962966</v>
      </c>
      <c r="B177" s="21" t="s">
        <v>243</v>
      </c>
      <c r="C177" s="21" t="s">
        <v>417</v>
      </c>
      <c r="D177" s="21">
        <v>2220000</v>
      </c>
      <c r="E177" s="21" t="s">
        <v>335</v>
      </c>
      <c r="F177" s="21" t="str">
        <f t="shared" si="4"/>
        <v>rtdc.l.rtdc.4042:itc</v>
      </c>
      <c r="G177" s="8">
        <f t="shared" si="5"/>
        <v>42670.707337962966</v>
      </c>
    </row>
    <row r="178" spans="1:7" x14ac:dyDescent="0.25">
      <c r="A178" s="8">
        <v>42670.712407407409</v>
      </c>
      <c r="B178" s="21" t="s">
        <v>192</v>
      </c>
      <c r="C178" s="21" t="s">
        <v>556</v>
      </c>
      <c r="D178" s="21">
        <v>1230000</v>
      </c>
      <c r="E178" s="21" t="s">
        <v>209</v>
      </c>
      <c r="F178" s="21" t="str">
        <f t="shared" si="4"/>
        <v>rtdc.l.rtdc.4010:itc</v>
      </c>
      <c r="G178" s="8">
        <f t="shared" si="5"/>
        <v>42670.712407407409</v>
      </c>
    </row>
    <row r="179" spans="1:7" x14ac:dyDescent="0.25">
      <c r="A179" s="8">
        <v>42670.716180555559</v>
      </c>
      <c r="B179" s="21" t="s">
        <v>187</v>
      </c>
      <c r="C179" s="21" t="s">
        <v>557</v>
      </c>
      <c r="D179" s="21">
        <v>2230000</v>
      </c>
      <c r="E179" s="21" t="s">
        <v>558</v>
      </c>
      <c r="F179" s="21" t="str">
        <f t="shared" si="4"/>
        <v>rtdc.l.rtdc.4018:itc</v>
      </c>
      <c r="G179" s="8">
        <f t="shared" si="5"/>
        <v>42670.716180555559</v>
      </c>
    </row>
    <row r="180" spans="1:7" x14ac:dyDescent="0.25">
      <c r="A180" s="8">
        <v>42670.720648148148</v>
      </c>
      <c r="B180" s="21" t="s">
        <v>208</v>
      </c>
      <c r="C180" s="21" t="s">
        <v>559</v>
      </c>
      <c r="D180" s="21">
        <v>2020000</v>
      </c>
      <c r="E180" s="21" t="s">
        <v>500</v>
      </c>
      <c r="F180" s="21" t="str">
        <f t="shared" si="4"/>
        <v>rtdc.l.rtdc.4039:itc</v>
      </c>
      <c r="G180" s="8">
        <f t="shared" si="5"/>
        <v>42670.720648148148</v>
      </c>
    </row>
    <row r="181" spans="1:7" x14ac:dyDescent="0.25">
      <c r="A181" s="8">
        <v>42670.72210648148</v>
      </c>
      <c r="B181" s="21" t="s">
        <v>280</v>
      </c>
      <c r="C181" s="21" t="s">
        <v>560</v>
      </c>
      <c r="D181" s="21">
        <v>2110000</v>
      </c>
      <c r="E181" s="21" t="s">
        <v>492</v>
      </c>
      <c r="F181" s="21" t="str">
        <f t="shared" si="4"/>
        <v>rtdc.l.rtdc.4011:itc</v>
      </c>
      <c r="G181" s="8">
        <f t="shared" si="5"/>
        <v>42670.72210648148</v>
      </c>
    </row>
    <row r="182" spans="1:7" x14ac:dyDescent="0.25">
      <c r="A182" s="8">
        <v>42670.725266203706</v>
      </c>
      <c r="B182" s="21" t="s">
        <v>443</v>
      </c>
      <c r="C182" s="21" t="s">
        <v>561</v>
      </c>
      <c r="D182" s="21">
        <v>1140000</v>
      </c>
      <c r="E182" s="21" t="s">
        <v>265</v>
      </c>
      <c r="F182" s="21" t="str">
        <f t="shared" si="4"/>
        <v>rtdc.l.rtdc.4022:itc</v>
      </c>
      <c r="G182" s="8">
        <f t="shared" si="5"/>
        <v>42670.725266203706</v>
      </c>
    </row>
    <row r="183" spans="1:7" x14ac:dyDescent="0.25">
      <c r="A183" s="8">
        <v>42670.73065972222</v>
      </c>
      <c r="B183" s="21" t="s">
        <v>397</v>
      </c>
      <c r="C183" s="21" t="s">
        <v>562</v>
      </c>
      <c r="D183" s="21">
        <v>2040000</v>
      </c>
      <c r="E183" s="21" t="s">
        <v>337</v>
      </c>
      <c r="F183" s="21" t="str">
        <f t="shared" si="4"/>
        <v>rtdc.l.rtdc.4013:itc</v>
      </c>
      <c r="G183" s="8">
        <f t="shared" si="5"/>
        <v>42670.73065972222</v>
      </c>
    </row>
    <row r="184" spans="1:7" x14ac:dyDescent="0.25">
      <c r="A184" s="8">
        <v>42670.735590277778</v>
      </c>
      <c r="B184" s="21" t="s">
        <v>269</v>
      </c>
      <c r="C184" s="21" t="s">
        <v>563</v>
      </c>
      <c r="D184" s="21">
        <v>2440000</v>
      </c>
      <c r="E184" s="21" t="s">
        <v>505</v>
      </c>
      <c r="F184" s="21" t="str">
        <f t="shared" si="4"/>
        <v>rtdc.l.rtdc.4037:itc</v>
      </c>
      <c r="G184" s="8">
        <f t="shared" si="5"/>
        <v>42670.735590277778</v>
      </c>
    </row>
    <row r="185" spans="1:7" x14ac:dyDescent="0.25">
      <c r="A185" s="8">
        <v>42670.735833333332</v>
      </c>
      <c r="B185" s="21" t="s">
        <v>290</v>
      </c>
      <c r="C185" s="21" t="s">
        <v>564</v>
      </c>
      <c r="D185" s="21">
        <v>2350000</v>
      </c>
      <c r="E185" s="21" t="s">
        <v>252</v>
      </c>
      <c r="F185" s="21" t="str">
        <f t="shared" si="4"/>
        <v>rtdc.l.rtdc.4002:itc</v>
      </c>
      <c r="G185" s="8">
        <f t="shared" si="5"/>
        <v>42670.735833333332</v>
      </c>
    </row>
    <row r="186" spans="1:7" x14ac:dyDescent="0.25">
      <c r="A186" s="8">
        <v>42670.736574074072</v>
      </c>
      <c r="B186" s="21" t="s">
        <v>251</v>
      </c>
      <c r="C186" s="21" t="s">
        <v>565</v>
      </c>
      <c r="D186" s="21">
        <v>1300000</v>
      </c>
      <c r="E186" s="21" t="s">
        <v>113</v>
      </c>
      <c r="F186" s="21" t="str">
        <f t="shared" si="4"/>
        <v>rtdc.l.rtdc.4030:itc</v>
      </c>
      <c r="G186" s="8">
        <f t="shared" si="5"/>
        <v>42670.736574074072</v>
      </c>
    </row>
    <row r="187" spans="1:7" x14ac:dyDescent="0.25">
      <c r="A187" s="8">
        <v>42670.736956018518</v>
      </c>
      <c r="B187" s="21" t="s">
        <v>244</v>
      </c>
      <c r="C187" s="21" t="s">
        <v>566</v>
      </c>
      <c r="D187" s="21">
        <v>2220000</v>
      </c>
      <c r="E187" s="21" t="s">
        <v>335</v>
      </c>
      <c r="F187" s="21" t="str">
        <f t="shared" si="4"/>
        <v>rtdc.l.rtdc.4041:itc</v>
      </c>
      <c r="G187" s="8">
        <f t="shared" si="5"/>
        <v>42670.736956018518</v>
      </c>
    </row>
    <row r="188" spans="1:7" x14ac:dyDescent="0.25">
      <c r="A188" s="8">
        <v>42670.738136574073</v>
      </c>
      <c r="B188" s="21" t="s">
        <v>302</v>
      </c>
      <c r="C188" s="21" t="s">
        <v>418</v>
      </c>
      <c r="D188" s="21">
        <v>150000</v>
      </c>
      <c r="E188" s="21" t="s">
        <v>567</v>
      </c>
      <c r="F188" s="21" t="str">
        <f t="shared" si="4"/>
        <v>rtdc.l.rtdc.4045:itc</v>
      </c>
      <c r="G188" s="8">
        <f t="shared" si="5"/>
        <v>42670.738136574073</v>
      </c>
    </row>
    <row r="189" spans="1:7" x14ac:dyDescent="0.25">
      <c r="A189" s="8">
        <v>42670.739027777781</v>
      </c>
      <c r="B189" s="21" t="s">
        <v>193</v>
      </c>
      <c r="C189" s="21" t="s">
        <v>568</v>
      </c>
      <c r="D189" s="21">
        <v>1230000</v>
      </c>
      <c r="E189" s="21" t="s">
        <v>209</v>
      </c>
      <c r="F189" s="21" t="str">
        <f t="shared" si="4"/>
        <v>rtdc.l.rtdc.4009:itc</v>
      </c>
      <c r="G189" s="8">
        <f t="shared" si="5"/>
        <v>42670.739027777781</v>
      </c>
    </row>
    <row r="190" spans="1:7" x14ac:dyDescent="0.25">
      <c r="A190" s="8">
        <v>42670.746458333335</v>
      </c>
      <c r="B190" s="21" t="s">
        <v>196</v>
      </c>
      <c r="C190" s="21" t="s">
        <v>569</v>
      </c>
      <c r="D190" s="21">
        <v>2470000</v>
      </c>
      <c r="E190" s="21" t="s">
        <v>514</v>
      </c>
      <c r="F190" s="21" t="str">
        <f t="shared" si="4"/>
        <v>rtdc.l.rtdc.4007:itc</v>
      </c>
      <c r="G190" s="8">
        <f t="shared" si="5"/>
        <v>42670.746458333335</v>
      </c>
    </row>
    <row r="191" spans="1:7" x14ac:dyDescent="0.25">
      <c r="A191" s="8">
        <v>42670.751087962963</v>
      </c>
      <c r="B191" s="21" t="s">
        <v>243</v>
      </c>
      <c r="C191" s="21" t="s">
        <v>419</v>
      </c>
      <c r="D191" s="21">
        <v>2220000</v>
      </c>
      <c r="E191" s="21" t="s">
        <v>335</v>
      </c>
      <c r="F191" s="21" t="str">
        <f t="shared" si="4"/>
        <v>rtdc.l.rtdc.4042:itc</v>
      </c>
      <c r="G191" s="8">
        <f t="shared" si="5"/>
        <v>42670.751087962963</v>
      </c>
    </row>
    <row r="192" spans="1:7" x14ac:dyDescent="0.25">
      <c r="A192" s="8">
        <v>42670.752060185187</v>
      </c>
      <c r="B192" s="21" t="s">
        <v>234</v>
      </c>
      <c r="C192" s="21" t="s">
        <v>570</v>
      </c>
      <c r="D192" s="21">
        <v>2230000</v>
      </c>
      <c r="E192" s="21" t="s">
        <v>558</v>
      </c>
      <c r="F192" s="21" t="str">
        <f t="shared" si="4"/>
        <v>rtdc.l.rtdc.4017:itc</v>
      </c>
      <c r="G192" s="8">
        <f t="shared" si="5"/>
        <v>42670.752060185187</v>
      </c>
    </row>
    <row r="193" spans="1:7" x14ac:dyDescent="0.25">
      <c r="A193" s="8">
        <v>42670.754444444443</v>
      </c>
      <c r="B193" s="21" t="s">
        <v>192</v>
      </c>
      <c r="C193" s="21" t="s">
        <v>571</v>
      </c>
      <c r="D193" s="21">
        <v>1230000</v>
      </c>
      <c r="E193" s="21" t="s">
        <v>209</v>
      </c>
      <c r="F193" s="21" t="str">
        <f t="shared" si="4"/>
        <v>rtdc.l.rtdc.4010:itc</v>
      </c>
      <c r="G193" s="8">
        <f t="shared" si="5"/>
        <v>42670.754444444443</v>
      </c>
    </row>
    <row r="194" spans="1:7" x14ac:dyDescent="0.25">
      <c r="A194" s="8">
        <v>42670.755486111113</v>
      </c>
      <c r="B194" s="21" t="s">
        <v>332</v>
      </c>
      <c r="C194" s="21" t="s">
        <v>572</v>
      </c>
      <c r="D194" s="21">
        <v>1300000</v>
      </c>
      <c r="E194" s="21" t="s">
        <v>113</v>
      </c>
      <c r="F194" s="21" t="str">
        <f t="shared" ref="F194:F235" si="6">B194</f>
        <v>rtdc.l.rtdc.4040:itc</v>
      </c>
      <c r="G194" s="8">
        <f t="shared" ref="G194:G235" si="7">A194</f>
        <v>42670.755486111113</v>
      </c>
    </row>
    <row r="195" spans="1:7" x14ac:dyDescent="0.25">
      <c r="A195" s="8">
        <v>42670.759560185186</v>
      </c>
      <c r="B195" s="21" t="s">
        <v>250</v>
      </c>
      <c r="C195" s="21" t="s">
        <v>573</v>
      </c>
      <c r="D195" s="21">
        <v>2020000</v>
      </c>
      <c r="E195" s="21" t="s">
        <v>500</v>
      </c>
      <c r="F195" s="21" t="str">
        <f t="shared" si="6"/>
        <v>rtdc.l.rtdc.4029:itc</v>
      </c>
      <c r="G195" s="8">
        <f t="shared" si="7"/>
        <v>42670.759560185186</v>
      </c>
    </row>
    <row r="196" spans="1:7" x14ac:dyDescent="0.25">
      <c r="A196" s="8">
        <v>42670.76085648148</v>
      </c>
      <c r="B196" s="21" t="s">
        <v>285</v>
      </c>
      <c r="C196" s="21" t="s">
        <v>574</v>
      </c>
      <c r="D196" s="21">
        <v>1140000</v>
      </c>
      <c r="E196" s="21" t="s">
        <v>265</v>
      </c>
      <c r="F196" s="21" t="str">
        <f t="shared" si="6"/>
        <v>rtdc.l.rtdc.4021:itc</v>
      </c>
      <c r="G196" s="8">
        <f t="shared" si="7"/>
        <v>42670.76085648148</v>
      </c>
    </row>
    <row r="197" spans="1:7" x14ac:dyDescent="0.25">
      <c r="A197" s="8">
        <v>42670.768854166665</v>
      </c>
      <c r="B197" s="21" t="s">
        <v>401</v>
      </c>
      <c r="C197" s="21" t="s">
        <v>575</v>
      </c>
      <c r="D197" s="21">
        <v>2370000</v>
      </c>
      <c r="E197" s="21" t="s">
        <v>254</v>
      </c>
      <c r="F197" s="21" t="str">
        <f t="shared" si="6"/>
        <v>rtdc.l.rtdc.4014:itc</v>
      </c>
      <c r="G197" s="8">
        <f t="shared" si="7"/>
        <v>42670.768854166665</v>
      </c>
    </row>
    <row r="198" spans="1:7" x14ac:dyDescent="0.25">
      <c r="A198" s="8">
        <v>42670.772199074076</v>
      </c>
      <c r="B198" s="21" t="s">
        <v>291</v>
      </c>
      <c r="C198" s="21" t="s">
        <v>420</v>
      </c>
      <c r="D198" s="21">
        <v>2350000</v>
      </c>
      <c r="E198" s="21" t="s">
        <v>252</v>
      </c>
      <c r="F198" s="21" t="str">
        <f t="shared" si="6"/>
        <v>rtdc.l.rtdc.4001:itc</v>
      </c>
      <c r="G198" s="8">
        <f t="shared" si="7"/>
        <v>42670.772199074076</v>
      </c>
    </row>
    <row r="199" spans="1:7" x14ac:dyDescent="0.25">
      <c r="A199" s="8">
        <v>42670.776990740742</v>
      </c>
      <c r="B199" s="21" t="s">
        <v>336</v>
      </c>
      <c r="C199" s="21" t="s">
        <v>576</v>
      </c>
      <c r="D199" s="21">
        <v>2440000</v>
      </c>
      <c r="E199" s="21" t="s">
        <v>505</v>
      </c>
      <c r="F199" s="21" t="str">
        <f t="shared" si="6"/>
        <v>rtdc.l.rtdc.4038:itc</v>
      </c>
      <c r="G199" s="8">
        <f t="shared" si="7"/>
        <v>42670.776990740742</v>
      </c>
    </row>
    <row r="200" spans="1:7" x14ac:dyDescent="0.25">
      <c r="A200" s="8">
        <v>42670.777395833335</v>
      </c>
      <c r="B200" s="21" t="s">
        <v>244</v>
      </c>
      <c r="C200" s="21" t="s">
        <v>577</v>
      </c>
      <c r="D200" s="21">
        <v>2220000</v>
      </c>
      <c r="E200" s="21" t="s">
        <v>335</v>
      </c>
      <c r="F200" s="21" t="str">
        <f t="shared" si="6"/>
        <v>rtdc.l.rtdc.4041:itc</v>
      </c>
      <c r="G200" s="8">
        <f t="shared" si="7"/>
        <v>42670.777395833335</v>
      </c>
    </row>
    <row r="201" spans="1:7" x14ac:dyDescent="0.25">
      <c r="A201" s="8">
        <v>42670.783020833333</v>
      </c>
      <c r="B201" s="21" t="s">
        <v>193</v>
      </c>
      <c r="C201" s="21" t="s">
        <v>578</v>
      </c>
      <c r="D201" s="21">
        <v>1230000</v>
      </c>
      <c r="E201" s="21" t="s">
        <v>209</v>
      </c>
      <c r="F201" s="21" t="str">
        <f t="shared" si="6"/>
        <v>rtdc.l.rtdc.4009:itc</v>
      </c>
      <c r="G201" s="8">
        <f t="shared" si="7"/>
        <v>42670.783020833333</v>
      </c>
    </row>
    <row r="202" spans="1:7" x14ac:dyDescent="0.25">
      <c r="A202" s="27">
        <v>42670.78496527778</v>
      </c>
      <c r="B202" s="21" t="s">
        <v>304</v>
      </c>
      <c r="C202" s="21" t="s">
        <v>579</v>
      </c>
      <c r="D202" s="21">
        <v>2470000</v>
      </c>
      <c r="E202" s="21" t="s">
        <v>514</v>
      </c>
      <c r="F202" s="21" t="str">
        <f t="shared" si="6"/>
        <v>rtdc.l.rtdc.4008:itc</v>
      </c>
      <c r="G202" s="8">
        <f t="shared" si="7"/>
        <v>42670.78496527778</v>
      </c>
    </row>
    <row r="203" spans="1:7" x14ac:dyDescent="0.25">
      <c r="A203" s="8">
        <v>42670.789189814815</v>
      </c>
      <c r="B203" s="21" t="s">
        <v>187</v>
      </c>
      <c r="C203" s="21" t="s">
        <v>580</v>
      </c>
      <c r="D203" s="21">
        <v>2230000</v>
      </c>
      <c r="E203" s="21" t="s">
        <v>558</v>
      </c>
      <c r="F203" s="21" t="str">
        <f t="shared" si="6"/>
        <v>rtdc.l.rtdc.4018:itc</v>
      </c>
      <c r="G203" s="8">
        <f t="shared" si="7"/>
        <v>42670.789189814815</v>
      </c>
    </row>
    <row r="204" spans="1:7" x14ac:dyDescent="0.25">
      <c r="A204" s="8">
        <v>42670.79383101852</v>
      </c>
      <c r="B204" s="21" t="s">
        <v>243</v>
      </c>
      <c r="C204" s="21" t="s">
        <v>421</v>
      </c>
      <c r="D204" s="21">
        <v>2220000</v>
      </c>
      <c r="E204" s="21" t="s">
        <v>335</v>
      </c>
      <c r="F204" s="21" t="str">
        <f t="shared" si="6"/>
        <v>rtdc.l.rtdc.4042:itc</v>
      </c>
      <c r="G204" s="8">
        <f t="shared" si="7"/>
        <v>42670.79383101852</v>
      </c>
    </row>
    <row r="205" spans="1:7" x14ac:dyDescent="0.25">
      <c r="A205" s="8">
        <v>42670.795219907406</v>
      </c>
      <c r="B205" s="21" t="s">
        <v>208</v>
      </c>
      <c r="C205" s="21" t="s">
        <v>581</v>
      </c>
      <c r="D205" s="21">
        <v>1300000</v>
      </c>
      <c r="E205" s="21" t="s">
        <v>113</v>
      </c>
      <c r="F205" s="21" t="str">
        <f t="shared" si="6"/>
        <v>rtdc.l.rtdc.4039:itc</v>
      </c>
      <c r="G205" s="8">
        <f t="shared" si="7"/>
        <v>42670.795219907406</v>
      </c>
    </row>
    <row r="206" spans="1:7" x14ac:dyDescent="0.25">
      <c r="A206" s="8">
        <v>42670.796701388892</v>
      </c>
      <c r="B206" s="21" t="s">
        <v>192</v>
      </c>
      <c r="C206" s="21" t="s">
        <v>582</v>
      </c>
      <c r="D206" s="21">
        <v>1230000</v>
      </c>
      <c r="E206" s="21" t="s">
        <v>209</v>
      </c>
      <c r="F206" s="21" t="str">
        <f t="shared" si="6"/>
        <v>rtdc.l.rtdc.4010:itc</v>
      </c>
      <c r="G206" s="8">
        <f t="shared" si="7"/>
        <v>42670.796701388892</v>
      </c>
    </row>
    <row r="207" spans="1:7" x14ac:dyDescent="0.25">
      <c r="A207" s="8">
        <v>42670.799803240741</v>
      </c>
      <c r="B207" s="21" t="s">
        <v>443</v>
      </c>
      <c r="C207" s="21" t="s">
        <v>583</v>
      </c>
      <c r="D207" s="21">
        <v>1140000</v>
      </c>
      <c r="E207" s="21" t="s">
        <v>265</v>
      </c>
      <c r="F207" s="21" t="str">
        <f t="shared" si="6"/>
        <v>rtdc.l.rtdc.4022:itc</v>
      </c>
      <c r="G207" s="8">
        <f t="shared" si="7"/>
        <v>42670.799803240741</v>
      </c>
    </row>
    <row r="208" spans="1:7" x14ac:dyDescent="0.25">
      <c r="A208" s="8">
        <v>42670.805046296293</v>
      </c>
      <c r="B208" s="21" t="s">
        <v>397</v>
      </c>
      <c r="C208" s="21" t="s">
        <v>584</v>
      </c>
      <c r="D208" s="21">
        <v>2370000</v>
      </c>
      <c r="E208" s="21" t="s">
        <v>254</v>
      </c>
      <c r="F208" s="21" t="str">
        <f t="shared" si="6"/>
        <v>rtdc.l.rtdc.4013:itc</v>
      </c>
      <c r="G208" s="8">
        <f t="shared" si="7"/>
        <v>42670.805046296293</v>
      </c>
    </row>
    <row r="209" spans="1:7" x14ac:dyDescent="0.25">
      <c r="A209" s="8">
        <v>42670.807638888888</v>
      </c>
      <c r="B209" s="21" t="s">
        <v>290</v>
      </c>
      <c r="C209" s="21" t="s">
        <v>422</v>
      </c>
      <c r="D209" s="21">
        <v>2350000</v>
      </c>
      <c r="E209" s="21" t="s">
        <v>252</v>
      </c>
      <c r="F209" s="21" t="str">
        <f t="shared" si="6"/>
        <v>rtdc.l.rtdc.4002:itc</v>
      </c>
      <c r="G209" s="8">
        <f t="shared" si="7"/>
        <v>42670.807638888888</v>
      </c>
    </row>
    <row r="210" spans="1:7" x14ac:dyDescent="0.25">
      <c r="A210" s="8">
        <v>42670.818622685183</v>
      </c>
      <c r="B210" s="21" t="s">
        <v>244</v>
      </c>
      <c r="C210" s="21" t="s">
        <v>585</v>
      </c>
      <c r="D210" s="21">
        <v>2220000</v>
      </c>
      <c r="E210" s="21" t="s">
        <v>335</v>
      </c>
      <c r="F210" s="21" t="str">
        <f t="shared" si="6"/>
        <v>rtdc.l.rtdc.4041:itc</v>
      </c>
      <c r="G210" s="8">
        <f t="shared" si="7"/>
        <v>42670.818622685183</v>
      </c>
    </row>
    <row r="211" spans="1:7" x14ac:dyDescent="0.25">
      <c r="A211" s="8">
        <v>42670.819247685184</v>
      </c>
      <c r="B211" s="21" t="s">
        <v>196</v>
      </c>
      <c r="C211" s="21" t="s">
        <v>586</v>
      </c>
      <c r="D211" s="21">
        <v>2470000</v>
      </c>
      <c r="E211" s="21" t="s">
        <v>514</v>
      </c>
      <c r="F211" s="21" t="str">
        <f t="shared" si="6"/>
        <v>rtdc.l.rtdc.4007:itc</v>
      </c>
      <c r="G211" s="8">
        <f t="shared" si="7"/>
        <v>42670.819247685184</v>
      </c>
    </row>
    <row r="212" spans="1:7" x14ac:dyDescent="0.25">
      <c r="A212" s="8">
        <v>42670.82403935185</v>
      </c>
      <c r="B212" s="21" t="s">
        <v>234</v>
      </c>
      <c r="C212" s="21" t="s">
        <v>587</v>
      </c>
      <c r="D212" s="21">
        <v>2230000</v>
      </c>
      <c r="E212" s="21" t="s">
        <v>558</v>
      </c>
      <c r="F212" s="21" t="str">
        <f t="shared" si="6"/>
        <v>rtdc.l.rtdc.4017:itc</v>
      </c>
      <c r="G212" s="8">
        <f t="shared" si="7"/>
        <v>42670.82403935185</v>
      </c>
    </row>
    <row r="213" spans="1:7" x14ac:dyDescent="0.25">
      <c r="A213" s="8">
        <v>42670.82712962963</v>
      </c>
      <c r="B213" s="21" t="s">
        <v>332</v>
      </c>
      <c r="C213" s="21" t="s">
        <v>588</v>
      </c>
      <c r="D213" s="21">
        <v>1300000</v>
      </c>
      <c r="E213" s="21" t="s">
        <v>113</v>
      </c>
      <c r="F213" s="21" t="str">
        <f t="shared" si="6"/>
        <v>rtdc.l.rtdc.4040:itc</v>
      </c>
      <c r="G213" s="8">
        <f t="shared" si="7"/>
        <v>42670.82712962963</v>
      </c>
    </row>
    <row r="214" spans="1:7" x14ac:dyDescent="0.25">
      <c r="A214" s="8">
        <v>42670.83284722222</v>
      </c>
      <c r="B214" s="21" t="s">
        <v>243</v>
      </c>
      <c r="C214" s="21" t="s">
        <v>423</v>
      </c>
      <c r="D214" s="21">
        <v>2220000</v>
      </c>
      <c r="E214" s="21" t="s">
        <v>335</v>
      </c>
      <c r="F214" s="21" t="str">
        <f t="shared" si="6"/>
        <v>rtdc.l.rtdc.4042:itc</v>
      </c>
      <c r="G214" s="8">
        <f t="shared" si="7"/>
        <v>42670.83284722222</v>
      </c>
    </row>
    <row r="215" spans="1:7" x14ac:dyDescent="0.25">
      <c r="A215" s="8">
        <v>42670.844456018516</v>
      </c>
      <c r="B215" s="21" t="s">
        <v>291</v>
      </c>
      <c r="C215" s="21" t="s">
        <v>425</v>
      </c>
      <c r="D215" s="21">
        <v>2350000</v>
      </c>
      <c r="E215" s="21" t="s">
        <v>252</v>
      </c>
      <c r="F215" s="21" t="str">
        <f t="shared" si="6"/>
        <v>rtdc.l.rtdc.4001:itc</v>
      </c>
      <c r="G215" s="8">
        <f t="shared" si="7"/>
        <v>42670.844456018516</v>
      </c>
    </row>
    <row r="216" spans="1:7" x14ac:dyDescent="0.25">
      <c r="A216" s="8">
        <v>42670.851087962961</v>
      </c>
      <c r="B216" s="21" t="s">
        <v>401</v>
      </c>
      <c r="C216" s="21" t="s">
        <v>589</v>
      </c>
      <c r="D216" s="21">
        <v>2370000</v>
      </c>
      <c r="E216" s="21" t="s">
        <v>254</v>
      </c>
      <c r="F216" s="21" t="str">
        <f t="shared" si="6"/>
        <v>rtdc.l.rtdc.4014:itc</v>
      </c>
      <c r="G216" s="8">
        <f t="shared" si="7"/>
        <v>42670.851087962961</v>
      </c>
    </row>
    <row r="217" spans="1:7" x14ac:dyDescent="0.25">
      <c r="A217" s="8">
        <v>42670.859976851854</v>
      </c>
      <c r="B217" s="21" t="s">
        <v>244</v>
      </c>
      <c r="C217" s="21" t="s">
        <v>424</v>
      </c>
      <c r="D217" s="21">
        <v>2220000</v>
      </c>
      <c r="E217" s="21" t="s">
        <v>335</v>
      </c>
      <c r="F217" s="21" t="str">
        <f t="shared" si="6"/>
        <v>rtdc.l.rtdc.4041:itc</v>
      </c>
      <c r="G217" s="8">
        <f t="shared" si="7"/>
        <v>42670.859976851854</v>
      </c>
    </row>
    <row r="218" spans="1:7" x14ac:dyDescent="0.25">
      <c r="A218" s="8">
        <v>42670.863877314812</v>
      </c>
      <c r="B218" s="21" t="s">
        <v>187</v>
      </c>
      <c r="C218" s="21" t="s">
        <v>426</v>
      </c>
      <c r="D218" s="21">
        <v>2230000</v>
      </c>
      <c r="E218" s="21" t="s">
        <v>558</v>
      </c>
      <c r="F218" s="21" t="str">
        <f t="shared" si="6"/>
        <v>rtdc.l.rtdc.4018:itc</v>
      </c>
      <c r="G218" s="8">
        <f t="shared" si="7"/>
        <v>42670.863877314812</v>
      </c>
    </row>
    <row r="219" spans="1:7" x14ac:dyDescent="0.25">
      <c r="A219" s="8">
        <v>42670.86546296296</v>
      </c>
      <c r="B219" s="21" t="s">
        <v>208</v>
      </c>
      <c r="C219" s="21" t="s">
        <v>590</v>
      </c>
      <c r="D219" s="21">
        <v>1300000</v>
      </c>
      <c r="E219" s="21" t="s">
        <v>113</v>
      </c>
      <c r="F219" s="21" t="str">
        <f t="shared" si="6"/>
        <v>rtdc.l.rtdc.4039:itc</v>
      </c>
      <c r="G219" s="8">
        <f t="shared" si="7"/>
        <v>42670.86546296296</v>
      </c>
    </row>
    <row r="220" spans="1:7" x14ac:dyDescent="0.25">
      <c r="A220" s="8">
        <v>42670.886747685188</v>
      </c>
      <c r="B220" s="21" t="s">
        <v>243</v>
      </c>
      <c r="C220" s="21" t="s">
        <v>591</v>
      </c>
      <c r="D220" s="21">
        <v>1230000</v>
      </c>
      <c r="E220" s="21" t="s">
        <v>209</v>
      </c>
      <c r="F220" s="21" t="str">
        <f t="shared" si="6"/>
        <v>rtdc.l.rtdc.4042:itc</v>
      </c>
      <c r="G220" s="8">
        <f t="shared" si="7"/>
        <v>42670.886747685188</v>
      </c>
    </row>
    <row r="221" spans="1:7" x14ac:dyDescent="0.25">
      <c r="A221" s="8">
        <v>42670.890243055554</v>
      </c>
      <c r="B221" s="21" t="s">
        <v>397</v>
      </c>
      <c r="C221" s="21" t="s">
        <v>592</v>
      </c>
      <c r="D221" s="21">
        <v>2370000</v>
      </c>
      <c r="E221" s="21" t="s">
        <v>254</v>
      </c>
      <c r="F221" s="21" t="str">
        <f t="shared" si="6"/>
        <v>rtdc.l.rtdc.4013:itc</v>
      </c>
      <c r="G221" s="8">
        <f t="shared" si="7"/>
        <v>42670.890243055554</v>
      </c>
    </row>
    <row r="222" spans="1:7" x14ac:dyDescent="0.25">
      <c r="A222" s="8">
        <v>42670.890601851854</v>
      </c>
      <c r="B222" s="21" t="s">
        <v>290</v>
      </c>
      <c r="C222" s="21" t="s">
        <v>593</v>
      </c>
      <c r="D222" s="21">
        <v>2350000</v>
      </c>
      <c r="E222" s="21" t="s">
        <v>252</v>
      </c>
      <c r="F222" s="21" t="str">
        <f t="shared" si="6"/>
        <v>rtdc.l.rtdc.4002:itc</v>
      </c>
      <c r="G222" s="8">
        <f t="shared" si="7"/>
        <v>42670.890601851854</v>
      </c>
    </row>
    <row r="223" spans="1:7" x14ac:dyDescent="0.25">
      <c r="A223" s="8">
        <v>42670.900717592594</v>
      </c>
      <c r="B223" s="21" t="s">
        <v>244</v>
      </c>
      <c r="C223" s="21" t="s">
        <v>594</v>
      </c>
      <c r="D223" s="21">
        <v>1230000</v>
      </c>
      <c r="E223" s="21" t="s">
        <v>209</v>
      </c>
      <c r="F223" s="21" t="str">
        <f t="shared" si="6"/>
        <v>rtdc.l.rtdc.4041:itc</v>
      </c>
      <c r="G223" s="8">
        <f t="shared" si="7"/>
        <v>42670.900717592594</v>
      </c>
    </row>
    <row r="224" spans="1:7" x14ac:dyDescent="0.25">
      <c r="A224" s="8">
        <v>42670.908043981479</v>
      </c>
      <c r="B224" t="s">
        <v>234</v>
      </c>
      <c r="C224" t="s">
        <v>595</v>
      </c>
      <c r="D224">
        <v>2230000</v>
      </c>
      <c r="E224" t="s">
        <v>558</v>
      </c>
      <c r="F224" s="21" t="str">
        <f t="shared" si="6"/>
        <v>rtdc.l.rtdc.4017:itc</v>
      </c>
      <c r="G224" s="8">
        <f t="shared" si="7"/>
        <v>42670.908043981479</v>
      </c>
    </row>
    <row r="225" spans="1:7" x14ac:dyDescent="0.25">
      <c r="A225" s="8">
        <v>42670.913148148145</v>
      </c>
      <c r="B225" t="s">
        <v>332</v>
      </c>
      <c r="C225" t="s">
        <v>596</v>
      </c>
      <c r="D225">
        <v>1300000</v>
      </c>
      <c r="E225" t="s">
        <v>113</v>
      </c>
      <c r="F225" s="21" t="str">
        <f t="shared" si="6"/>
        <v>rtdc.l.rtdc.4040:itc</v>
      </c>
      <c r="G225" s="8">
        <f t="shared" si="7"/>
        <v>42670.913148148145</v>
      </c>
    </row>
    <row r="226" spans="1:7" x14ac:dyDescent="0.25">
      <c r="A226" s="8">
        <v>42670.914571759262</v>
      </c>
      <c r="B226" t="s">
        <v>243</v>
      </c>
      <c r="C226" t="s">
        <v>597</v>
      </c>
      <c r="D226">
        <v>1230000</v>
      </c>
      <c r="E226" t="s">
        <v>209</v>
      </c>
      <c r="F226" s="21" t="str">
        <f t="shared" si="6"/>
        <v>rtdc.l.rtdc.4042:itc</v>
      </c>
      <c r="G226" s="8">
        <f t="shared" si="7"/>
        <v>42670.914571759262</v>
      </c>
    </row>
    <row r="227" spans="1:7" x14ac:dyDescent="0.25">
      <c r="A227" s="8">
        <v>42670.927974537037</v>
      </c>
      <c r="B227" t="s">
        <v>291</v>
      </c>
      <c r="C227" t="s">
        <v>427</v>
      </c>
      <c r="D227">
        <v>2350000</v>
      </c>
      <c r="E227" t="s">
        <v>252</v>
      </c>
      <c r="F227" s="21" t="str">
        <f t="shared" si="6"/>
        <v>rtdc.l.rtdc.4001:itc</v>
      </c>
      <c r="G227" s="8">
        <f t="shared" si="7"/>
        <v>42670.927974537037</v>
      </c>
    </row>
    <row r="228" spans="1:7" x14ac:dyDescent="0.25">
      <c r="A228" s="8">
        <v>42670.933622685188</v>
      </c>
      <c r="B228" t="s">
        <v>401</v>
      </c>
      <c r="C228" t="s">
        <v>598</v>
      </c>
      <c r="D228">
        <v>2370000</v>
      </c>
      <c r="E228" t="s">
        <v>254</v>
      </c>
      <c r="F228" s="21" t="str">
        <f t="shared" si="6"/>
        <v>rtdc.l.rtdc.4014:itc</v>
      </c>
      <c r="G228" s="8">
        <f t="shared" si="7"/>
        <v>42670.933622685188</v>
      </c>
    </row>
    <row r="229" spans="1:7" x14ac:dyDescent="0.25">
      <c r="A229" s="8">
        <v>42670.942083333335</v>
      </c>
      <c r="B229" t="s">
        <v>244</v>
      </c>
      <c r="C229" t="s">
        <v>599</v>
      </c>
      <c r="D229">
        <v>1230000</v>
      </c>
      <c r="E229" t="s">
        <v>209</v>
      </c>
      <c r="F229" s="21" t="str">
        <f t="shared" si="6"/>
        <v>rtdc.l.rtdc.4041:itc</v>
      </c>
      <c r="G229" s="8">
        <f t="shared" si="7"/>
        <v>42670.942083333335</v>
      </c>
    </row>
    <row r="230" spans="1:7" x14ac:dyDescent="0.25">
      <c r="A230" s="8">
        <v>42670.947465277779</v>
      </c>
      <c r="B230" t="s">
        <v>187</v>
      </c>
      <c r="C230" t="s">
        <v>600</v>
      </c>
      <c r="D230">
        <v>2230000</v>
      </c>
      <c r="E230" t="s">
        <v>558</v>
      </c>
      <c r="F230" s="21" t="str">
        <f t="shared" si="6"/>
        <v>rtdc.l.rtdc.4018:itc</v>
      </c>
      <c r="G230" s="8">
        <f t="shared" si="7"/>
        <v>42670.947465277779</v>
      </c>
    </row>
    <row r="231" spans="1:7" x14ac:dyDescent="0.25">
      <c r="A231" s="8">
        <v>42670.950300925928</v>
      </c>
      <c r="B231" t="s">
        <v>208</v>
      </c>
      <c r="C231" t="s">
        <v>428</v>
      </c>
      <c r="D231">
        <v>1300000</v>
      </c>
      <c r="E231" t="s">
        <v>113</v>
      </c>
      <c r="F231" s="21" t="str">
        <f t="shared" si="6"/>
        <v>rtdc.l.rtdc.4039:itc</v>
      </c>
      <c r="G231" s="8">
        <f t="shared" si="7"/>
        <v>42670.950300925928</v>
      </c>
    </row>
    <row r="232" spans="1:7" x14ac:dyDescent="0.25">
      <c r="A232" s="8">
        <v>42670.969710648147</v>
      </c>
      <c r="B232" t="s">
        <v>157</v>
      </c>
      <c r="C232" t="s">
        <v>601</v>
      </c>
      <c r="D232">
        <v>140000</v>
      </c>
      <c r="E232" t="s">
        <v>265</v>
      </c>
      <c r="F232" s="21" t="str">
        <f t="shared" si="6"/>
        <v>rtdc.l.rtdc.4052:itc</v>
      </c>
      <c r="G232" s="8">
        <f t="shared" si="7"/>
        <v>42670.969710648147</v>
      </c>
    </row>
    <row r="233" spans="1:7" x14ac:dyDescent="0.25">
      <c r="A233" s="8">
        <v>42670.972662037035</v>
      </c>
      <c r="B233" t="s">
        <v>397</v>
      </c>
      <c r="C233" t="s">
        <v>602</v>
      </c>
      <c r="D233">
        <v>2370000</v>
      </c>
      <c r="E233" t="s">
        <v>254</v>
      </c>
      <c r="F233" s="21" t="str">
        <f t="shared" si="6"/>
        <v>rtdc.l.rtdc.4013:itc</v>
      </c>
      <c r="G233" s="8">
        <f t="shared" si="7"/>
        <v>42670.972662037035</v>
      </c>
    </row>
    <row r="234" spans="1:7" x14ac:dyDescent="0.25">
      <c r="A234" s="8">
        <v>42670.974907407406</v>
      </c>
      <c r="B234" t="s">
        <v>290</v>
      </c>
      <c r="C234" t="s">
        <v>603</v>
      </c>
      <c r="D234">
        <v>2350000</v>
      </c>
      <c r="E234" t="s">
        <v>252</v>
      </c>
      <c r="F234" s="21" t="str">
        <f t="shared" si="6"/>
        <v>rtdc.l.rtdc.4002:itc</v>
      </c>
      <c r="G234" s="8">
        <f t="shared" si="7"/>
        <v>42670.974907407406</v>
      </c>
    </row>
    <row r="235" spans="1:7" x14ac:dyDescent="0.25">
      <c r="A235" s="8">
        <v>42670.981076388889</v>
      </c>
      <c r="B235" t="s">
        <v>156</v>
      </c>
      <c r="C235" t="s">
        <v>604</v>
      </c>
      <c r="D235">
        <v>140000</v>
      </c>
      <c r="E235" t="s">
        <v>265</v>
      </c>
      <c r="F235" s="21" t="str">
        <f t="shared" si="6"/>
        <v>rtdc.l.rtdc.4051:itc</v>
      </c>
      <c r="G235" s="8">
        <f t="shared" si="7"/>
        <v>42670.981076388889</v>
      </c>
    </row>
    <row r="236" spans="1:7" x14ac:dyDescent="0.25">
      <c r="A236" s="8">
        <v>42670.986828703702</v>
      </c>
      <c r="B236" t="s">
        <v>234</v>
      </c>
      <c r="C236" t="s">
        <v>605</v>
      </c>
      <c r="D236">
        <v>2230000</v>
      </c>
      <c r="E236" t="s">
        <v>558</v>
      </c>
      <c r="F236" s="21" t="str">
        <f t="shared" ref="F236:F265" si="8">B236</f>
        <v>rtdc.l.rtdc.4017:itc</v>
      </c>
      <c r="G236" s="8">
        <f t="shared" ref="G236:G265" si="9">A236</f>
        <v>42670.986828703702</v>
      </c>
    </row>
    <row r="237" spans="1:7" x14ac:dyDescent="0.25">
      <c r="A237" s="8">
        <v>42670.989155092589</v>
      </c>
      <c r="B237" t="s">
        <v>332</v>
      </c>
      <c r="C237" t="s">
        <v>606</v>
      </c>
      <c r="D237">
        <v>1300000</v>
      </c>
      <c r="E237" t="s">
        <v>113</v>
      </c>
      <c r="F237" s="21" t="str">
        <f t="shared" si="8"/>
        <v>rtdc.l.rtdc.4040:itc</v>
      </c>
      <c r="G237" s="8">
        <f t="shared" si="9"/>
        <v>42670.989155092589</v>
      </c>
    </row>
    <row r="238" spans="1:7" x14ac:dyDescent="0.25">
      <c r="A238" s="8">
        <v>42671.011747685188</v>
      </c>
      <c r="B238" t="s">
        <v>401</v>
      </c>
      <c r="C238" t="s">
        <v>607</v>
      </c>
      <c r="D238">
        <v>2370000</v>
      </c>
      <c r="E238" t="s">
        <v>254</v>
      </c>
      <c r="F238" s="21" t="str">
        <f t="shared" si="8"/>
        <v>rtdc.l.rtdc.4014:itc</v>
      </c>
      <c r="G238" s="8">
        <f t="shared" si="9"/>
        <v>42671.011747685188</v>
      </c>
    </row>
    <row r="239" spans="1:7" x14ac:dyDescent="0.25">
      <c r="A239" s="8">
        <v>42671.01703703704</v>
      </c>
      <c r="B239" t="s">
        <v>291</v>
      </c>
      <c r="C239" t="s">
        <v>608</v>
      </c>
      <c r="D239">
        <v>2350000</v>
      </c>
      <c r="E239" t="s">
        <v>252</v>
      </c>
      <c r="F239" s="21" t="str">
        <f t="shared" si="8"/>
        <v>rtdc.l.rtdc.4001:itc</v>
      </c>
      <c r="G239" s="8">
        <f t="shared" si="9"/>
        <v>42671.01703703704</v>
      </c>
    </row>
    <row r="240" spans="1:7" x14ac:dyDescent="0.25">
      <c r="A240" s="8">
        <v>42671.026400462964</v>
      </c>
      <c r="B240" t="s">
        <v>187</v>
      </c>
      <c r="C240" t="s">
        <v>609</v>
      </c>
      <c r="D240">
        <v>2230000</v>
      </c>
      <c r="E240" t="s">
        <v>558</v>
      </c>
      <c r="F240" s="21" t="str">
        <f t="shared" si="8"/>
        <v>rtdc.l.rtdc.4018:itc</v>
      </c>
      <c r="G240" s="8">
        <f t="shared" si="9"/>
        <v>42671.026400462964</v>
      </c>
    </row>
    <row r="241" spans="1:7" x14ac:dyDescent="0.25">
      <c r="A241" s="8">
        <v>42671.028460648151</v>
      </c>
      <c r="B241" t="s">
        <v>208</v>
      </c>
      <c r="C241" t="s">
        <v>429</v>
      </c>
      <c r="D241">
        <v>1300000</v>
      </c>
      <c r="E241" t="s">
        <v>113</v>
      </c>
      <c r="F241" s="21" t="str">
        <f t="shared" si="8"/>
        <v>rtdc.l.rtdc.4039:itc</v>
      </c>
      <c r="G241" s="8">
        <f t="shared" si="9"/>
        <v>42671.028460648151</v>
      </c>
    </row>
    <row r="242" spans="1:7" x14ac:dyDescent="0.25">
      <c r="A242" s="8">
        <v>42671.038113425922</v>
      </c>
      <c r="B242" t="s">
        <v>234</v>
      </c>
      <c r="C242" t="s">
        <v>609</v>
      </c>
      <c r="D242">
        <v>2230000</v>
      </c>
      <c r="E242" t="s">
        <v>558</v>
      </c>
      <c r="F242" s="21" t="str">
        <f t="shared" si="8"/>
        <v>rtdc.l.rtdc.4017:itc</v>
      </c>
      <c r="G242" s="8">
        <f t="shared" si="9"/>
        <v>42671.038113425922</v>
      </c>
    </row>
    <row r="243" spans="1:7" x14ac:dyDescent="0.25">
      <c r="A243" s="8">
        <v>42671.039409722223</v>
      </c>
      <c r="B243" t="s">
        <v>234</v>
      </c>
      <c r="C243" t="s">
        <v>609</v>
      </c>
      <c r="D243">
        <v>2230000</v>
      </c>
      <c r="E243" t="s">
        <v>558</v>
      </c>
      <c r="F243" s="21" t="str">
        <f t="shared" si="8"/>
        <v>rtdc.l.rtdc.4017:itc</v>
      </c>
      <c r="G243" s="8">
        <f t="shared" si="9"/>
        <v>42671.039409722223</v>
      </c>
    </row>
    <row r="244" spans="1:7" x14ac:dyDescent="0.25">
      <c r="A244" s="8">
        <v>42671.046851851854</v>
      </c>
      <c r="B244" t="s">
        <v>290</v>
      </c>
      <c r="C244" t="s">
        <v>610</v>
      </c>
      <c r="D244">
        <v>2350000</v>
      </c>
      <c r="E244" t="s">
        <v>252</v>
      </c>
      <c r="F244" s="21" t="str">
        <f t="shared" si="8"/>
        <v>rtdc.l.rtdc.4002:itc</v>
      </c>
      <c r="G244" s="8">
        <f t="shared" si="9"/>
        <v>42671.046851851854</v>
      </c>
    </row>
    <row r="245" spans="1:7" x14ac:dyDescent="0.25">
      <c r="A245" s="8">
        <v>42671.047094907408</v>
      </c>
      <c r="B245" t="s">
        <v>157</v>
      </c>
      <c r="C245" t="s">
        <v>601</v>
      </c>
      <c r="D245">
        <v>140000</v>
      </c>
      <c r="E245" t="s">
        <v>265</v>
      </c>
      <c r="F245" s="21" t="str">
        <f t="shared" si="8"/>
        <v>rtdc.l.rtdc.4052:itc</v>
      </c>
      <c r="G245" s="8">
        <f t="shared" si="9"/>
        <v>42671.047094907408</v>
      </c>
    </row>
    <row r="246" spans="1:7" x14ac:dyDescent="0.25">
      <c r="A246" s="8">
        <v>42671.055983796294</v>
      </c>
      <c r="B246" t="s">
        <v>397</v>
      </c>
      <c r="C246" t="s">
        <v>611</v>
      </c>
      <c r="D246">
        <v>2370000</v>
      </c>
      <c r="E246" t="s">
        <v>254</v>
      </c>
      <c r="F246" s="21" t="str">
        <f t="shared" si="8"/>
        <v>rtdc.l.rtdc.4013:itc</v>
      </c>
      <c r="G246" s="8">
        <f t="shared" si="9"/>
        <v>42671.055983796294</v>
      </c>
    </row>
    <row r="247" spans="1:7" x14ac:dyDescent="0.25">
      <c r="A247" s="8">
        <v>42671.067777777775</v>
      </c>
      <c r="B247" t="s">
        <v>332</v>
      </c>
      <c r="C247" t="s">
        <v>612</v>
      </c>
      <c r="D247">
        <v>1300000</v>
      </c>
      <c r="E247" t="s">
        <v>113</v>
      </c>
      <c r="F247" s="21" t="str">
        <f t="shared" si="8"/>
        <v>rtdc.l.rtdc.4040:itc</v>
      </c>
      <c r="G247" s="8">
        <f t="shared" si="9"/>
        <v>42671.067777777775</v>
      </c>
    </row>
    <row r="248" spans="1:7" x14ac:dyDescent="0.25">
      <c r="A248" s="8">
        <v>42671.072210648148</v>
      </c>
      <c r="B248" t="s">
        <v>156</v>
      </c>
      <c r="C248" t="s">
        <v>604</v>
      </c>
      <c r="D248">
        <v>140000</v>
      </c>
      <c r="E248" t="s">
        <v>265</v>
      </c>
      <c r="F248" s="21" t="str">
        <f t="shared" si="8"/>
        <v>rtdc.l.rtdc.4051:itc</v>
      </c>
      <c r="G248" s="8">
        <f t="shared" si="9"/>
        <v>42671.072210648148</v>
      </c>
    </row>
    <row r="249" spans="1:7" x14ac:dyDescent="0.25">
      <c r="A249" s="8">
        <v>42671.088854166665</v>
      </c>
      <c r="B249" t="s">
        <v>401</v>
      </c>
      <c r="C249" t="s">
        <v>613</v>
      </c>
      <c r="D249">
        <v>2370000</v>
      </c>
      <c r="E249" t="s">
        <v>254</v>
      </c>
      <c r="F249" s="21" t="str">
        <f t="shared" si="8"/>
        <v>rtdc.l.rtdc.4014:itc</v>
      </c>
      <c r="G249" s="8">
        <f t="shared" si="9"/>
        <v>42671.088854166665</v>
      </c>
    </row>
    <row r="250" spans="1:7" x14ac:dyDescent="0.25">
      <c r="A250" s="8">
        <v>42671.089178240742</v>
      </c>
      <c r="B250" t="s">
        <v>157</v>
      </c>
      <c r="C250" t="s">
        <v>601</v>
      </c>
      <c r="D250">
        <v>140000</v>
      </c>
      <c r="E250" t="s">
        <v>265</v>
      </c>
      <c r="F250" s="21" t="str">
        <f t="shared" si="8"/>
        <v>rtdc.l.rtdc.4052:itc</v>
      </c>
      <c r="G250" s="8">
        <f t="shared" si="9"/>
        <v>42671.089178240742</v>
      </c>
    </row>
    <row r="251" spans="1:7" x14ac:dyDescent="0.25">
      <c r="A251" s="8">
        <v>42671.106400462966</v>
      </c>
      <c r="B251" t="s">
        <v>156</v>
      </c>
      <c r="C251" t="s">
        <v>604</v>
      </c>
      <c r="D251">
        <v>140000</v>
      </c>
      <c r="E251" t="s">
        <v>265</v>
      </c>
      <c r="F251" s="21" t="str">
        <f t="shared" si="8"/>
        <v>rtdc.l.rtdc.4051:itc</v>
      </c>
      <c r="G251" s="8">
        <f t="shared" si="9"/>
        <v>42671.106400462966</v>
      </c>
    </row>
    <row r="252" spans="1:7" x14ac:dyDescent="0.25">
      <c r="A252" s="8">
        <v>42662.055243055554</v>
      </c>
      <c r="B252" t="s">
        <v>259</v>
      </c>
      <c r="C252" t="s">
        <v>260</v>
      </c>
      <c r="D252">
        <v>2350000</v>
      </c>
      <c r="E252" t="s">
        <v>252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195</v>
      </c>
      <c r="C253" t="s">
        <v>261</v>
      </c>
      <c r="D253">
        <v>1180000</v>
      </c>
      <c r="E253" t="s">
        <v>188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258</v>
      </c>
      <c r="C254" t="s">
        <v>262</v>
      </c>
      <c r="D254">
        <v>2350000</v>
      </c>
      <c r="E254" t="s">
        <v>252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156</v>
      </c>
      <c r="C255" t="s">
        <v>205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156</v>
      </c>
      <c r="C256" t="s">
        <v>205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156</v>
      </c>
      <c r="C257" t="s">
        <v>204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206</v>
      </c>
      <c r="C258" t="s">
        <v>202</v>
      </c>
      <c r="D258">
        <v>1480000</v>
      </c>
      <c r="E258" t="s">
        <v>190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196</v>
      </c>
      <c r="C259" t="s">
        <v>203</v>
      </c>
      <c r="D259">
        <v>1300000</v>
      </c>
      <c r="E259" t="s">
        <v>113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196</v>
      </c>
      <c r="C261" t="s">
        <v>198</v>
      </c>
      <c r="D261">
        <v>1180000</v>
      </c>
      <c r="E261" t="s">
        <v>188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156</v>
      </c>
      <c r="C262" t="s">
        <v>197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192</v>
      </c>
      <c r="C263" t="s">
        <v>199</v>
      </c>
      <c r="D263">
        <v>1480000</v>
      </c>
      <c r="E263" t="s">
        <v>190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195</v>
      </c>
      <c r="C264" t="s">
        <v>200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197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197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197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197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197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193</v>
      </c>
      <c r="C270" t="s">
        <v>201</v>
      </c>
      <c r="D270">
        <v>1480000</v>
      </c>
      <c r="E270" t="s">
        <v>190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197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197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197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51.58</v>
      </c>
      <c r="B2" s="169">
        <v>0.19</v>
      </c>
      <c r="C2" s="169">
        <v>32.07</v>
      </c>
      <c r="D2" s="8">
        <v>42670</v>
      </c>
      <c r="E2" s="169">
        <v>0.47</v>
      </c>
      <c r="F2" s="169" t="s">
        <v>240</v>
      </c>
      <c r="G2" s="169">
        <v>239.87</v>
      </c>
      <c r="H2" s="169">
        <v>0</v>
      </c>
      <c r="I2" s="169">
        <v>0</v>
      </c>
      <c r="J2" s="169">
        <v>1021.51</v>
      </c>
      <c r="K2" s="169" t="s">
        <v>241</v>
      </c>
      <c r="L2" s="169">
        <v>51.58</v>
      </c>
      <c r="M2" s="169">
        <v>1477548000</v>
      </c>
      <c r="N2" s="169">
        <v>6.13</v>
      </c>
      <c r="O2" s="169">
        <v>206</v>
      </c>
      <c r="P2" s="169">
        <v>2.59</v>
      </c>
      <c r="Q2"/>
    </row>
    <row r="3" spans="1:17" x14ac:dyDescent="0.25">
      <c r="A3" s="169">
        <v>49.68</v>
      </c>
      <c r="B3" s="169">
        <v>0.16</v>
      </c>
      <c r="C3" s="169">
        <v>31.25</v>
      </c>
      <c r="D3" s="8">
        <v>42670.041666666664</v>
      </c>
      <c r="E3" s="169">
        <v>0.49</v>
      </c>
      <c r="F3" s="169" t="s">
        <v>240</v>
      </c>
      <c r="G3" s="169">
        <v>239.93</v>
      </c>
      <c r="H3" s="169">
        <v>0</v>
      </c>
      <c r="I3" s="169">
        <v>0</v>
      </c>
      <c r="J3" s="169">
        <v>1021.97</v>
      </c>
      <c r="K3" s="169" t="s">
        <v>241</v>
      </c>
      <c r="L3" s="169">
        <v>49.68</v>
      </c>
      <c r="M3" s="169">
        <v>1477551600</v>
      </c>
      <c r="N3" s="169">
        <v>6.73</v>
      </c>
      <c r="O3" s="169">
        <v>231</v>
      </c>
      <c r="P3" s="169">
        <v>2.1</v>
      </c>
      <c r="Q3"/>
    </row>
    <row r="4" spans="1:17" x14ac:dyDescent="0.25">
      <c r="A4" s="169">
        <v>47.16</v>
      </c>
      <c r="B4" s="169">
        <v>0.12</v>
      </c>
      <c r="C4" s="169">
        <v>30.87</v>
      </c>
      <c r="D4" s="8">
        <v>42670.083333333336</v>
      </c>
      <c r="E4" s="169">
        <v>0.53</v>
      </c>
      <c r="F4" s="169" t="s">
        <v>240</v>
      </c>
      <c r="G4" s="169">
        <v>239.98</v>
      </c>
      <c r="H4" s="169">
        <v>0</v>
      </c>
      <c r="I4" s="169">
        <v>0</v>
      </c>
      <c r="J4" s="169">
        <v>1022.33</v>
      </c>
      <c r="K4" s="169" t="s">
        <v>241</v>
      </c>
      <c r="L4" s="169">
        <v>47.16</v>
      </c>
      <c r="M4" s="169">
        <v>1477555200</v>
      </c>
      <c r="N4" s="169">
        <v>5.61</v>
      </c>
      <c r="O4" s="169">
        <v>214</v>
      </c>
      <c r="P4" s="169">
        <v>1.57</v>
      </c>
      <c r="Q4"/>
    </row>
    <row r="5" spans="1:17" x14ac:dyDescent="0.25">
      <c r="A5" s="169">
        <v>45.89</v>
      </c>
      <c r="B5" s="169">
        <v>0.09</v>
      </c>
      <c r="C5" s="169">
        <v>30.76</v>
      </c>
      <c r="D5" s="8">
        <v>42670.125</v>
      </c>
      <c r="E5" s="169">
        <v>0.55000000000000004</v>
      </c>
      <c r="F5" s="169" t="s">
        <v>240</v>
      </c>
      <c r="G5" s="169">
        <v>240.03</v>
      </c>
      <c r="H5" s="169">
        <v>0</v>
      </c>
      <c r="I5" s="169">
        <v>0</v>
      </c>
      <c r="J5" s="169">
        <v>1022.62</v>
      </c>
      <c r="K5" s="169" t="s">
        <v>241</v>
      </c>
      <c r="L5" s="169">
        <v>45.89</v>
      </c>
      <c r="M5" s="169">
        <v>1477558800</v>
      </c>
      <c r="N5" s="169">
        <v>4.7699999999999996</v>
      </c>
      <c r="O5" s="169">
        <v>235</v>
      </c>
      <c r="P5" s="169">
        <v>2.74</v>
      </c>
      <c r="Q5"/>
    </row>
    <row r="6" spans="1:17" x14ac:dyDescent="0.25">
      <c r="A6" s="169">
        <v>43.86</v>
      </c>
      <c r="B6" s="169">
        <v>0.15</v>
      </c>
      <c r="C6" s="169">
        <v>28.83</v>
      </c>
      <c r="D6" s="8">
        <v>42670.166666666664</v>
      </c>
      <c r="E6" s="169">
        <v>0.55000000000000004</v>
      </c>
      <c r="F6" s="169" t="s">
        <v>240</v>
      </c>
      <c r="G6" s="169">
        <v>239.96</v>
      </c>
      <c r="H6" s="169">
        <v>0</v>
      </c>
      <c r="I6" s="169">
        <v>0</v>
      </c>
      <c r="J6" s="169">
        <v>1022.55</v>
      </c>
      <c r="K6" s="169" t="s">
        <v>241</v>
      </c>
      <c r="L6" s="169">
        <v>43.86</v>
      </c>
      <c r="M6" s="169">
        <v>1477562400</v>
      </c>
      <c r="N6" s="169">
        <v>4.33</v>
      </c>
      <c r="O6" s="169">
        <v>225</v>
      </c>
      <c r="P6" s="169">
        <v>2.12</v>
      </c>
      <c r="Q6"/>
    </row>
    <row r="7" spans="1:17" x14ac:dyDescent="0.25">
      <c r="A7" s="169">
        <v>42.61</v>
      </c>
      <c r="B7" s="169">
        <v>0.2</v>
      </c>
      <c r="C7" s="169">
        <v>28.35</v>
      </c>
      <c r="D7" s="8">
        <v>42670.208333333336</v>
      </c>
      <c r="E7" s="169">
        <v>0.56999999999999995</v>
      </c>
      <c r="F7" s="169" t="s">
        <v>240</v>
      </c>
      <c r="G7" s="169">
        <v>239.86</v>
      </c>
      <c r="H7" s="169">
        <v>0</v>
      </c>
      <c r="I7" s="169">
        <v>0</v>
      </c>
      <c r="J7" s="169">
        <v>1022.28</v>
      </c>
      <c r="K7" s="169" t="s">
        <v>241</v>
      </c>
      <c r="L7" s="169">
        <v>42.61</v>
      </c>
      <c r="M7" s="169">
        <v>1477566000</v>
      </c>
      <c r="N7" s="169">
        <v>4.95</v>
      </c>
      <c r="O7" s="169">
        <v>238</v>
      </c>
      <c r="P7" s="169">
        <v>2.66</v>
      </c>
      <c r="Q7"/>
    </row>
    <row r="8" spans="1:17" x14ac:dyDescent="0.25">
      <c r="A8" s="169">
        <v>43.5</v>
      </c>
      <c r="B8" s="169">
        <v>0.26</v>
      </c>
      <c r="C8" s="169">
        <v>28.09</v>
      </c>
      <c r="D8" s="8">
        <v>42670.25</v>
      </c>
      <c r="E8" s="169">
        <v>0.54</v>
      </c>
      <c r="F8" s="169" t="s">
        <v>614</v>
      </c>
      <c r="G8" s="169">
        <v>239.93</v>
      </c>
      <c r="H8" s="169">
        <v>0</v>
      </c>
      <c r="I8" s="169">
        <v>0</v>
      </c>
      <c r="J8" s="169">
        <v>1022.03</v>
      </c>
      <c r="K8" s="169" t="s">
        <v>615</v>
      </c>
      <c r="L8" s="169">
        <v>43.5</v>
      </c>
      <c r="M8" s="169">
        <v>1477569600</v>
      </c>
      <c r="N8" s="169">
        <v>4.7300000000000004</v>
      </c>
      <c r="O8" s="169">
        <v>223</v>
      </c>
      <c r="P8" s="169">
        <v>2.77</v>
      </c>
      <c r="Q8"/>
    </row>
    <row r="9" spans="1:17" x14ac:dyDescent="0.25">
      <c r="A9" s="169">
        <v>43.72</v>
      </c>
      <c r="B9" s="169">
        <v>0.23</v>
      </c>
      <c r="C9" s="169">
        <v>28.06</v>
      </c>
      <c r="D9" s="8">
        <v>42670.291666666664</v>
      </c>
      <c r="E9" s="169">
        <v>0.54</v>
      </c>
      <c r="F9" s="169" t="s">
        <v>240</v>
      </c>
      <c r="G9" s="169">
        <v>240.31</v>
      </c>
      <c r="H9" s="169">
        <v>0</v>
      </c>
      <c r="I9" s="169">
        <v>0</v>
      </c>
      <c r="J9" s="169">
        <v>1021.98</v>
      </c>
      <c r="K9" s="169" t="s">
        <v>241</v>
      </c>
      <c r="L9" s="169">
        <v>43.72</v>
      </c>
      <c r="M9" s="169">
        <v>1477573200</v>
      </c>
      <c r="N9" s="169">
        <v>3.58</v>
      </c>
      <c r="O9" s="169">
        <v>207</v>
      </c>
      <c r="P9" s="169">
        <v>2.41</v>
      </c>
      <c r="Q9"/>
    </row>
    <row r="10" spans="1:17" x14ac:dyDescent="0.25">
      <c r="A10" s="169">
        <v>46.59</v>
      </c>
      <c r="B10" s="169">
        <v>0.19</v>
      </c>
      <c r="C10" s="169">
        <v>30.17</v>
      </c>
      <c r="D10" s="8">
        <v>42670.333333333336</v>
      </c>
      <c r="E10" s="169">
        <v>0.53</v>
      </c>
      <c r="F10" s="169" t="s">
        <v>308</v>
      </c>
      <c r="G10" s="169">
        <v>240.87</v>
      </c>
      <c r="H10" s="169">
        <v>0</v>
      </c>
      <c r="I10" s="169">
        <v>0</v>
      </c>
      <c r="J10" s="169">
        <v>1022.09</v>
      </c>
      <c r="K10" s="169" t="s">
        <v>241</v>
      </c>
      <c r="L10" s="169">
        <v>46.59</v>
      </c>
      <c r="M10" s="169">
        <v>1477576800</v>
      </c>
      <c r="N10" s="169">
        <v>3.13</v>
      </c>
      <c r="O10" s="169">
        <v>207</v>
      </c>
      <c r="P10" s="169">
        <v>2.23</v>
      </c>
      <c r="Q10"/>
    </row>
    <row r="11" spans="1:17" x14ac:dyDescent="0.25">
      <c r="A11" s="169">
        <v>52.18</v>
      </c>
      <c r="B11" s="169">
        <v>0.17</v>
      </c>
      <c r="C11" s="169">
        <v>31</v>
      </c>
      <c r="D11" s="8">
        <v>42670.375</v>
      </c>
      <c r="E11" s="169">
        <v>0.44</v>
      </c>
      <c r="F11" s="169" t="s">
        <v>308</v>
      </c>
      <c r="G11" s="169">
        <v>241.37</v>
      </c>
      <c r="H11" s="169">
        <v>0</v>
      </c>
      <c r="I11" s="169">
        <v>0</v>
      </c>
      <c r="J11" s="169">
        <v>1021.7</v>
      </c>
      <c r="K11" s="169" t="s">
        <v>241</v>
      </c>
      <c r="L11" s="169">
        <v>52.18</v>
      </c>
      <c r="M11" s="169">
        <v>1477580400</v>
      </c>
      <c r="N11" s="169">
        <v>2.96</v>
      </c>
      <c r="O11" s="169">
        <v>221</v>
      </c>
      <c r="P11" s="169">
        <v>2.44</v>
      </c>
      <c r="Q11"/>
    </row>
    <row r="12" spans="1:17" x14ac:dyDescent="0.25">
      <c r="A12" s="169">
        <v>59.47</v>
      </c>
      <c r="B12" s="169">
        <v>0.25</v>
      </c>
      <c r="C12" s="169">
        <v>30.42</v>
      </c>
      <c r="D12" s="8">
        <v>42670.416666666664</v>
      </c>
      <c r="E12" s="169">
        <v>0.33</v>
      </c>
      <c r="F12" s="169" t="s">
        <v>616</v>
      </c>
      <c r="G12" s="169">
        <v>241.81</v>
      </c>
      <c r="H12" s="169">
        <v>0</v>
      </c>
      <c r="I12" s="169">
        <v>0</v>
      </c>
      <c r="J12" s="169">
        <v>1020.39</v>
      </c>
      <c r="K12" s="169" t="s">
        <v>615</v>
      </c>
      <c r="L12" s="169">
        <v>59.47</v>
      </c>
      <c r="M12" s="169">
        <v>1477584000</v>
      </c>
      <c r="N12" s="169">
        <v>3.01</v>
      </c>
      <c r="O12" s="169">
        <v>187</v>
      </c>
      <c r="P12" s="169">
        <v>2.75</v>
      </c>
      <c r="Q12"/>
    </row>
    <row r="13" spans="1:17" x14ac:dyDescent="0.25">
      <c r="A13" s="169">
        <v>67.900000000000006</v>
      </c>
      <c r="B13" s="169">
        <v>0.35</v>
      </c>
      <c r="C13" s="169">
        <v>30.15</v>
      </c>
      <c r="D13" s="8">
        <v>42670.458333333336</v>
      </c>
      <c r="E13" s="169">
        <v>0.24</v>
      </c>
      <c r="F13" s="169" t="s">
        <v>616</v>
      </c>
      <c r="G13" s="169">
        <v>242.19</v>
      </c>
      <c r="H13" s="169">
        <v>0</v>
      </c>
      <c r="I13" s="169">
        <v>0</v>
      </c>
      <c r="J13" s="169">
        <v>1018.44</v>
      </c>
      <c r="K13" s="169" t="s">
        <v>615</v>
      </c>
      <c r="L13" s="169">
        <v>67.900000000000006</v>
      </c>
      <c r="M13" s="169">
        <v>1477587600</v>
      </c>
      <c r="N13" s="169">
        <v>3.09</v>
      </c>
      <c r="O13" s="169">
        <v>189</v>
      </c>
      <c r="P13" s="169">
        <v>2.48</v>
      </c>
      <c r="Q13"/>
    </row>
    <row r="14" spans="1:17" x14ac:dyDescent="0.25">
      <c r="A14" s="169">
        <v>73.81</v>
      </c>
      <c r="B14" s="169">
        <v>0.43</v>
      </c>
      <c r="C14" s="169">
        <v>28.74</v>
      </c>
      <c r="D14" s="8">
        <v>42670.5</v>
      </c>
      <c r="E14" s="169">
        <v>0.19</v>
      </c>
      <c r="F14" s="169" t="s">
        <v>616</v>
      </c>
      <c r="G14" s="169">
        <v>242.31</v>
      </c>
      <c r="H14" s="169">
        <v>0</v>
      </c>
      <c r="I14" s="169">
        <v>0</v>
      </c>
      <c r="J14" s="169">
        <v>1017.01</v>
      </c>
      <c r="K14" s="169" t="s">
        <v>615</v>
      </c>
      <c r="L14" s="169">
        <v>73.81</v>
      </c>
      <c r="M14" s="169">
        <v>1477591200</v>
      </c>
      <c r="N14" s="169">
        <v>3.17</v>
      </c>
      <c r="O14" s="169">
        <v>175</v>
      </c>
      <c r="P14" s="169">
        <v>2.92</v>
      </c>
      <c r="Q14"/>
    </row>
    <row r="15" spans="1:17" x14ac:dyDescent="0.25">
      <c r="A15" s="169">
        <v>77.5</v>
      </c>
      <c r="B15" s="169">
        <v>0.39</v>
      </c>
      <c r="C15" s="169">
        <v>26.89</v>
      </c>
      <c r="D15" s="8">
        <v>42670.541666666664</v>
      </c>
      <c r="E15" s="169">
        <v>0.15</v>
      </c>
      <c r="F15" s="169" t="s">
        <v>616</v>
      </c>
      <c r="G15" s="169">
        <v>242.23</v>
      </c>
      <c r="H15" s="169">
        <v>0</v>
      </c>
      <c r="I15" s="169">
        <v>0</v>
      </c>
      <c r="J15" s="169">
        <v>1015.93</v>
      </c>
      <c r="K15" s="169" t="s">
        <v>615</v>
      </c>
      <c r="L15" s="169">
        <v>77.5</v>
      </c>
      <c r="M15" s="169">
        <v>1477594800</v>
      </c>
      <c r="N15" s="169">
        <v>3.25</v>
      </c>
      <c r="O15" s="169">
        <v>138</v>
      </c>
      <c r="P15" s="169">
        <v>3.15</v>
      </c>
      <c r="Q15"/>
    </row>
    <row r="16" spans="1:17" x14ac:dyDescent="0.25">
      <c r="A16" s="169">
        <v>79.67</v>
      </c>
      <c r="B16" s="169">
        <v>0.28999999999999998</v>
      </c>
      <c r="C16" s="169">
        <v>25.5</v>
      </c>
      <c r="D16" s="8">
        <v>42670.583333333336</v>
      </c>
      <c r="E16" s="169">
        <v>0.14000000000000001</v>
      </c>
      <c r="F16" s="169" t="s">
        <v>616</v>
      </c>
      <c r="G16" s="169">
        <v>241.89</v>
      </c>
      <c r="H16" s="169">
        <v>0</v>
      </c>
      <c r="I16" s="169">
        <v>0</v>
      </c>
      <c r="J16" s="169">
        <v>1014.96</v>
      </c>
      <c r="K16" s="169" t="s">
        <v>615</v>
      </c>
      <c r="L16" s="169">
        <v>79.67</v>
      </c>
      <c r="M16" s="169">
        <v>1477598400</v>
      </c>
      <c r="N16" s="169">
        <v>3.31</v>
      </c>
      <c r="O16" s="169">
        <v>115</v>
      </c>
      <c r="P16" s="169">
        <v>3.1</v>
      </c>
      <c r="Q16"/>
    </row>
    <row r="17" spans="1:17" x14ac:dyDescent="0.25">
      <c r="A17" s="169">
        <v>79.33</v>
      </c>
      <c r="B17" s="169">
        <v>0.19</v>
      </c>
      <c r="C17" s="169">
        <v>25.95</v>
      </c>
      <c r="D17" s="8">
        <v>42670.625</v>
      </c>
      <c r="E17" s="169">
        <v>0.13</v>
      </c>
      <c r="F17" s="169" t="s">
        <v>308</v>
      </c>
      <c r="G17" s="169">
        <v>240.85</v>
      </c>
      <c r="H17" s="169">
        <v>0</v>
      </c>
      <c r="I17" s="169">
        <v>0</v>
      </c>
      <c r="J17" s="169">
        <v>1014.2</v>
      </c>
      <c r="K17" s="169" t="s">
        <v>241</v>
      </c>
      <c r="L17" s="169">
        <v>81.58</v>
      </c>
      <c r="M17" s="169">
        <v>1477602000</v>
      </c>
      <c r="N17" s="169">
        <v>3.38</v>
      </c>
      <c r="O17" s="169">
        <v>113</v>
      </c>
      <c r="P17" s="169">
        <v>2.8</v>
      </c>
      <c r="Q17"/>
    </row>
    <row r="18" spans="1:17" x14ac:dyDescent="0.25">
      <c r="A18" s="169">
        <v>78.72</v>
      </c>
      <c r="B18" s="169">
        <v>0.27</v>
      </c>
      <c r="C18" s="169">
        <v>26.66</v>
      </c>
      <c r="D18" s="8">
        <v>42670.666666666664</v>
      </c>
      <c r="E18" s="169">
        <v>0.14000000000000001</v>
      </c>
      <c r="F18" s="169" t="s">
        <v>616</v>
      </c>
      <c r="G18" s="169">
        <v>238.39</v>
      </c>
      <c r="H18" s="169">
        <v>0</v>
      </c>
      <c r="I18" s="169">
        <v>0</v>
      </c>
      <c r="J18" s="169">
        <v>1013.72</v>
      </c>
      <c r="K18" s="169" t="s">
        <v>615</v>
      </c>
      <c r="L18" s="169">
        <v>80.650000000000006</v>
      </c>
      <c r="M18" s="169">
        <v>1477605600</v>
      </c>
      <c r="N18" s="169">
        <v>3.48</v>
      </c>
      <c r="O18" s="169">
        <v>110</v>
      </c>
      <c r="P18" s="169">
        <v>2.78</v>
      </c>
      <c r="Q18"/>
    </row>
    <row r="19" spans="1:17" x14ac:dyDescent="0.25">
      <c r="A19" s="169">
        <v>76.22</v>
      </c>
      <c r="B19" s="169">
        <v>0.35</v>
      </c>
      <c r="C19" s="169">
        <v>25.28</v>
      </c>
      <c r="D19" s="8">
        <v>42670.708333333336</v>
      </c>
      <c r="E19" s="169">
        <v>0.15</v>
      </c>
      <c r="F19" s="169" t="s">
        <v>616</v>
      </c>
      <c r="G19" s="169">
        <v>235.25</v>
      </c>
      <c r="H19" s="169">
        <v>0</v>
      </c>
      <c r="I19" s="169">
        <v>0</v>
      </c>
      <c r="J19" s="169">
        <v>1013.47</v>
      </c>
      <c r="K19" s="169" t="s">
        <v>615</v>
      </c>
      <c r="L19" s="169">
        <v>76.22</v>
      </c>
      <c r="M19" s="169">
        <v>1477609200</v>
      </c>
      <c r="N19" s="169">
        <v>5.99</v>
      </c>
      <c r="O19" s="169">
        <v>109</v>
      </c>
      <c r="P19" s="169">
        <v>2.93</v>
      </c>
      <c r="Q19"/>
    </row>
    <row r="20" spans="1:17" x14ac:dyDescent="0.25">
      <c r="A20" s="169">
        <v>71.17</v>
      </c>
      <c r="B20" s="169">
        <v>0.37</v>
      </c>
      <c r="C20" s="169">
        <v>25.99</v>
      </c>
      <c r="D20" s="8">
        <v>42670.75</v>
      </c>
      <c r="E20" s="169">
        <v>0.18</v>
      </c>
      <c r="F20" s="169" t="s">
        <v>614</v>
      </c>
      <c r="G20" s="169">
        <v>233.2</v>
      </c>
      <c r="H20" s="169">
        <v>0</v>
      </c>
      <c r="I20" s="169">
        <v>0</v>
      </c>
      <c r="J20" s="169">
        <v>1013.38</v>
      </c>
      <c r="K20" s="169" t="s">
        <v>615</v>
      </c>
      <c r="L20" s="169">
        <v>71.17</v>
      </c>
      <c r="M20" s="169">
        <v>1477612800</v>
      </c>
      <c r="N20" s="169">
        <v>6.36</v>
      </c>
      <c r="O20" s="169">
        <v>128</v>
      </c>
      <c r="P20" s="169">
        <v>0.83</v>
      </c>
      <c r="Q20"/>
    </row>
    <row r="21" spans="1:17" x14ac:dyDescent="0.25">
      <c r="A21" s="169">
        <v>66.95</v>
      </c>
      <c r="B21" s="169">
        <v>0.48</v>
      </c>
      <c r="C21" s="169">
        <v>26.63</v>
      </c>
      <c r="D21" s="8">
        <v>42670.791666666664</v>
      </c>
      <c r="E21" s="169">
        <v>0.22</v>
      </c>
      <c r="F21" s="169" t="s">
        <v>614</v>
      </c>
      <c r="G21" s="169">
        <v>233.25</v>
      </c>
      <c r="H21" s="169">
        <v>0</v>
      </c>
      <c r="I21" s="169">
        <v>0</v>
      </c>
      <c r="J21" s="169">
        <v>1013.3</v>
      </c>
      <c r="K21" s="169" t="s">
        <v>615</v>
      </c>
      <c r="L21" s="169">
        <v>66.95</v>
      </c>
      <c r="M21" s="169">
        <v>1477616400</v>
      </c>
      <c r="N21" s="169">
        <v>6.93</v>
      </c>
      <c r="O21" s="169">
        <v>178</v>
      </c>
      <c r="P21" s="169">
        <v>2.04</v>
      </c>
      <c r="Q21"/>
    </row>
    <row r="22" spans="1:17" x14ac:dyDescent="0.25">
      <c r="A22" s="169">
        <v>64.48</v>
      </c>
      <c r="B22" s="169">
        <v>0.54</v>
      </c>
      <c r="C22" s="169">
        <v>27.24</v>
      </c>
      <c r="D22" s="8">
        <v>42670.833333333336</v>
      </c>
      <c r="E22" s="169">
        <v>0.24</v>
      </c>
      <c r="F22" s="169" t="s">
        <v>614</v>
      </c>
      <c r="G22" s="169">
        <v>234.4</v>
      </c>
      <c r="H22" s="169">
        <v>0</v>
      </c>
      <c r="I22" s="169">
        <v>0</v>
      </c>
      <c r="J22" s="169">
        <v>1013.87</v>
      </c>
      <c r="K22" s="169" t="s">
        <v>615</v>
      </c>
      <c r="L22" s="169">
        <v>64.48</v>
      </c>
      <c r="M22" s="169">
        <v>1477620000</v>
      </c>
      <c r="N22" s="169">
        <v>7.71</v>
      </c>
      <c r="O22" s="169">
        <v>191</v>
      </c>
      <c r="P22" s="169">
        <v>2.7</v>
      </c>
      <c r="Q22"/>
    </row>
    <row r="23" spans="1:17" x14ac:dyDescent="0.25">
      <c r="A23" s="169">
        <v>61.27</v>
      </c>
      <c r="B23" s="169">
        <v>0.57999999999999996</v>
      </c>
      <c r="C23" s="169">
        <v>26.69</v>
      </c>
      <c r="D23" s="8">
        <v>42670.875</v>
      </c>
      <c r="E23" s="169">
        <v>0.27</v>
      </c>
      <c r="F23" s="169" t="s">
        <v>614</v>
      </c>
      <c r="G23" s="169">
        <v>235.49</v>
      </c>
      <c r="H23" s="169">
        <v>0</v>
      </c>
      <c r="I23" s="169">
        <v>0</v>
      </c>
      <c r="J23" s="169">
        <v>1014.34</v>
      </c>
      <c r="K23" s="169" t="s">
        <v>615</v>
      </c>
      <c r="L23" s="169">
        <v>61.27</v>
      </c>
      <c r="M23" s="169">
        <v>1477623600</v>
      </c>
      <c r="N23" s="169">
        <v>8.58</v>
      </c>
      <c r="O23" s="169">
        <v>218</v>
      </c>
      <c r="P23" s="169">
        <v>3.72</v>
      </c>
      <c r="Q23"/>
    </row>
    <row r="24" spans="1:17" x14ac:dyDescent="0.25">
      <c r="A24" s="169">
        <v>58.82</v>
      </c>
      <c r="B24" s="169">
        <v>0.68</v>
      </c>
      <c r="C24" s="169">
        <v>26.18</v>
      </c>
      <c r="D24" s="8">
        <v>42670.916666666664</v>
      </c>
      <c r="E24" s="169">
        <v>0.28000000000000003</v>
      </c>
      <c r="F24" s="169" t="s">
        <v>614</v>
      </c>
      <c r="G24" s="169">
        <v>236.16</v>
      </c>
      <c r="H24" s="169">
        <v>0</v>
      </c>
      <c r="I24" s="169">
        <v>0</v>
      </c>
      <c r="J24" s="169">
        <v>1014.16</v>
      </c>
      <c r="K24" s="169" t="s">
        <v>617</v>
      </c>
      <c r="L24" s="169">
        <v>58.82</v>
      </c>
      <c r="M24" s="169">
        <v>1477627200</v>
      </c>
      <c r="N24" s="169">
        <v>7.78</v>
      </c>
      <c r="O24" s="169">
        <v>215</v>
      </c>
      <c r="P24" s="169">
        <v>4.01</v>
      </c>
      <c r="Q24"/>
    </row>
    <row r="25" spans="1:17" x14ac:dyDescent="0.25">
      <c r="A25" s="169">
        <v>57.42</v>
      </c>
      <c r="B25" s="169">
        <v>0.68</v>
      </c>
      <c r="C25" s="169">
        <v>25.83</v>
      </c>
      <c r="D25" s="8">
        <v>42670.958333333336</v>
      </c>
      <c r="E25" s="169">
        <v>0.28999999999999998</v>
      </c>
      <c r="F25" s="169" t="s">
        <v>614</v>
      </c>
      <c r="G25" s="169">
        <v>236.75</v>
      </c>
      <c r="H25" s="169">
        <v>0</v>
      </c>
      <c r="I25" s="169">
        <v>0</v>
      </c>
      <c r="J25" s="169">
        <v>1013.66</v>
      </c>
      <c r="K25" s="169" t="s">
        <v>617</v>
      </c>
      <c r="L25" s="169">
        <v>57.42</v>
      </c>
      <c r="M25" s="169">
        <v>1477630800</v>
      </c>
      <c r="N25" s="169">
        <v>7.9</v>
      </c>
      <c r="O25" s="169">
        <v>217</v>
      </c>
      <c r="P25" s="169">
        <v>4.0599999999999996</v>
      </c>
      <c r="Q25"/>
    </row>
    <row r="26" spans="1:17" x14ac:dyDescent="0.25">
      <c r="A26" s="169">
        <v>57.05</v>
      </c>
      <c r="B26" s="169">
        <v>0.68</v>
      </c>
      <c r="C26" s="169">
        <v>26.27</v>
      </c>
      <c r="D26" s="8">
        <v>42671</v>
      </c>
      <c r="E26" s="169">
        <v>0.3</v>
      </c>
      <c r="F26" s="169" t="s">
        <v>614</v>
      </c>
      <c r="G26" s="169">
        <v>237.15</v>
      </c>
      <c r="H26" s="169">
        <v>0</v>
      </c>
      <c r="I26" s="169">
        <v>0</v>
      </c>
      <c r="J26" s="169">
        <v>1013.35</v>
      </c>
      <c r="K26" s="169" t="s">
        <v>617</v>
      </c>
      <c r="L26" s="169">
        <v>57.05</v>
      </c>
      <c r="M26" s="169">
        <v>1477634400</v>
      </c>
      <c r="N26" s="169">
        <v>8.3800000000000008</v>
      </c>
      <c r="O26" s="169">
        <v>213</v>
      </c>
      <c r="P26" s="169">
        <v>3.89</v>
      </c>
      <c r="Q26"/>
    </row>
    <row r="27" spans="1:17" x14ac:dyDescent="0.25">
      <c r="A27" s="169">
        <v>55.76</v>
      </c>
      <c r="B27" s="169">
        <v>0.56999999999999995</v>
      </c>
      <c r="C27" s="169">
        <v>25.86</v>
      </c>
      <c r="D27" s="8">
        <v>42671.041666666664</v>
      </c>
      <c r="E27" s="169">
        <v>0.31</v>
      </c>
      <c r="F27" s="169" t="s">
        <v>614</v>
      </c>
      <c r="G27" s="169">
        <v>237.09</v>
      </c>
      <c r="H27" s="169">
        <v>0</v>
      </c>
      <c r="I27" s="169">
        <v>0</v>
      </c>
      <c r="J27" s="169">
        <v>1013.73</v>
      </c>
      <c r="K27" s="169" t="s">
        <v>615</v>
      </c>
      <c r="L27" s="169">
        <v>55.76</v>
      </c>
      <c r="M27" s="169">
        <v>1477638000</v>
      </c>
      <c r="N27" s="169">
        <v>8.61</v>
      </c>
      <c r="O27" s="169">
        <v>227</v>
      </c>
      <c r="P27" s="169">
        <v>3.24</v>
      </c>
      <c r="Q27"/>
    </row>
    <row r="28" spans="1:17" x14ac:dyDescent="0.25">
      <c r="A28" s="169">
        <v>55.72</v>
      </c>
      <c r="B28" s="169">
        <v>0.84</v>
      </c>
      <c r="C28" s="169">
        <v>25.89</v>
      </c>
      <c r="D28" s="8">
        <v>42671.083333333336</v>
      </c>
      <c r="E28" s="169">
        <v>0.31</v>
      </c>
      <c r="F28" s="169" t="s">
        <v>614</v>
      </c>
      <c r="G28" s="169">
        <v>237.03</v>
      </c>
      <c r="H28" s="169">
        <v>0</v>
      </c>
      <c r="I28" s="169">
        <v>0</v>
      </c>
      <c r="J28" s="169">
        <v>1014.06</v>
      </c>
      <c r="K28" s="169" t="s">
        <v>617</v>
      </c>
      <c r="L28" s="169">
        <v>55.72</v>
      </c>
      <c r="M28" s="169">
        <v>1477641600</v>
      </c>
      <c r="N28" s="169">
        <v>8.2100000000000009</v>
      </c>
      <c r="O28" s="169">
        <v>236</v>
      </c>
      <c r="P28" s="169">
        <v>2.76</v>
      </c>
      <c r="Q28"/>
    </row>
    <row r="29" spans="1:17" x14ac:dyDescent="0.25">
      <c r="A29" s="169">
        <v>55.94</v>
      </c>
      <c r="B29" s="169">
        <v>0.88</v>
      </c>
      <c r="C29" s="169">
        <v>26.55</v>
      </c>
      <c r="D29" s="8">
        <v>42671.125</v>
      </c>
      <c r="E29" s="169">
        <v>0.32</v>
      </c>
      <c r="F29" s="169" t="s">
        <v>614</v>
      </c>
      <c r="G29" s="169">
        <v>236.97</v>
      </c>
      <c r="H29" s="169">
        <v>0</v>
      </c>
      <c r="I29" s="169">
        <v>0</v>
      </c>
      <c r="J29" s="169">
        <v>1014.37</v>
      </c>
      <c r="K29" s="169" t="s">
        <v>617</v>
      </c>
      <c r="L29" s="169">
        <v>55.94</v>
      </c>
      <c r="M29" s="169">
        <v>1477645200</v>
      </c>
      <c r="N29" s="169">
        <v>6.58</v>
      </c>
      <c r="O29" s="169">
        <v>221</v>
      </c>
      <c r="P29" s="169">
        <v>2.2799999999999998</v>
      </c>
      <c r="Q29"/>
    </row>
    <row r="31" spans="1:17" x14ac:dyDescent="0.25">
      <c r="A31" s="136" t="s">
        <v>242</v>
      </c>
    </row>
    <row r="33" spans="1:1" x14ac:dyDescent="0.25">
      <c r="A33" s="136" t="s">
        <v>207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42670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248</v>
      </c>
      <c r="J17" s="33"/>
      <c r="K17" s="34"/>
      <c r="L17" s="34"/>
    </row>
    <row r="18" spans="3:13" x14ac:dyDescent="0.25">
      <c r="C18" t="s">
        <v>783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784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785</v>
      </c>
      <c r="J20" t="s">
        <v>87</v>
      </c>
      <c r="M20" s="68" t="s">
        <v>189</v>
      </c>
    </row>
    <row r="21" spans="3:13" x14ac:dyDescent="0.25">
      <c r="C21" t="s">
        <v>786</v>
      </c>
      <c r="J21" s="21" t="s">
        <v>90</v>
      </c>
      <c r="K21" s="21" t="s">
        <v>91</v>
      </c>
      <c r="M21" s="68" t="s">
        <v>191</v>
      </c>
    </row>
    <row r="22" spans="3:13" x14ac:dyDescent="0.25">
      <c r="C22" t="s">
        <v>787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788</v>
      </c>
      <c r="J23" s="29" t="s">
        <v>95</v>
      </c>
      <c r="K23" s="21"/>
      <c r="M23" s="69">
        <v>-6</v>
      </c>
    </row>
    <row r="24" spans="3:13" x14ac:dyDescent="0.25">
      <c r="C24" t="s">
        <v>789</v>
      </c>
      <c r="J24" s="21" t="s">
        <v>108</v>
      </c>
      <c r="K24" s="21"/>
      <c r="M24" s="68" t="s">
        <v>110</v>
      </c>
    </row>
    <row r="25" spans="3:13" x14ac:dyDescent="0.25">
      <c r="C25" t="s">
        <v>790</v>
      </c>
      <c r="J25" t="s">
        <v>151</v>
      </c>
      <c r="M25" s="68" t="b">
        <v>1</v>
      </c>
    </row>
    <row r="26" spans="3:13" x14ac:dyDescent="0.25">
      <c r="C26" t="s">
        <v>791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C:\Users\stu\Documents\GitHub\eaglep3-reporting\EC\2016-10-27-refined-times.txt</v>
      </c>
    </row>
    <row r="27" spans="3:13" x14ac:dyDescent="0.25">
      <c r="C27" t="s">
        <v>792</v>
      </c>
      <c r="J27" t="s">
        <v>210</v>
      </c>
      <c r="M27" s="68" t="str">
        <f>"C:\Users\stu\Documents\GitHub\eaglep3-reporting\EC\"&amp;TEXT(A2,"YYYY-MM-DD")&amp;"-Enforcements.txt"</f>
        <v>C:\Users\stu\Documents\GitHub\eaglep3-reporting\EC\2016-10-27-Enforcements.txt</v>
      </c>
    </row>
    <row r="28" spans="3:13" x14ac:dyDescent="0.25">
      <c r="C28" t="s">
        <v>793</v>
      </c>
      <c r="J28" t="s">
        <v>211</v>
      </c>
      <c r="M28" s="106" t="str">
        <f>"C:\Users\stu\Documents\GitHub\eaglep3-reporting\EC\"&amp;TEXT(A2,"YYYY-MM-DD")&amp;"-Runs-Refined.txt"</f>
        <v>C:\Users\stu\Documents\GitHub\eaglep3-reporting\EC\2016-10-27-Runs-Refined.txt</v>
      </c>
    </row>
    <row r="29" spans="3:13" x14ac:dyDescent="0.25">
      <c r="J29" t="s">
        <v>212</v>
      </c>
      <c r="M29" s="106" t="str">
        <f>"C:\Users\stu\Documents\GitHub\eaglep3-reporting\EC\"&amp;TEXT(A2,"YYYY-MM-DD")&amp;"-Trips.txt"</f>
        <v>C:\Users\stu\Documents\GitHub\eaglep3-reporting\EC\2016-10-27-Trips.txt</v>
      </c>
    </row>
    <row r="30" spans="3:13" x14ac:dyDescent="0.25">
      <c r="J30" t="s">
        <v>213</v>
      </c>
      <c r="M30" s="106" t="str">
        <f>"C:\Users\stu\Documents\GitHub\eaglep3-reporting\EC\"&amp;TEXT(A2,"YYYY-MM-DD")&amp;"-Weather.txt"</f>
        <v>C:\Users\stu\Documents\GitHub\eaglep3-reporting\EC\2016-10-27-Weather.txt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2016-10-28T16:10:08Z</dcterms:modified>
</cp:coreProperties>
</file>