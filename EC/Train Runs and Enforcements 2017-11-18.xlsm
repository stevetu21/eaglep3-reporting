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Enforcements!$A$6:$AC$13</definedName>
    <definedName name="_xlnm._FilterDatabase" localSheetId="2" hidden="1">'Missing Trips'!$A$2:$J$26</definedName>
    <definedName name="_xlnm._FilterDatabase" localSheetId="0" hidden="1">'Train Runs'!$A$12:$AG$509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Runs'!$A$12:$J$70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65" i="1" l="1"/>
  <c r="X171" i="1"/>
  <c r="X172" i="1"/>
  <c r="X173" i="1"/>
  <c r="X174" i="1"/>
  <c r="X175" i="1"/>
  <c r="X176" i="1"/>
  <c r="X177" i="1"/>
  <c r="P173" i="1"/>
  <c r="I173" i="1"/>
  <c r="AN173" i="1" s="1"/>
  <c r="F173" i="1"/>
  <c r="M173" i="1" s="1"/>
  <c r="K173" i="1"/>
  <c r="L173" i="1"/>
  <c r="V173" i="1"/>
  <c r="AA173" i="1"/>
  <c r="AB173" i="1"/>
  <c r="AC173" i="1"/>
  <c r="AD173" i="1"/>
  <c r="T173" i="1" s="1"/>
  <c r="AE173" i="1"/>
  <c r="AF173" i="1"/>
  <c r="AM173" i="1"/>
  <c r="AO173" i="1"/>
  <c r="I171" i="1"/>
  <c r="F171" i="1"/>
  <c r="K171" i="1"/>
  <c r="L171" i="1"/>
  <c r="M171" i="1"/>
  <c r="P171" i="1" s="1"/>
  <c r="V171" i="1"/>
  <c r="AA171" i="1"/>
  <c r="AB171" i="1"/>
  <c r="AC171" i="1"/>
  <c r="AD171" i="1"/>
  <c r="T171" i="1" s="1"/>
  <c r="AE171" i="1"/>
  <c r="AF171" i="1"/>
  <c r="AH171" i="1"/>
  <c r="AM171" i="1"/>
  <c r="AN171" i="1"/>
  <c r="AO171" i="1"/>
  <c r="X194" i="1"/>
  <c r="X195" i="1"/>
  <c r="X196" i="1"/>
  <c r="K183" i="1"/>
  <c r="L183" i="1"/>
  <c r="M183" i="1"/>
  <c r="N183" i="1"/>
  <c r="T183" i="1"/>
  <c r="V183" i="1"/>
  <c r="X183" i="1"/>
  <c r="Y183" i="1"/>
  <c r="Z183" i="1"/>
  <c r="AA183" i="1" s="1"/>
  <c r="AB183" i="1"/>
  <c r="AC183" i="1"/>
  <c r="AD183" i="1"/>
  <c r="AE183" i="1"/>
  <c r="AF183" i="1"/>
  <c r="AH183" i="1"/>
  <c r="AM183" i="1"/>
  <c r="AN183" i="1"/>
  <c r="AO183" i="1"/>
  <c r="K184" i="1"/>
  <c r="L184" i="1"/>
  <c r="M184" i="1"/>
  <c r="N184" i="1" s="1"/>
  <c r="T184" i="1"/>
  <c r="V184" i="1"/>
  <c r="X184" i="1"/>
  <c r="Y184" i="1"/>
  <c r="Z184" i="1"/>
  <c r="AA184" i="1" s="1"/>
  <c r="AB184" i="1"/>
  <c r="AC184" i="1"/>
  <c r="AD184" i="1"/>
  <c r="AE184" i="1"/>
  <c r="AF184" i="1"/>
  <c r="AH184" i="1"/>
  <c r="AM184" i="1"/>
  <c r="AN184" i="1"/>
  <c r="AO184" i="1"/>
  <c r="K185" i="1"/>
  <c r="L185" i="1"/>
  <c r="M185" i="1"/>
  <c r="N185" i="1"/>
  <c r="T185" i="1"/>
  <c r="V185" i="1"/>
  <c r="X185" i="1"/>
  <c r="Y185" i="1"/>
  <c r="Z185" i="1"/>
  <c r="AA185" i="1" s="1"/>
  <c r="AB185" i="1"/>
  <c r="AC185" i="1"/>
  <c r="AD185" i="1"/>
  <c r="AE185" i="1"/>
  <c r="AF185" i="1"/>
  <c r="AH185" i="1"/>
  <c r="AM185" i="1"/>
  <c r="AN185" i="1"/>
  <c r="AO185" i="1"/>
  <c r="K186" i="1"/>
  <c r="L186" i="1"/>
  <c r="M186" i="1"/>
  <c r="N186" i="1"/>
  <c r="T186" i="1"/>
  <c r="V186" i="1"/>
  <c r="X186" i="1"/>
  <c r="Y186" i="1"/>
  <c r="Z186" i="1"/>
  <c r="AA186" i="1" s="1"/>
  <c r="AB186" i="1"/>
  <c r="AC186" i="1"/>
  <c r="AD186" i="1"/>
  <c r="AE186" i="1"/>
  <c r="AF186" i="1"/>
  <c r="AH186" i="1"/>
  <c r="AM186" i="1"/>
  <c r="AN186" i="1"/>
  <c r="AO186" i="1"/>
  <c r="K187" i="1"/>
  <c r="L187" i="1"/>
  <c r="M187" i="1"/>
  <c r="N187" i="1"/>
  <c r="V187" i="1"/>
  <c r="Y187" i="1"/>
  <c r="Z187" i="1"/>
  <c r="AA187" i="1" s="1"/>
  <c r="AB187" i="1"/>
  <c r="AC187" i="1"/>
  <c r="AD187" i="1"/>
  <c r="T187" i="1" s="1"/>
  <c r="AE187" i="1"/>
  <c r="AF187" i="1"/>
  <c r="AH187" i="1"/>
  <c r="AM187" i="1"/>
  <c r="AN187" i="1"/>
  <c r="AO187" i="1"/>
  <c r="K188" i="1"/>
  <c r="L188" i="1"/>
  <c r="M188" i="1"/>
  <c r="N188" i="1"/>
  <c r="V188" i="1"/>
  <c r="Y188" i="1"/>
  <c r="Z188" i="1"/>
  <c r="AA188" i="1" s="1"/>
  <c r="AB188" i="1"/>
  <c r="AC188" i="1"/>
  <c r="AD188" i="1"/>
  <c r="T188" i="1" s="1"/>
  <c r="AE188" i="1"/>
  <c r="AF188" i="1"/>
  <c r="AH188" i="1"/>
  <c r="AM188" i="1"/>
  <c r="AN188" i="1"/>
  <c r="AO188" i="1"/>
  <c r="K189" i="1"/>
  <c r="L189" i="1"/>
  <c r="M189" i="1"/>
  <c r="N189" i="1"/>
  <c r="V189" i="1"/>
  <c r="Y189" i="1"/>
  <c r="Z189" i="1"/>
  <c r="AA189" i="1" s="1"/>
  <c r="AB189" i="1"/>
  <c r="AC189" i="1"/>
  <c r="AD189" i="1"/>
  <c r="T189" i="1" s="1"/>
  <c r="AE189" i="1"/>
  <c r="AF189" i="1"/>
  <c r="AH189" i="1"/>
  <c r="AM189" i="1"/>
  <c r="AN189" i="1"/>
  <c r="AO189" i="1"/>
  <c r="K190" i="1"/>
  <c r="L190" i="1"/>
  <c r="M190" i="1"/>
  <c r="N190" i="1"/>
  <c r="V190" i="1"/>
  <c r="Y190" i="1"/>
  <c r="Z190" i="1"/>
  <c r="AA190" i="1" s="1"/>
  <c r="AB190" i="1"/>
  <c r="AC190" i="1"/>
  <c r="AD190" i="1"/>
  <c r="T190" i="1" s="1"/>
  <c r="AE190" i="1"/>
  <c r="AF190" i="1"/>
  <c r="AH190" i="1"/>
  <c r="AM190" i="1"/>
  <c r="AN190" i="1"/>
  <c r="AO190" i="1"/>
  <c r="K191" i="1"/>
  <c r="L191" i="1"/>
  <c r="M191" i="1"/>
  <c r="N191" i="1"/>
  <c r="V191" i="1"/>
  <c r="Y191" i="1"/>
  <c r="Z191" i="1"/>
  <c r="AA191" i="1" s="1"/>
  <c r="AB191" i="1"/>
  <c r="AC191" i="1"/>
  <c r="AD191" i="1"/>
  <c r="T191" i="1" s="1"/>
  <c r="AE191" i="1"/>
  <c r="AF191" i="1"/>
  <c r="AH191" i="1"/>
  <c r="AM191" i="1"/>
  <c r="AN191" i="1"/>
  <c r="AO191" i="1"/>
  <c r="K192" i="1"/>
  <c r="L192" i="1"/>
  <c r="M192" i="1"/>
  <c r="N192" i="1"/>
  <c r="V192" i="1"/>
  <c r="Y192" i="1"/>
  <c r="Z192" i="1"/>
  <c r="AA192" i="1" s="1"/>
  <c r="AB192" i="1"/>
  <c r="AC192" i="1"/>
  <c r="AD192" i="1"/>
  <c r="T192" i="1" s="1"/>
  <c r="AE192" i="1"/>
  <c r="AF192" i="1"/>
  <c r="AH192" i="1"/>
  <c r="AM192" i="1"/>
  <c r="AN192" i="1"/>
  <c r="AO192" i="1"/>
  <c r="K193" i="1"/>
  <c r="L193" i="1"/>
  <c r="M193" i="1"/>
  <c r="N193" i="1"/>
  <c r="V193" i="1"/>
  <c r="Y193" i="1"/>
  <c r="Z193" i="1"/>
  <c r="AA193" i="1" s="1"/>
  <c r="AB193" i="1"/>
  <c r="AC193" i="1"/>
  <c r="AD193" i="1"/>
  <c r="T193" i="1" s="1"/>
  <c r="AE193" i="1"/>
  <c r="AF193" i="1"/>
  <c r="AH193" i="1"/>
  <c r="AM193" i="1"/>
  <c r="AN193" i="1"/>
  <c r="AO193" i="1"/>
  <c r="K157" i="1"/>
  <c r="L157" i="1"/>
  <c r="M157" i="1"/>
  <c r="N157" i="1"/>
  <c r="V157" i="1"/>
  <c r="AA157" i="1"/>
  <c r="AB157" i="1"/>
  <c r="AC157" i="1"/>
  <c r="AD157" i="1"/>
  <c r="T157" i="1" s="1"/>
  <c r="AE157" i="1"/>
  <c r="AF157" i="1"/>
  <c r="AH157" i="1"/>
  <c r="AM157" i="1"/>
  <c r="AN157" i="1"/>
  <c r="AO157" i="1"/>
  <c r="K155" i="1"/>
  <c r="L155" i="1"/>
  <c r="M155" i="1"/>
  <c r="N155" i="1"/>
  <c r="V155" i="1"/>
  <c r="AA155" i="1"/>
  <c r="AB155" i="1"/>
  <c r="AC155" i="1"/>
  <c r="AD155" i="1"/>
  <c r="T155" i="1" s="1"/>
  <c r="AE155" i="1"/>
  <c r="AF155" i="1"/>
  <c r="AH155" i="1"/>
  <c r="AM155" i="1"/>
  <c r="AN155" i="1"/>
  <c r="AO155" i="1"/>
  <c r="K154" i="1"/>
  <c r="L154" i="1"/>
  <c r="M154" i="1"/>
  <c r="N154" i="1" s="1"/>
  <c r="V154" i="1"/>
  <c r="AA154" i="1"/>
  <c r="AB154" i="1"/>
  <c r="AC154" i="1"/>
  <c r="AD154" i="1"/>
  <c r="T154" i="1" s="1"/>
  <c r="AE154" i="1"/>
  <c r="AF154" i="1"/>
  <c r="AH154" i="1"/>
  <c r="AM154" i="1"/>
  <c r="AN154" i="1"/>
  <c r="AO154" i="1"/>
  <c r="K106" i="1"/>
  <c r="L106" i="1"/>
  <c r="M106" i="1"/>
  <c r="N106" i="1"/>
  <c r="V106" i="1"/>
  <c r="AA106" i="1"/>
  <c r="AB106" i="1"/>
  <c r="AC106" i="1"/>
  <c r="AD106" i="1"/>
  <c r="T106" i="1" s="1"/>
  <c r="AE106" i="1"/>
  <c r="AF106" i="1"/>
  <c r="AH106" i="1"/>
  <c r="AM106" i="1"/>
  <c r="AN106" i="1"/>
  <c r="AO106" i="1"/>
  <c r="K105" i="1"/>
  <c r="L105" i="1"/>
  <c r="M105" i="1"/>
  <c r="N105" i="1" s="1"/>
  <c r="V105" i="1"/>
  <c r="Y105" i="1"/>
  <c r="Z105" i="1"/>
  <c r="AA105" i="1" s="1"/>
  <c r="AB105" i="1"/>
  <c r="AC105" i="1"/>
  <c r="AD105" i="1"/>
  <c r="T105" i="1" s="1"/>
  <c r="AE105" i="1"/>
  <c r="AF105" i="1"/>
  <c r="AG173" i="1"/>
  <c r="AG171" i="1"/>
  <c r="AG183" i="1"/>
  <c r="AG184" i="1"/>
  <c r="AG185" i="1"/>
  <c r="AG186" i="1"/>
  <c r="AG187" i="1"/>
  <c r="AG188" i="1"/>
  <c r="AG189" i="1"/>
  <c r="AG190" i="1"/>
  <c r="AG191" i="1"/>
  <c r="AG192" i="1"/>
  <c r="AG193" i="1"/>
  <c r="AG157" i="1"/>
  <c r="AG155" i="1"/>
  <c r="AG154" i="1"/>
  <c r="AG106" i="1"/>
  <c r="AG105" i="1"/>
  <c r="AH173" i="1" l="1"/>
  <c r="U173" i="1"/>
  <c r="S173" i="1" s="1"/>
  <c r="AI173" i="1"/>
  <c r="W173" i="1"/>
  <c r="AI171" i="1"/>
  <c r="U171" i="1"/>
  <c r="S171" i="1" s="1"/>
  <c r="W171" i="1"/>
  <c r="AI193" i="1"/>
  <c r="U193" i="1"/>
  <c r="S193" i="1" s="1"/>
  <c r="AI192" i="1"/>
  <c r="U192" i="1"/>
  <c r="S192" i="1" s="1"/>
  <c r="AI191" i="1"/>
  <c r="U191" i="1"/>
  <c r="S191" i="1" s="1"/>
  <c r="AI190" i="1"/>
  <c r="U190" i="1"/>
  <c r="S190" i="1" s="1"/>
  <c r="S189" i="1"/>
  <c r="AI189" i="1"/>
  <c r="U189" i="1"/>
  <c r="S188" i="1"/>
  <c r="AI188" i="1"/>
  <c r="U188" i="1"/>
  <c r="AI187" i="1"/>
  <c r="U187" i="1"/>
  <c r="S187" i="1" s="1"/>
  <c r="AI186" i="1"/>
  <c r="U186" i="1"/>
  <c r="S186" i="1" s="1"/>
  <c r="AI185" i="1"/>
  <c r="U185" i="1"/>
  <c r="S185" i="1" s="1"/>
  <c r="AI184" i="1"/>
  <c r="U184" i="1"/>
  <c r="S184" i="1" s="1"/>
  <c r="AI183" i="1"/>
  <c r="U183" i="1"/>
  <c r="S183" i="1" s="1"/>
  <c r="W185" i="1"/>
  <c r="W183" i="1"/>
  <c r="W193" i="1"/>
  <c r="W192" i="1"/>
  <c r="W191" i="1"/>
  <c r="W190" i="1"/>
  <c r="W189" i="1"/>
  <c r="W188" i="1"/>
  <c r="W187" i="1"/>
  <c r="W186" i="1"/>
  <c r="W184" i="1"/>
  <c r="X193" i="1"/>
  <c r="X192" i="1"/>
  <c r="X191" i="1"/>
  <c r="X190" i="1"/>
  <c r="X189" i="1"/>
  <c r="X188" i="1"/>
  <c r="X187" i="1"/>
  <c r="U157" i="1"/>
  <c r="S157" i="1" s="1"/>
  <c r="AI157" i="1"/>
  <c r="W157" i="1"/>
  <c r="X157" i="1"/>
  <c r="U155" i="1"/>
  <c r="S155" i="1" s="1"/>
  <c r="AI155" i="1"/>
  <c r="W155" i="1"/>
  <c r="X155" i="1"/>
  <c r="AI154" i="1"/>
  <c r="U154" i="1"/>
  <c r="S154" i="1" s="1"/>
  <c r="W154" i="1"/>
  <c r="AI106" i="1"/>
  <c r="U106" i="1"/>
  <c r="S106" i="1" s="1"/>
  <c r="W106" i="1"/>
  <c r="X106" i="1"/>
  <c r="U105" i="1"/>
  <c r="S105" i="1" s="1"/>
  <c r="W105" i="1"/>
  <c r="AH105" i="1"/>
  <c r="AI105" i="1"/>
  <c r="AM105" i="1"/>
  <c r="AN105" i="1"/>
  <c r="AO105" i="1"/>
  <c r="K78" i="1"/>
  <c r="L78" i="1"/>
  <c r="M78" i="1"/>
  <c r="N78" i="1" s="1"/>
  <c r="V78" i="1"/>
  <c r="AA78" i="1"/>
  <c r="AB78" i="1"/>
  <c r="AC78" i="1"/>
  <c r="AD78" i="1"/>
  <c r="T78" i="1" s="1"/>
  <c r="AE78" i="1"/>
  <c r="AF78" i="1"/>
  <c r="AH78" i="1"/>
  <c r="AM78" i="1"/>
  <c r="AN78" i="1"/>
  <c r="AO78" i="1"/>
  <c r="K75" i="1"/>
  <c r="L75" i="1"/>
  <c r="M75" i="1"/>
  <c r="N75" i="1" s="1"/>
  <c r="V75" i="1"/>
  <c r="AA75" i="1"/>
  <c r="AB75" i="1"/>
  <c r="AC75" i="1"/>
  <c r="AD75" i="1"/>
  <c r="AE75" i="1"/>
  <c r="AF75" i="1"/>
  <c r="AH75" i="1"/>
  <c r="AM75" i="1"/>
  <c r="AN75" i="1"/>
  <c r="AO75" i="1"/>
  <c r="K73" i="1"/>
  <c r="L73" i="1"/>
  <c r="M73" i="1"/>
  <c r="N73" i="1" s="1"/>
  <c r="V73" i="1"/>
  <c r="AA73" i="1"/>
  <c r="AB73" i="1"/>
  <c r="AC73" i="1"/>
  <c r="AD73" i="1"/>
  <c r="T73" i="1" s="1"/>
  <c r="AE73" i="1"/>
  <c r="AF73" i="1"/>
  <c r="AH73" i="1"/>
  <c r="AM73" i="1"/>
  <c r="AN73" i="1"/>
  <c r="AO73" i="1"/>
  <c r="K68" i="1"/>
  <c r="L68" i="1"/>
  <c r="M68" i="1"/>
  <c r="N68" i="1" s="1"/>
  <c r="V68" i="1"/>
  <c r="AA68" i="1"/>
  <c r="AB68" i="1"/>
  <c r="AC68" i="1"/>
  <c r="AD68" i="1"/>
  <c r="T68" i="1" s="1"/>
  <c r="AE68" i="1"/>
  <c r="AF68" i="1"/>
  <c r="AH68" i="1"/>
  <c r="AM68" i="1"/>
  <c r="AN68" i="1"/>
  <c r="AO68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P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S22" i="3" s="1"/>
  <c r="Y30" i="1"/>
  <c r="Z30" i="1"/>
  <c r="AB30" i="1"/>
  <c r="AC30" i="1"/>
  <c r="AD30" i="1"/>
  <c r="AE30" i="1"/>
  <c r="R22" i="3" s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S8" i="3" s="1"/>
  <c r="Y36" i="1"/>
  <c r="Z36" i="1"/>
  <c r="AB36" i="1"/>
  <c r="AC36" i="1"/>
  <c r="AD36" i="1"/>
  <c r="AE36" i="1"/>
  <c r="R8" i="3" s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S12" i="3" s="1"/>
  <c r="Y38" i="1"/>
  <c r="Z38" i="1"/>
  <c r="AB38" i="1"/>
  <c r="AC38" i="1"/>
  <c r="AD38" i="1"/>
  <c r="AE38" i="1"/>
  <c r="R12" i="3" s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AO51" i="1"/>
  <c r="K52" i="1"/>
  <c r="L52" i="1"/>
  <c r="M52" i="1"/>
  <c r="N52" i="1" s="1"/>
  <c r="V52" i="1"/>
  <c r="S17" i="3" s="1"/>
  <c r="Y52" i="1"/>
  <c r="Z52" i="1"/>
  <c r="AB52" i="1"/>
  <c r="AC52" i="1"/>
  <c r="AD52" i="1"/>
  <c r="AE52" i="1"/>
  <c r="R17" i="3" s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A63" i="1" s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T64" i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S11" i="3" s="1"/>
  <c r="Y67" i="1"/>
  <c r="Z67" i="1"/>
  <c r="AB67" i="1"/>
  <c r="AC67" i="1"/>
  <c r="AD67" i="1"/>
  <c r="AE67" i="1"/>
  <c r="R16" i="3" s="1"/>
  <c r="AF67" i="1"/>
  <c r="AH67" i="1"/>
  <c r="AM67" i="1"/>
  <c r="AN67" i="1"/>
  <c r="AO67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158" i="1"/>
  <c r="L158" i="1"/>
  <c r="M158" i="1"/>
  <c r="N158" i="1" s="1"/>
  <c r="V158" i="1"/>
  <c r="Y158" i="1"/>
  <c r="Z158" i="1"/>
  <c r="AB158" i="1"/>
  <c r="AC158" i="1"/>
  <c r="AD158" i="1"/>
  <c r="X158" i="1" s="1"/>
  <c r="AE158" i="1"/>
  <c r="AF158" i="1"/>
  <c r="AH93" i="1"/>
  <c r="AM93" i="1"/>
  <c r="AN93" i="1"/>
  <c r="AO93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94" i="1"/>
  <c r="AM94" i="1"/>
  <c r="AN94" i="1"/>
  <c r="AO94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5" i="1"/>
  <c r="AM95" i="1"/>
  <c r="AN95" i="1"/>
  <c r="AO95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6" i="1"/>
  <c r="AM96" i="1"/>
  <c r="AN96" i="1"/>
  <c r="AO96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7" i="1"/>
  <c r="AM97" i="1"/>
  <c r="AN97" i="1"/>
  <c r="AO97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8" i="1"/>
  <c r="AM98" i="1"/>
  <c r="AN98" i="1"/>
  <c r="AO98" i="1"/>
  <c r="K164" i="1"/>
  <c r="L164" i="1"/>
  <c r="M164" i="1"/>
  <c r="N164" i="1" s="1"/>
  <c r="V164" i="1"/>
  <c r="Y164" i="1"/>
  <c r="Z164" i="1"/>
  <c r="AB164" i="1"/>
  <c r="AC164" i="1"/>
  <c r="AD164" i="1"/>
  <c r="X164" i="1" s="1"/>
  <c r="AE164" i="1"/>
  <c r="AF164" i="1"/>
  <c r="AH99" i="1"/>
  <c r="AM99" i="1"/>
  <c r="AN99" i="1"/>
  <c r="AO99" i="1"/>
  <c r="K165" i="1"/>
  <c r="L165" i="1"/>
  <c r="M165" i="1"/>
  <c r="V165" i="1"/>
  <c r="S27" i="3" s="1"/>
  <c r="Y165" i="1"/>
  <c r="Z165" i="1"/>
  <c r="AB165" i="1"/>
  <c r="AC165" i="1"/>
  <c r="AD165" i="1"/>
  <c r="AE165" i="1"/>
  <c r="R26" i="3" s="1"/>
  <c r="AF165" i="1"/>
  <c r="AH100" i="1"/>
  <c r="AM100" i="1"/>
  <c r="AN100" i="1"/>
  <c r="AO100" i="1"/>
  <c r="K166" i="1"/>
  <c r="L166" i="1"/>
  <c r="M166" i="1"/>
  <c r="N166" i="1" s="1"/>
  <c r="V166" i="1"/>
  <c r="Y166" i="1"/>
  <c r="Z166" i="1"/>
  <c r="AB166" i="1"/>
  <c r="AC166" i="1"/>
  <c r="AD166" i="1"/>
  <c r="X166" i="1" s="1"/>
  <c r="AE166" i="1"/>
  <c r="AF166" i="1"/>
  <c r="AH101" i="1"/>
  <c r="AM101" i="1"/>
  <c r="AN101" i="1"/>
  <c r="AO101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2" i="1"/>
  <c r="AM102" i="1"/>
  <c r="AN102" i="1"/>
  <c r="AO10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103" i="1"/>
  <c r="AM103" i="1"/>
  <c r="AN103" i="1"/>
  <c r="AO103" i="1"/>
  <c r="K168" i="1"/>
  <c r="L168" i="1"/>
  <c r="M168" i="1"/>
  <c r="N168" i="1" s="1"/>
  <c r="V168" i="1"/>
  <c r="S28" i="3" s="1"/>
  <c r="Y168" i="1"/>
  <c r="Z168" i="1"/>
  <c r="AB168" i="1"/>
  <c r="AC168" i="1"/>
  <c r="AD168" i="1"/>
  <c r="AE168" i="1"/>
  <c r="R28" i="3" s="1"/>
  <c r="AF168" i="1"/>
  <c r="AH104" i="1"/>
  <c r="AM104" i="1"/>
  <c r="AN104" i="1"/>
  <c r="AO104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K170" i="1"/>
  <c r="L170" i="1"/>
  <c r="M170" i="1"/>
  <c r="N170" i="1" s="1"/>
  <c r="V170" i="1"/>
  <c r="S29" i="3" s="1"/>
  <c r="Y170" i="1"/>
  <c r="Z170" i="1"/>
  <c r="AB170" i="1"/>
  <c r="AC170" i="1"/>
  <c r="AD170" i="1"/>
  <c r="T170" i="1" s="1"/>
  <c r="AE170" i="1"/>
  <c r="AF170" i="1"/>
  <c r="AH107" i="1"/>
  <c r="AM107" i="1"/>
  <c r="AN107" i="1"/>
  <c r="AO107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8" i="1"/>
  <c r="AM108" i="1"/>
  <c r="AN108" i="1"/>
  <c r="AO108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109" i="1"/>
  <c r="AM109" i="1"/>
  <c r="AN109" i="1"/>
  <c r="AO109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10" i="1"/>
  <c r="AM110" i="1"/>
  <c r="AN110" i="1"/>
  <c r="AO110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1" i="1"/>
  <c r="AM111" i="1"/>
  <c r="AN111" i="1"/>
  <c r="AO111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2" i="1"/>
  <c r="AM112" i="1"/>
  <c r="AN112" i="1"/>
  <c r="AO112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3" i="1"/>
  <c r="AM113" i="1"/>
  <c r="AN113" i="1"/>
  <c r="AO113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4" i="1"/>
  <c r="AM114" i="1"/>
  <c r="AN114" i="1"/>
  <c r="AO114" i="1"/>
  <c r="K180" i="1"/>
  <c r="L180" i="1"/>
  <c r="M180" i="1"/>
  <c r="N180" i="1" s="1"/>
  <c r="V180" i="1"/>
  <c r="Y180" i="1"/>
  <c r="Z180" i="1"/>
  <c r="AB180" i="1"/>
  <c r="AC180" i="1"/>
  <c r="AD180" i="1"/>
  <c r="AE180" i="1"/>
  <c r="R30" i="3" s="1"/>
  <c r="AF180" i="1"/>
  <c r="AH115" i="1"/>
  <c r="AM115" i="1"/>
  <c r="AN115" i="1"/>
  <c r="AO115" i="1"/>
  <c r="K95" i="1"/>
  <c r="L95" i="1"/>
  <c r="M95" i="1"/>
  <c r="N95" i="1" s="1"/>
  <c r="T95" i="1"/>
  <c r="V95" i="1"/>
  <c r="Y95" i="1"/>
  <c r="Z95" i="1"/>
  <c r="AB95" i="1"/>
  <c r="AC95" i="1"/>
  <c r="AD95" i="1"/>
  <c r="AE95" i="1"/>
  <c r="AF95" i="1"/>
  <c r="AH116" i="1"/>
  <c r="AM116" i="1"/>
  <c r="AN116" i="1"/>
  <c r="AO116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7" i="1"/>
  <c r="AM117" i="1"/>
  <c r="AN117" i="1"/>
  <c r="AO117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18" i="1"/>
  <c r="AM118" i="1"/>
  <c r="AN118" i="1"/>
  <c r="AO118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19" i="1"/>
  <c r="AM119" i="1"/>
  <c r="AN119" i="1"/>
  <c r="AO119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20" i="1"/>
  <c r="AM120" i="1"/>
  <c r="AN120" i="1"/>
  <c r="AO120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21" i="1"/>
  <c r="AM121" i="1"/>
  <c r="AN121" i="1"/>
  <c r="AO121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22" i="1"/>
  <c r="AM122" i="1"/>
  <c r="AN122" i="1"/>
  <c r="AO122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23" i="1"/>
  <c r="AM123" i="1"/>
  <c r="AN123" i="1"/>
  <c r="AO123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24" i="1"/>
  <c r="AM124" i="1"/>
  <c r="AN124" i="1"/>
  <c r="AO124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25" i="1"/>
  <c r="AM125" i="1"/>
  <c r="AN125" i="1"/>
  <c r="AO125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26" i="1"/>
  <c r="AM126" i="1"/>
  <c r="AN126" i="1"/>
  <c r="AO126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27" i="1"/>
  <c r="AM127" i="1"/>
  <c r="AN127" i="1"/>
  <c r="AO127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28" i="1"/>
  <c r="AM128" i="1"/>
  <c r="AN128" i="1"/>
  <c r="AO128" i="1"/>
  <c r="K104" i="1"/>
  <c r="L104" i="1"/>
  <c r="M104" i="1"/>
  <c r="N104" i="1" s="1"/>
  <c r="V104" i="1"/>
  <c r="Y104" i="1"/>
  <c r="Z104" i="1"/>
  <c r="AB104" i="1"/>
  <c r="AC104" i="1"/>
  <c r="AD104" i="1"/>
  <c r="X105" i="1" s="1"/>
  <c r="AE104" i="1"/>
  <c r="AF104" i="1"/>
  <c r="AH129" i="1"/>
  <c r="AM129" i="1"/>
  <c r="AN129" i="1"/>
  <c r="AO129" i="1"/>
  <c r="AH130" i="1"/>
  <c r="AM130" i="1"/>
  <c r="AN130" i="1"/>
  <c r="AO130" i="1"/>
  <c r="K107" i="1"/>
  <c r="L107" i="1"/>
  <c r="M107" i="1"/>
  <c r="N107" i="1" s="1"/>
  <c r="V107" i="1"/>
  <c r="Y107" i="1"/>
  <c r="Z107" i="1"/>
  <c r="AB107" i="1"/>
  <c r="AC107" i="1"/>
  <c r="AD107" i="1"/>
  <c r="X107" i="1" s="1"/>
  <c r="AE107" i="1"/>
  <c r="AF107" i="1"/>
  <c r="AH131" i="1"/>
  <c r="AM131" i="1"/>
  <c r="AN131" i="1"/>
  <c r="AO131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32" i="1"/>
  <c r="AM132" i="1"/>
  <c r="AN132" i="1"/>
  <c r="AO132" i="1"/>
  <c r="AH133" i="1"/>
  <c r="AM133" i="1"/>
  <c r="AN133" i="1"/>
  <c r="AO133" i="1"/>
  <c r="K109" i="1"/>
  <c r="L109" i="1"/>
  <c r="M109" i="1"/>
  <c r="N109" i="1" s="1"/>
  <c r="V109" i="1"/>
  <c r="Y109" i="1"/>
  <c r="Z109" i="1"/>
  <c r="AB109" i="1"/>
  <c r="AC109" i="1"/>
  <c r="AD109" i="1"/>
  <c r="X109" i="1" s="1"/>
  <c r="AE109" i="1"/>
  <c r="AF109" i="1"/>
  <c r="AH134" i="1"/>
  <c r="AM134" i="1"/>
  <c r="AN134" i="1"/>
  <c r="AO134" i="1"/>
  <c r="K110" i="1"/>
  <c r="L110" i="1"/>
  <c r="M110" i="1"/>
  <c r="N110" i="1" s="1"/>
  <c r="V110" i="1"/>
  <c r="Y110" i="1"/>
  <c r="Z110" i="1"/>
  <c r="AA110" i="1" s="1"/>
  <c r="AB110" i="1"/>
  <c r="AC110" i="1"/>
  <c r="AD110" i="1"/>
  <c r="AE110" i="1"/>
  <c r="AF110" i="1"/>
  <c r="AH135" i="1"/>
  <c r="AM135" i="1"/>
  <c r="AN135" i="1"/>
  <c r="AO135" i="1"/>
  <c r="K111" i="1"/>
  <c r="L111" i="1"/>
  <c r="M111" i="1"/>
  <c r="N111" i="1" s="1"/>
  <c r="V111" i="1"/>
  <c r="Y111" i="1"/>
  <c r="Z111" i="1"/>
  <c r="AB111" i="1"/>
  <c r="AC111" i="1"/>
  <c r="AD111" i="1"/>
  <c r="X111" i="1" s="1"/>
  <c r="AE111" i="1"/>
  <c r="AF111" i="1"/>
  <c r="AH136" i="1"/>
  <c r="AM136" i="1"/>
  <c r="AN136" i="1"/>
  <c r="AO136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37" i="1"/>
  <c r="AM137" i="1"/>
  <c r="AN137" i="1"/>
  <c r="AO137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38" i="1"/>
  <c r="AM138" i="1"/>
  <c r="AN138" i="1"/>
  <c r="AO138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39" i="1"/>
  <c r="AM139" i="1"/>
  <c r="AN139" i="1"/>
  <c r="AO139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40" i="1"/>
  <c r="AM140" i="1"/>
  <c r="AN140" i="1"/>
  <c r="AO140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41" i="1"/>
  <c r="AM141" i="1"/>
  <c r="AN141" i="1"/>
  <c r="AO141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42" i="1"/>
  <c r="AM142" i="1"/>
  <c r="AN142" i="1"/>
  <c r="AO142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43" i="1"/>
  <c r="AM143" i="1"/>
  <c r="AN143" i="1"/>
  <c r="AO143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44" i="1"/>
  <c r="AM144" i="1"/>
  <c r="AN144" i="1"/>
  <c r="AO144" i="1"/>
  <c r="K120" i="1"/>
  <c r="L120" i="1"/>
  <c r="M120" i="1"/>
  <c r="N120" i="1" s="1"/>
  <c r="V120" i="1"/>
  <c r="S18" i="3" s="1"/>
  <c r="Y120" i="1"/>
  <c r="Z120" i="1"/>
  <c r="AB120" i="1"/>
  <c r="AC120" i="1"/>
  <c r="AD120" i="1"/>
  <c r="AE120" i="1"/>
  <c r="R18" i="3" s="1"/>
  <c r="AF120" i="1"/>
  <c r="AH145" i="1"/>
  <c r="AM145" i="1"/>
  <c r="AN145" i="1"/>
  <c r="AO145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46" i="1"/>
  <c r="AM146" i="1"/>
  <c r="AN146" i="1"/>
  <c r="AO146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47" i="1"/>
  <c r="AM147" i="1"/>
  <c r="AN147" i="1"/>
  <c r="AO147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48" i="1"/>
  <c r="AM148" i="1"/>
  <c r="AN148" i="1"/>
  <c r="AO148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49" i="1"/>
  <c r="AM149" i="1"/>
  <c r="AN149" i="1"/>
  <c r="AO149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50" i="1"/>
  <c r="AM150" i="1"/>
  <c r="AN150" i="1"/>
  <c r="AO150" i="1"/>
  <c r="K126" i="1"/>
  <c r="L126" i="1"/>
  <c r="M126" i="1"/>
  <c r="N126" i="1" s="1"/>
  <c r="V126" i="1"/>
  <c r="S9" i="3" s="1"/>
  <c r="Y126" i="1"/>
  <c r="Z126" i="1"/>
  <c r="AB126" i="1"/>
  <c r="AC126" i="1"/>
  <c r="AD126" i="1"/>
  <c r="AE126" i="1"/>
  <c r="R9" i="3" s="1"/>
  <c r="AF126" i="1"/>
  <c r="AH151" i="1"/>
  <c r="AM151" i="1"/>
  <c r="AN151" i="1"/>
  <c r="AO151" i="1"/>
  <c r="K127" i="1"/>
  <c r="L127" i="1"/>
  <c r="M127" i="1"/>
  <c r="N127" i="1" s="1"/>
  <c r="V127" i="1"/>
  <c r="S15" i="3" s="1"/>
  <c r="Y127" i="1"/>
  <c r="Z127" i="1"/>
  <c r="AB127" i="1"/>
  <c r="AC127" i="1"/>
  <c r="AD127" i="1"/>
  <c r="AE127" i="1"/>
  <c r="R15" i="3" s="1"/>
  <c r="AF127" i="1"/>
  <c r="AH152" i="1"/>
  <c r="AM152" i="1"/>
  <c r="AN152" i="1"/>
  <c r="AO152" i="1"/>
  <c r="K128" i="1"/>
  <c r="L128" i="1"/>
  <c r="M128" i="1"/>
  <c r="N128" i="1" s="1"/>
  <c r="V128" i="1"/>
  <c r="S14" i="3" s="1"/>
  <c r="Y128" i="1"/>
  <c r="Z128" i="1"/>
  <c r="AB128" i="1"/>
  <c r="AC128" i="1"/>
  <c r="AD128" i="1"/>
  <c r="T128" i="1" s="1"/>
  <c r="AE128" i="1"/>
  <c r="R14" i="3" s="1"/>
  <c r="AF128" i="1"/>
  <c r="AH153" i="1"/>
  <c r="AM153" i="1"/>
  <c r="AN153" i="1"/>
  <c r="AO153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56" i="1"/>
  <c r="AM156" i="1"/>
  <c r="AN156" i="1"/>
  <c r="AO156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58" i="1"/>
  <c r="AM158" i="1"/>
  <c r="AN158" i="1"/>
  <c r="AO158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59" i="1"/>
  <c r="AM159" i="1"/>
  <c r="AN159" i="1"/>
  <c r="AO159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0" i="1"/>
  <c r="AM160" i="1"/>
  <c r="AN160" i="1"/>
  <c r="AO160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1" i="1"/>
  <c r="AM161" i="1"/>
  <c r="AN161" i="1"/>
  <c r="AO161" i="1"/>
  <c r="K134" i="1"/>
  <c r="L134" i="1"/>
  <c r="M134" i="1"/>
  <c r="N134" i="1" s="1"/>
  <c r="V134" i="1"/>
  <c r="S13" i="3" s="1"/>
  <c r="Y134" i="1"/>
  <c r="Z134" i="1"/>
  <c r="AB134" i="1"/>
  <c r="AC134" i="1"/>
  <c r="AD134" i="1"/>
  <c r="T134" i="1" s="1"/>
  <c r="AE134" i="1"/>
  <c r="R13" i="3" s="1"/>
  <c r="AF134" i="1"/>
  <c r="AH162" i="1"/>
  <c r="AM162" i="1"/>
  <c r="AN162" i="1"/>
  <c r="AO162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63" i="1"/>
  <c r="AM163" i="1"/>
  <c r="AN163" i="1"/>
  <c r="AO163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64" i="1"/>
  <c r="AM164" i="1"/>
  <c r="AN164" i="1"/>
  <c r="AO164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65" i="1"/>
  <c r="AM165" i="1"/>
  <c r="AN165" i="1"/>
  <c r="AO165" i="1"/>
  <c r="K138" i="1"/>
  <c r="L138" i="1"/>
  <c r="M138" i="1"/>
  <c r="N138" i="1" s="1"/>
  <c r="V138" i="1"/>
  <c r="S10" i="3" s="1"/>
  <c r="Y138" i="1"/>
  <c r="Z138" i="1"/>
  <c r="AB138" i="1"/>
  <c r="AC138" i="1"/>
  <c r="AD138" i="1"/>
  <c r="T138" i="1" s="1"/>
  <c r="AE138" i="1"/>
  <c r="R10" i="3" s="1"/>
  <c r="AF138" i="1"/>
  <c r="AH166" i="1"/>
  <c r="AM166" i="1"/>
  <c r="AN166" i="1"/>
  <c r="AO166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67" i="1"/>
  <c r="AM167" i="1"/>
  <c r="AN167" i="1"/>
  <c r="AO167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68" i="1"/>
  <c r="AM168" i="1"/>
  <c r="AN168" i="1"/>
  <c r="AO168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69" i="1"/>
  <c r="AM169" i="1"/>
  <c r="AN169" i="1"/>
  <c r="AO169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0" i="1"/>
  <c r="AM170" i="1"/>
  <c r="AN170" i="1"/>
  <c r="AO170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2" i="1"/>
  <c r="AM172" i="1"/>
  <c r="AN172" i="1"/>
  <c r="AO172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4" i="1"/>
  <c r="AM174" i="1"/>
  <c r="AN174" i="1"/>
  <c r="AO174" i="1"/>
  <c r="K145" i="1"/>
  <c r="L145" i="1"/>
  <c r="M145" i="1"/>
  <c r="N145" i="1" s="1"/>
  <c r="V145" i="1"/>
  <c r="S19" i="3" s="1"/>
  <c r="Y145" i="1"/>
  <c r="Z145" i="1"/>
  <c r="AB145" i="1"/>
  <c r="AC145" i="1"/>
  <c r="AD145" i="1"/>
  <c r="T145" i="1" s="1"/>
  <c r="AE145" i="1"/>
  <c r="R19" i="3" s="1"/>
  <c r="AF145" i="1"/>
  <c r="AH175" i="1"/>
  <c r="AM175" i="1"/>
  <c r="AN175" i="1"/>
  <c r="AO17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76" i="1"/>
  <c r="AM176" i="1"/>
  <c r="AN176" i="1"/>
  <c r="AO17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77" i="1"/>
  <c r="AM177" i="1"/>
  <c r="AN177" i="1"/>
  <c r="AO17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78" i="1"/>
  <c r="AM178" i="1"/>
  <c r="AN178" i="1"/>
  <c r="AO178" i="1"/>
  <c r="K149" i="1"/>
  <c r="L149" i="1"/>
  <c r="M149" i="1"/>
  <c r="N149" i="1" s="1"/>
  <c r="V149" i="1"/>
  <c r="S23" i="3" s="1"/>
  <c r="Y149" i="1"/>
  <c r="Z149" i="1"/>
  <c r="AB149" i="1"/>
  <c r="AC149" i="1"/>
  <c r="AD149" i="1"/>
  <c r="T149" i="1" s="1"/>
  <c r="AE149" i="1"/>
  <c r="R24" i="3" s="1"/>
  <c r="AF149" i="1"/>
  <c r="AH179" i="1"/>
  <c r="AM179" i="1"/>
  <c r="AN179" i="1"/>
  <c r="AO17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0" i="1"/>
  <c r="AM180" i="1"/>
  <c r="AN180" i="1"/>
  <c r="AO18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1" i="1"/>
  <c r="AM181" i="1"/>
  <c r="AN181" i="1"/>
  <c r="AO18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2" i="1"/>
  <c r="AM182" i="1"/>
  <c r="AN182" i="1"/>
  <c r="AO182" i="1"/>
  <c r="K153" i="1"/>
  <c r="L153" i="1"/>
  <c r="M153" i="1"/>
  <c r="N153" i="1" s="1"/>
  <c r="V153" i="1"/>
  <c r="S7" i="3" s="1"/>
  <c r="Y153" i="1"/>
  <c r="Z153" i="1"/>
  <c r="AB153" i="1"/>
  <c r="AC153" i="1"/>
  <c r="AD153" i="1"/>
  <c r="T153" i="1" s="1"/>
  <c r="AE153" i="1"/>
  <c r="R7" i="3" s="1"/>
  <c r="AF153" i="1"/>
  <c r="AH194" i="1"/>
  <c r="AM194" i="1"/>
  <c r="AN194" i="1"/>
  <c r="AO194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95" i="1"/>
  <c r="AM195" i="1"/>
  <c r="AN195" i="1"/>
  <c r="AO19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6" i="1"/>
  <c r="AM196" i="1"/>
  <c r="AN196" i="1"/>
  <c r="AO196" i="1"/>
  <c r="K195" i="1"/>
  <c r="L195" i="1"/>
  <c r="M195" i="1"/>
  <c r="N195" i="1" s="1"/>
  <c r="V195" i="1"/>
  <c r="S32" i="3" s="1"/>
  <c r="Y195" i="1"/>
  <c r="Z195" i="1"/>
  <c r="AB195" i="1"/>
  <c r="AC195" i="1"/>
  <c r="AD195" i="1"/>
  <c r="T195" i="1" s="1"/>
  <c r="AE195" i="1"/>
  <c r="R32" i="3" s="1"/>
  <c r="AF195" i="1"/>
  <c r="AH197" i="1"/>
  <c r="AM197" i="1"/>
  <c r="AN197" i="1"/>
  <c r="AO19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AM198" i="1"/>
  <c r="AN198" i="1"/>
  <c r="AO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AM199" i="1"/>
  <c r="AN199" i="1"/>
  <c r="AO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AO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AO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AM202" i="1"/>
  <c r="AN202" i="1"/>
  <c r="AO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AO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AO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AO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AO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AO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09" i="1"/>
  <c r="AM209" i="1"/>
  <c r="AN209" i="1"/>
  <c r="AO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AM210" i="1"/>
  <c r="AN210" i="1"/>
  <c r="AO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AO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AO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AO213" i="1"/>
  <c r="M22" i="3"/>
  <c r="U22" i="3"/>
  <c r="T22" i="3" s="1"/>
  <c r="V22" i="3"/>
  <c r="X22" i="3"/>
  <c r="M8" i="3"/>
  <c r="U8" i="3"/>
  <c r="AC8" i="3" s="1"/>
  <c r="V8" i="3"/>
  <c r="X8" i="3"/>
  <c r="M12" i="3"/>
  <c r="U12" i="3"/>
  <c r="T12" i="3" s="1"/>
  <c r="V12" i="3"/>
  <c r="X12" i="3"/>
  <c r="M26" i="3"/>
  <c r="U26" i="3"/>
  <c r="AC26" i="3" s="1"/>
  <c r="V26" i="3"/>
  <c r="X26" i="3"/>
  <c r="M27" i="3"/>
  <c r="U27" i="3"/>
  <c r="AC27" i="3" s="1"/>
  <c r="V27" i="3"/>
  <c r="X27" i="3"/>
  <c r="M17" i="3"/>
  <c r="U17" i="3"/>
  <c r="AC17" i="3" s="1"/>
  <c r="V17" i="3"/>
  <c r="X17" i="3"/>
  <c r="M11" i="3"/>
  <c r="U11" i="3"/>
  <c r="T11" i="3" s="1"/>
  <c r="V11" i="3"/>
  <c r="X11" i="3"/>
  <c r="M28" i="3"/>
  <c r="U28" i="3"/>
  <c r="AC28" i="3" s="1"/>
  <c r="V28" i="3"/>
  <c r="X28" i="3"/>
  <c r="M16" i="3"/>
  <c r="S16" i="3"/>
  <c r="U16" i="3"/>
  <c r="AC16" i="3" s="1"/>
  <c r="V16" i="3"/>
  <c r="X16" i="3"/>
  <c r="M29" i="3"/>
  <c r="R29" i="3"/>
  <c r="U29" i="3"/>
  <c r="V29" i="3"/>
  <c r="X29" i="3"/>
  <c r="M30" i="3"/>
  <c r="S30" i="3"/>
  <c r="U30" i="3"/>
  <c r="T30" i="3" s="1"/>
  <c r="V30" i="3"/>
  <c r="X30" i="3"/>
  <c r="M18" i="3"/>
  <c r="U18" i="3"/>
  <c r="V18" i="3"/>
  <c r="X18" i="3"/>
  <c r="M15" i="3"/>
  <c r="U15" i="3"/>
  <c r="AC15" i="3" s="1"/>
  <c r="V15" i="3"/>
  <c r="X15" i="3"/>
  <c r="M32" i="3"/>
  <c r="U32" i="3"/>
  <c r="AC32" i="3" s="1"/>
  <c r="V32" i="3"/>
  <c r="X32" i="3"/>
  <c r="M9" i="3"/>
  <c r="U9" i="3"/>
  <c r="T9" i="3" s="1"/>
  <c r="V9" i="3"/>
  <c r="X9" i="3"/>
  <c r="M25" i="3"/>
  <c r="R25" i="3"/>
  <c r="S25" i="3"/>
  <c r="U25" i="3"/>
  <c r="AC25" i="3" s="1"/>
  <c r="V25" i="3"/>
  <c r="X25" i="3"/>
  <c r="M14" i="3"/>
  <c r="U14" i="3"/>
  <c r="AC14" i="3" s="1"/>
  <c r="V14" i="3"/>
  <c r="X14" i="3"/>
  <c r="M13" i="3"/>
  <c r="U13" i="3"/>
  <c r="T13" i="3" s="1"/>
  <c r="V13" i="3"/>
  <c r="X13" i="3"/>
  <c r="M10" i="3"/>
  <c r="U10" i="3"/>
  <c r="V10" i="3"/>
  <c r="X10" i="3"/>
  <c r="M19" i="3"/>
  <c r="U19" i="3"/>
  <c r="AC19" i="3" s="1"/>
  <c r="V19" i="3"/>
  <c r="X19" i="3"/>
  <c r="M20" i="3"/>
  <c r="U20" i="3"/>
  <c r="AC20" i="3" s="1"/>
  <c r="V20" i="3"/>
  <c r="X20" i="3"/>
  <c r="M31" i="3"/>
  <c r="U31" i="3"/>
  <c r="T31" i="3" s="1"/>
  <c r="V31" i="3"/>
  <c r="X31" i="3"/>
  <c r="M23" i="3"/>
  <c r="U23" i="3"/>
  <c r="AC23" i="3" s="1"/>
  <c r="V23" i="3"/>
  <c r="X23" i="3"/>
  <c r="M24" i="3"/>
  <c r="U24" i="3"/>
  <c r="AC24" i="3" s="1"/>
  <c r="V24" i="3"/>
  <c r="X24" i="3"/>
  <c r="M7" i="3"/>
  <c r="U7" i="3"/>
  <c r="AC7" i="3" s="1"/>
  <c r="V7" i="3"/>
  <c r="X7" i="3"/>
  <c r="AG78" i="1"/>
  <c r="AG75" i="1"/>
  <c r="AG73" i="1"/>
  <c r="AG68" i="1"/>
  <c r="AG14" i="1"/>
  <c r="AG18" i="1"/>
  <c r="AG22" i="1"/>
  <c r="AG26" i="1"/>
  <c r="AG30" i="1"/>
  <c r="AG34" i="1"/>
  <c r="AG38" i="1"/>
  <c r="AG42" i="1"/>
  <c r="AG46" i="1"/>
  <c r="AG50" i="1"/>
  <c r="AG54" i="1"/>
  <c r="AG58" i="1"/>
  <c r="AG62" i="1"/>
  <c r="AG65" i="1"/>
  <c r="AG87" i="1"/>
  <c r="AG93" i="1"/>
  <c r="AG70" i="1"/>
  <c r="AG80" i="1"/>
  <c r="AG90" i="1"/>
  <c r="AG170" i="1"/>
  <c r="AG162" i="1"/>
  <c r="AG179" i="1"/>
  <c r="AG182" i="1"/>
  <c r="AG99" i="1"/>
  <c r="AG207" i="1"/>
  <c r="AG109" i="1"/>
  <c r="AG113" i="1"/>
  <c r="AG116" i="1"/>
  <c r="AG120" i="1"/>
  <c r="AG124" i="1"/>
  <c r="AG135" i="1"/>
  <c r="AG141" i="1"/>
  <c r="AG147" i="1"/>
  <c r="AG152" i="1"/>
  <c r="AG197" i="1"/>
  <c r="AG203" i="1"/>
  <c r="AG211" i="1"/>
  <c r="AG165" i="1"/>
  <c r="AG88" i="1"/>
  <c r="AG127" i="1"/>
  <c r="AG131" i="1"/>
  <c r="AG140" i="1"/>
  <c r="AG156" i="1"/>
  <c r="AG205" i="1"/>
  <c r="AG74" i="1"/>
  <c r="AG114" i="1"/>
  <c r="AG17" i="1"/>
  <c r="AG25" i="1"/>
  <c r="AG29" i="1"/>
  <c r="AG37" i="1"/>
  <c r="AG45" i="1"/>
  <c r="AG53" i="1"/>
  <c r="AG61" i="1"/>
  <c r="AG164" i="1"/>
  <c r="AG178" i="1"/>
  <c r="AG86" i="1"/>
  <c r="AG94" i="1"/>
  <c r="AG98" i="1"/>
  <c r="AG115" i="1"/>
  <c r="AG133" i="1"/>
  <c r="AG151" i="1"/>
  <c r="AG201" i="1"/>
  <c r="AG177" i="1"/>
  <c r="AG149" i="1"/>
  <c r="AG15" i="1"/>
  <c r="AG19" i="1"/>
  <c r="AG23" i="1"/>
  <c r="AG27" i="1"/>
  <c r="AG31" i="1"/>
  <c r="AG35" i="1"/>
  <c r="AG39" i="1"/>
  <c r="AG43" i="1"/>
  <c r="AG47" i="1"/>
  <c r="AG51" i="1"/>
  <c r="AG55" i="1"/>
  <c r="AG59" i="1"/>
  <c r="AG63" i="1"/>
  <c r="AG66" i="1"/>
  <c r="AG91" i="1"/>
  <c r="AG172" i="1"/>
  <c r="AG72" i="1"/>
  <c r="AG82" i="1"/>
  <c r="AG159" i="1"/>
  <c r="AG175" i="1"/>
  <c r="AG166" i="1"/>
  <c r="AG180" i="1"/>
  <c r="AG96" i="1"/>
  <c r="AG100" i="1"/>
  <c r="AG208" i="1"/>
  <c r="AG107" i="1"/>
  <c r="AG110" i="1"/>
  <c r="AG117" i="1"/>
  <c r="AG121" i="1"/>
  <c r="AG125" i="1"/>
  <c r="AG136" i="1"/>
  <c r="AG142" i="1"/>
  <c r="AG148" i="1"/>
  <c r="AG153" i="1"/>
  <c r="AG198" i="1"/>
  <c r="AG204" i="1"/>
  <c r="AG213" i="1"/>
  <c r="AG174" i="1"/>
  <c r="AG161" i="1"/>
  <c r="AG128" i="1"/>
  <c r="AG132" i="1"/>
  <c r="AG143" i="1"/>
  <c r="AG196" i="1"/>
  <c r="AG209" i="1"/>
  <c r="AG83" i="1"/>
  <c r="AG44" i="1"/>
  <c r="AG56" i="1"/>
  <c r="AG64" i="1"/>
  <c r="AG160" i="1"/>
  <c r="AG76" i="1"/>
  <c r="AG163" i="1"/>
  <c r="AG169" i="1"/>
  <c r="AG97" i="1"/>
  <c r="AG103" i="1"/>
  <c r="AG111" i="1"/>
  <c r="AG118" i="1"/>
  <c r="AG126" i="1"/>
  <c r="AG144" i="1"/>
  <c r="AG200" i="1"/>
  <c r="AG71" i="1"/>
  <c r="AG168" i="1"/>
  <c r="AG134" i="1"/>
  <c r="AG199" i="1"/>
  <c r="AG21" i="1"/>
  <c r="AG33" i="1"/>
  <c r="AG41" i="1"/>
  <c r="AG49" i="1"/>
  <c r="AG57" i="1"/>
  <c r="AG69" i="1"/>
  <c r="AG79" i="1"/>
  <c r="AG167" i="1"/>
  <c r="AG181" i="1"/>
  <c r="AG104" i="1"/>
  <c r="AG119" i="1"/>
  <c r="AG145" i="1"/>
  <c r="AG210" i="1"/>
  <c r="AG130" i="1"/>
  <c r="AG202" i="1"/>
  <c r="AG16" i="1"/>
  <c r="AG20" i="1"/>
  <c r="AG24" i="1"/>
  <c r="AG28" i="1"/>
  <c r="AG32" i="1"/>
  <c r="AG36" i="1"/>
  <c r="AG40" i="1"/>
  <c r="AG48" i="1"/>
  <c r="AG52" i="1"/>
  <c r="AG60" i="1"/>
  <c r="AG67" i="1"/>
  <c r="AG176" i="1"/>
  <c r="AG84" i="1"/>
  <c r="AG89" i="1"/>
  <c r="AG95" i="1"/>
  <c r="AG101" i="1"/>
  <c r="AG108" i="1"/>
  <c r="AG122" i="1"/>
  <c r="AG138" i="1"/>
  <c r="AG150" i="1"/>
  <c r="AG194" i="1"/>
  <c r="AG206" i="1"/>
  <c r="AG77" i="1"/>
  <c r="AG129" i="1"/>
  <c r="AG146" i="1"/>
  <c r="AG212" i="1"/>
  <c r="AG158" i="1"/>
  <c r="AG102" i="1"/>
  <c r="AG112" i="1"/>
  <c r="AG123" i="1"/>
  <c r="AG139" i="1"/>
  <c r="AG195" i="1"/>
  <c r="AG81" i="1"/>
  <c r="AG85" i="1"/>
  <c r="AG137" i="1"/>
  <c r="AG92" i="1"/>
  <c r="W26" i="3"/>
  <c r="W10" i="3"/>
  <c r="W27" i="3"/>
  <c r="W19" i="3"/>
  <c r="W17" i="3"/>
  <c r="W22" i="3"/>
  <c r="W9" i="3"/>
  <c r="W18" i="3"/>
  <c r="W20" i="3"/>
  <c r="W15" i="3"/>
  <c r="W32" i="3"/>
  <c r="W11" i="3"/>
  <c r="W31" i="3"/>
  <c r="W25" i="3"/>
  <c r="W14" i="3"/>
  <c r="W8" i="3"/>
  <c r="W7" i="3"/>
  <c r="W30" i="3"/>
  <c r="W28" i="3"/>
  <c r="W23" i="3"/>
  <c r="W16" i="3"/>
  <c r="W24" i="3"/>
  <c r="W29" i="3"/>
  <c r="W12" i="3"/>
  <c r="W13" i="3"/>
  <c r="X154" i="1" l="1"/>
  <c r="T156" i="1"/>
  <c r="X156" i="1"/>
  <c r="R31" i="3"/>
  <c r="S31" i="3"/>
  <c r="X180" i="1"/>
  <c r="AA205" i="1"/>
  <c r="AA133" i="1"/>
  <c r="X124" i="1"/>
  <c r="X120" i="1"/>
  <c r="X116" i="1"/>
  <c r="X112" i="1"/>
  <c r="X79" i="1"/>
  <c r="AA209" i="1"/>
  <c r="AA194" i="1"/>
  <c r="W194" i="1" s="1"/>
  <c r="AA135" i="1"/>
  <c r="X110" i="1"/>
  <c r="X165" i="1"/>
  <c r="AA208" i="1"/>
  <c r="AA100" i="1"/>
  <c r="AA96" i="1"/>
  <c r="AA165" i="1"/>
  <c r="W165" i="1" s="1"/>
  <c r="AA164" i="1"/>
  <c r="W164" i="1" s="1"/>
  <c r="AA70" i="1"/>
  <c r="AA41" i="1"/>
  <c r="X82" i="1"/>
  <c r="AA152" i="1"/>
  <c r="AA143" i="1"/>
  <c r="X66" i="1"/>
  <c r="X61" i="1"/>
  <c r="AA26" i="1"/>
  <c r="AA22" i="1"/>
  <c r="AA18" i="1"/>
  <c r="X81" i="1"/>
  <c r="AA212" i="1"/>
  <c r="AA107" i="1"/>
  <c r="T166" i="1"/>
  <c r="U166" i="1" s="1"/>
  <c r="S166" i="1" s="1"/>
  <c r="T165" i="1"/>
  <c r="U165" i="1" s="1"/>
  <c r="S165" i="1" s="1"/>
  <c r="T164" i="1"/>
  <c r="X80" i="1"/>
  <c r="AA195" i="1"/>
  <c r="AA130" i="1"/>
  <c r="AA125" i="1"/>
  <c r="AA121" i="1"/>
  <c r="AA117" i="1"/>
  <c r="AA113" i="1"/>
  <c r="AA109" i="1"/>
  <c r="AA207" i="1"/>
  <c r="AA99" i="1"/>
  <c r="AA182" i="1"/>
  <c r="W182" i="1" s="1"/>
  <c r="X75" i="1"/>
  <c r="AA43" i="1"/>
  <c r="AA45" i="1"/>
  <c r="AA39" i="1"/>
  <c r="AI78" i="1"/>
  <c r="U78" i="1"/>
  <c r="S78" i="1" s="1"/>
  <c r="W78" i="1"/>
  <c r="X78" i="1"/>
  <c r="S26" i="3"/>
  <c r="X168" i="1"/>
  <c r="X161" i="1"/>
  <c r="X92" i="1"/>
  <c r="X88" i="1"/>
  <c r="AA59" i="1"/>
  <c r="X48" i="1"/>
  <c r="X44" i="1"/>
  <c r="X94" i="1"/>
  <c r="X89" i="1"/>
  <c r="X76" i="1"/>
  <c r="AA199" i="1"/>
  <c r="W199" i="1" s="1"/>
  <c r="R11" i="3"/>
  <c r="AA149" i="1"/>
  <c r="X127" i="1"/>
  <c r="AA93" i="1"/>
  <c r="X65" i="1"/>
  <c r="X56" i="1"/>
  <c r="X55" i="1"/>
  <c r="X54" i="1"/>
  <c r="X53" i="1"/>
  <c r="X52" i="1"/>
  <c r="X51" i="1"/>
  <c r="X50" i="1"/>
  <c r="X42" i="1"/>
  <c r="AA28" i="1"/>
  <c r="T75" i="1"/>
  <c r="U75" i="1" s="1"/>
  <c r="S75" i="1" s="1"/>
  <c r="AI75" i="1"/>
  <c r="W75" i="1"/>
  <c r="X69" i="1"/>
  <c r="AA202" i="1"/>
  <c r="AA153" i="1"/>
  <c r="W153" i="1" s="1"/>
  <c r="AA144" i="1"/>
  <c r="AA136" i="1"/>
  <c r="AA127" i="1"/>
  <c r="AA111" i="1"/>
  <c r="W111" i="1" s="1"/>
  <c r="AA108" i="1"/>
  <c r="AA103" i="1"/>
  <c r="AA101" i="1"/>
  <c r="AA97" i="1"/>
  <c r="W97" i="1" s="1"/>
  <c r="T176" i="1"/>
  <c r="U176" i="1" s="1"/>
  <c r="S176" i="1" s="1"/>
  <c r="AA71" i="1"/>
  <c r="W71" i="1" s="1"/>
  <c r="AA46" i="1"/>
  <c r="AA36" i="1"/>
  <c r="AA141" i="1"/>
  <c r="AA176" i="1"/>
  <c r="W176" i="1" s="1"/>
  <c r="X93" i="1"/>
  <c r="AA74" i="1"/>
  <c r="AA67" i="1"/>
  <c r="AA47" i="1"/>
  <c r="W47" i="1" s="1"/>
  <c r="X74" i="1"/>
  <c r="R23" i="3"/>
  <c r="R27" i="3"/>
  <c r="AI73" i="1"/>
  <c r="U73" i="1"/>
  <c r="S73" i="1" s="1"/>
  <c r="W73" i="1"/>
  <c r="X73" i="1"/>
  <c r="S20" i="3"/>
  <c r="AE32" i="3"/>
  <c r="AD28" i="3"/>
  <c r="AD32" i="3"/>
  <c r="AI68" i="1"/>
  <c r="U68" i="1"/>
  <c r="S68" i="1" s="1"/>
  <c r="W68" i="1"/>
  <c r="X68" i="1"/>
  <c r="AD27" i="3"/>
  <c r="AD26" i="3"/>
  <c r="AC22" i="3"/>
  <c r="X46" i="1"/>
  <c r="AA42" i="1"/>
  <c r="W42" i="1" s="1"/>
  <c r="AA37" i="1"/>
  <c r="AA211" i="1"/>
  <c r="AA203" i="1"/>
  <c r="AA198" i="1"/>
  <c r="W198" i="1" s="1"/>
  <c r="AA151" i="1"/>
  <c r="AA146" i="1"/>
  <c r="AA140" i="1"/>
  <c r="AA139" i="1"/>
  <c r="W139" i="1" s="1"/>
  <c r="X113" i="1"/>
  <c r="X162" i="1"/>
  <c r="X91" i="1"/>
  <c r="X87" i="1"/>
  <c r="AA48" i="1"/>
  <c r="AA38" i="1"/>
  <c r="AA33" i="1"/>
  <c r="W33" i="1" s="1"/>
  <c r="AA32" i="1"/>
  <c r="AA23" i="1"/>
  <c r="AA19" i="1"/>
  <c r="AA15" i="1"/>
  <c r="W15" i="1" s="1"/>
  <c r="AA178" i="1"/>
  <c r="W178" i="1" s="1"/>
  <c r="AA172" i="1"/>
  <c r="T92" i="1"/>
  <c r="T89" i="1"/>
  <c r="T88" i="1"/>
  <c r="AA76" i="1"/>
  <c r="AA65" i="1"/>
  <c r="W65" i="1" s="1"/>
  <c r="X63" i="1"/>
  <c r="AA54" i="1"/>
  <c r="AA52" i="1"/>
  <c r="AA50" i="1"/>
  <c r="W50" i="1" s="1"/>
  <c r="AA44" i="1"/>
  <c r="AA34" i="1"/>
  <c r="AA29" i="1"/>
  <c r="AA24" i="1"/>
  <c r="W24" i="1" s="1"/>
  <c r="AA20" i="1"/>
  <c r="AA16" i="1"/>
  <c r="T7" i="3"/>
  <c r="AD31" i="3"/>
  <c r="AE30" i="3"/>
  <c r="AE26" i="3"/>
  <c r="AA213" i="1"/>
  <c r="AA206" i="1"/>
  <c r="W206" i="1" s="1"/>
  <c r="AA201" i="1"/>
  <c r="W201" i="1" s="1"/>
  <c r="AA196" i="1"/>
  <c r="AA137" i="1"/>
  <c r="AA128" i="1"/>
  <c r="W128" i="1" s="1"/>
  <c r="AA112" i="1"/>
  <c r="AA104" i="1"/>
  <c r="AA102" i="1"/>
  <c r="W102" i="1" s="1"/>
  <c r="AA98" i="1"/>
  <c r="AA181" i="1"/>
  <c r="W181" i="1" s="1"/>
  <c r="AA174" i="1"/>
  <c r="AA92" i="1"/>
  <c r="W92" i="1" s="1"/>
  <c r="AA91" i="1"/>
  <c r="AA88" i="1"/>
  <c r="AA87" i="1"/>
  <c r="X83" i="1"/>
  <c r="AA77" i="1"/>
  <c r="AA61" i="1"/>
  <c r="AA58" i="1"/>
  <c r="AA30" i="1"/>
  <c r="W30" i="1" s="1"/>
  <c r="AA25" i="1"/>
  <c r="AA21" i="1"/>
  <c r="AA17" i="1"/>
  <c r="AA145" i="1"/>
  <c r="W145" i="1" s="1"/>
  <c r="AA138" i="1"/>
  <c r="AA132" i="1"/>
  <c r="AA131" i="1"/>
  <c r="X123" i="1"/>
  <c r="X119" i="1"/>
  <c r="X115" i="1"/>
  <c r="AA177" i="1"/>
  <c r="W177" i="1" s="1"/>
  <c r="X163" i="1"/>
  <c r="X160" i="1"/>
  <c r="AA66" i="1"/>
  <c r="AA64" i="1"/>
  <c r="AA55" i="1"/>
  <c r="W55" i="1" s="1"/>
  <c r="AA51" i="1"/>
  <c r="X47" i="1"/>
  <c r="X43" i="1"/>
  <c r="T162" i="1"/>
  <c r="U162" i="1" s="1"/>
  <c r="S162" i="1" s="1"/>
  <c r="T161" i="1"/>
  <c r="T56" i="1"/>
  <c r="S24" i="3"/>
  <c r="AA210" i="1"/>
  <c r="W210" i="1" s="1"/>
  <c r="AA204" i="1"/>
  <c r="AA200" i="1"/>
  <c r="AA156" i="1"/>
  <c r="AA148" i="1"/>
  <c r="W148" i="1" s="1"/>
  <c r="AA147" i="1"/>
  <c r="AA129" i="1"/>
  <c r="AA126" i="1"/>
  <c r="AA122" i="1"/>
  <c r="W122" i="1" s="1"/>
  <c r="AA118" i="1"/>
  <c r="AA114" i="1"/>
  <c r="T94" i="1"/>
  <c r="T174" i="1"/>
  <c r="U174" i="1" s="1"/>
  <c r="S174" i="1" s="1"/>
  <c r="AA168" i="1"/>
  <c r="W168" i="1" s="1"/>
  <c r="AA161" i="1"/>
  <c r="W161" i="1" s="1"/>
  <c r="AA160" i="1"/>
  <c r="X70" i="1"/>
  <c r="AA69" i="1"/>
  <c r="AA62" i="1"/>
  <c r="AA60" i="1"/>
  <c r="X59" i="1"/>
  <c r="AA57" i="1"/>
  <c r="AA56" i="1"/>
  <c r="AA53" i="1"/>
  <c r="AA49" i="1"/>
  <c r="W49" i="1" s="1"/>
  <c r="X45" i="1"/>
  <c r="X38" i="1"/>
  <c r="AA35" i="1"/>
  <c r="AA31" i="1"/>
  <c r="W31" i="1" s="1"/>
  <c r="AA27" i="1"/>
  <c r="X170" i="1"/>
  <c r="X169" i="1"/>
  <c r="X159" i="1"/>
  <c r="T90" i="1"/>
  <c r="X90" i="1"/>
  <c r="T86" i="1"/>
  <c r="U86" i="1" s="1"/>
  <c r="S86" i="1" s="1"/>
  <c r="X86" i="1"/>
  <c r="T82" i="1"/>
  <c r="T79" i="1"/>
  <c r="U79" i="1" s="1"/>
  <c r="S79" i="1" s="1"/>
  <c r="T72" i="1"/>
  <c r="X72" i="1"/>
  <c r="X39" i="1"/>
  <c r="X125" i="1"/>
  <c r="X121" i="1"/>
  <c r="X117" i="1"/>
  <c r="AA197" i="1"/>
  <c r="W197" i="1" s="1"/>
  <c r="AA150" i="1"/>
  <c r="AA142" i="1"/>
  <c r="AA134" i="1"/>
  <c r="T158" i="1"/>
  <c r="U158" i="1" s="1"/>
  <c r="S158" i="1" s="1"/>
  <c r="T63" i="1"/>
  <c r="X40" i="1"/>
  <c r="T40" i="1"/>
  <c r="AA124" i="1"/>
  <c r="W124" i="1" s="1"/>
  <c r="AA120" i="1"/>
  <c r="AA116" i="1"/>
  <c r="T113" i="1"/>
  <c r="T177" i="1"/>
  <c r="U177" i="1" s="1"/>
  <c r="S177" i="1" s="1"/>
  <c r="T168" i="1"/>
  <c r="X167" i="1"/>
  <c r="T61" i="1"/>
  <c r="U61" i="1" s="1"/>
  <c r="S61" i="1" s="1"/>
  <c r="T39" i="1"/>
  <c r="AA14" i="1"/>
  <c r="X85" i="1"/>
  <c r="X77" i="1"/>
  <c r="X71" i="1"/>
  <c r="X126" i="1"/>
  <c r="AA123" i="1"/>
  <c r="W123" i="1" s="1"/>
  <c r="X122" i="1"/>
  <c r="AA119" i="1"/>
  <c r="X118" i="1"/>
  <c r="AA115" i="1"/>
  <c r="W115" i="1" s="1"/>
  <c r="X114" i="1"/>
  <c r="AA175" i="1"/>
  <c r="W175" i="1" s="1"/>
  <c r="AA170" i="1"/>
  <c r="AA167" i="1"/>
  <c r="AA163" i="1"/>
  <c r="AA159" i="1"/>
  <c r="W159" i="1" s="1"/>
  <c r="AA90" i="1"/>
  <c r="X84" i="1"/>
  <c r="AA79" i="1"/>
  <c r="AA72" i="1"/>
  <c r="T65" i="1"/>
  <c r="U65" i="1" s="1"/>
  <c r="S65" i="1" s="1"/>
  <c r="X64" i="1"/>
  <c r="X62" i="1"/>
  <c r="X60" i="1"/>
  <c r="X58" i="1"/>
  <c r="T48" i="1"/>
  <c r="AA40" i="1"/>
  <c r="AI83" i="1"/>
  <c r="U83" i="1"/>
  <c r="S83" i="1" s="1"/>
  <c r="AI74" i="1"/>
  <c r="U74" i="1"/>
  <c r="S74" i="1" s="1"/>
  <c r="AI92" i="1"/>
  <c r="U92" i="1"/>
  <c r="S92" i="1" s="1"/>
  <c r="U212" i="1"/>
  <c r="S212" i="1" s="1"/>
  <c r="AI212" i="1"/>
  <c r="U209" i="1"/>
  <c r="S209" i="1" s="1"/>
  <c r="AI209" i="1"/>
  <c r="AI207" i="1"/>
  <c r="U205" i="1"/>
  <c r="S205" i="1" s="1"/>
  <c r="U202" i="1"/>
  <c r="S202" i="1" s="1"/>
  <c r="AI204" i="1"/>
  <c r="AI201" i="1"/>
  <c r="U199" i="1"/>
  <c r="S199" i="1" s="1"/>
  <c r="AI198" i="1"/>
  <c r="U196" i="1"/>
  <c r="S196" i="1" s="1"/>
  <c r="U156" i="1"/>
  <c r="S156" i="1" s="1"/>
  <c r="AI195" i="1"/>
  <c r="AI179" i="1"/>
  <c r="U149" i="1"/>
  <c r="S149" i="1" s="1"/>
  <c r="U146" i="1"/>
  <c r="S146" i="1" s="1"/>
  <c r="AI176" i="1"/>
  <c r="U143" i="1"/>
  <c r="S143" i="1" s="1"/>
  <c r="AI172" i="1"/>
  <c r="AI168" i="1"/>
  <c r="U140" i="1"/>
  <c r="S140" i="1" s="1"/>
  <c r="AI165" i="1"/>
  <c r="U137" i="1"/>
  <c r="S137" i="1" s="1"/>
  <c r="U134" i="1"/>
  <c r="S134" i="1" s="1"/>
  <c r="AI162" i="1"/>
  <c r="AI160" i="1"/>
  <c r="U132" i="1"/>
  <c r="S132" i="1" s="1"/>
  <c r="U131" i="1"/>
  <c r="S131" i="1" s="1"/>
  <c r="AI159" i="1"/>
  <c r="U130" i="1"/>
  <c r="S130" i="1" s="1"/>
  <c r="AI158" i="1"/>
  <c r="AI156" i="1"/>
  <c r="U129" i="1"/>
  <c r="S129" i="1" s="1"/>
  <c r="AI153" i="1"/>
  <c r="U128" i="1"/>
  <c r="S128" i="1" s="1"/>
  <c r="AI152" i="1"/>
  <c r="AI112" i="1"/>
  <c r="AI104" i="1"/>
  <c r="U168" i="1"/>
  <c r="S168" i="1" s="1"/>
  <c r="AI96" i="1"/>
  <c r="U161" i="1"/>
  <c r="S161" i="1" s="1"/>
  <c r="AI88" i="1"/>
  <c r="U88" i="1"/>
  <c r="S88" i="1" s="1"/>
  <c r="AI85" i="1"/>
  <c r="U85" i="1"/>
  <c r="S85" i="1" s="1"/>
  <c r="AI77" i="1"/>
  <c r="U77" i="1"/>
  <c r="S77" i="1" s="1"/>
  <c r="AI100" i="1"/>
  <c r="AI81" i="1"/>
  <c r="U81" i="1"/>
  <c r="S81" i="1" s="1"/>
  <c r="AI71" i="1"/>
  <c r="U71" i="1"/>
  <c r="S71" i="1" s="1"/>
  <c r="U213" i="1"/>
  <c r="S213" i="1" s="1"/>
  <c r="AI213" i="1"/>
  <c r="U211" i="1"/>
  <c r="S211" i="1" s="1"/>
  <c r="AI211" i="1"/>
  <c r="U210" i="1"/>
  <c r="S210" i="1" s="1"/>
  <c r="AI210" i="1"/>
  <c r="U206" i="1"/>
  <c r="S206" i="1" s="1"/>
  <c r="AI208" i="1"/>
  <c r="U204" i="1"/>
  <c r="S204" i="1" s="1"/>
  <c r="AI206" i="1"/>
  <c r="U203" i="1"/>
  <c r="S203" i="1" s="1"/>
  <c r="AI205" i="1"/>
  <c r="U201" i="1"/>
  <c r="S201" i="1" s="1"/>
  <c r="AI203" i="1"/>
  <c r="U200" i="1"/>
  <c r="S200" i="1" s="1"/>
  <c r="AI202" i="1"/>
  <c r="U198" i="1"/>
  <c r="S198" i="1" s="1"/>
  <c r="AI200" i="1"/>
  <c r="U197" i="1"/>
  <c r="S197" i="1" s="1"/>
  <c r="AI199" i="1"/>
  <c r="U195" i="1"/>
  <c r="S195" i="1" s="1"/>
  <c r="AI197" i="1"/>
  <c r="U194" i="1"/>
  <c r="S194" i="1" s="1"/>
  <c r="AI196" i="1"/>
  <c r="U153" i="1"/>
  <c r="S153" i="1" s="1"/>
  <c r="AI194" i="1"/>
  <c r="U152" i="1"/>
  <c r="S152" i="1" s="1"/>
  <c r="AI182" i="1"/>
  <c r="U151" i="1"/>
  <c r="S151" i="1" s="1"/>
  <c r="AI181" i="1"/>
  <c r="U150" i="1"/>
  <c r="S150" i="1" s="1"/>
  <c r="AI180" i="1"/>
  <c r="AI178" i="1"/>
  <c r="U148" i="1"/>
  <c r="S148" i="1" s="1"/>
  <c r="U147" i="1"/>
  <c r="S147" i="1" s="1"/>
  <c r="AI177" i="1"/>
  <c r="U145" i="1"/>
  <c r="S145" i="1" s="1"/>
  <c r="AI175" i="1"/>
  <c r="U144" i="1"/>
  <c r="S144" i="1" s="1"/>
  <c r="AI174" i="1"/>
  <c r="U142" i="1"/>
  <c r="S142" i="1" s="1"/>
  <c r="AI170" i="1"/>
  <c r="U141" i="1"/>
  <c r="S141" i="1" s="1"/>
  <c r="AI169" i="1"/>
  <c r="U139" i="1"/>
  <c r="S139" i="1" s="1"/>
  <c r="AI167" i="1"/>
  <c r="U138" i="1"/>
  <c r="S138" i="1" s="1"/>
  <c r="AI166" i="1"/>
  <c r="U136" i="1"/>
  <c r="S136" i="1" s="1"/>
  <c r="AI164" i="1"/>
  <c r="U135" i="1"/>
  <c r="S135" i="1" s="1"/>
  <c r="AI163" i="1"/>
  <c r="U133" i="1"/>
  <c r="S133" i="1" s="1"/>
  <c r="AI161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U113" i="1"/>
  <c r="S113" i="1" s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U95" i="1"/>
  <c r="S95" i="1" s="1"/>
  <c r="AI116" i="1"/>
  <c r="AI115" i="1"/>
  <c r="AI114" i="1"/>
  <c r="AI109" i="1"/>
  <c r="U94" i="1"/>
  <c r="S94" i="1" s="1"/>
  <c r="U169" i="1"/>
  <c r="S169" i="1" s="1"/>
  <c r="AI101" i="1"/>
  <c r="AI97" i="1"/>
  <c r="AI93" i="1"/>
  <c r="AI89" i="1"/>
  <c r="U89" i="1"/>
  <c r="S89" i="1" s="1"/>
  <c r="AI110" i="1"/>
  <c r="U175" i="1"/>
  <c r="S175" i="1" s="1"/>
  <c r="AI107" i="1"/>
  <c r="U170" i="1"/>
  <c r="S170" i="1" s="1"/>
  <c r="AI102" i="1"/>
  <c r="U167" i="1"/>
  <c r="S167" i="1" s="1"/>
  <c r="AI98" i="1"/>
  <c r="U163" i="1"/>
  <c r="S163" i="1" s="1"/>
  <c r="AI94" i="1"/>
  <c r="U159" i="1"/>
  <c r="S159" i="1" s="1"/>
  <c r="AI90" i="1"/>
  <c r="U90" i="1"/>
  <c r="S90" i="1" s="1"/>
  <c r="AI86" i="1"/>
  <c r="AI84" i="1"/>
  <c r="U84" i="1"/>
  <c r="S84" i="1" s="1"/>
  <c r="AI82" i="1"/>
  <c r="U82" i="1"/>
  <c r="S82" i="1" s="1"/>
  <c r="AI80" i="1"/>
  <c r="U80" i="1"/>
  <c r="S80" i="1" s="1"/>
  <c r="AI79" i="1"/>
  <c r="AI76" i="1"/>
  <c r="U76" i="1"/>
  <c r="S76" i="1" s="1"/>
  <c r="AI72" i="1"/>
  <c r="U72" i="1"/>
  <c r="S72" i="1" s="1"/>
  <c r="U70" i="1"/>
  <c r="S70" i="1" s="1"/>
  <c r="AI70" i="1"/>
  <c r="AI113" i="1"/>
  <c r="U178" i="1"/>
  <c r="S178" i="1" s="1"/>
  <c r="AI111" i="1"/>
  <c r="AI108" i="1"/>
  <c r="U172" i="1"/>
  <c r="S172" i="1" s="1"/>
  <c r="AI103" i="1"/>
  <c r="U93" i="1"/>
  <c r="S93" i="1" s="1"/>
  <c r="AI99" i="1"/>
  <c r="U164" i="1"/>
  <c r="S164" i="1" s="1"/>
  <c r="AI95" i="1"/>
  <c r="U160" i="1"/>
  <c r="S160" i="1" s="1"/>
  <c r="AI91" i="1"/>
  <c r="U91" i="1"/>
  <c r="S91" i="1" s="1"/>
  <c r="AI87" i="1"/>
  <c r="U87" i="1"/>
  <c r="S87" i="1" s="1"/>
  <c r="U69" i="1"/>
  <c r="S69" i="1" s="1"/>
  <c r="AI69" i="1"/>
  <c r="AI67" i="1"/>
  <c r="AI66" i="1"/>
  <c r="AI65" i="1"/>
  <c r="U64" i="1"/>
  <c r="S64" i="1" s="1"/>
  <c r="AI64" i="1"/>
  <c r="U63" i="1"/>
  <c r="S63" i="1" s="1"/>
  <c r="AI63" i="1"/>
  <c r="AI62" i="1"/>
  <c r="AI61" i="1"/>
  <c r="AI60" i="1"/>
  <c r="W60" i="1"/>
  <c r="U59" i="1"/>
  <c r="S59" i="1" s="1"/>
  <c r="AI59" i="1"/>
  <c r="AI58" i="1"/>
  <c r="W58" i="1"/>
  <c r="U57" i="1"/>
  <c r="S57" i="1" s="1"/>
  <c r="AI57" i="1"/>
  <c r="U56" i="1"/>
  <c r="S56" i="1" s="1"/>
  <c r="AI56" i="1"/>
  <c r="U55" i="1"/>
  <c r="S55" i="1" s="1"/>
  <c r="AI55" i="1"/>
  <c r="AI54" i="1"/>
  <c r="U53" i="1"/>
  <c r="S53" i="1" s="1"/>
  <c r="AI53" i="1"/>
  <c r="AI52" i="1"/>
  <c r="W52" i="1"/>
  <c r="U51" i="1"/>
  <c r="S51" i="1" s="1"/>
  <c r="AI51" i="1"/>
  <c r="AI50" i="1"/>
  <c r="U49" i="1"/>
  <c r="S49" i="1" s="1"/>
  <c r="AI49" i="1"/>
  <c r="U48" i="1"/>
  <c r="S48" i="1" s="1"/>
  <c r="AI48" i="1"/>
  <c r="U47" i="1"/>
  <c r="S47" i="1" s="1"/>
  <c r="AI47" i="1"/>
  <c r="AI46" i="1"/>
  <c r="U45" i="1"/>
  <c r="S45" i="1" s="1"/>
  <c r="AI45" i="1"/>
  <c r="AI44" i="1"/>
  <c r="W44" i="1"/>
  <c r="U43" i="1"/>
  <c r="S43" i="1" s="1"/>
  <c r="AI43" i="1"/>
  <c r="AI42" i="1"/>
  <c r="U41" i="1"/>
  <c r="S41" i="1" s="1"/>
  <c r="AI41" i="1"/>
  <c r="U40" i="1"/>
  <c r="S40" i="1" s="1"/>
  <c r="AI40" i="1"/>
  <c r="U39" i="1"/>
  <c r="S39" i="1" s="1"/>
  <c r="AI39" i="1"/>
  <c r="AI38" i="1"/>
  <c r="AI37" i="1"/>
  <c r="AI36" i="1"/>
  <c r="W36" i="1"/>
  <c r="AI35" i="1"/>
  <c r="AI34" i="1"/>
  <c r="W34" i="1"/>
  <c r="AI33" i="1"/>
  <c r="AI32" i="1"/>
  <c r="W32" i="1"/>
  <c r="AI31" i="1"/>
  <c r="AI30" i="1"/>
  <c r="AI29" i="1"/>
  <c r="W29" i="1"/>
  <c r="AI28" i="1"/>
  <c r="W28" i="1"/>
  <c r="AI27" i="1"/>
  <c r="W27" i="1"/>
  <c r="AI26" i="1"/>
  <c r="W26" i="1"/>
  <c r="AI25" i="1"/>
  <c r="W25" i="1"/>
  <c r="AI24" i="1"/>
  <c r="AI23" i="1"/>
  <c r="AI22" i="1"/>
  <c r="AI21" i="1"/>
  <c r="AI20" i="1"/>
  <c r="AI19" i="1"/>
  <c r="AI18" i="1"/>
  <c r="AI17" i="1"/>
  <c r="AI16" i="1"/>
  <c r="AI15" i="1"/>
  <c r="AI14" i="1"/>
  <c r="W204" i="1"/>
  <c r="W200" i="1"/>
  <c r="W196" i="1"/>
  <c r="W141" i="1"/>
  <c r="W129" i="1"/>
  <c r="W213" i="1"/>
  <c r="W209" i="1"/>
  <c r="W203" i="1"/>
  <c r="W195" i="1"/>
  <c r="W152" i="1"/>
  <c r="W144" i="1"/>
  <c r="W140" i="1"/>
  <c r="W136" i="1"/>
  <c r="W132" i="1"/>
  <c r="W212" i="1"/>
  <c r="W151" i="1"/>
  <c r="W147" i="1"/>
  <c r="W143" i="1"/>
  <c r="W135" i="1"/>
  <c r="W131" i="1"/>
  <c r="W149" i="1"/>
  <c r="W137" i="1"/>
  <c r="W133" i="1"/>
  <c r="W202" i="1"/>
  <c r="W211" i="1"/>
  <c r="W205" i="1"/>
  <c r="W156" i="1"/>
  <c r="W150" i="1"/>
  <c r="W146" i="1"/>
  <c r="W142" i="1"/>
  <c r="W138" i="1"/>
  <c r="W134" i="1"/>
  <c r="W130" i="1"/>
  <c r="W127" i="1"/>
  <c r="W126" i="1"/>
  <c r="W125" i="1"/>
  <c r="W121" i="1"/>
  <c r="W120" i="1"/>
  <c r="W119" i="1"/>
  <c r="W118" i="1"/>
  <c r="W117" i="1"/>
  <c r="W116" i="1"/>
  <c r="W114" i="1"/>
  <c r="T179" i="1"/>
  <c r="U179" i="1" s="1"/>
  <c r="S179" i="1" s="1"/>
  <c r="X179" i="1"/>
  <c r="T66" i="1"/>
  <c r="U66" i="1" s="1"/>
  <c r="S66" i="1" s="1"/>
  <c r="W43" i="1"/>
  <c r="W41" i="1"/>
  <c r="W90" i="1"/>
  <c r="R20" i="3"/>
  <c r="T127" i="1"/>
  <c r="U127" i="1" s="1"/>
  <c r="S127" i="1" s="1"/>
  <c r="T126" i="1"/>
  <c r="U126" i="1" s="1"/>
  <c r="S126" i="1" s="1"/>
  <c r="T125" i="1"/>
  <c r="U125" i="1" s="1"/>
  <c r="S125" i="1" s="1"/>
  <c r="T124" i="1"/>
  <c r="U124" i="1" s="1"/>
  <c r="S124" i="1" s="1"/>
  <c r="T123" i="1"/>
  <c r="U123" i="1" s="1"/>
  <c r="S123" i="1" s="1"/>
  <c r="T122" i="1"/>
  <c r="U122" i="1" s="1"/>
  <c r="S122" i="1" s="1"/>
  <c r="T121" i="1"/>
  <c r="U121" i="1" s="1"/>
  <c r="S121" i="1" s="1"/>
  <c r="T120" i="1"/>
  <c r="U120" i="1" s="1"/>
  <c r="S120" i="1" s="1"/>
  <c r="T119" i="1"/>
  <c r="U119" i="1" s="1"/>
  <c r="S119" i="1" s="1"/>
  <c r="T118" i="1"/>
  <c r="U118" i="1" s="1"/>
  <c r="S118" i="1" s="1"/>
  <c r="T117" i="1"/>
  <c r="U117" i="1" s="1"/>
  <c r="S117" i="1" s="1"/>
  <c r="T116" i="1"/>
  <c r="U116" i="1" s="1"/>
  <c r="S116" i="1" s="1"/>
  <c r="T115" i="1"/>
  <c r="U115" i="1" s="1"/>
  <c r="S115" i="1" s="1"/>
  <c r="T114" i="1"/>
  <c r="U114" i="1" s="1"/>
  <c r="S114" i="1" s="1"/>
  <c r="W112" i="1"/>
  <c r="W110" i="1"/>
  <c r="W109" i="1"/>
  <c r="W108" i="1"/>
  <c r="W107" i="1"/>
  <c r="W104" i="1"/>
  <c r="W103" i="1"/>
  <c r="W208" i="1"/>
  <c r="W207" i="1"/>
  <c r="W101" i="1"/>
  <c r="W100" i="1"/>
  <c r="W99" i="1"/>
  <c r="W98" i="1"/>
  <c r="W96" i="1"/>
  <c r="T180" i="1"/>
  <c r="U180" i="1" s="1"/>
  <c r="S180" i="1" s="1"/>
  <c r="W167" i="1"/>
  <c r="W51" i="1"/>
  <c r="W113" i="1"/>
  <c r="W170" i="1"/>
  <c r="W163" i="1"/>
  <c r="X213" i="1"/>
  <c r="X212" i="1"/>
  <c r="X211" i="1"/>
  <c r="X210" i="1"/>
  <c r="X209" i="1"/>
  <c r="X206" i="1"/>
  <c r="X205" i="1"/>
  <c r="X204" i="1"/>
  <c r="X203" i="1"/>
  <c r="X202" i="1"/>
  <c r="X201" i="1"/>
  <c r="X200" i="1"/>
  <c r="X199" i="1"/>
  <c r="X198" i="1"/>
  <c r="X197" i="1"/>
  <c r="X153" i="1"/>
  <c r="X152" i="1"/>
  <c r="X151" i="1"/>
  <c r="X150" i="1"/>
  <c r="X149" i="1"/>
  <c r="X148" i="1"/>
  <c r="X147" i="1"/>
  <c r="X146" i="1"/>
  <c r="X145" i="1"/>
  <c r="X144" i="1"/>
  <c r="X143" i="1"/>
  <c r="X142" i="1"/>
  <c r="X141" i="1"/>
  <c r="X140" i="1"/>
  <c r="X139" i="1"/>
  <c r="X138" i="1"/>
  <c r="X137" i="1"/>
  <c r="X136" i="1"/>
  <c r="X135" i="1"/>
  <c r="X134" i="1"/>
  <c r="X133" i="1"/>
  <c r="X132" i="1"/>
  <c r="X131" i="1"/>
  <c r="X130" i="1"/>
  <c r="X129" i="1"/>
  <c r="X128" i="1"/>
  <c r="T112" i="1"/>
  <c r="U112" i="1" s="1"/>
  <c r="S112" i="1" s="1"/>
  <c r="T111" i="1"/>
  <c r="U111" i="1" s="1"/>
  <c r="S111" i="1" s="1"/>
  <c r="T110" i="1"/>
  <c r="U110" i="1" s="1"/>
  <c r="S110" i="1" s="1"/>
  <c r="T109" i="1"/>
  <c r="U109" i="1" s="1"/>
  <c r="S109" i="1" s="1"/>
  <c r="T108" i="1"/>
  <c r="U108" i="1" s="1"/>
  <c r="S108" i="1" s="1"/>
  <c r="X108" i="1"/>
  <c r="T107" i="1"/>
  <c r="U107" i="1" s="1"/>
  <c r="S107" i="1" s="1"/>
  <c r="T104" i="1"/>
  <c r="U104" i="1" s="1"/>
  <c r="S104" i="1" s="1"/>
  <c r="X104" i="1"/>
  <c r="T103" i="1"/>
  <c r="U103" i="1" s="1"/>
  <c r="S103" i="1" s="1"/>
  <c r="X103" i="1"/>
  <c r="T208" i="1"/>
  <c r="U208" i="1" s="1"/>
  <c r="S208" i="1" s="1"/>
  <c r="X208" i="1"/>
  <c r="T207" i="1"/>
  <c r="U207" i="1" s="1"/>
  <c r="S207" i="1" s="1"/>
  <c r="X207" i="1"/>
  <c r="T102" i="1"/>
  <c r="U102" i="1" s="1"/>
  <c r="S102" i="1" s="1"/>
  <c r="X102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97" i="1"/>
  <c r="U97" i="1" s="1"/>
  <c r="S97" i="1" s="1"/>
  <c r="X97" i="1"/>
  <c r="T96" i="1"/>
  <c r="U96" i="1" s="1"/>
  <c r="S96" i="1" s="1"/>
  <c r="X96" i="1"/>
  <c r="T182" i="1"/>
  <c r="U182" i="1" s="1"/>
  <c r="S182" i="1" s="1"/>
  <c r="X182" i="1"/>
  <c r="T181" i="1"/>
  <c r="U181" i="1" s="1"/>
  <c r="S181" i="1" s="1"/>
  <c r="X181" i="1"/>
  <c r="X95" i="1"/>
  <c r="W59" i="1"/>
  <c r="W57" i="1"/>
  <c r="W172" i="1"/>
  <c r="W93" i="1"/>
  <c r="W160" i="1"/>
  <c r="W91" i="1"/>
  <c r="W87" i="1"/>
  <c r="W174" i="1"/>
  <c r="W88" i="1"/>
  <c r="W69" i="1"/>
  <c r="T67" i="1"/>
  <c r="U67" i="1" s="1"/>
  <c r="S67" i="1" s="1"/>
  <c r="X67" i="1"/>
  <c r="AA95" i="1"/>
  <c r="W95" i="1" s="1"/>
  <c r="AA180" i="1"/>
  <c r="W180" i="1" s="1"/>
  <c r="AA179" i="1"/>
  <c r="W179" i="1" s="1"/>
  <c r="AA94" i="1"/>
  <c r="W94" i="1" s="1"/>
  <c r="AA169" i="1"/>
  <c r="W169" i="1" s="1"/>
  <c r="AA166" i="1"/>
  <c r="W166" i="1" s="1"/>
  <c r="AA162" i="1"/>
  <c r="W162" i="1" s="1"/>
  <c r="AA158" i="1"/>
  <c r="W158" i="1" s="1"/>
  <c r="AA89" i="1"/>
  <c r="W89" i="1" s="1"/>
  <c r="W66" i="1"/>
  <c r="X178" i="1"/>
  <c r="W64" i="1"/>
  <c r="W62" i="1"/>
  <c r="W56" i="1"/>
  <c r="W54" i="1"/>
  <c r="W48" i="1"/>
  <c r="W46" i="1"/>
  <c r="W40" i="1"/>
  <c r="W38" i="1"/>
  <c r="W35" i="1"/>
  <c r="AA86" i="1"/>
  <c r="W86" i="1" s="1"/>
  <c r="AA85" i="1"/>
  <c r="W85" i="1" s="1"/>
  <c r="AA84" i="1"/>
  <c r="W84" i="1" s="1"/>
  <c r="AA83" i="1"/>
  <c r="W83" i="1" s="1"/>
  <c r="AA82" i="1"/>
  <c r="W82" i="1" s="1"/>
  <c r="AA81" i="1"/>
  <c r="W81" i="1" s="1"/>
  <c r="AA80" i="1"/>
  <c r="W80" i="1" s="1"/>
  <c r="W79" i="1"/>
  <c r="W77" i="1"/>
  <c r="W76" i="1"/>
  <c r="W74" i="1"/>
  <c r="W72" i="1"/>
  <c r="W70" i="1"/>
  <c r="W63" i="1"/>
  <c r="W61" i="1"/>
  <c r="W53" i="1"/>
  <c r="W45" i="1"/>
  <c r="W39" i="1"/>
  <c r="W37" i="1"/>
  <c r="W67" i="1"/>
  <c r="X57" i="1"/>
  <c r="X49" i="1"/>
  <c r="X41" i="1"/>
  <c r="T62" i="1"/>
  <c r="U62" i="1" s="1"/>
  <c r="S62" i="1" s="1"/>
  <c r="T54" i="1"/>
  <c r="U54" i="1" s="1"/>
  <c r="S54" i="1" s="1"/>
  <c r="T46" i="1"/>
  <c r="U46" i="1" s="1"/>
  <c r="S46" i="1" s="1"/>
  <c r="T38" i="1"/>
  <c r="U38" i="1" s="1"/>
  <c r="S38" i="1" s="1"/>
  <c r="T60" i="1"/>
  <c r="U60" i="1" s="1"/>
  <c r="S60" i="1" s="1"/>
  <c r="T52" i="1"/>
  <c r="U52" i="1" s="1"/>
  <c r="S52" i="1" s="1"/>
  <c r="T44" i="1"/>
  <c r="U44" i="1" s="1"/>
  <c r="S44" i="1" s="1"/>
  <c r="T58" i="1"/>
  <c r="U58" i="1" s="1"/>
  <c r="S58" i="1" s="1"/>
  <c r="T50" i="1"/>
  <c r="U50" i="1" s="1"/>
  <c r="S50" i="1" s="1"/>
  <c r="T42" i="1"/>
  <c r="U42" i="1" s="1"/>
  <c r="S42" i="1" s="1"/>
  <c r="W23" i="1"/>
  <c r="W22" i="1"/>
  <c r="W21" i="1"/>
  <c r="W20" i="1"/>
  <c r="W19" i="1"/>
  <c r="W18" i="1"/>
  <c r="W17" i="1"/>
  <c r="W16" i="1"/>
  <c r="W14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S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T8" i="3"/>
  <c r="AD12" i="3"/>
  <c r="AC13" i="3"/>
  <c r="AC12" i="3"/>
  <c r="AD17" i="3"/>
  <c r="AC9" i="3"/>
  <c r="AE15" i="3"/>
  <c r="AD13" i="3"/>
  <c r="AD24" i="3"/>
  <c r="AD20" i="3"/>
  <c r="AD19" i="3"/>
  <c r="AE19" i="3"/>
  <c r="AE11" i="3"/>
  <c r="AD9" i="3"/>
  <c r="AD23" i="3"/>
  <c r="AC29" i="3"/>
  <c r="T29" i="3"/>
  <c r="AD16" i="3"/>
  <c r="AD11" i="3"/>
  <c r="AD8" i="3"/>
  <c r="AC31" i="3"/>
  <c r="AD30" i="3"/>
  <c r="T20" i="3"/>
  <c r="AC10" i="3"/>
  <c r="T32" i="3"/>
  <c r="AC18" i="3"/>
  <c r="AC11" i="3"/>
  <c r="AC30" i="3"/>
  <c r="AD15" i="3"/>
  <c r="T17" i="3"/>
  <c r="Y31" i="3"/>
  <c r="Y13" i="3"/>
  <c r="Y9" i="3"/>
  <c r="Y30" i="3"/>
  <c r="Y11" i="3"/>
  <c r="Y12" i="3"/>
  <c r="Y22" i="3"/>
  <c r="Y7" i="3"/>
  <c r="Y32" i="3"/>
  <c r="Y29" i="3"/>
  <c r="Y17" i="3"/>
  <c r="Y8" i="3"/>
  <c r="Y24" i="3"/>
  <c r="Y19" i="3"/>
  <c r="Y14" i="3"/>
  <c r="Y15" i="3"/>
  <c r="Y16" i="3"/>
  <c r="Y27" i="3"/>
  <c r="Y20" i="3"/>
  <c r="Y23" i="3"/>
  <c r="Y10" i="3"/>
  <c r="Y25" i="3"/>
  <c r="Y18" i="3"/>
  <c r="Y28" i="3"/>
  <c r="Y26" i="3"/>
  <c r="AE29" i="3"/>
  <c r="T19" i="3"/>
  <c r="AE18" i="3"/>
  <c r="T16" i="3"/>
  <c r="AE14" i="3"/>
  <c r="T27" i="3"/>
  <c r="AE10" i="3"/>
  <c r="T24" i="3"/>
  <c r="AE25" i="3"/>
  <c r="T14" i="3"/>
  <c r="T23" i="3"/>
  <c r="AD29" i="3"/>
  <c r="AE28" i="3"/>
  <c r="T10" i="3"/>
  <c r="AD25" i="3"/>
  <c r="AE24" i="3"/>
  <c r="T25" i="3"/>
  <c r="AD22" i="3"/>
  <c r="T18" i="3"/>
  <c r="AD18" i="3"/>
  <c r="AE17" i="3"/>
  <c r="T28" i="3"/>
  <c r="AD14" i="3"/>
  <c r="AE13" i="3"/>
  <c r="T26" i="3"/>
  <c r="AD10" i="3"/>
  <c r="AE9" i="3"/>
  <c r="AE22" i="3"/>
  <c r="T15" i="3"/>
  <c r="AE31" i="3"/>
  <c r="AE27" i="3"/>
  <c r="AE23" i="3"/>
  <c r="AE20" i="3"/>
  <c r="AE16" i="3"/>
  <c r="AE12" i="3"/>
  <c r="AE8" i="3"/>
  <c r="S21" i="3"/>
  <c r="R21" i="3"/>
  <c r="M21" i="3"/>
  <c r="U21" i="3"/>
  <c r="T21" i="3" s="1"/>
  <c r="V21" i="3"/>
  <c r="X21" i="3"/>
  <c r="W21" i="3"/>
  <c r="AE21" i="3" l="1"/>
  <c r="AD21" i="3"/>
  <c r="AC21" i="3"/>
  <c r="Y21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N22" i="3" s="1"/>
  <c r="G44" i="4"/>
  <c r="G45" i="4"/>
  <c r="G46" i="4"/>
  <c r="G47" i="4"/>
  <c r="G48" i="4"/>
  <c r="G49" i="4"/>
  <c r="G50" i="4"/>
  <c r="N8" i="3" s="1"/>
  <c r="G51" i="4"/>
  <c r="G52" i="4"/>
  <c r="G53" i="4"/>
  <c r="G54" i="4"/>
  <c r="N12" i="3" s="1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N17" i="3" s="1"/>
  <c r="G72" i="4"/>
  <c r="G73" i="4"/>
  <c r="G74" i="4"/>
  <c r="G75" i="4"/>
  <c r="G76" i="4"/>
  <c r="G77" i="4"/>
  <c r="G78" i="4"/>
  <c r="G79" i="4"/>
  <c r="G80" i="4"/>
  <c r="G81" i="4"/>
  <c r="G82" i="4"/>
  <c r="N28" i="3" s="1"/>
  <c r="G83" i="4"/>
  <c r="G84" i="4"/>
  <c r="G85" i="4"/>
  <c r="G86" i="4"/>
  <c r="G87" i="4"/>
  <c r="G88" i="4"/>
  <c r="G89" i="4"/>
  <c r="G90" i="4"/>
  <c r="G91" i="4"/>
  <c r="G92" i="4"/>
  <c r="N29" i="3" s="1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N30" i="3" s="1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N18" i="3" s="1"/>
  <c r="G160" i="4"/>
  <c r="G161" i="4"/>
  <c r="N15" i="3" s="1"/>
  <c r="G162" i="4"/>
  <c r="G163" i="4"/>
  <c r="G164" i="4"/>
  <c r="G165" i="4"/>
  <c r="G166" i="4"/>
  <c r="G167" i="4"/>
  <c r="G168" i="4"/>
  <c r="N9" i="3" s="1"/>
  <c r="G169" i="4"/>
  <c r="N32" i="3" s="1"/>
  <c r="G170" i="4"/>
  <c r="N14" i="3" s="1"/>
  <c r="G171" i="4"/>
  <c r="G172" i="4"/>
  <c r="G173" i="4"/>
  <c r="N25" i="3" s="1"/>
  <c r="G174" i="4"/>
  <c r="G175" i="4"/>
  <c r="G176" i="4"/>
  <c r="G177" i="4"/>
  <c r="G178" i="4"/>
  <c r="G179" i="4"/>
  <c r="N13" i="3" s="1"/>
  <c r="G180" i="4"/>
  <c r="G181" i="4"/>
  <c r="G182" i="4"/>
  <c r="G183" i="4"/>
  <c r="N21" i="3" s="1"/>
  <c r="G184" i="4"/>
  <c r="G185" i="4"/>
  <c r="N10" i="3" s="1"/>
  <c r="G186" i="4"/>
  <c r="G187" i="4"/>
  <c r="G188" i="4"/>
  <c r="G189" i="4"/>
  <c r="G190" i="4"/>
  <c r="G191" i="4"/>
  <c r="G192" i="4"/>
  <c r="G193" i="4"/>
  <c r="G194" i="4"/>
  <c r="G195" i="4"/>
  <c r="G196" i="4"/>
  <c r="N31" i="3" s="1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N7" i="3" s="1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23" i="3" l="1"/>
  <c r="N24" i="3"/>
  <c r="N27" i="3"/>
  <c r="N26" i="3"/>
  <c r="N19" i="3"/>
  <c r="N20" i="3"/>
  <c r="N11" i="3"/>
  <c r="N16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<sst xmlns="http://schemas.openxmlformats.org/spreadsheetml/2006/main" count="2729" uniqueCount="1092">
  <si>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</si>
  <si>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</si>
  <si>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</si>
  <si>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</si>
  <si>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</si>
  <si>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</si>
  <si>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</si>
  <si>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</si>
  <si>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</si>
  <si>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</si>
  <si>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</si>
  <si>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</si>
  <si>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</si>
  <si>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</si>
  <si>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</si>
  <si>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</si>
  <si>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</si>
  <si>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</si>
  <si>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</si>
  <si>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</si>
  <si>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</si>
  <si>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</si>
  <si>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</si>
  <si>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</si>
  <si>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</si>
  <si>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</si>
  <si>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</si>
  <si>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</si>
  <si>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</si>
  <si>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</si>
  <si>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</si>
  <si>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</si>
  <si>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</si>
  <si>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</si>
  <si>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</si>
  <si>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</si>
  <si>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</si>
  <si>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</si>
  <si>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</si>
  <si>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</si>
  <si>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</si>
  <si>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</si>
  <si>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</si>
  <si>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</si>
  <si>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</si>
  <si>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</si>
  <si>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</si>
  <si>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</si>
  <si>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</si>
  <si>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</si>
  <si>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</si>
  <si>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</si>
  <si>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</si>
  <si>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</si>
  <si>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</si>
  <si>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</si>
  <si>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</si>
  <si>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</si>
  <si>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</si>
  <si>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</si>
  <si>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</si>
  <si>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</si>
  <si>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</si>
  <si>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</si>
  <si>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</si>
  <si>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</si>
  <si>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</si>
  <si>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</si>
  <si>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</si>
  <si>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</si>
  <si>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</si>
  <si>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</si>
  <si>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</si>
  <si>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</si>
  <si>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</si>
  <si>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</si>
  <si>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</si>
  <si>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</si>
  <si>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</si>
  <si>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</si>
  <si>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</si>
  <si>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</si>
  <si>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</si>
  <si>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</si>
  <si>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</si>
  <si>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</si>
  <si>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</si>
  <si>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</si>
  <si>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</si>
  <si>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</si>
  <si>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</si>
  <si>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</si>
  <si>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</si>
  <si>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</si>
  <si>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</si>
  <si>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</si>
  <si>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</si>
  <si>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</si>
  <si>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</si>
  <si>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</si>
  <si>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</si>
  <si>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</si>
  <si>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</si>
  <si>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</si>
  <si>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</si>
  <si>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</si>
  <si>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</si>
  <si>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</si>
  <si>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</si>
  <si>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</si>
  <si>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</si>
  <si>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</si>
  <si>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</si>
  <si>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</si>
  <si>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</si>
  <si>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</si>
  <si>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</si>
  <si>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</si>
  <si>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</si>
  <si>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</si>
  <si>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</si>
  <si>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</si>
  <si>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</si>
  <si>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</si>
  <si>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</si>
  <si>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</si>
  <si>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</si>
  <si>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</si>
  <si>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</si>
  <si>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</si>
  <si>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</si>
  <si>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</si>
  <si>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</si>
  <si>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</si>
  <si>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</si>
  <si>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</si>
  <si>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</si>
  <si>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</si>
  <si>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</si>
  <si>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</si>
  <si>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</si>
  <si>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</si>
  <si>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</si>
  <si>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</si>
  <si>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</si>
  <si>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</si>
  <si>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</si>
  <si>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</si>
  <si>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</si>
  <si>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</si>
  <si>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</si>
  <si>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</si>
  <si>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</si>
  <si>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</si>
  <si>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</si>
  <si>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</si>
  <si>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</si>
  <si>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</si>
  <si>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</si>
  <si>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</si>
  <si>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</si>
  <si>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</si>
  <si>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</si>
  <si>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</si>
  <si>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</si>
  <si>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</si>
  <si>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</si>
  <si>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</si>
  <si>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</si>
  <si>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</si>
  <si>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</si>
  <si>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</si>
  <si>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</si>
  <si>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</si>
  <si>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</si>
  <si>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</si>
  <si>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</si>
  <si>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</si>
  <si>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</si>
  <si>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</si>
  <si>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</si>
  <si>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</si>
  <si>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</si>
  <si>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</si>
  <si>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</si>
  <si>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</si>
  <si>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</si>
  <si>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</si>
  <si>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</si>
  <si>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</si>
  <si>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</si>
  <si>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</si>
  <si>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</si>
  <si>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</si>
  <si>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</si>
  <si>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</si>
  <si>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</si>
  <si>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</si>
  <si>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</si>
  <si>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</si>
  <si>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</si>
  <si>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</si>
  <si>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</si>
  <si>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</si>
  <si>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</si>
  <si>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</si>
  <si>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</si>
  <si>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</si>
  <si>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</si>
  <si>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</si>
  <si>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</si>
  <si>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</si>
  <si>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</si>
  <si>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</si>
  <si>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</si>
  <si>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</si>
  <si>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</si>
  <si>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</si>
  <si>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</si>
  <si>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</si>
  <si>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</si>
  <si>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</si>
  <si>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</si>
  <si>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</si>
  <si>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</si>
  <si>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</si>
  <si>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</si>
  <si>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</si>
  <si>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</si>
  <si>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</si>
  <si>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</si>
  <si>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</si>
  <si>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</si>
  <si>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</si>
  <si>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</si>
  <si>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</si>
  <si>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</si>
  <si>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</si>
  <si>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</si>
  <si>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</si>
  <si>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</si>
  <si>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</si>
  <si>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</si>
  <si>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</si>
  <si>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</si>
  <si>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</si>
  <si>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</si>
  <si>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</si>
  <si>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</si>
  <si>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</si>
  <si>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</si>
  <si>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</si>
  <si>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</si>
  <si>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</si>
  <si>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</si>
  <si>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</si>
  <si>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</si>
  <si>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</si>
  <si>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</si>
  <si>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</si>
  <si>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</si>
  <si>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</si>
  <si>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</si>
  <si>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</si>
  <si>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</si>
  <si>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</si>
  <si>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</si>
  <si>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</si>
  <si>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</si>
  <si>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</si>
  <si>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</si>
  <si>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</si>
  <si>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</si>
  <si>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</si>
  <si>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</si>
  <si>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</si>
  <si>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</si>
  <si>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</si>
  <si>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</si>
  <si>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</si>
  <si>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</si>
  <si>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</si>
  <si>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</si>
  <si>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</si>
  <si>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</si>
  <si>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</si>
  <si>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</si>
  <si>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</si>
  <si>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</si>
  <si>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</si>
  <si>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</si>
  <si>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</si>
  <si>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</si>
  <si>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</si>
  <si>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</si>
  <si>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</si>
  <si>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</si>
  <si>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</si>
  <si>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</si>
  <si>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</si>
  <si>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</si>
  <si>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</si>
  <si>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</si>
  <si>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</si>
  <si>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</si>
  <si>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</si>
  <si>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</si>
  <si>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</si>
  <si>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</si>
  <si>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</si>
  <si>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</si>
  <si>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</si>
  <si>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</si>
  <si>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</si>
  <si>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</si>
  <si>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</si>
  <si>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</si>
  <si>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</si>
  <si>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</si>
  <si>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</si>
  <si>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</si>
  <si>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</si>
  <si>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</si>
  <si>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</si>
  <si>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</si>
  <si>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</si>
  <si>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</si>
  <si>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</si>
  <si>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</si>
  <si>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</si>
  <si>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</si>
  <si>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</si>
  <si>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</si>
  <si>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</si>
  <si>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</si>
  <si>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</si>
  <si>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</si>
  <si>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</si>
  <si>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</si>
  <si>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</si>
  <si>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</si>
  <si>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</si>
  <si>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</si>
  <si>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</si>
  <si>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</si>
  <si>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</si>
  <si>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</si>
  <si>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</si>
  <si>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</si>
  <si>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</si>
  <si>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</si>
  <si>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</si>
  <si>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</si>
  <si>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</si>
  <si>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</si>
  <si>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</si>
  <si>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</si>
  <si>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</si>
  <si>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</si>
  <si>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</si>
  <si>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</si>
  <si>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</si>
  <si>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</si>
  <si>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</si>
  <si>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</si>
  <si>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</si>
  <si>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</si>
  <si>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</si>
  <si>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</si>
  <si>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</si>
  <si>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</si>
  <si>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</si>
  <si>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</si>
  <si>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</si>
  <si>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</si>
  <si>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</si>
  <si>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</si>
  <si>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</si>
  <si>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</si>
  <si>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</si>
  <si>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</si>
  <si>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</si>
  <si>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</si>
  <si>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</si>
  <si>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</si>
  <si>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</si>
  <si>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</si>
  <si>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</si>
  <si>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</si>
  <si>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</si>
  <si>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</si>
  <si>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</si>
  <si>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</si>
  <si>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</si>
  <si>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</si>
  <si>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</si>
  <si>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</si>
  <si>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</si>
  <si>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</si>
  <si>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</si>
  <si>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</si>
  <si>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</si>
  <si>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</si>
  <si>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</si>
  <si>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</si>
  <si>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</si>
  <si>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</si>
  <si>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</si>
  <si>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</si>
  <si>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</si>
  <si>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</si>
  <si>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</si>
  <si>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</si>
  <si>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</si>
  <si>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</si>
  <si>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</si>
  <si>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</si>
  <si>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</si>
  <si>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</si>
  <si>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</si>
  <si>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</si>
  <si>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</si>
  <si>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</si>
  <si>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</si>
  <si>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</si>
  <si>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</si>
  <si>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</si>
  <si>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</si>
  <si>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</si>
  <si>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</si>
  <si>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</si>
  <si>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</si>
  <si>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</si>
  <si>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</si>
  <si>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</si>
  <si>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</si>
  <si>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</si>
  <si>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</si>
  <si>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</si>
  <si>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</si>
  <si>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</si>
  <si>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</si>
  <si>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204:236</t>
  </si>
  <si>
    <t>204:207</t>
  </si>
  <si>
    <t>204:506</t>
  </si>
  <si>
    <t>rtdc.l.rtdc.4009:itc</t>
  </si>
  <si>
    <t>rtdc.l.rtdc.4010:itc</t>
  </si>
  <si>
    <t>precipType</t>
  </si>
  <si>
    <t>rain</t>
  </si>
  <si>
    <t>rtdc.l.rtdc.4049:itc</t>
  </si>
  <si>
    <t>rtdc.l.rtdc.4050:itc</t>
  </si>
  <si>
    <t>AUSTIN</t>
  </si>
  <si>
    <t>204:528</t>
  </si>
  <si>
    <t>204:229</t>
  </si>
  <si>
    <t>204:209</t>
  </si>
  <si>
    <t>204:233276</t>
  </si>
  <si>
    <t>204:227</t>
  </si>
  <si>
    <t>204:533</t>
  </si>
  <si>
    <t>SWITCH UNKNOWN</t>
  </si>
  <si>
    <t>Track device (7)</t>
  </si>
  <si>
    <t>rtdc.l.rtdc.4052:itc</t>
  </si>
  <si>
    <t>rtdc.l.rtdc.4024:itc</t>
  </si>
  <si>
    <t>rtdc.l.rtdc.4023:itc</t>
  </si>
  <si>
    <t>243-08</t>
  </si>
  <si>
    <t>rtdc.l.rtdc.4051:itc</t>
  </si>
  <si>
    <t>LOPES</t>
  </si>
  <si>
    <t>KIMBERLY</t>
  </si>
  <si>
    <t>237-08</t>
  </si>
  <si>
    <t>234-08</t>
  </si>
  <si>
    <t>849-08</t>
  </si>
  <si>
    <t>239-08</t>
  </si>
  <si>
    <t>MCREYNOLDS</t>
  </si>
  <si>
    <t>KYLE</t>
  </si>
  <si>
    <t>236-08</t>
  </si>
  <si>
    <t>908-08</t>
  </si>
  <si>
    <t>241-08</t>
  </si>
  <si>
    <t>238-08</t>
  </si>
  <si>
    <t>240-08</t>
  </si>
  <si>
    <t>313-08</t>
  </si>
  <si>
    <t>242-08</t>
  </si>
  <si>
    <t>307-08</t>
  </si>
  <si>
    <t>244-08</t>
  </si>
  <si>
    <t>309-08</t>
  </si>
  <si>
    <t>311-08</t>
  </si>
  <si>
    <t>Partly Cloudy</t>
  </si>
  <si>
    <t>Clear</t>
  </si>
  <si>
    <t>clear-night</t>
  </si>
  <si>
    <t>204:232</t>
  </si>
  <si>
    <t>204:225</t>
  </si>
  <si>
    <t>204:233251</t>
  </si>
  <si>
    <t>204:232917</t>
  </si>
  <si>
    <t>300:23304</t>
  </si>
  <si>
    <t>DAVID</t>
  </si>
  <si>
    <t>204:233280</t>
  </si>
  <si>
    <t>204:200</t>
  </si>
  <si>
    <t>204:233249</t>
  </si>
  <si>
    <t>204:522</t>
  </si>
  <si>
    <t>204:223</t>
  </si>
  <si>
    <t>204:191</t>
  </si>
  <si>
    <t>204:218</t>
  </si>
  <si>
    <t>rtdc.l.rtdc.4040:itc</t>
  </si>
  <si>
    <t>DAVIDSON</t>
  </si>
  <si>
    <t>rtdc.l.rtdc.4014:itc</t>
  </si>
  <si>
    <t>rtdc.l.rtdc.4065:itc</t>
  </si>
  <si>
    <t>204:232944</t>
  </si>
  <si>
    <t>204:233293</t>
  </si>
  <si>
    <t>204:233291</t>
  </si>
  <si>
    <t>204:220</t>
  </si>
  <si>
    <t>204:211</t>
  </si>
  <si>
    <t>204:493</t>
  </si>
  <si>
    <t>204:196</t>
  </si>
  <si>
    <t>204:526</t>
  </si>
  <si>
    <t>204:233197</t>
  </si>
  <si>
    <t>204:513</t>
  </si>
  <si>
    <t>204:212</t>
  </si>
  <si>
    <t>Wi-MAX data drop</t>
  </si>
  <si>
    <t>rtdc.l.rtdc.4003:itc</t>
  </si>
  <si>
    <t>rtdc.l.rtdc.4066:itc</t>
  </si>
  <si>
    <t>FORTUNATO</t>
  </si>
  <si>
    <t>FRANK</t>
  </si>
  <si>
    <t>NEWELL</t>
  </si>
  <si>
    <t>ANDERS</t>
  </si>
  <si>
    <t>STEVEN</t>
  </si>
  <si>
    <t>204:216</t>
  </si>
  <si>
    <t>204:457</t>
  </si>
  <si>
    <t>204:486</t>
  </si>
  <si>
    <t>204:515</t>
  </si>
  <si>
    <t>204:233219</t>
  </si>
  <si>
    <t>204:535</t>
  </si>
  <si>
    <t>204:529</t>
  </si>
  <si>
    <t>204:232957</t>
  </si>
  <si>
    <t>300:58939</t>
  </si>
  <si>
    <t>rtdc.l.rtdc.4025:itc</t>
  </si>
  <si>
    <t>rtdc.l.rtdc.4026:itc</t>
  </si>
  <si>
    <t>GEBRETEKLE</t>
  </si>
  <si>
    <t>DAGNEW</t>
  </si>
  <si>
    <t>rtdc.l.rtdc.4016:itc</t>
  </si>
  <si>
    <t>BERLING</t>
  </si>
  <si>
    <t>GARY</t>
  </si>
  <si>
    <t>HOLCOMB</t>
  </si>
  <si>
    <t>KAMDEN</t>
  </si>
  <si>
    <t>313-15</t>
  </si>
  <si>
    <t>242-15</t>
  </si>
  <si>
    <t>307-15</t>
  </si>
  <si>
    <t>244-15</t>
  </si>
  <si>
    <t>311-15</t>
  </si>
  <si>
    <t>300-16</t>
  </si>
  <si>
    <t>clear-day</t>
  </si>
  <si>
    <t>204:232985</t>
  </si>
  <si>
    <t>204:233238</t>
  </si>
  <si>
    <t>204:232977</t>
  </si>
  <si>
    <t>204:537</t>
  </si>
  <si>
    <t>204:568</t>
  </si>
  <si>
    <t>204:232892</t>
  </si>
  <si>
    <t>204:233190</t>
  </si>
  <si>
    <t>204:232963</t>
  </si>
  <si>
    <t>204:214</t>
  </si>
  <si>
    <t>204:232888</t>
  </si>
  <si>
    <t>204:265</t>
  </si>
  <si>
    <t>204:198</t>
  </si>
  <si>
    <t>204:519</t>
  </si>
  <si>
    <t>204:498</t>
  </si>
  <si>
    <t>204:233184</t>
  </si>
  <si>
    <t>204:187</t>
  </si>
  <si>
    <t>204:234</t>
  </si>
  <si>
    <t>204:232902</t>
  </si>
  <si>
    <t>204:233263</t>
  </si>
  <si>
    <t>204:508</t>
  </si>
  <si>
    <t>300:23346</t>
  </si>
  <si>
    <t>300:23308</t>
  </si>
  <si>
    <t>300:58656</t>
  </si>
  <si>
    <t>204:689</t>
  </si>
  <si>
    <t>rtdc.l.rtdc.4041:itc</t>
  </si>
  <si>
    <t>rtdc.l.rtdc.4042:itc</t>
  </si>
  <si>
    <t>846-16</t>
  </si>
  <si>
    <t>rtdc.l.rtdc.4004:itc</t>
  </si>
  <si>
    <t>rtdc.l.rtdc.4002:itc</t>
  </si>
  <si>
    <t>MAELZER</t>
  </si>
  <si>
    <t>KURT</t>
  </si>
  <si>
    <t>rtdc.l.rtdc.4001:itc</t>
  </si>
  <si>
    <t>DONTE</t>
  </si>
  <si>
    <t>BADERTSCHER</t>
  </si>
  <si>
    <t>DIANE</t>
  </si>
  <si>
    <t>GONZALEZ</t>
  </si>
  <si>
    <t>ARMANDO</t>
  </si>
  <si>
    <t>ZEWDU</t>
  </si>
  <si>
    <t>DEREJE</t>
  </si>
  <si>
    <t>ELBAUM</t>
  </si>
  <si>
    <t>MIKE</t>
  </si>
  <si>
    <t>844-16</t>
  </si>
  <si>
    <t>233-16</t>
  </si>
  <si>
    <t>230-16</t>
  </si>
  <si>
    <t>847-16</t>
  </si>
  <si>
    <t>235-16</t>
  </si>
  <si>
    <t>232-16</t>
  </si>
  <si>
    <t>234-16</t>
  </si>
  <si>
    <t>237-16</t>
  </si>
  <si>
    <t>849-16</t>
  </si>
  <si>
    <t>239-16</t>
  </si>
  <si>
    <t>236-16</t>
  </si>
  <si>
    <t>908-16</t>
  </si>
  <si>
    <t>241-16</t>
  </si>
  <si>
    <t>238-16</t>
  </si>
  <si>
    <t>243-16</t>
  </si>
  <si>
    <t>240-16</t>
  </si>
  <si>
    <t>242-16</t>
  </si>
  <si>
    <t>313-16</t>
  </si>
  <si>
    <t>307-16</t>
  </si>
  <si>
    <t>244-16</t>
  </si>
  <si>
    <t>309-16</t>
  </si>
  <si>
    <t>311-16</t>
  </si>
  <si>
    <t>300-17</t>
  </si>
  <si>
    <t>204:156</t>
  </si>
  <si>
    <t>204:502</t>
  </si>
  <si>
    <t>204:233312</t>
  </si>
  <si>
    <t>204:232987</t>
  </si>
  <si>
    <t>204:500</t>
  </si>
  <si>
    <t>204:232929</t>
  </si>
  <si>
    <t>204:233309</t>
  </si>
  <si>
    <t>204:475</t>
  </si>
  <si>
    <t>204:205</t>
  </si>
  <si>
    <t>204:192</t>
  </si>
  <si>
    <t>204:233310</t>
  </si>
  <si>
    <t>204:172</t>
  </si>
  <si>
    <t>204:232994</t>
  </si>
  <si>
    <t>204:201</t>
  </si>
  <si>
    <t>204:233288</t>
  </si>
  <si>
    <t>204:185</t>
  </si>
  <si>
    <t>204:233226</t>
  </si>
  <si>
    <t>204:233244</t>
  </si>
  <si>
    <t>204:232928</t>
  </si>
  <si>
    <t>204:165</t>
  </si>
  <si>
    <t>204:559</t>
  </si>
  <si>
    <t>204:232913</t>
  </si>
  <si>
    <t>204:233255</t>
  </si>
  <si>
    <t>204:232945</t>
  </si>
  <si>
    <t>204:232943</t>
  </si>
  <si>
    <t>204:233245</t>
  </si>
  <si>
    <t>204:232932</t>
  </si>
  <si>
    <t>204:495</t>
  </si>
  <si>
    <t>204:232947</t>
  </si>
  <si>
    <t>204:511</t>
  </si>
  <si>
    <t>204:233259</t>
  </si>
  <si>
    <t>204:233199</t>
  </si>
  <si>
    <t>204:233215</t>
  </si>
  <si>
    <t>204:531</t>
  </si>
  <si>
    <t>204:548</t>
  </si>
  <si>
    <t>204:278</t>
  </si>
  <si>
    <t>204:232950</t>
  </si>
  <si>
    <t>204:233218</t>
  </si>
  <si>
    <t>204:232883</t>
  </si>
  <si>
    <t>204:180</t>
  </si>
  <si>
    <t>204:183</t>
  </si>
  <si>
    <t>204:150</t>
  </si>
  <si>
    <t>204:473</t>
  </si>
  <si>
    <t>300:58672</t>
  </si>
  <si>
    <t>300:58969</t>
  </si>
  <si>
    <t>300:58660</t>
  </si>
  <si>
    <t>300:58982</t>
  </si>
  <si>
    <t>300:58971</t>
  </si>
  <si>
    <t>300:58668</t>
  </si>
  <si>
    <t>300:58973</t>
  </si>
  <si>
    <t>204:691</t>
  </si>
  <si>
    <t>300:58924</t>
  </si>
  <si>
    <t>300:58984</t>
  </si>
  <si>
    <t>204:1051</t>
  </si>
  <si>
    <t>204:964</t>
  </si>
  <si>
    <t>204:750</t>
  </si>
  <si>
    <t>300:58625</t>
  </si>
  <si>
    <t>Poor GPS at DUS</t>
  </si>
  <si>
    <t>109-18</t>
  </si>
  <si>
    <t>rtdc.l.rtdc.4005:itc</t>
  </si>
  <si>
    <t>118-18</t>
  </si>
  <si>
    <t>rtdc.l.rtdc.4032:itc</t>
  </si>
  <si>
    <t>1803-18</t>
  </si>
  <si>
    <t>124-18</t>
  </si>
  <si>
    <t>126-18</t>
  </si>
  <si>
    <t>1807-18</t>
  </si>
  <si>
    <t>140-18</t>
  </si>
  <si>
    <t>155-18</t>
  </si>
  <si>
    <t>rtdc.l.rtdc.4031:itc</t>
  </si>
  <si>
    <t>1810-18</t>
  </si>
  <si>
    <t>1812-18</t>
  </si>
  <si>
    <t>rtdc.l.rtdc.4053:itc</t>
  </si>
  <si>
    <t>1822-18</t>
  </si>
  <si>
    <t>208-18</t>
  </si>
  <si>
    <t>rtdc.l.rtdc.4006:itc</t>
  </si>
  <si>
    <t>215-18</t>
  </si>
  <si>
    <t>301-18</t>
  </si>
  <si>
    <t>214-18</t>
  </si>
  <si>
    <t>rtdc.l.rtdc.4054:itc</t>
  </si>
  <si>
    <t>1827-18</t>
  </si>
  <si>
    <t>216-18</t>
  </si>
  <si>
    <t>222-18</t>
  </si>
  <si>
    <t>226-18</t>
  </si>
  <si>
    <t>233-18</t>
  </si>
  <si>
    <t>1834-18</t>
  </si>
  <si>
    <t>237-18</t>
  </si>
  <si>
    <t>UNKNOWN LOCATION</t>
  </si>
  <si>
    <t>Other (9)</t>
  </si>
  <si>
    <t>242-18</t>
  </si>
  <si>
    <t>Early Arrival</t>
  </si>
  <si>
    <t>242-17</t>
  </si>
  <si>
    <t>245-17</t>
  </si>
  <si>
    <t>HAMMOND</t>
  </si>
  <si>
    <t>JUSTYNN</t>
  </si>
  <si>
    <t>244-17</t>
  </si>
  <si>
    <t>rtdc.l.rtdc.4020:itc</t>
  </si>
  <si>
    <t>307-17</t>
  </si>
  <si>
    <t>246-17</t>
  </si>
  <si>
    <t>309-17</t>
  </si>
  <si>
    <t>311-17</t>
  </si>
  <si>
    <t>313-17</t>
  </si>
  <si>
    <t>300-18</t>
  </si>
  <si>
    <t>LESTER</t>
  </si>
  <si>
    <t>101-18</t>
  </si>
  <si>
    <t>51-18</t>
  </si>
  <si>
    <t>DE LA ROSA</t>
  </si>
  <si>
    <t>ALEX</t>
  </si>
  <si>
    <t>50-18</t>
  </si>
  <si>
    <t>302-18</t>
  </si>
  <si>
    <t>103-18</t>
  </si>
  <si>
    <t>304-18</t>
  </si>
  <si>
    <t>105-18</t>
  </si>
  <si>
    <t>102-18</t>
  </si>
  <si>
    <t>306-18</t>
  </si>
  <si>
    <t>308-18</t>
  </si>
  <si>
    <t>BARRON</t>
  </si>
  <si>
    <t>PERLA</t>
  </si>
  <si>
    <t>107-18</t>
  </si>
  <si>
    <t>104-18</t>
  </si>
  <si>
    <t>rtdc.l.rtdc.4021:itc</t>
  </si>
  <si>
    <t>310-18</t>
  </si>
  <si>
    <t>MACDONALD</t>
  </si>
  <si>
    <t>THOMAS</t>
  </si>
  <si>
    <t>106-18</t>
  </si>
  <si>
    <t>111-18</t>
  </si>
  <si>
    <t>108-18</t>
  </si>
  <si>
    <t>312-18</t>
  </si>
  <si>
    <t>113-18</t>
  </si>
  <si>
    <t>1901-18</t>
  </si>
  <si>
    <t>LAMAR</t>
  </si>
  <si>
    <t>NEKESHA</t>
  </si>
  <si>
    <t>115-18</t>
  </si>
  <si>
    <t>110-18</t>
  </si>
  <si>
    <t>1800-18</t>
  </si>
  <si>
    <t>117-18</t>
  </si>
  <si>
    <t>112-18</t>
  </si>
  <si>
    <t>119-18</t>
  </si>
  <si>
    <t>1801-18</t>
  </si>
  <si>
    <t>121-18</t>
  </si>
  <si>
    <t>114-18</t>
  </si>
  <si>
    <t>116-18</t>
  </si>
  <si>
    <t>1802-18</t>
  </si>
  <si>
    <t>123-18</t>
  </si>
  <si>
    <t>125-18</t>
  </si>
  <si>
    <t>120-18</t>
  </si>
  <si>
    <t>122-18</t>
  </si>
  <si>
    <t>127-18</t>
  </si>
  <si>
    <t>129-18</t>
  </si>
  <si>
    <t>131-18</t>
  </si>
  <si>
    <t>1804-18</t>
  </si>
  <si>
    <t>133-18</t>
  </si>
  <si>
    <t>128-18</t>
  </si>
  <si>
    <t>135-18</t>
  </si>
  <si>
    <t>1805-18</t>
  </si>
  <si>
    <t>130-18</t>
  </si>
  <si>
    <t>137-18</t>
  </si>
  <si>
    <t>132-18</t>
  </si>
  <si>
    <t>1806-18</t>
  </si>
  <si>
    <t>139-18</t>
  </si>
  <si>
    <t>134-18</t>
  </si>
  <si>
    <t>136-18</t>
  </si>
  <si>
    <t>141-18</t>
  </si>
  <si>
    <t>138-18</t>
  </si>
  <si>
    <t>143-18</t>
  </si>
  <si>
    <t>145-18</t>
  </si>
  <si>
    <t>147-18</t>
  </si>
  <si>
    <t>1808-18</t>
  </si>
  <si>
    <t>149-18</t>
  </si>
  <si>
    <t>142-18</t>
  </si>
  <si>
    <t>151-18</t>
  </si>
  <si>
    <t>144-18</t>
  </si>
  <si>
    <t>1809-18</t>
  </si>
  <si>
    <t>146-18</t>
  </si>
  <si>
    <t>148-18</t>
  </si>
  <si>
    <t>153-18</t>
  </si>
  <si>
    <t>150-18</t>
  </si>
  <si>
    <t>157-18</t>
  </si>
  <si>
    <t>152-18</t>
  </si>
  <si>
    <t>159-18</t>
  </si>
  <si>
    <t>1811-18</t>
  </si>
  <si>
    <t>154-18</t>
  </si>
  <si>
    <t>161-18</t>
  </si>
  <si>
    <t>DAVIS</t>
  </si>
  <si>
    <t>156-18</t>
  </si>
  <si>
    <t>163-18</t>
  </si>
  <si>
    <t>158-18</t>
  </si>
  <si>
    <t>165-18</t>
  </si>
  <si>
    <t>160-18</t>
  </si>
  <si>
    <t>167-18</t>
  </si>
  <si>
    <t>162-18</t>
  </si>
  <si>
    <t>169-18</t>
  </si>
  <si>
    <t>164-18</t>
  </si>
  <si>
    <t>166-18</t>
  </si>
  <si>
    <t>171-18</t>
  </si>
  <si>
    <t>1814-18</t>
  </si>
  <si>
    <t>173-18</t>
  </si>
  <si>
    <t>168-18</t>
  </si>
  <si>
    <t>175-18</t>
  </si>
  <si>
    <t>170-18</t>
  </si>
  <si>
    <t>177-18</t>
  </si>
  <si>
    <t>179-18</t>
  </si>
  <si>
    <t>172-18</t>
  </si>
  <si>
    <t>1816-18</t>
  </si>
  <si>
    <t>174-18</t>
  </si>
  <si>
    <t>181-18</t>
  </si>
  <si>
    <t>62-18</t>
  </si>
  <si>
    <t>178-18</t>
  </si>
  <si>
    <t>183-18</t>
  </si>
  <si>
    <t>176-18</t>
  </si>
  <si>
    <t>1817-18</t>
  </si>
  <si>
    <t>185-18</t>
  </si>
  <si>
    <t>180-18</t>
  </si>
  <si>
    <t>187-18</t>
  </si>
  <si>
    <t>1818-18</t>
  </si>
  <si>
    <t>182-18</t>
  </si>
  <si>
    <t>189-18</t>
  </si>
  <si>
    <t>184-18</t>
  </si>
  <si>
    <t>191-18</t>
  </si>
  <si>
    <t>1819-18</t>
  </si>
  <si>
    <t>186-18</t>
  </si>
  <si>
    <t>193-18</t>
  </si>
  <si>
    <t>195-18</t>
  </si>
  <si>
    <t>188-18</t>
  </si>
  <si>
    <t>1820-18</t>
  </si>
  <si>
    <t>192-18</t>
  </si>
  <si>
    <t>190-18</t>
  </si>
  <si>
    <t>197-18</t>
  </si>
  <si>
    <t>199-18</t>
  </si>
  <si>
    <t>1821-18</t>
  </si>
  <si>
    <t>194-18</t>
  </si>
  <si>
    <t>201-18</t>
  </si>
  <si>
    <t>196-18</t>
  </si>
  <si>
    <t>75-18</t>
  </si>
  <si>
    <t>BIRENBAUM</t>
  </si>
  <si>
    <t>203-18</t>
  </si>
  <si>
    <t>198-18</t>
  </si>
  <si>
    <t>205-18</t>
  </si>
  <si>
    <t>207-18</t>
  </si>
  <si>
    <t>200-18</t>
  </si>
  <si>
    <t>1823-18</t>
  </si>
  <si>
    <t>202-18</t>
  </si>
  <si>
    <t>209-18</t>
  </si>
  <si>
    <t>77-18</t>
  </si>
  <si>
    <t>DELGADO</t>
  </si>
  <si>
    <t>DIANAH</t>
  </si>
  <si>
    <t>204-18</t>
  </si>
  <si>
    <t>211-18</t>
  </si>
  <si>
    <t>206-18</t>
  </si>
  <si>
    <t>1824-18</t>
  </si>
  <si>
    <t>213-18</t>
  </si>
  <si>
    <t>88-18</t>
  </si>
  <si>
    <t>1825-18</t>
  </si>
  <si>
    <t>210-18</t>
  </si>
  <si>
    <t>217-18</t>
  </si>
  <si>
    <t>212-18</t>
  </si>
  <si>
    <t>219-18</t>
  </si>
  <si>
    <t>1826-18</t>
  </si>
  <si>
    <t>218-18</t>
  </si>
  <si>
    <t>221-18</t>
  </si>
  <si>
    <t>303-18</t>
  </si>
  <si>
    <t>220-18</t>
  </si>
  <si>
    <t>223-18</t>
  </si>
  <si>
    <t>1828-18</t>
  </si>
  <si>
    <t>305-18</t>
  </si>
  <si>
    <t>225-18</t>
  </si>
  <si>
    <t>1829-18</t>
  </si>
  <si>
    <t>224-18</t>
  </si>
  <si>
    <t>227-18</t>
  </si>
  <si>
    <t>1830-18</t>
  </si>
  <si>
    <t>229-18</t>
  </si>
  <si>
    <t>1831-18</t>
  </si>
  <si>
    <t>231-18</t>
  </si>
  <si>
    <t>228-18</t>
  </si>
  <si>
    <t>1832-18</t>
  </si>
  <si>
    <t>230-18</t>
  </si>
  <si>
    <t>1833-18</t>
  </si>
  <si>
    <t>232-18</t>
  </si>
  <si>
    <t>235-18</t>
  </si>
  <si>
    <t>234-18</t>
  </si>
  <si>
    <t>1835-18</t>
  </si>
  <si>
    <t>239-18</t>
  </si>
  <si>
    <t>236-18</t>
  </si>
  <si>
    <t>1902-18</t>
  </si>
  <si>
    <t>241-18</t>
  </si>
  <si>
    <t>243-18</t>
  </si>
  <si>
    <t>240-18</t>
  </si>
  <si>
    <t>245-18</t>
  </si>
  <si>
    <t>307-18</t>
  </si>
  <si>
    <t>244-18</t>
  </si>
  <si>
    <t>309-18</t>
  </si>
  <si>
    <t>246-18</t>
  </si>
  <si>
    <t>311-18</t>
  </si>
  <si>
    <t>precipAccumulation</t>
  </si>
  <si>
    <t>partly-cloudy-night</t>
  </si>
  <si>
    <t>snow</t>
  </si>
  <si>
    <t>204:799</t>
  </si>
  <si>
    <t>204:233321</t>
  </si>
  <si>
    <t>204:233002</t>
  </si>
  <si>
    <t>204:480</t>
  </si>
  <si>
    <t>204:584</t>
  </si>
  <si>
    <t>204:232879</t>
  </si>
  <si>
    <t>204:233246</t>
  </si>
  <si>
    <t>204:178</t>
  </si>
  <si>
    <t>204:539</t>
  </si>
  <si>
    <t>204:154732</t>
  </si>
  <si>
    <t>204:232984</t>
  </si>
  <si>
    <t>204:233306</t>
  </si>
  <si>
    <t>204:160</t>
  </si>
  <si>
    <t>204:577</t>
  </si>
  <si>
    <t>204:232867</t>
  </si>
  <si>
    <t>204:488</t>
  </si>
  <si>
    <t>204:232983</t>
  </si>
  <si>
    <t>204:233227</t>
  </si>
  <si>
    <t>204:232911</t>
  </si>
  <si>
    <t>204:232919</t>
  </si>
  <si>
    <t>204:549</t>
  </si>
  <si>
    <t>204:232991</t>
  </si>
  <si>
    <t>204:243</t>
  </si>
  <si>
    <t>204:233311</t>
  </si>
  <si>
    <t>204:232978</t>
  </si>
  <si>
    <t>204:233166</t>
  </si>
  <si>
    <t>204:232857</t>
  </si>
  <si>
    <t>204:524</t>
  </si>
  <si>
    <t>204:233232</t>
  </si>
  <si>
    <t>204:542</t>
  </si>
  <si>
    <t>204:233174</t>
  </si>
  <si>
    <t>204:233247</t>
  </si>
  <si>
    <t>204:232934</t>
  </si>
  <si>
    <t>204:232955</t>
  </si>
  <si>
    <t>204:233278</t>
  </si>
  <si>
    <t>204:232964</t>
  </si>
  <si>
    <t>204:232896</t>
  </si>
  <si>
    <t>204:240</t>
  </si>
  <si>
    <t>204:582</t>
  </si>
  <si>
    <t>204:233212</t>
  </si>
  <si>
    <t>204:478</t>
  </si>
  <si>
    <t>204:233186</t>
  </si>
  <si>
    <t>204:233236</t>
  </si>
  <si>
    <t>204:233224</t>
  </si>
  <si>
    <t>204:262</t>
  </si>
  <si>
    <t>204:233203</t>
  </si>
  <si>
    <t>204:232900</t>
  </si>
  <si>
    <t>204:145</t>
  </si>
  <si>
    <t>204:232930</t>
  </si>
  <si>
    <t>204:544</t>
  </si>
  <si>
    <t>204:254</t>
  </si>
  <si>
    <t>204:692</t>
  </si>
  <si>
    <t>204:974</t>
  </si>
  <si>
    <t>300:58992</t>
  </si>
  <si>
    <t>300:58683</t>
  </si>
  <si>
    <t>204:685</t>
  </si>
  <si>
    <t>300:58954</t>
  </si>
  <si>
    <t>300:58651</t>
  </si>
  <si>
    <t>204:696</t>
  </si>
  <si>
    <t>300:58976</t>
  </si>
  <si>
    <t>300:58658</t>
  </si>
  <si>
    <t>204:1415</t>
  </si>
  <si>
    <t>204:1870</t>
  </si>
  <si>
    <t>204:694</t>
  </si>
  <si>
    <t>204:1483</t>
  </si>
  <si>
    <t>204:233222</t>
  </si>
  <si>
    <t>204:4545</t>
  </si>
  <si>
    <t>204:985</t>
  </si>
  <si>
    <t>300:58677</t>
  </si>
  <si>
    <t>204:678</t>
  </si>
  <si>
    <t>204:468</t>
  </si>
  <si>
    <t>204:232884</t>
  </si>
  <si>
    <t>300:58621</t>
  </si>
  <si>
    <t>204:768</t>
  </si>
  <si>
    <t>204:1039</t>
  </si>
  <si>
    <t>300:58977</t>
  </si>
  <si>
    <t>300:58619</t>
  </si>
  <si>
    <t>204:1025</t>
  </si>
  <si>
    <t>300:58965</t>
  </si>
  <si>
    <t>300:58664</t>
  </si>
  <si>
    <t>204:983</t>
  </si>
  <si>
    <t>300:58941</t>
  </si>
  <si>
    <t>204:684</t>
  </si>
  <si>
    <t>204:1214</t>
  </si>
  <si>
    <t>204:232887</t>
  </si>
  <si>
    <t>204:233230</t>
  </si>
  <si>
    <t>204:232905</t>
  </si>
  <si>
    <t>204:444</t>
  </si>
  <si>
    <t>204:194</t>
  </si>
  <si>
    <t>204:233349</t>
  </si>
  <si>
    <t>300:30012</t>
  </si>
  <si>
    <t>300:58990</t>
  </si>
  <si>
    <t>300:28772</t>
  </si>
  <si>
    <t>204:233161</t>
  </si>
  <si>
    <t>204:233204</t>
  </si>
  <si>
    <t>204:252</t>
  </si>
  <si>
    <t>204:232926</t>
  </si>
  <si>
    <t>204:233205</t>
  </si>
  <si>
    <t>204:232890</t>
  </si>
  <si>
    <t>204:586</t>
  </si>
  <si>
    <t>204:233225</t>
  </si>
  <si>
    <t>204:232909</t>
  </si>
  <si>
    <t>204:269</t>
  </si>
  <si>
    <t>204:68</t>
  </si>
  <si>
    <t>204:232863</t>
  </si>
  <si>
    <t>204:232858</t>
  </si>
  <si>
    <t>204:79</t>
  </si>
  <si>
    <t>204:263</t>
  </si>
  <si>
    <t>204:247</t>
  </si>
  <si>
    <t>204:233178</t>
  </si>
  <si>
    <t>204:232861</t>
  </si>
  <si>
    <t>204:566</t>
  </si>
  <si>
    <t>204:233176</t>
  </si>
  <si>
    <t>204:233188</t>
  </si>
  <si>
    <t>204:232869</t>
  </si>
  <si>
    <t>204:560</t>
  </si>
  <si>
    <t>204:233274</t>
  </si>
  <si>
    <t>204:232871</t>
  </si>
  <si>
    <t>204:157804</t>
  </si>
  <si>
    <t>204:157573</t>
  </si>
  <si>
    <t>204:158158</t>
  </si>
  <si>
    <t>204:157929</t>
  </si>
  <si>
    <t>204:1156</t>
  </si>
  <si>
    <t>204:232908</t>
  </si>
  <si>
    <t>300:23559</t>
  </si>
  <si>
    <t>300:10812</t>
  </si>
  <si>
    <t>300:19816</t>
  </si>
  <si>
    <t>204:397</t>
  </si>
  <si>
    <t>300:23464</t>
  </si>
  <si>
    <t>204:377</t>
  </si>
  <si>
    <t>300:23610</t>
  </si>
  <si>
    <t>300:23312</t>
  </si>
  <si>
    <t>300:23569</t>
  </si>
  <si>
    <t>204:238</t>
  </si>
  <si>
    <t>300:23690</t>
  </si>
  <si>
    <t>204:273</t>
  </si>
  <si>
    <t>300:23299</t>
  </si>
  <si>
    <t>300:22991</t>
  </si>
  <si>
    <t>204:3493</t>
  </si>
  <si>
    <t>300:23502</t>
  </si>
  <si>
    <t>204:173</t>
  </si>
  <si>
    <t>204:1477</t>
  </si>
  <si>
    <t>300:23314</t>
  </si>
  <si>
    <t>300:23650</t>
  </si>
  <si>
    <t>204:1090</t>
  </si>
  <si>
    <t>start /low /b %USERPROFILE%\Documents\GitHub\eaglep3\Utilities\DownloadLogsFromS3.py --loco 4026 --day 2017-11-18</t>
  </si>
  <si>
    <t>start /low /b %USERPROFILE%\Documents\GitHub\eaglep3\Utilities\DownloadLogsFromS3.py --loco 4007 --day 2017-11-18</t>
  </si>
  <si>
    <t>start /low /b %USERPROFILE%\Documents\GitHub\eaglep3\Utilities\DownloadLogsFromS3.py --loco 4004 --day 2017-11-18</t>
  </si>
  <si>
    <t>start /low /b %USERPROFILE%\Documents\GitHub\eaglep3\Utilities\DownloadLogsFromS3.py --loco 4003 --day 2017-11-19</t>
  </si>
  <si>
    <t>start /low /b %USERPROFILE%\Documents\GitHub\eaglep3\Utilities\DownloadLogsFromS3.py --loco 4018 --day 2017-11-19</t>
  </si>
  <si>
    <t>start /low /b %USERPROFILE%\Documents\GitHub\eaglep3\Utilities\DownloadLogsFromS3.py --loco 4017 --day 2017-11-19</t>
  </si>
  <si>
    <t>start /low /b %USERPROFILE%\Documents\GitHub\eaglep3\Utilities\DownloadLogsFromS3.py --loco 4032 --day 2017-11-18</t>
  </si>
  <si>
    <t>start /low /b %USERPROFILE%\Documents\GitHub\eaglep3\Utilities\DownloadLogsFromS3.py --loco 4031 --day 2017-11-18</t>
  </si>
  <si>
    <t>start /low /b %USERPROFILE%\Documents\GitHub\eaglep3\Utilities\DownloadLogsFromS3.py --loco 4025 --day 2017-11-18</t>
  </si>
  <si>
    <t>start /low /b %USERPROFILE%\Documents\GitHub\eaglep3\Utilities\DownloadLogsFromS3.py --loco 4022 --day 2017-11-18</t>
  </si>
  <si>
    <t>start /low /b %USERPROFILE%\Documents\GitHub\eaglep3\Utilities\DownloadLogsFromS3.py --loco 4007 --day 2017-11-19</t>
  </si>
  <si>
    <t>start /low /b %USERPROFILE%\Documents\GitHub\eaglep3\Utilities\DownloadLogsFromS3.py --loco 4005 --day 2017-11-19</t>
  </si>
  <si>
    <t>start /low /b %USERPROFILE%\Documents\GitHub\eaglep3\Utilities\DownloadLogsFromS3.py --loco 4006 --day 2017-11-19</t>
  </si>
  <si>
    <t>start /low /b %USERPROFILE%\Documents\GitHub\eaglep3\Utilities\DownloadLogsFromS3.py --loco 4025 --day 2017-11-19</t>
  </si>
  <si>
    <t>start /low /b %USERPROFILE%\Documents\GitHub\eaglep3\Utilities\DownloadLogsFromS3.py --loco 4005 --day 2017-11-18</t>
  </si>
  <si>
    <t>start /low /b %USERPROFILE%\Documents\GitHub\eaglep3\Utilities\DownloadLogsFromS3.py --loco 4008 --day 2017-11-19</t>
  </si>
  <si>
    <t>start /low /b %USERPROFILE%\Documents\GitHub\eaglep3\Utilities\DownloadLogsFromS3.py --loco 4054 --day 2017-11-19</t>
  </si>
  <si>
    <t>start /low /b %USERPROFILE%\Documents\GitHub\eaglep3\Utilities\DownloadLogsFromS3.py --loco 4053 --day 2017-11-18</t>
  </si>
  <si>
    <t>start /low /b %USERPROFILE%\Documents\GitHub\eaglep3\Utilities\DownloadLogsFromS3.py --loco 4053 --day 2017-11-19</t>
  </si>
  <si>
    <t>Minor onboard in-route failure caused signal status unknown</t>
  </si>
  <si>
    <t>Cancelled due to trespasser struck by train incident</t>
  </si>
  <si>
    <t>Delayed due to trespasser struck by train</t>
  </si>
  <si>
    <t>300:58670</t>
  </si>
  <si>
    <t>204:4740</t>
  </si>
  <si>
    <t>300:58615</t>
  </si>
  <si>
    <t>204:771</t>
  </si>
  <si>
    <t>204:4675</t>
  </si>
  <si>
    <t>204:1041</t>
  </si>
  <si>
    <t>300:58935</t>
  </si>
  <si>
    <t>204:762</t>
  </si>
  <si>
    <t>204:1030</t>
  </si>
  <si>
    <t>204:997</t>
  </si>
  <si>
    <t>300:58937</t>
  </si>
  <si>
    <t>204:4651</t>
  </si>
  <si>
    <t>204:953</t>
  </si>
  <si>
    <t>1813-18</t>
  </si>
  <si>
    <t>Did not init</t>
  </si>
  <si>
    <t>1815-18</t>
  </si>
  <si>
    <t>Poor GPS at Wewatta</t>
  </si>
  <si>
    <t>Overspeed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</si>
</sst>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14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8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0" customWidth="1"/>
    <col min="19" max="19" width="6" style="218" customWidth="1"/>
    <col min="20" max="20" width="3.85546875" style="167" customWidth="1"/>
    <col min="21" max="21" width="5" style="195" customWidth="1"/>
    <col min="22" max="22" width="5.7109375" style="216" customWidth="1"/>
    <col min="23" max="23" width="3.85546875" style="201" customWidth="1"/>
    <col min="24" max="24" width="6.5703125" style="201" customWidth="1"/>
    <col min="25" max="25" width="8.85546875" style="201" customWidth="1"/>
    <col min="26" max="26" width="7.28515625" style="201" customWidth="1"/>
    <col min="27" max="27" width="9.140625" style="20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7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1"/>
    <col min="41" max="41" width="3.7109375" style="167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43057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43057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.75" thickBot="1" x14ac:dyDescent="0.3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145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36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COUNTIFS($N$13:$N$9557,"&gt;0",$AG$13:$AG$9557,I1)</f>
        <v>144</v>
      </c>
      <c r="K5" s="39"/>
      <c r="L5" s="171"/>
      <c r="M5" s="40">
        <f>AVERAGEIFS($N$13:$N$9557,$AG$13:$AG$9557,I1)</f>
        <v>38.22881944499386</v>
      </c>
      <c r="N5" s="38">
        <f t="array" ref="N5">MIN(IF($AG$13:$AG$9557=I1,IF(ISNUMBER($N$13:$N$9557),IF($N$13:$N$9557&gt;0,$N$13:$N$9557))))</f>
        <v>33.78333333064802</v>
      </c>
      <c r="O5" s="3">
        <f t="array" ref="O5">MAX(IF($AG$13:$AG$9557=I1,IF(ISNUMBER($N$13:$N$9557),IF($N$13:$N$9557&gt;0,$N$13:$N$9557))))</f>
        <v>128.79999999655411</v>
      </c>
      <c r="P5" s="2"/>
      <c r="R5" s="162" t="s">
        <v>17</v>
      </c>
      <c r="S5" s="206">
        <f>COUNTIFS($N$13:$N$9557,"&gt;0",$AG$13:$AG$9557,R1)</f>
        <v>33</v>
      </c>
      <c r="T5" s="171"/>
      <c r="U5" s="194"/>
      <c r="V5" s="210">
        <f>AVERAGEIFS($N$13:$N$9557,$AG$13:$AG$9557,R1)</f>
        <v>13.525252525948666</v>
      </c>
      <c r="W5" s="211">
        <f t="array" ref="W5">MIN(IF($AG$13:$AG$9557=R1,IF(ISNUMBER($N$13:$N$9557),IF($N$13:$N$9557&gt;0,$N$13:$N$9557))))</f>
        <v>10.000000001164153</v>
      </c>
      <c r="X5" s="199">
        <f t="array" ref="X5">MAX(IF($AG$13:$AG$9557=R1,IF(ISNUMBER($N$13:$N$9557),IF($N$13:$N$9557&gt;0,$N$13:$N$9557))))</f>
        <v>24.983333327108994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COUNT($O$13:$O$315)</f>
        <v>0</v>
      </c>
      <c r="K6" s="39"/>
      <c r="L6" s="171"/>
      <c r="M6" s="40">
        <f>IFERROR(AVERAGE($O$13:$O$315),0)</f>
        <v>0</v>
      </c>
      <c r="N6" s="38">
        <f>MIN($O$13:$O$315)</f>
        <v>0</v>
      </c>
      <c r="O6" s="3">
        <f>MAX($O$13:$O$315)</f>
        <v>0</v>
      </c>
      <c r="P6" s="2"/>
      <c r="R6" s="163" t="s">
        <v>43</v>
      </c>
      <c r="S6" s="206">
        <f>COUNT($O$13:$O$315)</f>
        <v>0</v>
      </c>
      <c r="T6" s="171"/>
      <c r="U6" s="194"/>
      <c r="V6" s="210">
        <f>IFERROR(AVERAGE($O$13:$O$315),0)</f>
        <v>0</v>
      </c>
      <c r="W6" s="211">
        <f>MIN($O$13:$O$315)</f>
        <v>0</v>
      </c>
      <c r="X6" s="199">
        <f>MAX($O$13:$O$315)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COUNTIFS($P$13:$P$9557,"&gt;0",$AG$13:$AG$9557,I1)</f>
        <v>1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COUNTIFS($P$13:$P$9557,"&gt;0",$AG$13:$AG$9557,R1)</f>
        <v>3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144</v>
      </c>
      <c r="K8" s="39"/>
      <c r="L8" s="171"/>
      <c r="M8" s="40">
        <f>M5</f>
        <v>38.22881944499386</v>
      </c>
      <c r="N8" s="38">
        <f>N5</f>
        <v>33.78333333064802</v>
      </c>
      <c r="O8" s="3">
        <f>O5</f>
        <v>128.79999999655411</v>
      </c>
      <c r="P8" s="2"/>
      <c r="R8" s="162" t="s">
        <v>16</v>
      </c>
      <c r="S8" s="206">
        <f>S5</f>
        <v>33</v>
      </c>
      <c r="T8" s="171"/>
      <c r="U8" s="194"/>
      <c r="V8" s="210">
        <f>V5</f>
        <v>13.525252525948666</v>
      </c>
      <c r="W8" s="211">
        <f>W5</f>
        <v>10.000000001164153</v>
      </c>
      <c r="X8" s="199">
        <f>X5</f>
        <v>24.983333327108994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0.99310344827586206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0.91666666666666663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5" thickBot="1" x14ac:dyDescent="0.3">
      <c r="A11" s="225" t="str">
        <f>"Eagle P3 System Performance - "&amp;TEXT(Variables!A2,"yyyy-mm-dd")</f>
        <v>Eagle P3 System Performance - 2017-11-18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S11" s="218">
        <f>AVERAGE(S13:S122)</f>
        <v>1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715</v>
      </c>
      <c r="B13" s="7">
        <v>4008</v>
      </c>
      <c r="C13" s="21" t="s">
        <v>192</v>
      </c>
      <c r="D13" s="21" t="s">
        <v>907</v>
      </c>
      <c r="E13" s="13">
        <v>43057.127569444441</v>
      </c>
      <c r="F13" s="13">
        <v>43057.135694444441</v>
      </c>
      <c r="G13" s="7">
        <v>103</v>
      </c>
      <c r="H13" s="21" t="s">
        <v>908</v>
      </c>
      <c r="I13" s="13">
        <v>43057.160902777781</v>
      </c>
      <c r="J13" s="7">
        <v>0</v>
      </c>
      <c r="K13" s="89" t="str">
        <f t="shared" ref="K13:K44" si="0">IF(ISEVEN(B13),(B13-1)&amp;"/"&amp;B13,B13&amp;"/"&amp;(B13+1))</f>
        <v>4007/4008</v>
      </c>
      <c r="L13" s="184" t="str">
        <f>VLOOKUP(A13,'Trips&amp;Operators'!$C$1:$G$99911,5,FALSE)</f>
        <v>THOMPSON LESTER</v>
      </c>
      <c r="M13" s="6">
        <f t="shared" ref="M13:M44" si="1">I13-F13</f>
        <v>2.5208333339833189E-2</v>
      </c>
      <c r="N13" s="7">
        <f t="shared" ref="N13:N20" si="2">24*60*SUM($M13:$M13)</f>
        <v>36.300000009359792</v>
      </c>
      <c r="O13" s="7"/>
      <c r="P13" s="7"/>
      <c r="Q13" s="22"/>
      <c r="R13" s="166"/>
      <c r="S13" s="220">
        <f t="shared" ref="S13:S44" si="3">1/IF(AG13="EC",12,1)*SUM(U13:U13)</f>
        <v>1</v>
      </c>
      <c r="T13" s="173" t="str">
        <f t="shared" ref="T13:T44" si="4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-18T02:03:42-0700',mode:absolute,to:'2017-11-18T04:51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" s="203" t="str">
        <f>IF(AA13&lt;VLOOKUP(AG13,Variables!$AC$3:$AD$8,2,FALSE),"Y","N")</f>
        <v>N</v>
      </c>
      <c r="X13" s="203" t="e">
        <f t="shared" ref="X13:X44" si="6">VALUE(LEFT(AD13,4))-VALUE(LEFT(AD12,4))</f>
        <v>#VALUE!</v>
      </c>
      <c r="Y13" s="203">
        <f t="shared" ref="Y13:Y44" si="7">RIGHT(D13,LEN(D13)-4)/10000</f>
        <v>7.9899999999999999E-2</v>
      </c>
      <c r="Z13" s="203">
        <f t="shared" ref="Z13:Z44" si="8">RIGHT(H13,LEN(H13)-4)/10000</f>
        <v>23.332100000000001</v>
      </c>
      <c r="AA13" s="203">
        <f t="shared" ref="AA13:AA44" si="9">ABS(Z13-Y13)</f>
        <v>23.252200000000002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44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s3://rtdc.mdm.uploadarchive.raw/RTDC4008/ "%USERPROFILE%\AppData\Local\Temp\OnboardLogs"\RTDC4008\2017-11-18 --exclude "*" --recursive --include "*20171118*" &amp; "%USERPROFILE%\Documents\GitHub\mrs-test-scripts\Headless Mode &amp; Sideloading\WalkAndUnGZ.bat" "%USERPROFILE%\AppData\Local\Temp\OnboardLogs"\RTDC4008\2017-11-18 &amp; aws s3 cp s3://rtdc.mdm.uploadarchive.raw/RTDC4008/ "%USERPROFILE%\AppData\Local\Temp\OnboardLogs"\RTDC4008\2017-11-19 --exclude "*" --recursive --include "*20171119*" &amp; "%USERPROFILE%\Documents\GitHub\mrs-test-scripts\Headless Mode &amp; Sideloading\WalkAndUnGZ.bat" "%USERPROFILE%\AppData\Local\Temp\OnboardLogs"\RTDC4008\2017-11-19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/stypes="app*4008*20171118*" /stext=" 10:.+((SYSTEM_STATE.+slice.+state.+changed )|(ment ac)|(multiple cpu faults)|(system.+state.+changed )|(\[timeout)|(PRM\|1\|D)|(kpr)|(kdp)|(train st.+moving)|(\|lc)|(penalty))"</v>
      </c>
      <c r="AG13" s="181" t="str">
        <f t="shared" ref="AG13:AG44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101-18 --locoid 4008 --swversion DE.1.0.9.0 --startMP 204:799 --initTime 2017-11-18T03:03:42 --startdatetime 2017-11-18T03:15:24 --delay 103 --endMP 204:233321 --enddatetime 2017-11-18T03:51:42 --enforcementcount 0 &gt;&gt;%USERPROFILE%\Documents\GitHub\eaglep3-reporting\EC\2017-11-18-refined-times.txt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{"issue":{"subject":"","project_id":79,"tracker_id":40,"status_id":1,"priority_id":2,"assigned_to_id":338,"start_date":"2017-11-18","description":"","custom_fields":[{"id":1,"name":"Subdivision","value":"EC"},{"id":4,"name":"Milepost","value":"23.3321"},{"id":17,"name":"Train ID","value":"101-18"},{"id":16,"name":"Locomotive ID","value":"4008"},{"id":130,"name":"Impact","value":""},{"id":150,"name":"Time of Event (Mountain Time)","value":"03:51:42"},{"id":151,"name":"Denver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6">"start /low /b "&amp;dls3logs&amp;" --loco "&amp;B13&amp;" --day "&amp;TEXT(F13,"YYYY-MM-DD")</f>
        <v>start /low /b %USERPROFILE%\Documents\GitHub\eaglep3\Utilities\DownloadLogsFromS3.py --loco 4008 --day 2017-11-18</v>
      </c>
      <c r="AN13" s="150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10:51:42"},{"id":29,"name":"Sharepoint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-18T02:03:42-0700',mode:absolute,to:'2017-11-18T04:51:42-0700'))&amp;_a=(columns:!('Message%20ID',Summary),filters:!(),index:'emp_*',interval:auto,query:(query_string:(analyze_wildcard:!t,query:'%22rtdc.l.rtdc.4008%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724</v>
      </c>
      <c r="B14" s="7">
        <v>4007</v>
      </c>
      <c r="C14" s="21" t="s">
        <v>192</v>
      </c>
      <c r="D14" s="21" t="s">
        <v>909</v>
      </c>
      <c r="E14" s="13">
        <v>43057.172430555554</v>
      </c>
      <c r="F14" s="13">
        <v>43057.17523148148</v>
      </c>
      <c r="G14" s="7">
        <v>68</v>
      </c>
      <c r="H14" s="21" t="s">
        <v>456</v>
      </c>
      <c r="I14" s="13">
        <v>43057.201435185183</v>
      </c>
      <c r="J14" s="7">
        <v>0</v>
      </c>
      <c r="K14" s="89" t="str">
        <f t="shared" si="0"/>
        <v>4007/4008</v>
      </c>
      <c r="L14" s="184" t="str">
        <f>VLOOKUP(A14,'Trips&amp;Operators'!$C$1:$G$99911,5,FALSE)</f>
        <v>THOMPSON LESTER</v>
      </c>
      <c r="M14" s="6">
        <f t="shared" si="1"/>
        <v>2.6203703702776693E-2</v>
      </c>
      <c r="N14" s="7">
        <f t="shared" si="2"/>
        <v>37.733333331998438</v>
      </c>
      <c r="O14" s="7"/>
      <c r="P14" s="7"/>
      <c r="Q14" s="22"/>
      <c r="R14" s="173"/>
      <c r="S14" s="220">
        <f t="shared" si="3"/>
        <v>1</v>
      </c>
      <c r="T14" s="173" t="str">
        <f t="shared" si="4"/>
        <v>Southbound</v>
      </c>
      <c r="U14" s="19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5" t="str">
        <f t="shared" si="5"/>
        <v>https://d0f6bd738d7f1b3e5a7ca70fe4ff75f0.us-east-1.aws.found.io/app/kibana#/discover/Steve-Slow-Train-Analysis-(2080s-and-2083s)?_g=(refreshInterval:(display:Off,pause:!f,section:0,value:0),time:(from:'2017-11-18T03:08:18-0700',mode:absolute,to:'2017-11-18T05:50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" s="203" t="str">
        <f>IF(AA14&lt;VLOOKUP(AG14,Variables!$AC$3:$AD$8,2,FALSE),"Y","N")</f>
        <v>N</v>
      </c>
      <c r="X14" s="203">
        <f t="shared" si="6"/>
        <v>1</v>
      </c>
      <c r="Y14" s="203">
        <f t="shared" si="7"/>
        <v>23.3002</v>
      </c>
      <c r="Z14" s="203">
        <f t="shared" si="8"/>
        <v>2.2700000000000001E-2</v>
      </c>
      <c r="AA14" s="203">
        <f t="shared" si="9"/>
        <v>23.2775</v>
      </c>
      <c r="AB14" s="54" t="e">
        <f>VLOOKUP(A14,Enforcements!$C$7:$K$9,8,0)</f>
        <v>#N/A</v>
      </c>
      <c r="AC14" s="51" t="e">
        <f>VLOOKUP(A14,Enforcements!$C$7:$E$9,3,0)</f>
        <v>#N/A</v>
      </c>
      <c r="AD14" s="178">
        <f t="shared" si="10"/>
        <v>102</v>
      </c>
      <c r="AE14" s="77" t="str">
        <f t="shared" si="11"/>
        <v>aws s3 cp s3://rtdc.mdm.uploadarchive.raw/RTDC4007/ "%USERPROFILE%\AppData\Local\Temp\OnboardLogs"\RTDC4007\2017-11-18 --exclude "*" --recursive --include "*20171118*" &amp; "%USERPROFILE%\Documents\GitHub\mrs-test-scripts\Headless Mode &amp; Sideloading\WalkAndUnGZ.bat" "%USERPROFILE%\AppData\Local\Temp\OnboardLogs"\RTDC4007\2017-11-18 &amp; aws s3 cp s3://rtdc.mdm.uploadarchive.raw/RTDC4007/ "%USERPROFILE%\AppData\Local\Temp\OnboardLogs"\RTDC4007\2017-11-19 --exclude "*" --recursive --include "*20171119*" &amp; "%USERPROFILE%\Documents\GitHub\mrs-test-scripts\Headless Mode &amp; Sideloading\WalkAndUnGZ.bat" "%USERPROFILE%\AppData\Local\Temp\OnboardLogs"\RTDC4007\2017-11-19</v>
      </c>
      <c r="AF14" s="74" t="str">
        <f t="shared" si="12"/>
        <v>"C:\Program Files (x86)\AstroGrep\AstroGrep.exe" /e /r /s /spath="%USERPROFILE%\AppData\Local\Temp\OnboardLogs" /stypes="app*4007*20171118*" /stext=" 11:.+((SYSTEM_STATE.+slice.+state.+changed )|(ment ac)|(multiple cpu faults)|(system.+state.+changed )|(\[timeout)|(PRM\|1\|D)|(kpr)|(kdp)|(train st.+moving)|(\|lc)|(penalty))"</v>
      </c>
      <c r="AG14" s="181" t="str">
        <f t="shared" si="13"/>
        <v>EC</v>
      </c>
      <c r="AH14" s="78" t="str">
        <f t="shared" ref="AH14:AH79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102-18 --locoid 4007 --swversion DE.1.0.9.0 --startMP 204:233002 --initTime 2017-11-18T04:08:18 --startdatetime 2017-11-18T04:12:20 --delay 68 --endMP 204:227 --enddatetime 2017-11-18T04:50:04 --enforcementcount 0 &gt;&gt;%USERPROFILE%\Documents\GitHub\eaglep3-reporting\EC\2017-11-18-refined-times.txt</v>
      </c>
      <c r="AI14" s="96" t="str">
        <f t="shared" ref="AI14:AI79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{"issue":{"subject":"","project_id":79,"tracker_id":40,"status_id":1,"priority_id":2,"assigned_to_id":338,"start_date":"2017-11-18","description":"","custom_fields":[{"id":1,"name":"Subdivision","value":"EC"},{"id":4,"name":"Milepost","value":"0.0227"},{"id":17,"name":"Train ID","value":"102-18"},{"id":16,"name":"Locomotive ID","value":"4007"},{"id":130,"name":"Impact","value":""},{"id":150,"name":"Time of Event (Mountain Time)","value":"04:50:04"},{"id":151,"name":"Denver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1" t="str">
        <f t="shared" ref="AM14:AM79" si="21">"start /low /b "&amp;dls3logs&amp;" --loco "&amp;B14&amp;" --day "&amp;TEXT(F14,"YYYY-MM-DD")</f>
        <v>start /low /b %USERPROFILE%\Documents\GitHub\eaglep3\Utilities\DownloadLogsFromS3.py --loco 4007 --day 2017-11-18</v>
      </c>
      <c r="AN14" s="150" t="str">
        <f t="shared" ref="AN14:AN79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11:50:04"},{"id":29,"name":"Sharepoint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7" t="str">
        <f t="shared" ref="AO14:AO79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-18T03:08:18-0700',mode:absolute,to:'2017-11-18T05:50:04-0700'))&amp;_a=(columns:!('Message%20ID',Summary),filters:!(),index:'emp_*',interval:auto,query:(query_string:(analyze_wildcard:!t,query:'%22rtdc.l.rtdc.4007%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721</v>
      </c>
      <c r="B15" s="7">
        <v>4004</v>
      </c>
      <c r="C15" s="21" t="s">
        <v>192</v>
      </c>
      <c r="D15" s="21" t="s">
        <v>910</v>
      </c>
      <c r="E15" s="13">
        <v>43057.150856481479</v>
      </c>
      <c r="F15" s="13">
        <v>43057.156458333331</v>
      </c>
      <c r="G15" s="7">
        <v>62</v>
      </c>
      <c r="H15" s="21" t="s">
        <v>614</v>
      </c>
      <c r="I15" s="13">
        <v>43057.18141203704</v>
      </c>
      <c r="J15" s="7">
        <v>0</v>
      </c>
      <c r="K15" s="89" t="str">
        <f t="shared" si="0"/>
        <v>4003/4004</v>
      </c>
      <c r="L15" s="184" t="str">
        <f>VLOOKUP(A15,'Trips&amp;Operators'!$C$1:$G$99911,5,FALSE)</f>
        <v>MAELZER KURT</v>
      </c>
      <c r="M15" s="6">
        <f t="shared" si="1"/>
        <v>2.4953703708888497E-2</v>
      </c>
      <c r="N15" s="7">
        <f t="shared" si="2"/>
        <v>35.933333340799436</v>
      </c>
      <c r="O15" s="7"/>
      <c r="P15" s="7"/>
      <c r="Q15" s="22"/>
      <c r="R15" s="173"/>
      <c r="S15" s="220">
        <f t="shared" si="3"/>
        <v>1</v>
      </c>
      <c r="T15" s="173" t="str">
        <f t="shared" si="4"/>
        <v>NorthBound</v>
      </c>
      <c r="U15" s="19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5" t="str">
        <f t="shared" si="5"/>
        <v>https://d0f6bd738d7f1b3e5a7ca70fe4ff75f0.us-east-1.aws.found.io/app/kibana#/discover/Steve-Slow-Train-Analysis-(2080s-and-2083s)?_g=(refreshInterval:(display:Off,pause:!f,section:0,value:0),time:(from:'2017-11-18T02:37:14-0700',mode:absolute,to:'2017-11-18T05:21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" s="203" t="str">
        <f>IF(AA15&lt;VLOOKUP(AG15,Variables!$AC$3:$AD$8,2,FALSE),"Y","N")</f>
        <v>N</v>
      </c>
      <c r="X15" s="203">
        <f t="shared" si="6"/>
        <v>1</v>
      </c>
      <c r="Y15" s="203">
        <f t="shared" si="7"/>
        <v>4.8000000000000001E-2</v>
      </c>
      <c r="Z15" s="203">
        <f t="shared" si="8"/>
        <v>23.331199999999999</v>
      </c>
      <c r="AA15" s="203">
        <f t="shared" si="9"/>
        <v>23.283200000000001</v>
      </c>
      <c r="AB15" s="54" t="e">
        <f>VLOOKUP(A15,Enforcements!$C$7:$K$9,8,0)</f>
        <v>#N/A</v>
      </c>
      <c r="AC15" s="51" t="e">
        <f>VLOOKUP(A15,Enforcements!$C$7:$E$9,3,0)</f>
        <v>#N/A</v>
      </c>
      <c r="AD15" s="178">
        <f t="shared" si="10"/>
        <v>103</v>
      </c>
      <c r="AE15" s="77" t="str">
        <f t="shared" si="11"/>
        <v>aws s3 cp s3://rtdc.mdm.uploadarchive.raw/RTDC4004/ "%USERPROFILE%\AppData\Local\Temp\OnboardLogs"\RTDC4004\2017-11-18 --exclude "*" --recursive --include "*20171118*" &amp; "%USERPROFILE%\Documents\GitHub\mrs-test-scripts\Headless Mode &amp; Sideloading\WalkAndUnGZ.bat" "%USERPROFILE%\AppData\Local\Temp\OnboardLogs"\RTDC4004\2017-11-18 &amp; aws s3 cp s3://rtdc.mdm.uploadarchive.raw/RTDC4004/ "%USERPROFILE%\AppData\Local\Temp\OnboardLogs"\RTDC4004\2017-11-19 --exclude "*" --recursive --include "*20171119*" &amp; "%USERPROFILE%\Documents\GitHub\mrs-test-scripts\Headless Mode &amp; Sideloading\WalkAndUnGZ.bat" "%USERPROFILE%\AppData\Local\Temp\OnboardLogs"\RTDC4004\2017-11-19</v>
      </c>
      <c r="AF15" s="74" t="str">
        <f t="shared" si="12"/>
        <v>"C:\Program Files (x86)\AstroGrep\AstroGrep.exe" /e /r /s /spath="%USERPROFILE%\AppData\Local\Temp\OnboardLogs" /stypes="app*4004*20171118*" /stext=" 11:.+((SYSTEM_STATE.+slice.+state.+changed )|(ment ac)|(multiple cpu faults)|(system.+state.+changed )|(\[timeout)|(PRM\|1\|D)|(kpr)|(kdp)|(train st.+moving)|(\|lc)|(penalty))"</v>
      </c>
      <c r="AG15" s="181" t="str">
        <f t="shared" si="13"/>
        <v>EC</v>
      </c>
      <c r="AH15" s="78" t="str">
        <f t="shared" si="19"/>
        <v>"%USERPROFILE%\Documents\GitHub\eaglep3\Utilities\RefineRTDCRunTimes.py" --tripid 103-18 --locoid 4004 --swversion DE.1.0.9.0 --startMP 204:480 --initTime 2017-11-18T03:37:14 --startdatetime 2017-11-18T03:45:18 --delay 62 --endMP 204:233312 --enddatetime 2017-11-18T04:21:14 --enforcementcount 0 &gt;&gt;%USERPROFILE%\Documents\GitHub\eaglep3-reporting\EC\2017-11-18-refined-times.txt</v>
      </c>
      <c r="AI15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{"issue":{"subject":"","project_id":79,"tracker_id":40,"status_id":1,"priority_id":2,"assigned_to_id":338,"start_date":"2017-11-18","description":"","custom_fields":[{"id":1,"name":"Subdivision","value":"EC"},{"id":4,"name":"Milepost","value":"23.3312"},{"id":17,"name":"Train ID","value":"103-18"},{"id":16,"name":"Locomotive ID","value":"4004"},{"id":130,"name":"Impact","value":""},{"id":150,"name":"Time of Event (Mountain Time)","value":"04:21:14"},{"id":151,"name":"Denver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1" t="str">
        <f t="shared" si="21"/>
        <v>start /low /b %USERPROFILE%\Documents\GitHub\eaglep3\Utilities\DownloadLogsFromS3.py --loco 4004 --day 2017-11-18</v>
      </c>
      <c r="AN15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11:21:14"},{"id":29,"name":"Sharepoint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7" t="str">
        <f t="shared" si="23"/>
        <v>https://d0f6bd738d7f1b3e5a7ca70fe4ff75f0.us-east-1.aws.found.io/app/kibana#/discover/Steve-Slow-Train-Analysis-(2080s-and-2083s)?_g=(refreshInterval:(display:Off,pause:!f,section:0,value:0),time:(from:'2017-11-18T02:37:14-0700',mode:absolute,to:'2017-11-18T05:21:14-0700'))&amp;_a=(columns:!('Message%20ID',Summary),filters:!(),index:'emp_*',interval:auto,query:(query_string:(analyze_wildcard:!t,query:'%22rtdc.l.rtdc.4004%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730</v>
      </c>
      <c r="B16" s="7">
        <v>4003</v>
      </c>
      <c r="C16" s="21" t="s">
        <v>192</v>
      </c>
      <c r="D16" s="21" t="s">
        <v>615</v>
      </c>
      <c r="E16" s="13">
        <v>43057.186689814815</v>
      </c>
      <c r="F16" s="13">
        <v>43057.196203703701</v>
      </c>
      <c r="G16" s="7">
        <v>48</v>
      </c>
      <c r="H16" s="21" t="s">
        <v>563</v>
      </c>
      <c r="I16" s="13">
        <v>43057.222581018519</v>
      </c>
      <c r="J16" s="7">
        <v>0</v>
      </c>
      <c r="K16" s="89" t="str">
        <f t="shared" si="0"/>
        <v>4003/4004</v>
      </c>
      <c r="L16" s="184" t="str">
        <f>VLOOKUP(A16,'Trips&amp;Operators'!$C$1:$G$99911,5,FALSE)</f>
        <v>MAELZER KURT</v>
      </c>
      <c r="M16" s="6">
        <f t="shared" si="1"/>
        <v>2.6377314818091691E-2</v>
      </c>
      <c r="N16" s="7">
        <f t="shared" si="2"/>
        <v>37.983333338052034</v>
      </c>
      <c r="O16" s="7"/>
      <c r="P16" s="7"/>
      <c r="Q16" s="22"/>
      <c r="R16" s="173"/>
      <c r="S16" s="220">
        <f t="shared" si="3"/>
        <v>1</v>
      </c>
      <c r="T16" s="173" t="str">
        <f t="shared" si="4"/>
        <v>Southbound</v>
      </c>
      <c r="U16" s="19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5" t="str">
        <f t="shared" si="5"/>
        <v>https://d0f6bd738d7f1b3e5a7ca70fe4ff75f0.us-east-1.aws.found.io/app/kibana#/discover/Steve-Slow-Train-Analysis-(2080s-and-2083s)?_g=(refreshInterval:(display:Off,pause:!f,section:0,value:0),time:(from:'2017-11-18T03:28:50-0700',mode:absolute,to:'2017-11-18T06:20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" s="203" t="str">
        <f>IF(AA16&lt;VLOOKUP(AG16,Variables!$AC$3:$AD$8,2,FALSE),"Y","N")</f>
        <v>N</v>
      </c>
      <c r="X16" s="203">
        <f t="shared" si="6"/>
        <v>1</v>
      </c>
      <c r="Y16" s="203">
        <f t="shared" si="7"/>
        <v>23.2987</v>
      </c>
      <c r="Z16" s="203">
        <f t="shared" si="8"/>
        <v>1.8700000000000001E-2</v>
      </c>
      <c r="AA16" s="203">
        <f t="shared" si="9"/>
        <v>23.28</v>
      </c>
      <c r="AB16" s="54" t="e">
        <f>VLOOKUP(A16,Enforcements!$C$7:$K$9,8,0)</f>
        <v>#N/A</v>
      </c>
      <c r="AC16" s="51" t="e">
        <f>VLOOKUP(A16,Enforcements!$C$7:$E$9,3,0)</f>
        <v>#N/A</v>
      </c>
      <c r="AD16" s="178">
        <f t="shared" si="10"/>
        <v>104</v>
      </c>
      <c r="AE16" s="77" t="str">
        <f t="shared" si="11"/>
        <v>aws s3 cp s3://rtdc.mdm.uploadarchive.raw/RTDC4003/ "%USERPROFILE%\AppData\Local\Temp\OnboardLogs"\RTDC4003\2017-11-18 --exclude "*" --recursive --include "*20171118*" &amp; "%USERPROFILE%\Documents\GitHub\mrs-test-scripts\Headless Mode &amp; Sideloading\WalkAndUnGZ.bat" "%USERPROFILE%\AppData\Local\Temp\OnboardLogs"\RTDC4003\2017-11-18 &amp; aws s3 cp s3://rtdc.mdm.uploadarchive.raw/RTDC4003/ "%USERPROFILE%\AppData\Local\Temp\OnboardLogs"\RTDC4003\2017-11-19 --exclude "*" --recursive --include "*20171119*" &amp; "%USERPROFILE%\Documents\GitHub\mrs-test-scripts\Headless Mode &amp; Sideloading\WalkAndUnGZ.bat" "%USERPROFILE%\AppData\Local\Temp\OnboardLogs"\RTDC4003\2017-11-19</v>
      </c>
      <c r="AF16" s="74" t="str">
        <f t="shared" si="12"/>
        <v>"C:\Program Files (x86)\AstroGrep\AstroGrep.exe" /e /r /s /spath="%USERPROFILE%\AppData\Local\Temp\OnboardLogs" /stypes="app*4003*20171118*" /stext=" 12:.+((SYSTEM_STATE.+slice.+state.+changed )|(ment ac)|(multiple cpu faults)|(system.+state.+changed )|(\[timeout)|(PRM\|1\|D)|(kpr)|(kdp)|(train st.+moving)|(\|lc)|(penalty))"</v>
      </c>
      <c r="AG16" s="181" t="str">
        <f t="shared" si="13"/>
        <v>EC</v>
      </c>
      <c r="AH16" s="78" t="str">
        <f t="shared" si="19"/>
        <v>"%USERPROFILE%\Documents\GitHub\eaglep3\Utilities\RefineRTDCRunTimes.py" --tripid 104-18 --locoid 4003 --swversion DE.1.0.9.0 --startMP 204:232987 --initTime 2017-11-18T04:28:50 --startdatetime 2017-11-18T04:42:32 --delay 48 --endMP 204:187 --enddatetime 2017-11-18T05:20:31 --enforcementcount 0 &gt;&gt;%USERPROFILE%\Documents\GitHub\eaglep3-reporting\EC\2017-11-18-refined-times.txt</v>
      </c>
      <c r="AI16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{"issue":{"subject":"","project_id":79,"tracker_id":40,"status_id":1,"priority_id":2,"assigned_to_id":338,"start_date":"2017-11-18","description":"","custom_fields":[{"id":1,"name":"Subdivision","value":"EC"},{"id":4,"name":"Milepost","value":"0.0187"},{"id":17,"name":"Train ID","value":"104-18"},{"id":16,"name":"Locomotive ID","value":"4003"},{"id":130,"name":"Impact","value":""},{"id":150,"name":"Time of Event (Mountain Time)","value":"05:20:31"},{"id":151,"name":"Denver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1" t="str">
        <f t="shared" si="21"/>
        <v>start /low /b %USERPROFILE%\Documents\GitHub\eaglep3\Utilities\DownloadLogsFromS3.py --loco 4003 --day 2017-11-18</v>
      </c>
      <c r="AN16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12:20:31"},{"id":29,"name":"Sharepoint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7" t="str">
        <f t="shared" si="23"/>
        <v>https://d0f6bd738d7f1b3e5a7ca70fe4ff75f0.us-east-1.aws.found.io/app/kibana#/discover/Steve-Slow-Train-Analysis-(2080s-and-2083s)?_g=(refreshInterval:(display:Off,pause:!f,section:0,value:0),time:(from:'2017-11-18T03:28:50-0700',mode:absolute,to:'2017-11-18T06:20:31-0700'))&amp;_a=(columns:!('Message%20ID',Summary),filters:!(),index:'emp_*',interval:auto,query:(query_string:(analyze_wildcard:!t,query:'%22rtdc.l.rtdc.4003%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723</v>
      </c>
      <c r="B17" s="7">
        <v>4018</v>
      </c>
      <c r="C17" s="21" t="s">
        <v>192</v>
      </c>
      <c r="D17" s="21" t="s">
        <v>911</v>
      </c>
      <c r="E17" s="13">
        <v>43057.163981481484</v>
      </c>
      <c r="F17" s="13">
        <v>43057.177233796298</v>
      </c>
      <c r="G17" s="7">
        <v>63</v>
      </c>
      <c r="H17" s="21" t="s">
        <v>554</v>
      </c>
      <c r="I17" s="13">
        <v>43057.202974537038</v>
      </c>
      <c r="J17" s="7">
        <v>0</v>
      </c>
      <c r="K17" s="89" t="str">
        <f t="shared" si="0"/>
        <v>4017/4018</v>
      </c>
      <c r="L17" s="184" t="str">
        <f>VLOOKUP(A17,'Trips&amp;Operators'!$C$1:$G$99911,5,FALSE)</f>
        <v>NEWELL JAMES</v>
      </c>
      <c r="M17" s="6">
        <f t="shared" si="1"/>
        <v>2.5740740740729962E-2</v>
      </c>
      <c r="N17" s="7">
        <f t="shared" si="2"/>
        <v>37.066666666651145</v>
      </c>
      <c r="O17" s="7"/>
      <c r="P17" s="7"/>
      <c r="Q17" s="22"/>
      <c r="R17" s="173"/>
      <c r="S17" s="220">
        <f t="shared" si="3"/>
        <v>1</v>
      </c>
      <c r="T17" s="173" t="str">
        <f t="shared" si="4"/>
        <v>NorthBound</v>
      </c>
      <c r="U17" s="19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5" t="str">
        <f t="shared" si="5"/>
        <v>https://d0f6bd738d7f1b3e5a7ca70fe4ff75f0.us-east-1.aws.found.io/app/kibana#/discover/Steve-Slow-Train-Analysis-(2080s-and-2083s)?_g=(refreshInterval:(display:Off,pause:!f,section:0,value:0),time:(from:'2017-11-18T02:56:08-0700',mode:absolute,to:'2017-11-18T05:52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" s="203" t="str">
        <f>IF(AA17&lt;VLOOKUP(AG17,Variables!$AC$3:$AD$8,2,FALSE),"Y","N")</f>
        <v>N</v>
      </c>
      <c r="X17" s="203">
        <f t="shared" si="6"/>
        <v>1</v>
      </c>
      <c r="Y17" s="203">
        <f t="shared" si="7"/>
        <v>5.8400000000000001E-2</v>
      </c>
      <c r="Z17" s="203">
        <f t="shared" si="8"/>
        <v>23.318999999999999</v>
      </c>
      <c r="AA17" s="203">
        <f t="shared" si="9"/>
        <v>23.2606</v>
      </c>
      <c r="AB17" s="54" t="e">
        <f>VLOOKUP(A17,Enforcements!$C$7:$K$9,8,0)</f>
        <v>#N/A</v>
      </c>
      <c r="AC17" s="51" t="e">
        <f>VLOOKUP(A17,Enforcements!$C$7:$E$9,3,0)</f>
        <v>#N/A</v>
      </c>
      <c r="AD17" s="178">
        <f t="shared" si="10"/>
        <v>105</v>
      </c>
      <c r="AE17" s="77" t="str">
        <f t="shared" si="11"/>
        <v>aws s3 cp s3://rtdc.mdm.uploadarchive.raw/RTDC4018/ "%USERPROFILE%\AppData\Local\Temp\OnboardLogs"\RTDC4018\2017-11-18 --exclude "*" --recursive --include "*20171118*" &amp; "%USERPROFILE%\Documents\GitHub\mrs-test-scripts\Headless Mode &amp; Sideloading\WalkAndUnGZ.bat" "%USERPROFILE%\AppData\Local\Temp\OnboardLogs"\RTDC4018\2017-11-18 &amp; aws s3 cp s3://rtdc.mdm.uploadarchive.raw/RTDC4018/ "%USERPROFILE%\AppData\Local\Temp\OnboardLogs"\RTDC4018\2017-11-19 --exclude "*" --recursive --include "*20171119*" &amp; "%USERPROFILE%\Documents\GitHub\mrs-test-scripts\Headless Mode &amp; Sideloading\WalkAndUnGZ.bat" "%USERPROFILE%\AppData\Local\Temp\OnboardLogs"\RTDC4018\2017-11-19</v>
      </c>
      <c r="AF17" s="74" t="str">
        <f t="shared" si="12"/>
        <v>"C:\Program Files (x86)\AstroGrep\AstroGrep.exe" /e /r /s /spath="%USERPROFILE%\AppData\Local\Temp\OnboardLogs" /stypes="app*4018*20171118*" /stext=" 11:.+((SYSTEM_STATE.+slice.+state.+changed )|(ment ac)|(multiple cpu faults)|(system.+state.+changed )|(\[timeout)|(PRM\|1\|D)|(kpr)|(kdp)|(train st.+moving)|(\|lc)|(penalty))"</v>
      </c>
      <c r="AG17" s="181" t="str">
        <f t="shared" si="13"/>
        <v>EC</v>
      </c>
      <c r="AH17" s="78" t="str">
        <f t="shared" si="19"/>
        <v>"%USERPROFILE%\Documents\GitHub\eaglep3\Utilities\RefineRTDCRunTimes.py" --tripid 105-18 --locoid 4018 --swversion DE.1.0.9.0 --startMP 204:584 --initTime 2017-11-18T03:56:08 --startdatetime 2017-11-18T04:15:13 --delay 63 --endMP 204:233190 --enddatetime 2017-11-18T04:52:17 --enforcementcount 0 &gt;&gt;%USERPROFILE%\Documents\GitHub\eaglep3-reporting\EC\2017-11-18-refined-times.txt</v>
      </c>
      <c r="AI17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{"issue":{"subject":"","project_id":79,"tracker_id":40,"status_id":1,"priority_id":2,"assigned_to_id":338,"start_date":"2017-11-18","description":"","custom_fields":[{"id":1,"name":"Subdivision","value":"EC"},{"id":4,"name":"Milepost","value":"23.319"},{"id":17,"name":"Train ID","value":"105-18"},{"id":16,"name":"Locomotive ID","value":"4018"},{"id":130,"name":"Impact","value":""},{"id":150,"name":"Time of Event (Mountain Time)","value":"04:52:17"},{"id":151,"name":"Denver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1" t="str">
        <f t="shared" si="21"/>
        <v>start /low /b %USERPROFILE%\Documents\GitHub\eaglep3\Utilities\DownloadLogsFromS3.py --loco 4018 --day 2017-11-18</v>
      </c>
      <c r="AN17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11:52:17"},{"id":29,"name":"Sharepoint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7" t="str">
        <f t="shared" si="23"/>
        <v>https://d0f6bd738d7f1b3e5a7ca70fe4ff75f0.us-east-1.aws.found.io/app/kibana#/discover/Steve-Slow-Train-Analysis-(2080s-and-2083s)?_g=(refreshInterval:(display:Off,pause:!f,section:0,value:0),time:(from:'2017-11-18T02:56:08-0700',mode:absolute,to:'2017-11-18T05:52:17-0700'))&amp;_a=(columns:!('Message%20ID',Summary),filters:!(),index:'emp_*',interval:auto,query:(query_string:(analyze_wildcard:!t,query:'%22rtdc.l.rtdc.4018%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735</v>
      </c>
      <c r="B18" s="7">
        <v>4017</v>
      </c>
      <c r="C18" s="21" t="s">
        <v>192</v>
      </c>
      <c r="D18" s="21" t="s">
        <v>912</v>
      </c>
      <c r="E18" s="13">
        <v>43057.204571759263</v>
      </c>
      <c r="F18" s="13">
        <v>43057.216817129629</v>
      </c>
      <c r="G18" s="7">
        <v>53</v>
      </c>
      <c r="H18" s="21" t="s">
        <v>456</v>
      </c>
      <c r="I18" s="13">
        <v>43057.245694444442</v>
      </c>
      <c r="J18" s="7">
        <v>0</v>
      </c>
      <c r="K18" s="89" t="str">
        <f t="shared" si="0"/>
        <v>4017/4018</v>
      </c>
      <c r="L18" s="184" t="str">
        <f>VLOOKUP(A18,'Trips&amp;Operators'!$C$1:$G$99911,5,FALSE)</f>
        <v>NEWELL JAMES</v>
      </c>
      <c r="M18" s="6">
        <f t="shared" si="1"/>
        <v>2.8877314813144039E-2</v>
      </c>
      <c r="N18" s="7">
        <f t="shared" si="2"/>
        <v>41.583333330927417</v>
      </c>
      <c r="O18" s="7"/>
      <c r="P18" s="7"/>
      <c r="Q18" s="22"/>
      <c r="R18" s="173"/>
      <c r="S18" s="220">
        <f t="shared" si="3"/>
        <v>1</v>
      </c>
      <c r="T18" s="173" t="str">
        <f t="shared" si="4"/>
        <v>Southbound</v>
      </c>
      <c r="U18" s="19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5" t="str">
        <f t="shared" si="5"/>
        <v>https://d0f6bd738d7f1b3e5a7ca70fe4ff75f0.us-east-1.aws.found.io/app/kibana#/discover/Steve-Slow-Train-Analysis-(2080s-and-2083s)?_g=(refreshInterval:(display:Off,pause:!f,section:0,value:0),time:(from:'2017-11-18T03:54:35-0700',mode:absolute,to:'2017-11-18T06:53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" s="203" t="str">
        <f>IF(AA18&lt;VLOOKUP(AG18,Variables!$AC$3:$AD$8,2,FALSE),"Y","N")</f>
        <v>N</v>
      </c>
      <c r="X18" s="203">
        <f t="shared" si="6"/>
        <v>1</v>
      </c>
      <c r="Y18" s="203">
        <f t="shared" si="7"/>
        <v>23.2879</v>
      </c>
      <c r="Z18" s="203">
        <f t="shared" si="8"/>
        <v>2.2700000000000001E-2</v>
      </c>
      <c r="AA18" s="203">
        <f t="shared" si="9"/>
        <v>23.2652</v>
      </c>
      <c r="AB18" s="54" t="e">
        <f>VLOOKUP(A18,Enforcements!$C$7:$K$9,8,0)</f>
        <v>#N/A</v>
      </c>
      <c r="AC18" s="51" t="e">
        <f>VLOOKUP(A18,Enforcements!$C$7:$E$9,3,0)</f>
        <v>#N/A</v>
      </c>
      <c r="AD18" s="178">
        <f t="shared" si="10"/>
        <v>106</v>
      </c>
      <c r="AE18" s="77" t="str">
        <f t="shared" si="11"/>
        <v>aws s3 cp s3://rtdc.mdm.uploadarchive.raw/RTDC4017/ "%USERPROFILE%\AppData\Local\Temp\OnboardLogs"\RTDC4017\2017-11-18 --exclude "*" --recursive --include "*20171118*" &amp; "%USERPROFILE%\Documents\GitHub\mrs-test-scripts\Headless Mode &amp; Sideloading\WalkAndUnGZ.bat" "%USERPROFILE%\AppData\Local\Temp\OnboardLogs"\RTDC4017\2017-11-18 &amp; aws s3 cp s3://rtdc.mdm.uploadarchive.raw/RTDC4017/ "%USERPROFILE%\AppData\Local\Temp\OnboardLogs"\RTDC4017\2017-11-19 --exclude "*" --recursive --include "*20171119*" &amp; "%USERPROFILE%\Documents\GitHub\mrs-test-scripts\Headless Mode &amp; Sideloading\WalkAndUnGZ.bat" "%USERPROFILE%\AppData\Local\Temp\OnboardLogs"\RTDC4017\2017-11-19</v>
      </c>
      <c r="AF18" s="74" t="str">
        <f t="shared" si="12"/>
        <v>"C:\Program Files (x86)\AstroGrep\AstroGrep.exe" /e /r /s /spath="%USERPROFILE%\AppData\Local\Temp\OnboardLogs" /stypes="app*4017*20171118*" /stext=" 12:.+((SYSTEM_STATE.+slice.+state.+changed )|(ment ac)|(multiple cpu faults)|(system.+state.+changed )|(\[timeout)|(PRM\|1\|D)|(kpr)|(kdp)|(train st.+moving)|(\|lc)|(penalty))"</v>
      </c>
      <c r="AG18" s="181" t="str">
        <f t="shared" si="13"/>
        <v>EC</v>
      </c>
      <c r="AH18" s="78" t="str">
        <f t="shared" si="19"/>
        <v>"%USERPROFILE%\Documents\GitHub\eaglep3\Utilities\RefineRTDCRunTimes.py" --tripid 106-18 --locoid 4017 --swversion DE.1.0.9.0 --startMP 204:232879 --initTime 2017-11-18T04:54:35 --startdatetime 2017-11-18T05:12:13 --delay 53 --endMP 204:227 --enddatetime 2017-11-18T05:53:48 --enforcementcount 0 &gt;&gt;%USERPROFILE%\Documents\GitHub\eaglep3-reporting\EC\2017-11-18-refined-times.txt</v>
      </c>
      <c r="AI18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{"issue":{"subject":"","project_id":79,"tracker_id":40,"status_id":1,"priority_id":2,"assigned_to_id":338,"start_date":"2017-11-18","description":"","custom_fields":[{"id":1,"name":"Subdivision","value":"EC"},{"id":4,"name":"Milepost","value":"0.0227"},{"id":17,"name":"Train ID","value":"106-18"},{"id":16,"name":"Locomotive ID","value":"4017"},{"id":130,"name":"Impact","value":""},{"id":150,"name":"Time of Event (Mountain Time)","value":"05:53:48"},{"id":151,"name":"Denver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1" t="str">
        <f t="shared" si="21"/>
        <v>start /low /b %USERPROFILE%\Documents\GitHub\eaglep3\Utilities\DownloadLogsFromS3.py --loco 4017 --day 2017-11-18</v>
      </c>
      <c r="AN18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12:53:48"},{"id":29,"name":"Sharepoint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7" t="str">
        <f t="shared" si="23"/>
        <v>https://d0f6bd738d7f1b3e5a7ca70fe4ff75f0.us-east-1.aws.found.io/app/kibana#/discover/Steve-Slow-Train-Analysis-(2080s-and-2083s)?_g=(refreshInterval:(display:Off,pause:!f,section:0,value:0),time:(from:'2017-11-18T03:54:35-0700',mode:absolute,to:'2017-11-18T06:53:48-0700'))&amp;_a=(columns:!('Message%20ID',Summary),filters:!(),index:'emp_*',interval:auto,query:(query_string:(analyze_wildcard:!t,query:'%22rtdc.l.rtdc.4017%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729</v>
      </c>
      <c r="B19" s="7">
        <v>4024</v>
      </c>
      <c r="C19" s="21" t="s">
        <v>192</v>
      </c>
      <c r="D19" s="21" t="s">
        <v>654</v>
      </c>
      <c r="E19" s="13">
        <v>43057.184108796297</v>
      </c>
      <c r="F19" s="13">
        <v>43057.187673611108</v>
      </c>
      <c r="G19" s="7">
        <v>92</v>
      </c>
      <c r="H19" s="21" t="s">
        <v>913</v>
      </c>
      <c r="I19" s="13">
        <v>43057.211712962962</v>
      </c>
      <c r="J19" s="7">
        <v>0</v>
      </c>
      <c r="K19" s="89" t="str">
        <f t="shared" si="0"/>
        <v>4023/4024</v>
      </c>
      <c r="L19" s="184" t="str">
        <f>VLOOKUP(A19,'Trips&amp;Operators'!$C$1:$G$99911,5,FALSE)</f>
        <v>GEBRETEKLE DAGNEW</v>
      </c>
      <c r="M19" s="6">
        <f t="shared" si="1"/>
        <v>2.4039351854298729E-2</v>
      </c>
      <c r="N19" s="7">
        <f t="shared" si="2"/>
        <v>34.61666667019017</v>
      </c>
      <c r="O19" s="7"/>
      <c r="P19" s="7"/>
      <c r="Q19" s="22"/>
      <c r="R19" s="173"/>
      <c r="S19" s="220">
        <f t="shared" si="3"/>
        <v>1</v>
      </c>
      <c r="T19" s="173" t="str">
        <f t="shared" si="4"/>
        <v>NorthBound</v>
      </c>
      <c r="U19" s="19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5" t="str">
        <f t="shared" si="5"/>
        <v>https://d0f6bd738d7f1b3e5a7ca70fe4ff75f0.us-east-1.aws.found.io/app/kibana#/discover/Steve-Slow-Train-Analysis-(2080s-and-2083s)?_g=(refreshInterval:(display:Off,pause:!f,section:0,value:0),time:(from:'2017-11-18T03:25:07-0700',mode:absolute,to:'2017-11-18T06:04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" s="203" t="str">
        <f>IF(AA19&lt;VLOOKUP(AG19,Variables!$AC$3:$AD$8,2,FALSE),"Y","N")</f>
        <v>N</v>
      </c>
      <c r="X19" s="203">
        <f t="shared" si="6"/>
        <v>1</v>
      </c>
      <c r="Y19" s="203">
        <f t="shared" si="7"/>
        <v>4.7300000000000002E-2</v>
      </c>
      <c r="Z19" s="203">
        <f t="shared" si="8"/>
        <v>23.3246</v>
      </c>
      <c r="AA19" s="203">
        <f t="shared" si="9"/>
        <v>23.2773</v>
      </c>
      <c r="AB19" s="54" t="e">
        <f>VLOOKUP(A19,Enforcements!$C$7:$K$9,8,0)</f>
        <v>#N/A</v>
      </c>
      <c r="AC19" s="51" t="e">
        <f>VLOOKUP(A19,Enforcements!$C$7:$E$9,3,0)</f>
        <v>#N/A</v>
      </c>
      <c r="AD19" s="178">
        <f t="shared" si="10"/>
        <v>107</v>
      </c>
      <c r="AE19" s="77" t="str">
        <f t="shared" si="11"/>
        <v>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 &amp; aws s3 cp s3://rtdc.mdm.uploadarchive.raw/RTDC4024/ "%USERPROFILE%\AppData\Local\Temp\OnboardLogs"\RTDC4024\2017-11-19 --exclude "*" --recursive --include "*20171119*" &amp; "%USERPROFILE%\Documents\GitHub\mrs-test-scripts\Headless Mode &amp; Sideloading\WalkAndUnGZ.bat" "%USERPROFILE%\AppData\Local\Temp\OnboardLogs"\RTDC4024\2017-11-19</v>
      </c>
      <c r="AF19" s="74" t="str">
        <f t="shared" si="12"/>
        <v>"C:\Program Files (x86)\AstroGrep\AstroGrep.exe" /e /r /s /spath="%USERPROFILE%\AppData\Local\Temp\OnboardLogs" /stypes="app*4024*20171118*" /stext=" 12:.+((SYSTEM_STATE.+slice.+state.+changed )|(ment ac)|(multiple cpu faults)|(system.+state.+changed )|(\[timeout)|(PRM\|1\|D)|(kpr)|(kdp)|(train st.+moving)|(\|lc)|(penalty))"</v>
      </c>
      <c r="AG19" s="181" t="str">
        <f t="shared" si="13"/>
        <v>EC</v>
      </c>
      <c r="AH19" s="78" t="str">
        <f t="shared" si="19"/>
        <v>"%USERPROFILE%\Documents\GitHub\eaglep3\Utilities\RefineRTDCRunTimes.py" --tripid 107-18 --locoid 4024 --swversion DE.1.0.9.0 --startMP 204:473 --initTime 2017-11-18T04:25:07 --startdatetime 2017-11-18T04:30:15 --delay 92 --endMP 204:233246 --enddatetime 2017-11-18T05:04:52 --enforcementcount 0 &gt;&gt;%USERPROFILE%\Documents\GitHub\eaglep3-reporting\EC\2017-11-18-refined-times.txt</v>
      </c>
      <c r="AI19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{"issue":{"subject":"","project_id":79,"tracker_id":40,"status_id":1,"priority_id":2,"assigned_to_id":338,"start_date":"2017-11-18","description":"","custom_fields":[{"id":1,"name":"Subdivision","value":"EC"},{"id":4,"name":"Milepost","value":"23.3246"},{"id":17,"name":"Train ID","value":"107-18"},{"id":16,"name":"Locomotive ID","value":"4024"},{"id":130,"name":"Impact","value":""},{"id":150,"name":"Time of Event (Mountain Time)","value":"05:04:52"},{"id":151,"name":"Denver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1" t="str">
        <f t="shared" si="21"/>
        <v>start /low /b %USERPROFILE%\Documents\GitHub\eaglep3\Utilities\DownloadLogsFromS3.py --loco 4024 --day 2017-11-18</v>
      </c>
      <c r="AN19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12:04:52"},{"id":29,"name":"Sharepoint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7" t="str">
        <f t="shared" si="23"/>
        <v>https://d0f6bd738d7f1b3e5a7ca70fe4ff75f0.us-east-1.aws.found.io/app/kibana#/discover/Steve-Slow-Train-Analysis-(2080s-and-2083s)?_g=(refreshInterval:(display:Off,pause:!f,section:0,value:0),time:(from:'2017-11-18T03:25:07-0700',mode:absolute,to:'2017-11-18T06:04:52-0700'))&amp;_a=(columns:!('Message%20ID',Summary),filters:!(),index:'emp_*',interval:auto,query:(query_string:(analyze_wildcard:!t,query:'%22rtdc.l.rtdc.4024%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737</v>
      </c>
      <c r="B20" s="7">
        <v>4023</v>
      </c>
      <c r="C20" s="21" t="s">
        <v>192</v>
      </c>
      <c r="D20" s="21" t="s">
        <v>635</v>
      </c>
      <c r="E20" s="13">
        <v>43057.212905092594</v>
      </c>
      <c r="F20" s="13">
        <v>43057.227268518516</v>
      </c>
      <c r="G20" s="7">
        <v>50</v>
      </c>
      <c r="H20" s="21" t="s">
        <v>914</v>
      </c>
      <c r="I20" s="13">
        <v>43057.253622685188</v>
      </c>
      <c r="J20" s="7">
        <v>0</v>
      </c>
      <c r="K20" s="89" t="str">
        <f t="shared" si="0"/>
        <v>4023/4024</v>
      </c>
      <c r="L20" s="184" t="str">
        <f>VLOOKUP(A20,'Trips&amp;Operators'!$C$1:$G$99911,5,FALSE)</f>
        <v>GEBRETEKLE DAGNEW</v>
      </c>
      <c r="M20" s="6">
        <f t="shared" si="1"/>
        <v>2.6354166671808343E-2</v>
      </c>
      <c r="N20" s="7">
        <f t="shared" si="2"/>
        <v>37.950000007404014</v>
      </c>
      <c r="O20" s="7"/>
      <c r="P20" s="7"/>
      <c r="Q20" s="22"/>
      <c r="R20" s="173"/>
      <c r="S20" s="220">
        <f t="shared" si="3"/>
        <v>1</v>
      </c>
      <c r="T20" s="173" t="str">
        <f t="shared" si="4"/>
        <v>Southbound</v>
      </c>
      <c r="U20" s="19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5" t="str">
        <f t="shared" si="5"/>
        <v>https://d0f6bd738d7f1b3e5a7ca70fe4ff75f0.us-east-1.aws.found.io/app/kibana#/discover/Steve-Slow-Train-Analysis-(2080s-and-2083s)?_g=(refreshInterval:(display:Off,pause:!f,section:0,value:0),time:(from:'2017-11-18T04:06:35-0700',mode:absolute,to:'2017-11-18T07:05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" s="203" t="str">
        <f>IF(AA20&lt;VLOOKUP(AG20,Variables!$AC$3:$AD$8,2,FALSE),"Y","N")</f>
        <v>N</v>
      </c>
      <c r="X20" s="203">
        <f t="shared" si="6"/>
        <v>1</v>
      </c>
      <c r="Y20" s="203">
        <f t="shared" si="7"/>
        <v>23.294499999999999</v>
      </c>
      <c r="Z20" s="203">
        <f t="shared" si="8"/>
        <v>1.78E-2</v>
      </c>
      <c r="AA20" s="203">
        <f t="shared" si="9"/>
        <v>23.276699999999998</v>
      </c>
      <c r="AB20" s="54" t="e">
        <f>VLOOKUP(A20,Enforcements!$C$7:$K$9,8,0)</f>
        <v>#N/A</v>
      </c>
      <c r="AC20" s="51" t="e">
        <f>VLOOKUP(A20,Enforcements!$C$7:$E$9,3,0)</f>
        <v>#N/A</v>
      </c>
      <c r="AD20" s="178">
        <f t="shared" si="10"/>
        <v>108</v>
      </c>
      <c r="AE20" s="77" t="str">
        <f t="shared" si="11"/>
        <v>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 &amp; aws s3 cp s3://rtdc.mdm.uploadarchive.raw/RTDC4023/ "%USERPROFILE%\AppData\Local\Temp\OnboardLogs"\RTDC4023\2017-11-19 --exclude "*" --recursive --include "*20171119*" &amp; "%USERPROFILE%\Documents\GitHub\mrs-test-scripts\Headless Mode &amp; Sideloading\WalkAndUnGZ.bat" "%USERPROFILE%\AppData\Local\Temp\OnboardLogs"\RTDC4023\2017-11-19</v>
      </c>
      <c r="AF20" s="74" t="str">
        <f t="shared" si="12"/>
        <v>"C:\Program Files (x86)\AstroGrep\AstroGrep.exe" /e /r /s /spath="%USERPROFILE%\AppData\Local\Temp\OnboardLogs" /stypes="app*4023*20171118*" /stext=" 13:.+((SYSTEM_STATE.+slice.+state.+changed )|(ment ac)|(multiple cpu faults)|(system.+state.+changed )|(\[timeout)|(PRM\|1\|D)|(kpr)|(kdp)|(train st.+moving)|(\|lc)|(penalty))"</v>
      </c>
      <c r="AG20" s="181" t="str">
        <f t="shared" si="13"/>
        <v>EC</v>
      </c>
      <c r="AH20" s="78" t="str">
        <f t="shared" si="19"/>
        <v>"%USERPROFILE%\Documents\GitHub\eaglep3\Utilities\RefineRTDCRunTimes.py" --tripid 108-18 --locoid 4023 --swversion DE.1.0.9.0 --startMP 204:232945 --initTime 2017-11-18T05:06:35 --startdatetime 2017-11-18T05:27:16 --delay 50 --endMP 204:178 --enddatetime 2017-11-18T06:05:13 --enforcementcount 0 &gt;&gt;%USERPROFILE%\Documents\GitHub\eaglep3-reporting\EC\2017-11-18-refined-times.txt</v>
      </c>
      <c r="AI20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{"issue":{"subject":"","project_id":79,"tracker_id":40,"status_id":1,"priority_id":2,"assigned_to_id":338,"start_date":"2017-11-18","description":"","custom_fields":[{"id":1,"name":"Subdivision","value":"EC"},{"id":4,"name":"Milepost","value":"0.0178"},{"id":17,"name":"Train ID","value":"108-18"},{"id":16,"name":"Locomotive ID","value":"4023"},{"id":130,"name":"Impact","value":""},{"id":150,"name":"Time of Event (Mountain Time)","value":"06:05:13"},{"id":151,"name":"Denver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1" t="str">
        <f t="shared" si="21"/>
        <v>start /low /b %USERPROFILE%\Documents\GitHub\eaglep3\Utilities\DownloadLogsFromS3.py --loco 4023 --day 2017-11-18</v>
      </c>
      <c r="AN20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13:05:13"},{"id":29,"name":"Sharepoint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7" t="str">
        <f t="shared" si="23"/>
        <v>https://d0f6bd738d7f1b3e5a7ca70fe4ff75f0.us-east-1.aws.found.io/app/kibana#/discover/Steve-Slow-Train-Analysis-(2080s-and-2083s)?_g=(refreshInterval:(display:Off,pause:!f,section:0,value:0),time:(from:'2017-11-18T04:06:35-0700',mode:absolute,to:'2017-11-18T07:05:13-0700'))&amp;_a=(columns:!('Message%20ID',Summary),filters:!(),index:'emp_*',interval:auto,query:(query_string:(analyze_wildcard:!t,query:'%22rtdc.l.rtdc.4023%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670</v>
      </c>
      <c r="B21" s="7">
        <v>4026</v>
      </c>
      <c r="C21" s="21" t="s">
        <v>192</v>
      </c>
      <c r="D21" s="21" t="s">
        <v>915</v>
      </c>
      <c r="E21" s="13">
        <v>43057.196134259262</v>
      </c>
      <c r="F21" s="13">
        <v>43057.19809027778</v>
      </c>
      <c r="G21" s="7">
        <v>90</v>
      </c>
      <c r="H21" s="21" t="s">
        <v>916</v>
      </c>
      <c r="I21" s="13">
        <v>43057.218310185184</v>
      </c>
      <c r="J21" s="7">
        <v>0</v>
      </c>
      <c r="K21" s="89" t="str">
        <f t="shared" si="0"/>
        <v>4025/4026</v>
      </c>
      <c r="L21" s="184" t="str">
        <f>VLOOKUP(A21,'Trips&amp;Operators'!$C$1:$G$99911,5,FALSE)</f>
        <v>BARRON PERLA</v>
      </c>
      <c r="M21" s="6">
        <f t="shared" si="1"/>
        <v>2.0219907404680271E-2</v>
      </c>
      <c r="N21" s="7"/>
      <c r="O21" s="7"/>
      <c r="P21" s="7">
        <f>24*60*SUM($M21:$M21)</f>
        <v>29.11666666273959</v>
      </c>
      <c r="Q21" s="22"/>
      <c r="R21" s="173" t="s">
        <v>1071</v>
      </c>
      <c r="S21" s="220">
        <f t="shared" si="3"/>
        <v>1</v>
      </c>
      <c r="T21" s="173" t="str">
        <f t="shared" si="4"/>
        <v>NorthBound</v>
      </c>
      <c r="U21" s="19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5" t="str">
        <f t="shared" si="5"/>
        <v>https://d0f6bd738d7f1b3e5a7ca70fe4ff75f0.us-east-1.aws.found.io/app/kibana#/discover/Steve-Slow-Train-Analysis-(2080s-and-2083s)?_g=(refreshInterval:(display:Off,pause:!f,section:0,value:0),time:(from:'2017-11-18T03:42:26-0700',mode:absolute,to:'2017-11-18T06:14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" s="203" t="str">
        <f>IF(AA21&lt;VLOOKUP(AG21,Variables!$AC$3:$AD$8,2,FALSE),"Y","N")</f>
        <v>Y</v>
      </c>
      <c r="X21" s="203">
        <f t="shared" si="6"/>
        <v>1</v>
      </c>
      <c r="Y21" s="203">
        <f t="shared" si="7"/>
        <v>5.3900000000000003E-2</v>
      </c>
      <c r="Z21" s="203">
        <f t="shared" si="8"/>
        <v>15.4732</v>
      </c>
      <c r="AA21" s="203">
        <f t="shared" si="9"/>
        <v>15.4193</v>
      </c>
      <c r="AB21" s="54" t="e">
        <f>VLOOKUP(A21,Enforcements!$C$7:$K$9,8,0)</f>
        <v>#N/A</v>
      </c>
      <c r="AC21" s="51" t="e">
        <f>VLOOKUP(A21,Enforcements!$C$7:$E$9,3,0)</f>
        <v>#N/A</v>
      </c>
      <c r="AD21" s="178">
        <f t="shared" si="10"/>
        <v>109</v>
      </c>
      <c r="AE21" s="77" t="str">
        <f t="shared" si="11"/>
        <v>aws s3 cp s3://rtdc.mdm.uploadarchive.raw/RTDC4026/ "%USERPROFILE%\AppData\Local\Temp\OnboardLogs"\RTDC4026\2017-11-18 --exclude "*" --recursive --include "*20171118*" &amp; "%USERPROFILE%\Documents\GitHub\mrs-test-scripts\Headless Mode &amp; Sideloading\WalkAndUnGZ.bat" "%USERPROFILE%\AppData\Local\Temp\OnboardLogs"\RTDC4026\2017-11-18 &amp; aws s3 cp s3://rtdc.mdm.uploadarchive.raw/RTDC4026/ "%USERPROFILE%\AppData\Local\Temp\OnboardLogs"\RTDC4026\2017-11-19 --exclude "*" --recursive --include "*20171119*" &amp; "%USERPROFILE%\Documents\GitHub\mrs-test-scripts\Headless Mode &amp; Sideloading\WalkAndUnGZ.bat" "%USERPROFILE%\AppData\Local\Temp\OnboardLogs"\RTDC4026\2017-11-19</v>
      </c>
      <c r="AF21" s="74" t="str">
        <f t="shared" si="12"/>
        <v>"C:\Program Files (x86)\AstroGrep\AstroGrep.exe" /e /r /s /spath="%USERPROFILE%\AppData\Local\Temp\OnboardLogs" /stypes="app*4026*20171118*" /stext=" 12:.+((SYSTEM_STATE.+slice.+state.+changed )|(ment ac)|(multiple cpu faults)|(system.+state.+changed )|(\[timeout)|(PRM\|1\|D)|(kpr)|(kdp)|(train st.+moving)|(\|lc)|(penalty))"</v>
      </c>
      <c r="AG21" s="181" t="str">
        <f t="shared" si="13"/>
        <v>EC</v>
      </c>
      <c r="AH21" s="78" t="str">
        <f t="shared" si="19"/>
        <v>"%USERPROFILE%\Documents\GitHub\eaglep3\Utilities\RefineRTDCRunTimes.py" --tripid 109-18 --locoid 4026 --swversion DE.1.0.9.0 --startMP 204:539 --initTime 2017-11-18T04:42:26 --startdatetime 2017-11-18T04:45:15 --delay 90 --endMP 204:154732 --enddatetime 2017-11-18T05:14:22 --enforcementcount 0 &gt;&gt;%USERPROFILE%\Documents\GitHub\eaglep3-reporting\EC\2017-11-18-refined-times.txt</v>
      </c>
      <c r="AI21" s="96" t="str">
        <f t="shared" si="20"/>
        <v>echo {"issue":{"subject":"Minor onboard in-route failure caused signal status unknown","project_id":79,"tracker_id":40,"status_id":1,"priority_id":2,"assigned_to_id":338,"start_date":"2017-11-18","description":"","custom_fields":[{"id":1,"name":"Subdivision","value":"EC"},{"id":4,"name":"Milepost","value":"15.4732"},{"id":17,"name":"Train ID","value":"109-18"},{"id":16,"name":"Locomotive ID","value":"4026"},{"id":130,"name":"Impact","value":""},{"id":150,"name":"Time of Event (Mountain Time)","value":"05:14:22"},{"id":151,"name":"Denver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1" t="str">
        <f t="shared" si="21"/>
        <v>start /low /b %USERPROFILE%\Documents\GitHub\eaglep3\Utilities\DownloadLogsFromS3.py --loco 4026 --day 2017-11-18</v>
      </c>
      <c r="AN21" s="150" t="str">
        <f t="shared" si="22"/>
        <v>echo {"issue":{"subject":"Minor onboard in-route failure caused signal status unknown","project_id":30,"tracker_id":4,"status_id":1,"priority_id":1,"assigned_to_id":10,"start_date":"2017-11-18","description":"","custom_fields":[{"id":30,"name":"Category","value":"Issue"},{"id":3,"name":"Functional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12:14:22"},{"id":29,"name":"Sharepoint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7" t="str">
        <f t="shared" si="23"/>
        <v>https://d0f6bd738d7f1b3e5a7ca70fe4ff75f0.us-east-1.aws.found.io/app/kibana#/discover/Steve-Slow-Train-Analysis-(2080s-and-2083s)?_g=(refreshInterval:(display:Off,pause:!f,section:0,value:0),time:(from:'2017-11-18T03:42:26-0700',mode:absolute,to:'2017-11-18T06:14:22-0700'))&amp;_a=(columns:!('Message%20ID',Summary),filters:!(),index:'emp_*',interval:auto,query:(query_string:(analyze_wildcard:!t,query:'%22rtdc.l.rtdc.4026%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744</v>
      </c>
      <c r="B22" s="7">
        <v>4025</v>
      </c>
      <c r="C22" s="21" t="s">
        <v>192</v>
      </c>
      <c r="D22" s="21" t="s">
        <v>917</v>
      </c>
      <c r="E22" s="13">
        <v>43057.229317129626</v>
      </c>
      <c r="F22" s="13">
        <v>43057.237638888888</v>
      </c>
      <c r="G22" s="7">
        <v>61</v>
      </c>
      <c r="H22" s="21" t="s">
        <v>564</v>
      </c>
      <c r="I22" s="13">
        <v>43057.267407407409</v>
      </c>
      <c r="J22" s="7">
        <v>0</v>
      </c>
      <c r="K22" s="89" t="str">
        <f t="shared" si="0"/>
        <v>4025/4026</v>
      </c>
      <c r="L22" s="184" t="str">
        <f>VLOOKUP(A22,'Trips&amp;Operators'!$C$1:$G$99911,5,FALSE)</f>
        <v>BARRON PERLA</v>
      </c>
      <c r="M22" s="6">
        <f t="shared" si="1"/>
        <v>2.976851852145046E-2</v>
      </c>
      <c r="N22" s="7">
        <f t="shared" ref="N22:N53" si="24">24*60*SUM($M22:$M22)</f>
        <v>42.866666670888662</v>
      </c>
      <c r="O22" s="7"/>
      <c r="P22" s="7"/>
      <c r="Q22" s="22"/>
      <c r="R22" s="173"/>
      <c r="S22" s="220">
        <f t="shared" si="3"/>
        <v>1</v>
      </c>
      <c r="T22" s="173" t="str">
        <f t="shared" si="4"/>
        <v>Southbound</v>
      </c>
      <c r="U22" s="19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5" t="str">
        <f t="shared" si="5"/>
        <v>https://d0f6bd738d7f1b3e5a7ca70fe4ff75f0.us-east-1.aws.found.io/app/kibana#/discover/Steve-Slow-Train-Analysis-(2080s-and-2083s)?_g=(refreshInterval:(display:Off,pause:!f,section:0,value:0),time:(from:'2017-11-18T04:30:13-0700',mode:absolute,to:'2017-11-18T07:25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" s="203" t="str">
        <f>IF(AA22&lt;VLOOKUP(AG22,Variables!$AC$3:$AD$8,2,FALSE),"Y","N")</f>
        <v>N</v>
      </c>
      <c r="X22" s="203">
        <f t="shared" si="6"/>
        <v>1</v>
      </c>
      <c r="Y22" s="203">
        <f t="shared" si="7"/>
        <v>23.298400000000001</v>
      </c>
      <c r="Z22" s="203">
        <f t="shared" si="8"/>
        <v>2.3400000000000001E-2</v>
      </c>
      <c r="AA22" s="203">
        <f t="shared" si="9"/>
        <v>23.275000000000002</v>
      </c>
      <c r="AB22" s="54" t="e">
        <f>VLOOKUP(A22,Enforcements!$C$7:$K$9,8,0)</f>
        <v>#N/A</v>
      </c>
      <c r="AC22" s="51" t="e">
        <f>VLOOKUP(A22,Enforcements!$C$7:$E$9,3,0)</f>
        <v>#N/A</v>
      </c>
      <c r="AD22" s="178">
        <f t="shared" si="10"/>
        <v>110</v>
      </c>
      <c r="AE22" s="77" t="str">
        <f t="shared" si="11"/>
        <v>aws s3 cp s3://rtdc.mdm.uploadarchive.raw/RTDC4025/ "%USERPROFILE%\AppData\Local\Temp\OnboardLogs"\RTDC4025\2017-11-18 --exclude "*" --recursive --include "*20171118*" &amp; "%USERPROFILE%\Documents\GitHub\mrs-test-scripts\Headless Mode &amp; Sideloading\WalkAndUnGZ.bat" "%USERPROFILE%\AppData\Local\Temp\OnboardLogs"\RTDC4025\2017-11-18 &amp; aws s3 cp s3://rtdc.mdm.uploadarchive.raw/RTDC4025/ "%USERPROFILE%\AppData\Local\Temp\OnboardLogs"\RTDC4025\2017-11-19 --exclude "*" --recursive --include "*20171119*" &amp; "%USERPROFILE%\Documents\GitHub\mrs-test-scripts\Headless Mode &amp; Sideloading\WalkAndUnGZ.bat" "%USERPROFILE%\AppData\Local\Temp\OnboardLogs"\RTDC4025\2017-11-19</v>
      </c>
      <c r="AF22" s="74" t="str">
        <f t="shared" si="12"/>
        <v>"C:\Program Files (x86)\AstroGrep\AstroGrep.exe" /e /r /s /spath="%USERPROFILE%\AppData\Local\Temp\OnboardLogs" /stypes="app*4025*20171118*" /stext=" 13:.+((SYSTEM_STATE.+slice.+state.+changed )|(ment ac)|(multiple cpu faults)|(system.+state.+changed )|(\[timeout)|(PRM\|1\|D)|(kpr)|(kdp)|(train st.+moving)|(\|lc)|(penalty))"</v>
      </c>
      <c r="AG22" s="181" t="str">
        <f t="shared" si="13"/>
        <v>EC</v>
      </c>
      <c r="AH22" s="78" t="str">
        <f t="shared" si="19"/>
        <v>"%USERPROFILE%\Documents\GitHub\eaglep3\Utilities\RefineRTDCRunTimes.py" --tripid 110-18 --locoid 4025 --swversion DE.1.0.9.0 --startMP 204:232984 --initTime 2017-11-18T05:30:13 --startdatetime 2017-11-18T05:42:12 --delay 61 --endMP 204:234 --enddatetime 2017-11-18T06:25:04 --enforcementcount 0 &gt;&gt;%USERPROFILE%\Documents\GitHub\eaglep3-reporting\EC\2017-11-18-refined-times.txt</v>
      </c>
      <c r="AI22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{"issue":{"subject":"","project_id":79,"tracker_id":40,"status_id":1,"priority_id":2,"assigned_to_id":338,"start_date":"2017-11-18","description":"","custom_fields":[{"id":1,"name":"Subdivision","value":"EC"},{"id":4,"name":"Milepost","value":"0.0234"},{"id":17,"name":"Train ID","value":"110-18"},{"id":16,"name":"Locomotive ID","value":"4025"},{"id":130,"name":"Impact","value":""},{"id":150,"name":"Time of Event (Mountain Time)","value":"06:25:04"},{"id":151,"name":"Denver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1" t="str">
        <f t="shared" si="21"/>
        <v>start /low /b %USERPROFILE%\Documents\GitHub\eaglep3\Utilities\DownloadLogsFromS3.py --loco 4025 --day 2017-11-18</v>
      </c>
      <c r="AN22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13:25:04"},{"id":29,"name":"Sharepoint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7" t="str">
        <f t="shared" si="23"/>
        <v>https://d0f6bd738d7f1b3e5a7ca70fe4ff75f0.us-east-1.aws.found.io/app/kibana#/discover/Steve-Slow-Train-Analysis-(2080s-and-2083s)?_g=(refreshInterval:(display:Off,pause:!f,section:0,value:0),time:(from:'2017-11-18T04:30:13-0700',mode:absolute,to:'2017-11-18T07:25:04-0700'))&amp;_a=(columns:!('Message%20ID',Summary),filters:!(),index:'emp_*',interval:auto,query:(query_string:(analyze_wildcard:!t,query:'%22rtdc.l.rtdc.4025%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736</v>
      </c>
      <c r="B23" s="7">
        <v>4008</v>
      </c>
      <c r="C23" s="21" t="s">
        <v>192</v>
      </c>
      <c r="D23" s="21" t="s">
        <v>457</v>
      </c>
      <c r="E23" s="13">
        <v>43057.206203703703</v>
      </c>
      <c r="F23" s="13">
        <v>43057.208587962959</v>
      </c>
      <c r="G23" s="7">
        <v>52</v>
      </c>
      <c r="H23" s="21" t="s">
        <v>918</v>
      </c>
      <c r="I23" s="13">
        <v>43057.235023148147</v>
      </c>
      <c r="J23" s="7">
        <v>0</v>
      </c>
      <c r="K23" s="89" t="str">
        <f t="shared" si="0"/>
        <v>4007/4008</v>
      </c>
      <c r="L23" s="184" t="str">
        <f>VLOOKUP(A23,'Trips&amp;Operators'!$C$1:$G$99911,5,FALSE)</f>
        <v>THOMPSON LESTER</v>
      </c>
      <c r="M23" s="6">
        <f t="shared" si="1"/>
        <v>2.6435185187438037E-2</v>
      </c>
      <c r="N23" s="7">
        <f t="shared" si="24"/>
        <v>38.066666669910774</v>
      </c>
      <c r="O23" s="7"/>
      <c r="P23" s="7"/>
      <c r="Q23" s="22"/>
      <c r="R23" s="173"/>
      <c r="S23" s="220">
        <f t="shared" si="3"/>
        <v>1</v>
      </c>
      <c r="T23" s="173" t="str">
        <f t="shared" si="4"/>
        <v>NorthBound</v>
      </c>
      <c r="U23" s="19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5" t="str">
        <f t="shared" si="5"/>
        <v>https://d0f6bd738d7f1b3e5a7ca70fe4ff75f0.us-east-1.aws.found.io/app/kibana#/discover/Steve-Slow-Train-Analysis-(2080s-and-2083s)?_g=(refreshInterval:(display:Off,pause:!f,section:0,value:0),time:(from:'2017-11-18T03:56:56-0700',mode:absolute,to:'2017-11-18T06:38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" s="203" t="str">
        <f>IF(AA23&lt;VLOOKUP(AG23,Variables!$AC$3:$AD$8,2,FALSE),"Y","N")</f>
        <v>N</v>
      </c>
      <c r="X23" s="203">
        <f t="shared" si="6"/>
        <v>1</v>
      </c>
      <c r="Y23" s="203">
        <f t="shared" si="7"/>
        <v>5.33E-2</v>
      </c>
      <c r="Z23" s="203">
        <f t="shared" si="8"/>
        <v>23.3306</v>
      </c>
      <c r="AA23" s="203">
        <f t="shared" si="9"/>
        <v>23.2773</v>
      </c>
      <c r="AB23" s="54" t="e">
        <f>VLOOKUP(A23,Enforcements!$C$7:$K$9,8,0)</f>
        <v>#N/A</v>
      </c>
      <c r="AC23" s="51" t="e">
        <f>VLOOKUP(A23,Enforcements!$C$7:$E$9,3,0)</f>
        <v>#N/A</v>
      </c>
      <c r="AD23" s="178">
        <f t="shared" si="10"/>
        <v>111</v>
      </c>
      <c r="AE23" s="77" t="str">
        <f t="shared" si="11"/>
        <v>aws s3 cp s3://rtdc.mdm.uploadarchive.raw/RTDC4008/ "%USERPROFILE%\AppData\Local\Temp\OnboardLogs"\RTDC4008\2017-11-18 --exclude "*" --recursive --include "*20171118*" &amp; "%USERPROFILE%\Documents\GitHub\mrs-test-scripts\Headless Mode &amp; Sideloading\WalkAndUnGZ.bat" "%USERPROFILE%\AppData\Local\Temp\OnboardLogs"\RTDC4008\2017-11-18 &amp; aws s3 cp s3://rtdc.mdm.uploadarchive.raw/RTDC4008/ "%USERPROFILE%\AppData\Local\Temp\OnboardLogs"\RTDC4008\2017-11-19 --exclude "*" --recursive --include "*20171119*" &amp; "%USERPROFILE%\Documents\GitHub\mrs-test-scripts\Headless Mode &amp; Sideloading\WalkAndUnGZ.bat" "%USERPROFILE%\AppData\Local\Temp\OnboardLogs"\RTDC4008\2017-11-19</v>
      </c>
      <c r="AF23" s="74" t="str">
        <f t="shared" si="12"/>
        <v>"C:\Program Files (x86)\AstroGrep\AstroGrep.exe" /e /r /s /spath="%USERPROFILE%\AppData\Local\Temp\OnboardLogs" /stypes="app*4008*20171118*" /stext=" 12:.+((SYSTEM_STATE.+slice.+state.+changed )|(ment ac)|(multiple cpu faults)|(system.+state.+changed )|(\[timeout)|(PRM\|1\|D)|(kpr)|(kdp)|(train st.+moving)|(\|lc)|(penalty))"</v>
      </c>
      <c r="AG23" s="181" t="str">
        <f t="shared" si="13"/>
        <v>EC</v>
      </c>
      <c r="AH23" s="78" t="str">
        <f t="shared" si="19"/>
        <v>"%USERPROFILE%\Documents\GitHub\eaglep3\Utilities\RefineRTDCRunTimes.py" --tripid 111-18 --locoid 4008 --swversion DE.1.0.9.0 --startMP 204:533 --initTime 2017-11-18T04:56:56 --startdatetime 2017-11-18T05:00:22 --delay 52 --endMP 204:233306 --enddatetime 2017-11-18T05:38:26 --enforcementcount 0 &gt;&gt;%USERPROFILE%\Documents\GitHub\eaglep3-reporting\EC\2017-11-18-refined-times.txt</v>
      </c>
      <c r="AI23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{"issue":{"subject":"","project_id":79,"tracker_id":40,"status_id":1,"priority_id":2,"assigned_to_id":338,"start_date":"2017-11-18","description":"","custom_fields":[{"id":1,"name":"Subdivision","value":"EC"},{"id":4,"name":"Milepost","value":"23.3306"},{"id":17,"name":"Train ID","value":"111-18"},{"id":16,"name":"Locomotive ID","value":"4008"},{"id":130,"name":"Impact","value":""},{"id":150,"name":"Time of Event (Mountain Time)","value":"05:38:26"},{"id":151,"name":"Denver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1" t="str">
        <f t="shared" si="21"/>
        <v>start /low /b %USERPROFILE%\Documents\GitHub\eaglep3\Utilities\DownloadLogsFromS3.py --loco 4008 --day 2017-11-18</v>
      </c>
      <c r="AN23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12:38:26"},{"id":29,"name":"Sharepoint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7" t="str">
        <f t="shared" si="23"/>
        <v>https://d0f6bd738d7f1b3e5a7ca70fe4ff75f0.us-east-1.aws.found.io/app/kibana#/discover/Steve-Slow-Train-Analysis-(2080s-and-2083s)?_g=(refreshInterval:(display:Off,pause:!f,section:0,value:0),time:(from:'2017-11-18T03:56:56-0700',mode:absolute,to:'2017-11-18T06:38:26-0700'))&amp;_a=(columns:!('Message%20ID',Summary),filters:!(),index:'emp_*',interval:auto,query:(query_string:(analyze_wildcard:!t,query:'%22rtdc.l.rtdc.4008%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747</v>
      </c>
      <c r="B24" s="7">
        <v>4007</v>
      </c>
      <c r="C24" s="21" t="s">
        <v>192</v>
      </c>
      <c r="D24" s="21" t="s">
        <v>548</v>
      </c>
      <c r="E24" s="13">
        <v>43057.246030092596</v>
      </c>
      <c r="F24" s="13">
        <v>43057.248402777775</v>
      </c>
      <c r="G24" s="7">
        <v>59</v>
      </c>
      <c r="H24" s="21" t="s">
        <v>919</v>
      </c>
      <c r="I24" s="13">
        <v>43057.278090277781</v>
      </c>
      <c r="J24" s="7">
        <v>0</v>
      </c>
      <c r="K24" s="89" t="str">
        <f t="shared" si="0"/>
        <v>4007/4008</v>
      </c>
      <c r="L24" s="184" t="str">
        <f>VLOOKUP(A24,'Trips&amp;Operators'!$C$1:$G$99911,5,FALSE)</f>
        <v>THOMPSON LESTER</v>
      </c>
      <c r="M24" s="6">
        <f t="shared" si="1"/>
        <v>2.9687500005820766E-2</v>
      </c>
      <c r="N24" s="7">
        <f t="shared" si="24"/>
        <v>42.750000008381903</v>
      </c>
      <c r="O24" s="7"/>
      <c r="P24" s="7"/>
      <c r="Q24" s="22"/>
      <c r="R24" s="173"/>
      <c r="S24" s="220">
        <f t="shared" si="3"/>
        <v>1</v>
      </c>
      <c r="T24" s="173" t="str">
        <f t="shared" si="4"/>
        <v>Southbound</v>
      </c>
      <c r="U24" s="19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5" t="str">
        <f t="shared" si="5"/>
        <v>https://d0f6bd738d7f1b3e5a7ca70fe4ff75f0.us-east-1.aws.found.io/app/kibana#/discover/Steve-Slow-Train-Analysis-(2080s-and-2083s)?_g=(refreshInterval:(display:Off,pause:!f,section:0,value:0),time:(from:'2017-11-18T04:54:17-0700',mode:absolute,to:'2017-11-18T07:40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4" s="203" t="str">
        <f>IF(AA24&lt;VLOOKUP(AG24,Variables!$AC$3:$AD$8,2,FALSE),"Y","N")</f>
        <v>N</v>
      </c>
      <c r="X24" s="203">
        <f t="shared" si="6"/>
        <v>1</v>
      </c>
      <c r="Y24" s="203">
        <f t="shared" si="7"/>
        <v>23.298500000000001</v>
      </c>
      <c r="Z24" s="203">
        <f t="shared" si="8"/>
        <v>1.6E-2</v>
      </c>
      <c r="AA24" s="203">
        <f t="shared" si="9"/>
        <v>23.282500000000002</v>
      </c>
      <c r="AB24" s="54" t="e">
        <f>VLOOKUP(A24,Enforcements!$C$7:$K$9,8,0)</f>
        <v>#N/A</v>
      </c>
      <c r="AC24" s="51" t="e">
        <f>VLOOKUP(A24,Enforcements!$C$7:$E$9,3,0)</f>
        <v>#N/A</v>
      </c>
      <c r="AD24" s="178">
        <f t="shared" si="10"/>
        <v>112</v>
      </c>
      <c r="AE24" s="77" t="str">
        <f t="shared" si="11"/>
        <v>aws s3 cp s3://rtdc.mdm.uploadarchive.raw/RTDC4007/ "%USERPROFILE%\AppData\Local\Temp\OnboardLogs"\RTDC4007\2017-11-18 --exclude "*" --recursive --include "*20171118*" &amp; "%USERPROFILE%\Documents\GitHub\mrs-test-scripts\Headless Mode &amp; Sideloading\WalkAndUnGZ.bat" "%USERPROFILE%\AppData\Local\Temp\OnboardLogs"\RTDC4007\2017-11-18 &amp; aws s3 cp s3://rtdc.mdm.uploadarchive.raw/RTDC4007/ "%USERPROFILE%\AppData\Local\Temp\OnboardLogs"\RTDC4007\2017-11-19 --exclude "*" --recursive --include "*20171119*" &amp; "%USERPROFILE%\Documents\GitHub\mrs-test-scripts\Headless Mode &amp; Sideloading\WalkAndUnGZ.bat" "%USERPROFILE%\AppData\Local\Temp\OnboardLogs"\RTDC4007\2017-11-19</v>
      </c>
      <c r="AF24" s="74" t="str">
        <f t="shared" si="12"/>
        <v>"C:\Program Files (x86)\AstroGrep\AstroGrep.exe" /e /r /s /spath="%USERPROFILE%\AppData\Local\Temp\OnboardLogs" /stypes="app*4007*20171118*" /stext=" 13:.+((SYSTEM_STATE.+slice.+state.+changed )|(ment ac)|(multiple cpu faults)|(system.+state.+changed )|(\[timeout)|(PRM\|1\|D)|(kpr)|(kdp)|(train st.+moving)|(\|lc)|(penalty))"</v>
      </c>
      <c r="AG24" s="181" t="str">
        <f t="shared" si="13"/>
        <v>EC</v>
      </c>
      <c r="AH24" s="78" t="str">
        <f t="shared" si="19"/>
        <v>"%USERPROFILE%\Documents\GitHub\eaglep3\Utilities\RefineRTDCRunTimes.py" --tripid 112-18 --locoid 4007 --swversion DE.1.0.9.0 --startMP 204:232985 --initTime 2017-11-18T05:54:17 --startdatetime 2017-11-18T05:57:42 --delay 59 --endMP 204:160 --enddatetime 2017-11-18T06:40:27 --enforcementcount 0 &gt;&gt;%USERPROFILE%\Documents\GitHub\eaglep3-reporting\EC\2017-11-18-refined-times.txt</v>
      </c>
      <c r="AI24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{"issue":{"subject":"","project_id":79,"tracker_id":40,"status_id":1,"priority_id":2,"assigned_to_id":338,"start_date":"2017-11-18","description":"","custom_fields":[{"id":1,"name":"Subdivision","value":"EC"},{"id":4,"name":"Milepost","value":"0.016"},{"id":17,"name":"Train ID","value":"112-18"},{"id":16,"name":"Locomotive ID","value":"4007"},{"id":130,"name":"Impact","value":""},{"id":150,"name":"Time of Event (Mountain Time)","value":"06:40:27"},{"id":151,"name":"Denver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1" t="str">
        <f t="shared" si="21"/>
        <v>start /low /b %USERPROFILE%\Documents\GitHub\eaglep3\Utilities\DownloadLogsFromS3.py --loco 4007 --day 2017-11-18</v>
      </c>
      <c r="AN24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13:40:27"},{"id":29,"name":"Sharepoint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7" t="str">
        <f t="shared" si="23"/>
        <v>https://d0f6bd738d7f1b3e5a7ca70fe4ff75f0.us-east-1.aws.found.io/app/kibana#/discover/Steve-Slow-Train-Analysis-(2080s-and-2083s)?_g=(refreshInterval:(display:Off,pause:!f,section:0,value:0),time:(from:'2017-11-18T04:54:17-0700',mode:absolute,to:'2017-11-18T07:40:27-0700'))&amp;_a=(columns:!('Message%20ID',Summary),filters:!(),index:'emp_*',interval:auto,query:(query_string:(analyze_wildcard:!t,query:'%22rtdc.l.rtdc.4007%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739</v>
      </c>
      <c r="B25" s="7">
        <v>4022</v>
      </c>
      <c r="C25" s="21" t="s">
        <v>192</v>
      </c>
      <c r="D25" s="21" t="s">
        <v>920</v>
      </c>
      <c r="E25" s="13">
        <v>43057.216400462959</v>
      </c>
      <c r="F25" s="13">
        <v>43057.219317129631</v>
      </c>
      <c r="G25" s="7">
        <v>161</v>
      </c>
      <c r="H25" s="21" t="s">
        <v>562</v>
      </c>
      <c r="I25" s="13">
        <v>43057.245000000003</v>
      </c>
      <c r="J25" s="7">
        <v>0</v>
      </c>
      <c r="K25" s="89" t="str">
        <f t="shared" si="0"/>
        <v>4021/4022</v>
      </c>
      <c r="L25" s="184" t="str">
        <f>VLOOKUP(A25,'Trips&amp;Operators'!$C$1:$G$99911,5,FALSE)</f>
        <v>MACDONALD THOMAS</v>
      </c>
      <c r="M25" s="6">
        <f t="shared" si="1"/>
        <v>2.5682870371383615E-2</v>
      </c>
      <c r="N25" s="7">
        <f t="shared" si="24"/>
        <v>36.983333334792405</v>
      </c>
      <c r="O25" s="7"/>
      <c r="P25" s="7"/>
      <c r="Q25" s="22"/>
      <c r="R25" s="173"/>
      <c r="S25" s="220">
        <f t="shared" si="3"/>
        <v>1</v>
      </c>
      <c r="T25" s="173" t="str">
        <f t="shared" si="4"/>
        <v>NorthBound</v>
      </c>
      <c r="U25" s="19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5" t="str">
        <f t="shared" si="5"/>
        <v>https://d0f6bd738d7f1b3e5a7ca70fe4ff75f0.us-east-1.aws.found.io/app/kibana#/discover/Steve-Slow-Train-Analysis-(2080s-and-2083s)?_g=(refreshInterval:(display:Off,pause:!f,section:0,value:0),time:(from:'2017-11-18T04:11:37-0700',mode:absolute,to:'2017-11-18T06:52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5" s="203" t="str">
        <f>IF(AA25&lt;VLOOKUP(AG25,Variables!$AC$3:$AD$8,2,FALSE),"Y","N")</f>
        <v>N</v>
      </c>
      <c r="X25" s="203">
        <f t="shared" si="6"/>
        <v>1</v>
      </c>
      <c r="Y25" s="203">
        <f t="shared" si="7"/>
        <v>5.7700000000000001E-2</v>
      </c>
      <c r="Z25" s="203">
        <f t="shared" si="8"/>
        <v>23.3184</v>
      </c>
      <c r="AA25" s="203">
        <f t="shared" si="9"/>
        <v>23.2607</v>
      </c>
      <c r="AB25" s="54" t="e">
        <f>VLOOKUP(A25,Enforcements!$C$7:$K$9,8,0)</f>
        <v>#N/A</v>
      </c>
      <c r="AC25" s="51" t="e">
        <f>VLOOKUP(A25,Enforcements!$C$7:$E$9,3,0)</f>
        <v>#N/A</v>
      </c>
      <c r="AD25" s="178">
        <f t="shared" si="10"/>
        <v>113</v>
      </c>
      <c r="AE25" s="77" t="str">
        <f t="shared" si="11"/>
        <v>aws s3 cp s3://rtdc.mdm.uploadarchive.raw/RTDC4022/ "%USERPROFILE%\AppData\Local\Temp\OnboardLogs"\RTDC4022\2017-11-18 --exclude "*" --recursive --include "*20171118*" &amp; "%USERPROFILE%\Documents\GitHub\mrs-test-scripts\Headless Mode &amp; Sideloading\WalkAndUnGZ.bat" "%USERPROFILE%\AppData\Local\Temp\OnboardLogs"\RTDC4022\2017-11-18 &amp; aws s3 cp s3://rtdc.mdm.uploadarchive.raw/RTDC4022/ "%USERPROFILE%\AppData\Local\Temp\OnboardLogs"\RTDC4022\2017-11-19 --exclude "*" --recursive --include "*20171119*" &amp; "%USERPROFILE%\Documents\GitHub\mrs-test-scripts\Headless Mode &amp; Sideloading\WalkAndUnGZ.bat" "%USERPROFILE%\AppData\Local\Temp\OnboardLogs"\RTDC4022\2017-11-19</v>
      </c>
      <c r="AF25" s="74" t="str">
        <f t="shared" si="12"/>
        <v>"C:\Program Files (x86)\AstroGrep\AstroGrep.exe" /e /r /s /spath="%USERPROFILE%\AppData\Local\Temp\OnboardLogs" /stypes="app*4022*20171118*" /stext=" 12:.+((SYSTEM_STATE.+slice.+state.+changed )|(ment ac)|(multiple cpu faults)|(system.+state.+changed )|(\[timeout)|(PRM\|1\|D)|(kpr)|(kdp)|(train st.+moving)|(\|lc)|(penalty))"</v>
      </c>
      <c r="AG25" s="181" t="str">
        <f t="shared" si="13"/>
        <v>EC</v>
      </c>
      <c r="AH25" s="78" t="str">
        <f t="shared" si="19"/>
        <v>"%USERPROFILE%\Documents\GitHub\eaglep3\Utilities\RefineRTDCRunTimes.py" --tripid 113-18 --locoid 4022 --swversion DE.1.0.9.0 --startMP 204:577 --initTime 2017-11-18T05:11:37 --startdatetime 2017-11-18T05:15:49 --delay 161 --endMP 204:233184 --enddatetime 2017-11-18T05:52:48 --enforcementcount 0 &gt;&gt;%USERPROFILE%\Documents\GitHub\eaglep3-reporting\EC\2017-11-18-refined-times.txt</v>
      </c>
      <c r="AI25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{"issue":{"subject":"","project_id":79,"tracker_id":40,"status_id":1,"priority_id":2,"assigned_to_id":338,"start_date":"2017-11-18","description":"","custom_fields":[{"id":1,"name":"Subdivision","value":"EC"},{"id":4,"name":"Milepost","value":"23.3184"},{"id":17,"name":"Train ID","value":"113-18"},{"id":16,"name":"Locomotive ID","value":"4022"},{"id":130,"name":"Impact","value":""},{"id":150,"name":"Time of Event (Mountain Time)","value":"05:52:48"},{"id":151,"name":"Denver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1" t="str">
        <f t="shared" si="21"/>
        <v>start /low /b %USERPROFILE%\Documents\GitHub\eaglep3\Utilities\DownloadLogsFromS3.py --loco 4022 --day 2017-11-18</v>
      </c>
      <c r="AN25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12:52:48"},{"id":29,"name":"Sharepoint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7" t="str">
        <f t="shared" si="23"/>
        <v>https://d0f6bd738d7f1b3e5a7ca70fe4ff75f0.us-east-1.aws.found.io/app/kibana#/discover/Steve-Slow-Train-Analysis-(2080s-and-2083s)?_g=(refreshInterval:(display:Off,pause:!f,section:0,value:0),time:(from:'2017-11-18T04:11:37-0700',mode:absolute,to:'2017-11-18T06:52:48-0700'))&amp;_a=(columns:!('Message%20ID',Summary),filters:!(),index:'emp_*',interval:auto,query:(query_string:(analyze_wildcard:!t,query:'%22rtdc.l.rtdc.4022%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751</v>
      </c>
      <c r="B26" s="7">
        <v>4021</v>
      </c>
      <c r="C26" s="21" t="s">
        <v>192</v>
      </c>
      <c r="D26" s="21" t="s">
        <v>921</v>
      </c>
      <c r="E26" s="13">
        <v>43057.255949074075</v>
      </c>
      <c r="F26" s="13">
        <v>43057.258877314816</v>
      </c>
      <c r="G26" s="7">
        <v>97</v>
      </c>
      <c r="H26" s="21" t="s">
        <v>651</v>
      </c>
      <c r="I26" s="13">
        <v>43057.289618055554</v>
      </c>
      <c r="J26" s="7">
        <v>0</v>
      </c>
      <c r="K26" s="89" t="str">
        <f t="shared" si="0"/>
        <v>4021/4022</v>
      </c>
      <c r="L26" s="184" t="str">
        <f>VLOOKUP(A26,'Trips&amp;Operators'!$C$1:$G$99911,5,FALSE)</f>
        <v>MACDONALD THOMAS</v>
      </c>
      <c r="M26" s="6">
        <f t="shared" si="1"/>
        <v>3.0740740738110617E-2</v>
      </c>
      <c r="N26" s="7">
        <f t="shared" si="24"/>
        <v>44.266666662879288</v>
      </c>
      <c r="O26" s="7"/>
      <c r="P26" s="7"/>
      <c r="Q26" s="22"/>
      <c r="R26" s="173"/>
      <c r="S26" s="220">
        <f t="shared" si="3"/>
        <v>1</v>
      </c>
      <c r="T26" s="173" t="str">
        <f t="shared" si="4"/>
        <v>Southbound</v>
      </c>
      <c r="U26" s="19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5" t="str">
        <f t="shared" si="5"/>
        <v>https://d0f6bd738d7f1b3e5a7ca70fe4ff75f0.us-east-1.aws.found.io/app/kibana#/discover/Steve-Slow-Train-Analysis-(2080s-and-2083s)?_g=(refreshInterval:(display:Off,pause:!f,section:0,value:0),time:(from:'2017-11-18T05:08:34-0700',mode:absolute,to:'2017-11-18T07:57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6" s="203" t="str">
        <f>IF(AA26&lt;VLOOKUP(AG26,Variables!$AC$3:$AD$8,2,FALSE),"Y","N")</f>
        <v>N</v>
      </c>
      <c r="X26" s="203">
        <f t="shared" si="6"/>
        <v>1</v>
      </c>
      <c r="Y26" s="203">
        <f t="shared" si="7"/>
        <v>23.2867</v>
      </c>
      <c r="Z26" s="203">
        <f t="shared" si="8"/>
        <v>1.7999999999999999E-2</v>
      </c>
      <c r="AA26" s="203">
        <f t="shared" si="9"/>
        <v>23.268699999999999</v>
      </c>
      <c r="AB26" s="54" t="e">
        <f>VLOOKUP(A26,Enforcements!$C$7:$K$9,8,0)</f>
        <v>#N/A</v>
      </c>
      <c r="AC26" s="51" t="e">
        <f>VLOOKUP(A26,Enforcements!$C$7:$E$9,3,0)</f>
        <v>#N/A</v>
      </c>
      <c r="AD26" s="178">
        <f t="shared" si="10"/>
        <v>114</v>
      </c>
      <c r="AE26" s="77" t="str">
        <f t="shared" si="11"/>
        <v>aws s3 cp s3://rtdc.mdm.uploadarchive.raw/RTDC4021/ "%USERPROFILE%\AppData\Local\Temp\OnboardLogs"\RTDC4021\2017-11-18 --exclude "*" --recursive --include "*20171118*" &amp; "%USERPROFILE%\Documents\GitHub\mrs-test-scripts\Headless Mode &amp; Sideloading\WalkAndUnGZ.bat" "%USERPROFILE%\AppData\Local\Temp\OnboardLogs"\RTDC4021\2017-11-18 &amp; aws s3 cp s3://rtdc.mdm.uploadarchive.raw/RTDC4021/ "%USERPROFILE%\AppData\Local\Temp\OnboardLogs"\RTDC4021\2017-11-19 --exclude "*" --recursive --include "*20171119*" &amp; "%USERPROFILE%\Documents\GitHub\mrs-test-scripts\Headless Mode &amp; Sideloading\WalkAndUnGZ.bat" "%USERPROFILE%\AppData\Local\Temp\OnboardLogs"\RTDC4021\2017-11-19</v>
      </c>
      <c r="AF26" s="74" t="str">
        <f t="shared" si="12"/>
        <v>"C:\Program Files (x86)\AstroGrep\AstroGrep.exe" /e /r /s /spath="%USERPROFILE%\AppData\Local\Temp\OnboardLogs" /stypes="app*4021*20171118*" /stext=" 13:.+((SYSTEM_STATE.+slice.+state.+changed )|(ment ac)|(multiple cpu faults)|(system.+state.+changed )|(\[timeout)|(PRM\|1\|D)|(kpr)|(kdp)|(train st.+moving)|(\|lc)|(penalty))"</v>
      </c>
      <c r="AG26" s="181" t="str">
        <f t="shared" si="13"/>
        <v>EC</v>
      </c>
      <c r="AH26" s="78" t="str">
        <f t="shared" si="19"/>
        <v>"%USERPROFILE%\Documents\GitHub\eaglep3\Utilities\RefineRTDCRunTimes.py" --tripid 114-18 --locoid 4021 --swversion DE.1.0.9.0 --startMP 204:232867 --initTime 2017-11-18T06:08:34 --startdatetime 2017-11-18T06:12:47 --delay 97 --endMP 204:180 --enddatetime 2017-11-18T06:57:03 --enforcementcount 0 &gt;&gt;%USERPROFILE%\Documents\GitHub\eaglep3-reporting\EC\2017-11-18-refined-times.txt</v>
      </c>
      <c r="AI26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{"issue":{"subject":"","project_id":79,"tracker_id":40,"status_id":1,"priority_id":2,"assigned_to_id":338,"start_date":"2017-11-18","description":"","custom_fields":[{"id":1,"name":"Subdivision","value":"EC"},{"id":4,"name":"Milepost","value":"0.018"},{"id":17,"name":"Train ID","value":"114-18"},{"id":16,"name":"Locomotive ID","value":"4021"},{"id":130,"name":"Impact","value":""},{"id":150,"name":"Time of Event (Mountain Time)","value":"06:57:03"},{"id":151,"name":"Denver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1" t="str">
        <f t="shared" si="21"/>
        <v>start /low /b %USERPROFILE%\Documents\GitHub\eaglep3\Utilities\DownloadLogsFromS3.py --loco 4021 --day 2017-11-18</v>
      </c>
      <c r="AN26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13:57:03"},{"id":29,"name":"Sharepoint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7" t="str">
        <f t="shared" si="23"/>
        <v>https://d0f6bd738d7f1b3e5a7ca70fe4ff75f0.us-east-1.aws.found.io/app/kibana#/discover/Steve-Slow-Train-Analysis-(2080s-and-2083s)?_g=(refreshInterval:(display:Off,pause:!f,section:0,value:0),time:(from:'2017-11-18T05:08:34-0700',mode:absolute,to:'2017-11-18T07:57:03-0700'))&amp;_a=(columns:!('Message%20ID',Summary),filters:!(),index:'emp_*',interval:auto,query:(query_string:(analyze_wildcard:!t,query:'%22rtdc.l.rtdc.4021%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743</v>
      </c>
      <c r="B27" s="7">
        <v>4004</v>
      </c>
      <c r="C27" s="21" t="s">
        <v>192</v>
      </c>
      <c r="D27" s="21" t="s">
        <v>922</v>
      </c>
      <c r="E27" s="13">
        <v>43057.226979166669</v>
      </c>
      <c r="F27" s="13">
        <v>43057.22960648148</v>
      </c>
      <c r="G27" s="7">
        <v>52</v>
      </c>
      <c r="H27" s="21" t="s">
        <v>918</v>
      </c>
      <c r="I27" s="13">
        <v>43057.254826388889</v>
      </c>
      <c r="J27" s="7">
        <v>0</v>
      </c>
      <c r="K27" s="89" t="str">
        <f t="shared" si="0"/>
        <v>4003/4004</v>
      </c>
      <c r="L27" s="184" t="str">
        <f>VLOOKUP(A27,'Trips&amp;Operators'!$C$1:$G$99911,5,FALSE)</f>
        <v>MAELZER KURT</v>
      </c>
      <c r="M27" s="6">
        <f t="shared" si="1"/>
        <v>2.5219907409336884E-2</v>
      </c>
      <c r="N27" s="7">
        <f t="shared" si="24"/>
        <v>36.316666669445112</v>
      </c>
      <c r="O27" s="7"/>
      <c r="P27" s="7"/>
      <c r="Q27" s="22"/>
      <c r="R27" s="173"/>
      <c r="S27" s="220">
        <f t="shared" si="3"/>
        <v>1</v>
      </c>
      <c r="T27" s="173" t="str">
        <f t="shared" si="4"/>
        <v>NorthBound</v>
      </c>
      <c r="U27" s="19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5" t="str">
        <f t="shared" si="5"/>
        <v>https://d0f6bd738d7f1b3e5a7ca70fe4ff75f0.us-east-1.aws.found.io/app/kibana#/discover/Steve-Slow-Train-Analysis-(2080s-and-2083s)?_g=(refreshInterval:(display:Off,pause:!f,section:0,value:0),time:(from:'2017-11-18T04:26:51-0700',mode:absolute,to:'2017-11-18T07:06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7" s="203" t="str">
        <f>IF(AA27&lt;VLOOKUP(AG27,Variables!$AC$3:$AD$8,2,FALSE),"Y","N")</f>
        <v>N</v>
      </c>
      <c r="X27" s="203">
        <f t="shared" si="6"/>
        <v>1</v>
      </c>
      <c r="Y27" s="203">
        <f t="shared" si="7"/>
        <v>4.8800000000000003E-2</v>
      </c>
      <c r="Z27" s="203">
        <f t="shared" si="8"/>
        <v>23.3306</v>
      </c>
      <c r="AA27" s="203">
        <f t="shared" si="9"/>
        <v>23.2818</v>
      </c>
      <c r="AB27" s="54" t="e">
        <f>VLOOKUP(A27,Enforcements!$C$7:$K$9,8,0)</f>
        <v>#N/A</v>
      </c>
      <c r="AC27" s="51" t="e">
        <f>VLOOKUP(A27,Enforcements!$C$7:$E$9,3,0)</f>
        <v>#N/A</v>
      </c>
      <c r="AD27" s="178">
        <f t="shared" si="10"/>
        <v>115</v>
      </c>
      <c r="AE27" s="77" t="str">
        <f t="shared" si="11"/>
        <v>aws s3 cp s3://rtdc.mdm.uploadarchive.raw/RTDC4004/ "%USERPROFILE%\AppData\Local\Temp\OnboardLogs"\RTDC4004\2017-11-18 --exclude "*" --recursive --include "*20171118*" &amp; "%USERPROFILE%\Documents\GitHub\mrs-test-scripts\Headless Mode &amp; Sideloading\WalkAndUnGZ.bat" "%USERPROFILE%\AppData\Local\Temp\OnboardLogs"\RTDC4004\2017-11-18 &amp; aws s3 cp s3://rtdc.mdm.uploadarchive.raw/RTDC4004/ "%USERPROFILE%\AppData\Local\Temp\OnboardLogs"\RTDC4004\2017-11-19 --exclude "*" --recursive --include "*20171119*" &amp; "%USERPROFILE%\Documents\GitHub\mrs-test-scripts\Headless Mode &amp; Sideloading\WalkAndUnGZ.bat" "%USERPROFILE%\AppData\Local\Temp\OnboardLogs"\RTDC4004\2017-11-19</v>
      </c>
      <c r="AF27" s="74" t="str">
        <f t="shared" si="12"/>
        <v>"C:\Program Files (x86)\AstroGrep\AstroGrep.exe" /e /r /s /spath="%USERPROFILE%\AppData\Local\Temp\OnboardLogs" /stypes="app*4004*20171118*" /stext=" 13:.+((SYSTEM_STATE.+slice.+state.+changed )|(ment ac)|(multiple cpu faults)|(system.+state.+changed )|(\[timeout)|(PRM\|1\|D)|(kpr)|(kdp)|(train st.+moving)|(\|lc)|(penalty))"</v>
      </c>
      <c r="AG27" s="181" t="str">
        <f t="shared" si="13"/>
        <v>EC</v>
      </c>
      <c r="AH27" s="78" t="str">
        <f t="shared" si="19"/>
        <v>"%USERPROFILE%\Documents\GitHub\eaglep3\Utilities\RefineRTDCRunTimes.py" --tripid 115-18 --locoid 4004 --swversion DE.1.0.9.0 --startMP 204:488 --initTime 2017-11-18T05:26:51 --startdatetime 2017-11-18T05:30:38 --delay 52 --endMP 204:233306 --enddatetime 2017-11-18T06:06:57 --enforcementcount 0 &gt;&gt;%USERPROFILE%\Documents\GitHub\eaglep3-reporting\EC\2017-11-18-refined-times.txt</v>
      </c>
      <c r="AI27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{"issue":{"subject":"","project_id":79,"tracker_id":40,"status_id":1,"priority_id":2,"assigned_to_id":338,"start_date":"2017-11-18","description":"","custom_fields":[{"id":1,"name":"Subdivision","value":"EC"},{"id":4,"name":"Milepost","value":"23.3306"},{"id":17,"name":"Train ID","value":"115-18"},{"id":16,"name":"Locomotive ID","value":"4004"},{"id":130,"name":"Impact","value":""},{"id":150,"name":"Time of Event (Mountain Time)","value":"06:06:57"},{"id":151,"name":"Denver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1" t="str">
        <f t="shared" si="21"/>
        <v>start /low /b %USERPROFILE%\Documents\GitHub\eaglep3\Utilities\DownloadLogsFromS3.py --loco 4004 --day 2017-11-18</v>
      </c>
      <c r="AN27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13:06:57"},{"id":29,"name":"Sharepoint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7" t="str">
        <f t="shared" si="23"/>
        <v>https://d0f6bd738d7f1b3e5a7ca70fe4ff75f0.us-east-1.aws.found.io/app/kibana#/discover/Steve-Slow-Train-Analysis-(2080s-and-2083s)?_g=(refreshInterval:(display:Off,pause:!f,section:0,value:0),time:(from:'2017-11-18T04:26:51-0700',mode:absolute,to:'2017-11-18T07:06:57-0700'))&amp;_a=(columns:!('Message%20ID',Summary),filters:!(),index:'emp_*',interval:auto,query:(query_string:(analyze_wildcard:!t,query:'%22rtdc.l.rtdc.4004%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752</v>
      </c>
      <c r="B28" s="7">
        <v>4003</v>
      </c>
      <c r="C28" s="21" t="s">
        <v>192</v>
      </c>
      <c r="D28" s="21" t="s">
        <v>923</v>
      </c>
      <c r="E28" s="13">
        <v>43057.263067129628</v>
      </c>
      <c r="F28" s="13">
        <v>43057.268935185188</v>
      </c>
      <c r="G28" s="7">
        <v>52</v>
      </c>
      <c r="H28" s="21" t="s">
        <v>498</v>
      </c>
      <c r="I28" s="13">
        <v>43057.295648148145</v>
      </c>
      <c r="J28" s="7">
        <v>0</v>
      </c>
      <c r="K28" s="89" t="str">
        <f t="shared" si="0"/>
        <v>4003/4004</v>
      </c>
      <c r="L28" s="184" t="str">
        <f>VLOOKUP(A28,'Trips&amp;Operators'!$C$1:$G$99911,5,FALSE)</f>
        <v>MAELZER KURT</v>
      </c>
      <c r="M28" s="6">
        <f t="shared" si="1"/>
        <v>2.6712962957390118E-2</v>
      </c>
      <c r="N28" s="7">
        <f t="shared" si="24"/>
        <v>38.46666665864177</v>
      </c>
      <c r="O28" s="7"/>
      <c r="P28" s="7"/>
      <c r="Q28" s="22"/>
      <c r="R28" s="173"/>
      <c r="S28" s="220">
        <f t="shared" si="3"/>
        <v>1</v>
      </c>
      <c r="T28" s="173" t="str">
        <f t="shared" si="4"/>
        <v>Southbound</v>
      </c>
      <c r="U28" s="19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5" t="str">
        <f t="shared" si="5"/>
        <v>https://d0f6bd738d7f1b3e5a7ca70fe4ff75f0.us-east-1.aws.found.io/app/kibana#/discover/Steve-Slow-Train-Analysis-(2080s-and-2083s)?_g=(refreshInterval:(display:Off,pause:!f,section:0,value:0),time:(from:'2017-11-18T05:18:49-0700',mode:absolute,to:'2017-11-18T08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8" s="203" t="str">
        <f>IF(AA28&lt;VLOOKUP(AG28,Variables!$AC$3:$AD$8,2,FALSE),"Y","N")</f>
        <v>N</v>
      </c>
      <c r="X28" s="203">
        <f t="shared" si="6"/>
        <v>1</v>
      </c>
      <c r="Y28" s="203">
        <f t="shared" si="7"/>
        <v>23.298300000000001</v>
      </c>
      <c r="Z28" s="203">
        <f t="shared" si="8"/>
        <v>1.9099999999999999E-2</v>
      </c>
      <c r="AA28" s="203">
        <f t="shared" si="9"/>
        <v>23.279199999999999</v>
      </c>
      <c r="AB28" s="54" t="e">
        <f>VLOOKUP(A28,Enforcements!$C$7:$K$9,8,0)</f>
        <v>#N/A</v>
      </c>
      <c r="AC28" s="51" t="e">
        <f>VLOOKUP(A28,Enforcements!$C$7:$E$9,3,0)</f>
        <v>#N/A</v>
      </c>
      <c r="AD28" s="178">
        <f t="shared" si="10"/>
        <v>116</v>
      </c>
      <c r="AE28" s="77" t="str">
        <f t="shared" si="11"/>
        <v>aws s3 cp s3://rtdc.mdm.uploadarchive.raw/RTDC4003/ "%USERPROFILE%\AppData\Local\Temp\OnboardLogs"\RTDC4003\2017-11-18 --exclude "*" --recursive --include "*20171118*" &amp; "%USERPROFILE%\Documents\GitHub\mrs-test-scripts\Headless Mode &amp; Sideloading\WalkAndUnGZ.bat" "%USERPROFILE%\AppData\Local\Temp\OnboardLogs"\RTDC4003\2017-11-18 &amp; aws s3 cp s3://rtdc.mdm.uploadarchive.raw/RTDC4003/ "%USERPROFILE%\AppData\Local\Temp\OnboardLogs"\RTDC4003\2017-11-19 --exclude "*" --recursive --include "*20171119*" &amp; "%USERPROFILE%\Documents\GitHub\mrs-test-scripts\Headless Mode &amp; Sideloading\WalkAndUnGZ.bat" "%USERPROFILE%\AppData\Local\Temp\OnboardLogs"\RTDC4003\2017-11-19</v>
      </c>
      <c r="AF28" s="74" t="str">
        <f t="shared" si="12"/>
        <v>"C:\Program Files (x86)\AstroGrep\AstroGrep.exe" /e /r /s /spath="%USERPROFILE%\AppData\Local\Temp\OnboardLogs" /stypes="app*4003*20171118*" /stext=" 14:.+((SYSTEM_STATE.+slice.+state.+changed )|(ment ac)|(multiple cpu faults)|(system.+state.+changed )|(\[timeout)|(PRM\|1\|D)|(kpr)|(kdp)|(train st.+moving)|(\|lc)|(penalty))"</v>
      </c>
      <c r="AG28" s="181" t="str">
        <f t="shared" si="13"/>
        <v>EC</v>
      </c>
      <c r="AH28" s="78" t="str">
        <f t="shared" si="19"/>
        <v>"%USERPROFILE%\Documents\GitHub\eaglep3\Utilities\RefineRTDCRunTimes.py" --tripid 116-18 --locoid 4003 --swversion DE.1.0.9.0 --startMP 204:232983 --initTime 2017-11-18T06:18:49 --startdatetime 2017-11-18T06:27:16 --delay 52 --endMP 204:191 --enddatetime 2017-11-18T07:05:44 --enforcementcount 0 &gt;&gt;%USERPROFILE%\Documents\GitHub\eaglep3-reporting\EC\2017-11-18-refined-times.txt</v>
      </c>
      <c r="AI28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{"issue":{"subject":"","project_id":79,"tracker_id":40,"status_id":1,"priority_id":2,"assigned_to_id":338,"start_date":"2017-11-18","description":"","custom_fields":[{"id":1,"name":"Subdivision","value":"EC"},{"id":4,"name":"Milepost","value":"0.0191"},{"id":17,"name":"Train ID","value":"116-18"},{"id":16,"name":"Locomotive ID","value":"4003"},{"id":130,"name":"Impact","value":""},{"id":150,"name":"Time of Event (Mountain Time)","value":"07:05:44"},{"id":151,"name":"Denver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1" t="str">
        <f t="shared" si="21"/>
        <v>start /low /b %USERPROFILE%\Documents\GitHub\eaglep3\Utilities\DownloadLogsFromS3.py --loco 4003 --day 2017-11-18</v>
      </c>
      <c r="AN28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14:05:44"},{"id":29,"name":"Sharepoint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7" t="str">
        <f t="shared" si="23"/>
        <v>https://d0f6bd738d7f1b3e5a7ca70fe4ff75f0.us-east-1.aws.found.io/app/kibana#/discover/Steve-Slow-Train-Analysis-(2080s-and-2083s)?_g=(refreshInterval:(display:Off,pause:!f,section:0,value:0),time:(from:'2017-11-18T05:18:49-0700',mode:absolute,to:'2017-11-18T08:05:44-0700'))&amp;_a=(columns:!('Message%20ID',Summary),filters:!(),index:'emp_*',interval:auto,query:(query_string:(analyze_wildcard:!t,query:'%22rtdc.l.rtdc.4003%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746</v>
      </c>
      <c r="B29" s="7">
        <v>4006</v>
      </c>
      <c r="C29" s="21" t="s">
        <v>192</v>
      </c>
      <c r="D29" s="21" t="s">
        <v>509</v>
      </c>
      <c r="E29" s="13">
        <v>43057.235046296293</v>
      </c>
      <c r="F29" s="13">
        <v>43057.239768518521</v>
      </c>
      <c r="G29" s="7">
        <v>127</v>
      </c>
      <c r="H29" s="21" t="s">
        <v>643</v>
      </c>
      <c r="I29" s="13">
        <v>43057.269143518519</v>
      </c>
      <c r="J29" s="7">
        <v>0</v>
      </c>
      <c r="K29" s="89" t="str">
        <f t="shared" si="0"/>
        <v>4005/4006</v>
      </c>
      <c r="L29" s="184" t="str">
        <f>VLOOKUP(A29,'Trips&amp;Operators'!$C$1:$G$99911,5,FALSE)</f>
        <v>WILLIAMS DONTE</v>
      </c>
      <c r="M29" s="6">
        <f t="shared" si="1"/>
        <v>2.937499999825377E-2</v>
      </c>
      <c r="N29" s="7">
        <f t="shared" si="24"/>
        <v>42.299999997485429</v>
      </c>
      <c r="O29" s="7"/>
      <c r="P29" s="7"/>
      <c r="Q29" s="22"/>
      <c r="R29" s="173"/>
      <c r="S29" s="220">
        <f t="shared" si="3"/>
        <v>1</v>
      </c>
      <c r="T29" s="173" t="str">
        <f t="shared" si="4"/>
        <v>NorthBound</v>
      </c>
      <c r="U29" s="19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5" t="str">
        <f t="shared" si="5"/>
        <v>https://d0f6bd738d7f1b3e5a7ca70fe4ff75f0.us-east-1.aws.found.io/app/kibana#/discover/Steve-Slow-Train-Analysis-(2080s-and-2083s)?_g=(refreshInterval:(display:Off,pause:!f,section:0,value:0),time:(from:'2017-11-18T04:38:28-0700',mode:absolute,to:'2017-11-18T07:27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9" s="203" t="str">
        <f>IF(AA29&lt;VLOOKUP(AG29,Variables!$AC$3:$AD$8,2,FALSE),"Y","N")</f>
        <v>N</v>
      </c>
      <c r="X29" s="203">
        <f t="shared" si="6"/>
        <v>1</v>
      </c>
      <c r="Y29" s="203">
        <f t="shared" si="7"/>
        <v>4.9299999999999997E-2</v>
      </c>
      <c r="Z29" s="203">
        <f t="shared" si="8"/>
        <v>23.319900000000001</v>
      </c>
      <c r="AA29" s="203">
        <f t="shared" si="9"/>
        <v>23.270600000000002</v>
      </c>
      <c r="AB29" s="54" t="e">
        <f>VLOOKUP(A29,Enforcements!$C$7:$K$9,8,0)</f>
        <v>#N/A</v>
      </c>
      <c r="AC29" s="51" t="e">
        <f>VLOOKUP(A29,Enforcements!$C$7:$E$9,3,0)</f>
        <v>#N/A</v>
      </c>
      <c r="AD29" s="178">
        <f t="shared" si="10"/>
        <v>117</v>
      </c>
      <c r="AE29" s="77" t="str">
        <f t="shared" si="11"/>
        <v>aws s3 cp s3://rtdc.mdm.uploadarchive.raw/RTDC4006/ "%USERPROFILE%\AppData\Local\Temp\OnboardLogs"\RTDC4006\2017-11-18 --exclude "*" --recursive --include "*20171118*" &amp; "%USERPROFILE%\Documents\GitHub\mrs-test-scripts\Headless Mode &amp; Sideloading\WalkAndUnGZ.bat" "%USERPROFILE%\AppData\Local\Temp\OnboardLogs"\RTDC4006\2017-11-18 &amp; aws s3 cp s3://rtdc.mdm.uploadarchive.raw/RTDC4006/ "%USERPROFILE%\AppData\Local\Temp\OnboardLogs"\RTDC4006\2017-11-19 --exclude "*" --recursive --include "*20171119*" &amp; "%USERPROFILE%\Documents\GitHub\mrs-test-scripts\Headless Mode &amp; Sideloading\WalkAndUnGZ.bat" "%USERPROFILE%\AppData\Local\Temp\OnboardLogs"\RTDC4006\2017-11-19</v>
      </c>
      <c r="AF29" s="74" t="str">
        <f t="shared" si="12"/>
        <v>"C:\Program Files (x86)\AstroGrep\AstroGrep.exe" /e /r /s /spath="%USERPROFILE%\AppData\Local\Temp\OnboardLogs" /stypes="app*4006*20171118*" /stext=" 13:.+((SYSTEM_STATE.+slice.+state.+changed )|(ment ac)|(multiple cpu faults)|(system.+state.+changed )|(\[timeout)|(PRM\|1\|D)|(kpr)|(kdp)|(train st.+moving)|(\|lc)|(penalty))"</v>
      </c>
      <c r="AG29" s="181" t="str">
        <f t="shared" si="13"/>
        <v>EC</v>
      </c>
      <c r="AH29" s="78" t="str">
        <f t="shared" si="19"/>
        <v>"%USERPROFILE%\Documents\GitHub\eaglep3\Utilities\RefineRTDCRunTimes.py" --tripid 117-18 --locoid 4006 --swversion DE.1.0.9.0 --startMP 204:493 --initTime 2017-11-18T05:38:28 --startdatetime 2017-11-18T05:45:16 --delay 127 --endMP 204:233199 --enddatetime 2017-11-18T06:27:34 --enforcementcount 0 &gt;&gt;%USERPROFILE%\Documents\GitHub\eaglep3-reporting\EC\2017-11-18-refined-times.txt</v>
      </c>
      <c r="AI29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{"issue":{"subject":"","project_id":79,"tracker_id":40,"status_id":1,"priority_id":2,"assigned_to_id":338,"start_date":"2017-11-18","description":"","custom_fields":[{"id":1,"name":"Subdivision","value":"EC"},{"id":4,"name":"Milepost","value":"23.3199"},{"id":17,"name":"Train ID","value":"117-18"},{"id":16,"name":"Locomotive ID","value":"4006"},{"id":130,"name":"Impact","value":""},{"id":150,"name":"Time of Event (Mountain Time)","value":"06:27:34"},{"id":151,"name":"Denver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1" t="str">
        <f t="shared" si="21"/>
        <v>start /low /b %USERPROFILE%\Documents\GitHub\eaglep3\Utilities\DownloadLogsFromS3.py --loco 4006 --day 2017-11-18</v>
      </c>
      <c r="AN29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13:27:34"},{"id":29,"name":"Sharepoint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7" t="str">
        <f t="shared" si="23"/>
        <v>https://d0f6bd738d7f1b3e5a7ca70fe4ff75f0.us-east-1.aws.found.io/app/kibana#/discover/Steve-Slow-Train-Analysis-(2080s-and-2083s)?_g=(refreshInterval:(display:Off,pause:!f,section:0,value:0),time:(from:'2017-11-18T04:38:28-0700',mode:absolute,to:'2017-11-18T07:27:34-0700'))&amp;_a=(columns:!('Message%20ID',Summary),filters:!(),index:'emp_*',interval:auto,query:(query_string:(analyze_wildcard:!t,query:'%22rtdc.l.rtdc.4006%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672</v>
      </c>
      <c r="B30" s="7">
        <v>4005</v>
      </c>
      <c r="C30" s="21" t="s">
        <v>192</v>
      </c>
      <c r="D30" s="21" t="s">
        <v>557</v>
      </c>
      <c r="E30" s="13">
        <v>43057.274270833332</v>
      </c>
      <c r="F30" s="13">
        <v>43057.279351851852</v>
      </c>
      <c r="G30" s="7">
        <v>112</v>
      </c>
      <c r="H30" s="21" t="s">
        <v>620</v>
      </c>
      <c r="I30" s="13">
        <v>43057.307245370372</v>
      </c>
      <c r="J30" s="7">
        <v>0</v>
      </c>
      <c r="K30" s="89" t="str">
        <f t="shared" si="0"/>
        <v>4005/4006</v>
      </c>
      <c r="L30" s="184" t="str">
        <f>VLOOKUP(A30,'Trips&amp;Operators'!$C$1:$G$99911,5,FALSE)</f>
        <v>WILLIAMS DONTE</v>
      </c>
      <c r="M30" s="6">
        <f t="shared" si="1"/>
        <v>2.789351851970423E-2</v>
      </c>
      <c r="N30" s="7">
        <f t="shared" si="24"/>
        <v>40.166666668374091</v>
      </c>
      <c r="O30" s="7"/>
      <c r="P30" s="7"/>
      <c r="Q30" s="22"/>
      <c r="R30" s="173"/>
      <c r="S30" s="220">
        <f t="shared" si="3"/>
        <v>1</v>
      </c>
      <c r="T30" s="173" t="str">
        <f t="shared" si="4"/>
        <v>Southbound</v>
      </c>
      <c r="U30" s="19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5" t="str">
        <f t="shared" si="5"/>
        <v>https://d0f6bd738d7f1b3e5a7ca70fe4ff75f0.us-east-1.aws.found.io/app/kibana#/discover/Steve-Slow-Train-Analysis-(2080s-and-2083s)?_g=(refreshInterval:(display:Off,pause:!f,section:0,value:0),time:(from:'2017-11-18T05:34:57-0700',mode:absolute,to:'2017-11-18T08:22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0" s="203" t="str">
        <f>IF(AA30&lt;VLOOKUP(AG30,Variables!$AC$3:$AD$8,2,FALSE),"Y","N")</f>
        <v>N</v>
      </c>
      <c r="X30" s="203">
        <f t="shared" si="6"/>
        <v>1</v>
      </c>
      <c r="Y30" s="203">
        <f t="shared" si="7"/>
        <v>23.288799999999998</v>
      </c>
      <c r="Z30" s="203">
        <f t="shared" si="8"/>
        <v>2.0500000000000001E-2</v>
      </c>
      <c r="AA30" s="203">
        <f t="shared" si="9"/>
        <v>23.2683</v>
      </c>
      <c r="AB30" s="54" t="e">
        <f>VLOOKUP(A30,Enforcements!$C$7:$K$9,8,0)</f>
        <v>#N/A</v>
      </c>
      <c r="AC30" s="51" t="e">
        <f>VLOOKUP(A30,Enforcements!$C$7:$E$9,3,0)</f>
        <v>#N/A</v>
      </c>
      <c r="AD30" s="178">
        <f t="shared" si="10"/>
        <v>118</v>
      </c>
      <c r="AE30" s="77" t="str">
        <f t="shared" si="11"/>
        <v>aws s3 cp s3://rtdc.mdm.uploadarchive.raw/RTDC4005/ "%USERPROFILE%\AppData\Local\Temp\OnboardLogs"\RTDC4005\2017-11-18 --exclude "*" --recursive --include "*20171118*" &amp; "%USERPROFILE%\Documents\GitHub\mrs-test-scripts\Headless Mode &amp; Sideloading\WalkAndUnGZ.bat" "%USERPROFILE%\AppData\Local\Temp\OnboardLogs"\RTDC4005\2017-11-18 &amp; aws s3 cp s3://rtdc.mdm.uploadarchive.raw/RTDC4005/ "%USERPROFILE%\AppData\Local\Temp\OnboardLogs"\RTDC4005\2017-11-19 --exclude "*" --recursive --include "*20171119*" &amp; "%USERPROFILE%\Documents\GitHub\mrs-test-scripts\Headless Mode &amp; Sideloading\WalkAndUnGZ.bat" "%USERPROFILE%\AppData\Local\Temp\OnboardLogs"\RTDC4005\2017-11-19</v>
      </c>
      <c r="AF30" s="74" t="str">
        <f t="shared" si="12"/>
        <v>"C:\Program Files (x86)\AstroGrep\AstroGrep.exe" /e /r /s /spath="%USERPROFILE%\AppData\Local\Temp\OnboardLogs" /stypes="app*4005*20171118*" /stext=" 14:.+((SYSTEM_STATE.+slice.+state.+changed )|(ment ac)|(multiple cpu faults)|(system.+state.+changed )|(\[timeout)|(PRM\|1\|D)|(kpr)|(kdp)|(train st.+moving)|(\|lc)|(penalty))"</v>
      </c>
      <c r="AG30" s="181" t="str">
        <f t="shared" si="13"/>
        <v>EC</v>
      </c>
      <c r="AH30" s="78" t="str">
        <f t="shared" si="19"/>
        <v>"%USERPROFILE%\Documents\GitHub\eaglep3\Utilities\RefineRTDCRunTimes.py" --tripid 118-18 --locoid 4005 --swversion DE.1.0.9.0 --startMP 204:232888 --initTime 2017-11-18T06:34:57 --startdatetime 2017-11-18T06:42:16 --delay 112 --endMP 204:205 --enddatetime 2017-11-18T07:22:26 --enforcementcount 0 &gt;&gt;%USERPROFILE%\Documents\GitHub\eaglep3-reporting\EC\2017-11-18-refined-times.txt</v>
      </c>
      <c r="AI30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{"issue":{"subject":"","project_id":79,"tracker_id":40,"status_id":1,"priority_id":2,"assigned_to_id":338,"start_date":"2017-11-18","description":"","custom_fields":[{"id":1,"name":"Subdivision","value":"EC"},{"id":4,"name":"Milepost","value":"0.0205"},{"id":17,"name":"Train ID","value":"118-18"},{"id":16,"name":"Locomotive ID","value":"4005"},{"id":130,"name":"Impact","value":""},{"id":150,"name":"Time of Event (Mountain Time)","value":"07:22:26"},{"id":151,"name":"Denver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1" t="str">
        <f t="shared" si="21"/>
        <v>start /low /b %USERPROFILE%\Documents\GitHub\eaglep3\Utilities\DownloadLogsFromS3.py --loco 4005 --day 2017-11-18</v>
      </c>
      <c r="AN30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14:22:26"},{"id":29,"name":"Sharepoint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7" t="str">
        <f t="shared" si="23"/>
        <v>https://d0f6bd738d7f1b3e5a7ca70fe4ff75f0.us-east-1.aws.found.io/app/kibana#/discover/Steve-Slow-Train-Analysis-(2080s-and-2083s)?_g=(refreshInterval:(display:Off,pause:!f,section:0,value:0),time:(from:'2017-11-18T05:34:57-0700',mode:absolute,to:'2017-11-18T08:22:26-0700'))&amp;_a=(columns:!('Message%20ID',Summary),filters:!(),index:'emp_*',interval:auto,query:(query_string:(analyze_wildcard:!t,query:'%22rtdc.l.rtdc.4005%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748</v>
      </c>
      <c r="B31" s="7">
        <v>4018</v>
      </c>
      <c r="C31" s="21" t="s">
        <v>192</v>
      </c>
      <c r="D31" s="21" t="s">
        <v>526</v>
      </c>
      <c r="E31" s="13">
        <v>43057.24622685185</v>
      </c>
      <c r="F31" s="13">
        <v>43057.250173611108</v>
      </c>
      <c r="G31" s="7">
        <v>93</v>
      </c>
      <c r="H31" s="21" t="s">
        <v>924</v>
      </c>
      <c r="I31" s="13">
        <v>43057.277442129627</v>
      </c>
      <c r="J31" s="7">
        <v>0</v>
      </c>
      <c r="K31" s="89" t="str">
        <f t="shared" si="0"/>
        <v>4017/4018</v>
      </c>
      <c r="L31" s="184" t="str">
        <f>VLOOKUP(A31,'Trips&amp;Operators'!$C$1:$G$99911,5,FALSE)</f>
        <v>DE LA ROSA ALEX</v>
      </c>
      <c r="M31" s="6">
        <f t="shared" si="1"/>
        <v>2.7268518519122154E-2</v>
      </c>
      <c r="N31" s="7">
        <f t="shared" si="24"/>
        <v>39.266666667535901</v>
      </c>
      <c r="O31" s="7"/>
      <c r="P31" s="7"/>
      <c r="Q31" s="22"/>
      <c r="R31" s="173"/>
      <c r="S31" s="220">
        <f t="shared" si="3"/>
        <v>1</v>
      </c>
      <c r="T31" s="173" t="str">
        <f t="shared" si="4"/>
        <v>NorthBound</v>
      </c>
      <c r="U31" s="19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5" t="str">
        <f t="shared" si="5"/>
        <v>https://d0f6bd738d7f1b3e5a7ca70fe4ff75f0.us-east-1.aws.found.io/app/kibana#/discover/Steve-Slow-Train-Analysis-(2080s-and-2083s)?_g=(refreshInterval:(display:Off,pause:!f,section:0,value:0),time:(from:'2017-11-18T04:54:34-0700',mode:absolute,to:'2017-11-18T07:39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1" s="203" t="str">
        <f>IF(AA31&lt;VLOOKUP(AG31,Variables!$AC$3:$AD$8,2,FALSE),"Y","N")</f>
        <v>N</v>
      </c>
      <c r="X31" s="203">
        <f t="shared" si="6"/>
        <v>1</v>
      </c>
      <c r="Y31" s="203">
        <f t="shared" si="7"/>
        <v>5.1499999999999997E-2</v>
      </c>
      <c r="Z31" s="203">
        <f t="shared" si="8"/>
        <v>23.322700000000001</v>
      </c>
      <c r="AA31" s="203">
        <f t="shared" si="9"/>
        <v>23.2712</v>
      </c>
      <c r="AB31" s="54" t="e">
        <f>VLOOKUP(A31,Enforcements!$C$7:$K$9,8,0)</f>
        <v>#N/A</v>
      </c>
      <c r="AC31" s="51" t="e">
        <f>VLOOKUP(A31,Enforcements!$C$7:$E$9,3,0)</f>
        <v>#N/A</v>
      </c>
      <c r="AD31" s="178">
        <f t="shared" si="10"/>
        <v>119</v>
      </c>
      <c r="AE31" s="77" t="str">
        <f t="shared" si="11"/>
        <v>aws s3 cp s3://rtdc.mdm.uploadarchive.raw/RTDC4018/ "%USERPROFILE%\AppData\Local\Temp\OnboardLogs"\RTDC4018\2017-11-18 --exclude "*" --recursive --include "*20171118*" &amp; "%USERPROFILE%\Documents\GitHub\mrs-test-scripts\Headless Mode &amp; Sideloading\WalkAndUnGZ.bat" "%USERPROFILE%\AppData\Local\Temp\OnboardLogs"\RTDC4018\2017-11-18 &amp; aws s3 cp s3://rtdc.mdm.uploadarchive.raw/RTDC4018/ "%USERPROFILE%\AppData\Local\Temp\OnboardLogs"\RTDC4018\2017-11-19 --exclude "*" --recursive --include "*20171119*" &amp; "%USERPROFILE%\Documents\GitHub\mrs-test-scripts\Headless Mode &amp; Sideloading\WalkAndUnGZ.bat" "%USERPROFILE%\AppData\Local\Temp\OnboardLogs"\RTDC4018\2017-11-19</v>
      </c>
      <c r="AF31" s="74" t="str">
        <f t="shared" si="12"/>
        <v>"C:\Program Files (x86)\AstroGrep\AstroGrep.exe" /e /r /s /spath="%USERPROFILE%\AppData\Local\Temp\OnboardLogs" /stypes="app*4018*20171118*" /stext=" 13:.+((SYSTEM_STATE.+slice.+state.+changed )|(ment ac)|(multiple cpu faults)|(system.+state.+changed )|(\[timeout)|(PRM\|1\|D)|(kpr)|(kdp)|(train st.+moving)|(\|lc)|(penalty))"</v>
      </c>
      <c r="AG31" s="181" t="str">
        <f t="shared" si="13"/>
        <v>EC</v>
      </c>
      <c r="AH31" s="78" t="str">
        <f t="shared" si="19"/>
        <v>"%USERPROFILE%\Documents\GitHub\eaglep3\Utilities\RefineRTDCRunTimes.py" --tripid 119-18 --locoid 4018 --swversion DE.1.0.9.0 --startMP 204:515 --initTime 2017-11-18T05:54:34 --startdatetime 2017-11-18T06:00:15 --delay 93 --endMP 204:233227 --enddatetime 2017-11-18T06:39:31 --enforcementcount 0 &gt;&gt;%USERPROFILE%\Documents\GitHub\eaglep3-reporting\EC\2017-11-18-refined-times.txt</v>
      </c>
      <c r="AI31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{"issue":{"subject":"","project_id":79,"tracker_id":40,"status_id":1,"priority_id":2,"assigned_to_id":338,"start_date":"2017-11-18","description":"","custom_fields":[{"id":1,"name":"Subdivision","value":"EC"},{"id":4,"name":"Milepost","value":"23.3227"},{"id":17,"name":"Train ID","value":"119-18"},{"id":16,"name":"Locomotive ID","value":"4018"},{"id":130,"name":"Impact","value":""},{"id":150,"name":"Time of Event (Mountain Time)","value":"06:39:31"},{"id":151,"name":"Denver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1" t="str">
        <f t="shared" si="21"/>
        <v>start /low /b %USERPROFILE%\Documents\GitHub\eaglep3\Utilities\DownloadLogsFromS3.py --loco 4018 --day 2017-11-18</v>
      </c>
      <c r="AN31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13:39:31"},{"id":29,"name":"Sharepoint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7" t="str">
        <f t="shared" si="23"/>
        <v>https://d0f6bd738d7f1b3e5a7ca70fe4ff75f0.us-east-1.aws.found.io/app/kibana#/discover/Steve-Slow-Train-Analysis-(2080s-and-2083s)?_g=(refreshInterval:(display:Off,pause:!f,section:0,value:0),time:(from:'2017-11-18T04:54:34-0700',mode:absolute,to:'2017-11-18T07:39:31-0700'))&amp;_a=(columns:!('Message%20ID',Summary),filters:!(),index:'emp_*',interval:auto,query:(query_string:(analyze_wildcard:!t,query:'%22rtdc.l.rtdc.4018%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756</v>
      </c>
      <c r="B32" s="7">
        <v>4017</v>
      </c>
      <c r="C32" s="21" t="s">
        <v>192</v>
      </c>
      <c r="D32" s="21" t="s">
        <v>925</v>
      </c>
      <c r="E32" s="13">
        <v>43057.282893518517</v>
      </c>
      <c r="F32" s="13">
        <v>43057.289780092593</v>
      </c>
      <c r="G32" s="7">
        <v>69</v>
      </c>
      <c r="H32" s="21" t="s">
        <v>507</v>
      </c>
      <c r="I32" s="13">
        <v>43057.315451388888</v>
      </c>
      <c r="J32" s="7">
        <v>0</v>
      </c>
      <c r="K32" s="89" t="str">
        <f t="shared" si="0"/>
        <v>4017/4018</v>
      </c>
      <c r="L32" s="184" t="str">
        <f>VLOOKUP(A32,'Trips&amp;Operators'!$C$1:$G$99911,5,FALSE)</f>
        <v>DE LA ROSA ALEX</v>
      </c>
      <c r="M32" s="6">
        <f t="shared" si="1"/>
        <v>2.5671296294603962E-2</v>
      </c>
      <c r="N32" s="7">
        <f t="shared" si="24"/>
        <v>36.966666664229706</v>
      </c>
      <c r="O32" s="7"/>
      <c r="P32" s="7"/>
      <c r="Q32" s="22"/>
      <c r="R32" s="173"/>
      <c r="S32" s="220">
        <f t="shared" si="3"/>
        <v>1</v>
      </c>
      <c r="T32" s="173" t="str">
        <f t="shared" si="4"/>
        <v>Southbound</v>
      </c>
      <c r="U32" s="19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5" t="str">
        <f t="shared" si="5"/>
        <v>https://d0f6bd738d7f1b3e5a7ca70fe4ff75f0.us-east-1.aws.found.io/app/kibana#/discover/Steve-Slow-Train-Analysis-(2080s-and-2083s)?_g=(refreshInterval:(display:Off,pause:!f,section:0,value:0),time:(from:'2017-11-18T05:47:22-0700',mode:absolute,to:'2017-11-18T08:34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2" s="203" t="str">
        <f>IF(AA32&lt;VLOOKUP(AG32,Variables!$AC$3:$AD$8,2,FALSE),"Y","N")</f>
        <v>N</v>
      </c>
      <c r="X32" s="203">
        <f t="shared" si="6"/>
        <v>1</v>
      </c>
      <c r="Y32" s="203">
        <f t="shared" si="7"/>
        <v>23.2911</v>
      </c>
      <c r="Z32" s="203">
        <f t="shared" si="8"/>
        <v>2.1999999999999999E-2</v>
      </c>
      <c r="AA32" s="203">
        <f t="shared" si="9"/>
        <v>23.269100000000002</v>
      </c>
      <c r="AB32" s="54" t="e">
        <f>VLOOKUP(A32,Enforcements!$C$7:$K$9,8,0)</f>
        <v>#N/A</v>
      </c>
      <c r="AC32" s="51" t="e">
        <f>VLOOKUP(A32,Enforcements!$C$7:$E$9,3,0)</f>
        <v>#N/A</v>
      </c>
      <c r="AD32" s="178">
        <f t="shared" si="10"/>
        <v>120</v>
      </c>
      <c r="AE32" s="77" t="str">
        <f t="shared" si="11"/>
        <v>aws s3 cp s3://rtdc.mdm.uploadarchive.raw/RTDC4017/ "%USERPROFILE%\AppData\Local\Temp\OnboardLogs"\RTDC4017\2017-11-18 --exclude "*" --recursive --include "*20171118*" &amp; "%USERPROFILE%\Documents\GitHub\mrs-test-scripts\Headless Mode &amp; Sideloading\WalkAndUnGZ.bat" "%USERPROFILE%\AppData\Local\Temp\OnboardLogs"\RTDC4017\2017-11-18 &amp; aws s3 cp s3://rtdc.mdm.uploadarchive.raw/RTDC4017/ "%USERPROFILE%\AppData\Local\Temp\OnboardLogs"\RTDC4017\2017-11-19 --exclude "*" --recursive --include "*20171119*" &amp; "%USERPROFILE%\Documents\GitHub\mrs-test-scripts\Headless Mode &amp; Sideloading\WalkAndUnGZ.bat" "%USERPROFILE%\AppData\Local\Temp\OnboardLogs"\RTDC4017\2017-11-19</v>
      </c>
      <c r="AF32" s="74" t="str">
        <f t="shared" si="12"/>
        <v>"C:\Program Files (x86)\AstroGrep\AstroGrep.exe" /e /r /s /spath="%USERPROFILE%\AppData\Local\Temp\OnboardLogs" /stypes="app*4017*20171118*" /stext=" 14:.+((SYSTEM_STATE.+slice.+state.+changed )|(ment ac)|(multiple cpu faults)|(system.+state.+changed )|(\[timeout)|(PRM\|1\|D)|(kpr)|(kdp)|(train st.+moving)|(\|lc)|(penalty))"</v>
      </c>
      <c r="AG32" s="181" t="str">
        <f t="shared" si="13"/>
        <v>EC</v>
      </c>
      <c r="AH32" s="78" t="str">
        <f t="shared" si="19"/>
        <v>"%USERPROFILE%\Documents\GitHub\eaglep3\Utilities\RefineRTDCRunTimes.py" --tripid 120-18 --locoid 4017 --swversion DE.1.0.9.0 --startMP 204:232911 --initTime 2017-11-18T06:47:22 --startdatetime 2017-11-18T06:57:17 --delay 69 --endMP 204:220 --enddatetime 2017-11-18T07:34:15 --enforcementcount 0 &gt;&gt;%USERPROFILE%\Documents\GitHub\eaglep3-reporting\EC\2017-11-18-refined-times.txt</v>
      </c>
      <c r="AI32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{"issue":{"subject":"","project_id":79,"tracker_id":40,"status_id":1,"priority_id":2,"assigned_to_id":338,"start_date":"2017-11-18","description":"","custom_fields":[{"id":1,"name":"Subdivision","value":"EC"},{"id":4,"name":"Milepost","value":"0.022"},{"id":17,"name":"Train ID","value":"120-18"},{"id":16,"name":"Locomotive ID","value":"4017"},{"id":130,"name":"Impact","value":""},{"id":150,"name":"Time of Event (Mountain Time)","value":"07:34:15"},{"id":151,"name":"Denver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1" t="str">
        <f t="shared" si="21"/>
        <v>start /low /b %USERPROFILE%\Documents\GitHub\eaglep3\Utilities\DownloadLogsFromS3.py --loco 4017 --day 2017-11-18</v>
      </c>
      <c r="AN32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14:34:15"},{"id":29,"name":"Sharepoint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7" t="str">
        <f t="shared" si="23"/>
        <v>https://d0f6bd738d7f1b3e5a7ca70fe4ff75f0.us-east-1.aws.found.io/app/kibana#/discover/Steve-Slow-Train-Analysis-(2080s-and-2083s)?_g=(refreshInterval:(display:Off,pause:!f,section:0,value:0),time:(from:'2017-11-18T05:47:22-0700',mode:absolute,to:'2017-11-18T08:34:15-0700'))&amp;_a=(columns:!('Message%20ID',Summary),filters:!(),index:'emp_*',interval:auto,query:(query_string:(analyze_wildcard:!t,query:'%22rtdc.l.rtdc.4017%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750</v>
      </c>
      <c r="B33" s="7">
        <v>4024</v>
      </c>
      <c r="C33" s="21" t="s">
        <v>192</v>
      </c>
      <c r="D33" s="21" t="s">
        <v>654</v>
      </c>
      <c r="E33" s="13">
        <v>43057.255682870367</v>
      </c>
      <c r="F33" s="13">
        <v>43057.260613425926</v>
      </c>
      <c r="G33" s="7">
        <v>53</v>
      </c>
      <c r="H33" s="21" t="s">
        <v>634</v>
      </c>
      <c r="I33" s="13">
        <v>43057.286192129628</v>
      </c>
      <c r="J33" s="7">
        <v>0</v>
      </c>
      <c r="K33" s="89" t="str">
        <f t="shared" si="0"/>
        <v>4023/4024</v>
      </c>
      <c r="L33" s="184" t="str">
        <f>VLOOKUP(A33,'Trips&amp;Operators'!$C$1:$G$99911,5,FALSE)</f>
        <v>GEBRETEKLE DAGNEW</v>
      </c>
      <c r="M33" s="6">
        <f t="shared" si="1"/>
        <v>2.5578703702194616E-2</v>
      </c>
      <c r="N33" s="7">
        <f t="shared" si="24"/>
        <v>36.833333331160247</v>
      </c>
      <c r="O33" s="7"/>
      <c r="P33" s="7"/>
      <c r="Q33" s="22"/>
      <c r="R33" s="173"/>
      <c r="S33" s="220">
        <f t="shared" si="3"/>
        <v>1</v>
      </c>
      <c r="T33" s="173" t="str">
        <f t="shared" si="4"/>
        <v>NorthBound</v>
      </c>
      <c r="U33" s="19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5" t="str">
        <f t="shared" si="5"/>
        <v>https://d0f6bd738d7f1b3e5a7ca70fe4ff75f0.us-east-1.aws.found.io/app/kibana#/discover/Steve-Slow-Train-Analysis-(2080s-and-2083s)?_g=(refreshInterval:(display:Off,pause:!f,section:0,value:0),time:(from:'2017-11-18T05:08:11-0700',mode:absolute,to:'2017-11-18T07:52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3" s="203" t="str">
        <f>IF(AA33&lt;VLOOKUP(AG33,Variables!$AC$3:$AD$8,2,FALSE),"Y","N")</f>
        <v>N</v>
      </c>
      <c r="X33" s="203">
        <f t="shared" si="6"/>
        <v>1</v>
      </c>
      <c r="Y33" s="203">
        <f t="shared" si="7"/>
        <v>4.7300000000000002E-2</v>
      </c>
      <c r="Z33" s="203">
        <f t="shared" si="8"/>
        <v>23.325500000000002</v>
      </c>
      <c r="AA33" s="203">
        <f t="shared" si="9"/>
        <v>23.278200000000002</v>
      </c>
      <c r="AB33" s="54" t="e">
        <f>VLOOKUP(A33,Enforcements!$C$7:$K$9,8,0)</f>
        <v>#N/A</v>
      </c>
      <c r="AC33" s="51" t="e">
        <f>VLOOKUP(A33,Enforcements!$C$7:$E$9,3,0)</f>
        <v>#N/A</v>
      </c>
      <c r="AD33" s="178">
        <f t="shared" si="10"/>
        <v>121</v>
      </c>
      <c r="AE33" s="77" t="str">
        <f t="shared" si="11"/>
        <v>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 &amp; aws s3 cp s3://rtdc.mdm.uploadarchive.raw/RTDC4024/ "%USERPROFILE%\AppData\Local\Temp\OnboardLogs"\RTDC4024\2017-11-19 --exclude "*" --recursive --include "*20171119*" &amp; "%USERPROFILE%\Documents\GitHub\mrs-test-scripts\Headless Mode &amp; Sideloading\WalkAndUnGZ.bat" "%USERPROFILE%\AppData\Local\Temp\OnboardLogs"\RTDC4024\2017-11-19</v>
      </c>
      <c r="AF33" s="74" t="str">
        <f t="shared" si="12"/>
        <v>"C:\Program Files (x86)\AstroGrep\AstroGrep.exe" /e /r /s /spath="%USERPROFILE%\AppData\Local\Temp\OnboardLogs" /stypes="app*4024*20171118*" /stext=" 13:.+((SYSTEM_STATE.+slice.+state.+changed )|(ment ac)|(multiple cpu faults)|(system.+state.+changed )|(\[timeout)|(PRM\|1\|D)|(kpr)|(kdp)|(train st.+moving)|(\|lc)|(penalty))"</v>
      </c>
      <c r="AG33" s="181" t="str">
        <f t="shared" si="13"/>
        <v>EC</v>
      </c>
      <c r="AH33" s="78" t="str">
        <f t="shared" si="19"/>
        <v>"%USERPROFILE%\Documents\GitHub\eaglep3\Utilities\RefineRTDCRunTimes.py" --tripid 121-18 --locoid 4024 --swversion DE.1.0.9.0 --startMP 204:473 --initTime 2017-11-18T06:08:11 --startdatetime 2017-11-18T06:15:17 --delay 53 --endMP 204:233255 --enddatetime 2017-11-18T06:52:07 --enforcementcount 0 &gt;&gt;%USERPROFILE%\Documents\GitHub\eaglep3-reporting\EC\2017-11-18-refined-times.txt</v>
      </c>
      <c r="AI33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{"issue":{"subject":"","project_id":79,"tracker_id":40,"status_id":1,"priority_id":2,"assigned_to_id":338,"start_date":"2017-11-18","description":"","custom_fields":[{"id":1,"name":"Subdivision","value":"EC"},{"id":4,"name":"Milepost","value":"23.3255"},{"id":17,"name":"Train ID","value":"121-18"},{"id":16,"name":"Locomotive ID","value":"4024"},{"id":130,"name":"Impact","value":""},{"id":150,"name":"Time of Event (Mountain Time)","value":"06:52:07"},{"id":151,"name":"Denver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1" t="str">
        <f t="shared" si="21"/>
        <v>start /low /b %USERPROFILE%\Documents\GitHub\eaglep3\Utilities\DownloadLogsFromS3.py --loco 4024 --day 2017-11-18</v>
      </c>
      <c r="AN33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13:52:07"},{"id":29,"name":"Sharepoint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7" t="str">
        <f t="shared" si="23"/>
        <v>https://d0f6bd738d7f1b3e5a7ca70fe4ff75f0.us-east-1.aws.found.io/app/kibana#/discover/Steve-Slow-Train-Analysis-(2080s-and-2083s)?_g=(refreshInterval:(display:Off,pause:!f,section:0,value:0),time:(from:'2017-11-18T05:08:11-0700',mode:absolute,to:'2017-11-18T07:52:07-0700'))&amp;_a=(columns:!('Message%20ID',Summary),filters:!(),index:'emp_*',interval:auto,query:(query_string:(analyze_wildcard:!t,query:'%22rtdc.l.rtdc.4024%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757</v>
      </c>
      <c r="B34" s="7">
        <v>4023</v>
      </c>
      <c r="C34" s="21" t="s">
        <v>192</v>
      </c>
      <c r="D34" s="21" t="s">
        <v>926</v>
      </c>
      <c r="E34" s="13">
        <v>43057.287314814814</v>
      </c>
      <c r="F34" s="13">
        <v>43057.300185185188</v>
      </c>
      <c r="G34" s="7">
        <v>48</v>
      </c>
      <c r="H34" s="21" t="s">
        <v>627</v>
      </c>
      <c r="I34" s="13">
        <v>43057.325914351852</v>
      </c>
      <c r="J34" s="7">
        <v>0</v>
      </c>
      <c r="K34" s="89" t="str">
        <f t="shared" si="0"/>
        <v>4023/4024</v>
      </c>
      <c r="L34" s="184" t="str">
        <f>VLOOKUP(A34,'Trips&amp;Operators'!$C$1:$G$99911,5,FALSE)</f>
        <v>GEBRETEKLE DAGNEW</v>
      </c>
      <c r="M34" s="6">
        <f t="shared" si="1"/>
        <v>2.5729166663950309E-2</v>
      </c>
      <c r="N34" s="7">
        <f t="shared" si="24"/>
        <v>37.049999996088445</v>
      </c>
      <c r="O34" s="7"/>
      <c r="P34" s="7"/>
      <c r="Q34" s="22"/>
      <c r="R34" s="173"/>
      <c r="S34" s="220">
        <f t="shared" si="3"/>
        <v>1</v>
      </c>
      <c r="T34" s="173" t="str">
        <f t="shared" si="4"/>
        <v>Southbound</v>
      </c>
      <c r="U34" s="19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5" t="str">
        <f t="shared" si="5"/>
        <v>https://d0f6bd738d7f1b3e5a7ca70fe4ff75f0.us-east-1.aws.found.io/app/kibana#/discover/Steve-Slow-Train-Analysis-(2080s-and-2083s)?_g=(refreshInterval:(display:Off,pause:!f,section:0,value:0),time:(from:'2017-11-18T05:53:44-0700',mode:absolute,to:'2017-11-18T08:49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4" s="203" t="str">
        <f>IF(AA34&lt;VLOOKUP(AG34,Variables!$AC$3:$AD$8,2,FALSE),"Y","N")</f>
        <v>N</v>
      </c>
      <c r="X34" s="203">
        <f t="shared" si="6"/>
        <v>1</v>
      </c>
      <c r="Y34" s="203">
        <f t="shared" si="7"/>
        <v>23.291899999999998</v>
      </c>
      <c r="Z34" s="203">
        <f t="shared" si="8"/>
        <v>1.8499999999999999E-2</v>
      </c>
      <c r="AA34" s="203">
        <f t="shared" si="9"/>
        <v>23.273399999999999</v>
      </c>
      <c r="AB34" s="54" t="e">
        <f>VLOOKUP(A34,Enforcements!$C$7:$K$9,8,0)</f>
        <v>#N/A</v>
      </c>
      <c r="AC34" s="51" t="e">
        <f>VLOOKUP(A34,Enforcements!$C$7:$E$9,3,0)</f>
        <v>#N/A</v>
      </c>
      <c r="AD34" s="178">
        <f t="shared" si="10"/>
        <v>122</v>
      </c>
      <c r="AE34" s="77" t="str">
        <f t="shared" si="11"/>
        <v>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 &amp; aws s3 cp s3://rtdc.mdm.uploadarchive.raw/RTDC4023/ "%USERPROFILE%\AppData\Local\Temp\OnboardLogs"\RTDC4023\2017-11-19 --exclude "*" --recursive --include "*20171119*" &amp; "%USERPROFILE%\Documents\GitHub\mrs-test-scripts\Headless Mode &amp; Sideloading\WalkAndUnGZ.bat" "%USERPROFILE%\AppData\Local\Temp\OnboardLogs"\RTDC4023\2017-11-19</v>
      </c>
      <c r="AF34" s="74" t="str">
        <f t="shared" si="12"/>
        <v>"C:\Program Files (x86)\AstroGrep\AstroGrep.exe" /e /r /s /spath="%USERPROFILE%\AppData\Local\Temp\OnboardLogs" /stypes="app*4023*20171118*" /stext=" 14:.+((SYSTEM_STATE.+slice.+state.+changed )|(ment ac)|(multiple cpu faults)|(system.+state.+changed )|(\[timeout)|(PRM\|1\|D)|(kpr)|(kdp)|(train st.+moving)|(\|lc)|(penalty))"</v>
      </c>
      <c r="AG34" s="181" t="str">
        <f t="shared" si="13"/>
        <v>EC</v>
      </c>
      <c r="AH34" s="78" t="str">
        <f t="shared" si="19"/>
        <v>"%USERPROFILE%\Documents\GitHub\eaglep3\Utilities\RefineRTDCRunTimes.py" --tripid 122-18 --locoid 4023 --swversion DE.1.0.9.0 --startMP 204:232919 --initTime 2017-11-18T06:53:44 --startdatetime 2017-11-18T07:12:16 --delay 48 --endMP 204:185 --enddatetime 2017-11-18T07:49:19 --enforcementcount 0 &gt;&gt;%USERPROFILE%\Documents\GitHub\eaglep3-reporting\EC\2017-11-18-refined-times.txt</v>
      </c>
      <c r="AI34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{"issue":{"subject":"","project_id":79,"tracker_id":40,"status_id":1,"priority_id":2,"assigned_to_id":338,"start_date":"2017-11-18","description":"","custom_fields":[{"id":1,"name":"Subdivision","value":"EC"},{"id":4,"name":"Milepost","value":"0.0185"},{"id":17,"name":"Train ID","value":"122-18"},{"id":16,"name":"Locomotive ID","value":"4023"},{"id":130,"name":"Impact","value":""},{"id":150,"name":"Time of Event (Mountain Time)","value":"07:49:19"},{"id":151,"name":"Denver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1" t="str">
        <f t="shared" si="21"/>
        <v>start /low /b %USERPROFILE%\Documents\GitHub\eaglep3\Utilities\DownloadLogsFromS3.py --loco 4023 --day 2017-11-18</v>
      </c>
      <c r="AN34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14:49:19"},{"id":29,"name":"Sharepoint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7" t="str">
        <f t="shared" si="23"/>
        <v>https://d0f6bd738d7f1b3e5a7ca70fe4ff75f0.us-east-1.aws.found.io/app/kibana#/discover/Steve-Slow-Train-Analysis-(2080s-and-2083s)?_g=(refreshInterval:(display:Off,pause:!f,section:0,value:0),time:(from:'2017-11-18T05:53:44-0700',mode:absolute,to:'2017-11-18T08:49:19-0700'))&amp;_a=(columns:!('Message%20ID',Summary),filters:!(),index:'emp_*',interval:auto,query:(query_string:(analyze_wildcard:!t,query:'%22rtdc.l.rtdc.4023%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754</v>
      </c>
      <c r="B35" s="7">
        <v>4026</v>
      </c>
      <c r="C35" s="21" t="s">
        <v>192</v>
      </c>
      <c r="D35" s="21" t="s">
        <v>927</v>
      </c>
      <c r="E35" s="13">
        <v>43057.269629629627</v>
      </c>
      <c r="F35" s="13">
        <v>43057.271249999998</v>
      </c>
      <c r="G35" s="7">
        <v>70</v>
      </c>
      <c r="H35" s="21" t="s">
        <v>918</v>
      </c>
      <c r="I35" s="13">
        <v>43057.296203703707</v>
      </c>
      <c r="J35" s="7">
        <v>0</v>
      </c>
      <c r="K35" s="89" t="str">
        <f t="shared" si="0"/>
        <v>4025/4026</v>
      </c>
      <c r="L35" s="184" t="str">
        <f>VLOOKUP(A35,'Trips&amp;Operators'!$C$1:$G$99911,5,FALSE)</f>
        <v>BARRON PERLA</v>
      </c>
      <c r="M35" s="6">
        <f t="shared" si="1"/>
        <v>2.4953703708888497E-2</v>
      </c>
      <c r="N35" s="7">
        <f t="shared" si="24"/>
        <v>35.933333340799436</v>
      </c>
      <c r="O35" s="7"/>
      <c r="P35" s="7"/>
      <c r="Q35" s="22"/>
      <c r="R35" s="173"/>
      <c r="S35" s="220">
        <f t="shared" si="3"/>
        <v>1</v>
      </c>
      <c r="T35" s="173" t="str">
        <f t="shared" si="4"/>
        <v>NorthBound</v>
      </c>
      <c r="U35" s="19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5" t="str">
        <f t="shared" si="5"/>
        <v>https://d0f6bd738d7f1b3e5a7ca70fe4ff75f0.us-east-1.aws.found.io/app/kibana#/discover/Steve-Slow-Train-Analysis-(2080s-and-2083s)?_g=(refreshInterval:(display:Off,pause:!f,section:0,value:0),time:(from:'2017-11-18T05:28:16-0700',mode:absolute,to:'2017-11-18T08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5" s="203" t="str">
        <f>IF(AA35&lt;VLOOKUP(AG35,Variables!$AC$3:$AD$8,2,FALSE),"Y","N")</f>
        <v>N</v>
      </c>
      <c r="X35" s="203">
        <f t="shared" si="6"/>
        <v>1</v>
      </c>
      <c r="Y35" s="203">
        <f t="shared" si="7"/>
        <v>5.4899999999999997E-2</v>
      </c>
      <c r="Z35" s="203">
        <f t="shared" si="8"/>
        <v>23.3306</v>
      </c>
      <c r="AA35" s="203">
        <f t="shared" si="9"/>
        <v>23.275700000000001</v>
      </c>
      <c r="AB35" s="54" t="e">
        <f>VLOOKUP(A35,Enforcements!$C$7:$K$9,8,0)</f>
        <v>#N/A</v>
      </c>
      <c r="AC35" s="51" t="e">
        <f>VLOOKUP(A35,Enforcements!$C$7:$E$9,3,0)</f>
        <v>#N/A</v>
      </c>
      <c r="AD35" s="178">
        <f t="shared" si="10"/>
        <v>123</v>
      </c>
      <c r="AE35" s="77" t="str">
        <f t="shared" si="11"/>
        <v>aws s3 cp s3://rtdc.mdm.uploadarchive.raw/RTDC4026/ "%USERPROFILE%\AppData\Local\Temp\OnboardLogs"\RTDC4026\2017-11-18 --exclude "*" --recursive --include "*20171118*" &amp; "%USERPROFILE%\Documents\GitHub\mrs-test-scripts\Headless Mode &amp; Sideloading\WalkAndUnGZ.bat" "%USERPROFILE%\AppData\Local\Temp\OnboardLogs"\RTDC4026\2017-11-18 &amp; aws s3 cp s3://rtdc.mdm.uploadarchive.raw/RTDC4026/ "%USERPROFILE%\AppData\Local\Temp\OnboardLogs"\RTDC4026\2017-11-19 --exclude "*" --recursive --include "*20171119*" &amp; "%USERPROFILE%\Documents\GitHub\mrs-test-scripts\Headless Mode &amp; Sideloading\WalkAndUnGZ.bat" "%USERPROFILE%\AppData\Local\Temp\OnboardLogs"\RTDC4026\2017-11-19</v>
      </c>
      <c r="AF35" s="74" t="str">
        <f t="shared" si="12"/>
        <v>"C:\Program Files (x86)\AstroGrep\AstroGrep.exe" /e /r /s /spath="%USERPROFILE%\AppData\Local\Temp\OnboardLogs" /stypes="app*4026*20171118*" /stext=" 14:.+((SYSTEM_STATE.+slice.+state.+changed )|(ment ac)|(multiple cpu faults)|(system.+state.+changed )|(\[timeout)|(PRM\|1\|D)|(kpr)|(kdp)|(train st.+moving)|(\|lc)|(penalty))"</v>
      </c>
      <c r="AG35" s="181" t="str">
        <f t="shared" si="13"/>
        <v>EC</v>
      </c>
      <c r="AH35" s="78" t="str">
        <f t="shared" si="19"/>
        <v>"%USERPROFILE%\Documents\GitHub\eaglep3\Utilities\RefineRTDCRunTimes.py" --tripid 123-18 --locoid 4026 --swversion DE.1.0.9.0 --startMP 204:549 --initTime 2017-11-18T06:28:16 --startdatetime 2017-11-18T06:30:36 --delay 70 --endMP 204:233306 --enddatetime 2017-11-18T07:06:32 --enforcementcount 0 &gt;&gt;%USERPROFILE%\Documents\GitHub\eaglep3-reporting\EC\2017-11-18-refined-times.txt</v>
      </c>
      <c r="AI35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{"issue":{"subject":"","project_id":79,"tracker_id":40,"status_id":1,"priority_id":2,"assigned_to_id":338,"start_date":"2017-11-18","description":"","custom_fields":[{"id":1,"name":"Subdivision","value":"EC"},{"id":4,"name":"Milepost","value":"23.3306"},{"id":17,"name":"Train ID","value":"123-18"},{"id":16,"name":"Locomotive ID","value":"4026"},{"id":130,"name":"Impact","value":""},{"id":150,"name":"Time of Event (Mountain Time)","value":"07:06:32"},{"id":151,"name":"Denver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1" t="str">
        <f t="shared" si="21"/>
        <v>start /low /b %USERPROFILE%\Documents\GitHub\eaglep3\Utilities\DownloadLogsFromS3.py --loco 4026 --day 2017-11-18</v>
      </c>
      <c r="AN35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14:06:32"},{"id":29,"name":"Sharepoint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7" t="str">
        <f t="shared" si="23"/>
        <v>https://d0f6bd738d7f1b3e5a7ca70fe4ff75f0.us-east-1.aws.found.io/app/kibana#/discover/Steve-Slow-Train-Analysis-(2080s-and-2083s)?_g=(refreshInterval:(display:Off,pause:!f,section:0,value:0),time:(from:'2017-11-18T05:28:16-0700',mode:absolute,to:'2017-11-18T08:06:32-0700'))&amp;_a=(columns:!('Message%20ID',Summary),filters:!(),index:'emp_*',interval:auto,query:(query_string:(analyze_wildcard:!t,query:'%22rtdc.l.rtdc.4026%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675</v>
      </c>
      <c r="B36" s="7">
        <v>4025</v>
      </c>
      <c r="C36" s="21" t="s">
        <v>192</v>
      </c>
      <c r="D36" s="21" t="s">
        <v>928</v>
      </c>
      <c r="E36" s="13">
        <v>43057.299953703703</v>
      </c>
      <c r="F36" s="13">
        <v>43057.310590277775</v>
      </c>
      <c r="G36" s="7">
        <v>69</v>
      </c>
      <c r="H36" s="21" t="s">
        <v>929</v>
      </c>
      <c r="I36" s="13">
        <v>43057.337465277778</v>
      </c>
      <c r="J36" s="7">
        <v>0</v>
      </c>
      <c r="K36" s="89" t="str">
        <f t="shared" si="0"/>
        <v>4025/4026</v>
      </c>
      <c r="L36" s="184" t="str">
        <f>VLOOKUP(A36,'Trips&amp;Operators'!$C$1:$G$99911,5,FALSE)</f>
        <v>BARRON PERLA</v>
      </c>
      <c r="M36" s="6">
        <f t="shared" si="1"/>
        <v>2.6875000003201421E-2</v>
      </c>
      <c r="N36" s="7">
        <f t="shared" si="24"/>
        <v>38.700000004610047</v>
      </c>
      <c r="O36" s="7"/>
      <c r="P36" s="7"/>
      <c r="Q36" s="22"/>
      <c r="R36" s="173"/>
      <c r="S36" s="220">
        <f t="shared" si="3"/>
        <v>1</v>
      </c>
      <c r="T36" s="173" t="str">
        <f t="shared" si="4"/>
        <v>Southbound</v>
      </c>
      <c r="U36" s="19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5" t="str">
        <f t="shared" si="5"/>
        <v>https://d0f6bd738d7f1b3e5a7ca70fe4ff75f0.us-east-1.aws.found.io/app/kibana#/discover/Steve-Slow-Train-Analysis-(2080s-and-2083s)?_g=(refreshInterval:(display:Off,pause:!f,section:0,value:0),time:(from:'2017-11-18T06:11:56-0700',mode:absolute,to:'2017-11-18T09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6" s="203" t="str">
        <f>IF(AA36&lt;VLOOKUP(AG36,Variables!$AC$3:$AD$8,2,FALSE),"Y","N")</f>
        <v>N</v>
      </c>
      <c r="X36" s="203">
        <f t="shared" si="6"/>
        <v>1</v>
      </c>
      <c r="Y36" s="203">
        <f t="shared" si="7"/>
        <v>23.299099999999999</v>
      </c>
      <c r="Z36" s="203">
        <f t="shared" si="8"/>
        <v>2.4299999999999999E-2</v>
      </c>
      <c r="AA36" s="203">
        <f t="shared" si="9"/>
        <v>23.274799999999999</v>
      </c>
      <c r="AB36" s="54" t="str">
        <f>VLOOKUP(A36,Enforcements!$C$7:$K$9,8,0)</f>
        <v>Bulletin (2)</v>
      </c>
      <c r="AC36" s="51" t="str">
        <f>VLOOKUP(A36,Enforcements!$C$7:$E$9,3,0)</f>
        <v>GRADE CROSSING</v>
      </c>
      <c r="AD36" s="178">
        <f t="shared" si="10"/>
        <v>124</v>
      </c>
      <c r="AE36" s="77" t="str">
        <f t="shared" si="11"/>
        <v>aws s3 cp s3://rtdc.mdm.uploadarchive.raw/RTDC4025/ "%USERPROFILE%\AppData\Local\Temp\OnboardLogs"\RTDC4025\2017-11-18 --exclude "*" --recursive --include "*20171118*" &amp; "%USERPROFILE%\Documents\GitHub\mrs-test-scripts\Headless Mode &amp; Sideloading\WalkAndUnGZ.bat" "%USERPROFILE%\AppData\Local\Temp\OnboardLogs"\RTDC4025\2017-11-18 &amp; aws s3 cp s3://rtdc.mdm.uploadarchive.raw/RTDC4025/ "%USERPROFILE%\AppData\Local\Temp\OnboardLogs"\RTDC4025\2017-11-19 --exclude "*" --recursive --include "*20171119*" &amp; "%USERPROFILE%\Documents\GitHub\mrs-test-scripts\Headless Mode &amp; Sideloading\WalkAndUnGZ.bat" "%USERPROFILE%\AppData\Local\Temp\OnboardLogs"\RTDC4025\2017-11-19</v>
      </c>
      <c r="AF36" s="74" t="str">
        <f t="shared" si="12"/>
        <v>"C:\Program Files (x86)\AstroGrep\AstroGrep.exe" /e /r /s /spath="%USERPROFILE%\AppData\Local\Temp\OnboardLogs" /stypes="app*4025*20171118*" /stext=" 15:.+((SYSTEM_STATE.+slice.+state.+changed )|(ment ac)|(multiple cpu faults)|(system.+state.+changed )|(\[timeout)|(PRM\|1\|D)|(kpr)|(kdp)|(train st.+moving)|(\|lc)|(penalty))"</v>
      </c>
      <c r="AG36" s="181" t="str">
        <f t="shared" si="13"/>
        <v>EC</v>
      </c>
      <c r="AH36" s="78" t="str">
        <f t="shared" si="19"/>
        <v>"%USERPROFILE%\Documents\GitHub\eaglep3\Utilities\RefineRTDCRunTimes.py" --tripid 124-18 --locoid 4025 --swversion DE.1.0.9.0 --startMP 204:232991 --initTime 2017-11-18T07:11:56 --startdatetime 2017-11-18T07:27:15 --delay 69 --endMP 204:243 --enddatetime 2017-11-18T08:05:57 --enforcementcount 0 &gt;&gt;%USERPROFILE%\Documents\GitHub\eaglep3-reporting\EC\2017-11-18-refined-times.txt</v>
      </c>
      <c r="AI36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{"issue":{"subject":"","project_id":79,"tracker_id":40,"status_id":1,"priority_id":2,"assigned_to_id":338,"start_date":"2017-11-18","description":"","custom_fields":[{"id":1,"name":"Subdivision","value":"EC"},{"id":4,"name":"Milepost","value":"0.0243"},{"id":17,"name":"Train ID","value":"124-18"},{"id":16,"name":"Locomotive ID","value":"4025"},{"id":130,"name":"Impact","value":""},{"id":150,"name":"Time of Event (Mountain Time)","value":"08:05:57"},{"id":151,"name":"Denver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1" t="str">
        <f t="shared" si="21"/>
        <v>start /low /b %USERPROFILE%\Documents\GitHub\eaglep3\Utilities\DownloadLogsFromS3.py --loco 4025 --day 2017-11-18</v>
      </c>
      <c r="AN36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15:05:57"},{"id":29,"name":"Sharepoint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7" t="str">
        <f t="shared" si="23"/>
        <v>https://d0f6bd738d7f1b3e5a7ca70fe4ff75f0.us-east-1.aws.found.io/app/kibana#/discover/Steve-Slow-Train-Analysis-(2080s-and-2083s)?_g=(refreshInterval:(display:Off,pause:!f,section:0,value:0),time:(from:'2017-11-18T06:11:56-0700',mode:absolute,to:'2017-11-18T09:05:57-0700'))&amp;_a=(columns:!('Message%20ID',Summary),filters:!(),index:'emp_*',interval:auto,query:(query_string:(analyze_wildcard:!t,query:'%22rtdc.l.rtdc.4025%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755</v>
      </c>
      <c r="B37" s="7">
        <v>4008</v>
      </c>
      <c r="C37" s="21" t="s">
        <v>192</v>
      </c>
      <c r="D37" s="21" t="s">
        <v>654</v>
      </c>
      <c r="E37" s="13">
        <v>43057.279768518521</v>
      </c>
      <c r="F37" s="13">
        <v>43057.281504629631</v>
      </c>
      <c r="G37" s="7">
        <v>60</v>
      </c>
      <c r="H37" s="21" t="s">
        <v>930</v>
      </c>
      <c r="I37" s="13">
        <v>43057.306041666663</v>
      </c>
      <c r="J37" s="7">
        <v>0</v>
      </c>
      <c r="K37" s="89" t="str">
        <f t="shared" si="0"/>
        <v>4007/4008</v>
      </c>
      <c r="L37" s="184" t="str">
        <f>VLOOKUP(A37,'Trips&amp;Operators'!$C$1:$G$99911,5,FALSE)</f>
        <v>THOMPSON LESTER</v>
      </c>
      <c r="M37" s="6">
        <f t="shared" si="1"/>
        <v>2.4537037032132503E-2</v>
      </c>
      <c r="N37" s="7">
        <f t="shared" si="24"/>
        <v>35.333333326270804</v>
      </c>
      <c r="O37" s="7"/>
      <c r="P37" s="7"/>
      <c r="Q37" s="22"/>
      <c r="R37" s="173"/>
      <c r="S37" s="220">
        <f t="shared" si="3"/>
        <v>1</v>
      </c>
      <c r="T37" s="173" t="str">
        <f t="shared" si="4"/>
        <v>NorthBound</v>
      </c>
      <c r="U37" s="19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5" t="str">
        <f t="shared" si="5"/>
        <v>https://d0f6bd738d7f1b3e5a7ca70fe4ff75f0.us-east-1.aws.found.io/app/kibana#/discover/Steve-Slow-Train-Analysis-(2080s-and-2083s)?_g=(refreshInterval:(display:Off,pause:!f,section:0,value:0),time:(from:'2017-11-18T05:42:52-0700',mode:absolute,to:'2017-11-18T08:20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7" s="203" t="str">
        <f>IF(AA37&lt;VLOOKUP(AG37,Variables!$AC$3:$AD$8,2,FALSE),"Y","N")</f>
        <v>N</v>
      </c>
      <c r="X37" s="203">
        <f t="shared" si="6"/>
        <v>1</v>
      </c>
      <c r="Y37" s="203">
        <f t="shared" si="7"/>
        <v>4.7300000000000002E-2</v>
      </c>
      <c r="Z37" s="203">
        <f t="shared" si="8"/>
        <v>23.331099999999999</v>
      </c>
      <c r="AA37" s="203">
        <f t="shared" si="9"/>
        <v>23.283799999999999</v>
      </c>
      <c r="AB37" s="54" t="e">
        <f>VLOOKUP(A37,Enforcements!$C$7:$K$9,8,0)</f>
        <v>#N/A</v>
      </c>
      <c r="AC37" s="51" t="e">
        <f>VLOOKUP(A37,Enforcements!$C$7:$E$9,3,0)</f>
        <v>#N/A</v>
      </c>
      <c r="AD37" s="178">
        <f t="shared" si="10"/>
        <v>125</v>
      </c>
      <c r="AE37" s="77" t="str">
        <f t="shared" si="11"/>
        <v>aws s3 cp s3://rtdc.mdm.uploadarchive.raw/RTDC4008/ "%USERPROFILE%\AppData\Local\Temp\OnboardLogs"\RTDC4008\2017-11-18 --exclude "*" --recursive --include "*20171118*" &amp; "%USERPROFILE%\Documents\GitHub\mrs-test-scripts\Headless Mode &amp; Sideloading\WalkAndUnGZ.bat" "%USERPROFILE%\AppData\Local\Temp\OnboardLogs"\RTDC4008\2017-11-18 &amp; aws s3 cp s3://rtdc.mdm.uploadarchive.raw/RTDC4008/ "%USERPROFILE%\AppData\Local\Temp\OnboardLogs"\RTDC4008\2017-11-19 --exclude "*" --recursive --include "*20171119*" &amp; "%USERPROFILE%\Documents\GitHub\mrs-test-scripts\Headless Mode &amp; Sideloading\WalkAndUnGZ.bat" "%USERPROFILE%\AppData\Local\Temp\OnboardLogs"\RTDC4008\2017-11-19</v>
      </c>
      <c r="AF37" s="74" t="str">
        <f t="shared" si="12"/>
        <v>"C:\Program Files (x86)\AstroGrep\AstroGrep.exe" /e /r /s /spath="%USERPROFILE%\AppData\Local\Temp\OnboardLogs" /stypes="app*4008*20171118*" /stext=" 14:.+((SYSTEM_STATE.+slice.+state.+changed )|(ment ac)|(multiple cpu faults)|(system.+state.+changed )|(\[timeout)|(PRM\|1\|D)|(kpr)|(kdp)|(train st.+moving)|(\|lc)|(penalty))"</v>
      </c>
      <c r="AG37" s="181" t="str">
        <f t="shared" si="13"/>
        <v>EC</v>
      </c>
      <c r="AH37" s="78" t="str">
        <f t="shared" si="19"/>
        <v>"%USERPROFILE%\Documents\GitHub\eaglep3\Utilities\RefineRTDCRunTimes.py" --tripid 125-18 --locoid 4008 --swversion DE.1.0.9.0 --startMP 204:473 --initTime 2017-11-18T06:42:52 --startdatetime 2017-11-18T06:45:22 --delay 60 --endMP 204:233311 --enddatetime 2017-11-18T07:20:42 --enforcementcount 0 &gt;&gt;%USERPROFILE%\Documents\GitHub\eaglep3-reporting\EC\2017-11-18-refined-times.txt</v>
      </c>
      <c r="AI37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{"issue":{"subject":"","project_id":79,"tracker_id":40,"status_id":1,"priority_id":2,"assigned_to_id":338,"start_date":"2017-11-18","description":"","custom_fields":[{"id":1,"name":"Subdivision","value":"EC"},{"id":4,"name":"Milepost","value":"23.3311"},{"id":17,"name":"Train ID","value":"125-18"},{"id":16,"name":"Locomotive ID","value":"4008"},{"id":130,"name":"Impact","value":""},{"id":150,"name":"Time of Event (Mountain Time)","value":"07:20:42"},{"id":151,"name":"Denver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1" t="str">
        <f t="shared" si="21"/>
        <v>start /low /b %USERPROFILE%\Documents\GitHub\eaglep3\Utilities\DownloadLogsFromS3.py --loco 4008 --day 2017-11-18</v>
      </c>
      <c r="AN37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14:20:42"},{"id":29,"name":"Sharepoint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7" t="str">
        <f t="shared" si="23"/>
        <v>https://d0f6bd738d7f1b3e5a7ca70fe4ff75f0.us-east-1.aws.found.io/app/kibana#/discover/Steve-Slow-Train-Analysis-(2080s-and-2083s)?_g=(refreshInterval:(display:Off,pause:!f,section:0,value:0),time:(from:'2017-11-18T05:42:52-0700',mode:absolute,to:'2017-11-18T08:20:42-0700'))&amp;_a=(columns:!('Message%20ID',Summary),filters:!(),index:'emp_*',interval:auto,query:(query_string:(analyze_wildcard:!t,query:'%22rtdc.l.rtdc.4008%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676</v>
      </c>
      <c r="B38" s="7">
        <v>4007</v>
      </c>
      <c r="C38" s="21" t="s">
        <v>192</v>
      </c>
      <c r="D38" s="21" t="s">
        <v>931</v>
      </c>
      <c r="E38" s="13">
        <v>43057.318310185183</v>
      </c>
      <c r="F38" s="13">
        <v>43057.321111111109</v>
      </c>
      <c r="G38" s="7">
        <v>50</v>
      </c>
      <c r="H38" s="21" t="s">
        <v>497</v>
      </c>
      <c r="I38" s="13">
        <v>43057.347997685189</v>
      </c>
      <c r="J38" s="7">
        <v>0</v>
      </c>
      <c r="K38" s="89" t="str">
        <f t="shared" si="0"/>
        <v>4007/4008</v>
      </c>
      <c r="L38" s="184" t="str">
        <f>VLOOKUP(A38,'Trips&amp;Operators'!$C$1:$G$99911,5,FALSE)</f>
        <v>THOMPSON LESTER</v>
      </c>
      <c r="M38" s="6">
        <f t="shared" si="1"/>
        <v>2.6886574079981074E-2</v>
      </c>
      <c r="N38" s="7">
        <f t="shared" si="24"/>
        <v>38.716666675172746</v>
      </c>
      <c r="O38" s="7"/>
      <c r="P38" s="7"/>
      <c r="Q38" s="22"/>
      <c r="R38" s="173"/>
      <c r="S38" s="220">
        <f t="shared" si="3"/>
        <v>1</v>
      </c>
      <c r="T38" s="173" t="str">
        <f t="shared" si="4"/>
        <v>Southbound</v>
      </c>
      <c r="U38" s="19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5" t="str">
        <f t="shared" si="5"/>
        <v>https://d0f6bd738d7f1b3e5a7ca70fe4ff75f0.us-east-1.aws.found.io/app/kibana#/discover/Steve-Slow-Train-Analysis-(2080s-and-2083s)?_g=(refreshInterval:(display:Off,pause:!f,section:0,value:0),time:(from:'2017-11-18T06:38:22-0700',mode:absolute,to:'2017-11-18T09:21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8" s="203" t="str">
        <f>IF(AA38&lt;VLOOKUP(AG38,Variables!$AC$3:$AD$8,2,FALSE),"Y","N")</f>
        <v>N</v>
      </c>
      <c r="X38" s="203">
        <f t="shared" si="6"/>
        <v>1</v>
      </c>
      <c r="Y38" s="203">
        <f t="shared" si="7"/>
        <v>23.297799999999999</v>
      </c>
      <c r="Z38" s="203">
        <f t="shared" si="8"/>
        <v>2.23E-2</v>
      </c>
      <c r="AA38" s="203">
        <f t="shared" si="9"/>
        <v>23.275499999999997</v>
      </c>
      <c r="AB38" s="54" t="e">
        <f>VLOOKUP(A38,Enforcements!$C$7:$K$9,8,0)</f>
        <v>#N/A</v>
      </c>
      <c r="AC38" s="51" t="e">
        <f>VLOOKUP(A38,Enforcements!$C$7:$E$9,3,0)</f>
        <v>#N/A</v>
      </c>
      <c r="AD38" s="178">
        <f t="shared" si="10"/>
        <v>126</v>
      </c>
      <c r="AE38" s="77" t="str">
        <f t="shared" si="11"/>
        <v>aws s3 cp s3://rtdc.mdm.uploadarchive.raw/RTDC4007/ "%USERPROFILE%\AppData\Local\Temp\OnboardLogs"\RTDC4007\2017-11-18 --exclude "*" --recursive --include "*20171118*" &amp; "%USERPROFILE%\Documents\GitHub\mrs-test-scripts\Headless Mode &amp; Sideloading\WalkAndUnGZ.bat" "%USERPROFILE%\AppData\Local\Temp\OnboardLogs"\RTDC4007\2017-11-18 &amp; aws s3 cp s3://rtdc.mdm.uploadarchive.raw/RTDC4007/ "%USERPROFILE%\AppData\Local\Temp\OnboardLogs"\RTDC4007\2017-11-19 --exclude "*" --recursive --include "*20171119*" &amp; "%USERPROFILE%\Documents\GitHub\mrs-test-scripts\Headless Mode &amp; Sideloading\WalkAndUnGZ.bat" "%USERPROFILE%\AppData\Local\Temp\OnboardLogs"\RTDC4007\2017-11-19</v>
      </c>
      <c r="AF38" s="74" t="str">
        <f t="shared" si="12"/>
        <v>"C:\Program Files (x86)\AstroGrep\AstroGrep.exe" /e /r /s /spath="%USERPROFILE%\AppData\Local\Temp\OnboardLogs" /stypes="app*4007*20171118*" /stext=" 15:.+((SYSTEM_STATE.+slice.+state.+changed )|(ment ac)|(multiple cpu faults)|(system.+state.+changed )|(\[timeout)|(PRM\|1\|D)|(kpr)|(kdp)|(train st.+moving)|(\|lc)|(penalty))"</v>
      </c>
      <c r="AG38" s="181" t="str">
        <f t="shared" si="13"/>
        <v>EC</v>
      </c>
      <c r="AH38" s="78" t="str">
        <f t="shared" si="19"/>
        <v>"%USERPROFILE%\Documents\GitHub\eaglep3\Utilities\RefineRTDCRunTimes.py" --tripid 126-18 --locoid 4007 --swversion DE.1.0.9.0 --startMP 204:232978 --initTime 2017-11-18T07:38:22 --startdatetime 2017-11-18T07:42:24 --delay 50 --endMP 204:223 --enddatetime 2017-11-18T08:21:07 --enforcementcount 0 &gt;&gt;%USERPROFILE%\Documents\GitHub\eaglep3-reporting\EC\2017-11-18-refined-times.txt</v>
      </c>
      <c r="AI38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{"issue":{"subject":"","project_id":79,"tracker_id":40,"status_id":1,"priority_id":2,"assigned_to_id":338,"start_date":"2017-11-18","description":"","custom_fields":[{"id":1,"name":"Subdivision","value":"EC"},{"id":4,"name":"Milepost","value":"0.0223"},{"id":17,"name":"Train ID","value":"126-18"},{"id":16,"name":"Locomotive ID","value":"4007"},{"id":130,"name":"Impact","value":""},{"id":150,"name":"Time of Event (Mountain Time)","value":"08:21:07"},{"id":151,"name":"Denver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1" t="str">
        <f t="shared" si="21"/>
        <v>start /low /b %USERPROFILE%\Documents\GitHub\eaglep3\Utilities\DownloadLogsFromS3.py --loco 4007 --day 2017-11-18</v>
      </c>
      <c r="AN38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15:21:07"},{"id":29,"name":"Sharepoint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7" t="str">
        <f t="shared" si="23"/>
        <v>https://d0f6bd738d7f1b3e5a7ca70fe4ff75f0.us-east-1.aws.found.io/app/kibana#/discover/Steve-Slow-Train-Analysis-(2080s-and-2083s)?_g=(refreshInterval:(display:Off,pause:!f,section:0,value:0),time:(from:'2017-11-18T06:38:22-0700',mode:absolute,to:'2017-11-18T09:21:07-0700'))&amp;_a=(columns:!('Message%20ID',Summary),filters:!(),index:'emp_*',interval:auto,query:(query_string:(analyze_wildcard:!t,query:'%22rtdc.l.rtdc.4007%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758</v>
      </c>
      <c r="B39" s="7">
        <v>4022</v>
      </c>
      <c r="C39" s="21" t="s">
        <v>192</v>
      </c>
      <c r="D39" s="21" t="s">
        <v>619</v>
      </c>
      <c r="E39" s="13">
        <v>43057.291134259256</v>
      </c>
      <c r="F39" s="13">
        <v>43057.292673611111</v>
      </c>
      <c r="G39" s="7">
        <v>50</v>
      </c>
      <c r="H39" s="21" t="s">
        <v>932</v>
      </c>
      <c r="I39" s="13">
        <v>43057.317337962966</v>
      </c>
      <c r="J39" s="7">
        <v>0</v>
      </c>
      <c r="K39" s="89" t="str">
        <f t="shared" si="0"/>
        <v>4021/4022</v>
      </c>
      <c r="L39" s="184" t="str">
        <f>VLOOKUP(A39,'Trips&amp;Operators'!$C$1:$G$99911,5,FALSE)</f>
        <v>MACDONALD THOMAS</v>
      </c>
      <c r="M39" s="6">
        <f t="shared" si="1"/>
        <v>2.4664351854880806E-2</v>
      </c>
      <c r="N39" s="7">
        <f t="shared" si="24"/>
        <v>35.516666671028361</v>
      </c>
      <c r="O39" s="7"/>
      <c r="P39" s="7"/>
      <c r="Q39" s="22"/>
      <c r="R39" s="173"/>
      <c r="S39" s="220">
        <f t="shared" si="3"/>
        <v>1</v>
      </c>
      <c r="T39" s="173" t="str">
        <f t="shared" si="4"/>
        <v>NorthBound</v>
      </c>
      <c r="U39" s="19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5" t="str">
        <f t="shared" si="5"/>
        <v>https://d0f6bd738d7f1b3e5a7ca70fe4ff75f0.us-east-1.aws.found.io/app/kibana#/discover/Steve-Slow-Train-Analysis-(2080s-and-2083s)?_g=(refreshInterval:(display:Off,pause:!f,section:0,value:0),time:(from:'2017-11-18T05:59:14-0700',mode:absolute,to:'2017-11-18T08:36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9" s="203" t="str">
        <f>IF(AA39&lt;VLOOKUP(AG39,Variables!$AC$3:$AD$8,2,FALSE),"Y","N")</f>
        <v>N</v>
      </c>
      <c r="X39" s="203">
        <f t="shared" si="6"/>
        <v>1</v>
      </c>
      <c r="Y39" s="203">
        <f t="shared" si="7"/>
        <v>4.7500000000000001E-2</v>
      </c>
      <c r="Z39" s="203">
        <f t="shared" si="8"/>
        <v>23.316600000000001</v>
      </c>
      <c r="AA39" s="203">
        <f t="shared" si="9"/>
        <v>23.269100000000002</v>
      </c>
      <c r="AB39" s="54" t="e">
        <f>VLOOKUP(A39,Enforcements!$C$7:$K$9,8,0)</f>
        <v>#N/A</v>
      </c>
      <c r="AC39" s="51" t="e">
        <f>VLOOKUP(A39,Enforcements!$C$7:$E$9,3,0)</f>
        <v>#N/A</v>
      </c>
      <c r="AD39" s="178">
        <f t="shared" si="10"/>
        <v>127</v>
      </c>
      <c r="AE39" s="77" t="str">
        <f t="shared" si="11"/>
        <v>aws s3 cp s3://rtdc.mdm.uploadarchive.raw/RTDC4022/ "%USERPROFILE%\AppData\Local\Temp\OnboardLogs"\RTDC4022\2017-11-18 --exclude "*" --recursive --include "*20171118*" &amp; "%USERPROFILE%\Documents\GitHub\mrs-test-scripts\Headless Mode &amp; Sideloading\WalkAndUnGZ.bat" "%USERPROFILE%\AppData\Local\Temp\OnboardLogs"\RTDC4022\2017-11-18 &amp; aws s3 cp s3://rtdc.mdm.uploadarchive.raw/RTDC4022/ "%USERPROFILE%\AppData\Local\Temp\OnboardLogs"\RTDC4022\2017-11-19 --exclude "*" --recursive --include "*20171119*" &amp; "%USERPROFILE%\Documents\GitHub\mrs-test-scripts\Headless Mode &amp; Sideloading\WalkAndUnGZ.bat" "%USERPROFILE%\AppData\Local\Temp\OnboardLogs"\RTDC4022\2017-11-19</v>
      </c>
      <c r="AF39" s="74" t="str">
        <f t="shared" si="12"/>
        <v>"C:\Program Files (x86)\AstroGrep\AstroGrep.exe" /e /r /s /spath="%USERPROFILE%\AppData\Local\Temp\OnboardLogs" /stypes="app*4022*20171118*" /stext=" 14:.+((SYSTEM_STATE.+slice.+state.+changed )|(ment ac)|(multiple cpu faults)|(system.+state.+changed )|(\[timeout)|(PRM\|1\|D)|(kpr)|(kdp)|(train st.+moving)|(\|lc)|(penalty))"</v>
      </c>
      <c r="AG39" s="181" t="str">
        <f t="shared" si="13"/>
        <v>EC</v>
      </c>
      <c r="AH39" s="78" t="str">
        <f t="shared" si="19"/>
        <v>"%USERPROFILE%\Documents\GitHub\eaglep3\Utilities\RefineRTDCRunTimes.py" --tripid 127-18 --locoid 4022 --swversion DE.1.0.9.0 --startMP 204:475 --initTime 2017-11-18T06:59:14 --startdatetime 2017-11-18T07:01:27 --delay 50 --endMP 204:233166 --enddatetime 2017-11-18T07:36:58 --enforcementcount 0 &gt;&gt;%USERPROFILE%\Documents\GitHub\eaglep3-reporting\EC\2017-11-18-refined-times.txt</v>
      </c>
      <c r="AI39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{"issue":{"subject":"","project_id":79,"tracker_id":40,"status_id":1,"priority_id":2,"assigned_to_id":338,"start_date":"2017-11-18","description":"","custom_fields":[{"id":1,"name":"Subdivision","value":"EC"},{"id":4,"name":"Milepost","value":"23.3166"},{"id":17,"name":"Train ID","value":"127-18"},{"id":16,"name":"Locomotive ID","value":"4022"},{"id":130,"name":"Impact","value":""},{"id":150,"name":"Time of Event (Mountain Time)","value":"07:36:58"},{"id":151,"name":"Denver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1" t="str">
        <f t="shared" si="21"/>
        <v>start /low /b %USERPROFILE%\Documents\GitHub\eaglep3\Utilities\DownloadLogsFromS3.py --loco 4022 --day 2017-11-18</v>
      </c>
      <c r="AN39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14:36:58"},{"id":29,"name":"Sharepoint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7" t="str">
        <f t="shared" si="23"/>
        <v>https://d0f6bd738d7f1b3e5a7ca70fe4ff75f0.us-east-1.aws.found.io/app/kibana#/discover/Steve-Slow-Train-Analysis-(2080s-and-2083s)?_g=(refreshInterval:(display:Off,pause:!f,section:0,value:0),time:(from:'2017-11-18T05:59:14-0700',mode:absolute,to:'2017-11-18T08:36:58-0700'))&amp;_a=(columns:!('Message%20ID',Summary),filters:!(),index:'emp_*',interval:auto,query:(query_string:(analyze_wildcard:!t,query:'%22rtdc.l.rtdc.4022%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763</v>
      </c>
      <c r="B40" s="7">
        <v>4021</v>
      </c>
      <c r="C40" s="21" t="s">
        <v>192</v>
      </c>
      <c r="D40" s="21" t="s">
        <v>933</v>
      </c>
      <c r="E40" s="13">
        <v>43057.321574074071</v>
      </c>
      <c r="F40" s="13">
        <v>43057.332071759258</v>
      </c>
      <c r="G40" s="7">
        <v>52</v>
      </c>
      <c r="H40" s="21" t="s">
        <v>442</v>
      </c>
      <c r="I40" s="13">
        <v>43057.357754629629</v>
      </c>
      <c r="J40" s="7">
        <v>0</v>
      </c>
      <c r="K40" s="89" t="str">
        <f t="shared" si="0"/>
        <v>4021/4022</v>
      </c>
      <c r="L40" s="184" t="str">
        <f>VLOOKUP(A40,'Trips&amp;Operators'!$C$1:$G$99911,5,FALSE)</f>
        <v>MACDONALD THOMAS</v>
      </c>
      <c r="M40" s="6">
        <f t="shared" si="1"/>
        <v>2.5682870371383615E-2</v>
      </c>
      <c r="N40" s="7">
        <f t="shared" si="24"/>
        <v>36.983333334792405</v>
      </c>
      <c r="O40" s="7"/>
      <c r="P40" s="7"/>
      <c r="Q40" s="22"/>
      <c r="R40" s="173"/>
      <c r="S40" s="220">
        <f t="shared" si="3"/>
        <v>1</v>
      </c>
      <c r="T40" s="173" t="str">
        <f t="shared" si="4"/>
        <v>Southbound</v>
      </c>
      <c r="U40" s="19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5" t="str">
        <f t="shared" si="5"/>
        <v>https://d0f6bd738d7f1b3e5a7ca70fe4ff75f0.us-east-1.aws.found.io/app/kibana#/discover/Steve-Slow-Train-Analysis-(2080s-and-2083s)?_g=(refreshInterval:(display:Off,pause:!f,section:0,value:0),time:(from:'2017-11-18T06:43:04-0700',mode:absolute,to:'2017-11-18T09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0" s="203" t="str">
        <f>IF(AA40&lt;VLOOKUP(AG40,Variables!$AC$3:$AD$8,2,FALSE),"Y","N")</f>
        <v>N</v>
      </c>
      <c r="X40" s="203">
        <f t="shared" si="6"/>
        <v>1</v>
      </c>
      <c r="Y40" s="203">
        <f t="shared" si="7"/>
        <v>23.285699999999999</v>
      </c>
      <c r="Z40" s="203">
        <f t="shared" si="8"/>
        <v>2.3599999999999999E-2</v>
      </c>
      <c r="AA40" s="203">
        <f t="shared" si="9"/>
        <v>23.2621</v>
      </c>
      <c r="AB40" s="54" t="e">
        <f>VLOOKUP(A40,Enforcements!$C$7:$K$9,8,0)</f>
        <v>#N/A</v>
      </c>
      <c r="AC40" s="51" t="e">
        <f>VLOOKUP(A40,Enforcements!$C$7:$E$9,3,0)</f>
        <v>#N/A</v>
      </c>
      <c r="AD40" s="178">
        <f t="shared" si="10"/>
        <v>128</v>
      </c>
      <c r="AE40" s="77" t="str">
        <f t="shared" si="11"/>
        <v>aws s3 cp s3://rtdc.mdm.uploadarchive.raw/RTDC4021/ "%USERPROFILE%\AppData\Local\Temp\OnboardLogs"\RTDC4021\2017-11-18 --exclude "*" --recursive --include "*20171118*" &amp; "%USERPROFILE%\Documents\GitHub\mrs-test-scripts\Headless Mode &amp; Sideloading\WalkAndUnGZ.bat" "%USERPROFILE%\AppData\Local\Temp\OnboardLogs"\RTDC4021\2017-11-18 &amp; aws s3 cp s3://rtdc.mdm.uploadarchive.raw/RTDC4021/ "%USERPROFILE%\AppData\Local\Temp\OnboardLogs"\RTDC4021\2017-11-19 --exclude "*" --recursive --include "*20171119*" &amp; "%USERPROFILE%\Documents\GitHub\mrs-test-scripts\Headless Mode &amp; Sideloading\WalkAndUnGZ.bat" "%USERPROFILE%\AppData\Local\Temp\OnboardLogs"\RTDC4021\2017-11-19</v>
      </c>
      <c r="AF40" s="74" t="str">
        <f t="shared" si="12"/>
        <v>"C:\Program Files (x86)\AstroGrep\AstroGrep.exe" /e /r /s /spath="%USERPROFILE%\AppData\Local\Temp\OnboardLogs" /stypes="app*4021*20171118*" /stext=" 15:.+((SYSTEM_STATE.+slice.+state.+changed )|(ment ac)|(multiple cpu faults)|(system.+state.+changed )|(\[timeout)|(PRM\|1\|D)|(kpr)|(kdp)|(train st.+moving)|(\|lc)|(penalty))"</v>
      </c>
      <c r="AG40" s="181" t="str">
        <f t="shared" si="13"/>
        <v>EC</v>
      </c>
      <c r="AH40" s="78" t="str">
        <f t="shared" si="19"/>
        <v>"%USERPROFILE%\Documents\GitHub\eaglep3\Utilities\RefineRTDCRunTimes.py" --tripid 128-18 --locoid 4021 --swversion DE.1.0.9.0 --startMP 204:232857 --initTime 2017-11-18T07:43:04 --startdatetime 2017-11-18T07:58:11 --delay 52 --endMP 204:236 --enddatetime 2017-11-18T08:35:10 --enforcementcount 0 &gt;&gt;%USERPROFILE%\Documents\GitHub\eaglep3-reporting\EC\2017-11-18-refined-times.txt</v>
      </c>
      <c r="AI40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{"issue":{"subject":"","project_id":79,"tracker_id":40,"status_id":1,"priority_id":2,"assigned_to_id":338,"start_date":"2017-11-18","description":"","custom_fields":[{"id":1,"name":"Subdivision","value":"EC"},{"id":4,"name":"Milepost","value":"0.0236"},{"id":17,"name":"Train ID","value":"128-18"},{"id":16,"name":"Locomotive ID","value":"4021"},{"id":130,"name":"Impact","value":""},{"id":150,"name":"Time of Event (Mountain Time)","value":"08:35:10"},{"id":151,"name":"Denver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1" t="str">
        <f t="shared" si="21"/>
        <v>start /low /b %USERPROFILE%\Documents\GitHub\eaglep3\Utilities\DownloadLogsFromS3.py --loco 4021 --day 2017-11-18</v>
      </c>
      <c r="AN40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15:35:10"},{"id":29,"name":"Sharepoint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7" t="str">
        <f t="shared" si="23"/>
        <v>https://d0f6bd738d7f1b3e5a7ca70fe4ff75f0.us-east-1.aws.found.io/app/kibana#/discover/Steve-Slow-Train-Analysis-(2080s-and-2083s)?_g=(refreshInterval:(display:Off,pause:!f,section:0,value:0),time:(from:'2017-11-18T06:43:04-0700',mode:absolute,to:'2017-11-18T09:35:10-0700'))&amp;_a=(columns:!('Message%20ID',Summary),filters:!(),index:'emp_*',interval:auto,query:(query_string:(analyze_wildcard:!t,query:'%22rtdc.l.rtdc.4021%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759</v>
      </c>
      <c r="B41" s="7">
        <v>4004</v>
      </c>
      <c r="C41" s="21" t="s">
        <v>192</v>
      </c>
      <c r="D41" s="21" t="s">
        <v>934</v>
      </c>
      <c r="E41" s="13">
        <v>43057.29824074074</v>
      </c>
      <c r="F41" s="13">
        <v>43057.30228009259</v>
      </c>
      <c r="G41" s="7">
        <v>47</v>
      </c>
      <c r="H41" s="21" t="s">
        <v>618</v>
      </c>
      <c r="I41" s="13">
        <v>43057.326550925929</v>
      </c>
      <c r="J41" s="7">
        <v>0</v>
      </c>
      <c r="K41" s="89" t="str">
        <f t="shared" si="0"/>
        <v>4003/4004</v>
      </c>
      <c r="L41" s="184" t="str">
        <f>VLOOKUP(A41,'Trips&amp;Operators'!$C$1:$G$99911,5,FALSE)</f>
        <v>MAELZER KURT</v>
      </c>
      <c r="M41" s="6">
        <f t="shared" si="1"/>
        <v>2.4270833338960074E-2</v>
      </c>
      <c r="N41" s="7">
        <f t="shared" si="24"/>
        <v>34.950000008102506</v>
      </c>
      <c r="O41" s="7"/>
      <c r="P41" s="7"/>
      <c r="Q41" s="22"/>
      <c r="R41" s="173"/>
      <c r="S41" s="220">
        <f t="shared" si="3"/>
        <v>1</v>
      </c>
      <c r="T41" s="173" t="str">
        <f t="shared" si="4"/>
        <v>NorthBound</v>
      </c>
      <c r="U41" s="19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5" t="str">
        <f t="shared" si="5"/>
        <v>https://d0f6bd738d7f1b3e5a7ca70fe4ff75f0.us-east-1.aws.found.io/app/kibana#/discover/Steve-Slow-Train-Analysis-(2080s-and-2083s)?_g=(refreshInterval:(display:Off,pause:!f,section:0,value:0),time:(from:'2017-11-18T06:09:28-0700',mode:absolute,to:'2017-11-18T08:50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1" s="203" t="str">
        <f>IF(AA41&lt;VLOOKUP(AG41,Variables!$AC$3:$AD$8,2,FALSE),"Y","N")</f>
        <v>N</v>
      </c>
      <c r="X41" s="203">
        <f t="shared" si="6"/>
        <v>1</v>
      </c>
      <c r="Y41" s="203">
        <f t="shared" si="7"/>
        <v>5.2400000000000002E-2</v>
      </c>
      <c r="Z41" s="203">
        <f t="shared" si="8"/>
        <v>23.3309</v>
      </c>
      <c r="AA41" s="203">
        <f t="shared" si="9"/>
        <v>23.278500000000001</v>
      </c>
      <c r="AB41" s="54" t="e">
        <f>VLOOKUP(A41,Enforcements!$C$7:$K$9,8,0)</f>
        <v>#N/A</v>
      </c>
      <c r="AC41" s="51" t="e">
        <f>VLOOKUP(A41,Enforcements!$C$7:$E$9,3,0)</f>
        <v>#N/A</v>
      </c>
      <c r="AD41" s="178">
        <f t="shared" si="10"/>
        <v>129</v>
      </c>
      <c r="AE41" s="77" t="str">
        <f t="shared" si="11"/>
        <v>aws s3 cp s3://rtdc.mdm.uploadarchive.raw/RTDC4004/ "%USERPROFILE%\AppData\Local\Temp\OnboardLogs"\RTDC4004\2017-11-18 --exclude "*" --recursive --include "*20171118*" &amp; "%USERPROFILE%\Documents\GitHub\mrs-test-scripts\Headless Mode &amp; Sideloading\WalkAndUnGZ.bat" "%USERPROFILE%\AppData\Local\Temp\OnboardLogs"\RTDC4004\2017-11-18 &amp; aws s3 cp s3://rtdc.mdm.uploadarchive.raw/RTDC4004/ "%USERPROFILE%\AppData\Local\Temp\OnboardLogs"\RTDC4004\2017-11-19 --exclude "*" --recursive --include "*20171119*" &amp; "%USERPROFILE%\Documents\GitHub\mrs-test-scripts\Headless Mode &amp; Sideloading\WalkAndUnGZ.bat" "%USERPROFILE%\AppData\Local\Temp\OnboardLogs"\RTDC4004\2017-11-19</v>
      </c>
      <c r="AF41" s="74" t="str">
        <f t="shared" si="12"/>
        <v>"C:\Program Files (x86)\AstroGrep\AstroGrep.exe" /e /r /s /spath="%USERPROFILE%\AppData\Local\Temp\OnboardLogs" /stypes="app*4004*20171118*" /stext=" 14:.+((SYSTEM_STATE.+slice.+state.+changed )|(ment ac)|(multiple cpu faults)|(system.+state.+changed )|(\[timeout)|(PRM\|1\|D)|(kpr)|(kdp)|(train st.+moving)|(\|lc)|(penalty))"</v>
      </c>
      <c r="AG41" s="181" t="str">
        <f t="shared" si="13"/>
        <v>EC</v>
      </c>
      <c r="AH41" s="78" t="str">
        <f t="shared" si="19"/>
        <v>"%USERPROFILE%\Documents\GitHub\eaglep3\Utilities\RefineRTDCRunTimes.py" --tripid 129-18 --locoid 4004 --swversion DE.1.0.9.0 --startMP 204:524 --initTime 2017-11-18T07:09:28 --startdatetime 2017-11-18T07:15:17 --delay 47 --endMP 204:233309 --enddatetime 2017-11-18T07:50:14 --enforcementcount 0 &gt;&gt;%USERPROFILE%\Documents\GitHub\eaglep3-reporting\EC\2017-11-18-refined-times.txt</v>
      </c>
      <c r="AI41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{"issue":{"subject":"","project_id":79,"tracker_id":40,"status_id":1,"priority_id":2,"assigned_to_id":338,"start_date":"2017-11-18","description":"","custom_fields":[{"id":1,"name":"Subdivision","value":"EC"},{"id":4,"name":"Milepost","value":"23.3309"},{"id":17,"name":"Train ID","value":"129-18"},{"id":16,"name":"Locomotive ID","value":"4004"},{"id":130,"name":"Impact","value":""},{"id":150,"name":"Time of Event (Mountain Time)","value":"07:50:14"},{"id":151,"name":"Denver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1" t="str">
        <f t="shared" si="21"/>
        <v>start /low /b %USERPROFILE%\Documents\GitHub\eaglep3\Utilities\DownloadLogsFromS3.py --loco 4004 --day 2017-11-18</v>
      </c>
      <c r="AN41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14:50:14"},{"id":29,"name":"Sharepoint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7" t="str">
        <f t="shared" si="23"/>
        <v>https://d0f6bd738d7f1b3e5a7ca70fe4ff75f0.us-east-1.aws.found.io/app/kibana#/discover/Steve-Slow-Train-Analysis-(2080s-and-2083s)?_g=(refreshInterval:(display:Off,pause:!f,section:0,value:0),time:(from:'2017-11-18T06:09:28-0700',mode:absolute,to:'2017-11-18T08:50:14-0700'))&amp;_a=(columns:!('Message%20ID',Summary),filters:!(),index:'emp_*',interval:auto,query:(query_string:(analyze_wildcard:!t,query:'%22rtdc.l.rtdc.4004%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766</v>
      </c>
      <c r="B42" s="7">
        <v>4003</v>
      </c>
      <c r="C42" s="21" t="s">
        <v>192</v>
      </c>
      <c r="D42" s="21" t="s">
        <v>931</v>
      </c>
      <c r="E42" s="13">
        <v>43057.331643518519</v>
      </c>
      <c r="F42" s="13">
        <v>43057.341874999998</v>
      </c>
      <c r="G42" s="7">
        <v>53</v>
      </c>
      <c r="H42" s="21" t="s">
        <v>652</v>
      </c>
      <c r="I42" s="13">
        <v>43057.367962962962</v>
      </c>
      <c r="J42" s="7">
        <v>0</v>
      </c>
      <c r="K42" s="89" t="str">
        <f t="shared" si="0"/>
        <v>4003/4004</v>
      </c>
      <c r="L42" s="184" t="str">
        <f>VLOOKUP(A42,'Trips&amp;Operators'!$C$1:$G$99911,5,FALSE)</f>
        <v>MAELZER KURT</v>
      </c>
      <c r="M42" s="6">
        <f t="shared" si="1"/>
        <v>2.6087962964083999E-2</v>
      </c>
      <c r="N42" s="7">
        <f t="shared" si="24"/>
        <v>37.566666668280959</v>
      </c>
      <c r="O42" s="7"/>
      <c r="P42" s="7"/>
      <c r="Q42" s="22"/>
      <c r="R42" s="173"/>
      <c r="S42" s="220">
        <f t="shared" si="3"/>
        <v>1</v>
      </c>
      <c r="T42" s="173" t="str">
        <f t="shared" si="4"/>
        <v>Southbound</v>
      </c>
      <c r="U42" s="19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5" t="str">
        <f t="shared" si="5"/>
        <v>https://d0f6bd738d7f1b3e5a7ca70fe4ff75f0.us-east-1.aws.found.io/app/kibana#/discover/Steve-Slow-Train-Analysis-(2080s-and-2083s)?_g=(refreshInterval:(display:Off,pause:!f,section:0,value:0),time:(from:'2017-11-18T06:57:34-0700',mode:absolute,to:'2017-11-18T09:49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2" s="203" t="str">
        <f>IF(AA42&lt;VLOOKUP(AG42,Variables!$AC$3:$AD$8,2,FALSE),"Y","N")</f>
        <v>N</v>
      </c>
      <c r="X42" s="203">
        <f t="shared" si="6"/>
        <v>1</v>
      </c>
      <c r="Y42" s="203">
        <f t="shared" si="7"/>
        <v>23.297799999999999</v>
      </c>
      <c r="Z42" s="203">
        <f t="shared" si="8"/>
        <v>1.83E-2</v>
      </c>
      <c r="AA42" s="203">
        <f t="shared" si="9"/>
        <v>23.279499999999999</v>
      </c>
      <c r="AB42" s="54" t="e">
        <f>VLOOKUP(A42,Enforcements!$C$7:$K$9,8,0)</f>
        <v>#N/A</v>
      </c>
      <c r="AC42" s="51" t="e">
        <f>VLOOKUP(A42,Enforcements!$C$7:$E$9,3,0)</f>
        <v>#N/A</v>
      </c>
      <c r="AD42" s="178">
        <f t="shared" si="10"/>
        <v>130</v>
      </c>
      <c r="AE42" s="77" t="str">
        <f t="shared" si="11"/>
        <v>aws s3 cp s3://rtdc.mdm.uploadarchive.raw/RTDC4003/ "%USERPROFILE%\AppData\Local\Temp\OnboardLogs"\RTDC4003\2017-11-18 --exclude "*" --recursive --include "*20171118*" &amp; "%USERPROFILE%\Documents\GitHub\mrs-test-scripts\Headless Mode &amp; Sideloading\WalkAndUnGZ.bat" "%USERPROFILE%\AppData\Local\Temp\OnboardLogs"\RTDC4003\2017-11-18 &amp; aws s3 cp s3://rtdc.mdm.uploadarchive.raw/RTDC4003/ "%USERPROFILE%\AppData\Local\Temp\OnboardLogs"\RTDC4003\2017-11-19 --exclude "*" --recursive --include "*20171119*" &amp; "%USERPROFILE%\Documents\GitHub\mrs-test-scripts\Headless Mode &amp; Sideloading\WalkAndUnGZ.bat" "%USERPROFILE%\AppData\Local\Temp\OnboardLogs"\RTDC4003\2017-11-19</v>
      </c>
      <c r="AF42" s="74" t="str">
        <f t="shared" si="12"/>
        <v>"C:\Program Files (x86)\AstroGrep\AstroGrep.exe" /e /r /s /spath="%USERPROFILE%\AppData\Local\Temp\OnboardLogs" /stypes="app*4003*20171118*" /stext=" 15:.+((SYSTEM_STATE.+slice.+state.+changed )|(ment ac)|(multiple cpu faults)|(system.+state.+changed )|(\[timeout)|(PRM\|1\|D)|(kpr)|(kdp)|(train st.+moving)|(\|lc)|(penalty))"</v>
      </c>
      <c r="AG42" s="181" t="str">
        <f t="shared" si="13"/>
        <v>EC</v>
      </c>
      <c r="AH42" s="78" t="str">
        <f t="shared" si="19"/>
        <v>"%USERPROFILE%\Documents\GitHub\eaglep3\Utilities\RefineRTDCRunTimes.py" --tripid 130-18 --locoid 4003 --swversion DE.1.0.9.0 --startMP 204:232978 --initTime 2017-11-18T07:57:34 --startdatetime 2017-11-18T08:12:18 --delay 53 --endMP 204:183 --enddatetime 2017-11-18T08:49:52 --enforcementcount 0 &gt;&gt;%USERPROFILE%\Documents\GitHub\eaglep3-reporting\EC\2017-11-18-refined-times.txt</v>
      </c>
      <c r="AI42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{"issue":{"subject":"","project_id":79,"tracker_id":40,"status_id":1,"priority_id":2,"assigned_to_id":338,"start_date":"2017-11-18","description":"","custom_fields":[{"id":1,"name":"Subdivision","value":"EC"},{"id":4,"name":"Milepost","value":"0.0183"},{"id":17,"name":"Train ID","value":"130-18"},{"id":16,"name":"Locomotive ID","value":"4003"},{"id":130,"name":"Impact","value":""},{"id":150,"name":"Time of Event (Mountain Time)","value":"08:49:52"},{"id":151,"name":"Denver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1" t="str">
        <f t="shared" si="21"/>
        <v>start /low /b %USERPROFILE%\Documents\GitHub\eaglep3\Utilities\DownloadLogsFromS3.py --loco 4003 --day 2017-11-18</v>
      </c>
      <c r="AN42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15:49:52"},{"id":29,"name":"Sharepoint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7" t="str">
        <f t="shared" si="23"/>
        <v>https://d0f6bd738d7f1b3e5a7ca70fe4ff75f0.us-east-1.aws.found.io/app/kibana#/discover/Steve-Slow-Train-Analysis-(2080s-and-2083s)?_g=(refreshInterval:(display:Off,pause:!f,section:0,value:0),time:(from:'2017-11-18T06:57:34-0700',mode:absolute,to:'2017-11-18T09:49:52-0700'))&amp;_a=(columns:!('Message%20ID',Summary),filters:!(),index:'emp_*',interval:auto,query:(query_string:(analyze_wildcard:!t,query:'%22rtdc.l.rtdc.4003%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760</v>
      </c>
      <c r="B43" s="7">
        <v>4006</v>
      </c>
      <c r="C43" s="21" t="s">
        <v>192</v>
      </c>
      <c r="D43" s="21" t="s">
        <v>560</v>
      </c>
      <c r="E43" s="13">
        <v>43057.308993055558</v>
      </c>
      <c r="F43" s="13">
        <v>43057.312777777777</v>
      </c>
      <c r="G43" s="7">
        <v>68</v>
      </c>
      <c r="H43" s="21" t="s">
        <v>935</v>
      </c>
      <c r="I43" s="13">
        <v>43057.338252314818</v>
      </c>
      <c r="J43" s="7">
        <v>0</v>
      </c>
      <c r="K43" s="89" t="str">
        <f t="shared" si="0"/>
        <v>4005/4006</v>
      </c>
      <c r="L43" s="184" t="str">
        <f>VLOOKUP(A43,'Trips&amp;Operators'!$C$1:$G$99911,5,FALSE)</f>
        <v>WILLIAMS DONTE</v>
      </c>
      <c r="M43" s="6">
        <f t="shared" si="1"/>
        <v>2.5474537040281575E-2</v>
      </c>
      <c r="N43" s="7">
        <f t="shared" si="24"/>
        <v>36.683333338005468</v>
      </c>
      <c r="O43" s="7"/>
      <c r="P43" s="7"/>
      <c r="Q43" s="22"/>
      <c r="R43" s="173"/>
      <c r="S43" s="220">
        <f t="shared" si="3"/>
        <v>1</v>
      </c>
      <c r="T43" s="173" t="str">
        <f t="shared" si="4"/>
        <v>NorthBound</v>
      </c>
      <c r="U43" s="19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5" t="str">
        <f t="shared" si="5"/>
        <v>https://d0f6bd738d7f1b3e5a7ca70fe4ff75f0.us-east-1.aws.found.io/app/kibana#/discover/Steve-Slow-Train-Analysis-(2080s-and-2083s)?_g=(refreshInterval:(display:Off,pause:!f,section:0,value:0),time:(from:'2017-11-18T06:24:57-0700',mode:absolute,to:'2017-11-18T09:07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3" s="203" t="str">
        <f>IF(AA43&lt;VLOOKUP(AG43,Variables!$AC$3:$AD$8,2,FALSE),"Y","N")</f>
        <v>N</v>
      </c>
      <c r="X43" s="203">
        <f t="shared" si="6"/>
        <v>1</v>
      </c>
      <c r="Y43" s="203">
        <f t="shared" si="7"/>
        <v>5.1900000000000002E-2</v>
      </c>
      <c r="Z43" s="203">
        <f t="shared" si="8"/>
        <v>23.3232</v>
      </c>
      <c r="AA43" s="203">
        <f t="shared" si="9"/>
        <v>23.2713</v>
      </c>
      <c r="AB43" s="54" t="e">
        <f>VLOOKUP(A43,Enforcements!$C$7:$K$9,8,0)</f>
        <v>#N/A</v>
      </c>
      <c r="AC43" s="51" t="e">
        <f>VLOOKUP(A43,Enforcements!$C$7:$E$9,3,0)</f>
        <v>#N/A</v>
      </c>
      <c r="AD43" s="178">
        <f t="shared" si="10"/>
        <v>131</v>
      </c>
      <c r="AE43" s="77" t="str">
        <f t="shared" si="11"/>
        <v>aws s3 cp s3://rtdc.mdm.uploadarchive.raw/RTDC4006/ "%USERPROFILE%\AppData\Local\Temp\OnboardLogs"\RTDC4006\2017-11-18 --exclude "*" --recursive --include "*20171118*" &amp; "%USERPROFILE%\Documents\GitHub\mrs-test-scripts\Headless Mode &amp; Sideloading\WalkAndUnGZ.bat" "%USERPROFILE%\AppData\Local\Temp\OnboardLogs"\RTDC4006\2017-11-18 &amp; aws s3 cp s3://rtdc.mdm.uploadarchive.raw/RTDC4006/ "%USERPROFILE%\AppData\Local\Temp\OnboardLogs"\RTDC4006\2017-11-19 --exclude "*" --recursive --include "*20171119*" &amp; "%USERPROFILE%\Documents\GitHub\mrs-test-scripts\Headless Mode &amp; Sideloading\WalkAndUnGZ.bat" "%USERPROFILE%\AppData\Local\Temp\OnboardLogs"\RTDC4006\2017-11-19</v>
      </c>
      <c r="AF43" s="74" t="str">
        <f t="shared" si="12"/>
        <v>"C:\Program Files (x86)\AstroGrep\AstroGrep.exe" /e /r /s /spath="%USERPROFILE%\AppData\Local\Temp\OnboardLogs" /stypes="app*4006*20171118*" /stext=" 15:.+((SYSTEM_STATE.+slice.+state.+changed )|(ment ac)|(multiple cpu faults)|(system.+state.+changed )|(\[timeout)|(PRM\|1\|D)|(kpr)|(kdp)|(train st.+moving)|(\|lc)|(penalty))"</v>
      </c>
      <c r="AG43" s="181" t="str">
        <f t="shared" si="13"/>
        <v>EC</v>
      </c>
      <c r="AH43" s="78" t="str">
        <f t="shared" si="19"/>
        <v>"%USERPROFILE%\Documents\GitHub\eaglep3\Utilities\RefineRTDCRunTimes.py" --tripid 131-18 --locoid 4006 --swversion DE.1.0.9.0 --startMP 204:519 --initTime 2017-11-18T07:24:57 --startdatetime 2017-11-18T07:30:24 --delay 68 --endMP 204:233232 --enddatetime 2017-11-18T08:07:05 --enforcementcount 0 &gt;&gt;%USERPROFILE%\Documents\GitHub\eaglep3-reporting\EC\2017-11-18-refined-times.txt</v>
      </c>
      <c r="AI43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{"issue":{"subject":"","project_id":79,"tracker_id":40,"status_id":1,"priority_id":2,"assigned_to_id":338,"start_date":"2017-11-18","description":"","custom_fields":[{"id":1,"name":"Subdivision","value":"EC"},{"id":4,"name":"Milepost","value":"23.3232"},{"id":17,"name":"Train ID","value":"131-18"},{"id":16,"name":"Locomotive ID","value":"4006"},{"id":130,"name":"Impact","value":""},{"id":150,"name":"Time of Event (Mountain Time)","value":"08:07:05"},{"id":151,"name":"Denver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1" t="str">
        <f t="shared" si="21"/>
        <v>start /low /b %USERPROFILE%\Documents\GitHub\eaglep3\Utilities\DownloadLogsFromS3.py --loco 4006 --day 2017-11-18</v>
      </c>
      <c r="AN43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15:07:05"},{"id":29,"name":"Sharepoint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7" t="str">
        <f t="shared" si="23"/>
        <v>https://d0f6bd738d7f1b3e5a7ca70fe4ff75f0.us-east-1.aws.found.io/app/kibana#/discover/Steve-Slow-Train-Analysis-(2080s-and-2083s)?_g=(refreshInterval:(display:Off,pause:!f,section:0,value:0),time:(from:'2017-11-18T06:24:57-0700',mode:absolute,to:'2017-11-18T09:07:05-0700'))&amp;_a=(columns:!('Message%20ID',Summary),filters:!(),index:'emp_*',interval:auto,query:(query_string:(analyze_wildcard:!t,query:'%22rtdc.l.rtdc.4006%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768</v>
      </c>
      <c r="B44" s="7">
        <v>4005</v>
      </c>
      <c r="C44" s="21" t="s">
        <v>192</v>
      </c>
      <c r="D44" s="21" t="s">
        <v>636</v>
      </c>
      <c r="E44" s="13">
        <v>43057.348668981482</v>
      </c>
      <c r="F44" s="13">
        <v>43057.352303240739</v>
      </c>
      <c r="G44" s="7">
        <v>64</v>
      </c>
      <c r="H44" s="21" t="s">
        <v>507</v>
      </c>
      <c r="I44" s="13">
        <v>43057.378518518519</v>
      </c>
      <c r="J44" s="7">
        <v>0</v>
      </c>
      <c r="K44" s="89" t="str">
        <f t="shared" si="0"/>
        <v>4005/4006</v>
      </c>
      <c r="L44" s="184" t="str">
        <f>VLOOKUP(A44,'Trips&amp;Operators'!$C$1:$G$99911,5,FALSE)</f>
        <v>WILLIAMS DONTE</v>
      </c>
      <c r="M44" s="6">
        <f t="shared" si="1"/>
        <v>2.6215277779556345E-2</v>
      </c>
      <c r="N44" s="7">
        <f t="shared" si="24"/>
        <v>37.750000002561137</v>
      </c>
      <c r="O44" s="7"/>
      <c r="P44" s="7"/>
      <c r="Q44" s="22"/>
      <c r="R44" s="173"/>
      <c r="S44" s="220">
        <f t="shared" si="3"/>
        <v>1</v>
      </c>
      <c r="T44" s="173" t="str">
        <f t="shared" si="4"/>
        <v>Southbound</v>
      </c>
      <c r="U44" s="19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5" t="str">
        <f t="shared" si="5"/>
        <v>https://d0f6bd738d7f1b3e5a7ca70fe4ff75f0.us-east-1.aws.found.io/app/kibana#/discover/Steve-Slow-Train-Analysis-(2080s-and-2083s)?_g=(refreshInterval:(display:Off,pause:!f,section:0,value:0),time:(from:'2017-11-18T07:22:05-0700',mode:absolute,to:'2017-11-18T10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4" s="203" t="str">
        <f>IF(AA44&lt;VLOOKUP(AG44,Variables!$AC$3:$AD$8,2,FALSE),"Y","N")</f>
        <v>N</v>
      </c>
      <c r="X44" s="203">
        <f t="shared" si="6"/>
        <v>1</v>
      </c>
      <c r="Y44" s="203">
        <f t="shared" si="7"/>
        <v>23.2943</v>
      </c>
      <c r="Z44" s="203">
        <f t="shared" si="8"/>
        <v>2.1999999999999999E-2</v>
      </c>
      <c r="AA44" s="203">
        <f t="shared" si="9"/>
        <v>23.272300000000001</v>
      </c>
      <c r="AB44" s="54" t="e">
        <f>VLOOKUP(A44,Enforcements!$C$7:$K$9,8,0)</f>
        <v>#N/A</v>
      </c>
      <c r="AC44" s="51" t="e">
        <f>VLOOKUP(A44,Enforcements!$C$7:$E$9,3,0)</f>
        <v>#N/A</v>
      </c>
      <c r="AD44" s="178">
        <f t="shared" si="10"/>
        <v>132</v>
      </c>
      <c r="AE44" s="77" t="str">
        <f t="shared" si="11"/>
        <v>aws s3 cp s3://rtdc.mdm.uploadarchive.raw/RTDC4005/ "%USERPROFILE%\AppData\Local\Temp\OnboardLogs"\RTDC4005\2017-11-18 --exclude "*" --recursive --include "*20171118*" &amp; "%USERPROFILE%\Documents\GitHub\mrs-test-scripts\Headless Mode &amp; Sideloading\WalkAndUnGZ.bat" "%USERPROFILE%\AppData\Local\Temp\OnboardLogs"\RTDC4005\2017-11-18 &amp; aws s3 cp s3://rtdc.mdm.uploadarchive.raw/RTDC4005/ "%USERPROFILE%\AppData\Local\Temp\OnboardLogs"\RTDC4005\2017-11-19 --exclude "*" --recursive --include "*20171119*" &amp; "%USERPROFILE%\Documents\GitHub\mrs-test-scripts\Headless Mode &amp; Sideloading\WalkAndUnGZ.bat" "%USERPROFILE%\AppData\Local\Temp\OnboardLogs"\RTDC4005\2017-11-19</v>
      </c>
      <c r="AF44" s="74" t="str">
        <f t="shared" si="12"/>
        <v>"C:\Program Files (x86)\AstroGrep\AstroGrep.exe" /e /r /s /spath="%USERPROFILE%\AppData\Local\Temp\OnboardLogs" /stypes="app*4005*20171118*" /stext=" 16:.+((SYSTEM_STATE.+slice.+state.+changed )|(ment ac)|(multiple cpu faults)|(system.+state.+changed )|(\[timeout)|(PRM\|1\|D)|(kpr)|(kdp)|(train st.+moving)|(\|lc)|(penalty))"</v>
      </c>
      <c r="AG44" s="181" t="str">
        <f t="shared" si="13"/>
        <v>EC</v>
      </c>
      <c r="AH44" s="78" t="str">
        <f t="shared" si="19"/>
        <v>"%USERPROFILE%\Documents\GitHub\eaglep3\Utilities\RefineRTDCRunTimes.py" --tripid 132-18 --locoid 4005 --swversion DE.1.0.9.0 --startMP 204:232943 --initTime 2017-11-18T08:22:05 --startdatetime 2017-11-18T08:27:19 --delay 64 --endMP 204:220 --enddatetime 2017-11-18T09:05:04 --enforcementcount 0 &gt;&gt;%USERPROFILE%\Documents\GitHub\eaglep3-reporting\EC\2017-11-18-refined-times.txt</v>
      </c>
      <c r="AI44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{"issue":{"subject":"","project_id":79,"tracker_id":40,"status_id":1,"priority_id":2,"assigned_to_id":338,"start_date":"2017-11-18","description":"","custom_fields":[{"id":1,"name":"Subdivision","value":"EC"},{"id":4,"name":"Milepost","value":"0.022"},{"id":17,"name":"Train ID","value":"132-18"},{"id":16,"name":"Locomotive ID","value":"4005"},{"id":130,"name":"Impact","value":""},{"id":150,"name":"Time of Event (Mountain Time)","value":"09:05:04"},{"id":151,"name":"Denver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1" t="str">
        <f t="shared" si="21"/>
        <v>start /low /b %USERPROFILE%\Documents\GitHub\eaglep3\Utilities\DownloadLogsFromS3.py --loco 4005 --day 2017-11-18</v>
      </c>
      <c r="AN44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16:05:04"},{"id":29,"name":"Sharepoint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7" t="str">
        <f t="shared" si="23"/>
        <v>https://d0f6bd738d7f1b3e5a7ca70fe4ff75f0.us-east-1.aws.found.io/app/kibana#/discover/Steve-Slow-Train-Analysis-(2080s-and-2083s)?_g=(refreshInterval:(display:Off,pause:!f,section:0,value:0),time:(from:'2017-11-18T07:22:05-0700',mode:absolute,to:'2017-11-18T10:05:04-0700'))&amp;_a=(columns:!('Message%20ID',Summary),filters:!(),index:'emp_*',interval:auto,query:(query_string:(analyze_wildcard:!t,query:'%22rtdc.l.rtdc.4005%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762</v>
      </c>
      <c r="B45" s="7">
        <v>4018</v>
      </c>
      <c r="C45" s="21" t="s">
        <v>192</v>
      </c>
      <c r="D45" s="21" t="s">
        <v>936</v>
      </c>
      <c r="E45" s="13">
        <v>43057.31690972222</v>
      </c>
      <c r="F45" s="13">
        <v>43057.323923611111</v>
      </c>
      <c r="G45" s="7">
        <v>70</v>
      </c>
      <c r="H45" s="21" t="s">
        <v>937</v>
      </c>
      <c r="I45" s="13">
        <v>43057.347384259258</v>
      </c>
      <c r="J45" s="7">
        <v>0</v>
      </c>
      <c r="K45" s="89" t="str">
        <f t="shared" ref="K45:K76" si="25">IF(ISEVEN(B45),(B45-1)&amp;"/"&amp;B45,B45&amp;"/"&amp;(B45+1))</f>
        <v>4017/4018</v>
      </c>
      <c r="L45" s="184" t="str">
        <f>VLOOKUP(A45,'Trips&amp;Operators'!$C$1:$G$99911,5,FALSE)</f>
        <v>NEWELL JAMES</v>
      </c>
      <c r="M45" s="6">
        <f t="shared" ref="M45:M76" si="26">I45-F45</f>
        <v>2.3460648146283347E-2</v>
      </c>
      <c r="N45" s="7">
        <f t="shared" si="24"/>
        <v>33.78333333064802</v>
      </c>
      <c r="O45" s="7"/>
      <c r="P45" s="7"/>
      <c r="Q45" s="22"/>
      <c r="R45" s="173"/>
      <c r="S45" s="220">
        <f t="shared" ref="S45:S76" si="27">1/IF(AG45="EC",12,1)*SUM(U45:U45)</f>
        <v>1</v>
      </c>
      <c r="T45" s="173" t="str">
        <f t="shared" ref="T45:T76" si="28">IF(ISEVEN(LEFT(AD45,4)),"Southbound","NorthBound")</f>
        <v>NorthBound</v>
      </c>
      <c r="U45" s="19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5" t="str">
        <f t="shared" si="5"/>
        <v>https://d0f6bd738d7f1b3e5a7ca70fe4ff75f0.us-east-1.aws.found.io/app/kibana#/discover/Steve-Slow-Train-Analysis-(2080s-and-2083s)?_g=(refreshInterval:(display:Off,pause:!f,section:0,value:0),time:(from:'2017-11-18T06:36:21-0700',mode:absolute,to:'2017-11-18T09:20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5" s="203" t="str">
        <f>IF(AA45&lt;VLOOKUP(AG45,Variables!$AC$3:$AD$8,2,FALSE),"Y","N")</f>
        <v>N</v>
      </c>
      <c r="X45" s="203">
        <f t="shared" ref="X45:X64" si="29">VALUE(LEFT(AD45,4))-VALUE(LEFT(AD44,4))</f>
        <v>1</v>
      </c>
      <c r="Y45" s="203">
        <f t="shared" ref="Y45:Y67" si="30">RIGHT(D45,LEN(D45)-4)/10000</f>
        <v>5.4199999999999998E-2</v>
      </c>
      <c r="Z45" s="203">
        <f t="shared" ref="Z45:Z67" si="31">RIGHT(H45,LEN(H45)-4)/10000</f>
        <v>23.317399999999999</v>
      </c>
      <c r="AA45" s="203">
        <f t="shared" ref="AA45:AA76" si="32">ABS(Z45-Y45)</f>
        <v>23.263199999999998</v>
      </c>
      <c r="AB45" s="54" t="e">
        <f>VLOOKUP(A45,Enforcements!$C$7:$K$9,8,0)</f>
        <v>#N/A</v>
      </c>
      <c r="AC45" s="51" t="e">
        <f>VLOOKUP(A45,Enforcements!$C$7:$E$9,3,0)</f>
        <v>#N/A</v>
      </c>
      <c r="AD45" s="178">
        <f t="shared" ref="AD45:AD76" si="33">VALUE(LEFT(A45,LEN(A45)-3))</f>
        <v>133</v>
      </c>
      <c r="AE45" s="77" t="str">
        <f t="shared" si="11"/>
        <v>aws s3 cp s3://rtdc.mdm.uploadarchive.raw/RTDC4018/ "%USERPROFILE%\AppData\Local\Temp\OnboardLogs"\RTDC4018\2017-11-18 --exclude "*" --recursive --include "*20171118*" &amp; "%USERPROFILE%\Documents\GitHub\mrs-test-scripts\Headless Mode &amp; Sideloading\WalkAndUnGZ.bat" "%USERPROFILE%\AppData\Local\Temp\OnboardLogs"\RTDC4018\2017-11-18 &amp; aws s3 cp s3://rtdc.mdm.uploadarchive.raw/RTDC4018/ "%USERPROFILE%\AppData\Local\Temp\OnboardLogs"\RTDC4018\2017-11-19 --exclude "*" --recursive --include "*20171119*" &amp; "%USERPROFILE%\Documents\GitHub\mrs-test-scripts\Headless Mode &amp; Sideloading\WalkAndUnGZ.bat" "%USERPROFILE%\AppData\Local\Temp\OnboardLogs"\RTDC4018\2017-11-19</v>
      </c>
      <c r="AF45" s="74" t="str">
        <f t="shared" si="12"/>
        <v>"C:\Program Files (x86)\AstroGrep\AstroGrep.exe" /e /r /s /spath="%USERPROFILE%\AppData\Local\Temp\OnboardLogs" /stypes="app*4018*20171118*" /stext=" 15:.+((SYSTEM_STATE.+slice.+state.+changed )|(ment ac)|(multiple cpu faults)|(system.+state.+changed )|(\[timeout)|(PRM\|1\|D)|(kpr)|(kdp)|(train st.+moving)|(\|lc)|(penalty))"</v>
      </c>
      <c r="AG45" s="181" t="str">
        <f t="shared" ref="AG45:AG76" si="34">DetSubdiv(A45)</f>
        <v>EC</v>
      </c>
      <c r="AH45" s="78" t="str">
        <f t="shared" si="19"/>
        <v>"%USERPROFILE%\Documents\GitHub\eaglep3\Utilities\RefineRTDCRunTimes.py" --tripid 133-18 --locoid 4018 --swversion DE.1.0.9.0 --startMP 204:542 --initTime 2017-11-18T07:36:21 --startdatetime 2017-11-18T07:46:27 --delay 70 --endMP 204:233174 --enddatetime 2017-11-18T08:20:14 --enforcementcount 0 &gt;&gt;%USERPROFILE%\Documents\GitHub\eaglep3-reporting\EC\2017-11-18-refined-times.txt</v>
      </c>
      <c r="AI45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{"issue":{"subject":"","project_id":79,"tracker_id":40,"status_id":1,"priority_id":2,"assigned_to_id":338,"start_date":"2017-11-18","description":"","custom_fields":[{"id":1,"name":"Subdivision","value":"EC"},{"id":4,"name":"Milepost","value":"23.3174"},{"id":17,"name":"Train ID","value":"133-18"},{"id":16,"name":"Locomotive ID","value":"4018"},{"id":130,"name":"Impact","value":""},{"id":150,"name":"Time of Event (Mountain Time)","value":"08:20:14"},{"id":151,"name":"Denver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1" t="str">
        <f t="shared" si="21"/>
        <v>start /low /b %USERPROFILE%\Documents\GitHub\eaglep3\Utilities\DownloadLogsFromS3.py --loco 4018 --day 2017-11-18</v>
      </c>
      <c r="AN45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15:20:14"},{"id":29,"name":"Sharepoint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7" t="str">
        <f t="shared" si="23"/>
        <v>https://d0f6bd738d7f1b3e5a7ca70fe4ff75f0.us-east-1.aws.found.io/app/kibana#/discover/Steve-Slow-Train-Analysis-(2080s-and-2083s)?_g=(refreshInterval:(display:Off,pause:!f,section:0,value:0),time:(from:'2017-11-18T06:36:21-0700',mode:absolute,to:'2017-11-18T09:20:14-0700'))&amp;_a=(columns:!('Message%20ID',Summary),filters:!(),index:'emp_*',interval:auto,query:(query_string:(analyze_wildcard:!t,query:'%22rtdc.l.rtdc.4018%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771</v>
      </c>
      <c r="B46" s="7">
        <v>4017</v>
      </c>
      <c r="C46" s="21" t="s">
        <v>192</v>
      </c>
      <c r="D46" s="21" t="s">
        <v>933</v>
      </c>
      <c r="E46" s="13">
        <v>43057.355949074074</v>
      </c>
      <c r="F46" s="13">
        <v>43057.362650462965</v>
      </c>
      <c r="G46" s="7">
        <v>63</v>
      </c>
      <c r="H46" s="21" t="s">
        <v>647</v>
      </c>
      <c r="I46" s="13">
        <v>43057.388368055559</v>
      </c>
      <c r="J46" s="7">
        <v>0</v>
      </c>
      <c r="K46" s="89" t="str">
        <f t="shared" si="25"/>
        <v>4017/4018</v>
      </c>
      <c r="L46" s="184" t="str">
        <f>VLOOKUP(A46,'Trips&amp;Operators'!$C$1:$G$99911,5,FALSE)</f>
        <v>NEWELL JAMES</v>
      </c>
      <c r="M46" s="6">
        <f t="shared" si="26"/>
        <v>2.5717592594446614E-2</v>
      </c>
      <c r="N46" s="7">
        <f t="shared" si="24"/>
        <v>37.033333336003125</v>
      </c>
      <c r="O46" s="7"/>
      <c r="P46" s="7"/>
      <c r="Q46" s="22"/>
      <c r="R46" s="173"/>
      <c r="S46" s="220">
        <f t="shared" si="27"/>
        <v>1</v>
      </c>
      <c r="T46" s="173" t="str">
        <f t="shared" si="28"/>
        <v>Southbound</v>
      </c>
      <c r="U46" s="19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5" t="str">
        <f t="shared" si="5"/>
        <v>https://d0f6bd738d7f1b3e5a7ca70fe4ff75f0.us-east-1.aws.found.io/app/kibana#/discover/Steve-Slow-Train-Analysis-(2080s-and-2083s)?_g=(refreshInterval:(display:Off,pause:!f,section:0,value:0),time:(from:'2017-11-18T07:32:34-0700',mode:absolute,to:'2017-11-18T10:19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6" s="203" t="str">
        <f>IF(AA46&lt;VLOOKUP(AG46,Variables!$AC$3:$AD$8,2,FALSE),"Y","N")</f>
        <v>N</v>
      </c>
      <c r="X46" s="203">
        <f t="shared" si="29"/>
        <v>1</v>
      </c>
      <c r="Y46" s="203">
        <f t="shared" si="30"/>
        <v>23.285699999999999</v>
      </c>
      <c r="Z46" s="203">
        <f t="shared" si="31"/>
        <v>2.7799999999999998E-2</v>
      </c>
      <c r="AA46" s="203">
        <f t="shared" si="32"/>
        <v>23.257899999999999</v>
      </c>
      <c r="AB46" s="54" t="e">
        <f>VLOOKUP(A46,Enforcements!$C$7:$K$9,8,0)</f>
        <v>#N/A</v>
      </c>
      <c r="AC46" s="51" t="e">
        <f>VLOOKUP(A46,Enforcements!$C$7:$E$9,3,0)</f>
        <v>#N/A</v>
      </c>
      <c r="AD46" s="178">
        <f t="shared" si="33"/>
        <v>134</v>
      </c>
      <c r="AE46" s="77" t="str">
        <f t="shared" si="11"/>
        <v>aws s3 cp s3://rtdc.mdm.uploadarchive.raw/RTDC4017/ "%USERPROFILE%\AppData\Local\Temp\OnboardLogs"\RTDC4017\2017-11-18 --exclude "*" --recursive --include "*20171118*" &amp; "%USERPROFILE%\Documents\GitHub\mrs-test-scripts\Headless Mode &amp; Sideloading\WalkAndUnGZ.bat" "%USERPROFILE%\AppData\Local\Temp\OnboardLogs"\RTDC4017\2017-11-18 &amp; aws s3 cp s3://rtdc.mdm.uploadarchive.raw/RTDC4017/ "%USERPROFILE%\AppData\Local\Temp\OnboardLogs"\RTDC4017\2017-11-19 --exclude "*" --recursive --include "*20171119*" &amp; "%USERPROFILE%\Documents\GitHub\mrs-test-scripts\Headless Mode &amp; Sideloading\WalkAndUnGZ.bat" "%USERPROFILE%\AppData\Local\Temp\OnboardLogs"\RTDC4017\2017-11-19</v>
      </c>
      <c r="AF46" s="74" t="str">
        <f t="shared" si="12"/>
        <v>"C:\Program Files (x86)\AstroGrep\AstroGrep.exe" /e /r /s /spath="%USERPROFILE%\AppData\Local\Temp\OnboardLogs" /stypes="app*4017*20171118*" /stext=" 16:.+((SYSTEM_STATE.+slice.+state.+changed )|(ment ac)|(multiple cpu faults)|(system.+state.+changed )|(\[timeout)|(PRM\|1\|D)|(kpr)|(kdp)|(train st.+moving)|(\|lc)|(penalty))"</v>
      </c>
      <c r="AG46" s="181" t="str">
        <f t="shared" si="34"/>
        <v>EC</v>
      </c>
      <c r="AH46" s="78" t="str">
        <f t="shared" si="19"/>
        <v>"%USERPROFILE%\Documents\GitHub\eaglep3\Utilities\RefineRTDCRunTimes.py" --tripid 134-18 --locoid 4017 --swversion DE.1.0.9.0 --startMP 204:232857 --initTime 2017-11-18T08:32:34 --startdatetime 2017-11-18T08:42:13 --delay 63 --endMP 204:278 --enddatetime 2017-11-18T09:19:15 --enforcementcount 0 &gt;&gt;%USERPROFILE%\Documents\GitHub\eaglep3-reporting\EC\2017-11-18-refined-times.txt</v>
      </c>
      <c r="AI46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{"issue":{"subject":"","project_id":79,"tracker_id":40,"status_id":1,"priority_id":2,"assigned_to_id":338,"start_date":"2017-11-18","description":"","custom_fields":[{"id":1,"name":"Subdivision","value":"EC"},{"id":4,"name":"Milepost","value":"0.0278"},{"id":17,"name":"Train ID","value":"134-18"},{"id":16,"name":"Locomotive ID","value":"4017"},{"id":130,"name":"Impact","value":""},{"id":150,"name":"Time of Event (Mountain Time)","value":"09:19:15"},{"id":151,"name":"Denver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1" t="str">
        <f t="shared" si="21"/>
        <v>start /low /b %USERPROFILE%\Documents\GitHub\eaglep3\Utilities\DownloadLogsFromS3.py --loco 4017 --day 2017-11-18</v>
      </c>
      <c r="AN46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16:19:15"},{"id":29,"name":"Sharepoint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7" t="str">
        <f t="shared" si="23"/>
        <v>https://d0f6bd738d7f1b3e5a7ca70fe4ff75f0.us-east-1.aws.found.io/app/kibana#/discover/Steve-Slow-Train-Analysis-(2080s-and-2083s)?_g=(refreshInterval:(display:Off,pause:!f,section:0,value:0),time:(from:'2017-11-18T07:32:34-0700',mode:absolute,to:'2017-11-18T10:19:15-0700'))&amp;_a=(columns:!('Message%20ID',Summary),filters:!(),index:'emp_*',interval:auto,query:(query_string:(analyze_wildcard:!t,query:'%22rtdc.l.rtdc.4017%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764</v>
      </c>
      <c r="B47" s="7">
        <v>4024</v>
      </c>
      <c r="C47" s="21" t="s">
        <v>192</v>
      </c>
      <c r="D47" s="21" t="s">
        <v>567</v>
      </c>
      <c r="E47" s="13">
        <v>43057.327916666669</v>
      </c>
      <c r="F47" s="13">
        <v>43057.333611111113</v>
      </c>
      <c r="G47" s="7">
        <v>56</v>
      </c>
      <c r="H47" s="21" t="s">
        <v>938</v>
      </c>
      <c r="I47" s="13">
        <v>43057.358796296299</v>
      </c>
      <c r="J47" s="7">
        <v>0</v>
      </c>
      <c r="K47" s="89" t="str">
        <f t="shared" si="25"/>
        <v>4023/4024</v>
      </c>
      <c r="L47" s="184" t="str">
        <f>VLOOKUP(A47,'Trips&amp;Operators'!$C$1:$G$99911,5,FALSE)</f>
        <v>GEBRETEKLE DAGNEW</v>
      </c>
      <c r="M47" s="6">
        <f t="shared" si="26"/>
        <v>2.5185185186273884E-2</v>
      </c>
      <c r="N47" s="7">
        <f t="shared" si="24"/>
        <v>36.266666668234393</v>
      </c>
      <c r="O47" s="7"/>
      <c r="P47" s="7"/>
      <c r="Q47" s="22"/>
      <c r="R47" s="173"/>
      <c r="S47" s="220">
        <f t="shared" si="27"/>
        <v>1</v>
      </c>
      <c r="T47" s="173" t="str">
        <f t="shared" si="28"/>
        <v>NorthBound</v>
      </c>
      <c r="U47" s="19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5" t="str">
        <f t="shared" si="5"/>
        <v>https://d0f6bd738d7f1b3e5a7ca70fe4ff75f0.us-east-1.aws.found.io/app/kibana#/discover/Steve-Slow-Train-Analysis-(2080s-and-2083s)?_g=(refreshInterval:(display:Off,pause:!f,section:0,value:0),time:(from:'2017-11-18T06:52:12-0700',mode:absolute,to:'2017-11-18T09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7" s="203" t="str">
        <f>IF(AA47&lt;VLOOKUP(AG47,Variables!$AC$3:$AD$8,2,FALSE),"Y","N")</f>
        <v>N</v>
      </c>
      <c r="X47" s="203">
        <f t="shared" si="29"/>
        <v>1</v>
      </c>
      <c r="Y47" s="203">
        <f t="shared" si="30"/>
        <v>5.0799999999999998E-2</v>
      </c>
      <c r="Z47" s="203">
        <f t="shared" si="31"/>
        <v>23.3247</v>
      </c>
      <c r="AA47" s="203">
        <f t="shared" si="32"/>
        <v>23.273900000000001</v>
      </c>
      <c r="AB47" s="54" t="e">
        <f>VLOOKUP(A47,Enforcements!$C$7:$K$9,8,0)</f>
        <v>#N/A</v>
      </c>
      <c r="AC47" s="51" t="e">
        <f>VLOOKUP(A47,Enforcements!$C$7:$E$9,3,0)</f>
        <v>#N/A</v>
      </c>
      <c r="AD47" s="178">
        <f t="shared" si="33"/>
        <v>135</v>
      </c>
      <c r="AE47" s="77" t="str">
        <f t="shared" si="11"/>
        <v>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 &amp; aws s3 cp s3://rtdc.mdm.uploadarchive.raw/RTDC4024/ "%USERPROFILE%\AppData\Local\Temp\OnboardLogs"\RTDC4024\2017-11-19 --exclude "*" --recursive --include "*20171119*" &amp; "%USERPROFILE%\Documents\GitHub\mrs-test-scripts\Headless Mode &amp; Sideloading\WalkAndUnGZ.bat" "%USERPROFILE%\AppData\Local\Temp\OnboardLogs"\RTDC4024\2017-11-19</v>
      </c>
      <c r="AF47" s="74" t="str">
        <f t="shared" si="12"/>
        <v>"C:\Program Files (x86)\AstroGrep\AstroGrep.exe" /e /r /s /spath="%USERPROFILE%\AppData\Local\Temp\OnboardLogs" /stypes="app*4024*20171118*" /stext=" 15:.+((SYSTEM_STATE.+slice.+state.+changed )|(ment ac)|(multiple cpu faults)|(system.+state.+changed )|(\[timeout)|(PRM\|1\|D)|(kpr)|(kdp)|(train st.+moving)|(\|lc)|(penalty))"</v>
      </c>
      <c r="AG47" s="181" t="str">
        <f t="shared" si="34"/>
        <v>EC</v>
      </c>
      <c r="AH47" s="78" t="str">
        <f t="shared" si="19"/>
        <v>"%USERPROFILE%\Documents\GitHub\eaglep3\Utilities\RefineRTDCRunTimes.py" --tripid 135-18 --locoid 4024 --swversion DE.1.0.9.0 --startMP 204:508 --initTime 2017-11-18T07:52:12 --startdatetime 2017-11-18T08:00:24 --delay 56 --endMP 204:233247 --enddatetime 2017-11-18T08:36:40 --enforcementcount 0 &gt;&gt;%USERPROFILE%\Documents\GitHub\eaglep3-reporting\EC\2017-11-18-refined-times.txt</v>
      </c>
      <c r="AI47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{"issue":{"subject":"","project_id":79,"tracker_id":40,"status_id":1,"priority_id":2,"assigned_to_id":338,"start_date":"2017-11-18","description":"","custom_fields":[{"id":1,"name":"Subdivision","value":"EC"},{"id":4,"name":"Milepost","value":"23.3247"},{"id":17,"name":"Train ID","value":"135-18"},{"id":16,"name":"Locomotive ID","value":"4024"},{"id":130,"name":"Impact","value":""},{"id":150,"name":"Time of Event (Mountain Time)","value":"08:36:40"},{"id":151,"name":"Denver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1" t="str">
        <f t="shared" si="21"/>
        <v>start /low /b %USERPROFILE%\Documents\GitHub\eaglep3\Utilities\DownloadLogsFromS3.py --loco 4024 --day 2017-11-18</v>
      </c>
      <c r="AN47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15:36:40"},{"id":29,"name":"Sharepoint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7" t="str">
        <f t="shared" si="23"/>
        <v>https://d0f6bd738d7f1b3e5a7ca70fe4ff75f0.us-east-1.aws.found.io/app/kibana#/discover/Steve-Slow-Train-Analysis-(2080s-and-2083s)?_g=(refreshInterval:(display:Off,pause:!f,section:0,value:0),time:(from:'2017-11-18T06:52:12-0700',mode:absolute,to:'2017-11-18T09:36:40-0700'))&amp;_a=(columns:!('Message%20ID',Summary),filters:!(),index:'emp_*',interval:auto,query:(query_string:(analyze_wildcard:!t,query:'%22rtdc.l.rtdc.4024%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772</v>
      </c>
      <c r="B48" s="7">
        <v>4023</v>
      </c>
      <c r="C48" s="21" t="s">
        <v>192</v>
      </c>
      <c r="D48" s="21" t="s">
        <v>939</v>
      </c>
      <c r="E48" s="13">
        <v>43057.360034722224</v>
      </c>
      <c r="F48" s="13">
        <v>43057.373194444444</v>
      </c>
      <c r="G48" s="7">
        <v>55</v>
      </c>
      <c r="H48" s="21" t="s">
        <v>612</v>
      </c>
      <c r="I48" s="13">
        <v>43057.399282407408</v>
      </c>
      <c r="J48" s="7">
        <v>0</v>
      </c>
      <c r="K48" s="89" t="str">
        <f t="shared" si="25"/>
        <v>4023/4024</v>
      </c>
      <c r="L48" s="184" t="str">
        <f>VLOOKUP(A48,'Trips&amp;Operators'!$C$1:$G$99911,5,FALSE)</f>
        <v>GEBRETEKLE DAGNEW</v>
      </c>
      <c r="M48" s="6">
        <f t="shared" si="26"/>
        <v>2.6087962964083999E-2</v>
      </c>
      <c r="N48" s="7">
        <f t="shared" si="24"/>
        <v>37.566666668280959</v>
      </c>
      <c r="O48" s="7"/>
      <c r="P48" s="7"/>
      <c r="Q48" s="22"/>
      <c r="R48" s="173"/>
      <c r="S48" s="220">
        <f t="shared" si="27"/>
        <v>1</v>
      </c>
      <c r="T48" s="173" t="str">
        <f t="shared" si="28"/>
        <v>Southbound</v>
      </c>
      <c r="U48" s="19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5" t="str">
        <f t="shared" si="5"/>
        <v>https://d0f6bd738d7f1b3e5a7ca70fe4ff75f0.us-east-1.aws.found.io/app/kibana#/discover/Steve-Slow-Train-Analysis-(2080s-and-2083s)?_g=(refreshInterval:(display:Off,pause:!f,section:0,value:0),time:(from:'2017-11-18T07:38:27-0700',mode:absolute,to:'2017-11-18T10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8" s="203" t="str">
        <f>IF(AA48&lt;VLOOKUP(AG48,Variables!$AC$3:$AD$8,2,FALSE),"Y","N")</f>
        <v>N</v>
      </c>
      <c r="X48" s="203">
        <f t="shared" si="29"/>
        <v>1</v>
      </c>
      <c r="Y48" s="203">
        <f t="shared" si="30"/>
        <v>23.293399999999998</v>
      </c>
      <c r="Z48" s="203">
        <f t="shared" si="31"/>
        <v>1.5599999999999999E-2</v>
      </c>
      <c r="AA48" s="203">
        <f t="shared" si="32"/>
        <v>23.277799999999999</v>
      </c>
      <c r="AB48" s="54" t="e">
        <f>VLOOKUP(A48,Enforcements!$C$7:$K$9,8,0)</f>
        <v>#N/A</v>
      </c>
      <c r="AC48" s="51" t="e">
        <f>VLOOKUP(A48,Enforcements!$C$7:$E$9,3,0)</f>
        <v>#N/A</v>
      </c>
      <c r="AD48" s="178">
        <f t="shared" si="33"/>
        <v>136</v>
      </c>
      <c r="AE48" s="77" t="str">
        <f t="shared" si="11"/>
        <v>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 &amp; aws s3 cp s3://rtdc.mdm.uploadarchive.raw/RTDC4023/ "%USERPROFILE%\AppData\Local\Temp\OnboardLogs"\RTDC4023\2017-11-19 --exclude "*" --recursive --include "*20171119*" &amp; "%USERPROFILE%\Documents\GitHub\mrs-test-scripts\Headless Mode &amp; Sideloading\WalkAndUnGZ.bat" "%USERPROFILE%\AppData\Local\Temp\OnboardLogs"\RTDC4023\2017-11-19</v>
      </c>
      <c r="AF48" s="74" t="str">
        <f t="shared" si="12"/>
        <v>"C:\Program Files (x86)\AstroGrep\AstroGrep.exe" /e /r /s /spath="%USERPROFILE%\AppData\Local\Temp\OnboardLogs" /stypes="app*4023*20171118*" /stext=" 16:.+((SYSTEM_STATE.+slice.+state.+changed )|(ment ac)|(multiple cpu faults)|(system.+state.+changed )|(\[timeout)|(PRM\|1\|D)|(kpr)|(kdp)|(train st.+moving)|(\|lc)|(penalty))"</v>
      </c>
      <c r="AG48" s="181" t="str">
        <f t="shared" si="34"/>
        <v>EC</v>
      </c>
      <c r="AH48" s="78" t="str">
        <f t="shared" si="19"/>
        <v>"%USERPROFILE%\Documents\GitHub\eaglep3\Utilities\RefineRTDCRunTimes.py" --tripid 136-18 --locoid 4023 --swversion DE.1.0.9.0 --startMP 204:232934 --initTime 2017-11-18T08:38:27 --startdatetime 2017-11-18T08:57:24 --delay 55 --endMP 204:156 --enddatetime 2017-11-18T09:34:58 --enforcementcount 0 &gt;&gt;%USERPROFILE%\Documents\GitHub\eaglep3-reporting\EC\2017-11-18-refined-times.txt</v>
      </c>
      <c r="AI48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{"issue":{"subject":"","project_id":79,"tracker_id":40,"status_id":1,"priority_id":2,"assigned_to_id":338,"start_date":"2017-11-18","description":"","custom_fields":[{"id":1,"name":"Subdivision","value":"EC"},{"id":4,"name":"Milepost","value":"0.0156"},{"id":17,"name":"Train ID","value":"136-18"},{"id":16,"name":"Locomotive ID","value":"4023"},{"id":130,"name":"Impact","value":""},{"id":150,"name":"Time of Event (Mountain Time)","value":"09:34:58"},{"id":151,"name":"Denver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1" t="str">
        <f t="shared" si="21"/>
        <v>start /low /b %USERPROFILE%\Documents\GitHub\eaglep3\Utilities\DownloadLogsFromS3.py --loco 4023 --day 2017-11-18</v>
      </c>
      <c r="AN48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16:34:58"},{"id":29,"name":"Sharepoint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7" t="str">
        <f t="shared" si="23"/>
        <v>https://d0f6bd738d7f1b3e5a7ca70fe4ff75f0.us-east-1.aws.found.io/app/kibana#/discover/Steve-Slow-Train-Analysis-(2080s-and-2083s)?_g=(refreshInterval:(display:Off,pause:!f,section:0,value:0),time:(from:'2017-11-18T07:38:27-0700',mode:absolute,to:'2017-11-18T10:34:58-0700'))&amp;_a=(columns:!('Message%20ID',Summary),filters:!(),index:'emp_*',interval:auto,query:(query_string:(analyze_wildcard:!t,query:'%22rtdc.l.rtdc.4023%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767</v>
      </c>
      <c r="B49" s="7">
        <v>4026</v>
      </c>
      <c r="C49" s="21" t="s">
        <v>192</v>
      </c>
      <c r="D49" s="21" t="s">
        <v>528</v>
      </c>
      <c r="E49" s="13">
        <v>43057.339548611111</v>
      </c>
      <c r="F49" s="13">
        <v>43057.343900462962</v>
      </c>
      <c r="G49" s="7">
        <v>75</v>
      </c>
      <c r="H49" s="21" t="s">
        <v>455</v>
      </c>
      <c r="I49" s="13">
        <v>43057.368506944447</v>
      </c>
      <c r="J49" s="7">
        <v>0</v>
      </c>
      <c r="K49" s="89" t="str">
        <f t="shared" si="25"/>
        <v>4025/4026</v>
      </c>
      <c r="L49" s="184" t="str">
        <f>VLOOKUP(A49,'Trips&amp;Operators'!$C$1:$G$99911,5,FALSE)</f>
        <v>BARRON PERLA</v>
      </c>
      <c r="M49" s="6">
        <f t="shared" si="26"/>
        <v>2.4606481485534459E-2</v>
      </c>
      <c r="N49" s="7">
        <f t="shared" si="24"/>
        <v>35.433333339169621</v>
      </c>
      <c r="O49" s="7"/>
      <c r="P49" s="7"/>
      <c r="Q49" s="22"/>
      <c r="R49" s="173"/>
      <c r="S49" s="220">
        <f t="shared" si="27"/>
        <v>1</v>
      </c>
      <c r="T49" s="173" t="str">
        <f t="shared" si="28"/>
        <v>NorthBound</v>
      </c>
      <c r="U49" s="19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5" t="str">
        <f t="shared" si="5"/>
        <v>https://d0f6bd738d7f1b3e5a7ca70fe4ff75f0.us-east-1.aws.found.io/app/kibana#/discover/Steve-Slow-Train-Analysis-(2080s-and-2083s)?_g=(refreshInterval:(display:Off,pause:!f,section:0,value:0),time:(from:'2017-11-18T07:08:57-0700',mode:absolute,to:'2017-11-18T09:50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9" s="203" t="str">
        <f>IF(AA49&lt;VLOOKUP(AG49,Variables!$AC$3:$AD$8,2,FALSE),"Y","N")</f>
        <v>N</v>
      </c>
      <c r="X49" s="203">
        <f t="shared" si="29"/>
        <v>1</v>
      </c>
      <c r="Y49" s="203">
        <f t="shared" si="30"/>
        <v>5.3499999999999999E-2</v>
      </c>
      <c r="Z49" s="203">
        <f t="shared" si="31"/>
        <v>23.3276</v>
      </c>
      <c r="AA49" s="203">
        <f t="shared" si="32"/>
        <v>23.274100000000001</v>
      </c>
      <c r="AB49" s="54" t="e">
        <f>VLOOKUP(A49,Enforcements!$C$7:$K$9,8,0)</f>
        <v>#N/A</v>
      </c>
      <c r="AC49" s="51" t="e">
        <f>VLOOKUP(A49,Enforcements!$C$7:$E$9,3,0)</f>
        <v>#N/A</v>
      </c>
      <c r="AD49" s="178">
        <f t="shared" si="33"/>
        <v>137</v>
      </c>
      <c r="AE49" s="77" t="str">
        <f t="shared" si="11"/>
        <v>aws s3 cp s3://rtdc.mdm.uploadarchive.raw/RTDC4026/ "%USERPROFILE%\AppData\Local\Temp\OnboardLogs"\RTDC4026\2017-11-18 --exclude "*" --recursive --include "*20171118*" &amp; "%USERPROFILE%\Documents\GitHub\mrs-test-scripts\Headless Mode &amp; Sideloading\WalkAndUnGZ.bat" "%USERPROFILE%\AppData\Local\Temp\OnboardLogs"\RTDC4026\2017-11-18 &amp; aws s3 cp s3://rtdc.mdm.uploadarchive.raw/RTDC4026/ "%USERPROFILE%\AppData\Local\Temp\OnboardLogs"\RTDC4026\2017-11-19 --exclude "*" --recursive --include "*20171119*" &amp; "%USERPROFILE%\Documents\GitHub\mrs-test-scripts\Headless Mode &amp; Sideloading\WalkAndUnGZ.bat" "%USERPROFILE%\AppData\Local\Temp\OnboardLogs"\RTDC4026\2017-11-19</v>
      </c>
      <c r="AF49" s="74" t="str">
        <f t="shared" si="12"/>
        <v>"C:\Program Files (x86)\AstroGrep\AstroGrep.exe" /e /r /s /spath="%USERPROFILE%\AppData\Local\Temp\OnboardLogs" /stypes="app*4026*20171118*" /stext=" 15:.+((SYSTEM_STATE.+slice.+state.+changed )|(ment ac)|(multiple cpu faults)|(system.+state.+changed )|(\[timeout)|(PRM\|1\|D)|(kpr)|(kdp)|(train st.+moving)|(\|lc)|(penalty))"</v>
      </c>
      <c r="AG49" s="181" t="str">
        <f t="shared" si="34"/>
        <v>EC</v>
      </c>
      <c r="AH49" s="78" t="str">
        <f t="shared" si="19"/>
        <v>"%USERPROFILE%\Documents\GitHub\eaglep3\Utilities\RefineRTDCRunTimes.py" --tripid 137-18 --locoid 4026 --swversion DE.1.0.9.0 --startMP 204:535 --initTime 2017-11-18T08:08:57 --startdatetime 2017-11-18T08:15:13 --delay 75 --endMP 204:233276 --enddatetime 2017-11-18T08:50:39 --enforcementcount 0 &gt;&gt;%USERPROFILE%\Documents\GitHub\eaglep3-reporting\EC\2017-11-18-refined-times.txt</v>
      </c>
      <c r="AI49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{"issue":{"subject":"","project_id":79,"tracker_id":40,"status_id":1,"priority_id":2,"assigned_to_id":338,"start_date":"2017-11-18","description":"","custom_fields":[{"id":1,"name":"Subdivision","value":"EC"},{"id":4,"name":"Milepost","value":"23.3276"},{"id":17,"name":"Train ID","value":"137-18"},{"id":16,"name":"Locomotive ID","value":"4026"},{"id":130,"name":"Impact","value":""},{"id":150,"name":"Time of Event (Mountain Time)","value":"08:50:39"},{"id":151,"name":"Denver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1" t="str">
        <f t="shared" si="21"/>
        <v>start /low /b %USERPROFILE%\Documents\GitHub\eaglep3\Utilities\DownloadLogsFromS3.py --loco 4026 --day 2017-11-18</v>
      </c>
      <c r="AN49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15:50:39"},{"id":29,"name":"Sharepoint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7" t="str">
        <f t="shared" si="23"/>
        <v>https://d0f6bd738d7f1b3e5a7ca70fe4ff75f0.us-east-1.aws.found.io/app/kibana#/discover/Steve-Slow-Train-Analysis-(2080s-and-2083s)?_g=(refreshInterval:(display:Off,pause:!f,section:0,value:0),time:(from:'2017-11-18T07:08:57-0700',mode:absolute,to:'2017-11-18T09:50:39-0700'))&amp;_a=(columns:!('Message%20ID',Summary),filters:!(),index:'emp_*',interval:auto,query:(query_string:(analyze_wildcard:!t,query:'%22rtdc.l.rtdc.4026%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774</v>
      </c>
      <c r="B50" s="7">
        <v>4025</v>
      </c>
      <c r="C50" s="21" t="s">
        <v>192</v>
      </c>
      <c r="D50" s="21" t="s">
        <v>940</v>
      </c>
      <c r="E50" s="13">
        <v>43057.369699074072</v>
      </c>
      <c r="F50" s="13">
        <v>43057.383506944447</v>
      </c>
      <c r="G50" s="7">
        <v>66</v>
      </c>
      <c r="H50" s="21" t="s">
        <v>488</v>
      </c>
      <c r="I50" s="13">
        <v>43057.409699074073</v>
      </c>
      <c r="J50" s="7">
        <v>0</v>
      </c>
      <c r="K50" s="89" t="str">
        <f t="shared" si="25"/>
        <v>4025/4026</v>
      </c>
      <c r="L50" s="184" t="str">
        <f>VLOOKUP(A50,'Trips&amp;Operators'!$C$1:$G$99911,5,FALSE)</f>
        <v>BARRON PERLA</v>
      </c>
      <c r="M50" s="6">
        <f t="shared" si="26"/>
        <v>2.619212962599704E-2</v>
      </c>
      <c r="N50" s="7">
        <f t="shared" si="24"/>
        <v>37.716666661435738</v>
      </c>
      <c r="O50" s="7"/>
      <c r="P50" s="7"/>
      <c r="Q50" s="22"/>
      <c r="R50" s="173"/>
      <c r="S50" s="220">
        <f t="shared" si="27"/>
        <v>1</v>
      </c>
      <c r="T50" s="173" t="str">
        <f t="shared" si="28"/>
        <v>Southbound</v>
      </c>
      <c r="U50" s="19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5" t="str">
        <f t="shared" si="5"/>
        <v>https://d0f6bd738d7f1b3e5a7ca70fe4ff75f0.us-east-1.aws.found.io/app/kibana#/discover/Steve-Slow-Train-Analysis-(2080s-and-2083s)?_g=(refreshInterval:(display:Off,pause:!f,section:0,value:0),time:(from:'2017-11-18T07:52:22-0700',mode:absolute,to:'2017-11-18T10:49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0" s="203" t="str">
        <f>IF(AA50&lt;VLOOKUP(AG50,Variables!$AC$3:$AD$8,2,FALSE),"Y","N")</f>
        <v>N</v>
      </c>
      <c r="X50" s="203">
        <f t="shared" si="29"/>
        <v>1</v>
      </c>
      <c r="Y50" s="203">
        <f t="shared" si="30"/>
        <v>23.295500000000001</v>
      </c>
      <c r="Z50" s="203">
        <f t="shared" si="31"/>
        <v>2.2499999999999999E-2</v>
      </c>
      <c r="AA50" s="203">
        <f t="shared" si="32"/>
        <v>23.273</v>
      </c>
      <c r="AB50" s="54" t="e">
        <f>VLOOKUP(A50,Enforcements!$C$7:$K$9,8,0)</f>
        <v>#N/A</v>
      </c>
      <c r="AC50" s="51" t="e">
        <f>VLOOKUP(A50,Enforcements!$C$7:$E$9,3,0)</f>
        <v>#N/A</v>
      </c>
      <c r="AD50" s="178">
        <f t="shared" si="33"/>
        <v>138</v>
      </c>
      <c r="AE50" s="77" t="str">
        <f t="shared" si="11"/>
        <v>aws s3 cp s3://rtdc.mdm.uploadarchive.raw/RTDC4025/ "%USERPROFILE%\AppData\Local\Temp\OnboardLogs"\RTDC4025\2017-11-18 --exclude "*" --recursive --include "*20171118*" &amp; "%USERPROFILE%\Documents\GitHub\mrs-test-scripts\Headless Mode &amp; Sideloading\WalkAndUnGZ.bat" "%USERPROFILE%\AppData\Local\Temp\OnboardLogs"\RTDC4025\2017-11-18 &amp; aws s3 cp s3://rtdc.mdm.uploadarchive.raw/RTDC4025/ "%USERPROFILE%\AppData\Local\Temp\OnboardLogs"\RTDC4025\2017-11-19 --exclude "*" --recursive --include "*20171119*" &amp; "%USERPROFILE%\Documents\GitHub\mrs-test-scripts\Headless Mode &amp; Sideloading\WalkAndUnGZ.bat" "%USERPROFILE%\AppData\Local\Temp\OnboardLogs"\RTDC4025\2017-11-19</v>
      </c>
      <c r="AF50" s="74" t="str">
        <f t="shared" si="12"/>
        <v>"C:\Program Files (x86)\AstroGrep\AstroGrep.exe" /e /r /s /spath="%USERPROFILE%\AppData\Local\Temp\OnboardLogs" /stypes="app*4025*20171118*" /stext=" 16:.+((SYSTEM_STATE.+slice.+state.+changed )|(ment ac)|(multiple cpu faults)|(system.+state.+changed )|(\[timeout)|(PRM\|1\|D)|(kpr)|(kdp)|(train st.+moving)|(\|lc)|(penalty))"</v>
      </c>
      <c r="AG50" s="181" t="str">
        <f t="shared" si="34"/>
        <v>EC</v>
      </c>
      <c r="AH50" s="78" t="str">
        <f t="shared" si="19"/>
        <v>"%USERPROFILE%\Documents\GitHub\eaglep3\Utilities\RefineRTDCRunTimes.py" --tripid 138-18 --locoid 4025 --swversion DE.1.0.9.0 --startMP 204:232955 --initTime 2017-11-18T08:52:22 --startdatetime 2017-11-18T09:12:15 --delay 66 --endMP 204:225 --enddatetime 2017-11-18T09:49:58 --enforcementcount 0 &gt;&gt;%USERPROFILE%\Documents\GitHub\eaglep3-reporting\EC\2017-11-18-refined-times.txt</v>
      </c>
      <c r="AI50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{"issue":{"subject":"","project_id":79,"tracker_id":40,"status_id":1,"priority_id":2,"assigned_to_id":338,"start_date":"2017-11-18","description":"","custom_fields":[{"id":1,"name":"Subdivision","value":"EC"},{"id":4,"name":"Milepost","value":"0.0225"},{"id":17,"name":"Train ID","value":"138-18"},{"id":16,"name":"Locomotive ID","value":"4025"},{"id":130,"name":"Impact","value":""},{"id":150,"name":"Time of Event (Mountain Time)","value":"09:49:58"},{"id":151,"name":"Denver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1" t="str">
        <f t="shared" si="21"/>
        <v>start /low /b %USERPROFILE%\Documents\GitHub\eaglep3\Utilities\DownloadLogsFromS3.py --loco 4025 --day 2017-11-18</v>
      </c>
      <c r="AN50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16:49:58"},{"id":29,"name":"Sharepoint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7" t="str">
        <f t="shared" si="23"/>
        <v>https://d0f6bd738d7f1b3e5a7ca70fe4ff75f0.us-east-1.aws.found.io/app/kibana#/discover/Steve-Slow-Train-Analysis-(2080s-and-2083s)?_g=(refreshInterval:(display:Off,pause:!f,section:0,value:0),time:(from:'2017-11-18T07:52:22-0700',mode:absolute,to:'2017-11-18T10:49:58-0700'))&amp;_a=(columns:!('Message%20ID',Summary),filters:!(),index:'emp_*',interval:auto,query:(query_string:(analyze_wildcard:!t,query:'%22rtdc.l.rtdc.4025%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770</v>
      </c>
      <c r="B51" s="7">
        <v>4008</v>
      </c>
      <c r="C51" s="21" t="s">
        <v>192</v>
      </c>
      <c r="D51" s="21" t="s">
        <v>496</v>
      </c>
      <c r="E51" s="13">
        <v>43057.35292824074</v>
      </c>
      <c r="F51" s="13">
        <v>43057.354780092595</v>
      </c>
      <c r="G51" s="7">
        <v>57</v>
      </c>
      <c r="H51" s="21" t="s">
        <v>941</v>
      </c>
      <c r="I51" s="13">
        <v>43057.379895833335</v>
      </c>
      <c r="J51" s="7">
        <v>0</v>
      </c>
      <c r="K51" s="89" t="str">
        <f t="shared" si="25"/>
        <v>4007/4008</v>
      </c>
      <c r="L51" s="184" t="str">
        <f>VLOOKUP(A51,'Trips&amp;Operators'!$C$1:$G$99911,5,FALSE)</f>
        <v>THOMPSON LESTER</v>
      </c>
      <c r="M51" s="6">
        <f t="shared" si="26"/>
        <v>2.5115740740147885E-2</v>
      </c>
      <c r="N51" s="7">
        <f t="shared" si="24"/>
        <v>36.166666665812954</v>
      </c>
      <c r="O51" s="7"/>
      <c r="P51" s="7"/>
      <c r="Q51" s="22"/>
      <c r="R51" s="173"/>
      <c r="S51" s="220">
        <f t="shared" si="27"/>
        <v>1</v>
      </c>
      <c r="T51" s="173" t="str">
        <f t="shared" si="28"/>
        <v>NorthBound</v>
      </c>
      <c r="U51" s="19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5" t="str">
        <f t="shared" si="5"/>
        <v>https://d0f6bd738d7f1b3e5a7ca70fe4ff75f0.us-east-1.aws.found.io/app/kibana#/discover/Steve-Slow-Train-Analysis-(2080s-and-2083s)?_g=(refreshInterval:(display:Off,pause:!f,section:0,value:0),time:(from:'2017-11-18T07:28:13-0700',mode:absolute,to:'2017-11-18T10:07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1" s="203" t="str">
        <f>IF(AA51&lt;VLOOKUP(AG51,Variables!$AC$3:$AD$8,2,FALSE),"Y","N")</f>
        <v>N</v>
      </c>
      <c r="X51" s="203">
        <f t="shared" si="29"/>
        <v>1</v>
      </c>
      <c r="Y51" s="203">
        <f t="shared" si="30"/>
        <v>5.2200000000000003E-2</v>
      </c>
      <c r="Z51" s="203">
        <f t="shared" si="31"/>
        <v>23.3278</v>
      </c>
      <c r="AA51" s="203">
        <f t="shared" si="32"/>
        <v>23.275600000000001</v>
      </c>
      <c r="AB51" s="54" t="e">
        <f>VLOOKUP(A51,Enforcements!$C$7:$K$9,8,0)</f>
        <v>#N/A</v>
      </c>
      <c r="AC51" s="51" t="e">
        <f>VLOOKUP(A51,Enforcements!$C$7:$E$9,3,0)</f>
        <v>#N/A</v>
      </c>
      <c r="AD51" s="178">
        <f t="shared" si="33"/>
        <v>139</v>
      </c>
      <c r="AE51" s="77" t="str">
        <f t="shared" si="11"/>
        <v>aws s3 cp s3://rtdc.mdm.uploadarchive.raw/RTDC4008/ "%USERPROFILE%\AppData\Local\Temp\OnboardLogs"\RTDC4008\2017-11-18 --exclude "*" --recursive --include "*20171118*" &amp; "%USERPROFILE%\Documents\GitHub\mrs-test-scripts\Headless Mode &amp; Sideloading\WalkAndUnGZ.bat" "%USERPROFILE%\AppData\Local\Temp\OnboardLogs"\RTDC4008\2017-11-18 &amp; aws s3 cp s3://rtdc.mdm.uploadarchive.raw/RTDC4008/ "%USERPROFILE%\AppData\Local\Temp\OnboardLogs"\RTDC4008\2017-11-19 --exclude "*" --recursive --include "*20171119*" &amp; "%USERPROFILE%\Documents\GitHub\mrs-test-scripts\Headless Mode &amp; Sideloading\WalkAndUnGZ.bat" "%USERPROFILE%\AppData\Local\Temp\OnboardLogs"\RTDC4008\2017-11-19</v>
      </c>
      <c r="AF51" s="74" t="str">
        <f t="shared" si="12"/>
        <v>"C:\Program Files (x86)\AstroGrep\AstroGrep.exe" /e /r /s /spath="%USERPROFILE%\AppData\Local\Temp\OnboardLogs" /stypes="app*4008*20171118*" /stext=" 16:.+((SYSTEM_STATE.+slice.+state.+changed )|(ment ac)|(multiple cpu faults)|(system.+state.+changed )|(\[timeout)|(PRM\|1\|D)|(kpr)|(kdp)|(train st.+moving)|(\|lc)|(penalty))"</v>
      </c>
      <c r="AG51" s="181" t="str">
        <f t="shared" si="34"/>
        <v>EC</v>
      </c>
      <c r="AH51" s="78" t="str">
        <f t="shared" si="19"/>
        <v>"%USERPROFILE%\Documents\GitHub\eaglep3\Utilities\RefineRTDCRunTimes.py" --tripid 139-18 --locoid 4008 --swversion DE.1.0.9.0 --startMP 204:522 --initTime 2017-11-18T08:28:13 --startdatetime 2017-11-18T08:30:53 --delay 57 --endMP 204:233278 --enddatetime 2017-11-18T09:07:03 --enforcementcount 0 &gt;&gt;%USERPROFILE%\Documents\GitHub\eaglep3-reporting\EC\2017-11-18-refined-times.txt</v>
      </c>
      <c r="AI51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{"issue":{"subject":"","project_id":79,"tracker_id":40,"status_id":1,"priority_id":2,"assigned_to_id":338,"start_date":"2017-11-18","description":"","custom_fields":[{"id":1,"name":"Subdivision","value":"EC"},{"id":4,"name":"Milepost","value":"23.3278"},{"id":17,"name":"Train ID","value":"139-18"},{"id":16,"name":"Locomotive ID","value":"4008"},{"id":130,"name":"Impact","value":""},{"id":150,"name":"Time of Event (Mountain Time)","value":"09:07:03"},{"id":151,"name":"Denver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1" t="str">
        <f t="shared" si="21"/>
        <v>start /low /b %USERPROFILE%\Documents\GitHub\eaglep3\Utilities\DownloadLogsFromS3.py --loco 4008 --day 2017-11-18</v>
      </c>
      <c r="AN51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16:07:03"},{"id":29,"name":"Sharepoint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7" t="str">
        <f t="shared" si="23"/>
        <v>https://d0f6bd738d7f1b3e5a7ca70fe4ff75f0.us-east-1.aws.found.io/app/kibana#/discover/Steve-Slow-Train-Analysis-(2080s-and-2083s)?_g=(refreshInterval:(display:Off,pause:!f,section:0,value:0),time:(from:'2017-11-18T07:28:13-0700',mode:absolute,to:'2017-11-18T10:07:03-0700'))&amp;_a=(columns:!('Message%20ID',Summary),filters:!(),index:'emp_*',interval:auto,query:(query_string:(analyze_wildcard:!t,query:'%22rtdc.l.rtdc.4008%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678</v>
      </c>
      <c r="B52" s="7">
        <v>4007</v>
      </c>
      <c r="C52" s="21" t="s">
        <v>192</v>
      </c>
      <c r="D52" s="21" t="s">
        <v>942</v>
      </c>
      <c r="E52" s="13">
        <v>43057.391400462962</v>
      </c>
      <c r="F52" s="13">
        <v>43057.39398148148</v>
      </c>
      <c r="G52" s="7">
        <v>47</v>
      </c>
      <c r="H52" s="21" t="s">
        <v>653</v>
      </c>
      <c r="I52" s="13">
        <v>43057.420787037037</v>
      </c>
      <c r="J52" s="7">
        <v>0</v>
      </c>
      <c r="K52" s="89" t="str">
        <f t="shared" si="25"/>
        <v>4007/4008</v>
      </c>
      <c r="L52" s="184" t="str">
        <f>VLOOKUP(A52,'Trips&amp;Operators'!$C$1:$G$99911,5,FALSE)</f>
        <v>THOMPSON LESTER</v>
      </c>
      <c r="M52" s="6">
        <f t="shared" si="26"/>
        <v>2.6805555557075422E-2</v>
      </c>
      <c r="N52" s="7">
        <f t="shared" si="24"/>
        <v>38.600000002188608</v>
      </c>
      <c r="O52" s="7"/>
      <c r="P52" s="7"/>
      <c r="Q52" s="22"/>
      <c r="R52" s="173"/>
      <c r="S52" s="220">
        <f t="shared" si="27"/>
        <v>1</v>
      </c>
      <c r="T52" s="173" t="str">
        <f t="shared" si="28"/>
        <v>Southbound</v>
      </c>
      <c r="U52" s="19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5" t="str">
        <f t="shared" si="5"/>
        <v>https://d0f6bd738d7f1b3e5a7ca70fe4ff75f0.us-east-1.aws.found.io/app/kibana#/discover/Steve-Slow-Train-Analysis-(2080s-and-2083s)?_g=(refreshInterval:(display:Off,pause:!f,section:0,value:0),time:(from:'2017-11-18T08:23:37-0700',mode:absolute,to:'2017-11-18T11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2" s="203" t="str">
        <f>IF(AA52&lt;VLOOKUP(AG52,Variables!$AC$3:$AD$8,2,FALSE),"Y","N")</f>
        <v>N</v>
      </c>
      <c r="X52" s="203">
        <f t="shared" si="29"/>
        <v>1</v>
      </c>
      <c r="Y52" s="203">
        <f t="shared" si="30"/>
        <v>23.296399999999998</v>
      </c>
      <c r="Z52" s="203">
        <f t="shared" si="31"/>
        <v>1.4999999999999999E-2</v>
      </c>
      <c r="AA52" s="203">
        <f t="shared" si="32"/>
        <v>23.281399999999998</v>
      </c>
      <c r="AB52" s="54" t="e">
        <f>VLOOKUP(A52,Enforcements!$C$7:$K$9,8,0)</f>
        <v>#N/A</v>
      </c>
      <c r="AC52" s="51" t="e">
        <f>VLOOKUP(A52,Enforcements!$C$7:$E$9,3,0)</f>
        <v>#N/A</v>
      </c>
      <c r="AD52" s="178">
        <f t="shared" si="33"/>
        <v>140</v>
      </c>
      <c r="AE52" s="77" t="str">
        <f t="shared" si="11"/>
        <v>aws s3 cp s3://rtdc.mdm.uploadarchive.raw/RTDC4007/ "%USERPROFILE%\AppData\Local\Temp\OnboardLogs"\RTDC4007\2017-11-18 --exclude "*" --recursive --include "*20171118*" &amp; "%USERPROFILE%\Documents\GitHub\mrs-test-scripts\Headless Mode &amp; Sideloading\WalkAndUnGZ.bat" "%USERPROFILE%\AppData\Local\Temp\OnboardLogs"\RTDC4007\2017-11-18 &amp; aws s3 cp s3://rtdc.mdm.uploadarchive.raw/RTDC4007/ "%USERPROFILE%\AppData\Local\Temp\OnboardLogs"\RTDC4007\2017-11-19 --exclude "*" --recursive --include "*20171119*" &amp; "%USERPROFILE%\Documents\GitHub\mrs-test-scripts\Headless Mode &amp; Sideloading\WalkAndUnGZ.bat" "%USERPROFILE%\AppData\Local\Temp\OnboardLogs"\RTDC4007\2017-11-19</v>
      </c>
      <c r="AF52" s="74" t="str">
        <f t="shared" si="12"/>
        <v>"C:\Program Files (x86)\AstroGrep\AstroGrep.exe" /e /r /s /spath="%USERPROFILE%\AppData\Local\Temp\OnboardLogs" /stypes="app*4007*20171118*" /stext=" 17:.+((SYSTEM_STATE.+slice.+state.+changed )|(ment ac)|(multiple cpu faults)|(system.+state.+changed )|(\[timeout)|(PRM\|1\|D)|(kpr)|(kdp)|(train st.+moving)|(\|lc)|(penalty))"</v>
      </c>
      <c r="AG52" s="181" t="str">
        <f t="shared" si="34"/>
        <v>EC</v>
      </c>
      <c r="AH52" s="78" t="str">
        <f t="shared" si="19"/>
        <v>"%USERPROFILE%\Documents\GitHub\eaglep3\Utilities\RefineRTDCRunTimes.py" --tripid 140-18 --locoid 4007 --swversion DE.1.0.9.0 --startMP 204:232964 --initTime 2017-11-18T09:23:37 --startdatetime 2017-11-18T09:27:20 --delay 47 --endMP 204:150 --enddatetime 2017-11-18T10:05:56 --enforcementcount 0 &gt;&gt;%USERPROFILE%\Documents\GitHub\eaglep3-reporting\EC\2017-11-18-refined-times.txt</v>
      </c>
      <c r="AI52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{"issue":{"subject":"","project_id":79,"tracker_id":40,"status_id":1,"priority_id":2,"assigned_to_id":338,"start_date":"2017-11-18","description":"","custom_fields":[{"id":1,"name":"Subdivision","value":"EC"},{"id":4,"name":"Milepost","value":"0.015"},{"id":17,"name":"Train ID","value":"140-18"},{"id":16,"name":"Locomotive ID","value":"4007"},{"id":130,"name":"Impact","value":""},{"id":150,"name":"Time of Event (Mountain Time)","value":"10:05:56"},{"id":151,"name":"Denver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1" t="str">
        <f t="shared" si="21"/>
        <v>start /low /b %USERPROFILE%\Documents\GitHub\eaglep3\Utilities\DownloadLogsFromS3.py --loco 4007 --day 2017-11-18</v>
      </c>
      <c r="AN52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17:05:56"},{"id":29,"name":"Sharepoint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7" t="str">
        <f t="shared" si="23"/>
        <v>https://d0f6bd738d7f1b3e5a7ca70fe4ff75f0.us-east-1.aws.found.io/app/kibana#/discover/Steve-Slow-Train-Analysis-(2080s-and-2083s)?_g=(refreshInterval:(display:Off,pause:!f,section:0,value:0),time:(from:'2017-11-18T08:23:37-0700',mode:absolute,to:'2017-11-18T11:05:56-0700'))&amp;_a=(columns:!('Message%20ID',Summary),filters:!(),index:'emp_*',interval:auto,query:(query_string:(analyze_wildcard:!t,query:'%22rtdc.l.rtdc.4007%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773</v>
      </c>
      <c r="B53" s="7">
        <v>4022</v>
      </c>
      <c r="C53" s="21" t="s">
        <v>192</v>
      </c>
      <c r="D53" s="21" t="s">
        <v>645</v>
      </c>
      <c r="E53" s="13">
        <v>43057.362523148149</v>
      </c>
      <c r="F53" s="13">
        <v>43057.364907407406</v>
      </c>
      <c r="G53" s="7">
        <v>147</v>
      </c>
      <c r="H53" s="21" t="s">
        <v>628</v>
      </c>
      <c r="I53" s="13">
        <v>43057.388611111113</v>
      </c>
      <c r="J53" s="7">
        <v>0</v>
      </c>
      <c r="K53" s="89" t="str">
        <f t="shared" si="25"/>
        <v>4021/4022</v>
      </c>
      <c r="L53" s="184" t="str">
        <f>VLOOKUP(A53,'Trips&amp;Operators'!$C$1:$G$99911,5,FALSE)</f>
        <v>MACDONALD THOMAS</v>
      </c>
      <c r="M53" s="6">
        <f t="shared" si="26"/>
        <v>2.3703703707724344E-2</v>
      </c>
      <c r="N53" s="7">
        <f t="shared" si="24"/>
        <v>34.133333339123055</v>
      </c>
      <c r="O53" s="7"/>
      <c r="P53" s="7"/>
      <c r="Q53" s="22"/>
      <c r="R53" s="173"/>
      <c r="S53" s="220">
        <f t="shared" si="27"/>
        <v>1</v>
      </c>
      <c r="T53" s="173" t="str">
        <f t="shared" si="28"/>
        <v>NorthBound</v>
      </c>
      <c r="U53" s="19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5" t="str">
        <f t="shared" si="5"/>
        <v>https://d0f6bd738d7f1b3e5a7ca70fe4ff75f0.us-east-1.aws.found.io/app/kibana#/discover/Steve-Slow-Train-Analysis-(2080s-and-2083s)?_g=(refreshInterval:(display:Off,pause:!f,section:0,value:0),time:(from:'2017-11-18T07:42:02-0700',mode:absolute,to:'2017-11-18T10:19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3" s="203" t="str">
        <f>IF(AA53&lt;VLOOKUP(AG53,Variables!$AC$3:$AD$8,2,FALSE),"Y","N")</f>
        <v>N</v>
      </c>
      <c r="X53" s="203">
        <f t="shared" si="29"/>
        <v>1</v>
      </c>
      <c r="Y53" s="203">
        <f t="shared" si="30"/>
        <v>5.3100000000000001E-2</v>
      </c>
      <c r="Z53" s="203">
        <f t="shared" si="31"/>
        <v>23.322600000000001</v>
      </c>
      <c r="AA53" s="203">
        <f t="shared" si="32"/>
        <v>23.269500000000001</v>
      </c>
      <c r="AB53" s="54" t="e">
        <f>VLOOKUP(A53,Enforcements!$C$7:$K$9,8,0)</f>
        <v>#N/A</v>
      </c>
      <c r="AC53" s="51" t="e">
        <f>VLOOKUP(A53,Enforcements!$C$7:$E$9,3,0)</f>
        <v>#N/A</v>
      </c>
      <c r="AD53" s="178">
        <f t="shared" si="33"/>
        <v>141</v>
      </c>
      <c r="AE53" s="77" t="str">
        <f t="shared" si="11"/>
        <v>aws s3 cp s3://rtdc.mdm.uploadarchive.raw/RTDC4022/ "%USERPROFILE%\AppData\Local\Temp\OnboardLogs"\RTDC4022\2017-11-18 --exclude "*" --recursive --include "*20171118*" &amp; "%USERPROFILE%\Documents\GitHub\mrs-test-scripts\Headless Mode &amp; Sideloading\WalkAndUnGZ.bat" "%USERPROFILE%\AppData\Local\Temp\OnboardLogs"\RTDC4022\2017-11-18 &amp; aws s3 cp s3://rtdc.mdm.uploadarchive.raw/RTDC4022/ "%USERPROFILE%\AppData\Local\Temp\OnboardLogs"\RTDC4022\2017-11-19 --exclude "*" --recursive --include "*20171119*" &amp; "%USERPROFILE%\Documents\GitHub\mrs-test-scripts\Headless Mode &amp; Sideloading\WalkAndUnGZ.bat" "%USERPROFILE%\AppData\Local\Temp\OnboardLogs"\RTDC4022\2017-11-19</v>
      </c>
      <c r="AF53" s="74" t="str">
        <f t="shared" si="12"/>
        <v>"C:\Program Files (x86)\AstroGrep\AstroGrep.exe" /e /r /s /spath="%USERPROFILE%\AppData\Local\Temp\OnboardLogs" /stypes="app*4022*20171118*" /stext=" 16:.+((SYSTEM_STATE.+slice.+state.+changed )|(ment ac)|(multiple cpu faults)|(system.+state.+changed )|(\[timeout)|(PRM\|1\|D)|(kpr)|(kdp)|(train st.+moving)|(\|lc)|(penalty))"</v>
      </c>
      <c r="AG53" s="181" t="str">
        <f t="shared" si="34"/>
        <v>EC</v>
      </c>
      <c r="AH53" s="78" t="str">
        <f t="shared" si="19"/>
        <v>"%USERPROFILE%\Documents\GitHub\eaglep3\Utilities\RefineRTDCRunTimes.py" --tripid 141-18 --locoid 4022 --swversion DE.1.0.9.0 --startMP 204:531 --initTime 2017-11-18T08:42:02 --startdatetime 2017-11-18T08:45:28 --delay 147 --endMP 204:233226 --enddatetime 2017-11-18T09:19:36 --enforcementcount 0 &gt;&gt;%USERPROFILE%\Documents\GitHub\eaglep3-reporting\EC\2017-11-18-refined-times.txt</v>
      </c>
      <c r="AI53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{"issue":{"subject":"","project_id":79,"tracker_id":40,"status_id":1,"priority_id":2,"assigned_to_id":338,"start_date":"2017-11-18","description":"","custom_fields":[{"id":1,"name":"Subdivision","value":"EC"},{"id":4,"name":"Milepost","value":"23.3226"},{"id":17,"name":"Train ID","value":"141-18"},{"id":16,"name":"Locomotive ID","value":"4022"},{"id":130,"name":"Impact","value":""},{"id":150,"name":"Time of Event (Mountain Time)","value":"09:19:36"},{"id":151,"name":"Denver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1" t="str">
        <f t="shared" si="21"/>
        <v>start /low /b %USERPROFILE%\Documents\GitHub\eaglep3\Utilities\DownloadLogsFromS3.py --loco 4022 --day 2017-11-18</v>
      </c>
      <c r="AN53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16:19:36"},{"id":29,"name":"Sharepoint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7" t="str">
        <f t="shared" si="23"/>
        <v>https://d0f6bd738d7f1b3e5a7ca70fe4ff75f0.us-east-1.aws.found.io/app/kibana#/discover/Steve-Slow-Train-Analysis-(2080s-and-2083s)?_g=(refreshInterval:(display:Off,pause:!f,section:0,value:0),time:(from:'2017-11-18T07:42:02-0700',mode:absolute,to:'2017-11-18T10:19:36-0700'))&amp;_a=(columns:!('Message%20ID',Summary),filters:!(),index:'emp_*',interval:auto,query:(query_string:(analyze_wildcard:!t,query:'%22rtdc.l.rtdc.4022%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780</v>
      </c>
      <c r="B54" s="7">
        <v>4021</v>
      </c>
      <c r="C54" s="21" t="s">
        <v>192</v>
      </c>
      <c r="D54" s="21" t="s">
        <v>943</v>
      </c>
      <c r="E54" s="13">
        <v>43057.402905092589</v>
      </c>
      <c r="F54" s="13">
        <v>43057.404745370368</v>
      </c>
      <c r="G54" s="7">
        <v>51</v>
      </c>
      <c r="H54" s="21" t="s">
        <v>443</v>
      </c>
      <c r="I54" s="13">
        <v>43057.430844907409</v>
      </c>
      <c r="J54" s="7">
        <v>0</v>
      </c>
      <c r="K54" s="89" t="str">
        <f t="shared" si="25"/>
        <v>4021/4022</v>
      </c>
      <c r="L54" s="184" t="str">
        <f>VLOOKUP(A54,'Trips&amp;Operators'!$C$1:$G$99911,5,FALSE)</f>
        <v>MACDONALD THOMAS</v>
      </c>
      <c r="M54" s="6">
        <f t="shared" si="26"/>
        <v>2.6099537040863652E-2</v>
      </c>
      <c r="N54" s="7">
        <f t="shared" ref="N54:N85" si="35">24*60*SUM($M54:$M54)</f>
        <v>37.583333338843659</v>
      </c>
      <c r="O54" s="7"/>
      <c r="P54" s="7"/>
      <c r="Q54" s="22"/>
      <c r="R54" s="173"/>
      <c r="S54" s="220">
        <f t="shared" si="27"/>
        <v>1</v>
      </c>
      <c r="T54" s="173" t="str">
        <f t="shared" si="28"/>
        <v>Southbound</v>
      </c>
      <c r="U54" s="19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5" t="str">
        <f t="shared" si="5"/>
        <v>https://d0f6bd738d7f1b3e5a7ca70fe4ff75f0.us-east-1.aws.found.io/app/kibana#/discover/Steve-Slow-Train-Analysis-(2080s-and-2083s)?_g=(refreshInterval:(display:Off,pause:!f,section:0,value:0),time:(from:'2017-11-18T08:40:11-0700',mode:absolute,to:'2017-11-18T11:20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4" s="203" t="str">
        <f>IF(AA54&lt;VLOOKUP(AG54,Variables!$AC$3:$AD$8,2,FALSE),"Y","N")</f>
        <v>N</v>
      </c>
      <c r="X54" s="203">
        <f t="shared" si="29"/>
        <v>1</v>
      </c>
      <c r="Y54" s="203">
        <f t="shared" si="30"/>
        <v>23.2896</v>
      </c>
      <c r="Z54" s="203">
        <f t="shared" si="31"/>
        <v>2.07E-2</v>
      </c>
      <c r="AA54" s="203">
        <f t="shared" si="32"/>
        <v>23.268899999999999</v>
      </c>
      <c r="AB54" s="54" t="e">
        <f>VLOOKUP(A54,Enforcements!$C$7:$K$9,8,0)</f>
        <v>#N/A</v>
      </c>
      <c r="AC54" s="51" t="e">
        <f>VLOOKUP(A54,Enforcements!$C$7:$E$9,3,0)</f>
        <v>#N/A</v>
      </c>
      <c r="AD54" s="178">
        <f t="shared" si="33"/>
        <v>142</v>
      </c>
      <c r="AE54" s="77" t="str">
        <f t="shared" si="11"/>
        <v>aws s3 cp s3://rtdc.mdm.uploadarchive.raw/RTDC4021/ "%USERPROFILE%\AppData\Local\Temp\OnboardLogs"\RTDC4021\2017-11-18 --exclude "*" --recursive --include "*20171118*" &amp; "%USERPROFILE%\Documents\GitHub\mrs-test-scripts\Headless Mode &amp; Sideloading\WalkAndUnGZ.bat" "%USERPROFILE%\AppData\Local\Temp\OnboardLogs"\RTDC4021\2017-11-18 &amp; aws s3 cp s3://rtdc.mdm.uploadarchive.raw/RTDC4021/ "%USERPROFILE%\AppData\Local\Temp\OnboardLogs"\RTDC4021\2017-11-19 --exclude "*" --recursive --include "*20171119*" &amp; "%USERPROFILE%\Documents\GitHub\mrs-test-scripts\Headless Mode &amp; Sideloading\WalkAndUnGZ.bat" "%USERPROFILE%\AppData\Local\Temp\OnboardLogs"\RTDC4021\2017-11-19</v>
      </c>
      <c r="AF54" s="74" t="str">
        <f t="shared" si="12"/>
        <v>"C:\Program Files (x86)\AstroGrep\AstroGrep.exe" /e /r /s /spath="%USERPROFILE%\AppData\Local\Temp\OnboardLogs" /stypes="app*4021*20171118*" /stext=" 17:.+((SYSTEM_STATE.+slice.+state.+changed )|(ment ac)|(multiple cpu faults)|(system.+state.+changed )|(\[timeout)|(PRM\|1\|D)|(kpr)|(kdp)|(train st.+moving)|(\|lc)|(penalty))"</v>
      </c>
      <c r="AG54" s="181" t="str">
        <f t="shared" si="34"/>
        <v>EC</v>
      </c>
      <c r="AH54" s="78" t="str">
        <f t="shared" si="19"/>
        <v>"%USERPROFILE%\Documents\GitHub\eaglep3\Utilities\RefineRTDCRunTimes.py" --tripid 142-18 --locoid 4021 --swversion DE.1.0.9.0 --startMP 204:232896 --initTime 2017-11-18T09:40:11 --startdatetime 2017-11-18T09:42:50 --delay 51 --endMP 204:207 --enddatetime 2017-11-18T10:20:25 --enforcementcount 0 &gt;&gt;%USERPROFILE%\Documents\GitHub\eaglep3-reporting\EC\2017-11-18-refined-times.txt</v>
      </c>
      <c r="AI54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{"issue":{"subject":"","project_id":79,"tracker_id":40,"status_id":1,"priority_id":2,"assigned_to_id":338,"start_date":"2017-11-18","description":"","custom_fields":[{"id":1,"name":"Subdivision","value":"EC"},{"id":4,"name":"Milepost","value":"0.0207"},{"id":17,"name":"Train ID","value":"142-18"},{"id":16,"name":"Locomotive ID","value":"4021"},{"id":130,"name":"Impact","value":""},{"id":150,"name":"Time of Event (Mountain Time)","value":"10:20:25"},{"id":151,"name":"Denver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1" t="str">
        <f t="shared" si="21"/>
        <v>start /low /b %USERPROFILE%\Documents\GitHub\eaglep3\Utilities\DownloadLogsFromS3.py --loco 4021 --day 2017-11-18</v>
      </c>
      <c r="AN54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17:20:25"},{"id":29,"name":"Sharepoint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7" t="str">
        <f t="shared" si="23"/>
        <v>https://d0f6bd738d7f1b3e5a7ca70fe4ff75f0.us-east-1.aws.found.io/app/kibana#/discover/Steve-Slow-Train-Analysis-(2080s-and-2083s)?_g=(refreshInterval:(display:Off,pause:!f,section:0,value:0),time:(from:'2017-11-18T08:40:11-0700',mode:absolute,to:'2017-11-18T11:20:25-0700'))&amp;_a=(columns:!('Message%20ID',Summary),filters:!(),index:'emp_*',interval:auto,query:(query_string:(analyze_wildcard:!t,query:'%22rtdc.l.rtdc.4021%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775</v>
      </c>
      <c r="B55" s="7">
        <v>4004</v>
      </c>
      <c r="C55" s="21" t="s">
        <v>192</v>
      </c>
      <c r="D55" s="21" t="s">
        <v>922</v>
      </c>
      <c r="E55" s="13">
        <v>43057.370081018518</v>
      </c>
      <c r="F55" s="13">
        <v>43057.3752662037</v>
      </c>
      <c r="G55" s="7">
        <v>46</v>
      </c>
      <c r="H55" s="21" t="s">
        <v>918</v>
      </c>
      <c r="I55" s="13">
        <v>43057.400393518517</v>
      </c>
      <c r="J55" s="7">
        <v>0</v>
      </c>
      <c r="K55" s="89" t="str">
        <f t="shared" si="25"/>
        <v>4003/4004</v>
      </c>
      <c r="L55" s="184" t="str">
        <f>VLOOKUP(A55,'Trips&amp;Operators'!$C$1:$G$99911,5,FALSE)</f>
        <v>MAELZER KURT</v>
      </c>
      <c r="M55" s="6">
        <f t="shared" si="26"/>
        <v>2.5127314816927537E-2</v>
      </c>
      <c r="N55" s="7">
        <f t="shared" si="35"/>
        <v>36.183333336375654</v>
      </c>
      <c r="O55" s="7"/>
      <c r="P55" s="7"/>
      <c r="Q55" s="22"/>
      <c r="R55" s="173"/>
      <c r="S55" s="220">
        <f t="shared" si="27"/>
        <v>1</v>
      </c>
      <c r="T55" s="173" t="str">
        <f t="shared" si="28"/>
        <v>NorthBound</v>
      </c>
      <c r="U55" s="19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5" t="str">
        <f t="shared" si="5"/>
        <v>https://d0f6bd738d7f1b3e5a7ca70fe4ff75f0.us-east-1.aws.found.io/app/kibana#/discover/Steve-Slow-Train-Analysis-(2080s-and-2083s)?_g=(refreshInterval:(display:Off,pause:!f,section:0,value:0),time:(from:'2017-11-18T07:52:55-0700',mode:absolute,to:'2017-11-18T10:36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5" s="203" t="str">
        <f>IF(AA55&lt;VLOOKUP(AG55,Variables!$AC$3:$AD$8,2,FALSE),"Y","N")</f>
        <v>N</v>
      </c>
      <c r="X55" s="203">
        <f t="shared" si="29"/>
        <v>1</v>
      </c>
      <c r="Y55" s="203">
        <f t="shared" si="30"/>
        <v>4.8800000000000003E-2</v>
      </c>
      <c r="Z55" s="203">
        <f t="shared" si="31"/>
        <v>23.3306</v>
      </c>
      <c r="AA55" s="203">
        <f t="shared" si="32"/>
        <v>23.2818</v>
      </c>
      <c r="AB55" s="54" t="e">
        <f>VLOOKUP(A55,Enforcements!$C$7:$K$9,8,0)</f>
        <v>#N/A</v>
      </c>
      <c r="AC55" s="51" t="e">
        <f>VLOOKUP(A55,Enforcements!$C$7:$E$9,3,0)</f>
        <v>#N/A</v>
      </c>
      <c r="AD55" s="178">
        <f t="shared" si="33"/>
        <v>143</v>
      </c>
      <c r="AE55" s="77" t="str">
        <f t="shared" si="11"/>
        <v>aws s3 cp s3://rtdc.mdm.uploadarchive.raw/RTDC4004/ "%USERPROFILE%\AppData\Local\Temp\OnboardLogs"\RTDC4004\2017-11-18 --exclude "*" --recursive --include "*20171118*" &amp; "%USERPROFILE%\Documents\GitHub\mrs-test-scripts\Headless Mode &amp; Sideloading\WalkAndUnGZ.bat" "%USERPROFILE%\AppData\Local\Temp\OnboardLogs"\RTDC4004\2017-11-18 &amp; aws s3 cp s3://rtdc.mdm.uploadarchive.raw/RTDC4004/ "%USERPROFILE%\AppData\Local\Temp\OnboardLogs"\RTDC4004\2017-11-19 --exclude "*" --recursive --include "*20171119*" &amp; "%USERPROFILE%\Documents\GitHub\mrs-test-scripts\Headless Mode &amp; Sideloading\WalkAndUnGZ.bat" "%USERPROFILE%\AppData\Local\Temp\OnboardLogs"\RTDC4004\2017-11-19</v>
      </c>
      <c r="AF55" s="74" t="str">
        <f t="shared" si="12"/>
        <v>"C:\Program Files (x86)\AstroGrep\AstroGrep.exe" /e /r /s /spath="%USERPROFILE%\AppData\Local\Temp\OnboardLogs" /stypes="app*4004*20171118*" /stext=" 16:.+((SYSTEM_STATE.+slice.+state.+changed )|(ment ac)|(multiple cpu faults)|(system.+state.+changed )|(\[timeout)|(PRM\|1\|D)|(kpr)|(kdp)|(train st.+moving)|(\|lc)|(penalty))"</v>
      </c>
      <c r="AG55" s="181" t="str">
        <f t="shared" si="34"/>
        <v>EC</v>
      </c>
      <c r="AH55" s="78" t="str">
        <f t="shared" si="19"/>
        <v>"%USERPROFILE%\Documents\GitHub\eaglep3\Utilities\RefineRTDCRunTimes.py" --tripid 143-18 --locoid 4004 --swversion DE.1.0.9.0 --startMP 204:488 --initTime 2017-11-18T08:52:55 --startdatetime 2017-11-18T09:00:23 --delay 46 --endMP 204:233306 --enddatetime 2017-11-18T09:36:34 --enforcementcount 0 &gt;&gt;%USERPROFILE%\Documents\GitHub\eaglep3-reporting\EC\2017-11-18-refined-times.txt</v>
      </c>
      <c r="AI55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{"issue":{"subject":"","project_id":79,"tracker_id":40,"status_id":1,"priority_id":2,"assigned_to_id":338,"start_date":"2017-11-18","description":"","custom_fields":[{"id":1,"name":"Subdivision","value":"EC"},{"id":4,"name":"Milepost","value":"23.3306"},{"id":17,"name":"Train ID","value":"143-18"},{"id":16,"name":"Locomotive ID","value":"4004"},{"id":130,"name":"Impact","value":""},{"id":150,"name":"Time of Event (Mountain Time)","value":"09:36:34"},{"id":151,"name":"Denver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1" t="str">
        <f t="shared" si="21"/>
        <v>start /low /b %USERPROFILE%\Documents\GitHub\eaglep3\Utilities\DownloadLogsFromS3.py --loco 4004 --day 2017-11-18</v>
      </c>
      <c r="AN55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16:36:34"},{"id":29,"name":"Sharepoint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7" t="str">
        <f t="shared" si="23"/>
        <v>https://d0f6bd738d7f1b3e5a7ca70fe4ff75f0.us-east-1.aws.found.io/app/kibana#/discover/Steve-Slow-Train-Analysis-(2080s-and-2083s)?_g=(refreshInterval:(display:Off,pause:!f,section:0,value:0),time:(from:'2017-11-18T07:52:55-0700',mode:absolute,to:'2017-11-18T10:36:34-0700'))&amp;_a=(columns:!('Message%20ID',Summary),filters:!(),index:'emp_*',interval:auto,query:(query_string:(analyze_wildcard:!t,query:'%22rtdc.l.rtdc.4004%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782</v>
      </c>
      <c r="B56" s="7">
        <v>4003</v>
      </c>
      <c r="C56" s="21" t="s">
        <v>192</v>
      </c>
      <c r="D56" s="21" t="s">
        <v>624</v>
      </c>
      <c r="E56" s="13">
        <v>43057.412777777776</v>
      </c>
      <c r="F56" s="13">
        <v>43057.414965277778</v>
      </c>
      <c r="G56" s="7">
        <v>51</v>
      </c>
      <c r="H56" s="21" t="s">
        <v>498</v>
      </c>
      <c r="I56" s="13">
        <v>43057.440462962964</v>
      </c>
      <c r="J56" s="7">
        <v>0</v>
      </c>
      <c r="K56" s="89" t="str">
        <f t="shared" si="25"/>
        <v>4003/4004</v>
      </c>
      <c r="L56" s="184" t="str">
        <f>VLOOKUP(A56,'Trips&amp;Operators'!$C$1:$G$99911,5,FALSE)</f>
        <v>MAELZER KURT</v>
      </c>
      <c r="M56" s="6">
        <f t="shared" si="26"/>
        <v>2.5497685186564922E-2</v>
      </c>
      <c r="N56" s="7">
        <f t="shared" si="35"/>
        <v>36.716666668653488</v>
      </c>
      <c r="O56" s="7"/>
      <c r="P56" s="7"/>
      <c r="Q56" s="22"/>
      <c r="R56" s="173"/>
      <c r="S56" s="220">
        <f t="shared" si="27"/>
        <v>1</v>
      </c>
      <c r="T56" s="173" t="str">
        <f t="shared" si="28"/>
        <v>Southbound</v>
      </c>
      <c r="U56" s="19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5" t="str">
        <f t="shared" si="5"/>
        <v>https://d0f6bd738d7f1b3e5a7ca70fe4ff75f0.us-east-1.aws.found.io/app/kibana#/discover/Steve-Slow-Train-Analysis-(2080s-and-2083s)?_g=(refreshInterval:(display:Off,pause:!f,section:0,value:0),time:(from:'2017-11-18T08:54:24-0700',mode:absolute,to:'2017-11-18T11:34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6" s="203" t="str">
        <f>IF(AA56&lt;VLOOKUP(AG56,Variables!$AC$3:$AD$8,2,FALSE),"Y","N")</f>
        <v>N</v>
      </c>
      <c r="X56" s="203">
        <f t="shared" si="29"/>
        <v>1</v>
      </c>
      <c r="Y56" s="203">
        <f t="shared" si="30"/>
        <v>23.299399999999999</v>
      </c>
      <c r="Z56" s="203">
        <f t="shared" si="31"/>
        <v>1.9099999999999999E-2</v>
      </c>
      <c r="AA56" s="203">
        <f t="shared" si="32"/>
        <v>23.280299999999997</v>
      </c>
      <c r="AB56" s="54" t="e">
        <f>VLOOKUP(A56,Enforcements!$C$7:$K$9,8,0)</f>
        <v>#N/A</v>
      </c>
      <c r="AC56" s="51" t="e">
        <f>VLOOKUP(A56,Enforcements!$C$7:$E$9,3,0)</f>
        <v>#N/A</v>
      </c>
      <c r="AD56" s="178">
        <f t="shared" si="33"/>
        <v>144</v>
      </c>
      <c r="AE56" s="77" t="str">
        <f t="shared" si="11"/>
        <v>aws s3 cp s3://rtdc.mdm.uploadarchive.raw/RTDC4003/ "%USERPROFILE%\AppData\Local\Temp\OnboardLogs"\RTDC4003\2017-11-18 --exclude "*" --recursive --include "*20171118*" &amp; "%USERPROFILE%\Documents\GitHub\mrs-test-scripts\Headless Mode &amp; Sideloading\WalkAndUnGZ.bat" "%USERPROFILE%\AppData\Local\Temp\OnboardLogs"\RTDC4003\2017-11-18 &amp; aws s3 cp s3://rtdc.mdm.uploadarchive.raw/RTDC4003/ "%USERPROFILE%\AppData\Local\Temp\OnboardLogs"\RTDC4003\2017-11-19 --exclude "*" --recursive --include "*20171119*" &amp; "%USERPROFILE%\Documents\GitHub\mrs-test-scripts\Headless Mode &amp; Sideloading\WalkAndUnGZ.bat" "%USERPROFILE%\AppData\Local\Temp\OnboardLogs"\RTDC4003\2017-11-19</v>
      </c>
      <c r="AF56" s="74" t="str">
        <f t="shared" si="12"/>
        <v>"C:\Program Files (x86)\AstroGrep\AstroGrep.exe" /e /r /s /spath="%USERPROFILE%\AppData\Local\Temp\OnboardLogs" /stypes="app*4003*20171118*" /stext=" 17:.+((SYSTEM_STATE.+slice.+state.+changed )|(ment ac)|(multiple cpu faults)|(system.+state.+changed )|(\[timeout)|(PRM\|1\|D)|(kpr)|(kdp)|(train st.+moving)|(\|lc)|(penalty))"</v>
      </c>
      <c r="AG56" s="181" t="str">
        <f t="shared" si="34"/>
        <v>EC</v>
      </c>
      <c r="AH56" s="78" t="str">
        <f t="shared" si="19"/>
        <v>"%USERPROFILE%\Documents\GitHub\eaglep3\Utilities\RefineRTDCRunTimes.py" --tripid 144-18 --locoid 4003 --swversion DE.1.0.9.0 --startMP 204:232994 --initTime 2017-11-18T09:54:24 --startdatetime 2017-11-18T09:57:33 --delay 51 --endMP 204:191 --enddatetime 2017-11-18T10:34:16 --enforcementcount 0 &gt;&gt;%USERPROFILE%\Documents\GitHub\eaglep3-reporting\EC\2017-11-18-refined-times.txt</v>
      </c>
      <c r="AI56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{"issue":{"subject":"","project_id":79,"tracker_id":40,"status_id":1,"priority_id":2,"assigned_to_id":338,"start_date":"2017-11-18","description":"","custom_fields":[{"id":1,"name":"Subdivision","value":"EC"},{"id":4,"name":"Milepost","value":"0.0191"},{"id":17,"name":"Train ID","value":"144-18"},{"id":16,"name":"Locomotive ID","value":"4003"},{"id":130,"name":"Impact","value":""},{"id":150,"name":"Time of Event (Mountain Time)","value":"10:34:16"},{"id":151,"name":"Denver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1" t="str">
        <f t="shared" si="21"/>
        <v>start /low /b %USERPROFILE%\Documents\GitHub\eaglep3\Utilities\DownloadLogsFromS3.py --loco 4003 --day 2017-11-18</v>
      </c>
      <c r="AN56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17:34:16"},{"id":29,"name":"Sharepoint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7" t="str">
        <f t="shared" si="23"/>
        <v>https://d0f6bd738d7f1b3e5a7ca70fe4ff75f0.us-east-1.aws.found.io/app/kibana#/discover/Steve-Slow-Train-Analysis-(2080s-and-2083s)?_g=(refreshInterval:(display:Off,pause:!f,section:0,value:0),time:(from:'2017-11-18T08:54:24-0700',mode:absolute,to:'2017-11-18T11:34:16-0700'))&amp;_a=(columns:!('Message%20ID',Summary),filters:!(),index:'emp_*',interval:auto,query:(query_string:(analyze_wildcard:!t,query:'%22rtdc.l.rtdc.4003%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776</v>
      </c>
      <c r="B57" s="7">
        <v>4006</v>
      </c>
      <c r="C57" s="21" t="s">
        <v>192</v>
      </c>
      <c r="D57" s="21" t="s">
        <v>915</v>
      </c>
      <c r="E57" s="13">
        <v>43057.380011574074</v>
      </c>
      <c r="F57" s="13">
        <v>43057.38559027778</v>
      </c>
      <c r="G57" s="7">
        <v>90</v>
      </c>
      <c r="H57" s="21" t="s">
        <v>628</v>
      </c>
      <c r="I57" s="13">
        <v>43057.410555555558</v>
      </c>
      <c r="J57" s="7">
        <v>0</v>
      </c>
      <c r="K57" s="89" t="str">
        <f t="shared" si="25"/>
        <v>4005/4006</v>
      </c>
      <c r="L57" s="184" t="str">
        <f>VLOOKUP(A57,'Trips&amp;Operators'!$C$1:$G$99911,5,FALSE)</f>
        <v>WILLIAMS DONTE</v>
      </c>
      <c r="M57" s="6">
        <f t="shared" si="26"/>
        <v>2.4965277778392192E-2</v>
      </c>
      <c r="N57" s="7">
        <f t="shared" si="35"/>
        <v>35.950000000884756</v>
      </c>
      <c r="O57" s="7"/>
      <c r="P57" s="7"/>
      <c r="Q57" s="22"/>
      <c r="R57" s="173"/>
      <c r="S57" s="220">
        <f t="shared" si="27"/>
        <v>1</v>
      </c>
      <c r="T57" s="173" t="str">
        <f t="shared" si="28"/>
        <v>NorthBound</v>
      </c>
      <c r="U57" s="19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5" t="str">
        <f t="shared" si="5"/>
        <v>https://d0f6bd738d7f1b3e5a7ca70fe4ff75f0.us-east-1.aws.found.io/app/kibana#/discover/Steve-Slow-Train-Analysis-(2080s-and-2083s)?_g=(refreshInterval:(display:Off,pause:!f,section:0,value:0),time:(from:'2017-11-18T08:07:13-0700',mode:absolute,to:'2017-11-18T10:51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7" s="203" t="str">
        <f>IF(AA57&lt;VLOOKUP(AG57,Variables!$AC$3:$AD$8,2,FALSE),"Y","N")</f>
        <v>N</v>
      </c>
      <c r="X57" s="203">
        <f t="shared" si="29"/>
        <v>1</v>
      </c>
      <c r="Y57" s="203">
        <f t="shared" si="30"/>
        <v>5.3900000000000003E-2</v>
      </c>
      <c r="Z57" s="203">
        <f t="shared" si="31"/>
        <v>23.322600000000001</v>
      </c>
      <c r="AA57" s="203">
        <f t="shared" si="32"/>
        <v>23.268700000000003</v>
      </c>
      <c r="AB57" s="54" t="e">
        <f>VLOOKUP(A57,Enforcements!$C$7:$K$9,8,0)</f>
        <v>#N/A</v>
      </c>
      <c r="AC57" s="51" t="e">
        <f>VLOOKUP(A57,Enforcements!$C$7:$E$9,3,0)</f>
        <v>#N/A</v>
      </c>
      <c r="AD57" s="178">
        <f t="shared" si="33"/>
        <v>145</v>
      </c>
      <c r="AE57" s="77" t="str">
        <f t="shared" si="11"/>
        <v>aws s3 cp s3://rtdc.mdm.uploadarchive.raw/RTDC4006/ "%USERPROFILE%\AppData\Local\Temp\OnboardLogs"\RTDC4006\2017-11-18 --exclude "*" --recursive --include "*20171118*" &amp; "%USERPROFILE%\Documents\GitHub\mrs-test-scripts\Headless Mode &amp; Sideloading\WalkAndUnGZ.bat" "%USERPROFILE%\AppData\Local\Temp\OnboardLogs"\RTDC4006\2017-11-18 &amp; aws s3 cp s3://rtdc.mdm.uploadarchive.raw/RTDC4006/ "%USERPROFILE%\AppData\Local\Temp\OnboardLogs"\RTDC4006\2017-11-19 --exclude "*" --recursive --include "*20171119*" &amp; "%USERPROFILE%\Documents\GitHub\mrs-test-scripts\Headless Mode &amp; Sideloading\WalkAndUnGZ.bat" "%USERPROFILE%\AppData\Local\Temp\OnboardLogs"\RTDC4006\2017-11-19</v>
      </c>
      <c r="AF57" s="74" t="str">
        <f t="shared" si="12"/>
        <v>"C:\Program Files (x86)\AstroGrep\AstroGrep.exe" /e /r /s /spath="%USERPROFILE%\AppData\Local\Temp\OnboardLogs" /stypes="app*4006*20171118*" /stext=" 16:.+((SYSTEM_STATE.+slice.+state.+changed )|(ment ac)|(multiple cpu faults)|(system.+state.+changed )|(\[timeout)|(PRM\|1\|D)|(kpr)|(kdp)|(train st.+moving)|(\|lc)|(penalty))"</v>
      </c>
      <c r="AG57" s="181" t="str">
        <f t="shared" si="34"/>
        <v>EC</v>
      </c>
      <c r="AH57" s="78" t="str">
        <f t="shared" si="19"/>
        <v>"%USERPROFILE%\Documents\GitHub\eaglep3\Utilities\RefineRTDCRunTimes.py" --tripid 145-18 --locoid 4006 --swversion DE.1.0.9.0 --startMP 204:539 --initTime 2017-11-18T09:07:13 --startdatetime 2017-11-18T09:15:15 --delay 90 --endMP 204:233226 --enddatetime 2017-11-18T09:51:12 --enforcementcount 0 &gt;&gt;%USERPROFILE%\Documents\GitHub\eaglep3-reporting\EC\2017-11-18-refined-times.txt</v>
      </c>
      <c r="AI57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{"issue":{"subject":"","project_id":79,"tracker_id":40,"status_id":1,"priority_id":2,"assigned_to_id":338,"start_date":"2017-11-18","description":"","custom_fields":[{"id":1,"name":"Subdivision","value":"EC"},{"id":4,"name":"Milepost","value":"23.3226"},{"id":17,"name":"Train ID","value":"145-18"},{"id":16,"name":"Locomotive ID","value":"4006"},{"id":130,"name":"Impact","value":""},{"id":150,"name":"Time of Event (Mountain Time)","value":"09:51:12"},{"id":151,"name":"Denver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1" t="str">
        <f t="shared" si="21"/>
        <v>start /low /b %USERPROFILE%\Documents\GitHub\eaglep3\Utilities\DownloadLogsFromS3.py --loco 4006 --day 2017-11-18</v>
      </c>
      <c r="AN57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16:51:12"},{"id":29,"name":"Sharepoint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7" t="str">
        <f t="shared" si="23"/>
        <v>https://d0f6bd738d7f1b3e5a7ca70fe4ff75f0.us-east-1.aws.found.io/app/kibana#/discover/Steve-Slow-Train-Analysis-(2080s-and-2083s)?_g=(refreshInterval:(display:Off,pause:!f,section:0,value:0),time:(from:'2017-11-18T08:07:13-0700',mode:absolute,to:'2017-11-18T10:51:12-0700'))&amp;_a=(columns:!('Message%20ID',Summary),filters:!(),index:'emp_*',interval:auto,query:(query_string:(analyze_wildcard:!t,query:'%22rtdc.l.rtdc.4006%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784</v>
      </c>
      <c r="B58" s="7">
        <v>4005</v>
      </c>
      <c r="C58" s="21" t="s">
        <v>192</v>
      </c>
      <c r="D58" s="21" t="s">
        <v>633</v>
      </c>
      <c r="E58" s="13">
        <v>43057.421030092592</v>
      </c>
      <c r="F58" s="13">
        <v>43057.425185185188</v>
      </c>
      <c r="G58" s="7">
        <v>113</v>
      </c>
      <c r="H58" s="21" t="s">
        <v>944</v>
      </c>
      <c r="I58" s="13">
        <v>43057.453634259262</v>
      </c>
      <c r="J58" s="7">
        <v>0</v>
      </c>
      <c r="K58" s="89" t="str">
        <f t="shared" si="25"/>
        <v>4005/4006</v>
      </c>
      <c r="L58" s="184" t="str">
        <f>VLOOKUP(A58,'Trips&amp;Operators'!$C$1:$G$99911,5,FALSE)</f>
        <v>WILLIAMS DONTE</v>
      </c>
      <c r="M58" s="6">
        <f t="shared" si="26"/>
        <v>2.8449074074160308E-2</v>
      </c>
      <c r="N58" s="7">
        <f t="shared" si="35"/>
        <v>40.966666666790843</v>
      </c>
      <c r="O58" s="7"/>
      <c r="P58" s="7"/>
      <c r="Q58" s="22"/>
      <c r="R58" s="173"/>
      <c r="S58" s="220">
        <f t="shared" si="27"/>
        <v>1</v>
      </c>
      <c r="T58" s="173" t="str">
        <f t="shared" si="28"/>
        <v>Southbound</v>
      </c>
      <c r="U58" s="19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5" t="str">
        <f t="shared" si="5"/>
        <v>https://d0f6bd738d7f1b3e5a7ca70fe4ff75f0.us-east-1.aws.found.io/app/kibana#/discover/Steve-Slow-Train-Analysis-(2080s-and-2083s)?_g=(refreshInterval:(display:Off,pause:!f,section:0,value:0),time:(from:'2017-11-18T09:06:17-0700',mode:absolute,to:'2017-11-18T11:53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8" s="203" t="str">
        <f>IF(AA58&lt;VLOOKUP(AG58,Variables!$AC$3:$AD$8,2,FALSE),"Y","N")</f>
        <v>N</v>
      </c>
      <c r="X58" s="203">
        <f t="shared" si="29"/>
        <v>1</v>
      </c>
      <c r="Y58" s="203">
        <f t="shared" si="30"/>
        <v>23.2913</v>
      </c>
      <c r="Z58" s="203">
        <f t="shared" si="31"/>
        <v>2.4E-2</v>
      </c>
      <c r="AA58" s="203">
        <f t="shared" si="32"/>
        <v>23.267299999999999</v>
      </c>
      <c r="AB58" s="54" t="e">
        <f>VLOOKUP(A58,Enforcements!$C$7:$K$9,8,0)</f>
        <v>#N/A</v>
      </c>
      <c r="AC58" s="51" t="e">
        <f>VLOOKUP(A58,Enforcements!$C$7:$E$9,3,0)</f>
        <v>#N/A</v>
      </c>
      <c r="AD58" s="178">
        <f t="shared" si="33"/>
        <v>146</v>
      </c>
      <c r="AE58" s="77" t="str">
        <f t="shared" si="11"/>
        <v>aws s3 cp s3://rtdc.mdm.uploadarchive.raw/RTDC4005/ "%USERPROFILE%\AppData\Local\Temp\OnboardLogs"\RTDC4005\2017-11-18 --exclude "*" --recursive --include "*20171118*" &amp; "%USERPROFILE%\Documents\GitHub\mrs-test-scripts\Headless Mode &amp; Sideloading\WalkAndUnGZ.bat" "%USERPROFILE%\AppData\Local\Temp\OnboardLogs"\RTDC4005\2017-11-18 &amp; aws s3 cp s3://rtdc.mdm.uploadarchive.raw/RTDC4005/ "%USERPROFILE%\AppData\Local\Temp\OnboardLogs"\RTDC4005\2017-11-19 --exclude "*" --recursive --include "*20171119*" &amp; "%USERPROFILE%\Documents\GitHub\mrs-test-scripts\Headless Mode &amp; Sideloading\WalkAndUnGZ.bat" "%USERPROFILE%\AppData\Local\Temp\OnboardLogs"\RTDC4005\2017-11-19</v>
      </c>
      <c r="AF58" s="74" t="str">
        <f t="shared" si="12"/>
        <v>"C:\Program Files (x86)\AstroGrep\AstroGrep.exe" /e /r /s /spath="%USERPROFILE%\AppData\Local\Temp\OnboardLogs" /stypes="app*4005*20171118*" /stext=" 17:.+((SYSTEM_STATE.+slice.+state.+changed )|(ment ac)|(multiple cpu faults)|(system.+state.+changed )|(\[timeout)|(PRM\|1\|D)|(kpr)|(kdp)|(train st.+moving)|(\|lc)|(penalty))"</v>
      </c>
      <c r="AG58" s="181" t="str">
        <f t="shared" si="34"/>
        <v>EC</v>
      </c>
      <c r="AH58" s="78" t="str">
        <f t="shared" si="19"/>
        <v>"%USERPROFILE%\Documents\GitHub\eaglep3\Utilities\RefineRTDCRunTimes.py" --tripid 146-18 --locoid 4005 --swversion DE.1.0.9.0 --startMP 204:232913 --initTime 2017-11-18T10:06:17 --startdatetime 2017-11-18T10:12:16 --delay 113 --endMP 204:240 --enddatetime 2017-11-18T10:53:14 --enforcementcount 0 &gt;&gt;%USERPROFILE%\Documents\GitHub\eaglep3-reporting\EC\2017-11-18-refined-times.txt</v>
      </c>
      <c r="AI58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{"issue":{"subject":"","project_id":79,"tracker_id":40,"status_id":1,"priority_id":2,"assigned_to_id":338,"start_date":"2017-11-18","description":"","custom_fields":[{"id":1,"name":"Subdivision","value":"EC"},{"id":4,"name":"Milepost","value":"0.024"},{"id":17,"name":"Train ID","value":"146-18"},{"id":16,"name":"Locomotive ID","value":"4005"},{"id":130,"name":"Impact","value":""},{"id":150,"name":"Time of Event (Mountain Time)","value":"10:53:14"},{"id":151,"name":"Denver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1" t="str">
        <f t="shared" si="21"/>
        <v>start /low /b %USERPROFILE%\Documents\GitHub\eaglep3\Utilities\DownloadLogsFromS3.py --loco 4005 --day 2017-11-18</v>
      </c>
      <c r="AN58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17:53:14"},{"id":29,"name":"Sharepoint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7" t="str">
        <f t="shared" si="23"/>
        <v>https://d0f6bd738d7f1b3e5a7ca70fe4ff75f0.us-east-1.aws.found.io/app/kibana#/discover/Steve-Slow-Train-Analysis-(2080s-and-2083s)?_g=(refreshInterval:(display:Off,pause:!f,section:0,value:0),time:(from:'2017-11-18T09:06:17-0700',mode:absolute,to:'2017-11-18T11:53:14-0700'))&amp;_a=(columns:!('Message%20ID',Summary),filters:!(),index:'emp_*',interval:auto,query:(query_string:(analyze_wildcard:!t,query:'%22rtdc.l.rtdc.4005%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777</v>
      </c>
      <c r="B59" s="7">
        <v>4018</v>
      </c>
      <c r="C59" s="21" t="s">
        <v>192</v>
      </c>
      <c r="D59" s="21" t="s">
        <v>945</v>
      </c>
      <c r="E59" s="13">
        <v>43057.389374999999</v>
      </c>
      <c r="F59" s="13">
        <v>43057.395972222221</v>
      </c>
      <c r="G59" s="7">
        <v>66</v>
      </c>
      <c r="H59" s="21" t="s">
        <v>946</v>
      </c>
      <c r="I59" s="13">
        <v>43057.420729166668</v>
      </c>
      <c r="J59" s="7">
        <v>0</v>
      </c>
      <c r="K59" s="89" t="str">
        <f t="shared" si="25"/>
        <v>4017/4018</v>
      </c>
      <c r="L59" s="184" t="str">
        <f>VLOOKUP(A59,'Trips&amp;Operators'!$C$1:$G$99911,5,FALSE)</f>
        <v>NEWELL JAMES</v>
      </c>
      <c r="M59" s="6">
        <f t="shared" si="26"/>
        <v>2.4756944447290152E-2</v>
      </c>
      <c r="N59" s="7">
        <f t="shared" si="35"/>
        <v>35.650000004097819</v>
      </c>
      <c r="O59" s="7"/>
      <c r="P59" s="7"/>
      <c r="Q59" s="22"/>
      <c r="R59" s="173"/>
      <c r="S59" s="220">
        <f t="shared" si="27"/>
        <v>1</v>
      </c>
      <c r="T59" s="173" t="str">
        <f t="shared" si="28"/>
        <v>NorthBound</v>
      </c>
      <c r="U59" s="19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5" t="str">
        <f t="shared" si="5"/>
        <v>https://d0f6bd738d7f1b3e5a7ca70fe4ff75f0.us-east-1.aws.found.io/app/kibana#/discover/Steve-Slow-Train-Analysis-(2080s-and-2083s)?_g=(refreshInterval:(display:Off,pause:!f,section:0,value:0),time:(from:'2017-11-18T08:20:42-0700',mode:absolute,to:'2017-11-18T11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9" s="203" t="str">
        <f>IF(AA59&lt;VLOOKUP(AG59,Variables!$AC$3:$AD$8,2,FALSE),"Y","N")</f>
        <v>N</v>
      </c>
      <c r="X59" s="203">
        <f t="shared" si="29"/>
        <v>1</v>
      </c>
      <c r="Y59" s="203">
        <f t="shared" si="30"/>
        <v>5.8200000000000002E-2</v>
      </c>
      <c r="Z59" s="203">
        <f t="shared" si="31"/>
        <v>23.321200000000001</v>
      </c>
      <c r="AA59" s="203">
        <f t="shared" si="32"/>
        <v>23.263000000000002</v>
      </c>
      <c r="AB59" s="54" t="e">
        <f>VLOOKUP(A59,Enforcements!$C$7:$K$9,8,0)</f>
        <v>#N/A</v>
      </c>
      <c r="AC59" s="51" t="e">
        <f>VLOOKUP(A59,Enforcements!$C$7:$E$9,3,0)</f>
        <v>#N/A</v>
      </c>
      <c r="AD59" s="178">
        <f t="shared" si="33"/>
        <v>147</v>
      </c>
      <c r="AE59" s="77" t="str">
        <f t="shared" si="11"/>
        <v>aws s3 cp s3://rtdc.mdm.uploadarchive.raw/RTDC4018/ "%USERPROFILE%\AppData\Local\Temp\OnboardLogs"\RTDC4018\2017-11-18 --exclude "*" --recursive --include "*20171118*" &amp; "%USERPROFILE%\Documents\GitHub\mrs-test-scripts\Headless Mode &amp; Sideloading\WalkAndUnGZ.bat" "%USERPROFILE%\AppData\Local\Temp\OnboardLogs"\RTDC4018\2017-11-18 &amp; aws s3 cp s3://rtdc.mdm.uploadarchive.raw/RTDC4018/ "%USERPROFILE%\AppData\Local\Temp\OnboardLogs"\RTDC4018\2017-11-19 --exclude "*" --recursive --include "*20171119*" &amp; "%USERPROFILE%\Documents\GitHub\mrs-test-scripts\Headless Mode &amp; Sideloading\WalkAndUnGZ.bat" "%USERPROFILE%\AppData\Local\Temp\OnboardLogs"\RTDC4018\2017-11-19</v>
      </c>
      <c r="AF59" s="74" t="str">
        <f t="shared" si="12"/>
        <v>"C:\Program Files (x86)\AstroGrep\AstroGrep.exe" /e /r /s /spath="%USERPROFILE%\AppData\Local\Temp\OnboardLogs" /stypes="app*4018*20171118*" /stext=" 17:.+((SYSTEM_STATE.+slice.+state.+changed )|(ment ac)|(multiple cpu faults)|(system.+state.+changed )|(\[timeout)|(PRM\|1\|D)|(kpr)|(kdp)|(train st.+moving)|(\|lc)|(penalty))"</v>
      </c>
      <c r="AG59" s="181" t="str">
        <f t="shared" si="34"/>
        <v>EC</v>
      </c>
      <c r="AH59" s="78" t="str">
        <f t="shared" si="19"/>
        <v>"%USERPROFILE%\Documents\GitHub\eaglep3\Utilities\RefineRTDCRunTimes.py" --tripid 147-18 --locoid 4018 --swversion DE.1.0.9.0 --startMP 204:582 --initTime 2017-11-18T09:20:42 --startdatetime 2017-11-18T09:30:12 --delay 66 --endMP 204:233212 --enddatetime 2017-11-18T10:05:51 --enforcementcount 0 &gt;&gt;%USERPROFILE%\Documents\GitHub\eaglep3-reporting\EC\2017-11-18-refined-times.txt</v>
      </c>
      <c r="AI59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{"issue":{"subject":"","project_id":79,"tracker_id":40,"status_id":1,"priority_id":2,"assigned_to_id":338,"start_date":"2017-11-18","description":"","custom_fields":[{"id":1,"name":"Subdivision","value":"EC"},{"id":4,"name":"Milepost","value":"23.3212"},{"id":17,"name":"Train ID","value":"147-18"},{"id":16,"name":"Locomotive ID","value":"4018"},{"id":130,"name":"Impact","value":""},{"id":150,"name":"Time of Event (Mountain Time)","value":"10:05:51"},{"id":151,"name":"Denver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1" t="str">
        <f t="shared" si="21"/>
        <v>start /low /b %USERPROFILE%\Documents\GitHub\eaglep3\Utilities\DownloadLogsFromS3.py --loco 4018 --day 2017-11-18</v>
      </c>
      <c r="AN59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17:05:51"},{"id":29,"name":"Sharepoint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7" t="str">
        <f t="shared" si="23"/>
        <v>https://d0f6bd738d7f1b3e5a7ca70fe4ff75f0.us-east-1.aws.found.io/app/kibana#/discover/Steve-Slow-Train-Analysis-(2080s-and-2083s)?_g=(refreshInterval:(display:Off,pause:!f,section:0,value:0),time:(from:'2017-11-18T08:20:42-0700',mode:absolute,to:'2017-11-18T11:05:51-0700'))&amp;_a=(columns:!('Message%20ID',Summary),filters:!(),index:'emp_*',interval:auto,query:(query_string:(analyze_wildcard:!t,query:'%22rtdc.l.rtdc.4018%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785</v>
      </c>
      <c r="B60" s="7">
        <v>4017</v>
      </c>
      <c r="C60" s="21" t="s">
        <v>192</v>
      </c>
      <c r="D60" s="21" t="s">
        <v>565</v>
      </c>
      <c r="E60" s="13">
        <v>43057.422060185185</v>
      </c>
      <c r="F60" s="13">
        <v>43057.435555555552</v>
      </c>
      <c r="G60" s="7">
        <v>54</v>
      </c>
      <c r="H60" s="21" t="s">
        <v>929</v>
      </c>
      <c r="I60" s="13">
        <v>43057.460925925923</v>
      </c>
      <c r="J60" s="7">
        <v>0</v>
      </c>
      <c r="K60" s="89" t="str">
        <f t="shared" si="25"/>
        <v>4017/4018</v>
      </c>
      <c r="L60" s="184" t="str">
        <f>VLOOKUP(A60,'Trips&amp;Operators'!$C$1:$G$99911,5,FALSE)</f>
        <v>NEWELL JAMES</v>
      </c>
      <c r="M60" s="6">
        <f t="shared" si="26"/>
        <v>2.5370370371092577E-2</v>
      </c>
      <c r="N60" s="7">
        <f t="shared" si="35"/>
        <v>36.53333333437331</v>
      </c>
      <c r="O60" s="7"/>
      <c r="P60" s="7"/>
      <c r="Q60" s="22"/>
      <c r="R60" s="173"/>
      <c r="S60" s="220">
        <f t="shared" si="27"/>
        <v>1</v>
      </c>
      <c r="T60" s="173" t="str">
        <f t="shared" si="28"/>
        <v>Southbound</v>
      </c>
      <c r="U60" s="19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5" t="str">
        <f t="shared" si="5"/>
        <v>https://d0f6bd738d7f1b3e5a7ca70fe4ff75f0.us-east-1.aws.found.io/app/kibana#/discover/Steve-Slow-Train-Analysis-(2080s-and-2083s)?_g=(refreshInterval:(display:Off,pause:!f,section:0,value:0),time:(from:'2017-11-18T09:07:46-0700',mode:absolute,to:'2017-11-18T12:03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0" s="203" t="str">
        <f>IF(AA60&lt;VLOOKUP(AG60,Variables!$AC$3:$AD$8,2,FALSE),"Y","N")</f>
        <v>N</v>
      </c>
      <c r="X60" s="203">
        <f t="shared" si="29"/>
        <v>1</v>
      </c>
      <c r="Y60" s="203">
        <f t="shared" si="30"/>
        <v>23.290199999999999</v>
      </c>
      <c r="Z60" s="203">
        <f t="shared" si="31"/>
        <v>2.4299999999999999E-2</v>
      </c>
      <c r="AA60" s="203">
        <f t="shared" si="32"/>
        <v>23.265899999999998</v>
      </c>
      <c r="AB60" s="54" t="e">
        <f>VLOOKUP(A60,Enforcements!$C$7:$K$9,8,0)</f>
        <v>#N/A</v>
      </c>
      <c r="AC60" s="51" t="e">
        <f>VLOOKUP(A60,Enforcements!$C$7:$E$9,3,0)</f>
        <v>#N/A</v>
      </c>
      <c r="AD60" s="178">
        <f t="shared" si="33"/>
        <v>148</v>
      </c>
      <c r="AE60" s="77" t="str">
        <f t="shared" si="11"/>
        <v>aws s3 cp s3://rtdc.mdm.uploadarchive.raw/RTDC4017/ "%USERPROFILE%\AppData\Local\Temp\OnboardLogs"\RTDC4017\2017-11-18 --exclude "*" --recursive --include "*20171118*" &amp; "%USERPROFILE%\Documents\GitHub\mrs-test-scripts\Headless Mode &amp; Sideloading\WalkAndUnGZ.bat" "%USERPROFILE%\AppData\Local\Temp\OnboardLogs"\RTDC4017\2017-11-18 &amp; aws s3 cp s3://rtdc.mdm.uploadarchive.raw/RTDC4017/ "%USERPROFILE%\AppData\Local\Temp\OnboardLogs"\RTDC4017\2017-11-19 --exclude "*" --recursive --include "*20171119*" &amp; "%USERPROFILE%\Documents\GitHub\mrs-test-scripts\Headless Mode &amp; Sideloading\WalkAndUnGZ.bat" "%USERPROFILE%\AppData\Local\Temp\OnboardLogs"\RTDC4017\2017-11-19</v>
      </c>
      <c r="AF60" s="74" t="str">
        <f t="shared" si="12"/>
        <v>"C:\Program Files (x86)\AstroGrep\AstroGrep.exe" /e /r /s /spath="%USERPROFILE%\AppData\Local\Temp\OnboardLogs" /stypes="app*4017*20171118*" /stext=" 18:.+((SYSTEM_STATE.+slice.+state.+changed )|(ment ac)|(multiple cpu faults)|(system.+state.+changed )|(\[timeout)|(PRM\|1\|D)|(kpr)|(kdp)|(train st.+moving)|(\|lc)|(penalty))"</v>
      </c>
      <c r="AG60" s="181" t="str">
        <f t="shared" si="34"/>
        <v>EC</v>
      </c>
      <c r="AH60" s="78" t="str">
        <f t="shared" si="19"/>
        <v>"%USERPROFILE%\Documents\GitHub\eaglep3\Utilities\RefineRTDCRunTimes.py" --tripid 148-18 --locoid 4017 --swversion DE.1.0.9.0 --startMP 204:232902 --initTime 2017-11-18T10:07:46 --startdatetime 2017-11-18T10:27:12 --delay 54 --endMP 204:243 --enddatetime 2017-11-18T11:03:44 --enforcementcount 0 &gt;&gt;%USERPROFILE%\Documents\GitHub\eaglep3-reporting\EC\2017-11-18-refined-times.txt</v>
      </c>
      <c r="AI60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{"issue":{"subject":"","project_id":79,"tracker_id":40,"status_id":1,"priority_id":2,"assigned_to_id":338,"start_date":"2017-11-18","description":"","custom_fields":[{"id":1,"name":"Subdivision","value":"EC"},{"id":4,"name":"Milepost","value":"0.0243"},{"id":17,"name":"Train ID","value":"148-18"},{"id":16,"name":"Locomotive ID","value":"4017"},{"id":130,"name":"Impact","value":""},{"id":150,"name":"Time of Event (Mountain Time)","value":"11:03:44"},{"id":151,"name":"Denver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1" t="str">
        <f t="shared" si="21"/>
        <v>start /low /b %USERPROFILE%\Documents\GitHub\eaglep3\Utilities\DownloadLogsFromS3.py --loco 4017 --day 2017-11-18</v>
      </c>
      <c r="AN60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18:03:44"},{"id":29,"name":"Sharepoint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7" t="str">
        <f t="shared" si="23"/>
        <v>https://d0f6bd738d7f1b3e5a7ca70fe4ff75f0.us-east-1.aws.found.io/app/kibana#/discover/Steve-Slow-Train-Analysis-(2080s-and-2083s)?_g=(refreshInterval:(display:Off,pause:!f,section:0,value:0),time:(from:'2017-11-18T09:07:46-0700',mode:absolute,to:'2017-11-18T12:03:44-0700'))&amp;_a=(columns:!('Message%20ID',Summary),filters:!(),index:'emp_*',interval:auto,query:(query_string:(analyze_wildcard:!t,query:'%22rtdc.l.rtdc.4017%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779</v>
      </c>
      <c r="B61" s="7">
        <v>4024</v>
      </c>
      <c r="C61" s="21" t="s">
        <v>192</v>
      </c>
      <c r="D61" s="21" t="s">
        <v>947</v>
      </c>
      <c r="E61" s="13">
        <v>43057.401435185187</v>
      </c>
      <c r="F61" s="13">
        <v>43057.406423611108</v>
      </c>
      <c r="G61" s="7">
        <v>50</v>
      </c>
      <c r="H61" s="21" t="s">
        <v>948</v>
      </c>
      <c r="I61" s="13">
        <v>43057.43041666667</v>
      </c>
      <c r="J61" s="7">
        <v>0</v>
      </c>
      <c r="K61" s="89" t="str">
        <f t="shared" si="25"/>
        <v>4023/4024</v>
      </c>
      <c r="L61" s="184" t="str">
        <f>VLOOKUP(A61,'Trips&amp;Operators'!$C$1:$G$99911,5,FALSE)</f>
        <v>GEBRETEKLE DAGNEW</v>
      </c>
      <c r="M61" s="6">
        <f t="shared" si="26"/>
        <v>2.3993055561732035E-2</v>
      </c>
      <c r="N61" s="7">
        <f t="shared" si="35"/>
        <v>34.550000008894131</v>
      </c>
      <c r="O61" s="7"/>
      <c r="P61" s="7"/>
      <c r="Q61" s="22"/>
      <c r="R61" s="173"/>
      <c r="S61" s="220">
        <f t="shared" si="27"/>
        <v>1</v>
      </c>
      <c r="T61" s="173" t="str">
        <f t="shared" si="28"/>
        <v>NorthBound</v>
      </c>
      <c r="U61" s="19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5" t="str">
        <f t="shared" si="5"/>
        <v>https://d0f6bd738d7f1b3e5a7ca70fe4ff75f0.us-east-1.aws.found.io/app/kibana#/discover/Steve-Slow-Train-Analysis-(2080s-and-2083s)?_g=(refreshInterval:(display:Off,pause:!f,section:0,value:0),time:(from:'2017-11-18T08:38:04-0700',mode:absolute,to:'2017-11-18T11:19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1" s="203" t="str">
        <f>IF(AA61&lt;VLOOKUP(AG61,Variables!$AC$3:$AD$8,2,FALSE),"Y","N")</f>
        <v>N</v>
      </c>
      <c r="X61" s="203">
        <f t="shared" si="29"/>
        <v>1</v>
      </c>
      <c r="Y61" s="203">
        <f t="shared" si="30"/>
        <v>4.7800000000000002E-2</v>
      </c>
      <c r="Z61" s="203">
        <f t="shared" si="31"/>
        <v>23.3186</v>
      </c>
      <c r="AA61" s="203">
        <f t="shared" si="32"/>
        <v>23.270800000000001</v>
      </c>
      <c r="AB61" s="54" t="e">
        <f>VLOOKUP(A61,Enforcements!$C$7:$K$9,8,0)</f>
        <v>#N/A</v>
      </c>
      <c r="AC61" s="51" t="e">
        <f>VLOOKUP(A61,Enforcements!$C$7:$E$9,3,0)</f>
        <v>#N/A</v>
      </c>
      <c r="AD61" s="178">
        <f t="shared" si="33"/>
        <v>149</v>
      </c>
      <c r="AE61" s="77" t="str">
        <f t="shared" si="11"/>
        <v>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 &amp; aws s3 cp s3://rtdc.mdm.uploadarchive.raw/RTDC4024/ "%USERPROFILE%\AppData\Local\Temp\OnboardLogs"\RTDC4024\2017-11-19 --exclude "*" --recursive --include "*20171119*" &amp; "%USERPROFILE%\Documents\GitHub\mrs-test-scripts\Headless Mode &amp; Sideloading\WalkAndUnGZ.bat" "%USERPROFILE%\AppData\Local\Temp\OnboardLogs"\RTDC4024\2017-11-19</v>
      </c>
      <c r="AF61" s="74" t="str">
        <f t="shared" si="12"/>
        <v>"C:\Program Files (x86)\AstroGrep\AstroGrep.exe" /e /r /s /spath="%USERPROFILE%\AppData\Local\Temp\OnboardLogs" /stypes="app*4024*20171118*" /stext=" 17:.+((SYSTEM_STATE.+slice.+state.+changed )|(ment ac)|(multiple cpu faults)|(system.+state.+changed )|(\[timeout)|(PRM\|1\|D)|(kpr)|(kdp)|(train st.+moving)|(\|lc)|(penalty))"</v>
      </c>
      <c r="AG61" s="181" t="str">
        <f t="shared" si="34"/>
        <v>EC</v>
      </c>
      <c r="AH61" s="78" t="str">
        <f t="shared" si="19"/>
        <v>"%USERPROFILE%\Documents\GitHub\eaglep3\Utilities\RefineRTDCRunTimes.py" --tripid 149-18 --locoid 4024 --swversion DE.1.0.9.0 --startMP 204:478 --initTime 2017-11-18T09:38:04 --startdatetime 2017-11-18T09:45:15 --delay 50 --endMP 204:233186 --enddatetime 2017-11-18T10:19:48 --enforcementcount 0 &gt;&gt;%USERPROFILE%\Documents\GitHub\eaglep3-reporting\EC\2017-11-18-refined-times.txt</v>
      </c>
      <c r="AI61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{"issue":{"subject":"","project_id":79,"tracker_id":40,"status_id":1,"priority_id":2,"assigned_to_id":338,"start_date":"2017-11-18","description":"","custom_fields":[{"id":1,"name":"Subdivision","value":"EC"},{"id":4,"name":"Milepost","value":"23.3186"},{"id":17,"name":"Train ID","value":"149-18"},{"id":16,"name":"Locomotive ID","value":"4024"},{"id":130,"name":"Impact","value":""},{"id":150,"name":"Time of Event (Mountain Time)","value":"10:19:48"},{"id":151,"name":"Denver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1" t="str">
        <f t="shared" si="21"/>
        <v>start /low /b %USERPROFILE%\Documents\GitHub\eaglep3\Utilities\DownloadLogsFromS3.py --loco 4024 --day 2017-11-18</v>
      </c>
      <c r="AN61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17:19:48"},{"id":29,"name":"Sharepoint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7" t="str">
        <f t="shared" si="23"/>
        <v>https://d0f6bd738d7f1b3e5a7ca70fe4ff75f0.us-east-1.aws.found.io/app/kibana#/discover/Steve-Slow-Train-Analysis-(2080s-and-2083s)?_g=(refreshInterval:(display:Off,pause:!f,section:0,value:0),time:(from:'2017-11-18T08:38:04-0700',mode:absolute,to:'2017-11-18T11:19:48-0700'))&amp;_a=(columns:!('Message%20ID',Summary),filters:!(),index:'emp_*',interval:auto,query:(query_string:(analyze_wildcard:!t,query:'%22rtdc.l.rtdc.4024%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787</v>
      </c>
      <c r="B62" s="7">
        <v>4023</v>
      </c>
      <c r="C62" s="21" t="s">
        <v>192</v>
      </c>
      <c r="D62" s="21" t="s">
        <v>933</v>
      </c>
      <c r="E62" s="13">
        <v>43057.431967592594</v>
      </c>
      <c r="F62" s="13">
        <v>43057.44604166667</v>
      </c>
      <c r="G62" s="7">
        <v>63</v>
      </c>
      <c r="H62" s="21" t="s">
        <v>508</v>
      </c>
      <c r="I62" s="13">
        <v>43057.472604166665</v>
      </c>
      <c r="J62" s="7">
        <v>0</v>
      </c>
      <c r="K62" s="89" t="str">
        <f t="shared" si="25"/>
        <v>4023/4024</v>
      </c>
      <c r="L62" s="184" t="str">
        <f>VLOOKUP(A62,'Trips&amp;Operators'!$C$1:$G$99911,5,FALSE)</f>
        <v>GEBRETEKLE DAGNEW</v>
      </c>
      <c r="M62" s="6">
        <f t="shared" si="26"/>
        <v>2.6562499995634425E-2</v>
      </c>
      <c r="N62" s="7">
        <f t="shared" si="35"/>
        <v>38.249999993713573</v>
      </c>
      <c r="O62" s="7"/>
      <c r="P62" s="7"/>
      <c r="Q62" s="22"/>
      <c r="R62" s="173"/>
      <c r="S62" s="220">
        <f t="shared" si="27"/>
        <v>1</v>
      </c>
      <c r="T62" s="173" t="str">
        <f t="shared" si="28"/>
        <v>Southbound</v>
      </c>
      <c r="U62" s="19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5" t="str">
        <f t="shared" si="5"/>
        <v>https://d0f6bd738d7f1b3e5a7ca70fe4ff75f0.us-east-1.aws.found.io/app/kibana#/discover/Steve-Slow-Train-Analysis-(2080s-and-2083s)?_g=(refreshInterval:(display:Off,pause:!f,section:0,value:0),time:(from:'2017-11-18T09:22:02-0700',mode:absolute,to:'2017-11-18T12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2" s="203" t="str">
        <f>IF(AA62&lt;VLOOKUP(AG62,Variables!$AC$3:$AD$8,2,FALSE),"Y","N")</f>
        <v>N</v>
      </c>
      <c r="X62" s="203">
        <f t="shared" si="29"/>
        <v>1</v>
      </c>
      <c r="Y62" s="203">
        <f t="shared" si="30"/>
        <v>23.285699999999999</v>
      </c>
      <c r="Z62" s="203">
        <f t="shared" si="31"/>
        <v>2.1100000000000001E-2</v>
      </c>
      <c r="AA62" s="203">
        <f t="shared" si="32"/>
        <v>23.264599999999998</v>
      </c>
      <c r="AB62" s="54" t="e">
        <f>VLOOKUP(A62,Enforcements!$C$7:$K$9,8,0)</f>
        <v>#N/A</v>
      </c>
      <c r="AC62" s="51" t="e">
        <f>VLOOKUP(A62,Enforcements!$C$7:$E$9,3,0)</f>
        <v>#N/A</v>
      </c>
      <c r="AD62" s="178">
        <f t="shared" si="33"/>
        <v>150</v>
      </c>
      <c r="AE62" s="77" t="str">
        <f t="shared" si="11"/>
        <v>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 &amp; aws s3 cp s3://rtdc.mdm.uploadarchive.raw/RTDC4023/ "%USERPROFILE%\AppData\Local\Temp\OnboardLogs"\RTDC4023\2017-11-19 --exclude "*" --recursive --include "*20171119*" &amp; "%USERPROFILE%\Documents\GitHub\mrs-test-scripts\Headless Mode &amp; Sideloading\WalkAndUnGZ.bat" "%USERPROFILE%\AppData\Local\Temp\OnboardLogs"\RTDC4023\2017-11-19</v>
      </c>
      <c r="AF62" s="74" t="str">
        <f t="shared" si="12"/>
        <v>"C:\Program Files (x86)\AstroGrep\AstroGrep.exe" /e /r /s /spath="%USERPROFILE%\AppData\Local\Temp\OnboardLogs" /stypes="app*4023*20171118*" /stext=" 18:.+((SYSTEM_STATE.+slice.+state.+changed )|(ment ac)|(multiple cpu faults)|(system.+state.+changed )|(\[timeout)|(PRM\|1\|D)|(kpr)|(kdp)|(train st.+moving)|(\|lc)|(penalty))"</v>
      </c>
      <c r="AG62" s="181" t="str">
        <f t="shared" si="34"/>
        <v>EC</v>
      </c>
      <c r="AH62" s="78" t="str">
        <f t="shared" si="19"/>
        <v>"%USERPROFILE%\Documents\GitHub\eaglep3\Utilities\RefineRTDCRunTimes.py" --tripid 150-18 --locoid 4023 --swversion DE.1.0.9.0 --startMP 204:232857 --initTime 2017-11-18T10:22:02 --startdatetime 2017-11-18T10:42:18 --delay 63 --endMP 204:211 --enddatetime 2017-11-18T11:20:33 --enforcementcount 0 &gt;&gt;%USERPROFILE%\Documents\GitHub\eaglep3-reporting\EC\2017-11-18-refined-times.txt</v>
      </c>
      <c r="AI62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{"issue":{"subject":"","project_id":79,"tracker_id":40,"status_id":1,"priority_id":2,"assigned_to_id":338,"start_date":"2017-11-18","description":"","custom_fields":[{"id":1,"name":"Subdivision","value":"EC"},{"id":4,"name":"Milepost","value":"0.0211"},{"id":17,"name":"Train ID","value":"150-18"},{"id":16,"name":"Locomotive ID","value":"4023"},{"id":130,"name":"Impact","value":""},{"id":150,"name":"Time of Event (Mountain Time)","value":"11:20:33"},{"id":151,"name":"Denver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1" t="str">
        <f t="shared" si="21"/>
        <v>start /low /b %USERPROFILE%\Documents\GitHub\eaglep3\Utilities\DownloadLogsFromS3.py --loco 4023 --day 2017-11-18</v>
      </c>
      <c r="AN62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18:20:33"},{"id":29,"name":"Sharepoint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7" t="str">
        <f t="shared" si="23"/>
        <v>https://d0f6bd738d7f1b3e5a7ca70fe4ff75f0.us-east-1.aws.found.io/app/kibana#/discover/Steve-Slow-Train-Analysis-(2080s-and-2083s)?_g=(refreshInterval:(display:Off,pause:!f,section:0,value:0),time:(from:'2017-11-18T09:22:02-0700',mode:absolute,to:'2017-11-18T12:20:33-0700'))&amp;_a=(columns:!('Message%20ID',Summary),filters:!(),index:'emp_*',interval:auto,query:(query_string:(analyze_wildcard:!t,query:'%22rtdc.l.rtdc.4023%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781</v>
      </c>
      <c r="B63" s="7">
        <v>4026</v>
      </c>
      <c r="C63" s="21" t="s">
        <v>192</v>
      </c>
      <c r="D63" s="21" t="s">
        <v>641</v>
      </c>
      <c r="E63" s="13">
        <v>43057.412094907406</v>
      </c>
      <c r="F63" s="13">
        <v>43057.416817129626</v>
      </c>
      <c r="G63" s="7">
        <v>58</v>
      </c>
      <c r="H63" s="21" t="s">
        <v>506</v>
      </c>
      <c r="I63" s="13">
        <v>43057.442106481481</v>
      </c>
      <c r="J63" s="7">
        <v>0</v>
      </c>
      <c r="K63" s="89" t="str">
        <f t="shared" si="25"/>
        <v>4025/4026</v>
      </c>
      <c r="L63" s="184" t="str">
        <f>VLOOKUP(A63,'Trips&amp;Operators'!$C$1:$G$99911,5,FALSE)</f>
        <v>BARRON PERLA</v>
      </c>
      <c r="M63" s="6">
        <f t="shared" si="26"/>
        <v>2.5289351855462883E-2</v>
      </c>
      <c r="N63" s="7">
        <f t="shared" si="35"/>
        <v>36.416666671866551</v>
      </c>
      <c r="O63" s="7"/>
      <c r="P63" s="7"/>
      <c r="Q63" s="22"/>
      <c r="R63" s="173"/>
      <c r="S63" s="220">
        <f t="shared" si="27"/>
        <v>1</v>
      </c>
      <c r="T63" s="173" t="str">
        <f t="shared" si="28"/>
        <v>NorthBound</v>
      </c>
      <c r="U63" s="19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5" t="str">
        <f t="shared" si="5"/>
        <v>https://d0f6bd738d7f1b3e5a7ca70fe4ff75f0.us-east-1.aws.found.io/app/kibana#/discover/Steve-Slow-Train-Analysis-(2080s-and-2083s)?_g=(refreshInterval:(display:Off,pause:!f,section:0,value:0),time:(from:'2017-11-18T08:53:25-0700',mode:absolute,to:'2017-11-18T11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3" s="203" t="str">
        <f>IF(AA63&lt;VLOOKUP(AG63,Variables!$AC$3:$AD$8,2,FALSE),"Y","N")</f>
        <v>N</v>
      </c>
      <c r="X63" s="203">
        <f t="shared" si="29"/>
        <v>1</v>
      </c>
      <c r="Y63" s="203">
        <f t="shared" si="30"/>
        <v>5.11E-2</v>
      </c>
      <c r="Z63" s="203">
        <f t="shared" si="31"/>
        <v>23.3291</v>
      </c>
      <c r="AA63" s="203">
        <f t="shared" si="32"/>
        <v>23.277999999999999</v>
      </c>
      <c r="AB63" s="54" t="e">
        <f>VLOOKUP(A63,Enforcements!$C$7:$K$9,8,0)</f>
        <v>#N/A</v>
      </c>
      <c r="AC63" s="51" t="e">
        <f>VLOOKUP(A63,Enforcements!$C$7:$E$9,3,0)</f>
        <v>#N/A</v>
      </c>
      <c r="AD63" s="178">
        <f t="shared" si="33"/>
        <v>151</v>
      </c>
      <c r="AE63" s="77" t="str">
        <f t="shared" si="11"/>
        <v>aws s3 cp s3://rtdc.mdm.uploadarchive.raw/RTDC4026/ "%USERPROFILE%\AppData\Local\Temp\OnboardLogs"\RTDC4026\2017-11-18 --exclude "*" --recursive --include "*20171118*" &amp; "%USERPROFILE%\Documents\GitHub\mrs-test-scripts\Headless Mode &amp; Sideloading\WalkAndUnGZ.bat" "%USERPROFILE%\AppData\Local\Temp\OnboardLogs"\RTDC4026\2017-11-18 &amp; aws s3 cp s3://rtdc.mdm.uploadarchive.raw/RTDC4026/ "%USERPROFILE%\AppData\Local\Temp\OnboardLogs"\RTDC4026\2017-11-19 --exclude "*" --recursive --include "*20171119*" &amp; "%USERPROFILE%\Documents\GitHub\mrs-test-scripts\Headless Mode &amp; Sideloading\WalkAndUnGZ.bat" "%USERPROFILE%\AppData\Local\Temp\OnboardLogs"\RTDC4026\2017-11-19</v>
      </c>
      <c r="AF63" s="74" t="str">
        <f t="shared" si="12"/>
        <v>"C:\Program Files (x86)\AstroGrep\AstroGrep.exe" /e /r /s /spath="%USERPROFILE%\AppData\Local\Temp\OnboardLogs" /stypes="app*4026*20171118*" /stext=" 17:.+((SYSTEM_STATE.+slice.+state.+changed )|(ment ac)|(multiple cpu faults)|(system.+state.+changed )|(\[timeout)|(PRM\|1\|D)|(kpr)|(kdp)|(train st.+moving)|(\|lc)|(penalty))"</v>
      </c>
      <c r="AG63" s="181" t="str">
        <f t="shared" si="34"/>
        <v>EC</v>
      </c>
      <c r="AH63" s="78" t="str">
        <f t="shared" si="19"/>
        <v>"%USERPROFILE%\Documents\GitHub\eaglep3\Utilities\RefineRTDCRunTimes.py" --tripid 151-18 --locoid 4026 --swversion DE.1.0.9.0 --startMP 204:511 --initTime 2017-11-18T09:53:25 --startdatetime 2017-11-18T10:00:13 --delay 58 --endMP 204:233291 --enddatetime 2017-11-18T10:36:38 --enforcementcount 0 &gt;&gt;%USERPROFILE%\Documents\GitHub\eaglep3-reporting\EC\2017-11-18-refined-times.txt</v>
      </c>
      <c r="AI63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{"issue":{"subject":"","project_id":79,"tracker_id":40,"status_id":1,"priority_id":2,"assigned_to_id":338,"start_date":"2017-11-18","description":"","custom_fields":[{"id":1,"name":"Subdivision","value":"EC"},{"id":4,"name":"Milepost","value":"23.3291"},{"id":17,"name":"Train ID","value":"151-18"},{"id":16,"name":"Locomotive ID","value":"4026"},{"id":130,"name":"Impact","value":""},{"id":150,"name":"Time of Event (Mountain Time)","value":"10:36:38"},{"id":151,"name":"Denver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1" t="str">
        <f t="shared" si="21"/>
        <v>start /low /b %USERPROFILE%\Documents\GitHub\eaglep3\Utilities\DownloadLogsFromS3.py --loco 4026 --day 2017-11-18</v>
      </c>
      <c r="AN63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17:36:38"},{"id":29,"name":"Sharepoint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7" t="str">
        <f t="shared" si="23"/>
        <v>https://d0f6bd738d7f1b3e5a7ca70fe4ff75f0.us-east-1.aws.found.io/app/kibana#/discover/Steve-Slow-Train-Analysis-(2080s-and-2083s)?_g=(refreshInterval:(display:Off,pause:!f,section:0,value:0),time:(from:'2017-11-18T08:53:25-0700',mode:absolute,to:'2017-11-18T11:36:38-0700'))&amp;_a=(columns:!('Message%20ID',Summary),filters:!(),index:'emp_*',interval:auto,query:(query_string:(analyze_wildcard:!t,query:'%22rtdc.l.rtdc.4026%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789</v>
      </c>
      <c r="B64" s="7">
        <v>4025</v>
      </c>
      <c r="C64" s="21" t="s">
        <v>192</v>
      </c>
      <c r="D64" s="21" t="s">
        <v>923</v>
      </c>
      <c r="E64" s="13">
        <v>43057.444120370368</v>
      </c>
      <c r="F64" s="13">
        <v>43057.45648148148</v>
      </c>
      <c r="G64" s="7">
        <v>60</v>
      </c>
      <c r="H64" s="21" t="s">
        <v>514</v>
      </c>
      <c r="I64" s="13">
        <v>43057.482418981483</v>
      </c>
      <c r="J64" s="7">
        <v>0</v>
      </c>
      <c r="K64" s="89" t="str">
        <f t="shared" si="25"/>
        <v>4025/4026</v>
      </c>
      <c r="L64" s="184" t="str">
        <f>VLOOKUP(A64,'Trips&amp;Operators'!$C$1:$G$99911,5,FALSE)</f>
        <v>BARRON PERLA</v>
      </c>
      <c r="M64" s="6">
        <f t="shared" si="26"/>
        <v>2.5937500002328306E-2</v>
      </c>
      <c r="N64" s="7">
        <f t="shared" si="35"/>
        <v>37.350000003352761</v>
      </c>
      <c r="O64" s="7"/>
      <c r="P64" s="7"/>
      <c r="Q64" s="22"/>
      <c r="R64" s="173"/>
      <c r="S64" s="220">
        <f t="shared" si="27"/>
        <v>1</v>
      </c>
      <c r="T64" s="173" t="str">
        <f t="shared" si="28"/>
        <v>Southbound</v>
      </c>
      <c r="U64" s="19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5" t="str">
        <f t="shared" si="5"/>
        <v>https://d0f6bd738d7f1b3e5a7ca70fe4ff75f0.us-east-1.aws.found.io/app/kibana#/discover/Steve-Slow-Train-Analysis-(2080s-and-2083s)?_g=(refreshInterval:(display:Off,pause:!f,section:0,value:0),time:(from:'2017-11-18T09:39:32-0700',mode:absolute,to:'2017-11-18T12:34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4" s="203" t="str">
        <f>IF(AA64&lt;VLOOKUP(AG64,Variables!$AC$3:$AD$8,2,FALSE),"Y","N")</f>
        <v>N</v>
      </c>
      <c r="X64" s="203">
        <f t="shared" si="29"/>
        <v>1</v>
      </c>
      <c r="Y64" s="203">
        <f t="shared" si="30"/>
        <v>23.298300000000001</v>
      </c>
      <c r="Z64" s="203">
        <f t="shared" si="31"/>
        <v>2.12E-2</v>
      </c>
      <c r="AA64" s="203">
        <f t="shared" si="32"/>
        <v>23.277100000000001</v>
      </c>
      <c r="AB64" s="54" t="e">
        <f>VLOOKUP(A64,Enforcements!$C$7:$K$9,8,0)</f>
        <v>#N/A</v>
      </c>
      <c r="AC64" s="51" t="e">
        <f>VLOOKUP(A64,Enforcements!$C$7:$E$9,3,0)</f>
        <v>#N/A</v>
      </c>
      <c r="AD64" s="178">
        <f t="shared" si="33"/>
        <v>152</v>
      </c>
      <c r="AE64" s="77" t="str">
        <f t="shared" si="11"/>
        <v>aws s3 cp s3://rtdc.mdm.uploadarchive.raw/RTDC4025/ "%USERPROFILE%\AppData\Local\Temp\OnboardLogs"\RTDC4025\2017-11-18 --exclude "*" --recursive --include "*20171118*" &amp; "%USERPROFILE%\Documents\GitHub\mrs-test-scripts\Headless Mode &amp; Sideloading\WalkAndUnGZ.bat" "%USERPROFILE%\AppData\Local\Temp\OnboardLogs"\RTDC4025\2017-11-18 &amp; aws s3 cp s3://rtdc.mdm.uploadarchive.raw/RTDC4025/ "%USERPROFILE%\AppData\Local\Temp\OnboardLogs"\RTDC4025\2017-11-19 --exclude "*" --recursive --include "*20171119*" &amp; "%USERPROFILE%\Documents\GitHub\mrs-test-scripts\Headless Mode &amp; Sideloading\WalkAndUnGZ.bat" "%USERPROFILE%\AppData\Local\Temp\OnboardLogs"\RTDC4025\2017-11-19</v>
      </c>
      <c r="AF64" s="74" t="str">
        <f t="shared" si="12"/>
        <v>"C:\Program Files (x86)\AstroGrep\AstroGrep.exe" /e /r /s /spath="%USERPROFILE%\AppData\Local\Temp\OnboardLogs" /stypes="app*4025*20171118*" /stext=" 18:.+((SYSTEM_STATE.+slice.+state.+changed )|(ment ac)|(multiple cpu faults)|(system.+state.+changed )|(\[timeout)|(PRM\|1\|D)|(kpr)|(kdp)|(train st.+moving)|(\|lc)|(penalty))"</v>
      </c>
      <c r="AG64" s="181" t="str">
        <f t="shared" si="34"/>
        <v>EC</v>
      </c>
      <c r="AH64" s="78" t="str">
        <f t="shared" si="19"/>
        <v>"%USERPROFILE%\Documents\GitHub\eaglep3\Utilities\RefineRTDCRunTimes.py" --tripid 152-18 --locoid 4025 --swversion DE.1.0.9.0 --startMP 204:232983 --initTime 2017-11-18T10:39:32 --startdatetime 2017-11-18T10:57:20 --delay 60 --endMP 204:212 --enddatetime 2017-11-18T11:34:41 --enforcementcount 0 &gt;&gt;%USERPROFILE%\Documents\GitHub\eaglep3-reporting\EC\2017-11-18-refined-times.txt</v>
      </c>
      <c r="AI64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{"issue":{"subject":"","project_id":79,"tracker_id":40,"status_id":1,"priority_id":2,"assigned_to_id":338,"start_date":"2017-11-18","description":"","custom_fields":[{"id":1,"name":"Subdivision","value":"EC"},{"id":4,"name":"Milepost","value":"0.0212"},{"id":17,"name":"Train ID","value":"152-18"},{"id":16,"name":"Locomotive ID","value":"4025"},{"id":130,"name":"Impact","value":""},{"id":150,"name":"Time of Event (Mountain Time)","value":"11:34:41"},{"id":151,"name":"Denver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1" t="str">
        <f t="shared" si="21"/>
        <v>start /low /b %USERPROFILE%\Documents\GitHub\eaglep3\Utilities\DownloadLogsFromS3.py --loco 4025 --day 2017-11-18</v>
      </c>
      <c r="AN64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18:34:41"},{"id":29,"name":"Sharepoint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7" t="str">
        <f t="shared" si="23"/>
        <v>https://d0f6bd738d7f1b3e5a7ca70fe4ff75f0.us-east-1.aws.found.io/app/kibana#/discover/Steve-Slow-Train-Analysis-(2080s-and-2083s)?_g=(refreshInterval:(display:Off,pause:!f,section:0,value:0),time:(from:'2017-11-18T09:39:32-0700',mode:absolute,to:'2017-11-18T12:34:41-0700'))&amp;_a=(columns:!('Message%20ID',Summary),filters:!(),index:'emp_*',interval:auto,query:(query_string:(analyze_wildcard:!t,query:'%22rtdc.l.rtdc.4025%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786</v>
      </c>
      <c r="B65" s="7">
        <v>4008</v>
      </c>
      <c r="C65" s="21" t="s">
        <v>192</v>
      </c>
      <c r="D65" s="21" t="s">
        <v>524</v>
      </c>
      <c r="E65" s="13">
        <v>43057.423460648148</v>
      </c>
      <c r="F65" s="13">
        <v>43057.427268518521</v>
      </c>
      <c r="G65" s="7">
        <v>76</v>
      </c>
      <c r="H65" s="21" t="s">
        <v>566</v>
      </c>
      <c r="I65" s="13">
        <v>43057.45239583333</v>
      </c>
      <c r="J65" s="7">
        <v>0</v>
      </c>
      <c r="K65" s="89" t="str">
        <f t="shared" si="25"/>
        <v>4007/4008</v>
      </c>
      <c r="L65" s="184" t="str">
        <f>VLOOKUP(A65,'Trips&amp;Operators'!$C$1:$G$99911,5,FALSE)</f>
        <v>BADERTSCHER DIANE</v>
      </c>
      <c r="M65" s="6">
        <f t="shared" si="26"/>
        <v>2.512731480965158E-2</v>
      </c>
      <c r="N65" s="7">
        <f t="shared" si="35"/>
        <v>36.183333325898275</v>
      </c>
      <c r="O65" s="7"/>
      <c r="P65" s="7"/>
      <c r="Q65" s="22"/>
      <c r="R65" s="173"/>
      <c r="S65" s="220">
        <f t="shared" si="27"/>
        <v>1</v>
      </c>
      <c r="T65" s="173" t="str">
        <f t="shared" si="28"/>
        <v>NorthBound</v>
      </c>
      <c r="U65" s="19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5" t="str">
        <f t="shared" si="5"/>
        <v>https://d0f6bd738d7f1b3e5a7ca70fe4ff75f0.us-east-1.aws.found.io/app/kibana#/discover/Steve-Slow-Train-Analysis-(2080s-and-2083s)?_g=(refreshInterval:(display:Off,pause:!f,section:0,value:0),time:(from:'2017-11-18T09:09:47-0700',mode:absolute,to:'2017-11-18T11:51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5" s="203" t="str">
        <f>IF(AA65&lt;VLOOKUP(AG65,Variables!$AC$3:$AD$8,2,FALSE),"Y","N")</f>
        <v>N</v>
      </c>
      <c r="X65" s="203">
        <f t="shared" ref="X65:X66" si="36">VALUE(LEFT(AD65,4))-VALUE(LEFT(AD64,4))</f>
        <v>1</v>
      </c>
      <c r="Y65" s="203">
        <f t="shared" si="30"/>
        <v>4.5699999999999998E-2</v>
      </c>
      <c r="Z65" s="203">
        <f t="shared" si="31"/>
        <v>23.3263</v>
      </c>
      <c r="AA65" s="203">
        <f t="shared" si="32"/>
        <v>23.2806</v>
      </c>
      <c r="AB65" s="54" t="e">
        <f>VLOOKUP(A65,Enforcements!$C$7:$K$9,8,0)</f>
        <v>#N/A</v>
      </c>
      <c r="AC65" s="51" t="e">
        <f>VLOOKUP(A65,Enforcements!$C$7:$E$9,3,0)</f>
        <v>#N/A</v>
      </c>
      <c r="AD65" s="178">
        <f t="shared" si="33"/>
        <v>153</v>
      </c>
      <c r="AE65" s="77" t="str">
        <f t="shared" si="11"/>
        <v>aws s3 cp s3://rtdc.mdm.uploadarchive.raw/RTDC4008/ "%USERPROFILE%\AppData\Local\Temp\OnboardLogs"\RTDC4008\2017-11-18 --exclude "*" --recursive --include "*20171118*" &amp; "%USERPROFILE%\Documents\GitHub\mrs-test-scripts\Headless Mode &amp; Sideloading\WalkAndUnGZ.bat" "%USERPROFILE%\AppData\Local\Temp\OnboardLogs"\RTDC4008\2017-11-18 &amp; aws s3 cp s3://rtdc.mdm.uploadarchive.raw/RTDC4008/ "%USERPROFILE%\AppData\Local\Temp\OnboardLogs"\RTDC4008\2017-11-19 --exclude "*" --recursive --include "*20171119*" &amp; "%USERPROFILE%\Documents\GitHub\mrs-test-scripts\Headless Mode &amp; Sideloading\WalkAndUnGZ.bat" "%USERPROFILE%\AppData\Local\Temp\OnboardLogs"\RTDC4008\2017-11-19</v>
      </c>
      <c r="AF65" s="74" t="str">
        <f t="shared" si="12"/>
        <v>"C:\Program Files (x86)\AstroGrep\AstroGrep.exe" /e /r /s /spath="%USERPROFILE%\AppData\Local\Temp\OnboardLogs" /stypes="app*4008*20171118*" /stext=" 17:.+((SYSTEM_STATE.+slice.+state.+changed )|(ment ac)|(multiple cpu faults)|(system.+state.+changed )|(\[timeout)|(PRM\|1\|D)|(kpr)|(kdp)|(train st.+moving)|(\|lc)|(penalty))"</v>
      </c>
      <c r="AG65" s="181" t="str">
        <f t="shared" si="34"/>
        <v>EC</v>
      </c>
      <c r="AH65" s="78" t="str">
        <f t="shared" si="19"/>
        <v>"%USERPROFILE%\Documents\GitHub\eaglep3\Utilities\RefineRTDCRunTimes.py" --tripid 153-18 --locoid 4008 --swversion DE.1.0.9.0 --startMP 204:457 --initTime 2017-11-18T10:09:47 --startdatetime 2017-11-18T10:15:16 --delay 76 --endMP 204:233263 --enddatetime 2017-11-18T10:51:27 --enforcementcount 0 &gt;&gt;%USERPROFILE%\Documents\GitHub\eaglep3-reporting\EC\2017-11-18-refined-times.txt</v>
      </c>
      <c r="AI65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{"issue":{"subject":"","project_id":79,"tracker_id":40,"status_id":1,"priority_id":2,"assigned_to_id":338,"start_date":"2017-11-18","description":"","custom_fields":[{"id":1,"name":"Subdivision","value":"EC"},{"id":4,"name":"Milepost","value":"23.3263"},{"id":17,"name":"Train ID","value":"153-18"},{"id":16,"name":"Locomotive ID","value":"4008"},{"id":130,"name":"Impact","value":""},{"id":150,"name":"Time of Event (Mountain Time)","value":"10:51:27"},{"id":151,"name":"Denver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1" t="str">
        <f t="shared" si="21"/>
        <v>start /low /b %USERPROFILE%\Documents\GitHub\eaglep3\Utilities\DownloadLogsFromS3.py --loco 4008 --day 2017-11-18</v>
      </c>
      <c r="AN65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17:51:27"},{"id":29,"name":"Sharepoint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7" t="str">
        <f t="shared" si="23"/>
        <v>https://d0f6bd738d7f1b3e5a7ca70fe4ff75f0.us-east-1.aws.found.io/app/kibana#/discover/Steve-Slow-Train-Analysis-(2080s-and-2083s)?_g=(refreshInterval:(display:Off,pause:!f,section:0,value:0),time:(from:'2017-11-18T09:09:47-0700',mode:absolute,to:'2017-11-18T11:51:27-0700'))&amp;_a=(columns:!('Message%20ID',Summary),filters:!(),index:'emp_*',interval:auto,query:(query_string:(analyze_wildcard:!t,query:'%22rtdc.l.rtdc.4008%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792</v>
      </c>
      <c r="B66" s="7">
        <v>4007</v>
      </c>
      <c r="C66" s="21" t="s">
        <v>192</v>
      </c>
      <c r="D66" s="21" t="s">
        <v>939</v>
      </c>
      <c r="E66" s="13">
        <v>43057.463125000002</v>
      </c>
      <c r="F66" s="13">
        <v>43057.467349537037</v>
      </c>
      <c r="G66" s="7">
        <v>112</v>
      </c>
      <c r="H66" s="21" t="s">
        <v>627</v>
      </c>
      <c r="I66" s="13">
        <v>43057.494340277779</v>
      </c>
      <c r="J66" s="7">
        <v>0</v>
      </c>
      <c r="K66" s="89" t="str">
        <f t="shared" si="25"/>
        <v>4007/4008</v>
      </c>
      <c r="L66" s="184" t="str">
        <f>VLOOKUP(A66,'Trips&amp;Operators'!$C$1:$G$99911,5,FALSE)</f>
        <v>BADERTSCHER DIANE</v>
      </c>
      <c r="M66" s="6">
        <f t="shared" si="26"/>
        <v>2.6990740741894115E-2</v>
      </c>
      <c r="N66" s="7">
        <f t="shared" si="35"/>
        <v>38.866666668327525</v>
      </c>
      <c r="O66" s="7"/>
      <c r="P66" s="7"/>
      <c r="Q66" s="22"/>
      <c r="R66" s="173"/>
      <c r="S66" s="220">
        <f t="shared" si="27"/>
        <v>1</v>
      </c>
      <c r="T66" s="173" t="str">
        <f t="shared" si="28"/>
        <v>Southbound</v>
      </c>
      <c r="U66" s="19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5" t="str">
        <f t="shared" si="5"/>
        <v>https://d0f6bd738d7f1b3e5a7ca70fe4ff75f0.us-east-1.aws.found.io/app/kibana#/discover/Steve-Slow-Train-Analysis-(2080s-and-2083s)?_g=(refreshInterval:(display:Off,pause:!f,section:0,value:0),time:(from:'2017-11-18T10:06:54-0700',mode:absolute,to:'2017-11-18T12:51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6" s="203" t="str">
        <f>IF(AA66&lt;VLOOKUP(AG66,Variables!$AC$3:$AD$8,2,FALSE),"Y","N")</f>
        <v>N</v>
      </c>
      <c r="X66" s="203">
        <f t="shared" si="36"/>
        <v>1</v>
      </c>
      <c r="Y66" s="203">
        <f t="shared" si="30"/>
        <v>23.293399999999998</v>
      </c>
      <c r="Z66" s="203">
        <f t="shared" si="31"/>
        <v>1.8499999999999999E-2</v>
      </c>
      <c r="AA66" s="203">
        <f t="shared" si="32"/>
        <v>23.274899999999999</v>
      </c>
      <c r="AB66" s="54" t="e">
        <f>VLOOKUP(A66,Enforcements!$C$7:$K$9,8,0)</f>
        <v>#N/A</v>
      </c>
      <c r="AC66" s="51" t="e">
        <f>VLOOKUP(A66,Enforcements!$C$7:$E$9,3,0)</f>
        <v>#N/A</v>
      </c>
      <c r="AD66" s="178">
        <f t="shared" si="33"/>
        <v>154</v>
      </c>
      <c r="AE66" s="77" t="str">
        <f t="shared" si="11"/>
        <v>aws s3 cp s3://rtdc.mdm.uploadarchive.raw/RTDC4007/ "%USERPROFILE%\AppData\Local\Temp\OnboardLogs"\RTDC4007\2017-11-18 --exclude "*" --recursive --include "*20171118*" &amp; "%USERPROFILE%\Documents\GitHub\mrs-test-scripts\Headless Mode &amp; Sideloading\WalkAndUnGZ.bat" "%USERPROFILE%\AppData\Local\Temp\OnboardLogs"\RTDC4007\2017-11-18 &amp; aws s3 cp s3://rtdc.mdm.uploadarchive.raw/RTDC4007/ "%USERPROFILE%\AppData\Local\Temp\OnboardLogs"\RTDC4007\2017-11-19 --exclude "*" --recursive --include "*20171119*" &amp; "%USERPROFILE%\Documents\GitHub\mrs-test-scripts\Headless Mode &amp; Sideloading\WalkAndUnGZ.bat" "%USERPROFILE%\AppData\Local\Temp\OnboardLogs"\RTDC4007\2017-11-19</v>
      </c>
      <c r="AF66" s="74" t="str">
        <f t="shared" si="12"/>
        <v>"C:\Program Files (x86)\AstroGrep\AstroGrep.exe" /e /r /s /spath="%USERPROFILE%\AppData\Local\Temp\OnboardLogs" /stypes="app*4007*20171118*" /stext=" 18:.+((SYSTEM_STATE.+slice.+state.+changed )|(ment ac)|(multiple cpu faults)|(system.+state.+changed )|(\[timeout)|(PRM\|1\|D)|(kpr)|(kdp)|(train st.+moving)|(\|lc)|(penalty))"</v>
      </c>
      <c r="AG66" s="181" t="str">
        <f t="shared" si="34"/>
        <v>EC</v>
      </c>
      <c r="AH66" s="78" t="str">
        <f t="shared" si="19"/>
        <v>"%USERPROFILE%\Documents\GitHub\eaglep3\Utilities\RefineRTDCRunTimes.py" --tripid 154-18 --locoid 4007 --swversion DE.1.0.9.0 --startMP 204:232934 --initTime 2017-11-18T11:06:54 --startdatetime 2017-11-18T11:12:59 --delay 112 --endMP 204:185 --enddatetime 2017-11-18T11:51:51 --enforcementcount 0 &gt;&gt;%USERPROFILE%\Documents\GitHub\eaglep3-reporting\EC\2017-11-18-refined-times.txt</v>
      </c>
      <c r="AI66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{"issue":{"subject":"","project_id":79,"tracker_id":40,"status_id":1,"priority_id":2,"assigned_to_id":338,"start_date":"2017-11-18","description":"","custom_fields":[{"id":1,"name":"Subdivision","value":"EC"},{"id":4,"name":"Milepost","value":"0.0185"},{"id":17,"name":"Train ID","value":"154-18"},{"id":16,"name":"Locomotive ID","value":"4007"},{"id":130,"name":"Impact","value":""},{"id":150,"name":"Time of Event (Mountain Time)","value":"11:51:51"},{"id":151,"name":"Denver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1" t="str">
        <f t="shared" si="21"/>
        <v>start /low /b %USERPROFILE%\Documents\GitHub\eaglep3\Utilities\DownloadLogsFromS3.py --loco 4007 --day 2017-11-18</v>
      </c>
      <c r="AN66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18:51:51"},{"id":29,"name":"Sharepoint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7" t="str">
        <f t="shared" si="23"/>
        <v>https://d0f6bd738d7f1b3e5a7ca70fe4ff75f0.us-east-1.aws.found.io/app/kibana#/discover/Steve-Slow-Train-Analysis-(2080s-and-2083s)?_g=(refreshInterval:(display:Off,pause:!f,section:0,value:0),time:(from:'2017-11-18T10:06:54-0700',mode:absolute,to:'2017-11-18T12:51:51-0700'))&amp;_a=(columns:!('Message%20ID',Summary),filters:!(),index:'emp_*',interval:auto,query:(query_string:(analyze_wildcard:!t,query:'%22rtdc.l.rtdc.4007%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679</v>
      </c>
      <c r="B67" s="7">
        <v>4022</v>
      </c>
      <c r="C67" s="21" t="s">
        <v>192</v>
      </c>
      <c r="D67" s="21" t="s">
        <v>641</v>
      </c>
      <c r="E67" s="13">
        <v>43057.435115740744</v>
      </c>
      <c r="F67" s="13">
        <v>43057.437719907408</v>
      </c>
      <c r="G67" s="7">
        <v>85</v>
      </c>
      <c r="H67" s="21" t="s">
        <v>949</v>
      </c>
      <c r="I67" s="13">
        <v>43057.463888888888</v>
      </c>
      <c r="J67" s="7">
        <v>0</v>
      </c>
      <c r="K67" s="89" t="str">
        <f t="shared" si="25"/>
        <v>4021/4022</v>
      </c>
      <c r="L67" s="184" t="str">
        <f>VLOOKUP(A67,'Trips&amp;Operators'!$C$1:$G$99911,5,FALSE)</f>
        <v>MACDONALD THOMAS</v>
      </c>
      <c r="M67" s="6">
        <f t="shared" si="26"/>
        <v>2.6168981479713693E-2</v>
      </c>
      <c r="N67" s="7">
        <f t="shared" si="35"/>
        <v>37.683333330787718</v>
      </c>
      <c r="O67" s="7"/>
      <c r="P67" s="7"/>
      <c r="Q67" s="22"/>
      <c r="R67" s="173"/>
      <c r="S67" s="220">
        <f t="shared" si="27"/>
        <v>1</v>
      </c>
      <c r="T67" s="173" t="str">
        <f t="shared" si="28"/>
        <v>NorthBound</v>
      </c>
      <c r="U67" s="19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5" t="str">
        <f t="shared" si="5"/>
        <v>https://d0f6bd738d7f1b3e5a7ca70fe4ff75f0.us-east-1.aws.found.io/app/kibana#/discover/Steve-Slow-Train-Analysis-(2080s-and-2083s)?_g=(refreshInterval:(display:Off,pause:!f,section:0,value:0),time:(from:'2017-11-18T09:26:34-0700',mode:absolute,to:'2017-11-18T12:08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7" s="203" t="str">
        <f>IF(AA67&lt;VLOOKUP(AG67,Variables!$AC$3:$AD$8,2,FALSE),"Y","N")</f>
        <v>N</v>
      </c>
      <c r="X67" s="203">
        <f t="shared" ref="X67:X74" si="37">VALUE(LEFT(AD67,4))-VALUE(LEFT(AD66,4))</f>
        <v>1</v>
      </c>
      <c r="Y67" s="203">
        <f t="shared" si="30"/>
        <v>5.11E-2</v>
      </c>
      <c r="Z67" s="203">
        <f t="shared" si="31"/>
        <v>23.323599999999999</v>
      </c>
      <c r="AA67" s="203">
        <f t="shared" si="32"/>
        <v>23.272499999999997</v>
      </c>
      <c r="AB67" s="54" t="e">
        <f>VLOOKUP(A67,Enforcements!$C$7:$K$9,8,0)</f>
        <v>#N/A</v>
      </c>
      <c r="AC67" s="51" t="e">
        <f>VLOOKUP(A67,Enforcements!$C$7:$E$9,3,0)</f>
        <v>#N/A</v>
      </c>
      <c r="AD67" s="178">
        <f t="shared" si="33"/>
        <v>155</v>
      </c>
      <c r="AE67" s="77" t="str">
        <f t="shared" si="11"/>
        <v>aws s3 cp s3://rtdc.mdm.uploadarchive.raw/RTDC4022/ "%USERPROFILE%\AppData\Local\Temp\OnboardLogs"\RTDC4022\2017-11-18 --exclude "*" --recursive --include "*20171118*" &amp; "%USERPROFILE%\Documents\GitHub\mrs-test-scripts\Headless Mode &amp; Sideloading\WalkAndUnGZ.bat" "%USERPROFILE%\AppData\Local\Temp\OnboardLogs"\RTDC4022\2017-11-18 &amp; aws s3 cp s3://rtdc.mdm.uploadarchive.raw/RTDC4022/ "%USERPROFILE%\AppData\Local\Temp\OnboardLogs"\RTDC4022\2017-11-19 --exclude "*" --recursive --include "*20171119*" &amp; "%USERPROFILE%\Documents\GitHub\mrs-test-scripts\Headless Mode &amp; Sideloading\WalkAndUnGZ.bat" "%USERPROFILE%\AppData\Local\Temp\OnboardLogs"\RTDC4022\2017-11-19</v>
      </c>
      <c r="AF67" s="74" t="str">
        <f t="shared" si="12"/>
        <v>"C:\Program Files (x86)\AstroGrep\AstroGrep.exe" /e /r /s /spath="%USERPROFILE%\AppData\Local\Temp\OnboardLogs" /stypes="app*4022*20171118*" /stext=" 18:.+((SYSTEM_STATE.+slice.+state.+changed )|(ment ac)|(multiple cpu faults)|(system.+state.+changed )|(\[timeout)|(PRM\|1\|D)|(kpr)|(kdp)|(train st.+moving)|(\|lc)|(penalty))"</v>
      </c>
      <c r="AG67" s="181" t="str">
        <f t="shared" si="34"/>
        <v>EC</v>
      </c>
      <c r="AH67" s="78" t="str">
        <f t="shared" si="19"/>
        <v>"%USERPROFILE%\Documents\GitHub\eaglep3\Utilities\RefineRTDCRunTimes.py" --tripid 155-18 --locoid 4022 --swversion DE.1.0.9.0 --startMP 204:511 --initTime 2017-11-18T10:26:34 --startdatetime 2017-11-18T10:30:19 --delay 85 --endMP 204:233236 --enddatetime 2017-11-18T11:08:00 --enforcementcount 0 &gt;&gt;%USERPROFILE%\Documents\GitHub\eaglep3-reporting\EC\2017-11-18-refined-times.txt</v>
      </c>
      <c r="AI67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{"issue":{"subject":"","project_id":79,"tracker_id":40,"status_id":1,"priority_id":2,"assigned_to_id":338,"start_date":"2017-11-18","description":"","custom_fields":[{"id":1,"name":"Subdivision","value":"EC"},{"id":4,"name":"Milepost","value":"23.3236"},{"id":17,"name":"Train ID","value":"155-18"},{"id":16,"name":"Locomotive ID","value":"4022"},{"id":130,"name":"Impact","value":""},{"id":150,"name":"Time of Event (Mountain Time)","value":"11:08:00"},{"id":151,"name":"Denver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1" t="str">
        <f t="shared" si="21"/>
        <v>start /low /b %USERPROFILE%\Documents\GitHub\eaglep3\Utilities\DownloadLogsFromS3.py --loco 4022 --day 2017-11-18</v>
      </c>
      <c r="AN67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18:08:00"},{"id":29,"name":"Sharepoint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7" t="str">
        <f t="shared" si="23"/>
        <v>https://d0f6bd738d7f1b3e5a7ca70fe4ff75f0.us-east-1.aws.found.io/app/kibana#/discover/Steve-Slow-Train-Analysis-(2080s-and-2083s)?_g=(refreshInterval:(display:Off,pause:!f,section:0,value:0),time:(from:'2017-11-18T09:26:34-0700',mode:absolute,to:'2017-11-18T12:08:00-0700'))&amp;_a=(columns:!('Message%20ID',Summary),filters:!(),index:'emp_*',interval:auto,query:(query_string:(analyze_wildcard:!t,query:'%22rtdc.l.rtdc.4022%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795</v>
      </c>
      <c r="B68" s="7">
        <v>4021</v>
      </c>
      <c r="C68" s="21" t="s">
        <v>192</v>
      </c>
      <c r="D68" s="21" t="s">
        <v>641</v>
      </c>
      <c r="E68" s="13">
        <v>43057.435115740744</v>
      </c>
      <c r="F68" s="13">
        <v>43057.477916666663</v>
      </c>
      <c r="G68" s="7">
        <v>85</v>
      </c>
      <c r="H68" s="21" t="s">
        <v>949</v>
      </c>
      <c r="I68" s="13">
        <v>43057.504479166666</v>
      </c>
      <c r="J68" s="7">
        <v>0</v>
      </c>
      <c r="K68" s="89" t="str">
        <f t="shared" si="25"/>
        <v>4021/4022</v>
      </c>
      <c r="L68" s="184" t="str">
        <f>VLOOKUP(A68,'Trips&amp;Operators'!$C$1:$G$99911,5,FALSE)</f>
        <v>MACDONALD THOMAS</v>
      </c>
      <c r="M68" s="6">
        <f t="shared" si="26"/>
        <v>2.6562500002910383E-2</v>
      </c>
      <c r="N68" s="7">
        <f t="shared" si="35"/>
        <v>38.250000004190952</v>
      </c>
      <c r="O68" s="7"/>
      <c r="P68" s="7"/>
      <c r="Q68" s="22"/>
      <c r="R68" s="173"/>
      <c r="S68" s="220">
        <f t="shared" si="27"/>
        <v>1</v>
      </c>
      <c r="T68" s="173" t="str">
        <f t="shared" si="28"/>
        <v>Southbound</v>
      </c>
      <c r="U68" s="19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5" t="str">
        <f t="shared" si="5"/>
        <v>https://d0f6bd738d7f1b3e5a7ca70fe4ff75f0.us-east-1.aws.found.io/app/kibana#/discover/Steve-Slow-Train-Analysis-(2080s-and-2083s)?_g=(refreshInterval:(display:Off,pause:!f,section:0,value:0),time:(from:'2017-11-18T09:26:34-0700',mode:absolute,to:'2017-11-18T13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8" s="203" t="str">
        <f>IF(AA68&lt;VLOOKUP(AG68,Variables!$AC$3:$AD$8,2,FALSE),"Y","N")</f>
        <v>N</v>
      </c>
      <c r="X68" s="203">
        <f t="shared" si="37"/>
        <v>1</v>
      </c>
      <c r="Y68" s="203">
        <v>23.293399999999998</v>
      </c>
      <c r="Z68" s="203">
        <v>1.8499999999999999E-2</v>
      </c>
      <c r="AA68" s="203">
        <f t="shared" si="32"/>
        <v>23.274899999999999</v>
      </c>
      <c r="AB68" s="54" t="e">
        <f>VLOOKUP(A68,Enforcements!$C$7:$K$9,8,0)</f>
        <v>#N/A</v>
      </c>
      <c r="AC68" s="51" t="e">
        <f>VLOOKUP(A68,Enforcements!$C$7:$E$9,3,0)</f>
        <v>#N/A</v>
      </c>
      <c r="AD68" s="178">
        <f t="shared" si="33"/>
        <v>156</v>
      </c>
      <c r="AE68" s="77" t="str">
        <f t="shared" si="11"/>
        <v>aws s3 cp s3://rtdc.mdm.uploadarchive.raw/RTDC4021/ "%USERPROFILE%\AppData\Local\Temp\OnboardLogs"\RTDC4021\2017-11-18 --exclude "*" --recursive --include "*20171118*" &amp; "%USERPROFILE%\Documents\GitHub\mrs-test-scripts\Headless Mode &amp; Sideloading\WalkAndUnGZ.bat" "%USERPROFILE%\AppData\Local\Temp\OnboardLogs"\RTDC4021\2017-11-18 &amp; aws s3 cp s3://rtdc.mdm.uploadarchive.raw/RTDC4021/ "%USERPROFILE%\AppData\Local\Temp\OnboardLogs"\RTDC4021\2017-11-19 --exclude "*" --recursive --include "*20171119*" &amp; "%USERPROFILE%\Documents\GitHub\mrs-test-scripts\Headless Mode &amp; Sideloading\WalkAndUnGZ.bat" "%USERPROFILE%\AppData\Local\Temp\OnboardLogs"\RTDC4021\2017-11-19</v>
      </c>
      <c r="AF68" s="74" t="str">
        <f t="shared" si="12"/>
        <v>"C:\Program Files (x86)\AstroGrep\AstroGrep.exe" /e /r /s /spath="%USERPROFILE%\AppData\Local\Temp\OnboardLogs" /stypes="app*4021*20171118*" /stext=" 19:.+((SYSTEM_STATE.+slice.+state.+changed )|(ment ac)|(multiple cpu faults)|(system.+state.+changed )|(\[timeout)|(PRM\|1\|D)|(kpr)|(kdp)|(train st.+moving)|(\|lc)|(penalty))"</v>
      </c>
      <c r="AG68" s="181" t="str">
        <f t="shared" si="34"/>
        <v>EC</v>
      </c>
      <c r="AH68" s="78" t="str">
        <f t="shared" ref="AH68" si="38">refinertdcruntimes&amp;" --tripid "&amp;A68&amp;" --locoid "&amp;B68&amp;" --swversion "&amp;C68&amp;" --startMP "&amp;D68&amp;" --initTime "&amp;TEXT(E68,"yyyy-mm-ddTHH:MM:SS")&amp;" --startdatetime "&amp;TEXT(F68,"yyyy-mm-ddTHH:MM:SS")&amp;" --delay "&amp;G68&amp;" --endMP "&amp;H68&amp;" --enddatetime "&amp;TEXT(I68,"yyyy-mm-ddTHH:MM:SS")&amp;" --enforcementcount "&amp;J68&amp;IF(outputrefinedruntimes," &gt;&gt;"&amp;RefinedRTDCRunTimesOutputFile,"")</f>
        <v>"%USERPROFILE%\Documents\GitHub\eaglep3\Utilities\RefineRTDCRunTimes.py" --tripid 156-18 --locoid 4021 --swversion DE.1.0.9.0 --startMP 204:511 --initTime 2017-11-18T10:26:34 --startdatetime 2017-11-18T11:28:12 --delay 85 --endMP 204:233236 --enddatetime 2017-11-18T12:06:27 --enforcementcount 0 &gt;&gt;%USERPROFILE%\Documents\GitHub\eaglep3-reporting\EC\2017-11-18-refined-times.txt</v>
      </c>
      <c r="AI68" s="96" t="str">
        <f t="shared" ref="AI68" si="39">"echo {""issue"":{""subject"":"""&amp;R68&amp;""",""project_id"":79,""tracker_id"":40,""status_id"":"&amp;redmine_status&amp;",""priority_id"":"&amp;redmine_priority&amp;",""assigned_to_id"":"&amp;redmine_assignee&amp;",""start_date"":"""&amp;TEXT(I68,"YYYY-mm-dd")&amp;""",""description"":"""&amp;AJ68&amp;""",""custom_fields"":[{""id"":1,""name"":""Subdivision"",""value"":"""&amp;AG68&amp;"""},{""id"":4,""name"":""Milepost"",""value"":"""&amp;Z68&amp;"""},{""id"":17,""name"":""Train ID"",""value"":"""&amp;A68&amp;"""},{""id"":16,""name"":""Locomotive ID"",""value"":"""&amp;B68&amp;"""},{""id"":130,""name"":""Impact"",""value"":"""&amp;AK68&amp;"""},{""id"":150,""name"":""Time of Event (Mountain Time)"",""value"":"""&amp;TEXT(I68,"hh:mm:ss")&amp;"""},{""id"":151,""name"":""Denver Issue ID"",""value"":"""&amp;"""},{""id"":178,""name"":""Operational Impact"",""value"":"""&amp;redmine_op_impact&amp;"""},{""id"":179,""name"":""Denver Segment Assigned"",""value"":"""&amp;AL68&amp;"""}]}}"&amp;"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{"issue":{"subject":"","project_id":79,"tracker_id":40,"status_id":1,"priority_id":2,"assigned_to_id":338,"start_date":"2017-11-18","description":"","custom_fields":[{"id":1,"name":"Subdivision","value":"EC"},{"id":4,"name":"Milepost","value":"0.0185"},{"id":17,"name":"Train ID","value":"156-18"},{"id":16,"name":"Locomotive ID","value":"4021"},{"id":130,"name":"Impact","value":""},{"id":150,"name":"Time of Event (Mountain Time)","value":"12:06:27"},{"id":151,"name":"Denver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1" t="str">
        <f t="shared" ref="AM68" si="40">"start /low /b "&amp;dls3logs&amp;" --loco "&amp;B68&amp;" --day "&amp;TEXT(F68,"YYYY-MM-DD")</f>
        <v>start /low /b %USERPROFILE%\Documents\GitHub\eaglep3\Utilities\DownloadLogsFromS3.py --loco 4021 --day 2017-11-18</v>
      </c>
      <c r="AN68" s="150" t="str">
        <f t="shared" ref="AN68" si="41">"echo {""issue"":{""subject"":"""&amp;R68&amp;""",""project_id"":30,""tracker_id"":4,""status_id"":"&amp;redmine_status_wcr&amp;",""priority_id"":"&amp;redmine_priority_wcr&amp;",""assigned_to_id"":"&amp;redmine_assignee_wcr&amp;",""start_date"":"""&amp;TEXT(I68-utc_offset/24,"YYYY-mm-dd")&amp;""",""description"":"""&amp;AJ68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19:06:27"},{"id":29,"name":"Sharepoint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7" t="str">
        <f t="shared" ref="AO68" si="42"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Message%20ID',Summary),filters:!(),index:'emp_*',interval:auto,query:"&amp;"(query_string:(analyze_wildcard:!t,query:'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-11-18T09:26:34-0700',mode:absolute,to:'2017-11-18T13:06:27-0700'))&amp;_a=(columns:!('Message%20ID',Summary),filters:!(),index:'emp_*',interval:auto,query:(query_string:(analyze_wildcard:!t,query:'%22rtdc.l.rtdc.4021%22')),sort:!(Time.ISO8601,asc))</v>
      </c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20"/>
      <c r="BI68" s="20"/>
      <c r="BJ68" s="20"/>
      <c r="BK68" s="20"/>
      <c r="BL68" s="20"/>
      <c r="BM68" s="20"/>
      <c r="BN68" s="20"/>
      <c r="BO68" s="20"/>
      <c r="BP68" s="20"/>
      <c r="BQ68" s="20"/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B68" s="20"/>
      <c r="CC68" s="20"/>
      <c r="CD68" s="20"/>
      <c r="CE68" s="20"/>
      <c r="CF68" s="20"/>
      <c r="CG68" s="20"/>
      <c r="CH68" s="20"/>
      <c r="CI68" s="20"/>
      <c r="CJ68" s="20"/>
      <c r="CK68" s="20"/>
      <c r="CL68" s="20"/>
      <c r="CM68" s="20"/>
    </row>
    <row r="69" spans="1:91" s="1" customFormat="1" x14ac:dyDescent="0.25">
      <c r="A69" s="32" t="s">
        <v>788</v>
      </c>
      <c r="B69" s="7">
        <v>4004</v>
      </c>
      <c r="C69" s="21" t="s">
        <v>192</v>
      </c>
      <c r="D69" s="21" t="s">
        <v>525</v>
      </c>
      <c r="E69" s="13">
        <v>43057.443240740744</v>
      </c>
      <c r="F69" s="13">
        <v>43057.448182870372</v>
      </c>
      <c r="G69" s="7">
        <v>93</v>
      </c>
      <c r="H69" s="21" t="s">
        <v>950</v>
      </c>
      <c r="I69" s="13">
        <v>43057.471979166665</v>
      </c>
      <c r="J69" s="7">
        <v>0</v>
      </c>
      <c r="K69" s="89" t="str">
        <f t="shared" si="25"/>
        <v>4003/4004</v>
      </c>
      <c r="L69" s="184" t="str">
        <f>VLOOKUP(A69,'Trips&amp;Operators'!$C$1:$G$99911,5,FALSE)</f>
        <v>MOSES BRADLEY</v>
      </c>
      <c r="M69" s="6">
        <f t="shared" si="26"/>
        <v>2.3796296292857733E-2</v>
      </c>
      <c r="N69" s="7">
        <f t="shared" si="35"/>
        <v>34.266666661715135</v>
      </c>
      <c r="O69" s="7"/>
      <c r="P69" s="7"/>
      <c r="Q69" s="22"/>
      <c r="R69" s="173"/>
      <c r="S69" s="220">
        <f t="shared" si="27"/>
        <v>1</v>
      </c>
      <c r="T69" s="173" t="str">
        <f t="shared" si="28"/>
        <v>NorthBound</v>
      </c>
      <c r="U69" s="19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5" t="str">
        <f t="shared" si="5"/>
        <v>https://d0f6bd738d7f1b3e5a7ca70fe4ff75f0.us-east-1.aws.found.io/app/kibana#/discover/Steve-Slow-Train-Analysis-(2080s-and-2083s)?_g=(refreshInterval:(display:Off,pause:!f,section:0,value:0),time:(from:'2017-11-18T09:38:16-0700',mode:absolute,to:'2017-11-18T12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9" s="203" t="str">
        <f>IF(AA69&lt;VLOOKUP(AG69,Variables!$AC$3:$AD$8,2,FALSE),"Y","N")</f>
        <v>N</v>
      </c>
      <c r="X69" s="203">
        <f t="shared" si="37"/>
        <v>1</v>
      </c>
      <c r="Y69" s="203">
        <f>RIGHT(D69,LEN(D69)-4)/10000</f>
        <v>4.8599999999999997E-2</v>
      </c>
      <c r="Z69" s="203">
        <f>RIGHT(H69,LEN(H69)-4)/10000</f>
        <v>23.322399999999998</v>
      </c>
      <c r="AA69" s="203">
        <f t="shared" si="32"/>
        <v>23.273799999999998</v>
      </c>
      <c r="AB69" s="54" t="e">
        <f>VLOOKUP(A69,Enforcements!$C$7:$K$9,8,0)</f>
        <v>#N/A</v>
      </c>
      <c r="AC69" s="51" t="e">
        <f>VLOOKUP(A69,Enforcements!$C$7:$E$9,3,0)</f>
        <v>#N/A</v>
      </c>
      <c r="AD69" s="178">
        <f t="shared" si="33"/>
        <v>157</v>
      </c>
      <c r="AE69" s="77" t="str">
        <f t="shared" si="11"/>
        <v>aws s3 cp s3://rtdc.mdm.uploadarchive.raw/RTDC4004/ "%USERPROFILE%\AppData\Local\Temp\OnboardLogs"\RTDC4004\2017-11-18 --exclude "*" --recursive --include "*20171118*" &amp; "%USERPROFILE%\Documents\GitHub\mrs-test-scripts\Headless Mode &amp; Sideloading\WalkAndUnGZ.bat" "%USERPROFILE%\AppData\Local\Temp\OnboardLogs"\RTDC4004\2017-11-18 &amp; aws s3 cp s3://rtdc.mdm.uploadarchive.raw/RTDC4004/ "%USERPROFILE%\AppData\Local\Temp\OnboardLogs"\RTDC4004\2017-11-19 --exclude "*" --recursive --include "*20171119*" &amp; "%USERPROFILE%\Documents\GitHub\mrs-test-scripts\Headless Mode &amp; Sideloading\WalkAndUnGZ.bat" "%USERPROFILE%\AppData\Local\Temp\OnboardLogs"\RTDC4004\2017-11-19</v>
      </c>
      <c r="AF69" s="74" t="str">
        <f t="shared" si="12"/>
        <v>"C:\Program Files (x86)\AstroGrep\AstroGrep.exe" /e /r /s /spath="%USERPROFILE%\AppData\Local\Temp\OnboardLogs" /stypes="app*4004*20171118*" /stext=" 18:.+((SYSTEM_STATE.+slice.+state.+changed )|(ment ac)|(multiple cpu faults)|(system.+state.+changed )|(\[timeout)|(PRM\|1\|D)|(kpr)|(kdp)|(train st.+moving)|(\|lc)|(penalty))"</v>
      </c>
      <c r="AG69" s="181" t="str">
        <f t="shared" si="34"/>
        <v>EC</v>
      </c>
      <c r="AH69" s="78" t="str">
        <f t="shared" si="19"/>
        <v>"%USERPROFILE%\Documents\GitHub\eaglep3\Utilities\RefineRTDCRunTimes.py" --tripid 157-18 --locoid 4004 --swversion DE.1.0.9.0 --startMP 204:486 --initTime 2017-11-18T10:38:16 --startdatetime 2017-11-18T10:45:23 --delay 93 --endMP 204:233224 --enddatetime 2017-11-18T11:19:39 --enforcementcount 0 &gt;&gt;%USERPROFILE%\Documents\GitHub\eaglep3-reporting\EC\2017-11-18-refined-times.txt</v>
      </c>
      <c r="AI69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{"issue":{"subject":"","project_id":79,"tracker_id":40,"status_id":1,"priority_id":2,"assigned_to_id":338,"start_date":"2017-11-18","description":"","custom_fields":[{"id":1,"name":"Subdivision","value":"EC"},{"id":4,"name":"Milepost","value":"23.3224"},{"id":17,"name":"Train ID","value":"157-18"},{"id":16,"name":"Locomotive ID","value":"4004"},{"id":130,"name":"Impact","value":""},{"id":150,"name":"Time of Event (Mountain Time)","value":"11:19:39"},{"id":151,"name":"Denver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1" t="str">
        <f t="shared" si="21"/>
        <v>start /low /b %USERPROFILE%\Documents\GitHub\eaglep3\Utilities\DownloadLogsFromS3.py --loco 4004 --day 2017-11-18</v>
      </c>
      <c r="AN69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18:19:39"},{"id":29,"name":"Sharepoint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7" t="str">
        <f t="shared" si="23"/>
        <v>https://d0f6bd738d7f1b3e5a7ca70fe4ff75f0.us-east-1.aws.found.io/app/kibana#/discover/Steve-Slow-Train-Analysis-(2080s-and-2083s)?_g=(refreshInterval:(display:Off,pause:!f,section:0,value:0),time:(from:'2017-11-18T09:38:16-0700',mode:absolute,to:'2017-11-18T12:19:39-0700'))&amp;_a=(columns:!('Message%20ID',Summary),filters:!(),index:'emp_*',interval:auto,query:(query_string:(analyze_wildcard:!t,query:'%22rtdc.l.rtdc.4004%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797</v>
      </c>
      <c r="B70" s="7">
        <v>4003</v>
      </c>
      <c r="C70" s="21" t="s">
        <v>192</v>
      </c>
      <c r="D70" s="21" t="s">
        <v>617</v>
      </c>
      <c r="E70" s="13">
        <v>43057.484039351853</v>
      </c>
      <c r="F70" s="13">
        <v>43057.48773148148</v>
      </c>
      <c r="G70" s="7">
        <v>69</v>
      </c>
      <c r="H70" s="21" t="s">
        <v>487</v>
      </c>
      <c r="I70" s="13">
        <v>43057.514085648145</v>
      </c>
      <c r="J70" s="7">
        <v>0</v>
      </c>
      <c r="K70" s="89" t="str">
        <f t="shared" si="25"/>
        <v>4003/4004</v>
      </c>
      <c r="L70" s="184" t="str">
        <f>VLOOKUP(A70,'Trips&amp;Operators'!$C$1:$G$99911,5,FALSE)</f>
        <v>MOSES BRADLEY</v>
      </c>
      <c r="M70" s="6">
        <f t="shared" si="26"/>
        <v>2.6354166664532386E-2</v>
      </c>
      <c r="N70" s="7">
        <f t="shared" si="35"/>
        <v>37.949999996926636</v>
      </c>
      <c r="O70" s="7"/>
      <c r="P70" s="7"/>
      <c r="Q70" s="22"/>
      <c r="R70" s="173"/>
      <c r="S70" s="220">
        <f t="shared" si="27"/>
        <v>1</v>
      </c>
      <c r="T70" s="173" t="str">
        <f t="shared" si="28"/>
        <v>Southbound</v>
      </c>
      <c r="U70" s="19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5" t="str">
        <f t="shared" si="5"/>
        <v>https://d0f6bd738d7f1b3e5a7ca70fe4ff75f0.us-east-1.aws.found.io/app/kibana#/discover/Steve-Slow-Train-Analysis-(2080s-and-2083s)?_g=(refreshInterval:(display:Off,pause:!f,section:0,value:0),time:(from:'2017-11-18T10:37:01-0700',mode:absolute,to:'2017-11-18T13:20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0" s="203" t="str">
        <f>IF(AA70&lt;VLOOKUP(AG70,Variables!$AC$3:$AD$8,2,FALSE),"Y","N")</f>
        <v>N</v>
      </c>
      <c r="X70" s="203">
        <f t="shared" si="37"/>
        <v>1</v>
      </c>
      <c r="Y70" s="203">
        <f>RIGHT(D70,LEN(D70)-4)/10000</f>
        <v>23.292899999999999</v>
      </c>
      <c r="Z70" s="203">
        <f>RIGHT(H70,LEN(H70)-4)/10000</f>
        <v>2.3199999999999998E-2</v>
      </c>
      <c r="AA70" s="203">
        <f t="shared" si="32"/>
        <v>23.2697</v>
      </c>
      <c r="AB70" s="54" t="e">
        <f>VLOOKUP(A70,Enforcements!$C$7:$K$9,8,0)</f>
        <v>#N/A</v>
      </c>
      <c r="AC70" s="51" t="e">
        <f>VLOOKUP(A70,Enforcements!$C$7:$E$9,3,0)</f>
        <v>#N/A</v>
      </c>
      <c r="AD70" s="178">
        <f t="shared" si="33"/>
        <v>158</v>
      </c>
      <c r="AE70" s="77" t="str">
        <f t="shared" si="11"/>
        <v>aws s3 cp s3://rtdc.mdm.uploadarchive.raw/RTDC4003/ "%USERPROFILE%\AppData\Local\Temp\OnboardLogs"\RTDC4003\2017-11-18 --exclude "*" --recursive --include "*20171118*" &amp; "%USERPROFILE%\Documents\GitHub\mrs-test-scripts\Headless Mode &amp; Sideloading\WalkAndUnGZ.bat" "%USERPROFILE%\AppData\Local\Temp\OnboardLogs"\RTDC4003\2017-11-18 &amp; aws s3 cp s3://rtdc.mdm.uploadarchive.raw/RTDC4003/ "%USERPROFILE%\AppData\Local\Temp\OnboardLogs"\RTDC4003\2017-11-19 --exclude "*" --recursive --include "*20171119*" &amp; "%USERPROFILE%\Documents\GitHub\mrs-test-scripts\Headless Mode &amp; Sideloading\WalkAndUnGZ.bat" "%USERPROFILE%\AppData\Local\Temp\OnboardLogs"\RTDC4003\2017-11-19</v>
      </c>
      <c r="AF70" s="74" t="str">
        <f t="shared" si="12"/>
        <v>"C:\Program Files (x86)\AstroGrep\AstroGrep.exe" /e /r /s /spath="%USERPROFILE%\AppData\Local\Temp\OnboardLogs" /stypes="app*4003*20171118*" /stext=" 19:.+((SYSTEM_STATE.+slice.+state.+changed )|(ment ac)|(multiple cpu faults)|(system.+state.+changed )|(\[timeout)|(PRM\|1\|D)|(kpr)|(kdp)|(train st.+moving)|(\|lc)|(penalty))"</v>
      </c>
      <c r="AG70" s="181" t="str">
        <f t="shared" si="34"/>
        <v>EC</v>
      </c>
      <c r="AH70" s="78" t="str">
        <f t="shared" si="19"/>
        <v>"%USERPROFILE%\Documents\GitHub\eaglep3\Utilities\RefineRTDCRunTimes.py" --tripid 158-18 --locoid 4003 --swversion DE.1.0.9.0 --startMP 204:232929 --initTime 2017-11-18T11:37:01 --startdatetime 2017-11-18T11:42:20 --delay 69 --endMP 204:232 --enddatetime 2017-11-18T12:20:17 --enforcementcount 0 &gt;&gt;%USERPROFILE%\Documents\GitHub\eaglep3-reporting\EC\2017-11-18-refined-times.txt</v>
      </c>
      <c r="AI70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{"issue":{"subject":"","project_id":79,"tracker_id":40,"status_id":1,"priority_id":2,"assigned_to_id":338,"start_date":"2017-11-18","description":"","custom_fields":[{"id":1,"name":"Subdivision","value":"EC"},{"id":4,"name":"Milepost","value":"0.0232"},{"id":17,"name":"Train ID","value":"158-18"},{"id":16,"name":"Locomotive ID","value":"4003"},{"id":130,"name":"Impact","value":""},{"id":150,"name":"Time of Event (Mountain Time)","value":"12:20:17"},{"id":151,"name":"Denver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1" t="str">
        <f t="shared" si="21"/>
        <v>start /low /b %USERPROFILE%\Documents\GitHub\eaglep3\Utilities\DownloadLogsFromS3.py --loco 4003 --day 2017-11-18</v>
      </c>
      <c r="AN70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19:20:17"},{"id":29,"name":"Sharepoint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7" t="str">
        <f t="shared" si="23"/>
        <v>https://d0f6bd738d7f1b3e5a7ca70fe4ff75f0.us-east-1.aws.found.io/app/kibana#/discover/Steve-Slow-Train-Analysis-(2080s-and-2083s)?_g=(refreshInterval:(display:Off,pause:!f,section:0,value:0),time:(from:'2017-11-18T10:37:01-0700',mode:absolute,to:'2017-11-18T13:20:17-0700'))&amp;_a=(columns:!('Message%20ID',Summary),filters:!(),index:'emp_*',interval:auto,query:(query_string:(analyze_wildcard:!t,query:'%22rtdc.l.rtdc.4003%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790</v>
      </c>
      <c r="B71" s="7">
        <v>4006</v>
      </c>
      <c r="C71" s="21" t="s">
        <v>192</v>
      </c>
      <c r="D71" s="21" t="s">
        <v>529</v>
      </c>
      <c r="E71" s="13">
        <v>43057.455555555556</v>
      </c>
      <c r="F71" s="13">
        <v>43057.458564814813</v>
      </c>
      <c r="G71" s="7">
        <v>85</v>
      </c>
      <c r="H71" s="21" t="s">
        <v>949</v>
      </c>
      <c r="I71" s="13">
        <v>43057.483946759261</v>
      </c>
      <c r="J71" s="7">
        <v>0</v>
      </c>
      <c r="K71" s="89" t="str">
        <f t="shared" si="25"/>
        <v>4005/4006</v>
      </c>
      <c r="L71" s="184" t="str">
        <f>VLOOKUP(A71,'Trips&amp;Operators'!$C$1:$G$99911,5,FALSE)</f>
        <v>WILLIAMS DONTE</v>
      </c>
      <c r="M71" s="6">
        <f t="shared" si="26"/>
        <v>2.5381944447872229E-2</v>
      </c>
      <c r="N71" s="7">
        <f t="shared" si="35"/>
        <v>36.55000000493601</v>
      </c>
      <c r="O71" s="7"/>
      <c r="P71" s="7"/>
      <c r="Q71" s="22"/>
      <c r="R71" s="173"/>
      <c r="S71" s="220">
        <f t="shared" si="27"/>
        <v>1</v>
      </c>
      <c r="T71" s="173" t="str">
        <f t="shared" si="28"/>
        <v>NorthBound</v>
      </c>
      <c r="U71" s="19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5" t="str">
        <f t="shared" si="5"/>
        <v>https://d0f6bd738d7f1b3e5a7ca70fe4ff75f0.us-east-1.aws.found.io/app/kibana#/discover/Steve-Slow-Train-Analysis-(2080s-and-2083s)?_g=(refreshInterval:(display:Off,pause:!f,section:0,value:0),time:(from:'2017-11-18T09:56:00-0700',mode:absolute,to:'2017-11-18T12:36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1" s="203" t="str">
        <f>IF(AA71&lt;VLOOKUP(AG71,Variables!$AC$3:$AD$8,2,FALSE),"Y","N")</f>
        <v>N</v>
      </c>
      <c r="X71" s="203">
        <f t="shared" si="37"/>
        <v>1</v>
      </c>
      <c r="Y71" s="203">
        <f>RIGHT(D71,LEN(D71)-4)/10000</f>
        <v>5.2900000000000003E-2</v>
      </c>
      <c r="Z71" s="203">
        <f>RIGHT(H71,LEN(H71)-4)/10000</f>
        <v>23.323599999999999</v>
      </c>
      <c r="AA71" s="203">
        <f t="shared" si="32"/>
        <v>23.270699999999998</v>
      </c>
      <c r="AB71" s="54" t="e">
        <f>VLOOKUP(A71,Enforcements!$C$7:$K$9,8,0)</f>
        <v>#N/A</v>
      </c>
      <c r="AC71" s="51" t="e">
        <f>VLOOKUP(A71,Enforcements!$C$7:$E$9,3,0)</f>
        <v>#N/A</v>
      </c>
      <c r="AD71" s="178">
        <f t="shared" si="33"/>
        <v>159</v>
      </c>
      <c r="AE71" s="77" t="str">
        <f t="shared" si="11"/>
        <v>aws s3 cp s3://rtdc.mdm.uploadarchive.raw/RTDC4006/ "%USERPROFILE%\AppData\Local\Temp\OnboardLogs"\RTDC4006\2017-11-18 --exclude "*" --recursive --include "*20171118*" &amp; "%USERPROFILE%\Documents\GitHub\mrs-test-scripts\Headless Mode &amp; Sideloading\WalkAndUnGZ.bat" "%USERPROFILE%\AppData\Local\Temp\OnboardLogs"\RTDC4006\2017-11-18 &amp; aws s3 cp s3://rtdc.mdm.uploadarchive.raw/RTDC4006/ "%USERPROFILE%\AppData\Local\Temp\OnboardLogs"\RTDC4006\2017-11-19 --exclude "*" --recursive --include "*20171119*" &amp; "%USERPROFILE%\Documents\GitHub\mrs-test-scripts\Headless Mode &amp; Sideloading\WalkAndUnGZ.bat" "%USERPROFILE%\AppData\Local\Temp\OnboardLogs"\RTDC4006\2017-11-19</v>
      </c>
      <c r="AF71" s="74" t="str">
        <f t="shared" si="12"/>
        <v>"C:\Program Files (x86)\AstroGrep\AstroGrep.exe" /e /r /s /spath="%USERPROFILE%\AppData\Local\Temp\OnboardLogs" /stypes="app*4006*20171118*" /stext=" 18:.+((SYSTEM_STATE.+slice.+state.+changed )|(ment ac)|(multiple cpu faults)|(system.+state.+changed )|(\[timeout)|(PRM\|1\|D)|(kpr)|(kdp)|(train st.+moving)|(\|lc)|(penalty))"</v>
      </c>
      <c r="AG71" s="181" t="str">
        <f t="shared" si="34"/>
        <v>EC</v>
      </c>
      <c r="AH71" s="78" t="str">
        <f t="shared" si="19"/>
        <v>"%USERPROFILE%\Documents\GitHub\eaglep3\Utilities\RefineRTDCRunTimes.py" --tripid 159-18 --locoid 4006 --swversion DE.1.0.9.0 --startMP 204:529 --initTime 2017-11-18T10:56:00 --startdatetime 2017-11-18T11:00:20 --delay 85 --endMP 204:233236 --enddatetime 2017-11-18T11:36:53 --enforcementcount 0 &gt;&gt;%USERPROFILE%\Documents\GitHub\eaglep3-reporting\EC\2017-11-18-refined-times.txt</v>
      </c>
      <c r="AI71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{"issue":{"subject":"","project_id":79,"tracker_id":40,"status_id":1,"priority_id":2,"assigned_to_id":338,"start_date":"2017-11-18","description":"","custom_fields":[{"id":1,"name":"Subdivision","value":"EC"},{"id":4,"name":"Milepost","value":"23.3236"},{"id":17,"name":"Train ID","value":"159-18"},{"id":16,"name":"Locomotive ID","value":"4006"},{"id":130,"name":"Impact","value":""},{"id":150,"name":"Time of Event (Mountain Time)","value":"11:36:53"},{"id":151,"name":"Denver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1" t="str">
        <f t="shared" si="21"/>
        <v>start /low /b %USERPROFILE%\Documents\GitHub\eaglep3\Utilities\DownloadLogsFromS3.py --loco 4006 --day 2017-11-18</v>
      </c>
      <c r="AN71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18:36:53"},{"id":29,"name":"Sharepoint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7" t="str">
        <f t="shared" si="23"/>
        <v>https://d0f6bd738d7f1b3e5a7ca70fe4ff75f0.us-east-1.aws.found.io/app/kibana#/discover/Steve-Slow-Train-Analysis-(2080s-and-2083s)?_g=(refreshInterval:(display:Off,pause:!f,section:0,value:0),time:(from:'2017-11-18T09:56:00-0700',mode:absolute,to:'2017-11-18T12:36:53-0700'))&amp;_a=(columns:!('Message%20ID',Summary),filters:!(),index:'emp_*',interval:auto,query:(query_string:(analyze_wildcard:!t,query:'%22rtdc.l.rtdc.4006%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799</v>
      </c>
      <c r="B72" s="7">
        <v>4005</v>
      </c>
      <c r="C72" s="21" t="s">
        <v>192</v>
      </c>
      <c r="D72" s="21" t="s">
        <v>630</v>
      </c>
      <c r="E72" s="13">
        <v>43057.491249999999</v>
      </c>
      <c r="F72" s="13">
        <v>43057.498101851852</v>
      </c>
      <c r="G72" s="7">
        <v>80</v>
      </c>
      <c r="H72" s="21" t="s">
        <v>951</v>
      </c>
      <c r="I72" s="13">
        <v>43057.52484953704</v>
      </c>
      <c r="J72" s="7">
        <v>0</v>
      </c>
      <c r="K72" s="89" t="str">
        <f t="shared" si="25"/>
        <v>4005/4006</v>
      </c>
      <c r="L72" s="184" t="str">
        <f>VLOOKUP(A72,'Trips&amp;Operators'!$C$1:$G$99911,5,FALSE)</f>
        <v>WILLIAMS DONTE</v>
      </c>
      <c r="M72" s="6">
        <f t="shared" si="26"/>
        <v>2.6747685187729076E-2</v>
      </c>
      <c r="N72" s="7">
        <f t="shared" si="35"/>
        <v>38.516666670329869</v>
      </c>
      <c r="O72" s="7"/>
      <c r="P72" s="7"/>
      <c r="Q72" s="22"/>
      <c r="R72" s="173"/>
      <c r="S72" s="220">
        <f t="shared" si="27"/>
        <v>1</v>
      </c>
      <c r="T72" s="173" t="str">
        <f t="shared" si="28"/>
        <v>Southbound</v>
      </c>
      <c r="U72" s="19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5" t="str">
        <f t="shared" si="5"/>
        <v>https://d0f6bd738d7f1b3e5a7ca70fe4ff75f0.us-east-1.aws.found.io/app/kibana#/discover/Steve-Slow-Train-Analysis-(2080s-and-2083s)?_g=(refreshInterval:(display:Off,pause:!f,section:0,value:0),time:(from:'2017-11-18T10:47:24-0700',mode:absolute,to:'2017-11-18T13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2" s="203" t="str">
        <f>IF(AA72&lt;VLOOKUP(AG72,Variables!$AC$3:$AD$8,2,FALSE),"Y","N")</f>
        <v>N</v>
      </c>
      <c r="X72" s="203">
        <f t="shared" si="37"/>
        <v>1</v>
      </c>
      <c r="Y72" s="203">
        <f>RIGHT(D72,LEN(D72)-4)/10000</f>
        <v>23.2928</v>
      </c>
      <c r="Z72" s="203">
        <f>RIGHT(H72,LEN(H72)-4)/10000</f>
        <v>2.6200000000000001E-2</v>
      </c>
      <c r="AA72" s="203">
        <f t="shared" si="32"/>
        <v>23.2666</v>
      </c>
      <c r="AB72" s="54" t="e">
        <f>VLOOKUP(A72,Enforcements!$C$7:$K$9,8,0)</f>
        <v>#N/A</v>
      </c>
      <c r="AC72" s="51" t="e">
        <f>VLOOKUP(A72,Enforcements!$C$7:$E$9,3,0)</f>
        <v>#N/A</v>
      </c>
      <c r="AD72" s="178">
        <f t="shared" si="33"/>
        <v>160</v>
      </c>
      <c r="AE72" s="77" t="str">
        <f t="shared" si="11"/>
        <v>aws s3 cp s3://rtdc.mdm.uploadarchive.raw/RTDC4005/ "%USERPROFILE%\AppData\Local\Temp\OnboardLogs"\RTDC4005\2017-11-18 --exclude "*" --recursive --include "*20171118*" &amp; "%USERPROFILE%\Documents\GitHub\mrs-test-scripts\Headless Mode &amp; Sideloading\WalkAndUnGZ.bat" "%USERPROFILE%\AppData\Local\Temp\OnboardLogs"\RTDC4005\2017-11-18 &amp; aws s3 cp s3://rtdc.mdm.uploadarchive.raw/RTDC4005/ "%USERPROFILE%\AppData\Local\Temp\OnboardLogs"\RTDC4005\2017-11-19 --exclude "*" --recursive --include "*20171119*" &amp; "%USERPROFILE%\Documents\GitHub\mrs-test-scripts\Headless Mode &amp; Sideloading\WalkAndUnGZ.bat" "%USERPROFILE%\AppData\Local\Temp\OnboardLogs"\RTDC4005\2017-11-19</v>
      </c>
      <c r="AF72" s="74" t="str">
        <f t="shared" si="12"/>
        <v>"C:\Program Files (x86)\AstroGrep\AstroGrep.exe" /e /r /s /spath="%USERPROFILE%\AppData\Local\Temp\OnboardLogs" /stypes="app*4005*20171118*" /stext=" 19:.+((SYSTEM_STATE.+slice.+state.+changed )|(ment ac)|(multiple cpu faults)|(system.+state.+changed )|(\[timeout)|(PRM\|1\|D)|(kpr)|(kdp)|(train st.+moving)|(\|lc)|(penalty))"</v>
      </c>
      <c r="AG72" s="181" t="str">
        <f t="shared" si="34"/>
        <v>EC</v>
      </c>
      <c r="AH72" s="78" t="str">
        <f t="shared" si="19"/>
        <v>"%USERPROFILE%\Documents\GitHub\eaglep3\Utilities\RefineRTDCRunTimes.py" --tripid 160-18 --locoid 4005 --swversion DE.1.0.9.0 --startMP 204:232928 --initTime 2017-11-18T11:47:24 --startdatetime 2017-11-18T11:57:16 --delay 80 --endMP 204:262 --enddatetime 2017-11-18T12:35:47 --enforcementcount 0 &gt;&gt;%USERPROFILE%\Documents\GitHub\eaglep3-reporting\EC\2017-11-18-refined-times.txt</v>
      </c>
      <c r="AI72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{"issue":{"subject":"","project_id":79,"tracker_id":40,"status_id":1,"priority_id":2,"assigned_to_id":338,"start_date":"2017-11-18","description":"","custom_fields":[{"id":1,"name":"Subdivision","value":"EC"},{"id":4,"name":"Milepost","value":"0.0262"},{"id":17,"name":"Train ID","value":"160-18"},{"id":16,"name":"Locomotive ID","value":"4005"},{"id":130,"name":"Impact","value":""},{"id":150,"name":"Time of Event (Mountain Time)","value":"12:35:47"},{"id":151,"name":"Denver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1" t="str">
        <f t="shared" si="21"/>
        <v>start /low /b %USERPROFILE%\Documents\GitHub\eaglep3\Utilities\DownloadLogsFromS3.py --loco 4005 --day 2017-11-18</v>
      </c>
      <c r="AN72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19:35:47"},{"id":29,"name":"Sharepoint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7" t="str">
        <f t="shared" si="23"/>
        <v>https://d0f6bd738d7f1b3e5a7ca70fe4ff75f0.us-east-1.aws.found.io/app/kibana#/discover/Steve-Slow-Train-Analysis-(2080s-and-2083s)?_g=(refreshInterval:(display:Off,pause:!f,section:0,value:0),time:(from:'2017-11-18T10:47:24-0700',mode:absolute,to:'2017-11-18T13:35:47-0700'))&amp;_a=(columns:!('Message%20ID',Summary),filters:!(),index:'emp_*',interval:auto,query:(query_string:(analyze_wildcard:!t,query:'%22rtdc.l.rtdc.4005%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793</v>
      </c>
      <c r="B73" s="7">
        <v>4018</v>
      </c>
      <c r="C73" s="21" t="s">
        <v>192</v>
      </c>
      <c r="D73" s="21" t="s">
        <v>630</v>
      </c>
      <c r="E73" s="13">
        <v>43057.491249999999</v>
      </c>
      <c r="F73" s="13">
        <v>43057.469074074077</v>
      </c>
      <c r="G73" s="7">
        <v>80</v>
      </c>
      <c r="H73" s="21" t="s">
        <v>951</v>
      </c>
      <c r="I73" s="13">
        <v>43057.494537037041</v>
      </c>
      <c r="J73" s="7">
        <v>0</v>
      </c>
      <c r="K73" s="89" t="str">
        <f t="shared" si="25"/>
        <v>4017/4018</v>
      </c>
      <c r="L73" s="184" t="str">
        <f>VLOOKUP(A73,'Trips&amp;Operators'!$C$1:$G$99911,5,FALSE)</f>
        <v>DAVIS MICHAEL</v>
      </c>
      <c r="M73" s="6">
        <f t="shared" si="26"/>
        <v>2.5462962963501923E-2</v>
      </c>
      <c r="N73" s="7">
        <f t="shared" si="35"/>
        <v>36.666666667442769</v>
      </c>
      <c r="O73" s="7"/>
      <c r="P73" s="7"/>
      <c r="Q73" s="22"/>
      <c r="R73" s="173"/>
      <c r="S73" s="220">
        <f t="shared" si="27"/>
        <v>1</v>
      </c>
      <c r="T73" s="173" t="str">
        <f t="shared" si="28"/>
        <v>NorthBound</v>
      </c>
      <c r="U73" s="19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5" t="str">
        <f t="shared" si="5"/>
        <v>https://d0f6bd738d7f1b3e5a7ca70fe4ff75f0.us-east-1.aws.found.io/app/kibana#/discover/Steve-Slow-Train-Analysis-(2080s-and-2083s)?_g=(refreshInterval:(display:Off,pause:!f,section:0,value:0),time:(from:'2017-11-18T10:47:24-0700',mode:absolute,to:'2017-11-18T12:52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3" s="203" t="str">
        <f>IF(AA73&lt;VLOOKUP(AG73,Variables!$AC$3:$AD$8,2,FALSE),"Y","N")</f>
        <v>N</v>
      </c>
      <c r="X73" s="203">
        <f t="shared" si="37"/>
        <v>1</v>
      </c>
      <c r="Y73" s="203">
        <v>5.2900000000000003E-2</v>
      </c>
      <c r="Z73" s="203">
        <v>23.323599999999999</v>
      </c>
      <c r="AA73" s="203">
        <f t="shared" si="32"/>
        <v>23.270699999999998</v>
      </c>
      <c r="AB73" s="54" t="e">
        <f>VLOOKUP(A73,Enforcements!$C$7:$K$9,8,0)</f>
        <v>#N/A</v>
      </c>
      <c r="AC73" s="51" t="e">
        <f>VLOOKUP(A73,Enforcements!$C$7:$E$9,3,0)</f>
        <v>#N/A</v>
      </c>
      <c r="AD73" s="178">
        <f t="shared" si="33"/>
        <v>161</v>
      </c>
      <c r="AE73" s="77" t="str">
        <f t="shared" si="11"/>
        <v>aws s3 cp s3://rtdc.mdm.uploadarchive.raw/RTDC4018/ "%USERPROFILE%\AppData\Local\Temp\OnboardLogs"\RTDC4018\2017-11-18 --exclude "*" --recursive --include "*20171118*" &amp; "%USERPROFILE%\Documents\GitHub\mrs-test-scripts\Headless Mode &amp; Sideloading\WalkAndUnGZ.bat" "%USERPROFILE%\AppData\Local\Temp\OnboardLogs"\RTDC4018\2017-11-18 &amp; aws s3 cp s3://rtdc.mdm.uploadarchive.raw/RTDC4018/ "%USERPROFILE%\AppData\Local\Temp\OnboardLogs"\RTDC4018\2017-11-19 --exclude "*" --recursive --include "*20171119*" &amp; "%USERPROFILE%\Documents\GitHub\mrs-test-scripts\Headless Mode &amp; Sideloading\WalkAndUnGZ.bat" "%USERPROFILE%\AppData\Local\Temp\OnboardLogs"\RTDC4018\2017-11-19</v>
      </c>
      <c r="AF73" s="74" t="str">
        <f t="shared" si="12"/>
        <v>"C:\Program Files (x86)\AstroGrep\AstroGrep.exe" /e /r /s /spath="%USERPROFILE%\AppData\Local\Temp\OnboardLogs" /stypes="app*4018*20171118*" /stext=" 18:.+((SYSTEM_STATE.+slice.+state.+changed )|(ment ac)|(multiple cpu faults)|(system.+state.+changed )|(\[timeout)|(PRM\|1\|D)|(kpr)|(kdp)|(train st.+moving)|(\|lc)|(penalty))"</v>
      </c>
      <c r="AG73" s="181" t="str">
        <f t="shared" si="34"/>
        <v>EC</v>
      </c>
      <c r="AH73" s="78" t="str">
        <f t="shared" ref="AH73" si="43">refinertdcruntimes&amp;" --tripid "&amp;A73&amp;" --locoid "&amp;B73&amp;" --swversion "&amp;C73&amp;" --startMP "&amp;D73&amp;" --initTime "&amp;TEXT(E73,"yyyy-mm-ddTHH:MM:SS")&amp;" --startdatetime "&amp;TEXT(F73,"yyyy-mm-ddTHH:MM:SS")&amp;" --delay "&amp;G73&amp;" --endMP "&amp;H73&amp;" --enddatetime "&amp;TEXT(I73,"yyyy-mm-ddTHH:MM:SS")&amp;" --enforcementcount "&amp;J73&amp;IF(outputrefinedruntimes," &gt;&gt;"&amp;RefinedRTDCRunTimesOutputFile,"")</f>
        <v>"%USERPROFILE%\Documents\GitHub\eaglep3\Utilities\RefineRTDCRunTimes.py" --tripid 161-18 --locoid 4018 --swversion DE.1.0.9.0 --startMP 204:232928 --initTime 2017-11-18T11:47:24 --startdatetime 2017-11-18T11:15:28 --delay 80 --endMP 204:262 --enddatetime 2017-11-18T11:52:08 --enforcementcount 0 &gt;&gt;%USERPROFILE%\Documents\GitHub\eaglep3-reporting\EC\2017-11-18-refined-times.txt</v>
      </c>
      <c r="AI73" s="96" t="str">
        <f t="shared" ref="AI73" si="44">"echo {""issue"":{""subject"":"""&amp;R73&amp;""",""project_id"":79,""tracker_id"":40,""status_id"":"&amp;redmine_status&amp;",""priority_id"":"&amp;redmine_priority&amp;",""assigned_to_id"":"&amp;redmine_assignee&amp;",""start_date"":"""&amp;TEXT(I73,"YYYY-mm-dd")&amp;""",""description"":"""&amp;AJ73&amp;""",""custom_fields"":[{""id"":1,""name"":""Subdivision"",""value"":"""&amp;AG73&amp;"""},{""id"":4,""name"":""Milepost"",""value"":"""&amp;Z73&amp;"""},{""id"":17,""name"":""Train ID"",""value"":"""&amp;A73&amp;"""},{""id"":16,""name"":""Locomotive ID"",""value"":"""&amp;B73&amp;"""},{""id"":130,""name"":""Impact"",""value"":"""&amp;AK73&amp;"""},{""id"":150,""name"":""Time of Event (Mountain Time)"",""value"":"""&amp;TEXT(I73,"hh:mm:ss")&amp;"""},{""id"":151,""name"":""Denver Issue ID"",""value"":"""&amp;"""},{""id"":178,""name"":""Operational Impact"",""value"":"""&amp;redmine_op_impact&amp;"""},{""id"":179,""name"":""Denver Segment Assigned"",""value"":"""&amp;AL73&amp;"""}]}}"&amp;"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{"issue":{"subject":"","project_id":79,"tracker_id":40,"status_id":1,"priority_id":2,"assigned_to_id":338,"start_date":"2017-11-18","description":"","custom_fields":[{"id":1,"name":"Subdivision","value":"EC"},{"id":4,"name":"Milepost","value":"23.3236"},{"id":17,"name":"Train ID","value":"161-18"},{"id":16,"name":"Locomotive ID","value":"4018"},{"id":130,"name":"Impact","value":""},{"id":150,"name":"Time of Event (Mountain Time)","value":"11:52:08"},{"id":151,"name":"Denver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1" t="str">
        <f t="shared" ref="AM73" si="45">"start /low /b "&amp;dls3logs&amp;" --loco "&amp;B73&amp;" --day "&amp;TEXT(F73,"YYYY-MM-DD")</f>
        <v>start /low /b %USERPROFILE%\Documents\GitHub\eaglep3\Utilities\DownloadLogsFromS3.py --loco 4018 --day 2017-11-18</v>
      </c>
      <c r="AN73" s="150" t="str">
        <f t="shared" ref="AN73" si="46">"echo {""issue"":{""subject"":"""&amp;R73&amp;""",""project_id"":30,""tracker_id"":4,""status_id"":"&amp;redmine_status_wcr&amp;",""priority_id"":"&amp;redmine_priority_wcr&amp;",""assigned_to_id"":"&amp;redmine_assignee_wcr&amp;",""start_date"":"""&amp;TEXT(I73-utc_offset/24,"YYYY-mm-dd")&amp;""",""description"":"""&amp;AJ73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18:52:08"},{"id":29,"name":"Sharepoint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7" t="str">
        <f t="shared" ref="AO73" si="47"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Message%20ID',Summary),filters:!(),index:'emp_*',interval:auto,query:"&amp;"(query_string:(analyze_wildcard:!t,query:'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-11-18T10:47:24-0700',mode:absolute,to:'2017-11-18T12:52:08-0700'))&amp;_a=(columns:!('Message%20ID',Summary),filters:!(),index:'emp_*',interval:auto,query:(query_string:(analyze_wildcard:!t,query:'%22rtdc.l.rtdc.4018%22')),sort:!(Time.ISO8601,asc))</v>
      </c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0"/>
      <c r="BI73" s="20"/>
      <c r="BJ73" s="20"/>
      <c r="BK73" s="20"/>
      <c r="BL73" s="20"/>
      <c r="BM73" s="20"/>
      <c r="BN73" s="20"/>
      <c r="BO73" s="20"/>
      <c r="BP73" s="20"/>
      <c r="BQ73" s="20"/>
      <c r="BR73" s="20"/>
      <c r="BS73" s="20"/>
      <c r="BT73" s="20"/>
      <c r="BU73" s="20"/>
      <c r="BV73" s="20"/>
      <c r="BW73" s="20"/>
      <c r="BX73" s="20"/>
      <c r="BY73" s="20"/>
      <c r="BZ73" s="20"/>
      <c r="CA73" s="20"/>
      <c r="CB73" s="20"/>
      <c r="CC73" s="20"/>
      <c r="CD73" s="20"/>
      <c r="CE73" s="20"/>
      <c r="CF73" s="20"/>
      <c r="CG73" s="20"/>
      <c r="CH73" s="20"/>
      <c r="CI73" s="20"/>
      <c r="CJ73" s="20"/>
      <c r="CK73" s="20"/>
      <c r="CL73" s="20"/>
      <c r="CM73" s="20"/>
    </row>
    <row r="74" spans="1:91" s="1" customFormat="1" x14ac:dyDescent="0.25">
      <c r="A74" s="32" t="s">
        <v>801</v>
      </c>
      <c r="B74" s="7">
        <v>4017</v>
      </c>
      <c r="C74" s="21" t="s">
        <v>192</v>
      </c>
      <c r="D74" s="21" t="s">
        <v>926</v>
      </c>
      <c r="E74" s="13">
        <v>43057.503657407404</v>
      </c>
      <c r="F74" s="13">
        <v>43057.508738425924</v>
      </c>
      <c r="G74" s="7">
        <v>102</v>
      </c>
      <c r="H74" s="21" t="s">
        <v>454</v>
      </c>
      <c r="I74" s="13">
        <v>43057.536238425928</v>
      </c>
      <c r="J74" s="7">
        <v>0</v>
      </c>
      <c r="K74" s="89" t="str">
        <f t="shared" si="25"/>
        <v>4017/4018</v>
      </c>
      <c r="L74" s="184" t="str">
        <f>VLOOKUP(A74,'Trips&amp;Operators'!$C$1:$G$99911,5,FALSE)</f>
        <v>DAVIS MICHAEL</v>
      </c>
      <c r="M74" s="6">
        <f t="shared" si="26"/>
        <v>2.7500000003783498E-2</v>
      </c>
      <c r="N74" s="7">
        <f t="shared" si="35"/>
        <v>39.600000005448237</v>
      </c>
      <c r="O74" s="7"/>
      <c r="P74" s="7"/>
      <c r="Q74" s="22"/>
      <c r="R74" s="173"/>
      <c r="S74" s="220">
        <f t="shared" si="27"/>
        <v>1</v>
      </c>
      <c r="T74" s="173" t="str">
        <f t="shared" si="28"/>
        <v>Southbound</v>
      </c>
      <c r="U74" s="19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5" t="str">
        <f t="shared" si="5"/>
        <v>https://d0f6bd738d7f1b3e5a7ca70fe4ff75f0.us-east-1.aws.found.io/app/kibana#/discover/Steve-Slow-Train-Analysis-(2080s-and-2083s)?_g=(refreshInterval:(display:Off,pause:!f,section:0,value:0),time:(from:'2017-11-18T11:05:16-0700',mode:absolute,to:'2017-11-18T13:52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4" s="203" t="str">
        <f>IF(AA74&lt;VLOOKUP(AG74,Variables!$AC$3:$AD$8,2,FALSE),"Y","N")</f>
        <v>N</v>
      </c>
      <c r="X74" s="203">
        <f t="shared" si="37"/>
        <v>1</v>
      </c>
      <c r="Y74" s="203">
        <f>RIGHT(D74,LEN(D74)-4)/10000</f>
        <v>23.291899999999998</v>
      </c>
      <c r="Z74" s="203">
        <f>RIGHT(H74,LEN(H74)-4)/10000</f>
        <v>2.0899999999999998E-2</v>
      </c>
      <c r="AA74" s="203">
        <f t="shared" si="32"/>
        <v>23.270999999999997</v>
      </c>
      <c r="AB74" s="54" t="e">
        <f>VLOOKUP(A74,Enforcements!$C$7:$K$9,8,0)</f>
        <v>#N/A</v>
      </c>
      <c r="AC74" s="51" t="e">
        <f>VLOOKUP(A74,Enforcements!$C$7:$E$9,3,0)</f>
        <v>#N/A</v>
      </c>
      <c r="AD74" s="178">
        <f t="shared" si="33"/>
        <v>162</v>
      </c>
      <c r="AE74" s="77" t="str">
        <f t="shared" si="11"/>
        <v>aws s3 cp s3://rtdc.mdm.uploadarchive.raw/RTDC4017/ "%USERPROFILE%\AppData\Local\Temp\OnboardLogs"\RTDC4017\2017-11-18 --exclude "*" --recursive --include "*20171118*" &amp; "%USERPROFILE%\Documents\GitHub\mrs-test-scripts\Headless Mode &amp; Sideloading\WalkAndUnGZ.bat" "%USERPROFILE%\AppData\Local\Temp\OnboardLogs"\RTDC4017\2017-11-18 &amp; aws s3 cp s3://rtdc.mdm.uploadarchive.raw/RTDC4017/ "%USERPROFILE%\AppData\Local\Temp\OnboardLogs"\RTDC4017\2017-11-19 --exclude "*" --recursive --include "*20171119*" &amp; "%USERPROFILE%\Documents\GitHub\mrs-test-scripts\Headless Mode &amp; Sideloading\WalkAndUnGZ.bat" "%USERPROFILE%\AppData\Local\Temp\OnboardLogs"\RTDC4017\2017-11-19</v>
      </c>
      <c r="AF74" s="74" t="str">
        <f t="shared" si="12"/>
        <v>"C:\Program Files (x86)\AstroGrep\AstroGrep.exe" /e /r /s /spath="%USERPROFILE%\AppData\Local\Temp\OnboardLogs" /stypes="app*4017*20171118*" /stext=" 19:.+((SYSTEM_STATE.+slice.+state.+changed )|(ment ac)|(multiple cpu faults)|(system.+state.+changed )|(\[timeout)|(PRM\|1\|D)|(kpr)|(kdp)|(train st.+moving)|(\|lc)|(penalty))"</v>
      </c>
      <c r="AG74" s="181" t="str">
        <f t="shared" si="34"/>
        <v>EC</v>
      </c>
      <c r="AH74" s="78" t="str">
        <f t="shared" si="19"/>
        <v>"%USERPROFILE%\Documents\GitHub\eaglep3\Utilities\RefineRTDCRunTimes.py" --tripid 162-18 --locoid 4017 --swversion DE.1.0.9.0 --startMP 204:232919 --initTime 2017-11-18T12:05:16 --startdatetime 2017-11-18T12:12:35 --delay 102 --endMP 204:209 --enddatetime 2017-11-18T12:52:11 --enforcementcount 0 &gt;&gt;%USERPROFILE%\Documents\GitHub\eaglep3-reporting\EC\2017-11-18-refined-times.txt</v>
      </c>
      <c r="AI74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{"issue":{"subject":"","project_id":79,"tracker_id":40,"status_id":1,"priority_id":2,"assigned_to_id":338,"start_date":"2017-11-18","description":"","custom_fields":[{"id":1,"name":"Subdivision","value":"EC"},{"id":4,"name":"Milepost","value":"0.0209"},{"id":17,"name":"Train ID","value":"162-18"},{"id":16,"name":"Locomotive ID","value":"4017"},{"id":130,"name":"Impact","value":""},{"id":150,"name":"Time of Event (Mountain Time)","value":"12:52:11"},{"id":151,"name":"Denver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1" t="str">
        <f t="shared" si="21"/>
        <v>start /low /b %USERPROFILE%\Documents\GitHub\eaglep3\Utilities\DownloadLogsFromS3.py --loco 4017 --day 2017-11-18</v>
      </c>
      <c r="AN74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19:52:11"},{"id":29,"name":"Sharepoint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7" t="str">
        <f t="shared" si="23"/>
        <v>https://d0f6bd738d7f1b3e5a7ca70fe4ff75f0.us-east-1.aws.found.io/app/kibana#/discover/Steve-Slow-Train-Analysis-(2080s-and-2083s)?_g=(refreshInterval:(display:Off,pause:!f,section:0,value:0),time:(from:'2017-11-18T11:05:16-0700',mode:absolute,to:'2017-11-18T13:52:11-0700'))&amp;_a=(columns:!('Message%20ID',Summary),filters:!(),index:'emp_*',interval:auto,query:(query_string:(analyze_wildcard:!t,query:'%22rtdc.l.rtdc.4017%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796</v>
      </c>
      <c r="B75" s="7">
        <v>4024</v>
      </c>
      <c r="C75" s="21" t="s">
        <v>192</v>
      </c>
      <c r="D75" s="21" t="s">
        <v>926</v>
      </c>
      <c r="E75" s="13">
        <v>43057.503657407404</v>
      </c>
      <c r="F75" s="13">
        <v>43057.479351851849</v>
      </c>
      <c r="G75" s="7">
        <v>102</v>
      </c>
      <c r="H75" s="21" t="s">
        <v>454</v>
      </c>
      <c r="I75" s="13">
        <v>43057.504108796296</v>
      </c>
      <c r="J75" s="7">
        <v>0</v>
      </c>
      <c r="K75" s="89" t="str">
        <f t="shared" si="25"/>
        <v>4023/4024</v>
      </c>
      <c r="L75" s="184" t="str">
        <f>VLOOKUP(A75,'Trips&amp;Operators'!$C$1:$G$99911,5,FALSE)</f>
        <v>SAFIEF AEIMEN</v>
      </c>
      <c r="M75" s="6">
        <f t="shared" si="26"/>
        <v>2.4756944447290152E-2</v>
      </c>
      <c r="N75" s="7">
        <f t="shared" si="35"/>
        <v>35.650000004097819</v>
      </c>
      <c r="O75" s="7"/>
      <c r="P75" s="7"/>
      <c r="Q75" s="22"/>
      <c r="R75" s="173"/>
      <c r="S75" s="220">
        <f t="shared" si="27"/>
        <v>1</v>
      </c>
      <c r="T75" s="173" t="str">
        <f t="shared" si="28"/>
        <v>NorthBound</v>
      </c>
      <c r="U75" s="19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5" t="str">
        <f t="shared" si="5"/>
        <v>https://d0f6bd738d7f1b3e5a7ca70fe4ff75f0.us-east-1.aws.found.io/app/kibana#/discover/Steve-Slow-Train-Analysis-(2080s-and-2083s)?_g=(refreshInterval:(display:Off,pause:!f,section:0,value:0),time:(from:'2017-11-18T11:05:16-0700',mode:absolute,to:'2017-11-18T13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5" s="203" t="str">
        <f>IF(AA75&lt;VLOOKUP(AG75,Variables!$AC$3:$AD$8,2,FALSE),"Y","N")</f>
        <v>N</v>
      </c>
      <c r="X75" s="203">
        <f t="shared" ref="X75:X76" si="48">VALUE(LEFT(AD75,4))-VALUE(LEFT(AD74,4))</f>
        <v>1</v>
      </c>
      <c r="Y75" s="203">
        <v>5.2900000000000003E-2</v>
      </c>
      <c r="Z75" s="203">
        <v>23.323599999999999</v>
      </c>
      <c r="AA75" s="203">
        <f t="shared" si="32"/>
        <v>23.270699999999998</v>
      </c>
      <c r="AB75" s="54" t="e">
        <f>VLOOKUP(A75,Enforcements!$C$7:$K$9,8,0)</f>
        <v>#N/A</v>
      </c>
      <c r="AC75" s="51" t="e">
        <f>VLOOKUP(A75,Enforcements!$C$7:$E$9,3,0)</f>
        <v>#N/A</v>
      </c>
      <c r="AD75" s="178">
        <f t="shared" si="33"/>
        <v>163</v>
      </c>
      <c r="AE75" s="77" t="str">
        <f t="shared" si="11"/>
        <v>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 &amp; aws s3 cp s3://rtdc.mdm.uploadarchive.raw/RTDC4024/ "%USERPROFILE%\AppData\Local\Temp\OnboardLogs"\RTDC4024\2017-11-19 --exclude "*" --recursive --include "*20171119*" &amp; "%USERPROFILE%\Documents\GitHub\mrs-test-scripts\Headless Mode &amp; Sideloading\WalkAndUnGZ.bat" "%USERPROFILE%\AppData\Local\Temp\OnboardLogs"\RTDC4024\2017-11-19</v>
      </c>
      <c r="AF75" s="74" t="str">
        <f t="shared" si="12"/>
        <v>"C:\Program Files (x86)\AstroGrep\AstroGrep.exe" /e /r /s /spath="%USERPROFILE%\AppData\Local\Temp\OnboardLogs" /stypes="app*4024*20171118*" /stext=" 19:.+((SYSTEM_STATE.+slice.+state.+changed )|(ment ac)|(multiple cpu faults)|(system.+state.+changed )|(\[timeout)|(PRM\|1\|D)|(kpr)|(kdp)|(train st.+moving)|(\|lc)|(penalty))"</v>
      </c>
      <c r="AG75" s="181" t="str">
        <f t="shared" si="34"/>
        <v>EC</v>
      </c>
      <c r="AH75" s="78" t="str">
        <f t="shared" ref="AH75" si="49">refinertdcruntimes&amp;" --tripid "&amp;A75&amp;" --locoid "&amp;B75&amp;" --swversion "&amp;C75&amp;" --startMP "&amp;D75&amp;" --initTime "&amp;TEXT(E75,"yyyy-mm-ddTHH:MM:SS")&amp;" --startdatetime "&amp;TEXT(F75,"yyyy-mm-ddTHH:MM:SS")&amp;" --delay "&amp;G75&amp;" --endMP "&amp;H75&amp;" --enddatetime "&amp;TEXT(I75,"yyyy-mm-ddTHH:MM:SS")&amp;" --enforcementcount "&amp;J75&amp;IF(outputrefinedruntimes," &gt;&gt;"&amp;RefinedRTDCRunTimesOutputFile,"")</f>
        <v>"%USERPROFILE%\Documents\GitHub\eaglep3\Utilities\RefineRTDCRunTimes.py" --tripid 163-18 --locoid 4024 --swversion DE.1.0.9.0 --startMP 204:232919 --initTime 2017-11-18T12:05:16 --startdatetime 2017-11-18T11:30:16 --delay 102 --endMP 204:209 --enddatetime 2017-11-18T12:05:55 --enforcementcount 0 &gt;&gt;%USERPROFILE%\Documents\GitHub\eaglep3-reporting\EC\2017-11-18-refined-times.txt</v>
      </c>
      <c r="AI75" s="96" t="str">
        <f t="shared" ref="AI75" si="50">"echo {""issue"":{""subject"":"""&amp;R75&amp;""",""project_id"":79,""tracker_id"":40,""status_id"":"&amp;redmine_status&amp;",""priority_id"":"&amp;redmine_priority&amp;",""assigned_to_id"":"&amp;redmine_assignee&amp;",""start_date"":"""&amp;TEXT(I75,"YYYY-mm-dd")&amp;""",""description"":"""&amp;AJ75&amp;""",""custom_fields"":[{""id"":1,""name"":""Subdivision"",""value"":"""&amp;AG75&amp;"""},{""id"":4,""name"":""Milepost"",""value"":"""&amp;Z75&amp;"""},{""id"":17,""name"":""Train ID"",""value"":"""&amp;A75&amp;"""},{""id"":16,""name"":""Locomotive ID"",""value"":"""&amp;B75&amp;"""},{""id"":130,""name"":""Impact"",""value"":"""&amp;AK75&amp;"""},{""id"":150,""name"":""Time of Event (Mountain Time)"",""value"":"""&amp;TEXT(I75,"hh:mm:ss")&amp;"""},{""id"":151,""name"":""Denver Issue ID"",""value"":"""&amp;"""},{""id"":178,""name"":""Operational Impact"",""value"":"""&amp;redmine_op_impact&amp;"""},{""id"":179,""name"":""Denver Segment Assigned"",""value"":"""&amp;AL75&amp;"""}]}}"&amp;"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{"issue":{"subject":"","project_id":79,"tracker_id":40,"status_id":1,"priority_id":2,"assigned_to_id":338,"start_date":"2017-11-18","description":"","custom_fields":[{"id":1,"name":"Subdivision","value":"EC"},{"id":4,"name":"Milepost","value":"23.3236"},{"id":17,"name":"Train ID","value":"163-18"},{"id":16,"name":"Locomotive ID","value":"4024"},{"id":130,"name":"Impact","value":""},{"id":150,"name":"Time of Event (Mountain Time)","value":"12:05:55"},{"id":151,"name":"Denver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1" t="str">
        <f t="shared" ref="AM75" si="51">"start /low /b "&amp;dls3logs&amp;" --loco "&amp;B75&amp;" --day "&amp;TEXT(F75,"YYYY-MM-DD")</f>
        <v>start /low /b %USERPROFILE%\Documents\GitHub\eaglep3\Utilities\DownloadLogsFromS3.py --loco 4024 --day 2017-11-18</v>
      </c>
      <c r="AN75" s="150" t="str">
        <f t="shared" ref="AN75" si="52">"echo {""issue"":{""subject"":"""&amp;R75&amp;""",""project_id"":30,""tracker_id"":4,""status_id"":"&amp;redmine_status_wcr&amp;",""priority_id"":"&amp;redmine_priority_wcr&amp;",""assigned_to_id"":"&amp;redmine_assignee_wcr&amp;",""start_date"":"""&amp;TEXT(I75-utc_offset/24,"YYYY-mm-dd")&amp;""",""description"":"""&amp;AJ75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19:05:55"},{"id":29,"name":"Sharepoint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7" t="str">
        <f t="shared" ref="AO75" si="53"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Message%20ID',Summary),filters:!(),index:'emp_*',interval:auto,query:"&amp;"(query_string:(analyze_wildcard:!t,query:'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-11-18T11:05:16-0700',mode:absolute,to:'2017-11-18T13:05:55-0700'))&amp;_a=(columns:!('Message%20ID',Summary),filters:!(),index:'emp_*',interval:auto,query:(query_string:(analyze_wildcard:!t,query:'%22rtdc.l.rtdc.4024%22')),sort:!(Time.ISO8601,asc))</v>
      </c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0"/>
      <c r="BI75" s="20"/>
      <c r="BJ75" s="20"/>
      <c r="BK75" s="20"/>
      <c r="BL75" s="20"/>
      <c r="BM75" s="20"/>
      <c r="BN75" s="20"/>
      <c r="BO75" s="20"/>
      <c r="BP75" s="20"/>
      <c r="BQ75" s="20"/>
      <c r="BR75" s="20"/>
      <c r="BS75" s="20"/>
      <c r="BT75" s="20"/>
      <c r="BU75" s="20"/>
      <c r="BV75" s="20"/>
      <c r="BW75" s="20"/>
      <c r="BX75" s="20"/>
      <c r="BY75" s="20"/>
      <c r="BZ75" s="20"/>
      <c r="CA75" s="20"/>
      <c r="CB75" s="20"/>
      <c r="CC75" s="20"/>
      <c r="CD75" s="20"/>
      <c r="CE75" s="20"/>
      <c r="CF75" s="20"/>
      <c r="CG75" s="20"/>
      <c r="CH75" s="20"/>
      <c r="CI75" s="20"/>
      <c r="CJ75" s="20"/>
      <c r="CK75" s="20"/>
      <c r="CL75" s="20"/>
      <c r="CM75" s="20"/>
    </row>
    <row r="76" spans="1:91" s="1" customFormat="1" x14ac:dyDescent="0.25">
      <c r="A76" s="32" t="s">
        <v>803</v>
      </c>
      <c r="B76" s="7">
        <v>4023</v>
      </c>
      <c r="C76" s="21" t="s">
        <v>192</v>
      </c>
      <c r="D76" s="21" t="s">
        <v>565</v>
      </c>
      <c r="E76" s="13">
        <v>43057.506481481483</v>
      </c>
      <c r="F76" s="13">
        <v>43057.518946759257</v>
      </c>
      <c r="G76" s="7">
        <v>118</v>
      </c>
      <c r="H76" s="21" t="s">
        <v>514</v>
      </c>
      <c r="I76" s="13">
        <v>43057.545185185183</v>
      </c>
      <c r="J76" s="7">
        <v>0</v>
      </c>
      <c r="K76" s="89" t="str">
        <f t="shared" si="25"/>
        <v>4023/4024</v>
      </c>
      <c r="L76" s="184" t="str">
        <f>VLOOKUP(A76,'Trips&amp;Operators'!$C$1:$G$99911,5,FALSE)</f>
        <v>SAFIEF AEIMEN</v>
      </c>
      <c r="M76" s="6">
        <f t="shared" si="26"/>
        <v>2.6238425925839692E-2</v>
      </c>
      <c r="N76" s="7">
        <f t="shared" si="35"/>
        <v>37.783333333209157</v>
      </c>
      <c r="O76" s="7"/>
      <c r="P76" s="7"/>
      <c r="Q76" s="22"/>
      <c r="R76" s="173"/>
      <c r="S76" s="220">
        <f t="shared" si="27"/>
        <v>1</v>
      </c>
      <c r="T76" s="173" t="str">
        <f t="shared" si="28"/>
        <v>Southbound</v>
      </c>
      <c r="U76" s="19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5" t="str">
        <f t="shared" si="5"/>
        <v>https://d0f6bd738d7f1b3e5a7ca70fe4ff75f0.us-east-1.aws.found.io/app/kibana#/discover/Steve-Slow-Train-Analysis-(2080s-and-2083s)?_g=(refreshInterval:(display:Off,pause:!f,section:0,value:0),time:(from:'2017-11-18T11:09:20-0700',mode:absolute,to:'2017-11-18T14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6" s="203" t="str">
        <f>IF(AA76&lt;VLOOKUP(AG76,Variables!$AC$3:$AD$8,2,FALSE),"Y","N")</f>
        <v>N</v>
      </c>
      <c r="X76" s="203">
        <f t="shared" si="48"/>
        <v>1</v>
      </c>
      <c r="Y76" s="203">
        <f>RIGHT(D76,LEN(D76)-4)/10000</f>
        <v>23.290199999999999</v>
      </c>
      <c r="Z76" s="203">
        <f>RIGHT(H76,LEN(H76)-4)/10000</f>
        <v>2.12E-2</v>
      </c>
      <c r="AA76" s="203">
        <f t="shared" si="32"/>
        <v>23.268999999999998</v>
      </c>
      <c r="AB76" s="54" t="e">
        <f>VLOOKUP(A76,Enforcements!$C$7:$K$9,8,0)</f>
        <v>#N/A</v>
      </c>
      <c r="AC76" s="51" t="e">
        <f>VLOOKUP(A76,Enforcements!$C$7:$E$9,3,0)</f>
        <v>#N/A</v>
      </c>
      <c r="AD76" s="178">
        <f t="shared" si="33"/>
        <v>164</v>
      </c>
      <c r="AE76" s="77" t="str">
        <f t="shared" si="11"/>
        <v>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 &amp; aws s3 cp s3://rtdc.mdm.uploadarchive.raw/RTDC4023/ "%USERPROFILE%\AppData\Local\Temp\OnboardLogs"\RTDC4023\2017-11-19 --exclude "*" --recursive --include "*20171119*" &amp; "%USERPROFILE%\Documents\GitHub\mrs-test-scripts\Headless Mode &amp; Sideloading\WalkAndUnGZ.bat" "%USERPROFILE%\AppData\Local\Temp\OnboardLogs"\RTDC4023\2017-11-19</v>
      </c>
      <c r="AF76" s="74" t="str">
        <f t="shared" si="12"/>
        <v>"C:\Program Files (x86)\AstroGrep\AstroGrep.exe" /e /r /s /spath="%USERPROFILE%\AppData\Local\Temp\OnboardLogs" /stypes="app*4023*20171118*" /stext=" 20:.+((SYSTEM_STATE.+slice.+state.+changed )|(ment ac)|(multiple cpu faults)|(system.+state.+changed )|(\[timeout)|(PRM\|1\|D)|(kpr)|(kdp)|(train st.+moving)|(\|lc)|(penalty))"</v>
      </c>
      <c r="AG76" s="181" t="str">
        <f t="shared" si="34"/>
        <v>EC</v>
      </c>
      <c r="AH76" s="78" t="str">
        <f t="shared" si="19"/>
        <v>"%USERPROFILE%\Documents\GitHub\eaglep3\Utilities\RefineRTDCRunTimes.py" --tripid 164-18 --locoid 4023 --swversion DE.1.0.9.0 --startMP 204:232902 --initTime 2017-11-18T12:09:20 --startdatetime 2017-11-18T12:27:17 --delay 118 --endMP 204:212 --enddatetime 2017-11-18T13:05:04 --enforcementcount 0 &gt;&gt;%USERPROFILE%\Documents\GitHub\eaglep3-reporting\EC\2017-11-18-refined-times.txt</v>
      </c>
      <c r="AI76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{"issue":{"subject":"","project_id":79,"tracker_id":40,"status_id":1,"priority_id":2,"assigned_to_id":338,"start_date":"2017-11-18","description":"","custom_fields":[{"id":1,"name":"Subdivision","value":"EC"},{"id":4,"name":"Milepost","value":"0.0212"},{"id":17,"name":"Train ID","value":"164-18"},{"id":16,"name":"Locomotive ID","value":"4023"},{"id":130,"name":"Impact","value":""},{"id":150,"name":"Time of Event (Mountain Time)","value":"13:05:04"},{"id":151,"name":"Denver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1" t="str">
        <f t="shared" si="21"/>
        <v>start /low /b %USERPROFILE%\Documents\GitHub\eaglep3\Utilities\DownloadLogsFromS3.py --loco 4023 --day 2017-11-18</v>
      </c>
      <c r="AN76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20:05:04"},{"id":29,"name":"Sharepoint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7" t="str">
        <f t="shared" si="23"/>
        <v>https://d0f6bd738d7f1b3e5a7ca70fe4ff75f0.us-east-1.aws.found.io/app/kibana#/discover/Steve-Slow-Train-Analysis-(2080s-and-2083s)?_g=(refreshInterval:(display:Off,pause:!f,section:0,value:0),time:(from:'2017-11-18T11:09:20-0700',mode:absolute,to:'2017-11-18T14:05:04-0700'))&amp;_a=(columns:!('Message%20ID',Summary),filters:!(),index:'emp_*',interval:auto,query:(query_string:(analyze_wildcard:!t,query:'%22rtdc.l.rtdc.4023%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798</v>
      </c>
      <c r="B77" s="7">
        <v>4026</v>
      </c>
      <c r="C77" s="21" t="s">
        <v>192</v>
      </c>
      <c r="D77" s="21" t="s">
        <v>511</v>
      </c>
      <c r="E77" s="13">
        <v>43057.484907407408</v>
      </c>
      <c r="F77" s="13">
        <v>43057.489756944444</v>
      </c>
      <c r="G77" s="7">
        <v>58</v>
      </c>
      <c r="H77" s="21" t="s">
        <v>952</v>
      </c>
      <c r="I77" s="13">
        <v>43057.513449074075</v>
      </c>
      <c r="J77" s="7">
        <v>0</v>
      </c>
      <c r="K77" s="89" t="str">
        <f t="shared" ref="K77:K108" si="54">IF(ISEVEN(B77),(B77-1)&amp;"/"&amp;B77,B77&amp;"/"&amp;(B77+1))</f>
        <v>4025/4026</v>
      </c>
      <c r="L77" s="184" t="str">
        <f>VLOOKUP(A77,'Trips&amp;Operators'!$C$1:$G$99911,5,FALSE)</f>
        <v>GUZMAN DANNY</v>
      </c>
      <c r="M77" s="6">
        <f t="shared" ref="M77:M108" si="55">I77-F77</f>
        <v>2.3692129630944692E-2</v>
      </c>
      <c r="N77" s="7">
        <f t="shared" si="35"/>
        <v>34.116666668560356</v>
      </c>
      <c r="O77" s="7"/>
      <c r="P77" s="7"/>
      <c r="Q77" s="22"/>
      <c r="R77" s="173"/>
      <c r="S77" s="220">
        <f t="shared" ref="S77:S108" si="56">1/IF(AG77="EC",12,1)*SUM(U77:U77)</f>
        <v>1</v>
      </c>
      <c r="T77" s="173" t="str">
        <f t="shared" ref="T77:T108" si="57">IF(ISEVEN(LEFT(AD77,4)),"Southbound","NorthBound")</f>
        <v>NorthBound</v>
      </c>
      <c r="U77" s="19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5" t="str">
        <f t="shared" ref="V77:V140" si="5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-18T10:38:16-0700',mode:absolute,to:'2017-11-18T13:19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7" s="203" t="str">
        <f>IF(AA77&lt;VLOOKUP(AG77,Variables!$AC$3:$AD$8,2,FALSE),"Y","N")</f>
        <v>N</v>
      </c>
      <c r="X77" s="203">
        <f>VALUE(LEFT(AD77,4))-VALUE(LEFT(AD76,4))</f>
        <v>1</v>
      </c>
      <c r="Y77" s="203">
        <f>RIGHT(D77,LEN(D77)-4)/10000</f>
        <v>5.2600000000000001E-2</v>
      </c>
      <c r="Z77" s="203">
        <f>RIGHT(H77,LEN(H77)-4)/10000</f>
        <v>23.3203</v>
      </c>
      <c r="AA77" s="203">
        <f t="shared" ref="AA77:AA108" si="59">ABS(Z77-Y77)</f>
        <v>23.267699999999998</v>
      </c>
      <c r="AB77" s="54" t="e">
        <f>VLOOKUP(A77,Enforcements!$C$7:$K$9,8,0)</f>
        <v>#N/A</v>
      </c>
      <c r="AC77" s="51" t="e">
        <f>VLOOKUP(A77,Enforcements!$C$7:$E$9,3,0)</f>
        <v>#N/A</v>
      </c>
      <c r="AD77" s="178">
        <f t="shared" ref="AD77:AD108" si="60">VALUE(LEFT(A77,LEN(A77)-3))</f>
        <v>165</v>
      </c>
      <c r="AE77" s="77" t="str">
        <f t="shared" ref="AE77:AE140" si="6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s3://rtdc.mdm.uploadarchive.raw/RTDC4026/ "%USERPROFILE%\AppData\Local\Temp\OnboardLogs"\RTDC4026\2017-11-18 --exclude "*" --recursive --include "*20171118*" &amp; "%USERPROFILE%\Documents\GitHub\mrs-test-scripts\Headless Mode &amp; Sideloading\WalkAndUnGZ.bat" "%USERPROFILE%\AppData\Local\Temp\OnboardLogs"\RTDC4026\2017-11-18 &amp; aws s3 cp s3://rtdc.mdm.uploadarchive.raw/RTDC4026/ "%USERPROFILE%\AppData\Local\Temp\OnboardLogs"\RTDC4026\2017-11-19 --exclude "*" --recursive --include "*20171119*" &amp; "%USERPROFILE%\Documents\GitHub\mrs-test-scripts\Headless Mode &amp; Sideloading\WalkAndUnGZ.bat" "%USERPROFILE%\AppData\Local\Temp\OnboardLogs"\RTDC4026\2017-11-19</v>
      </c>
      <c r="AF77" s="74" t="str">
        <f t="shared" ref="AF77:AF140" si="62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/stypes="app*4026*20171118*" /stext=" 19:.+((SYSTEM_STATE.+slice.+state.+changed )|(ment ac)|(multiple cpu faults)|(system.+state.+changed )|(\[timeout)|(PRM\|1\|D)|(kpr)|(kdp)|(train st.+moving)|(\|lc)|(penalty))"</v>
      </c>
      <c r="AG77" s="181" t="str">
        <f t="shared" ref="AG77:AG108" si="63">DetSubdiv(A77)</f>
        <v>EC</v>
      </c>
      <c r="AH77" s="78" t="str">
        <f t="shared" si="19"/>
        <v>"%USERPROFILE%\Documents\GitHub\eaglep3\Utilities\RefineRTDCRunTimes.py" --tripid 165-18 --locoid 4026 --swversion DE.1.0.9.0 --startMP 204:526 --initTime 2017-11-18T11:38:16 --startdatetime 2017-11-18T11:45:15 --delay 58 --endMP 204:233203 --enddatetime 2017-11-18T12:19:22 --enforcementcount 0 &gt;&gt;%USERPROFILE%\Documents\GitHub\eaglep3-reporting\EC\2017-11-18-refined-times.txt</v>
      </c>
      <c r="AI77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{"issue":{"subject":"","project_id":79,"tracker_id":40,"status_id":1,"priority_id":2,"assigned_to_id":338,"start_date":"2017-11-18","description":"","custom_fields":[{"id":1,"name":"Subdivision","value":"EC"},{"id":4,"name":"Milepost","value":"23.3203"},{"id":17,"name":"Train ID","value":"165-18"},{"id":16,"name":"Locomotive ID","value":"4026"},{"id":130,"name":"Impact","value":""},{"id":150,"name":"Time of Event (Mountain Time)","value":"12:19:22"},{"id":151,"name":"Denver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1" t="str">
        <f t="shared" si="21"/>
        <v>start /low /b %USERPROFILE%\Documents\GitHub\eaglep3\Utilities\DownloadLogsFromS3.py --loco 4026 --day 2017-11-18</v>
      </c>
      <c r="AN77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19:19:22"},{"id":29,"name":"Sharepoint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7" t="str">
        <f t="shared" si="23"/>
        <v>https://d0f6bd738d7f1b3e5a7ca70fe4ff75f0.us-east-1.aws.found.io/app/kibana#/discover/Steve-Slow-Train-Analysis-(2080s-and-2083s)?_g=(refreshInterval:(display:Off,pause:!f,section:0,value:0),time:(from:'2017-11-18T10:38:16-0700',mode:absolute,to:'2017-11-18T13:19:22-0700'))&amp;_a=(columns:!('Message%20ID',Summary),filters:!(),index:'emp_*',interval:auto,query:(query_string:(analyze_wildcard:!t,query:'%22rtdc.l.rtdc.4026%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804</v>
      </c>
      <c r="B78" s="7">
        <v>4025</v>
      </c>
      <c r="C78" s="21" t="s">
        <v>192</v>
      </c>
      <c r="D78" s="21" t="s">
        <v>511</v>
      </c>
      <c r="E78" s="13">
        <v>43057.484907407408</v>
      </c>
      <c r="F78" s="13">
        <v>43057.529340277775</v>
      </c>
      <c r="G78" s="7">
        <v>58</v>
      </c>
      <c r="H78" s="21" t="s">
        <v>952</v>
      </c>
      <c r="I78" s="13">
        <v>43057.554988425924</v>
      </c>
      <c r="J78" s="7">
        <v>0</v>
      </c>
      <c r="K78" s="89" t="str">
        <f t="shared" si="54"/>
        <v>4025/4026</v>
      </c>
      <c r="L78" s="184" t="str">
        <f>VLOOKUP(A78,'Trips&amp;Operators'!$C$1:$G$99911,5,FALSE)</f>
        <v>GUZMAN DANNY</v>
      </c>
      <c r="M78" s="6">
        <f t="shared" si="55"/>
        <v>2.5648148148320615E-2</v>
      </c>
      <c r="N78" s="7">
        <f t="shared" si="35"/>
        <v>36.933333333581686</v>
      </c>
      <c r="O78" s="7"/>
      <c r="P78" s="7"/>
      <c r="Q78" s="22"/>
      <c r="R78" s="173"/>
      <c r="S78" s="220">
        <f t="shared" si="56"/>
        <v>1</v>
      </c>
      <c r="T78" s="173" t="str">
        <f t="shared" si="57"/>
        <v>Southbound</v>
      </c>
      <c r="U78" s="19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5" t="str">
        <f t="shared" si="58"/>
        <v>https://d0f6bd738d7f1b3e5a7ca70fe4ff75f0.us-east-1.aws.found.io/app/kibana#/discover/Steve-Slow-Train-Analysis-(2080s-and-2083s)?_g=(refreshInterval:(display:Off,pause:!f,section:0,value:0),time:(from:'2017-11-18T10:38:16-0700',mode:absolute,to:'2017-11-18T14:19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8" s="203" t="str">
        <f>IF(AA78&lt;VLOOKUP(AG78,Variables!$AC$3:$AD$8,2,FALSE),"Y","N")</f>
        <v>N</v>
      </c>
      <c r="X78" s="203">
        <f>VALUE(LEFT(AD78,4))-VALUE(LEFT(AD77,4))</f>
        <v>1</v>
      </c>
      <c r="Y78" s="203">
        <v>23.290199999999999</v>
      </c>
      <c r="Z78" s="203">
        <v>2.12E-2</v>
      </c>
      <c r="AA78" s="203">
        <f t="shared" si="59"/>
        <v>23.268999999999998</v>
      </c>
      <c r="AB78" s="54" t="e">
        <f>VLOOKUP(A78,Enforcements!$C$7:$K$9,8,0)</f>
        <v>#N/A</v>
      </c>
      <c r="AC78" s="51" t="e">
        <f>VLOOKUP(A78,Enforcements!$C$7:$E$9,3,0)</f>
        <v>#N/A</v>
      </c>
      <c r="AD78" s="178">
        <f t="shared" si="60"/>
        <v>166</v>
      </c>
      <c r="AE78" s="77" t="str">
        <f t="shared" si="61"/>
        <v>aws s3 cp s3://rtdc.mdm.uploadarchive.raw/RTDC4025/ "%USERPROFILE%\AppData\Local\Temp\OnboardLogs"\RTDC4025\2017-11-18 --exclude "*" --recursive --include "*20171118*" &amp; "%USERPROFILE%\Documents\GitHub\mrs-test-scripts\Headless Mode &amp; Sideloading\WalkAndUnGZ.bat" "%USERPROFILE%\AppData\Local\Temp\OnboardLogs"\RTDC4025\2017-11-18 &amp; aws s3 cp s3://rtdc.mdm.uploadarchive.raw/RTDC4025/ "%USERPROFILE%\AppData\Local\Temp\OnboardLogs"\RTDC4025\2017-11-19 --exclude "*" --recursive --include "*20171119*" &amp; "%USERPROFILE%\Documents\GitHub\mrs-test-scripts\Headless Mode &amp; Sideloading\WalkAndUnGZ.bat" "%USERPROFILE%\AppData\Local\Temp\OnboardLogs"\RTDC4025\2017-11-19</v>
      </c>
      <c r="AF78" s="74" t="str">
        <f t="shared" si="62"/>
        <v>"C:\Program Files (x86)\AstroGrep\AstroGrep.exe" /e /r /s /spath="%USERPROFILE%\AppData\Local\Temp\OnboardLogs" /stypes="app*4025*20171118*" /stext=" 20:.+((SYSTEM_STATE.+slice.+state.+changed )|(ment ac)|(multiple cpu faults)|(system.+state.+changed )|(\[timeout)|(PRM\|1\|D)|(kpr)|(kdp)|(train st.+moving)|(\|lc)|(penalty))"</v>
      </c>
      <c r="AG78" s="181" t="str">
        <f t="shared" si="63"/>
        <v>EC</v>
      </c>
      <c r="AH78" s="78" t="str">
        <f t="shared" ref="AH78" si="6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166-18 --locoid 4025 --swversion DE.1.0.9.0 --startMP 204:526 --initTime 2017-11-18T11:38:16 --startdatetime 2017-11-18T12:42:15 --delay 58 --endMP 204:233203 --enddatetime 2017-11-18T13:19:11 --enforcementcount 0 &gt;&gt;%USERPROFILE%\Documents\GitHub\eaglep3-reporting\EC\2017-11-18-refined-times.txt</v>
      </c>
      <c r="AI78" s="96" t="str">
        <f t="shared" ref="AI78" si="6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{"issue":{"subject":"","project_id":79,"tracker_id":40,"status_id":1,"priority_id":2,"assigned_to_id":338,"start_date":"2017-11-18","description":"","custom_fields":[{"id":1,"name":"Subdivision","value":"EC"},{"id":4,"name":"Milepost","value":"0.0212"},{"id":17,"name":"Train ID","value":"166-18"},{"id":16,"name":"Locomotive ID","value":"4025"},{"id":130,"name":"Impact","value":""},{"id":150,"name":"Time of Event (Mountain Time)","value":"13:19:11"},{"id":151,"name":"Denver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1" t="str">
        <f t="shared" ref="AM78" si="66">"start /low /b "&amp;dls3logs&amp;" --loco "&amp;B78&amp;" --day "&amp;TEXT(F78,"YYYY-MM-DD")</f>
        <v>start /low /b %USERPROFILE%\Documents\GitHub\eaglep3\Utilities\DownloadLogsFromS3.py --loco 4025 --day 2017-11-18</v>
      </c>
      <c r="AN78" s="150" t="str">
        <f t="shared" ref="AN78" si="67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20:19:11"},{"id":29,"name":"Sharepoint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7" t="str">
        <f t="shared" ref="AO78" si="68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-11-18T10:38:16-0700',mode:absolute,to:'2017-11-18T14:19:11-0700'))&amp;_a=(columns:!('Message%20ID',Summary),filters:!(),index:'emp_*',interval:auto,query:(query_string:(analyze_wildcard:!t,query:'%22rtdc.l.rtdc.4025%22')),sort:!(Time.ISO8601,asc))</v>
      </c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0"/>
      <c r="BI78" s="20"/>
      <c r="BJ78" s="20"/>
      <c r="BK78" s="20"/>
      <c r="BL78" s="20"/>
      <c r="BM78" s="20"/>
      <c r="BN78" s="20"/>
      <c r="BO78" s="20"/>
      <c r="BP78" s="20"/>
      <c r="BQ78" s="20"/>
      <c r="BR78" s="20"/>
      <c r="BS78" s="20"/>
      <c r="BT78" s="20"/>
      <c r="BU78" s="20"/>
      <c r="BV78" s="20"/>
      <c r="BW78" s="20"/>
      <c r="BX78" s="20"/>
      <c r="BY78" s="20"/>
      <c r="BZ78" s="20"/>
      <c r="CA78" s="20"/>
      <c r="CB78" s="20"/>
      <c r="CC78" s="20"/>
      <c r="CD78" s="20"/>
      <c r="CE78" s="20"/>
      <c r="CF78" s="20"/>
      <c r="CG78" s="20"/>
      <c r="CH78" s="20"/>
      <c r="CI78" s="20"/>
      <c r="CJ78" s="20"/>
      <c r="CK78" s="20"/>
      <c r="CL78" s="20"/>
      <c r="CM78" s="20"/>
    </row>
    <row r="79" spans="1:91" s="1" customFormat="1" x14ac:dyDescent="0.25">
      <c r="A79" s="32" t="s">
        <v>800</v>
      </c>
      <c r="B79" s="7">
        <v>4008</v>
      </c>
      <c r="C79" s="21" t="s">
        <v>192</v>
      </c>
      <c r="D79" s="21" t="s">
        <v>513</v>
      </c>
      <c r="E79" s="13">
        <v>43057.496319444443</v>
      </c>
      <c r="F79" s="13">
        <v>43057.500173611108</v>
      </c>
      <c r="G79" s="7">
        <v>61</v>
      </c>
      <c r="H79" s="21" t="s">
        <v>489</v>
      </c>
      <c r="I79" s="13">
        <v>43057.526064814818</v>
      </c>
      <c r="J79" s="7">
        <v>0</v>
      </c>
      <c r="K79" s="89" t="str">
        <f t="shared" si="54"/>
        <v>4007/4008</v>
      </c>
      <c r="L79" s="184" t="str">
        <f>VLOOKUP(A79,'Trips&amp;Operators'!$C$1:$G$99911,5,FALSE)</f>
        <v>BADERTSCHER DIANE</v>
      </c>
      <c r="M79" s="6">
        <f t="shared" si="55"/>
        <v>2.5891203709761612E-2</v>
      </c>
      <c r="N79" s="7">
        <f t="shared" si="35"/>
        <v>37.283333342056721</v>
      </c>
      <c r="O79" s="7"/>
      <c r="P79" s="7"/>
      <c r="Q79" s="22"/>
      <c r="R79" s="173"/>
      <c r="S79" s="220">
        <f t="shared" si="56"/>
        <v>1</v>
      </c>
      <c r="T79" s="173" t="str">
        <f t="shared" si="57"/>
        <v>NorthBound</v>
      </c>
      <c r="U79" s="19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5" t="str">
        <f t="shared" si="58"/>
        <v>https://d0f6bd738d7f1b3e5a7ca70fe4ff75f0.us-east-1.aws.found.io/app/kibana#/discover/Steve-Slow-Train-Analysis-(2080s-and-2083s)?_g=(refreshInterval:(display:Off,pause:!f,section:0,value:0),time:(from:'2017-11-18T10:54:42-0700',mode:absolute,to:'2017-11-18T13:37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9" s="203" t="str">
        <f>IF(AA79&lt;VLOOKUP(AG79,Variables!$AC$3:$AD$8,2,FALSE),"Y","N")</f>
        <v>N</v>
      </c>
      <c r="X79" s="203">
        <f t="shared" ref="X79:X82" si="69">VALUE(LEFT(AD79,4))-VALUE(LEFT(AD78,4))</f>
        <v>1</v>
      </c>
      <c r="Y79" s="203">
        <f t="shared" ref="Y79:Y105" si="70">RIGHT(D79,LEN(D79)-4)/10000</f>
        <v>5.1299999999999998E-2</v>
      </c>
      <c r="Z79" s="203">
        <f t="shared" ref="Z79:Z105" si="71">RIGHT(H79,LEN(H79)-4)/10000</f>
        <v>23.325099999999999</v>
      </c>
      <c r="AA79" s="203">
        <f t="shared" si="59"/>
        <v>23.273799999999998</v>
      </c>
      <c r="AB79" s="54" t="e">
        <f>VLOOKUP(A79,Enforcements!$C$7:$K$9,8,0)</f>
        <v>#N/A</v>
      </c>
      <c r="AC79" s="51" t="e">
        <f>VLOOKUP(A79,Enforcements!$C$7:$E$9,3,0)</f>
        <v>#N/A</v>
      </c>
      <c r="AD79" s="178">
        <f t="shared" si="60"/>
        <v>167</v>
      </c>
      <c r="AE79" s="77" t="str">
        <f t="shared" si="61"/>
        <v>aws s3 cp s3://rtdc.mdm.uploadarchive.raw/RTDC4008/ "%USERPROFILE%\AppData\Local\Temp\OnboardLogs"\RTDC4008\2017-11-18 --exclude "*" --recursive --include "*20171118*" &amp; "%USERPROFILE%\Documents\GitHub\mrs-test-scripts\Headless Mode &amp; Sideloading\WalkAndUnGZ.bat" "%USERPROFILE%\AppData\Local\Temp\OnboardLogs"\RTDC4008\2017-11-18 &amp; aws s3 cp s3://rtdc.mdm.uploadarchive.raw/RTDC4008/ "%USERPROFILE%\AppData\Local\Temp\OnboardLogs"\RTDC4008\2017-11-19 --exclude "*" --recursive --include "*20171119*" &amp; "%USERPROFILE%\Documents\GitHub\mrs-test-scripts\Headless Mode &amp; Sideloading\WalkAndUnGZ.bat" "%USERPROFILE%\AppData\Local\Temp\OnboardLogs"\RTDC4008\2017-11-19</v>
      </c>
      <c r="AF79" s="74" t="str">
        <f t="shared" si="62"/>
        <v>"C:\Program Files (x86)\AstroGrep\AstroGrep.exe" /e /r /s /spath="%USERPROFILE%\AppData\Local\Temp\OnboardLogs" /stypes="app*4008*20171118*" /stext=" 19:.+((SYSTEM_STATE.+slice.+state.+changed )|(ment ac)|(multiple cpu faults)|(system.+state.+changed )|(\[timeout)|(PRM\|1\|D)|(kpr)|(kdp)|(train st.+moving)|(\|lc)|(penalty))"</v>
      </c>
      <c r="AG79" s="181" t="str">
        <f t="shared" si="63"/>
        <v>EC</v>
      </c>
      <c r="AH79" s="78" t="str">
        <f t="shared" si="19"/>
        <v>"%USERPROFILE%\Documents\GitHub\eaglep3\Utilities\RefineRTDCRunTimes.py" --tripid 167-18 --locoid 4008 --swversion DE.1.0.9.0 --startMP 204:513 --initTime 2017-11-18T11:54:42 --startdatetime 2017-11-18T12:00:15 --delay 61 --endMP 204:233251 --enddatetime 2017-11-18T12:37:32 --enforcementcount 0 &gt;&gt;%USERPROFILE%\Documents\GitHub\eaglep3-reporting\EC\2017-11-18-refined-times.txt</v>
      </c>
      <c r="AI79" s="96" t="str">
        <f t="shared" si="20"/>
        <v>echo {"issue":{"subject":"","project_id":79,"tracker_id":40,"status_id":1,"priority_id":2,"assigned_to_id":338,"start_date":"2017-11-18","description":"","custom_fields":[{"id":1,"name":"Subdivision","value":"EC"},{"id":4,"name":"Milepost","value":"23.3251"},{"id":17,"name":"Train ID","value":"167-18"},{"id":16,"name":"Locomotive ID","value":"4008"},{"id":130,"name":"Impact","value":""},{"id":150,"name":"Time of Event (Mountain Time)","value":"12:37:32"},{"id":151,"name":"Denver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1" t="str">
        <f t="shared" si="21"/>
        <v>start /low /b %USERPROFILE%\Documents\GitHub\eaglep3\Utilities\DownloadLogsFromS3.py --loco 4008 --day 2017-11-18</v>
      </c>
      <c r="AN79" s="150" t="str">
        <f t="shared" si="22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19:37:32"},{"id":29,"name":"Sharepoint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7" t="str">
        <f t="shared" si="23"/>
        <v>https://d0f6bd738d7f1b3e5a7ca70fe4ff75f0.us-east-1.aws.found.io/app/kibana#/discover/Steve-Slow-Train-Analysis-(2080s-and-2083s)?_g=(refreshInterval:(display:Off,pause:!f,section:0,value:0),time:(from:'2017-11-18T10:54:42-0700',mode:absolute,to:'2017-11-18T13:37:32-0700'))&amp;_a=(columns:!('Message%20ID',Summary),filters:!(),index:'emp_*',interval:auto,query:(query_string:(analyze_wildcard:!t,query:'%22rtdc.l.rtdc.4008%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808</v>
      </c>
      <c r="B80" s="7">
        <v>4007</v>
      </c>
      <c r="C80" s="21" t="s">
        <v>192</v>
      </c>
      <c r="D80" s="21" t="s">
        <v>630</v>
      </c>
      <c r="E80" s="13">
        <v>43057.536759259259</v>
      </c>
      <c r="F80" s="13">
        <v>43057.539756944447</v>
      </c>
      <c r="G80" s="7">
        <v>59</v>
      </c>
      <c r="H80" s="21" t="s">
        <v>625</v>
      </c>
      <c r="I80" s="13">
        <v>43057.566874999997</v>
      </c>
      <c r="J80" s="7">
        <v>0</v>
      </c>
      <c r="K80" s="89" t="str">
        <f t="shared" si="54"/>
        <v>4007/4008</v>
      </c>
      <c r="L80" s="184" t="str">
        <f>VLOOKUP(A80,'Trips&amp;Operators'!$C$1:$G$99911,5,FALSE)</f>
        <v>BADERTSCHER DIANE</v>
      </c>
      <c r="M80" s="6">
        <f t="shared" si="55"/>
        <v>2.7118055550090503E-2</v>
      </c>
      <c r="N80" s="7">
        <f t="shared" si="35"/>
        <v>39.049999992130324</v>
      </c>
      <c r="O80" s="7"/>
      <c r="P80" s="7"/>
      <c r="Q80" s="22"/>
      <c r="R80" s="173"/>
      <c r="S80" s="220">
        <f t="shared" si="56"/>
        <v>1</v>
      </c>
      <c r="T80" s="173" t="str">
        <f t="shared" si="57"/>
        <v>Southbound</v>
      </c>
      <c r="U80" s="19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5" t="str">
        <f t="shared" si="58"/>
        <v>https://d0f6bd738d7f1b3e5a7ca70fe4ff75f0.us-east-1.aws.found.io/app/kibana#/discover/Steve-Slow-Train-Analysis-(2080s-and-2083s)?_g=(refreshInterval:(display:Off,pause:!f,section:0,value:0),time:(from:'2017-11-18T11:52:56-0700',mode:absolute,to:'2017-11-18T14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0" s="203" t="str">
        <f>IF(AA80&lt;VLOOKUP(AG80,Variables!$AC$3:$AD$8,2,FALSE),"Y","N")</f>
        <v>N</v>
      </c>
      <c r="X80" s="203">
        <f t="shared" si="69"/>
        <v>1</v>
      </c>
      <c r="Y80" s="203">
        <f t="shared" si="70"/>
        <v>23.2928</v>
      </c>
      <c r="Z80" s="203">
        <f t="shared" si="71"/>
        <v>2.01E-2</v>
      </c>
      <c r="AA80" s="203">
        <f t="shared" si="59"/>
        <v>23.2727</v>
      </c>
      <c r="AB80" s="54" t="e">
        <f>VLOOKUP(A80,Enforcements!$C$7:$K$9,8,0)</f>
        <v>#N/A</v>
      </c>
      <c r="AC80" s="51" t="e">
        <f>VLOOKUP(A80,Enforcements!$C$7:$E$9,3,0)</f>
        <v>#N/A</v>
      </c>
      <c r="AD80" s="178">
        <f t="shared" si="60"/>
        <v>168</v>
      </c>
      <c r="AE80" s="77" t="str">
        <f t="shared" si="61"/>
        <v>aws s3 cp s3://rtdc.mdm.uploadarchive.raw/RTDC4007/ "%USERPROFILE%\AppData\Local\Temp\OnboardLogs"\RTDC4007\2017-11-18 --exclude "*" --recursive --include "*20171118*" &amp; "%USERPROFILE%\Documents\GitHub\mrs-test-scripts\Headless Mode &amp; Sideloading\WalkAndUnGZ.bat" "%USERPROFILE%\AppData\Local\Temp\OnboardLogs"\RTDC4007\2017-11-18 &amp; aws s3 cp s3://rtdc.mdm.uploadarchive.raw/RTDC4007/ "%USERPROFILE%\AppData\Local\Temp\OnboardLogs"\RTDC4007\2017-11-19 --exclude "*" --recursive --include "*20171119*" &amp; "%USERPROFILE%\Documents\GitHub\mrs-test-scripts\Headless Mode &amp; Sideloading\WalkAndUnGZ.bat" "%USERPROFILE%\AppData\Local\Temp\OnboardLogs"\RTDC4007\2017-11-19</v>
      </c>
      <c r="AF80" s="74" t="str">
        <f t="shared" si="62"/>
        <v>"C:\Program Files (x86)\AstroGrep\AstroGrep.exe" /e /r /s /spath="%USERPROFILE%\AppData\Local\Temp\OnboardLogs" /stypes="app*4007*20171118*" /stext=" 20:.+((SYSTEM_STATE.+slice.+state.+changed )|(ment ac)|(multiple cpu faults)|(system.+state.+changed )|(\[timeout)|(PRM\|1\|D)|(kpr)|(kdp)|(train st.+moving)|(\|lc)|(penalty))"</v>
      </c>
      <c r="AG80" s="181" t="str">
        <f t="shared" si="63"/>
        <v>EC</v>
      </c>
      <c r="AH80" s="78" t="str">
        <f t="shared" ref="AH80:AH143" si="72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168-18 --locoid 4007 --swversion DE.1.0.9.0 --startMP 204:232928 --initTime 2017-11-18T12:52:56 --startdatetime 2017-11-18T12:57:15 --delay 59 --endMP 204:201 --enddatetime 2017-11-18T13:36:18 --enforcementcount 0 &gt;&gt;%USERPROFILE%\Documents\GitHub\eaglep3-reporting\EC\2017-11-18-refined-times.txt</v>
      </c>
      <c r="AI80" s="96" t="str">
        <f t="shared" ref="AI80:AI143" si="73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{"issue":{"subject":"","project_id":79,"tracker_id":40,"status_id":1,"priority_id":2,"assigned_to_id":338,"start_date":"2017-11-18","description":"","custom_fields":[{"id":1,"name":"Subdivision","value":"EC"},{"id":4,"name":"Milepost","value":"0.0201"},{"id":17,"name":"Train ID","value":"168-18"},{"id":16,"name":"Locomotive ID","value":"4007"},{"id":130,"name":"Impact","value":""},{"id":150,"name":"Time of Event (Mountain Time)","value":"13:36:18"},{"id":151,"name":"Denver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1" t="str">
        <f t="shared" ref="AM80:AM143" si="74">"start /low /b "&amp;dls3logs&amp;" --loco "&amp;B80&amp;" --day "&amp;TEXT(F80,"YYYY-MM-DD")</f>
        <v>start /low /b %USERPROFILE%\Documents\GitHub\eaglep3\Utilities\DownloadLogsFromS3.py --loco 4007 --day 2017-11-18</v>
      </c>
      <c r="AN80" s="150" t="str">
        <f t="shared" ref="AN80:AN143" si="75">"echo {""issue"":{""subject"":"""&amp;R80&amp;""",""project_id"":30,""tracker_id"":4,""status_id"":"&amp;redmine_status_wcr&amp;",""priority_id"":"&amp;redmine_priority_wcr&amp;",""assigned_to_id"":"&amp;redmine_assignee_wcr&amp;",""start_date"":"""&amp;TEXT(I80-utc_offset/24,"YYYY-mm-dd")&amp;""",""description"":"""&amp;AJ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20:36:18"},{"id":29,"name":"Sharepoint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7" t="str">
        <f t="shared" ref="AO80:AO143" si="76"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Message%20ID',Summary),filters:!(),index:'emp_*',interval:auto,query:"&amp;"(query_string:(analyze_wildcard:!t,query:'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-11-18T11:52:56-0700',mode:absolute,to:'2017-11-18T14:36:18-0700'))&amp;_a=(columns:!('Message%20ID',Summary),filters:!(),index:'emp_*',interval:auto,query:(query_string:(analyze_wildcard:!t,query:'%22rtdc.l.rtdc.4007%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802</v>
      </c>
      <c r="B81" s="7">
        <v>4022</v>
      </c>
      <c r="C81" s="21" t="s">
        <v>192</v>
      </c>
      <c r="D81" s="21" t="s">
        <v>457</v>
      </c>
      <c r="E81" s="13">
        <v>43057.506354166668</v>
      </c>
      <c r="F81" s="13">
        <v>43057.510752314818</v>
      </c>
      <c r="G81" s="7">
        <v>78</v>
      </c>
      <c r="H81" s="21" t="s">
        <v>644</v>
      </c>
      <c r="I81" s="13">
        <v>43057.535671296297</v>
      </c>
      <c r="J81" s="7">
        <v>0</v>
      </c>
      <c r="K81" s="89" t="str">
        <f t="shared" si="54"/>
        <v>4021/4022</v>
      </c>
      <c r="L81" s="184" t="str">
        <f>VLOOKUP(A81,'Trips&amp;Operators'!$C$1:$G$99911,5,FALSE)</f>
        <v>BERLING GARY</v>
      </c>
      <c r="M81" s="6">
        <f t="shared" si="55"/>
        <v>2.491898147854954E-2</v>
      </c>
      <c r="N81" s="7">
        <f t="shared" si="35"/>
        <v>35.883333329111338</v>
      </c>
      <c r="O81" s="7"/>
      <c r="P81" s="7"/>
      <c r="Q81" s="22"/>
      <c r="R81" s="173"/>
      <c r="S81" s="220">
        <f t="shared" si="56"/>
        <v>1</v>
      </c>
      <c r="T81" s="173" t="str">
        <f t="shared" si="57"/>
        <v>NorthBound</v>
      </c>
      <c r="U81" s="19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5" t="str">
        <f t="shared" si="58"/>
        <v>https://d0f6bd738d7f1b3e5a7ca70fe4ff75f0.us-east-1.aws.found.io/app/kibana#/discover/Steve-Slow-Train-Analysis-(2080s-and-2083s)?_g=(refreshInterval:(display:Off,pause:!f,section:0,value:0),time:(from:'2017-11-18T11:09:09-0700',mode:absolute,to:'2017-11-18T13:51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1" s="203" t="str">
        <f>IF(AA81&lt;VLOOKUP(AG81,Variables!$AC$3:$AD$8,2,FALSE),"Y","N")</f>
        <v>N</v>
      </c>
      <c r="X81" s="203">
        <f t="shared" si="69"/>
        <v>1</v>
      </c>
      <c r="Y81" s="203">
        <f t="shared" si="70"/>
        <v>5.33E-2</v>
      </c>
      <c r="Z81" s="203">
        <f t="shared" si="71"/>
        <v>23.3215</v>
      </c>
      <c r="AA81" s="203">
        <f t="shared" si="59"/>
        <v>23.2682</v>
      </c>
      <c r="AB81" s="54" t="e">
        <f>VLOOKUP(A81,Enforcements!$C$7:$K$9,8,0)</f>
        <v>#N/A</v>
      </c>
      <c r="AC81" s="51" t="e">
        <f>VLOOKUP(A81,Enforcements!$C$7:$E$9,3,0)</f>
        <v>#N/A</v>
      </c>
      <c r="AD81" s="178">
        <f t="shared" si="60"/>
        <v>169</v>
      </c>
      <c r="AE81" s="77" t="str">
        <f t="shared" si="61"/>
        <v>aws s3 cp s3://rtdc.mdm.uploadarchive.raw/RTDC4022/ "%USERPROFILE%\AppData\Local\Temp\OnboardLogs"\RTDC4022\2017-11-18 --exclude "*" --recursive --include "*20171118*" &amp; "%USERPROFILE%\Documents\GitHub\mrs-test-scripts\Headless Mode &amp; Sideloading\WalkAndUnGZ.bat" "%USERPROFILE%\AppData\Local\Temp\OnboardLogs"\RTDC4022\2017-11-18 &amp; aws s3 cp s3://rtdc.mdm.uploadarchive.raw/RTDC4022/ "%USERPROFILE%\AppData\Local\Temp\OnboardLogs"\RTDC4022\2017-11-19 --exclude "*" --recursive --include "*20171119*" &amp; "%USERPROFILE%\Documents\GitHub\mrs-test-scripts\Headless Mode &amp; Sideloading\WalkAndUnGZ.bat" "%USERPROFILE%\AppData\Local\Temp\OnboardLogs"\RTDC4022\2017-11-19</v>
      </c>
      <c r="AF81" s="74" t="str">
        <f t="shared" si="62"/>
        <v>"C:\Program Files (x86)\AstroGrep\AstroGrep.exe" /e /r /s /spath="%USERPROFILE%\AppData\Local\Temp\OnboardLogs" /stypes="app*4022*20171118*" /stext=" 19:.+((SYSTEM_STATE.+slice.+state.+changed )|(ment ac)|(multiple cpu faults)|(system.+state.+changed )|(\[timeout)|(PRM\|1\|D)|(kpr)|(kdp)|(train st.+moving)|(\|lc)|(penalty))"</v>
      </c>
      <c r="AG81" s="181" t="str">
        <f t="shared" si="63"/>
        <v>EC</v>
      </c>
      <c r="AH81" s="78" t="str">
        <f t="shared" si="72"/>
        <v>"%USERPROFILE%\Documents\GitHub\eaglep3\Utilities\RefineRTDCRunTimes.py" --tripid 169-18 --locoid 4022 --swversion DE.1.0.9.0 --startMP 204:533 --initTime 2017-11-18T12:09:09 --startdatetime 2017-11-18T12:15:29 --delay 78 --endMP 204:233215 --enddatetime 2017-11-18T12:51:22 --enforcementcount 0 &gt;&gt;%USERPROFILE%\Documents\GitHub\eaglep3-reporting\EC\2017-11-18-refined-times.txt</v>
      </c>
      <c r="AI81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{"issue":{"subject":"","project_id":79,"tracker_id":40,"status_id":1,"priority_id":2,"assigned_to_id":338,"start_date":"2017-11-18","description":"","custom_fields":[{"id":1,"name":"Subdivision","value":"EC"},{"id":4,"name":"Milepost","value":"23.3215"},{"id":17,"name":"Train ID","value":"169-18"},{"id":16,"name":"Locomotive ID","value":"4022"},{"id":130,"name":"Impact","value":""},{"id":150,"name":"Time of Event (Mountain Time)","value":"12:51:22"},{"id":151,"name":"Denver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1" t="str">
        <f t="shared" si="74"/>
        <v>start /low /b %USERPROFILE%\Documents\GitHub\eaglep3\Utilities\DownloadLogsFromS3.py --loco 4022 --day 2017-11-18</v>
      </c>
      <c r="AN81" s="150" t="str">
        <f t="shared" si="75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19:51:22"},{"id":29,"name":"Sharepoint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7" t="str">
        <f t="shared" si="76"/>
        <v>https://d0f6bd738d7f1b3e5a7ca70fe4ff75f0.us-east-1.aws.found.io/app/kibana#/discover/Steve-Slow-Train-Analysis-(2080s-and-2083s)?_g=(refreshInterval:(display:Off,pause:!f,section:0,value:0),time:(from:'2017-11-18T11:09:09-0700',mode:absolute,to:'2017-11-18T13:51:22-0700'))&amp;_a=(columns:!('Message%20ID',Summary),filters:!(),index:'emp_*',interval:auto,query:(query_string:(analyze_wildcard:!t,query:'%22rtdc.l.rtdc.4022%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810</v>
      </c>
      <c r="B82" s="7">
        <v>4021</v>
      </c>
      <c r="C82" s="21" t="s">
        <v>192</v>
      </c>
      <c r="D82" s="21" t="s">
        <v>553</v>
      </c>
      <c r="E82" s="13">
        <v>43057.544814814813</v>
      </c>
      <c r="F82" s="13">
        <v>43057.550208333334</v>
      </c>
      <c r="G82" s="7">
        <v>82</v>
      </c>
      <c r="H82" s="21" t="s">
        <v>523</v>
      </c>
      <c r="I82" s="13">
        <v>43057.577199074076</v>
      </c>
      <c r="J82" s="7">
        <v>0</v>
      </c>
      <c r="K82" s="89" t="str">
        <f t="shared" si="54"/>
        <v>4021/4022</v>
      </c>
      <c r="L82" s="184" t="str">
        <f>VLOOKUP(A82,'Trips&amp;Operators'!$C$1:$G$99911,5,FALSE)</f>
        <v>BERLING GARY</v>
      </c>
      <c r="M82" s="6">
        <f t="shared" si="55"/>
        <v>2.6990740741894115E-2</v>
      </c>
      <c r="N82" s="7">
        <f t="shared" si="35"/>
        <v>38.866666668327525</v>
      </c>
      <c r="O82" s="7"/>
      <c r="P82" s="7"/>
      <c r="Q82" s="22"/>
      <c r="R82" s="173"/>
      <c r="S82" s="220">
        <f t="shared" si="56"/>
        <v>1</v>
      </c>
      <c r="T82" s="173" t="str">
        <f t="shared" si="57"/>
        <v>Southbound</v>
      </c>
      <c r="U82" s="19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5" t="str">
        <f t="shared" si="58"/>
        <v>https://d0f6bd738d7f1b3e5a7ca70fe4ff75f0.us-east-1.aws.found.io/app/kibana#/discover/Steve-Slow-Train-Analysis-(2080s-and-2083s)?_g=(refreshInterval:(display:Off,pause:!f,section:0,value:0),time:(from:'2017-11-18T12:04:32-0700',mode:absolute,to:'2017-11-18T14:51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2" s="203" t="str">
        <f>IF(AA82&lt;VLOOKUP(AG82,Variables!$AC$3:$AD$8,2,FALSE),"Y","N")</f>
        <v>N</v>
      </c>
      <c r="X82" s="203">
        <f t="shared" si="69"/>
        <v>1</v>
      </c>
      <c r="Y82" s="203">
        <f t="shared" si="70"/>
        <v>23.289200000000001</v>
      </c>
      <c r="Z82" s="203">
        <f t="shared" si="71"/>
        <v>2.1600000000000001E-2</v>
      </c>
      <c r="AA82" s="203">
        <f t="shared" si="59"/>
        <v>23.267600000000002</v>
      </c>
      <c r="AB82" s="54" t="e">
        <f>VLOOKUP(A82,Enforcements!$C$7:$K$9,8,0)</f>
        <v>#N/A</v>
      </c>
      <c r="AC82" s="51" t="e">
        <f>VLOOKUP(A82,Enforcements!$C$7:$E$9,3,0)</f>
        <v>#N/A</v>
      </c>
      <c r="AD82" s="178">
        <f t="shared" si="60"/>
        <v>170</v>
      </c>
      <c r="AE82" s="77" t="str">
        <f t="shared" si="61"/>
        <v>aws s3 cp s3://rtdc.mdm.uploadarchive.raw/RTDC4021/ "%USERPROFILE%\AppData\Local\Temp\OnboardLogs"\RTDC4021\2017-11-18 --exclude "*" --recursive --include "*20171118*" &amp; "%USERPROFILE%\Documents\GitHub\mrs-test-scripts\Headless Mode &amp; Sideloading\WalkAndUnGZ.bat" "%USERPROFILE%\AppData\Local\Temp\OnboardLogs"\RTDC4021\2017-11-18 &amp; aws s3 cp s3://rtdc.mdm.uploadarchive.raw/RTDC4021/ "%USERPROFILE%\AppData\Local\Temp\OnboardLogs"\RTDC4021\2017-11-19 --exclude "*" --recursive --include "*20171119*" &amp; "%USERPROFILE%\Documents\GitHub\mrs-test-scripts\Headless Mode &amp; Sideloading\WalkAndUnGZ.bat" "%USERPROFILE%\AppData\Local\Temp\OnboardLogs"\RTDC4021\2017-11-19</v>
      </c>
      <c r="AF82" s="74" t="str">
        <f t="shared" si="62"/>
        <v>"C:\Program Files (x86)\AstroGrep\AstroGrep.exe" /e /r /s /spath="%USERPROFILE%\AppData\Local\Temp\OnboardLogs" /stypes="app*4021*20171118*" /stext=" 20:.+((SYSTEM_STATE.+slice.+state.+changed )|(ment ac)|(multiple cpu faults)|(system.+state.+changed )|(\[timeout)|(PRM\|1\|D)|(kpr)|(kdp)|(train st.+moving)|(\|lc)|(penalty))"</v>
      </c>
      <c r="AG82" s="181" t="str">
        <f t="shared" si="63"/>
        <v>EC</v>
      </c>
      <c r="AH82" s="78" t="str">
        <f t="shared" si="72"/>
        <v>"%USERPROFILE%\Documents\GitHub\eaglep3\Utilities\RefineRTDCRunTimes.py" --tripid 170-18 --locoid 4021 --swversion DE.1.0.9.0 --startMP 204:232892 --initTime 2017-11-18T13:04:32 --startdatetime 2017-11-18T13:12:18 --delay 82 --endMP 204:216 --enddatetime 2017-11-18T13:51:10 --enforcementcount 0 &gt;&gt;%USERPROFILE%\Documents\GitHub\eaglep3-reporting\EC\2017-11-18-refined-times.txt</v>
      </c>
      <c r="AI82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{"issue":{"subject":"","project_id":79,"tracker_id":40,"status_id":1,"priority_id":2,"assigned_to_id":338,"start_date":"2017-11-18","description":"","custom_fields":[{"id":1,"name":"Subdivision","value":"EC"},{"id":4,"name":"Milepost","value":"0.0216"},{"id":17,"name":"Train ID","value":"170-18"},{"id":16,"name":"Locomotive ID","value":"4021"},{"id":130,"name":"Impact","value":""},{"id":150,"name":"Time of Event (Mountain Time)","value":"13:51:10"},{"id":151,"name":"Denver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1" t="str">
        <f t="shared" si="74"/>
        <v>start /low /b %USERPROFILE%\Documents\GitHub\eaglep3\Utilities\DownloadLogsFromS3.py --loco 4021 --day 2017-11-18</v>
      </c>
      <c r="AN82" s="150" t="str">
        <f t="shared" si="75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20:51:10"},{"id":29,"name":"Sharepoint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7" t="str">
        <f t="shared" si="76"/>
        <v>https://d0f6bd738d7f1b3e5a7ca70fe4ff75f0.us-east-1.aws.found.io/app/kibana#/discover/Steve-Slow-Train-Analysis-(2080s-and-2083s)?_g=(refreshInterval:(display:Off,pause:!f,section:0,value:0),time:(from:'2017-11-18T12:04:32-0700',mode:absolute,to:'2017-11-18T14:51:10-0700'))&amp;_a=(columns:!('Message%20ID',Summary),filters:!(),index:'emp_*',interval:auto,query:(query_string:(analyze_wildcard:!t,query:'%22rtdc.l.rtdc.4021%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805</v>
      </c>
      <c r="B83" s="7">
        <v>4004</v>
      </c>
      <c r="C83" s="21" t="s">
        <v>192</v>
      </c>
      <c r="D83" s="21" t="s">
        <v>511</v>
      </c>
      <c r="E83" s="13">
        <v>43057.518287037034</v>
      </c>
      <c r="F83" s="13">
        <v>43057.521053240744</v>
      </c>
      <c r="G83" s="7">
        <v>52</v>
      </c>
      <c r="H83" s="21" t="s">
        <v>495</v>
      </c>
      <c r="I83" s="13">
        <v>43057.545972222222</v>
      </c>
      <c r="J83" s="7">
        <v>0</v>
      </c>
      <c r="K83" s="89" t="str">
        <f t="shared" si="54"/>
        <v>4003/4004</v>
      </c>
      <c r="L83" s="184" t="str">
        <f>VLOOKUP(A83,'Trips&amp;Operators'!$C$1:$G$99911,5,FALSE)</f>
        <v>MOSES BRADLEY</v>
      </c>
      <c r="M83" s="6">
        <f t="shared" si="55"/>
        <v>2.491898147854954E-2</v>
      </c>
      <c r="N83" s="7">
        <f t="shared" si="35"/>
        <v>35.883333329111338</v>
      </c>
      <c r="O83" s="7"/>
      <c r="P83" s="7"/>
      <c r="Q83" s="22"/>
      <c r="R83" s="173"/>
      <c r="S83" s="220">
        <f t="shared" si="56"/>
        <v>1</v>
      </c>
      <c r="T83" s="173" t="str">
        <f t="shared" si="57"/>
        <v>NorthBound</v>
      </c>
      <c r="U83" s="19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5" t="str">
        <f t="shared" si="58"/>
        <v>https://d0f6bd738d7f1b3e5a7ca70fe4ff75f0.us-east-1.aws.found.io/app/kibana#/discover/Steve-Slow-Train-Analysis-(2080s-and-2083s)?_g=(refreshInterval:(display:Off,pause:!f,section:0,value:0),time:(from:'2017-11-18T11:26:20-0700',mode:absolute,to:'2017-11-18T14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3" s="203" t="str">
        <f>IF(AA83&lt;VLOOKUP(AG83,Variables!$AC$3:$AD$8,2,FALSE),"Y","N")</f>
        <v>N</v>
      </c>
      <c r="X83" s="203">
        <f t="shared" ref="X83:X108" si="77">VALUE(LEFT(AD83,4))-VALUE(LEFT(AD82,4))</f>
        <v>1</v>
      </c>
      <c r="Y83" s="203">
        <f t="shared" si="70"/>
        <v>5.2600000000000001E-2</v>
      </c>
      <c r="Z83" s="203">
        <f t="shared" si="71"/>
        <v>23.3249</v>
      </c>
      <c r="AA83" s="203">
        <f t="shared" si="59"/>
        <v>23.272299999999998</v>
      </c>
      <c r="AB83" s="54" t="e">
        <f>VLOOKUP(A83,Enforcements!$C$7:$K$9,8,0)</f>
        <v>#N/A</v>
      </c>
      <c r="AC83" s="51" t="e">
        <f>VLOOKUP(A83,Enforcements!$C$7:$E$9,3,0)</f>
        <v>#N/A</v>
      </c>
      <c r="AD83" s="178">
        <f t="shared" si="60"/>
        <v>171</v>
      </c>
      <c r="AE83" s="77" t="str">
        <f t="shared" si="61"/>
        <v>aws s3 cp s3://rtdc.mdm.uploadarchive.raw/RTDC4004/ "%USERPROFILE%\AppData\Local\Temp\OnboardLogs"\RTDC4004\2017-11-18 --exclude "*" --recursive --include "*20171118*" &amp; "%USERPROFILE%\Documents\GitHub\mrs-test-scripts\Headless Mode &amp; Sideloading\WalkAndUnGZ.bat" "%USERPROFILE%\AppData\Local\Temp\OnboardLogs"\RTDC4004\2017-11-18 &amp; aws s3 cp s3://rtdc.mdm.uploadarchive.raw/RTDC4004/ "%USERPROFILE%\AppData\Local\Temp\OnboardLogs"\RTDC4004\2017-11-19 --exclude "*" --recursive --include "*20171119*" &amp; "%USERPROFILE%\Documents\GitHub\mrs-test-scripts\Headless Mode &amp; Sideloading\WalkAndUnGZ.bat" "%USERPROFILE%\AppData\Local\Temp\OnboardLogs"\RTDC4004\2017-11-19</v>
      </c>
      <c r="AF83" s="74" t="str">
        <f t="shared" si="62"/>
        <v>"C:\Program Files (x86)\AstroGrep\AstroGrep.exe" /e /r /s /spath="%USERPROFILE%\AppData\Local\Temp\OnboardLogs" /stypes="app*4004*20171118*" /stext=" 20:.+((SYSTEM_STATE.+slice.+state.+changed )|(ment ac)|(multiple cpu faults)|(system.+state.+changed )|(\[timeout)|(PRM\|1\|D)|(kpr)|(kdp)|(train st.+moving)|(\|lc)|(penalty))"</v>
      </c>
      <c r="AG83" s="181" t="str">
        <f t="shared" si="63"/>
        <v>EC</v>
      </c>
      <c r="AH83" s="78" t="str">
        <f t="shared" si="72"/>
        <v>"%USERPROFILE%\Documents\GitHub\eaglep3\Utilities\RefineRTDCRunTimes.py" --tripid 171-18 --locoid 4004 --swversion DE.1.0.9.0 --startMP 204:526 --initTime 2017-11-18T12:26:20 --startdatetime 2017-11-18T12:30:19 --delay 52 --endMP 204:233249 --enddatetime 2017-11-18T13:06:12 --enforcementcount 0 &gt;&gt;%USERPROFILE%\Documents\GitHub\eaglep3-reporting\EC\2017-11-18-refined-times.txt</v>
      </c>
      <c r="AI83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{"issue":{"subject":"","project_id":79,"tracker_id":40,"status_id":1,"priority_id":2,"assigned_to_id":338,"start_date":"2017-11-18","description":"","custom_fields":[{"id":1,"name":"Subdivision","value":"EC"},{"id":4,"name":"Milepost","value":"23.3249"},{"id":17,"name":"Train ID","value":"171-18"},{"id":16,"name":"Locomotive ID","value":"4004"},{"id":130,"name":"Impact","value":""},{"id":150,"name":"Time of Event (Mountain Time)","value":"13:06:12"},{"id":151,"name":"Denver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1" t="str">
        <f t="shared" si="74"/>
        <v>start /low /b %USERPROFILE%\Documents\GitHub\eaglep3\Utilities\DownloadLogsFromS3.py --loco 4004 --day 2017-11-18</v>
      </c>
      <c r="AN83" s="150" t="str">
        <f t="shared" si="75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20:06:12"},{"id":29,"name":"Sharepoint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7" t="str">
        <f t="shared" si="76"/>
        <v>https://d0f6bd738d7f1b3e5a7ca70fe4ff75f0.us-east-1.aws.found.io/app/kibana#/discover/Steve-Slow-Train-Analysis-(2080s-and-2083s)?_g=(refreshInterval:(display:Off,pause:!f,section:0,value:0),time:(from:'2017-11-18T11:26:20-0700',mode:absolute,to:'2017-11-18T14:06:12-0700'))&amp;_a=(columns:!('Message%20ID',Summary),filters:!(),index:'emp_*',interval:auto,query:(query_string:(analyze_wildcard:!t,query:'%22rtdc.l.rtdc.4004%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813</v>
      </c>
      <c r="B84" s="7">
        <v>4003</v>
      </c>
      <c r="C84" s="21" t="s">
        <v>192</v>
      </c>
      <c r="D84" s="21" t="s">
        <v>630</v>
      </c>
      <c r="E84" s="13">
        <v>43057.55777777778</v>
      </c>
      <c r="F84" s="13">
        <v>43057.560671296298</v>
      </c>
      <c r="G84" s="7">
        <v>48</v>
      </c>
      <c r="H84" s="21" t="s">
        <v>651</v>
      </c>
      <c r="I84" s="13">
        <v>43057.586273148147</v>
      </c>
      <c r="J84" s="7">
        <v>0</v>
      </c>
      <c r="K84" s="89" t="str">
        <f t="shared" si="54"/>
        <v>4003/4004</v>
      </c>
      <c r="L84" s="184" t="str">
        <f>VLOOKUP(A84,'Trips&amp;Operators'!$C$1:$G$99911,5,FALSE)</f>
        <v>MOSES BRADLEY</v>
      </c>
      <c r="M84" s="6">
        <f t="shared" si="55"/>
        <v>2.5601851848477963E-2</v>
      </c>
      <c r="N84" s="7">
        <f t="shared" si="35"/>
        <v>36.866666661808267</v>
      </c>
      <c r="O84" s="7"/>
      <c r="P84" s="7"/>
      <c r="Q84" s="22"/>
      <c r="R84" s="173"/>
      <c r="S84" s="220">
        <f t="shared" si="56"/>
        <v>1</v>
      </c>
      <c r="T84" s="173" t="str">
        <f t="shared" si="57"/>
        <v>Southbound</v>
      </c>
      <c r="U84" s="19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5" t="str">
        <f t="shared" si="58"/>
        <v>https://d0f6bd738d7f1b3e5a7ca70fe4ff75f0.us-east-1.aws.found.io/app/kibana#/discover/Steve-Slow-Train-Analysis-(2080s-and-2083s)?_g=(refreshInterval:(display:Off,pause:!f,section:0,value:0),time:(from:'2017-11-18T12:23:12-0700',mode:absolute,to:'2017-11-18T15:04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4" s="203" t="str">
        <f>IF(AA84&lt;VLOOKUP(AG84,Variables!$AC$3:$AD$8,2,FALSE),"Y","N")</f>
        <v>N</v>
      </c>
      <c r="X84" s="203">
        <f t="shared" si="77"/>
        <v>1</v>
      </c>
      <c r="Y84" s="203">
        <f t="shared" si="70"/>
        <v>23.2928</v>
      </c>
      <c r="Z84" s="203">
        <f t="shared" si="71"/>
        <v>1.7999999999999999E-2</v>
      </c>
      <c r="AA84" s="203">
        <f t="shared" si="59"/>
        <v>23.274799999999999</v>
      </c>
      <c r="AB84" s="54" t="e">
        <f>VLOOKUP(A84,Enforcements!$C$7:$K$9,8,0)</f>
        <v>#N/A</v>
      </c>
      <c r="AC84" s="51" t="e">
        <f>VLOOKUP(A84,Enforcements!$C$7:$E$9,3,0)</f>
        <v>#N/A</v>
      </c>
      <c r="AD84" s="178">
        <f t="shared" si="60"/>
        <v>172</v>
      </c>
      <c r="AE84" s="77" t="str">
        <f t="shared" si="61"/>
        <v>aws s3 cp s3://rtdc.mdm.uploadarchive.raw/RTDC4003/ "%USERPROFILE%\AppData\Local\Temp\OnboardLogs"\RTDC4003\2017-11-18 --exclude "*" --recursive --include "*20171118*" &amp; "%USERPROFILE%\Documents\GitHub\mrs-test-scripts\Headless Mode &amp; Sideloading\WalkAndUnGZ.bat" "%USERPROFILE%\AppData\Local\Temp\OnboardLogs"\RTDC4003\2017-11-18 &amp; aws s3 cp s3://rtdc.mdm.uploadarchive.raw/RTDC4003/ "%USERPROFILE%\AppData\Local\Temp\OnboardLogs"\RTDC4003\2017-11-19 --exclude "*" --recursive --include "*20171119*" &amp; "%USERPROFILE%\Documents\GitHub\mrs-test-scripts\Headless Mode &amp; Sideloading\WalkAndUnGZ.bat" "%USERPROFILE%\AppData\Local\Temp\OnboardLogs"\RTDC4003\2017-11-19</v>
      </c>
      <c r="AF84" s="74" t="str">
        <f t="shared" si="62"/>
        <v>"C:\Program Files (x86)\AstroGrep\AstroGrep.exe" /e /r /s /spath="%USERPROFILE%\AppData\Local\Temp\OnboardLogs" /stypes="app*4003*20171118*" /stext=" 21:.+((SYSTEM_STATE.+slice.+state.+changed )|(ment ac)|(multiple cpu faults)|(system.+state.+changed )|(\[timeout)|(PRM\|1\|D)|(kpr)|(kdp)|(train st.+moving)|(\|lc)|(penalty))"</v>
      </c>
      <c r="AG84" s="181" t="str">
        <f t="shared" si="63"/>
        <v>EC</v>
      </c>
      <c r="AH84" s="78" t="str">
        <f t="shared" si="72"/>
        <v>"%USERPROFILE%\Documents\GitHub\eaglep3\Utilities\RefineRTDCRunTimes.py" --tripid 172-18 --locoid 4003 --swversion DE.1.0.9.0 --startMP 204:232928 --initTime 2017-11-18T13:23:12 --startdatetime 2017-11-18T13:27:22 --delay 48 --endMP 204:180 --enddatetime 2017-11-18T14:04:14 --enforcementcount 0 &gt;&gt;%USERPROFILE%\Documents\GitHub\eaglep3-reporting\EC\2017-11-18-refined-times.txt</v>
      </c>
      <c r="AI84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{"issue":{"subject":"","project_id":79,"tracker_id":40,"status_id":1,"priority_id":2,"assigned_to_id":338,"start_date":"2017-11-18","description":"","custom_fields":[{"id":1,"name":"Subdivision","value":"EC"},{"id":4,"name":"Milepost","value":"0.018"},{"id":17,"name":"Train ID","value":"172-18"},{"id":16,"name":"Locomotive ID","value":"4003"},{"id":130,"name":"Impact","value":""},{"id":150,"name":"Time of Event (Mountain Time)","value":"14:04:14"},{"id":151,"name":"Denver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1" t="str">
        <f t="shared" si="74"/>
        <v>start /low /b %USERPROFILE%\Documents\GitHub\eaglep3\Utilities\DownloadLogsFromS3.py --loco 4003 --day 2017-11-18</v>
      </c>
      <c r="AN84" s="150" t="str">
        <f t="shared" si="75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21:04:14"},{"id":29,"name":"Sharepoint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7" t="str">
        <f t="shared" si="76"/>
        <v>https://d0f6bd738d7f1b3e5a7ca70fe4ff75f0.us-east-1.aws.found.io/app/kibana#/discover/Steve-Slow-Train-Analysis-(2080s-and-2083s)?_g=(refreshInterval:(display:Off,pause:!f,section:0,value:0),time:(from:'2017-11-18T12:23:12-0700',mode:absolute,to:'2017-11-18T15:04:14-0700'))&amp;_a=(columns:!('Message%20ID',Summary),filters:!(),index:'emp_*',interval:auto,query:(query_string:(analyze_wildcard:!t,query:'%22rtdc.l.rtdc.4003%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807</v>
      </c>
      <c r="B85" s="7">
        <v>4006</v>
      </c>
      <c r="C85" s="21" t="s">
        <v>192</v>
      </c>
      <c r="D85" s="21" t="s">
        <v>632</v>
      </c>
      <c r="E85" s="13">
        <v>43057.527499999997</v>
      </c>
      <c r="F85" s="13">
        <v>43057.531458333331</v>
      </c>
      <c r="G85" s="7">
        <v>67</v>
      </c>
      <c r="H85" s="21" t="s">
        <v>628</v>
      </c>
      <c r="I85" s="13">
        <v>43057.555335648147</v>
      </c>
      <c r="J85" s="7">
        <v>0</v>
      </c>
      <c r="K85" s="89" t="str">
        <f t="shared" si="54"/>
        <v>4005/4006</v>
      </c>
      <c r="L85" s="184" t="str">
        <f>VLOOKUP(A85,'Trips&amp;Operators'!$C$1:$G$99911,5,FALSE)</f>
        <v>HOLCOMB KAMDEN</v>
      </c>
      <c r="M85" s="6">
        <f t="shared" si="55"/>
        <v>2.3877314815763384E-2</v>
      </c>
      <c r="N85" s="7">
        <f t="shared" si="35"/>
        <v>34.383333334699273</v>
      </c>
      <c r="O85" s="7"/>
      <c r="P85" s="7"/>
      <c r="Q85" s="22"/>
      <c r="R85" s="173"/>
      <c r="S85" s="220">
        <f t="shared" si="56"/>
        <v>1</v>
      </c>
      <c r="T85" s="173" t="str">
        <f t="shared" si="57"/>
        <v>NorthBound</v>
      </c>
      <c r="U85" s="19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5" t="str">
        <f t="shared" si="58"/>
        <v>https://d0f6bd738d7f1b3e5a7ca70fe4ff75f0.us-east-1.aws.found.io/app/kibana#/discover/Steve-Slow-Train-Analysis-(2080s-and-2083s)?_g=(refreshInterval:(display:Off,pause:!f,section:0,value:0),time:(from:'2017-11-18T11:39:36-0700',mode:absolute,to:'2017-11-18T14:19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5" s="203" t="str">
        <f>IF(AA85&lt;VLOOKUP(AG85,Variables!$AC$3:$AD$8,2,FALSE),"Y","N")</f>
        <v>N</v>
      </c>
      <c r="X85" s="203">
        <f t="shared" si="77"/>
        <v>1</v>
      </c>
      <c r="Y85" s="203">
        <f t="shared" si="70"/>
        <v>5.5899999999999998E-2</v>
      </c>
      <c r="Z85" s="203">
        <f t="shared" si="71"/>
        <v>23.322600000000001</v>
      </c>
      <c r="AA85" s="203">
        <f t="shared" si="59"/>
        <v>23.2667</v>
      </c>
      <c r="AB85" s="54" t="e">
        <f>VLOOKUP(A85,Enforcements!$C$7:$K$9,8,0)</f>
        <v>#N/A</v>
      </c>
      <c r="AC85" s="51" t="e">
        <f>VLOOKUP(A85,Enforcements!$C$7:$E$9,3,0)</f>
        <v>#N/A</v>
      </c>
      <c r="AD85" s="178">
        <f t="shared" si="60"/>
        <v>173</v>
      </c>
      <c r="AE85" s="77" t="str">
        <f t="shared" si="61"/>
        <v>aws s3 cp s3://rtdc.mdm.uploadarchive.raw/RTDC4006/ "%USERPROFILE%\AppData\Local\Temp\OnboardLogs"\RTDC4006\2017-11-18 --exclude "*" --recursive --include "*20171118*" &amp; "%USERPROFILE%\Documents\GitHub\mrs-test-scripts\Headless Mode &amp; Sideloading\WalkAndUnGZ.bat" "%USERPROFILE%\AppData\Local\Temp\OnboardLogs"\RTDC4006\2017-11-18 &amp; aws s3 cp s3://rtdc.mdm.uploadarchive.raw/RTDC4006/ "%USERPROFILE%\AppData\Local\Temp\OnboardLogs"\RTDC4006\2017-11-19 --exclude "*" --recursive --include "*20171119*" &amp; "%USERPROFILE%\Documents\GitHub\mrs-test-scripts\Headless Mode &amp; Sideloading\WalkAndUnGZ.bat" "%USERPROFILE%\AppData\Local\Temp\OnboardLogs"\RTDC4006\2017-11-19</v>
      </c>
      <c r="AF85" s="74" t="str">
        <f t="shared" si="62"/>
        <v>"C:\Program Files (x86)\AstroGrep\AstroGrep.exe" /e /r /s /spath="%USERPROFILE%\AppData\Local\Temp\OnboardLogs" /stypes="app*4006*20171118*" /stext=" 20:.+((SYSTEM_STATE.+slice.+state.+changed )|(ment ac)|(multiple cpu faults)|(system.+state.+changed )|(\[timeout)|(PRM\|1\|D)|(kpr)|(kdp)|(train st.+moving)|(\|lc)|(penalty))"</v>
      </c>
      <c r="AG85" s="181" t="str">
        <f t="shared" si="63"/>
        <v>EC</v>
      </c>
      <c r="AH85" s="78" t="str">
        <f t="shared" si="72"/>
        <v>"%USERPROFILE%\Documents\GitHub\eaglep3\Utilities\RefineRTDCRunTimes.py" --tripid 173-18 --locoid 4006 --swversion DE.1.0.9.0 --startMP 204:559 --initTime 2017-11-18T12:39:36 --startdatetime 2017-11-18T12:45:18 --delay 67 --endMP 204:233226 --enddatetime 2017-11-18T13:19:41 --enforcementcount 0 &gt;&gt;%USERPROFILE%\Documents\GitHub\eaglep3-reporting\EC\2017-11-18-refined-times.txt</v>
      </c>
      <c r="AI85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{"issue":{"subject":"","project_id":79,"tracker_id":40,"status_id":1,"priority_id":2,"assigned_to_id":338,"start_date":"2017-11-18","description":"","custom_fields":[{"id":1,"name":"Subdivision","value":"EC"},{"id":4,"name":"Milepost","value":"23.3226"},{"id":17,"name":"Train ID","value":"173-18"},{"id":16,"name":"Locomotive ID","value":"4006"},{"id":130,"name":"Impact","value":""},{"id":150,"name":"Time of Event (Mountain Time)","value":"13:19:41"},{"id":151,"name":"Denver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1" t="str">
        <f t="shared" si="74"/>
        <v>start /low /b %USERPROFILE%\Documents\GitHub\eaglep3\Utilities\DownloadLogsFromS3.py --loco 4006 --day 2017-11-18</v>
      </c>
      <c r="AN85" s="150" t="str">
        <f t="shared" si="75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20:19:41"},{"id":29,"name":"Sharepoint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7" t="str">
        <f t="shared" si="76"/>
        <v>https://d0f6bd738d7f1b3e5a7ca70fe4ff75f0.us-east-1.aws.found.io/app/kibana#/discover/Steve-Slow-Train-Analysis-(2080s-and-2083s)?_g=(refreshInterval:(display:Off,pause:!f,section:0,value:0),time:(from:'2017-11-18T11:39:36-0700',mode:absolute,to:'2017-11-18T14:19:41-0700'))&amp;_a=(columns:!('Message%20ID',Summary),filters:!(),index:'emp_*',interval:auto,query:(query_string:(analyze_wildcard:!t,query:'%22rtdc.l.rtdc.4006%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815</v>
      </c>
      <c r="B86" s="7">
        <v>4005</v>
      </c>
      <c r="C86" s="21" t="s">
        <v>192</v>
      </c>
      <c r="D86" s="21" t="s">
        <v>953</v>
      </c>
      <c r="E86" s="13">
        <v>43057.567777777775</v>
      </c>
      <c r="F86" s="13">
        <v>43057.571250000001</v>
      </c>
      <c r="G86" s="7">
        <v>75</v>
      </c>
      <c r="H86" s="21" t="s">
        <v>954</v>
      </c>
      <c r="I86" s="13">
        <v>43057.596724537034</v>
      </c>
      <c r="J86" s="7">
        <v>0</v>
      </c>
      <c r="K86" s="89" t="str">
        <f t="shared" si="54"/>
        <v>4005/4006</v>
      </c>
      <c r="L86" s="184" t="str">
        <f>VLOOKUP(A86,'Trips&amp;Operators'!$C$1:$G$99911,5,FALSE)</f>
        <v>HOLCOMB KAMDEN</v>
      </c>
      <c r="M86" s="6">
        <f t="shared" si="55"/>
        <v>2.5474537033005618E-2</v>
      </c>
      <c r="N86" s="7">
        <f t="shared" ref="N86:N117" si="78">24*60*SUM($M86:$M86)</f>
        <v>36.683333327528089</v>
      </c>
      <c r="O86" s="7"/>
      <c r="P86" s="7"/>
      <c r="Q86" s="22"/>
      <c r="R86" s="173"/>
      <c r="S86" s="220">
        <f t="shared" si="56"/>
        <v>1</v>
      </c>
      <c r="T86" s="173" t="str">
        <f t="shared" si="57"/>
        <v>Southbound</v>
      </c>
      <c r="U86" s="19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5" t="str">
        <f t="shared" si="58"/>
        <v>https://d0f6bd738d7f1b3e5a7ca70fe4ff75f0.us-east-1.aws.found.io/app/kibana#/discover/Steve-Slow-Train-Analysis-(2080s-and-2083s)?_g=(refreshInterval:(display:Off,pause:!f,section:0,value:0),time:(from:'2017-11-18T12:37:36-0700',mode:absolute,to:'2017-11-18T15:19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6" s="203" t="str">
        <f>IF(AA86&lt;VLOOKUP(AG86,Variables!$AC$3:$AD$8,2,FALSE),"Y","N")</f>
        <v>N</v>
      </c>
      <c r="X86" s="203">
        <f t="shared" si="77"/>
        <v>1</v>
      </c>
      <c r="Y86" s="203">
        <f t="shared" si="70"/>
        <v>23.29</v>
      </c>
      <c r="Z86" s="203">
        <f t="shared" si="71"/>
        <v>1.4500000000000001E-2</v>
      </c>
      <c r="AA86" s="203">
        <f t="shared" si="59"/>
        <v>23.275499999999997</v>
      </c>
      <c r="AB86" s="54" t="e">
        <f>VLOOKUP(A86,Enforcements!$C$7:$K$9,8,0)</f>
        <v>#N/A</v>
      </c>
      <c r="AC86" s="51" t="e">
        <f>VLOOKUP(A86,Enforcements!$C$7:$E$9,3,0)</f>
        <v>#N/A</v>
      </c>
      <c r="AD86" s="178">
        <f t="shared" si="60"/>
        <v>174</v>
      </c>
      <c r="AE86" s="77" t="str">
        <f t="shared" si="61"/>
        <v>aws s3 cp s3://rtdc.mdm.uploadarchive.raw/RTDC4005/ "%USERPROFILE%\AppData\Local\Temp\OnboardLogs"\RTDC4005\2017-11-18 --exclude "*" --recursive --include "*20171118*" &amp; "%USERPROFILE%\Documents\GitHub\mrs-test-scripts\Headless Mode &amp; Sideloading\WalkAndUnGZ.bat" "%USERPROFILE%\AppData\Local\Temp\OnboardLogs"\RTDC4005\2017-11-18 &amp; aws s3 cp s3://rtdc.mdm.uploadarchive.raw/RTDC4005/ "%USERPROFILE%\AppData\Local\Temp\OnboardLogs"\RTDC4005\2017-11-19 --exclude "*" --recursive --include "*20171119*" &amp; "%USERPROFILE%\Documents\GitHub\mrs-test-scripts\Headless Mode &amp; Sideloading\WalkAndUnGZ.bat" "%USERPROFILE%\AppData\Local\Temp\OnboardLogs"\RTDC4005\2017-11-19</v>
      </c>
      <c r="AF86" s="74" t="str">
        <f t="shared" si="62"/>
        <v>"C:\Program Files (x86)\AstroGrep\AstroGrep.exe" /e /r /s /spath="%USERPROFILE%\AppData\Local\Temp\OnboardLogs" /stypes="app*4005*20171118*" /stext=" 21:.+((SYSTEM_STATE.+slice.+state.+changed )|(ment ac)|(multiple cpu faults)|(system.+state.+changed )|(\[timeout)|(PRM\|1\|D)|(kpr)|(kdp)|(train st.+moving)|(\|lc)|(penalty))"</v>
      </c>
      <c r="AG86" s="181" t="str">
        <f t="shared" si="63"/>
        <v>EC</v>
      </c>
      <c r="AH86" s="78" t="str">
        <f t="shared" si="72"/>
        <v>"%USERPROFILE%\Documents\GitHub\eaglep3\Utilities\RefineRTDCRunTimes.py" --tripid 174-18 --locoid 4005 --swversion DE.1.0.9.0 --startMP 204:232900 --initTime 2017-11-18T13:37:36 --startdatetime 2017-11-18T13:42:36 --delay 75 --endMP 204:145 --enddatetime 2017-11-18T14:19:17 --enforcementcount 0 &gt;&gt;%USERPROFILE%\Documents\GitHub\eaglep3-reporting\EC\2017-11-18-refined-times.txt</v>
      </c>
      <c r="AI86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{"issue":{"subject":"","project_id":79,"tracker_id":40,"status_id":1,"priority_id":2,"assigned_to_id":338,"start_date":"2017-11-18","description":"","custom_fields":[{"id":1,"name":"Subdivision","value":"EC"},{"id":4,"name":"Milepost","value":"0.0145"},{"id":17,"name":"Train ID","value":"174-18"},{"id":16,"name":"Locomotive ID","value":"4005"},{"id":130,"name":"Impact","value":""},{"id":150,"name":"Time of Event (Mountain Time)","value":"14:19:17"},{"id":151,"name":"Denver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1" t="str">
        <f t="shared" si="74"/>
        <v>start /low /b %USERPROFILE%\Documents\GitHub\eaglep3\Utilities\DownloadLogsFromS3.py --loco 4005 --day 2017-11-18</v>
      </c>
      <c r="AN86" s="150" t="str">
        <f t="shared" si="75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21:19:17"},{"id":29,"name":"Sharepoint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7" t="str">
        <f t="shared" si="76"/>
        <v>https://d0f6bd738d7f1b3e5a7ca70fe4ff75f0.us-east-1.aws.found.io/app/kibana#/discover/Steve-Slow-Train-Analysis-(2080s-and-2083s)?_g=(refreshInterval:(display:Off,pause:!f,section:0,value:0),time:(from:'2017-11-18T12:37:36-0700',mode:absolute,to:'2017-11-18T15:19:17-0700'))&amp;_a=(columns:!('Message%20ID',Summary),filters:!(),index:'emp_*',interval:auto,query:(query_string:(analyze_wildcard:!t,query:'%22rtdc.l.rtdc.4005%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809</v>
      </c>
      <c r="B87" s="7">
        <v>4018</v>
      </c>
      <c r="C87" s="21" t="s">
        <v>192</v>
      </c>
      <c r="D87" s="21" t="s">
        <v>444</v>
      </c>
      <c r="E87" s="13">
        <v>43057.540520833332</v>
      </c>
      <c r="F87" s="13">
        <v>43057.542060185187</v>
      </c>
      <c r="G87" s="7">
        <v>62</v>
      </c>
      <c r="H87" s="21" t="s">
        <v>949</v>
      </c>
      <c r="I87" s="13">
        <v>43057.567662037036</v>
      </c>
      <c r="J87" s="7">
        <v>0</v>
      </c>
      <c r="K87" s="89" t="str">
        <f t="shared" si="54"/>
        <v>4017/4018</v>
      </c>
      <c r="L87" s="184" t="str">
        <f>VLOOKUP(A87,'Trips&amp;Operators'!$C$1:$G$99911,5,FALSE)</f>
        <v>DAVIS MICHAEL</v>
      </c>
      <c r="M87" s="6">
        <f t="shared" si="55"/>
        <v>2.5601851848477963E-2</v>
      </c>
      <c r="N87" s="7">
        <f t="shared" si="78"/>
        <v>36.866666661808267</v>
      </c>
      <c r="O87" s="7"/>
      <c r="P87" s="7"/>
      <c r="Q87" s="22"/>
      <c r="R87" s="173"/>
      <c r="S87" s="220">
        <f t="shared" si="56"/>
        <v>1</v>
      </c>
      <c r="T87" s="173" t="str">
        <f t="shared" si="57"/>
        <v>NorthBound</v>
      </c>
      <c r="U87" s="19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5" t="str">
        <f t="shared" si="58"/>
        <v>https://d0f6bd738d7f1b3e5a7ca70fe4ff75f0.us-east-1.aws.found.io/app/kibana#/discover/Steve-Slow-Train-Analysis-(2080s-and-2083s)?_g=(refreshInterval:(display:Off,pause:!f,section:0,value:0),time:(from:'2017-11-18T11:58:21-0700',mode:absolute,to:'2017-11-18T14:37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7" s="203" t="str">
        <f>IF(AA87&lt;VLOOKUP(AG87,Variables!$AC$3:$AD$8,2,FALSE),"Y","N")</f>
        <v>N</v>
      </c>
      <c r="X87" s="203">
        <f t="shared" si="77"/>
        <v>1</v>
      </c>
      <c r="Y87" s="203">
        <f t="shared" si="70"/>
        <v>5.0599999999999999E-2</v>
      </c>
      <c r="Z87" s="203">
        <f t="shared" si="71"/>
        <v>23.323599999999999</v>
      </c>
      <c r="AA87" s="203">
        <f t="shared" si="59"/>
        <v>23.273</v>
      </c>
      <c r="AB87" s="54" t="e">
        <f>VLOOKUP(A87,Enforcements!$C$7:$K$9,8,0)</f>
        <v>#N/A</v>
      </c>
      <c r="AC87" s="51" t="e">
        <f>VLOOKUP(A87,Enforcements!$C$7:$E$9,3,0)</f>
        <v>#N/A</v>
      </c>
      <c r="AD87" s="178">
        <f t="shared" si="60"/>
        <v>175</v>
      </c>
      <c r="AE87" s="77" t="str">
        <f t="shared" si="61"/>
        <v>aws s3 cp s3://rtdc.mdm.uploadarchive.raw/RTDC4018/ "%USERPROFILE%\AppData\Local\Temp\OnboardLogs"\RTDC4018\2017-11-18 --exclude "*" --recursive --include "*20171118*" &amp; "%USERPROFILE%\Documents\GitHub\mrs-test-scripts\Headless Mode &amp; Sideloading\WalkAndUnGZ.bat" "%USERPROFILE%\AppData\Local\Temp\OnboardLogs"\RTDC4018\2017-11-18 &amp; aws s3 cp s3://rtdc.mdm.uploadarchive.raw/RTDC4018/ "%USERPROFILE%\AppData\Local\Temp\OnboardLogs"\RTDC4018\2017-11-19 --exclude "*" --recursive --include "*20171119*" &amp; "%USERPROFILE%\Documents\GitHub\mrs-test-scripts\Headless Mode &amp; Sideloading\WalkAndUnGZ.bat" "%USERPROFILE%\AppData\Local\Temp\OnboardLogs"\RTDC4018\2017-11-19</v>
      </c>
      <c r="AF87" s="74" t="str">
        <f t="shared" si="62"/>
        <v>"C:\Program Files (x86)\AstroGrep\AstroGrep.exe" /e /r /s /spath="%USERPROFILE%\AppData\Local\Temp\OnboardLogs" /stypes="app*4018*20171118*" /stext=" 20:.+((SYSTEM_STATE.+slice.+state.+changed )|(ment ac)|(multiple cpu faults)|(system.+state.+changed )|(\[timeout)|(PRM\|1\|D)|(kpr)|(kdp)|(train st.+moving)|(\|lc)|(penalty))"</v>
      </c>
      <c r="AG87" s="181" t="str">
        <f t="shared" si="63"/>
        <v>EC</v>
      </c>
      <c r="AH87" s="78" t="str">
        <f t="shared" si="72"/>
        <v>"%USERPROFILE%\Documents\GitHub\eaglep3\Utilities\RefineRTDCRunTimes.py" --tripid 175-18 --locoid 4018 --swversion DE.1.0.9.0 --startMP 204:506 --initTime 2017-11-18T12:58:21 --startdatetime 2017-11-18T13:00:34 --delay 62 --endMP 204:233236 --enddatetime 2017-11-18T13:37:26 --enforcementcount 0 &gt;&gt;%USERPROFILE%\Documents\GitHub\eaglep3-reporting\EC\2017-11-18-refined-times.txt</v>
      </c>
      <c r="AI87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{"issue":{"subject":"","project_id":79,"tracker_id":40,"status_id":1,"priority_id":2,"assigned_to_id":338,"start_date":"2017-11-18","description":"","custom_fields":[{"id":1,"name":"Subdivision","value":"EC"},{"id":4,"name":"Milepost","value":"23.3236"},{"id":17,"name":"Train ID","value":"175-18"},{"id":16,"name":"Locomotive ID","value":"4018"},{"id":130,"name":"Impact","value":""},{"id":150,"name":"Time of Event (Mountain Time)","value":"13:37:26"},{"id":151,"name":"Denver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1" t="str">
        <f t="shared" si="74"/>
        <v>start /low /b %USERPROFILE%\Documents\GitHub\eaglep3\Utilities\DownloadLogsFromS3.py --loco 4018 --day 2017-11-18</v>
      </c>
      <c r="AN87" s="150" t="str">
        <f t="shared" si="75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20:37:26"},{"id":29,"name":"Sharepoint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7" t="str">
        <f t="shared" si="76"/>
        <v>https://d0f6bd738d7f1b3e5a7ca70fe4ff75f0.us-east-1.aws.found.io/app/kibana#/discover/Steve-Slow-Train-Analysis-(2080s-and-2083s)?_g=(refreshInterval:(display:Off,pause:!f,section:0,value:0),time:(from:'2017-11-18T11:58:21-0700',mode:absolute,to:'2017-11-18T14:37:26-0700'))&amp;_a=(columns:!('Message%20ID',Summary),filters:!(),index:'emp_*',interval:auto,query:(query_string:(analyze_wildcard:!t,query:'%22rtdc.l.rtdc.4018%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820</v>
      </c>
      <c r="B88" s="7">
        <v>4017</v>
      </c>
      <c r="C88" s="21" t="s">
        <v>192</v>
      </c>
      <c r="D88" s="21" t="s">
        <v>955</v>
      </c>
      <c r="E88" s="13">
        <v>43057.57912037037</v>
      </c>
      <c r="F88" s="13">
        <v>43057.581631944442</v>
      </c>
      <c r="G88" s="7">
        <v>65</v>
      </c>
      <c r="H88" s="21" t="s">
        <v>510</v>
      </c>
      <c r="I88" s="13">
        <v>43057.609583333331</v>
      </c>
      <c r="J88" s="7">
        <v>0</v>
      </c>
      <c r="K88" s="89" t="str">
        <f t="shared" si="54"/>
        <v>4017/4018</v>
      </c>
      <c r="L88" s="184" t="str">
        <f>VLOOKUP(A88,'Trips&amp;Operators'!$C$1:$G$99911,5,FALSE)</f>
        <v>DAVIS MICHAEL</v>
      </c>
      <c r="M88" s="6">
        <f t="shared" si="55"/>
        <v>2.7951388889050577E-2</v>
      </c>
      <c r="N88" s="7">
        <f t="shared" si="78"/>
        <v>40.250000000232831</v>
      </c>
      <c r="O88" s="7"/>
      <c r="P88" s="7"/>
      <c r="Q88" s="22"/>
      <c r="R88" s="173"/>
      <c r="S88" s="220">
        <f t="shared" si="56"/>
        <v>1</v>
      </c>
      <c r="T88" s="173" t="str">
        <f t="shared" si="57"/>
        <v>Southbound</v>
      </c>
      <c r="U88" s="19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5" t="str">
        <f t="shared" si="58"/>
        <v>https://d0f6bd738d7f1b3e5a7ca70fe4ff75f0.us-east-1.aws.found.io/app/kibana#/discover/Steve-Slow-Train-Analysis-(2080s-and-2083s)?_g=(refreshInterval:(display:Off,pause:!f,section:0,value:0),time:(from:'2017-11-18T12:53:56-0700',mode:absolute,to:'2017-11-18T15:37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8" s="203" t="str">
        <f>IF(AA88&lt;VLOOKUP(AG88,Variables!$AC$3:$AD$8,2,FALSE),"Y","N")</f>
        <v>N</v>
      </c>
      <c r="X88" s="203">
        <f t="shared" si="77"/>
        <v>1</v>
      </c>
      <c r="Y88" s="203">
        <f t="shared" si="70"/>
        <v>23.292999999999999</v>
      </c>
      <c r="Z88" s="203">
        <f t="shared" si="71"/>
        <v>1.9599999999999999E-2</v>
      </c>
      <c r="AA88" s="203">
        <f t="shared" si="59"/>
        <v>23.273399999999999</v>
      </c>
      <c r="AB88" s="54" t="e">
        <f>VLOOKUP(A88,Enforcements!$C$7:$K$9,8,0)</f>
        <v>#N/A</v>
      </c>
      <c r="AC88" s="51" t="e">
        <f>VLOOKUP(A88,Enforcements!$C$7:$E$9,3,0)</f>
        <v>#N/A</v>
      </c>
      <c r="AD88" s="178">
        <f t="shared" si="60"/>
        <v>176</v>
      </c>
      <c r="AE88" s="77" t="str">
        <f t="shared" si="61"/>
        <v>aws s3 cp s3://rtdc.mdm.uploadarchive.raw/RTDC4017/ "%USERPROFILE%\AppData\Local\Temp\OnboardLogs"\RTDC4017\2017-11-18 --exclude "*" --recursive --include "*20171118*" &amp; "%USERPROFILE%\Documents\GitHub\mrs-test-scripts\Headless Mode &amp; Sideloading\WalkAndUnGZ.bat" "%USERPROFILE%\AppData\Local\Temp\OnboardLogs"\RTDC4017\2017-11-18 &amp; aws s3 cp s3://rtdc.mdm.uploadarchive.raw/RTDC4017/ "%USERPROFILE%\AppData\Local\Temp\OnboardLogs"\RTDC4017\2017-11-19 --exclude "*" --recursive --include "*20171119*" &amp; "%USERPROFILE%\Documents\GitHub\mrs-test-scripts\Headless Mode &amp; Sideloading\WalkAndUnGZ.bat" "%USERPROFILE%\AppData\Local\Temp\OnboardLogs"\RTDC4017\2017-11-19</v>
      </c>
      <c r="AF88" s="74" t="str">
        <f t="shared" si="62"/>
        <v>"C:\Program Files (x86)\AstroGrep\AstroGrep.exe" /e /r /s /spath="%USERPROFILE%\AppData\Local\Temp\OnboardLogs" /stypes="app*4017*20171118*" /stext=" 21:.+((SYSTEM_STATE.+slice.+state.+changed )|(ment ac)|(multiple cpu faults)|(system.+state.+changed )|(\[timeout)|(PRM\|1\|D)|(kpr)|(kdp)|(train st.+moving)|(\|lc)|(penalty))"</v>
      </c>
      <c r="AG88" s="181" t="str">
        <f t="shared" si="63"/>
        <v>EC</v>
      </c>
      <c r="AH88" s="78" t="str">
        <f t="shared" si="72"/>
        <v>"%USERPROFILE%\Documents\GitHub\eaglep3\Utilities\RefineRTDCRunTimes.py" --tripid 176-18 --locoid 4017 --swversion DE.1.0.9.0 --startMP 204:232930 --initTime 2017-11-18T13:53:56 --startdatetime 2017-11-18T13:57:33 --delay 65 --endMP 204:196 --enddatetime 2017-11-18T14:37:48 --enforcementcount 0 &gt;&gt;%USERPROFILE%\Documents\GitHub\eaglep3-reporting\EC\2017-11-18-refined-times.txt</v>
      </c>
      <c r="AI88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{"issue":{"subject":"","project_id":79,"tracker_id":40,"status_id":1,"priority_id":2,"assigned_to_id":338,"start_date":"2017-11-18","description":"","custom_fields":[{"id":1,"name":"Subdivision","value":"EC"},{"id":4,"name":"Milepost","value":"0.0196"},{"id":17,"name":"Train ID","value":"176-18"},{"id":16,"name":"Locomotive ID","value":"4017"},{"id":130,"name":"Impact","value":""},{"id":150,"name":"Time of Event (Mountain Time)","value":"14:37:48"},{"id":151,"name":"Denver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1" t="str">
        <f t="shared" si="74"/>
        <v>start /low /b %USERPROFILE%\Documents\GitHub\eaglep3\Utilities\DownloadLogsFromS3.py --loco 4017 --day 2017-11-18</v>
      </c>
      <c r="AN88" s="150" t="str">
        <f t="shared" si="75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21:37:48"},{"id":29,"name":"Sharepoint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7" t="str">
        <f t="shared" si="76"/>
        <v>https://d0f6bd738d7f1b3e5a7ca70fe4ff75f0.us-east-1.aws.found.io/app/kibana#/discover/Steve-Slow-Train-Analysis-(2080s-and-2083s)?_g=(refreshInterval:(display:Off,pause:!f,section:0,value:0),time:(from:'2017-11-18T12:53:56-0700',mode:absolute,to:'2017-11-18T15:37:48-0700'))&amp;_a=(columns:!('Message%20ID',Summary),filters:!(),index:'emp_*',interval:auto,query:(query_string:(analyze_wildcard:!t,query:'%22rtdc.l.rtdc.4017%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811</v>
      </c>
      <c r="B89" s="7">
        <v>4024</v>
      </c>
      <c r="C89" s="21" t="s">
        <v>192</v>
      </c>
      <c r="D89" s="21" t="s">
        <v>956</v>
      </c>
      <c r="E89" s="13">
        <v>43057.548668981479</v>
      </c>
      <c r="F89" s="13">
        <v>43057.552291666667</v>
      </c>
      <c r="G89" s="7">
        <v>98</v>
      </c>
      <c r="H89" s="21" t="s">
        <v>637</v>
      </c>
      <c r="I89" s="13">
        <v>43057.576585648145</v>
      </c>
      <c r="J89" s="7">
        <v>0</v>
      </c>
      <c r="K89" s="89" t="str">
        <f t="shared" si="54"/>
        <v>4023/4024</v>
      </c>
      <c r="L89" s="184" t="str">
        <f>VLOOKUP(A89,'Trips&amp;Operators'!$C$1:$G$99911,5,FALSE)</f>
        <v>SAFIEF AEIMEN</v>
      </c>
      <c r="M89" s="6">
        <f t="shared" si="55"/>
        <v>2.4293981477967463E-2</v>
      </c>
      <c r="N89" s="7">
        <f t="shared" si="78"/>
        <v>34.983333328273147</v>
      </c>
      <c r="O89" s="7"/>
      <c r="P89" s="7"/>
      <c r="Q89" s="22"/>
      <c r="R89" s="173"/>
      <c r="S89" s="220">
        <f t="shared" si="56"/>
        <v>1</v>
      </c>
      <c r="T89" s="173" t="str">
        <f t="shared" si="57"/>
        <v>NorthBound</v>
      </c>
      <c r="U89" s="19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5" t="str">
        <f t="shared" si="58"/>
        <v>https://d0f6bd738d7f1b3e5a7ca70fe4ff75f0.us-east-1.aws.found.io/app/kibana#/discover/Steve-Slow-Train-Analysis-(2080s-and-2083s)?_g=(refreshInterval:(display:Off,pause:!f,section:0,value:0),time:(from:'2017-11-18T12:10:05-0700',mode:absolute,to:'2017-11-18T14:50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9" s="203" t="str">
        <f>IF(AA89&lt;VLOOKUP(AG89,Variables!$AC$3:$AD$8,2,FALSE),"Y","N")</f>
        <v>N</v>
      </c>
      <c r="X89" s="203">
        <f t="shared" si="77"/>
        <v>1</v>
      </c>
      <c r="Y89" s="203">
        <f t="shared" si="70"/>
        <v>5.4399999999999997E-2</v>
      </c>
      <c r="Z89" s="203">
        <f t="shared" si="71"/>
        <v>23.3245</v>
      </c>
      <c r="AA89" s="203">
        <f t="shared" si="59"/>
        <v>23.270099999999999</v>
      </c>
      <c r="AB89" s="54" t="e">
        <f>VLOOKUP(A89,Enforcements!$C$7:$K$9,8,0)</f>
        <v>#N/A</v>
      </c>
      <c r="AC89" s="51" t="e">
        <f>VLOOKUP(A89,Enforcements!$C$7:$E$9,3,0)</f>
        <v>#N/A</v>
      </c>
      <c r="AD89" s="178">
        <f t="shared" si="60"/>
        <v>177</v>
      </c>
      <c r="AE89" s="77" t="str">
        <f t="shared" si="61"/>
        <v>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 &amp; aws s3 cp s3://rtdc.mdm.uploadarchive.raw/RTDC4024/ "%USERPROFILE%\AppData\Local\Temp\OnboardLogs"\RTDC4024\2017-11-19 --exclude "*" --recursive --include "*20171119*" &amp; "%USERPROFILE%\Documents\GitHub\mrs-test-scripts\Headless Mode &amp; Sideloading\WalkAndUnGZ.bat" "%USERPROFILE%\AppData\Local\Temp\OnboardLogs"\RTDC4024\2017-11-19</v>
      </c>
      <c r="AF89" s="74" t="str">
        <f t="shared" si="62"/>
        <v>"C:\Program Files (x86)\AstroGrep\AstroGrep.exe" /e /r /s /spath="%USERPROFILE%\AppData\Local\Temp\OnboardLogs" /stypes="app*4024*20171118*" /stext=" 20:.+((SYSTEM_STATE.+slice.+state.+changed )|(ment ac)|(multiple cpu faults)|(system.+state.+changed )|(\[timeout)|(PRM\|1\|D)|(kpr)|(kdp)|(train st.+moving)|(\|lc)|(penalty))"</v>
      </c>
      <c r="AG89" s="181" t="str">
        <f t="shared" si="63"/>
        <v>EC</v>
      </c>
      <c r="AH89" s="78" t="str">
        <f t="shared" si="72"/>
        <v>"%USERPROFILE%\Documents\GitHub\eaglep3\Utilities\RefineRTDCRunTimes.py" --tripid 177-18 --locoid 4024 --swversion DE.1.0.9.0 --startMP 204:544 --initTime 2017-11-18T13:10:05 --startdatetime 2017-11-18T13:15:18 --delay 98 --endMP 204:233245 --enddatetime 2017-11-18T13:50:17 --enforcementcount 0 &gt;&gt;%USERPROFILE%\Documents\GitHub\eaglep3-reporting\EC\2017-11-18-refined-times.txt</v>
      </c>
      <c r="AI89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{"issue":{"subject":"","project_id":79,"tracker_id":40,"status_id":1,"priority_id":2,"assigned_to_id":338,"start_date":"2017-11-18","description":"","custom_fields":[{"id":1,"name":"Subdivision","value":"EC"},{"id":4,"name":"Milepost","value":"23.3245"},{"id":17,"name":"Train ID","value":"177-18"},{"id":16,"name":"Locomotive ID","value":"4024"},{"id":130,"name":"Impact","value":""},{"id":150,"name":"Time of Event (Mountain Time)","value":"13:50:17"},{"id":151,"name":"Denver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1" t="str">
        <f t="shared" si="74"/>
        <v>start /low /b %USERPROFILE%\Documents\GitHub\eaglep3\Utilities\DownloadLogsFromS3.py --loco 4024 --day 2017-11-18</v>
      </c>
      <c r="AN89" s="150" t="str">
        <f t="shared" si="75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20:50:17"},{"id":29,"name":"Sharepoint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7" t="str">
        <f t="shared" si="76"/>
        <v>https://d0f6bd738d7f1b3e5a7ca70fe4ff75f0.us-east-1.aws.found.io/app/kibana#/discover/Steve-Slow-Train-Analysis-(2080s-and-2083s)?_g=(refreshInterval:(display:Off,pause:!f,section:0,value:0),time:(from:'2017-11-18T12:10:05-0700',mode:absolute,to:'2017-11-18T14:50:17-0700'))&amp;_a=(columns:!('Message%20ID',Summary),filters:!(),index:'emp_*',interval:auto,query:(query_string:(analyze_wildcard:!t,query:'%22rtdc.l.rtdc.4024%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818</v>
      </c>
      <c r="B90" s="7">
        <v>4023</v>
      </c>
      <c r="C90" s="21" t="s">
        <v>192</v>
      </c>
      <c r="D90" s="21" t="s">
        <v>953</v>
      </c>
      <c r="E90" s="13">
        <v>43057.578298611108</v>
      </c>
      <c r="F90" s="13">
        <v>43057.591944444444</v>
      </c>
      <c r="G90" s="7">
        <v>55</v>
      </c>
      <c r="H90" s="21" t="s">
        <v>443</v>
      </c>
      <c r="I90" s="13">
        <v>43057.618310185186</v>
      </c>
      <c r="J90" s="7">
        <v>0</v>
      </c>
      <c r="K90" s="89" t="str">
        <f t="shared" si="54"/>
        <v>4023/4024</v>
      </c>
      <c r="L90" s="184" t="str">
        <f>VLOOKUP(A90,'Trips&amp;Operators'!$C$1:$G$99911,5,FALSE)</f>
        <v>SAFIEF AEIMEN</v>
      </c>
      <c r="M90" s="6">
        <f t="shared" si="55"/>
        <v>2.6365740741312038E-2</v>
      </c>
      <c r="N90" s="7">
        <f t="shared" si="78"/>
        <v>37.966666667489335</v>
      </c>
      <c r="O90" s="7"/>
      <c r="P90" s="7"/>
      <c r="Q90" s="22"/>
      <c r="R90" s="173"/>
      <c r="S90" s="220">
        <f t="shared" si="56"/>
        <v>1</v>
      </c>
      <c r="T90" s="173" t="str">
        <f t="shared" si="57"/>
        <v>Southbound</v>
      </c>
      <c r="U90" s="19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5" t="str">
        <f t="shared" si="58"/>
        <v>https://d0f6bd738d7f1b3e5a7ca70fe4ff75f0.us-east-1.aws.found.io/app/kibana#/discover/Steve-Slow-Train-Analysis-(2080s-and-2083s)?_g=(refreshInterval:(display:Off,pause:!f,section:0,value:0),time:(from:'2017-11-18T12:52:45-0700',mode:absolute,to:'2017-11-18T15:50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0" s="203" t="str">
        <f>IF(AA90&lt;VLOOKUP(AG90,Variables!$AC$3:$AD$8,2,FALSE),"Y","N")</f>
        <v>N</v>
      </c>
      <c r="X90" s="203">
        <f t="shared" si="77"/>
        <v>1</v>
      </c>
      <c r="Y90" s="203">
        <f t="shared" si="70"/>
        <v>23.29</v>
      </c>
      <c r="Z90" s="203">
        <f t="shared" si="71"/>
        <v>2.07E-2</v>
      </c>
      <c r="AA90" s="203">
        <f t="shared" si="59"/>
        <v>23.269299999999998</v>
      </c>
      <c r="AB90" s="54" t="e">
        <f>VLOOKUP(A90,Enforcements!$C$7:$K$9,8,0)</f>
        <v>#N/A</v>
      </c>
      <c r="AC90" s="51" t="e">
        <f>VLOOKUP(A90,Enforcements!$C$7:$E$9,3,0)</f>
        <v>#N/A</v>
      </c>
      <c r="AD90" s="178">
        <f t="shared" si="60"/>
        <v>178</v>
      </c>
      <c r="AE90" s="77" t="str">
        <f t="shared" si="61"/>
        <v>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 &amp; aws s3 cp s3://rtdc.mdm.uploadarchive.raw/RTDC4023/ "%USERPROFILE%\AppData\Local\Temp\OnboardLogs"\RTDC4023\2017-11-19 --exclude "*" --recursive --include "*20171119*" &amp; "%USERPROFILE%\Documents\GitHub\mrs-test-scripts\Headless Mode &amp; Sideloading\WalkAndUnGZ.bat" "%USERPROFILE%\AppData\Local\Temp\OnboardLogs"\RTDC4023\2017-11-19</v>
      </c>
      <c r="AF90" s="74" t="str">
        <f t="shared" si="62"/>
        <v>"C:\Program Files (x86)\AstroGrep\AstroGrep.exe" /e /r /s /spath="%USERPROFILE%\AppData\Local\Temp\OnboardLogs" /stypes="app*4023*20171118*" /stext=" 21:.+((SYSTEM_STATE.+slice.+state.+changed )|(ment ac)|(multiple cpu faults)|(system.+state.+changed )|(\[timeout)|(PRM\|1\|D)|(kpr)|(kdp)|(train st.+moving)|(\|lc)|(penalty))"</v>
      </c>
      <c r="AG90" s="181" t="str">
        <f t="shared" si="63"/>
        <v>EC</v>
      </c>
      <c r="AH90" s="78" t="str">
        <f t="shared" si="72"/>
        <v>"%USERPROFILE%\Documents\GitHub\eaglep3\Utilities\RefineRTDCRunTimes.py" --tripid 178-18 --locoid 4023 --swversion DE.1.0.9.0 --startMP 204:232900 --initTime 2017-11-18T13:52:45 --startdatetime 2017-11-18T14:12:24 --delay 55 --endMP 204:207 --enddatetime 2017-11-18T14:50:22 --enforcementcount 0 &gt;&gt;%USERPROFILE%\Documents\GitHub\eaglep3-reporting\EC\2017-11-18-refined-times.txt</v>
      </c>
      <c r="AI90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{"issue":{"subject":"","project_id":79,"tracker_id":40,"status_id":1,"priority_id":2,"assigned_to_id":338,"start_date":"2017-11-18","description":"","custom_fields":[{"id":1,"name":"Subdivision","value":"EC"},{"id":4,"name":"Milepost","value":"0.0207"},{"id":17,"name":"Train ID","value":"178-18"},{"id":16,"name":"Locomotive ID","value":"4023"},{"id":130,"name":"Impact","value":""},{"id":150,"name":"Time of Event (Mountain Time)","value":"14:50:22"},{"id":151,"name":"Denver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1" t="str">
        <f t="shared" si="74"/>
        <v>start /low /b %USERPROFILE%\Documents\GitHub\eaglep3\Utilities\DownloadLogsFromS3.py --loco 4023 --day 2017-11-18</v>
      </c>
      <c r="AN90" s="150" t="str">
        <f t="shared" si="75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21:50:22"},{"id":29,"name":"Sharepoint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7" t="str">
        <f t="shared" si="76"/>
        <v>https://d0f6bd738d7f1b3e5a7ca70fe4ff75f0.us-east-1.aws.found.io/app/kibana#/discover/Steve-Slow-Train-Analysis-(2080s-and-2083s)?_g=(refreshInterval:(display:Off,pause:!f,section:0,value:0),time:(from:'2017-11-18T12:52:45-0700',mode:absolute,to:'2017-11-18T15:50:22-0700'))&amp;_a=(columns:!('Message%20ID',Summary),filters:!(),index:'emp_*',interval:auto,query:(query_string:(analyze_wildcard:!t,query:'%22rtdc.l.rtdc.4023%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812</v>
      </c>
      <c r="B91" s="7">
        <v>4026</v>
      </c>
      <c r="C91" s="21" t="s">
        <v>192</v>
      </c>
      <c r="D91" s="21" t="s">
        <v>927</v>
      </c>
      <c r="E91" s="13">
        <v>43057.557303240741</v>
      </c>
      <c r="F91" s="13">
        <v>43057.562673611108</v>
      </c>
      <c r="G91" s="7">
        <v>51</v>
      </c>
      <c r="H91" s="21" t="s">
        <v>949</v>
      </c>
      <c r="I91" s="13">
        <v>43057.587581018517</v>
      </c>
      <c r="J91" s="7">
        <v>0</v>
      </c>
      <c r="K91" s="89" t="str">
        <f t="shared" si="54"/>
        <v>4025/4026</v>
      </c>
      <c r="L91" s="184" t="str">
        <f>VLOOKUP(A91,'Trips&amp;Operators'!$C$1:$G$99911,5,FALSE)</f>
        <v>GUZMAN DANNY</v>
      </c>
      <c r="M91" s="6">
        <f t="shared" si="55"/>
        <v>2.4907407409045845E-2</v>
      </c>
      <c r="N91" s="7">
        <f t="shared" si="78"/>
        <v>35.866666669026017</v>
      </c>
      <c r="O91" s="7"/>
      <c r="P91" s="7"/>
      <c r="Q91" s="22"/>
      <c r="R91" s="173"/>
      <c r="S91" s="220">
        <f t="shared" si="56"/>
        <v>1</v>
      </c>
      <c r="T91" s="173" t="str">
        <f t="shared" si="57"/>
        <v>NorthBound</v>
      </c>
      <c r="U91" s="19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5" t="str">
        <f t="shared" si="58"/>
        <v>https://d0f6bd738d7f1b3e5a7ca70fe4ff75f0.us-east-1.aws.found.io/app/kibana#/discover/Steve-Slow-Train-Analysis-(2080s-and-2083s)?_g=(refreshInterval:(display:Off,pause:!f,section:0,value:0),time:(from:'2017-11-18T12:22:31-0700',mode:absolute,to:'2017-11-18T15:06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1" s="203" t="str">
        <f>IF(AA91&lt;VLOOKUP(AG91,Variables!$AC$3:$AD$8,2,FALSE),"Y","N")</f>
        <v>N</v>
      </c>
      <c r="X91" s="203">
        <f t="shared" si="77"/>
        <v>1</v>
      </c>
      <c r="Y91" s="203">
        <f t="shared" si="70"/>
        <v>5.4899999999999997E-2</v>
      </c>
      <c r="Z91" s="203">
        <f t="shared" si="71"/>
        <v>23.323599999999999</v>
      </c>
      <c r="AA91" s="203">
        <f t="shared" si="59"/>
        <v>23.268699999999999</v>
      </c>
      <c r="AB91" s="54" t="e">
        <f>VLOOKUP(A91,Enforcements!$C$7:$K$9,8,0)</f>
        <v>#N/A</v>
      </c>
      <c r="AC91" s="51" t="e">
        <f>VLOOKUP(A91,Enforcements!$C$7:$E$9,3,0)</f>
        <v>#N/A</v>
      </c>
      <c r="AD91" s="178">
        <f t="shared" si="60"/>
        <v>179</v>
      </c>
      <c r="AE91" s="77" t="str">
        <f t="shared" si="61"/>
        <v>aws s3 cp s3://rtdc.mdm.uploadarchive.raw/RTDC4026/ "%USERPROFILE%\AppData\Local\Temp\OnboardLogs"\RTDC4026\2017-11-18 --exclude "*" --recursive --include "*20171118*" &amp; "%USERPROFILE%\Documents\GitHub\mrs-test-scripts\Headless Mode &amp; Sideloading\WalkAndUnGZ.bat" "%USERPROFILE%\AppData\Local\Temp\OnboardLogs"\RTDC4026\2017-11-18 &amp; aws s3 cp s3://rtdc.mdm.uploadarchive.raw/RTDC4026/ "%USERPROFILE%\AppData\Local\Temp\OnboardLogs"\RTDC4026\2017-11-19 --exclude "*" --recursive --include "*20171119*" &amp; "%USERPROFILE%\Documents\GitHub\mrs-test-scripts\Headless Mode &amp; Sideloading\WalkAndUnGZ.bat" "%USERPROFILE%\AppData\Local\Temp\OnboardLogs"\RTDC4026\2017-11-19</v>
      </c>
      <c r="AF91" s="74" t="str">
        <f t="shared" si="62"/>
        <v>"C:\Program Files (x86)\AstroGrep\AstroGrep.exe" /e /r /s /spath="%USERPROFILE%\AppData\Local\Temp\OnboardLogs" /stypes="app*4026*20171118*" /stext=" 21:.+((SYSTEM_STATE.+slice.+state.+changed )|(ment ac)|(multiple cpu faults)|(system.+state.+changed )|(\[timeout)|(PRM\|1\|D)|(kpr)|(kdp)|(train st.+moving)|(\|lc)|(penalty))"</v>
      </c>
      <c r="AG91" s="181" t="str">
        <f t="shared" si="63"/>
        <v>EC</v>
      </c>
      <c r="AH91" s="78" t="str">
        <f t="shared" si="72"/>
        <v>"%USERPROFILE%\Documents\GitHub\eaglep3\Utilities\RefineRTDCRunTimes.py" --tripid 179-18 --locoid 4026 --swversion DE.1.0.9.0 --startMP 204:549 --initTime 2017-11-18T13:22:31 --startdatetime 2017-11-18T13:30:15 --delay 51 --endMP 204:233236 --enddatetime 2017-11-18T14:06:07 --enforcementcount 0 &gt;&gt;%USERPROFILE%\Documents\GitHub\eaglep3-reporting\EC\2017-11-18-refined-times.txt</v>
      </c>
      <c r="AI91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{"issue":{"subject":"","project_id":79,"tracker_id":40,"status_id":1,"priority_id":2,"assigned_to_id":338,"start_date":"2017-11-18","description":"","custom_fields":[{"id":1,"name":"Subdivision","value":"EC"},{"id":4,"name":"Milepost","value":"23.3236"},{"id":17,"name":"Train ID","value":"179-18"},{"id":16,"name":"Locomotive ID","value":"4026"},{"id":130,"name":"Impact","value":""},{"id":150,"name":"Time of Event (Mountain Time)","value":"14:06:07"},{"id":151,"name":"Denver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1" t="str">
        <f t="shared" si="74"/>
        <v>start /low /b %USERPROFILE%\Documents\GitHub\eaglep3\Utilities\DownloadLogsFromS3.py --loco 4026 --day 2017-11-18</v>
      </c>
      <c r="AN91" s="150" t="str">
        <f t="shared" si="75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21:06:07"},{"id":29,"name":"Sharepoint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7" t="str">
        <f t="shared" si="76"/>
        <v>https://d0f6bd738d7f1b3e5a7ca70fe4ff75f0.us-east-1.aws.found.io/app/kibana#/discover/Steve-Slow-Train-Analysis-(2080s-and-2083s)?_g=(refreshInterval:(display:Off,pause:!f,section:0,value:0),time:(from:'2017-11-18T12:22:31-0700',mode:absolute,to:'2017-11-18T15:06:07-0700'))&amp;_a=(columns:!('Message%20ID',Summary),filters:!(),index:'emp_*',interval:auto,query:(query_string:(analyze_wildcard:!t,query:'%22rtdc.l.rtdc.4026%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823</v>
      </c>
      <c r="B92" s="7">
        <v>4025</v>
      </c>
      <c r="C92" s="21" t="s">
        <v>192</v>
      </c>
      <c r="D92" s="21" t="s">
        <v>633</v>
      </c>
      <c r="E92" s="13">
        <v>43057.598958333336</v>
      </c>
      <c r="F92" s="13">
        <v>43057.60224537037</v>
      </c>
      <c r="G92" s="7">
        <v>51</v>
      </c>
      <c r="H92" s="21" t="s">
        <v>957</v>
      </c>
      <c r="I92" s="13">
        <v>43057.629027777781</v>
      </c>
      <c r="J92" s="7">
        <v>0</v>
      </c>
      <c r="K92" s="89" t="str">
        <f t="shared" si="54"/>
        <v>4025/4026</v>
      </c>
      <c r="L92" s="184" t="str">
        <f>VLOOKUP(A92,'Trips&amp;Operators'!$C$1:$G$99911,5,FALSE)</f>
        <v>GUZMAN DANNY</v>
      </c>
      <c r="M92" s="6">
        <f t="shared" si="55"/>
        <v>2.6782407410792075E-2</v>
      </c>
      <c r="N92" s="7">
        <f t="shared" si="78"/>
        <v>38.566666671540588</v>
      </c>
      <c r="O92" s="7"/>
      <c r="P92" s="7"/>
      <c r="Q92" s="22"/>
      <c r="R92" s="173"/>
      <c r="S92" s="220">
        <f t="shared" si="56"/>
        <v>1</v>
      </c>
      <c r="T92" s="173" t="str">
        <f t="shared" si="57"/>
        <v>Southbound</v>
      </c>
      <c r="U92" s="19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5" t="str">
        <f t="shared" si="58"/>
        <v>https://d0f6bd738d7f1b3e5a7ca70fe4ff75f0.us-east-1.aws.found.io/app/kibana#/discover/Steve-Slow-Train-Analysis-(2080s-and-2083s)?_g=(refreshInterval:(display:Off,pause:!f,section:0,value:0),time:(from:'2017-11-18T13:22:30-0700',mode:absolute,to:'2017-11-18T16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2" s="203" t="str">
        <f>IF(AA92&lt;VLOOKUP(AG92,Variables!$AC$3:$AD$8,2,FALSE),"Y","N")</f>
        <v>N</v>
      </c>
      <c r="X92" s="203">
        <f t="shared" si="77"/>
        <v>1</v>
      </c>
      <c r="Y92" s="203">
        <f t="shared" si="70"/>
        <v>23.2913</v>
      </c>
      <c r="Z92" s="203">
        <f t="shared" si="71"/>
        <v>2.5399999999999999E-2</v>
      </c>
      <c r="AA92" s="203">
        <f t="shared" si="59"/>
        <v>23.265899999999998</v>
      </c>
      <c r="AB92" s="54" t="e">
        <f>VLOOKUP(A92,Enforcements!$C$7:$K$9,8,0)</f>
        <v>#N/A</v>
      </c>
      <c r="AC92" s="51" t="e">
        <f>VLOOKUP(A92,Enforcements!$C$7:$E$9,3,0)</f>
        <v>#N/A</v>
      </c>
      <c r="AD92" s="178">
        <f t="shared" si="60"/>
        <v>180</v>
      </c>
      <c r="AE92" s="77" t="str">
        <f t="shared" si="61"/>
        <v>aws s3 cp s3://rtdc.mdm.uploadarchive.raw/RTDC4025/ "%USERPROFILE%\AppData\Local\Temp\OnboardLogs"\RTDC4025\2017-11-18 --exclude "*" --recursive --include "*20171118*" &amp; "%USERPROFILE%\Documents\GitHub\mrs-test-scripts\Headless Mode &amp; Sideloading\WalkAndUnGZ.bat" "%USERPROFILE%\AppData\Local\Temp\OnboardLogs"\RTDC4025\2017-11-18 &amp; aws s3 cp s3://rtdc.mdm.uploadarchive.raw/RTDC4025/ "%USERPROFILE%\AppData\Local\Temp\OnboardLogs"\RTDC4025\2017-11-19 --exclude "*" --recursive --include "*20171119*" &amp; "%USERPROFILE%\Documents\GitHub\mrs-test-scripts\Headless Mode &amp; Sideloading\WalkAndUnGZ.bat" "%USERPROFILE%\AppData\Local\Temp\OnboardLogs"\RTDC4025\2017-11-19</v>
      </c>
      <c r="AF92" s="74" t="str">
        <f t="shared" si="62"/>
        <v>"C:\Program Files (x86)\AstroGrep\AstroGrep.exe" /e /r /s /spath="%USERPROFILE%\AppData\Local\Temp\OnboardLogs" /stypes="app*4025*20171118*" /stext=" 22:.+((SYSTEM_STATE.+slice.+state.+changed )|(ment ac)|(multiple cpu faults)|(system.+state.+changed )|(\[timeout)|(PRM\|1\|D)|(kpr)|(kdp)|(train st.+moving)|(\|lc)|(penalty))"</v>
      </c>
      <c r="AG92" s="181" t="str">
        <f t="shared" si="63"/>
        <v>EC</v>
      </c>
      <c r="AH92" s="78" t="str">
        <f t="shared" si="72"/>
        <v>"%USERPROFILE%\Documents\GitHub\eaglep3\Utilities\RefineRTDCRunTimes.py" --tripid 180-18 --locoid 4025 --swversion DE.1.0.9.0 --startMP 204:232913 --initTime 2017-11-18T14:22:30 --startdatetime 2017-11-18T14:27:14 --delay 51 --endMP 204:254 --enddatetime 2017-11-18T15:05:48 --enforcementcount 0 &gt;&gt;%USERPROFILE%\Documents\GitHub\eaglep3-reporting\EC\2017-11-18-refined-times.txt</v>
      </c>
      <c r="AI92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{"issue":{"subject":"","project_id":79,"tracker_id":40,"status_id":1,"priority_id":2,"assigned_to_id":338,"start_date":"2017-11-18","description":"","custom_fields":[{"id":1,"name":"Subdivision","value":"EC"},{"id":4,"name":"Milepost","value":"0.0254"},{"id":17,"name":"Train ID","value":"180-18"},{"id":16,"name":"Locomotive ID","value":"4025"},{"id":130,"name":"Impact","value":""},{"id":150,"name":"Time of Event (Mountain Time)","value":"15:05:48"},{"id":151,"name":"Denver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1" t="str">
        <f t="shared" si="74"/>
        <v>start /low /b %USERPROFILE%\Documents\GitHub\eaglep3\Utilities\DownloadLogsFromS3.py --loco 4025 --day 2017-11-18</v>
      </c>
      <c r="AN92" s="150" t="str">
        <f t="shared" si="75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22:05:48"},{"id":29,"name":"Sharepoint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7" t="str">
        <f t="shared" si="76"/>
        <v>https://d0f6bd738d7f1b3e5a7ca70fe4ff75f0.us-east-1.aws.found.io/app/kibana#/discover/Steve-Slow-Train-Analysis-(2080s-and-2083s)?_g=(refreshInterval:(display:Off,pause:!f,section:0,value:0),time:(from:'2017-11-18T13:22:30-0700',mode:absolute,to:'2017-11-18T16:05:48-0700'))&amp;_a=(columns:!('Message%20ID',Summary),filters:!(),index:'emp_*',interval:auto,query:(query_string:(analyze_wildcard:!t,query:'%22rtdc.l.rtdc.4025%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816</v>
      </c>
      <c r="B93" s="7">
        <v>4008</v>
      </c>
      <c r="C93" s="21" t="s">
        <v>192</v>
      </c>
      <c r="D93" s="21" t="s">
        <v>551</v>
      </c>
      <c r="E93" s="13">
        <v>43057.568599537037</v>
      </c>
      <c r="F93" s="13">
        <v>43057.57309027778</v>
      </c>
      <c r="G93" s="7">
        <v>76</v>
      </c>
      <c r="H93" s="21" t="s">
        <v>972</v>
      </c>
      <c r="I93" s="13">
        <v>43057.598703703705</v>
      </c>
      <c r="J93" s="7">
        <v>0</v>
      </c>
      <c r="K93" s="89" t="str">
        <f t="shared" si="54"/>
        <v>4007/4008</v>
      </c>
      <c r="L93" s="184" t="str">
        <f>VLOOKUP(A93,'Trips&amp;Operators'!$C$1:$G$99911,5,FALSE)</f>
        <v>BADERTSCHER DIANE</v>
      </c>
      <c r="M93" s="6">
        <f t="shared" si="55"/>
        <v>2.5613425925257616E-2</v>
      </c>
      <c r="N93" s="7">
        <f t="shared" si="78"/>
        <v>36.883333332370967</v>
      </c>
      <c r="O93" s="7"/>
      <c r="P93" s="7"/>
      <c r="Q93" s="22"/>
      <c r="R93" s="173"/>
      <c r="S93" s="220">
        <f t="shared" si="56"/>
        <v>1</v>
      </c>
      <c r="T93" s="173" t="str">
        <f t="shared" si="57"/>
        <v>NorthBound</v>
      </c>
      <c r="U93" s="19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5" t="str">
        <f t="shared" si="58"/>
        <v>https://d0f6bd738d7f1b3e5a7ca70fe4ff75f0.us-east-1.aws.found.io/app/kibana#/discover/Steve-Slow-Train-Analysis-(2080s-and-2083s)?_g=(refreshInterval:(display:Off,pause:!f,section:0,value:0),time:(from:'2017-11-18T12:38:47-0700',mode:absolute,to:'2017-11-18T15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3" s="203" t="str">
        <f>IF(AA93&lt;VLOOKUP(AG93,Variables!$AC$3:$AD$8,2,FALSE),"Y","N")</f>
        <v>N</v>
      </c>
      <c r="X93" s="203">
        <f t="shared" si="77"/>
        <v>1</v>
      </c>
      <c r="Y93" s="203">
        <f t="shared" si="70"/>
        <v>5.3699999999999998E-2</v>
      </c>
      <c r="Z93" s="203">
        <f t="shared" si="71"/>
        <v>23.322199999999999</v>
      </c>
      <c r="AA93" s="203">
        <f t="shared" si="59"/>
        <v>23.2685</v>
      </c>
      <c r="AB93" s="54" t="e">
        <f>VLOOKUP(A93,Enforcements!$C$7:$K$9,8,0)</f>
        <v>#N/A</v>
      </c>
      <c r="AC93" s="51" t="e">
        <f>VLOOKUP(A93,Enforcements!$C$7:$E$9,3,0)</f>
        <v>#N/A</v>
      </c>
      <c r="AD93" s="178">
        <f t="shared" si="60"/>
        <v>181</v>
      </c>
      <c r="AE93" s="77" t="str">
        <f t="shared" si="61"/>
        <v>aws s3 cp s3://rtdc.mdm.uploadarchive.raw/RTDC4008/ "%USERPROFILE%\AppData\Local\Temp\OnboardLogs"\RTDC4008\2017-11-18 --exclude "*" --recursive --include "*20171118*" &amp; "%USERPROFILE%\Documents\GitHub\mrs-test-scripts\Headless Mode &amp; Sideloading\WalkAndUnGZ.bat" "%USERPROFILE%\AppData\Local\Temp\OnboardLogs"\RTDC4008\2017-11-18 &amp; aws s3 cp s3://rtdc.mdm.uploadarchive.raw/RTDC4008/ "%USERPROFILE%\AppData\Local\Temp\OnboardLogs"\RTDC4008\2017-11-19 --exclude "*" --recursive --include "*20171119*" &amp; "%USERPROFILE%\Documents\GitHub\mrs-test-scripts\Headless Mode &amp; Sideloading\WalkAndUnGZ.bat" "%USERPROFILE%\AppData\Local\Temp\OnboardLogs"\RTDC4008\2017-11-19</v>
      </c>
      <c r="AF93" s="74" t="str">
        <f t="shared" si="62"/>
        <v>"C:\Program Files (x86)\AstroGrep\AstroGrep.exe" /e /r /s /spath="%USERPROFILE%\AppData\Local\Temp\OnboardLogs" /stypes="app*4008*20171118*" /stext=" 21:.+((SYSTEM_STATE.+slice.+state.+changed )|(ment ac)|(multiple cpu faults)|(system.+state.+changed )|(\[timeout)|(PRM\|1\|D)|(kpr)|(kdp)|(train st.+moving)|(\|lc)|(penalty))"</v>
      </c>
      <c r="AG93" s="181" t="str">
        <f t="shared" si="63"/>
        <v>EC</v>
      </c>
      <c r="AH93" s="78" t="str">
        <f t="shared" si="72"/>
        <v>"%USERPROFILE%\Documents\GitHub\eaglep3\Utilities\RefineRTDCRunTimes.py" --tripid 181-18 --locoid 4008 --swversion DE.1.0.9.0 --startMP 204:537 --initTime 2017-11-18T13:38:47 --startdatetime 2017-11-18T13:45:15 --delay 76 --endMP 204:233222 --enddatetime 2017-11-18T14:22:08 --enforcementcount 0 &gt;&gt;%USERPROFILE%\Documents\GitHub\eaglep3-reporting\EC\2017-11-18-refined-times.txt</v>
      </c>
      <c r="AI93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{"issue":{"subject":"","project_id":79,"tracker_id":40,"status_id":1,"priority_id":2,"assigned_to_id":338,"start_date":"2017-11-18","description":"","custom_fields":[{"id":1,"name":"Subdivision","value":"EC"},{"id":4,"name":"Milepost","value":"23.3222"},{"id":17,"name":"Train ID","value":"181-18"},{"id":16,"name":"Locomotive ID","value":"4008"},{"id":130,"name":"Impact","value":""},{"id":150,"name":"Time of Event (Mountain Time)","value":"14:22:08"},{"id":151,"name":"Denver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1" t="str">
        <f t="shared" si="74"/>
        <v>start /low /b %USERPROFILE%\Documents\GitHub\eaglep3\Utilities\DownloadLogsFromS3.py --loco 4008 --day 2017-11-18</v>
      </c>
      <c r="AN93" s="150" t="str">
        <f t="shared" si="75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21:22:08"},{"id":29,"name":"Sharepoint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7" t="str">
        <f t="shared" si="76"/>
        <v>https://d0f6bd738d7f1b3e5a7ca70fe4ff75f0.us-east-1.aws.found.io/app/kibana#/discover/Steve-Slow-Train-Analysis-(2080s-and-2083s)?_g=(refreshInterval:(display:Off,pause:!f,section:0,value:0),time:(from:'2017-11-18T12:38:47-0700',mode:absolute,to:'2017-11-18T15:22:08-0700'))&amp;_a=(columns:!('Message%20ID',Summary),filters:!(),index:'emp_*',interval:auto,query:(query_string:(analyze_wildcard:!t,query:'%22rtdc.l.rtdc.4008%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826</v>
      </c>
      <c r="B94" s="7">
        <v>4007</v>
      </c>
      <c r="C94" s="21" t="s">
        <v>192</v>
      </c>
      <c r="D94" s="21" t="s">
        <v>978</v>
      </c>
      <c r="E94" s="13">
        <v>43057.608391203707</v>
      </c>
      <c r="F94" s="13">
        <v>43057.612673611111</v>
      </c>
      <c r="G94" s="7">
        <v>92</v>
      </c>
      <c r="H94" s="21" t="s">
        <v>497</v>
      </c>
      <c r="I94" s="13">
        <v>43057.639652777776</v>
      </c>
      <c r="J94" s="7">
        <v>0</v>
      </c>
      <c r="K94" s="89" t="str">
        <f t="shared" si="54"/>
        <v>4007/4008</v>
      </c>
      <c r="L94" s="184" t="str">
        <f>VLOOKUP(A94,'Trips&amp;Operators'!$C$1:$G$99911,5,FALSE)</f>
        <v>BADERTSCHER DIANE</v>
      </c>
      <c r="M94" s="6">
        <f t="shared" si="55"/>
        <v>2.6979166665114462E-2</v>
      </c>
      <c r="N94" s="7">
        <f t="shared" si="78"/>
        <v>38.849999997764826</v>
      </c>
      <c r="O94" s="7"/>
      <c r="P94" s="7"/>
      <c r="Q94" s="22"/>
      <c r="R94" s="173"/>
      <c r="S94" s="220">
        <f t="shared" si="56"/>
        <v>1</v>
      </c>
      <c r="T94" s="173" t="str">
        <f t="shared" si="57"/>
        <v>Southbound</v>
      </c>
      <c r="U94" s="19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5" t="str">
        <f t="shared" si="58"/>
        <v>https://d0f6bd738d7f1b3e5a7ca70fe4ff75f0.us-east-1.aws.found.io/app/kibana#/discover/Steve-Slow-Train-Analysis-(2080s-and-2083s)?_g=(refreshInterval:(display:Off,pause:!f,section:0,value:0),time:(from:'2017-11-18T13:36:05-0700',mode:absolute,to:'2017-11-18T16:21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4" s="203" t="str">
        <f>IF(AA94&lt;VLOOKUP(AG94,Variables!$AC$3:$AD$8,2,FALSE),"Y","N")</f>
        <v>N</v>
      </c>
      <c r="X94" s="203">
        <f t="shared" si="77"/>
        <v>1</v>
      </c>
      <c r="Y94" s="203">
        <f t="shared" si="70"/>
        <v>23.288399999999999</v>
      </c>
      <c r="Z94" s="203">
        <f t="shared" si="71"/>
        <v>2.23E-2</v>
      </c>
      <c r="AA94" s="203">
        <f t="shared" si="59"/>
        <v>23.266099999999998</v>
      </c>
      <c r="AB94" s="54" t="e">
        <f>VLOOKUP(A94,Enforcements!$C$7:$K$9,8,0)</f>
        <v>#N/A</v>
      </c>
      <c r="AC94" s="51" t="e">
        <f>VLOOKUP(A94,Enforcements!$C$7:$E$9,3,0)</f>
        <v>#N/A</v>
      </c>
      <c r="AD94" s="178">
        <f t="shared" si="60"/>
        <v>182</v>
      </c>
      <c r="AE94" s="77" t="str">
        <f t="shared" si="61"/>
        <v>aws s3 cp s3://rtdc.mdm.uploadarchive.raw/RTDC4007/ "%USERPROFILE%\AppData\Local\Temp\OnboardLogs"\RTDC4007\2017-11-18 --exclude "*" --recursive --include "*20171118*" &amp; "%USERPROFILE%\Documents\GitHub\mrs-test-scripts\Headless Mode &amp; Sideloading\WalkAndUnGZ.bat" "%USERPROFILE%\AppData\Local\Temp\OnboardLogs"\RTDC4007\2017-11-18 &amp; aws s3 cp s3://rtdc.mdm.uploadarchive.raw/RTDC4007/ "%USERPROFILE%\AppData\Local\Temp\OnboardLogs"\RTDC4007\2017-11-19 --exclude "*" --recursive --include "*20171119*" &amp; "%USERPROFILE%\Documents\GitHub\mrs-test-scripts\Headless Mode &amp; Sideloading\WalkAndUnGZ.bat" "%USERPROFILE%\AppData\Local\Temp\OnboardLogs"\RTDC4007\2017-11-19</v>
      </c>
      <c r="AF94" s="74" t="str">
        <f t="shared" si="62"/>
        <v>"C:\Program Files (x86)\AstroGrep\AstroGrep.exe" /e /r /s /spath="%USERPROFILE%\AppData\Local\Temp\OnboardLogs" /stypes="app*4007*20171118*" /stext=" 22:.+((SYSTEM_STATE.+slice.+state.+changed )|(ment ac)|(multiple cpu faults)|(system.+state.+changed )|(\[timeout)|(PRM\|1\|D)|(kpr)|(kdp)|(train st.+moving)|(\|lc)|(penalty))"</v>
      </c>
      <c r="AG94" s="181" t="str">
        <f t="shared" si="63"/>
        <v>EC</v>
      </c>
      <c r="AH94" s="78" t="str">
        <f t="shared" si="72"/>
        <v>"%USERPROFILE%\Documents\GitHub\eaglep3\Utilities\RefineRTDCRunTimes.py" --tripid 182-18 --locoid 4007 --swversion DE.1.0.9.0 --startMP 204:232884 --initTime 2017-11-18T14:36:05 --startdatetime 2017-11-18T14:42:15 --delay 92 --endMP 204:223 --enddatetime 2017-11-18T15:21:06 --enforcementcount 0 &gt;&gt;%USERPROFILE%\Documents\GitHub\eaglep3-reporting\EC\2017-11-18-refined-times.txt</v>
      </c>
      <c r="AI94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{"issue":{"subject":"","project_id":79,"tracker_id":40,"status_id":1,"priority_id":2,"assigned_to_id":338,"start_date":"2017-11-18","description":"","custom_fields":[{"id":1,"name":"Subdivision","value":"EC"},{"id":4,"name":"Milepost","value":"0.0223"},{"id":17,"name":"Train ID","value":"182-18"},{"id":16,"name":"Locomotive ID","value":"4007"},{"id":130,"name":"Impact","value":""},{"id":150,"name":"Time of Event (Mountain Time)","value":"15:21:06"},{"id":151,"name":"Denver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1" t="str">
        <f t="shared" si="74"/>
        <v>start /low /b %USERPROFILE%\Documents\GitHub\eaglep3\Utilities\DownloadLogsFromS3.py --loco 4007 --day 2017-11-18</v>
      </c>
      <c r="AN94" s="150" t="str">
        <f t="shared" si="75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22:21:06"},{"id":29,"name":"Sharepoint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7" t="str">
        <f t="shared" si="76"/>
        <v>https://d0f6bd738d7f1b3e5a7ca70fe4ff75f0.us-east-1.aws.found.io/app/kibana#/discover/Steve-Slow-Train-Analysis-(2080s-and-2083s)?_g=(refreshInterval:(display:Off,pause:!f,section:0,value:0),time:(from:'2017-11-18T13:36:05-0700',mode:absolute,to:'2017-11-18T16:21:06-0700'))&amp;_a=(columns:!('Message%20ID',Summary),filters:!(),index:'emp_*',interval:auto,query:(query_string:(analyze_wildcard:!t,query:'%22rtdc.l.rtdc.4007%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819</v>
      </c>
      <c r="B95" s="7">
        <v>4022</v>
      </c>
      <c r="C95" s="21" t="s">
        <v>192</v>
      </c>
      <c r="D95" s="21" t="s">
        <v>561</v>
      </c>
      <c r="E95" s="13">
        <v>43057.578611111108</v>
      </c>
      <c r="F95" s="13">
        <v>43057.583541666667</v>
      </c>
      <c r="G95" s="7">
        <v>70</v>
      </c>
      <c r="H95" s="21" t="s">
        <v>946</v>
      </c>
      <c r="I95" s="13">
        <v>43057.608865740738</v>
      </c>
      <c r="J95" s="7">
        <v>0</v>
      </c>
      <c r="K95" s="89" t="str">
        <f t="shared" si="54"/>
        <v>4021/4022</v>
      </c>
      <c r="L95" s="184" t="str">
        <f>VLOOKUP(A95,'Trips&amp;Operators'!$C$1:$G$99911,5,FALSE)</f>
        <v>BERLING GARY</v>
      </c>
      <c r="M95" s="6">
        <f t="shared" si="55"/>
        <v>2.5324074071249925E-2</v>
      </c>
      <c r="N95" s="7">
        <f t="shared" si="78"/>
        <v>36.466666662599891</v>
      </c>
      <c r="O95" s="7"/>
      <c r="P95" s="7"/>
      <c r="Q95" s="22"/>
      <c r="R95" s="173"/>
      <c r="S95" s="220">
        <f t="shared" si="56"/>
        <v>1</v>
      </c>
      <c r="T95" s="173" t="str">
        <f t="shared" si="57"/>
        <v>NorthBound</v>
      </c>
      <c r="U95" s="19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5" t="str">
        <f t="shared" si="58"/>
        <v>https://d0f6bd738d7f1b3e5a7ca70fe4ff75f0.us-east-1.aws.found.io/app/kibana#/discover/Steve-Slow-Train-Analysis-(2080s-and-2083s)?_g=(refreshInterval:(display:Off,pause:!f,section:0,value:0),time:(from:'2017-11-18T12:53:12-0700',mode:absolute,to:'2017-11-18T15:36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5" s="203" t="str">
        <f>IF(AA95&lt;VLOOKUP(AG95,Variables!$AC$3:$AD$8,2,FALSE),"Y","N")</f>
        <v>N</v>
      </c>
      <c r="X95" s="203">
        <f t="shared" si="77"/>
        <v>1</v>
      </c>
      <c r="Y95" s="203">
        <f t="shared" si="70"/>
        <v>4.9799999999999997E-2</v>
      </c>
      <c r="Z95" s="203">
        <f t="shared" si="71"/>
        <v>23.321200000000001</v>
      </c>
      <c r="AA95" s="203">
        <f t="shared" si="59"/>
        <v>23.2714</v>
      </c>
      <c r="AB95" s="54" t="e">
        <f>VLOOKUP(A95,Enforcements!$C$7:$K$9,8,0)</f>
        <v>#N/A</v>
      </c>
      <c r="AC95" s="51" t="e">
        <f>VLOOKUP(A95,Enforcements!$C$7:$E$9,3,0)</f>
        <v>#N/A</v>
      </c>
      <c r="AD95" s="178">
        <f t="shared" si="60"/>
        <v>183</v>
      </c>
      <c r="AE95" s="77" t="str">
        <f t="shared" si="61"/>
        <v>aws s3 cp s3://rtdc.mdm.uploadarchive.raw/RTDC4022/ "%USERPROFILE%\AppData\Local\Temp\OnboardLogs"\RTDC4022\2017-11-18 --exclude "*" --recursive --include "*20171118*" &amp; "%USERPROFILE%\Documents\GitHub\mrs-test-scripts\Headless Mode &amp; Sideloading\WalkAndUnGZ.bat" "%USERPROFILE%\AppData\Local\Temp\OnboardLogs"\RTDC4022\2017-11-18 &amp; aws s3 cp s3://rtdc.mdm.uploadarchive.raw/RTDC4022/ "%USERPROFILE%\AppData\Local\Temp\OnboardLogs"\RTDC4022\2017-11-19 --exclude "*" --recursive --include "*20171119*" &amp; "%USERPROFILE%\Documents\GitHub\mrs-test-scripts\Headless Mode &amp; Sideloading\WalkAndUnGZ.bat" "%USERPROFILE%\AppData\Local\Temp\OnboardLogs"\RTDC4022\2017-11-19</v>
      </c>
      <c r="AF95" s="74" t="str">
        <f t="shared" si="62"/>
        <v>"C:\Program Files (x86)\AstroGrep\AstroGrep.exe" /e /r /s /spath="%USERPROFILE%\AppData\Local\Temp\OnboardLogs" /stypes="app*4022*20171118*" /stext=" 21:.+((SYSTEM_STATE.+slice.+state.+changed )|(ment ac)|(multiple cpu faults)|(system.+state.+changed )|(\[timeout)|(PRM\|1\|D)|(kpr)|(kdp)|(train st.+moving)|(\|lc)|(penalty))"</v>
      </c>
      <c r="AG95" s="181" t="str">
        <f t="shared" si="63"/>
        <v>EC</v>
      </c>
      <c r="AH95" s="78" t="str">
        <f t="shared" si="72"/>
        <v>"%USERPROFILE%\Documents\GitHub\eaglep3\Utilities\RefineRTDCRunTimes.py" --tripid 183-18 --locoid 4022 --swversion DE.1.0.9.0 --startMP 204:498 --initTime 2017-11-18T13:53:12 --startdatetime 2017-11-18T14:00:18 --delay 70 --endMP 204:233212 --enddatetime 2017-11-18T14:36:46 --enforcementcount 0 &gt;&gt;%USERPROFILE%\Documents\GitHub\eaglep3-reporting\EC\2017-11-18-refined-times.txt</v>
      </c>
      <c r="AI95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{"issue":{"subject":"","project_id":79,"tracker_id":40,"status_id":1,"priority_id":2,"assigned_to_id":338,"start_date":"2017-11-18","description":"","custom_fields":[{"id":1,"name":"Subdivision","value":"EC"},{"id":4,"name":"Milepost","value":"23.3212"},{"id":17,"name":"Train ID","value":"183-18"},{"id":16,"name":"Locomotive ID","value":"4022"},{"id":130,"name":"Impact","value":""},{"id":150,"name":"Time of Event (Mountain Time)","value":"14:36:46"},{"id":151,"name":"Denver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1" t="str">
        <f t="shared" si="74"/>
        <v>start /low /b %USERPROFILE%\Documents\GitHub\eaglep3\Utilities\DownloadLogsFromS3.py --loco 4022 --day 2017-11-18</v>
      </c>
      <c r="AN95" s="150" t="str">
        <f t="shared" si="75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21:36:46"},{"id":29,"name":"Sharepoint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7" t="str">
        <f t="shared" si="76"/>
        <v>https://d0f6bd738d7f1b3e5a7ca70fe4ff75f0.us-east-1.aws.found.io/app/kibana#/discover/Steve-Slow-Train-Analysis-(2080s-and-2083s)?_g=(refreshInterval:(display:Off,pause:!f,section:0,value:0),time:(from:'2017-11-18T12:53:12-0700',mode:absolute,to:'2017-11-18T15:36:46-0700'))&amp;_a=(columns:!('Message%20ID',Summary),filters:!(),index:'emp_*',interval:auto,query:(query_string:(analyze_wildcard:!t,query:'%22rtdc.l.rtdc.4022%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828</v>
      </c>
      <c r="B96" s="7">
        <v>4021</v>
      </c>
      <c r="C96" s="21" t="s">
        <v>192</v>
      </c>
      <c r="D96" s="21" t="s">
        <v>991</v>
      </c>
      <c r="E96" s="13">
        <v>43057.618680555555</v>
      </c>
      <c r="F96" s="13">
        <v>43057.623391203706</v>
      </c>
      <c r="G96" s="7">
        <v>84</v>
      </c>
      <c r="H96" s="21" t="s">
        <v>625</v>
      </c>
      <c r="I96" s="13">
        <v>43057.650682870371</v>
      </c>
      <c r="J96" s="7">
        <v>0</v>
      </c>
      <c r="K96" s="89" t="str">
        <f t="shared" si="54"/>
        <v>4021/4022</v>
      </c>
      <c r="L96" s="184" t="str">
        <f>VLOOKUP(A96,'Trips&amp;Operators'!$C$1:$G$99911,5,FALSE)</f>
        <v>BERLING GARY</v>
      </c>
      <c r="M96" s="6">
        <f t="shared" si="55"/>
        <v>2.7291666665405501E-2</v>
      </c>
      <c r="N96" s="7">
        <f t="shared" si="78"/>
        <v>39.299999998183921</v>
      </c>
      <c r="O96" s="7"/>
      <c r="P96" s="7"/>
      <c r="Q96" s="22"/>
      <c r="R96" s="173"/>
      <c r="S96" s="220">
        <f t="shared" si="56"/>
        <v>1</v>
      </c>
      <c r="T96" s="173" t="str">
        <f t="shared" si="57"/>
        <v>Southbound</v>
      </c>
      <c r="U96" s="19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5" t="str">
        <f t="shared" si="58"/>
        <v>https://d0f6bd738d7f1b3e5a7ca70fe4ff75f0.us-east-1.aws.found.io/app/kibana#/discover/Steve-Slow-Train-Analysis-(2080s-and-2083s)?_g=(refreshInterval:(display:Off,pause:!f,section:0,value:0),time:(from:'2017-11-18T13:50:54-0700',mode:absolute,to:'2017-11-18T16:36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6" s="203" t="str">
        <f>IF(AA96&lt;VLOOKUP(AG96,Variables!$AC$3:$AD$8,2,FALSE),"Y","N")</f>
        <v>N</v>
      </c>
      <c r="X96" s="203">
        <f t="shared" si="77"/>
        <v>1</v>
      </c>
      <c r="Y96" s="203">
        <f t="shared" si="70"/>
        <v>23.288699999999999</v>
      </c>
      <c r="Z96" s="203">
        <f t="shared" si="71"/>
        <v>2.01E-2</v>
      </c>
      <c r="AA96" s="203">
        <f t="shared" si="59"/>
        <v>23.268599999999999</v>
      </c>
      <c r="AB96" s="54" t="e">
        <f>VLOOKUP(A96,Enforcements!$C$7:$K$9,8,0)</f>
        <v>#N/A</v>
      </c>
      <c r="AC96" s="51" t="e">
        <f>VLOOKUP(A96,Enforcements!$C$7:$E$9,3,0)</f>
        <v>#N/A</v>
      </c>
      <c r="AD96" s="178">
        <f t="shared" si="60"/>
        <v>184</v>
      </c>
      <c r="AE96" s="77" t="str">
        <f t="shared" si="61"/>
        <v>aws s3 cp s3://rtdc.mdm.uploadarchive.raw/RTDC4021/ "%USERPROFILE%\AppData\Local\Temp\OnboardLogs"\RTDC4021\2017-11-18 --exclude "*" --recursive --include "*20171118*" &amp; "%USERPROFILE%\Documents\GitHub\mrs-test-scripts\Headless Mode &amp; Sideloading\WalkAndUnGZ.bat" "%USERPROFILE%\AppData\Local\Temp\OnboardLogs"\RTDC4021\2017-11-18 &amp; aws s3 cp s3://rtdc.mdm.uploadarchive.raw/RTDC4021/ "%USERPROFILE%\AppData\Local\Temp\OnboardLogs"\RTDC4021\2017-11-19 --exclude "*" --recursive --include "*20171119*" &amp; "%USERPROFILE%\Documents\GitHub\mrs-test-scripts\Headless Mode &amp; Sideloading\WalkAndUnGZ.bat" "%USERPROFILE%\AppData\Local\Temp\OnboardLogs"\RTDC4021\2017-11-19</v>
      </c>
      <c r="AF96" s="74" t="str">
        <f t="shared" si="62"/>
        <v>"C:\Program Files (x86)\AstroGrep\AstroGrep.exe" /e /r /s /spath="%USERPROFILE%\AppData\Local\Temp\OnboardLogs" /stypes="app*4021*20171118*" /stext=" 22:.+((SYSTEM_STATE.+slice.+state.+changed )|(ment ac)|(multiple cpu faults)|(system.+state.+changed )|(\[timeout)|(PRM\|1\|D)|(kpr)|(kdp)|(train st.+moving)|(\|lc)|(penalty))"</v>
      </c>
      <c r="AG96" s="181" t="str">
        <f t="shared" si="63"/>
        <v>EC</v>
      </c>
      <c r="AH96" s="78" t="str">
        <f t="shared" si="72"/>
        <v>"%USERPROFILE%\Documents\GitHub\eaglep3\Utilities\RefineRTDCRunTimes.py" --tripid 184-18 --locoid 4021 --swversion DE.1.0.9.0 --startMP 204:232887 --initTime 2017-11-18T14:50:54 --startdatetime 2017-11-18T14:57:41 --delay 84 --endMP 204:201 --enddatetime 2017-11-18T15:36:59 --enforcementcount 0 &gt;&gt;%USERPROFILE%\Documents\GitHub\eaglep3-reporting\EC\2017-11-18-refined-times.txt</v>
      </c>
      <c r="AI96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{"issue":{"subject":"","project_id":79,"tracker_id":40,"status_id":1,"priority_id":2,"assigned_to_id":338,"start_date":"2017-11-18","description":"","custom_fields":[{"id":1,"name":"Subdivision","value":"EC"},{"id":4,"name":"Milepost","value":"0.0201"},{"id":17,"name":"Train ID","value":"184-18"},{"id":16,"name":"Locomotive ID","value":"4021"},{"id":130,"name":"Impact","value":""},{"id":150,"name":"Time of Event (Mountain Time)","value":"15:36:59"},{"id":151,"name":"Denver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1" t="str">
        <f t="shared" si="74"/>
        <v>start /low /b %USERPROFILE%\Documents\GitHub\eaglep3\Utilities\DownloadLogsFromS3.py --loco 4021 --day 2017-11-18</v>
      </c>
      <c r="AN96" s="150" t="str">
        <f t="shared" si="75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22:36:59"},{"id":29,"name":"Sharepoint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7" t="str">
        <f t="shared" si="76"/>
        <v>https://d0f6bd738d7f1b3e5a7ca70fe4ff75f0.us-east-1.aws.found.io/app/kibana#/discover/Steve-Slow-Train-Analysis-(2080s-and-2083s)?_g=(refreshInterval:(display:Off,pause:!f,section:0,value:0),time:(from:'2017-11-18T13:50:54-0700',mode:absolute,to:'2017-11-18T16:36:59-0700'))&amp;_a=(columns:!('Message%20ID',Summary),filters:!(),index:'emp_*',interval:auto,query:(query_string:(analyze_wildcard:!t,query:'%22rtdc.l.rtdc.4021%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822</v>
      </c>
      <c r="B97" s="7">
        <v>4004</v>
      </c>
      <c r="C97" s="21" t="s">
        <v>192</v>
      </c>
      <c r="D97" s="21" t="s">
        <v>613</v>
      </c>
      <c r="E97" s="13">
        <v>43057.592233796298</v>
      </c>
      <c r="F97" s="13">
        <v>43057.5940625</v>
      </c>
      <c r="G97" s="7">
        <v>62</v>
      </c>
      <c r="H97" s="21" t="s">
        <v>992</v>
      </c>
      <c r="I97" s="13">
        <v>43057.618541666663</v>
      </c>
      <c r="J97" s="7">
        <v>0</v>
      </c>
      <c r="K97" s="89" t="str">
        <f t="shared" si="54"/>
        <v>4003/4004</v>
      </c>
      <c r="L97" s="184" t="str">
        <f>VLOOKUP(A97,'Trips&amp;Operators'!$C$1:$G$99911,5,FALSE)</f>
        <v>MOSES BRADLEY</v>
      </c>
      <c r="M97" s="6">
        <f t="shared" si="55"/>
        <v>2.4479166662786156E-2</v>
      </c>
      <c r="N97" s="7">
        <f t="shared" si="78"/>
        <v>35.249999994412065</v>
      </c>
      <c r="O97" s="7"/>
      <c r="P97" s="7"/>
      <c r="Q97" s="22"/>
      <c r="R97" s="173"/>
      <c r="S97" s="220">
        <f t="shared" si="56"/>
        <v>1</v>
      </c>
      <c r="T97" s="173" t="str">
        <f t="shared" si="57"/>
        <v>NorthBound</v>
      </c>
      <c r="U97" s="19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5" t="str">
        <f t="shared" si="58"/>
        <v>https://d0f6bd738d7f1b3e5a7ca70fe4ff75f0.us-east-1.aws.found.io/app/kibana#/discover/Steve-Slow-Train-Analysis-(2080s-and-2083s)?_g=(refreshInterval:(display:Off,pause:!f,section:0,value:0),time:(from:'2017-11-18T13:12:49-0700',mode:absolute,to:'2017-11-18T15:50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7" s="203" t="str">
        <f>IF(AA97&lt;VLOOKUP(AG97,Variables!$AC$3:$AD$8,2,FALSE),"Y","N")</f>
        <v>N</v>
      </c>
      <c r="X97" s="203">
        <f t="shared" si="77"/>
        <v>1</v>
      </c>
      <c r="Y97" s="203">
        <f t="shared" si="70"/>
        <v>5.0200000000000002E-2</v>
      </c>
      <c r="Z97" s="203">
        <f t="shared" si="71"/>
        <v>23.323</v>
      </c>
      <c r="AA97" s="203">
        <f t="shared" si="59"/>
        <v>23.2728</v>
      </c>
      <c r="AB97" s="54" t="e">
        <f>VLOOKUP(A97,Enforcements!$C$7:$K$9,8,0)</f>
        <v>#N/A</v>
      </c>
      <c r="AC97" s="51" t="e">
        <f>VLOOKUP(A97,Enforcements!$C$7:$E$9,3,0)</f>
        <v>#N/A</v>
      </c>
      <c r="AD97" s="178">
        <f t="shared" si="60"/>
        <v>185</v>
      </c>
      <c r="AE97" s="77" t="str">
        <f t="shared" si="61"/>
        <v>aws s3 cp s3://rtdc.mdm.uploadarchive.raw/RTDC4004/ "%USERPROFILE%\AppData\Local\Temp\OnboardLogs"\RTDC4004\2017-11-18 --exclude "*" --recursive --include "*20171118*" &amp; "%USERPROFILE%\Documents\GitHub\mrs-test-scripts\Headless Mode &amp; Sideloading\WalkAndUnGZ.bat" "%USERPROFILE%\AppData\Local\Temp\OnboardLogs"\RTDC4004\2017-11-18 &amp; aws s3 cp s3://rtdc.mdm.uploadarchive.raw/RTDC4004/ "%USERPROFILE%\AppData\Local\Temp\OnboardLogs"\RTDC4004\2017-11-19 --exclude "*" --recursive --include "*20171119*" &amp; "%USERPROFILE%\Documents\GitHub\mrs-test-scripts\Headless Mode &amp; Sideloading\WalkAndUnGZ.bat" "%USERPROFILE%\AppData\Local\Temp\OnboardLogs"\RTDC4004\2017-11-19</v>
      </c>
      <c r="AF97" s="74" t="str">
        <f t="shared" si="62"/>
        <v>"C:\Program Files (x86)\AstroGrep\AstroGrep.exe" /e /r /s /spath="%USERPROFILE%\AppData\Local\Temp\OnboardLogs" /stypes="app*4004*20171118*" /stext=" 21:.+((SYSTEM_STATE.+slice.+state.+changed )|(ment ac)|(multiple cpu faults)|(system.+state.+changed )|(\[timeout)|(PRM\|1\|D)|(kpr)|(kdp)|(train st.+moving)|(\|lc)|(penalty))"</v>
      </c>
      <c r="AG97" s="181" t="str">
        <f t="shared" si="63"/>
        <v>EC</v>
      </c>
      <c r="AH97" s="78" t="str">
        <f t="shared" si="72"/>
        <v>"%USERPROFILE%\Documents\GitHub\eaglep3\Utilities\RefineRTDCRunTimes.py" --tripid 185-18 --locoid 4004 --swversion DE.1.0.9.0 --startMP 204:502 --initTime 2017-11-18T14:12:49 --startdatetime 2017-11-18T14:15:27 --delay 62 --endMP 204:233230 --enddatetime 2017-11-18T14:50:42 --enforcementcount 0 &gt;&gt;%USERPROFILE%\Documents\GitHub\eaglep3-reporting\EC\2017-11-18-refined-times.txt</v>
      </c>
      <c r="AI97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{"issue":{"subject":"","project_id":79,"tracker_id":40,"status_id":1,"priority_id":2,"assigned_to_id":338,"start_date":"2017-11-18","description":"","custom_fields":[{"id":1,"name":"Subdivision","value":"EC"},{"id":4,"name":"Milepost","value":"23.323"},{"id":17,"name":"Train ID","value":"185-18"},{"id":16,"name":"Locomotive ID","value":"4004"},{"id":130,"name":"Impact","value":""},{"id":150,"name":"Time of Event (Mountain Time)","value":"14:50:42"},{"id":151,"name":"Denver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1" t="str">
        <f t="shared" si="74"/>
        <v>start /low /b %USERPROFILE%\Documents\GitHub\eaglep3\Utilities\DownloadLogsFromS3.py --loco 4004 --day 2017-11-18</v>
      </c>
      <c r="AN97" s="150" t="str">
        <f t="shared" si="75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21:50:42"},{"id":29,"name":"Sharepoint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7" t="str">
        <f t="shared" si="76"/>
        <v>https://d0f6bd738d7f1b3e5a7ca70fe4ff75f0.us-east-1.aws.found.io/app/kibana#/discover/Steve-Slow-Train-Analysis-(2080s-and-2083s)?_g=(refreshInterval:(display:Off,pause:!f,section:0,value:0),time:(from:'2017-11-18T13:12:49-0700',mode:absolute,to:'2017-11-18T15:50:42-0700'))&amp;_a=(columns:!('Message%20ID',Summary),filters:!(),index:'emp_*',interval:auto,query:(query_string:(analyze_wildcard:!t,query:'%22rtdc.l.rtdc.4004%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831</v>
      </c>
      <c r="B98" s="7">
        <v>4003</v>
      </c>
      <c r="C98" s="21" t="s">
        <v>192</v>
      </c>
      <c r="D98" s="21" t="s">
        <v>993</v>
      </c>
      <c r="E98" s="13">
        <v>43057.630509259259</v>
      </c>
      <c r="F98" s="13">
        <v>43057.633599537039</v>
      </c>
      <c r="G98" s="7">
        <v>49</v>
      </c>
      <c r="H98" s="21" t="s">
        <v>510</v>
      </c>
      <c r="I98" s="13">
        <v>43057.65960648148</v>
      </c>
      <c r="J98" s="7">
        <v>0</v>
      </c>
      <c r="K98" s="89" t="str">
        <f t="shared" si="54"/>
        <v>4003/4004</v>
      </c>
      <c r="L98" s="184" t="str">
        <f>VLOOKUP(A98,'Trips&amp;Operators'!$C$1:$G$99911,5,FALSE)</f>
        <v>MOSES BRADLEY</v>
      </c>
      <c r="M98" s="6">
        <f t="shared" si="55"/>
        <v>2.6006944441178348E-2</v>
      </c>
      <c r="N98" s="7">
        <f t="shared" si="78"/>
        <v>37.449999995296821</v>
      </c>
      <c r="O98" s="7"/>
      <c r="P98" s="7"/>
      <c r="Q98" s="22"/>
      <c r="R98" s="173"/>
      <c r="S98" s="220">
        <f t="shared" si="56"/>
        <v>1</v>
      </c>
      <c r="T98" s="173" t="str">
        <f t="shared" si="57"/>
        <v>Southbound</v>
      </c>
      <c r="U98" s="19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5" t="str">
        <f t="shared" si="58"/>
        <v>https://d0f6bd738d7f1b3e5a7ca70fe4ff75f0.us-east-1.aws.found.io/app/kibana#/discover/Steve-Slow-Train-Analysis-(2080s-and-2083s)?_g=(refreshInterval:(display:Off,pause:!f,section:0,value:0),time:(from:'2017-11-18T14:07:56-0700',mode:absolute,to:'2017-11-18T16:49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8" s="203" t="str">
        <f>IF(AA98&lt;VLOOKUP(AG98,Variables!$AC$3:$AD$8,2,FALSE),"Y","N")</f>
        <v>N</v>
      </c>
      <c r="X98" s="203">
        <f t="shared" si="77"/>
        <v>1</v>
      </c>
      <c r="Y98" s="203">
        <f t="shared" si="70"/>
        <v>23.290500000000002</v>
      </c>
      <c r="Z98" s="203">
        <f t="shared" si="71"/>
        <v>1.9599999999999999E-2</v>
      </c>
      <c r="AA98" s="203">
        <f t="shared" si="59"/>
        <v>23.270900000000001</v>
      </c>
      <c r="AB98" s="54" t="e">
        <f>VLOOKUP(A98,Enforcements!$C$7:$K$9,8,0)</f>
        <v>#N/A</v>
      </c>
      <c r="AC98" s="51" t="e">
        <f>VLOOKUP(A98,Enforcements!$C$7:$E$9,3,0)</f>
        <v>#N/A</v>
      </c>
      <c r="AD98" s="178">
        <f t="shared" si="60"/>
        <v>186</v>
      </c>
      <c r="AE98" s="77" t="str">
        <f t="shared" si="61"/>
        <v>aws s3 cp s3://rtdc.mdm.uploadarchive.raw/RTDC4003/ "%USERPROFILE%\AppData\Local\Temp\OnboardLogs"\RTDC4003\2017-11-18 --exclude "*" --recursive --include "*20171118*" &amp; "%USERPROFILE%\Documents\GitHub\mrs-test-scripts\Headless Mode &amp; Sideloading\WalkAndUnGZ.bat" "%USERPROFILE%\AppData\Local\Temp\OnboardLogs"\RTDC4003\2017-11-18 &amp; aws s3 cp s3://rtdc.mdm.uploadarchive.raw/RTDC4003/ "%USERPROFILE%\AppData\Local\Temp\OnboardLogs"\RTDC4003\2017-11-19 --exclude "*" --recursive --include "*20171119*" &amp; "%USERPROFILE%\Documents\GitHub\mrs-test-scripts\Headless Mode &amp; Sideloading\WalkAndUnGZ.bat" "%USERPROFILE%\AppData\Local\Temp\OnboardLogs"\RTDC4003\2017-11-19</v>
      </c>
      <c r="AF98" s="74" t="str">
        <f t="shared" si="62"/>
        <v>"C:\Program Files (x86)\AstroGrep\AstroGrep.exe" /e /r /s /spath="%USERPROFILE%\AppData\Local\Temp\OnboardLogs" /stypes="app*4003*20171118*" /stext=" 22:.+((SYSTEM_STATE.+slice.+state.+changed )|(ment ac)|(multiple cpu faults)|(system.+state.+changed )|(\[timeout)|(PRM\|1\|D)|(kpr)|(kdp)|(train st.+moving)|(\|lc)|(penalty))"</v>
      </c>
      <c r="AG98" s="181" t="str">
        <f t="shared" si="63"/>
        <v>EC</v>
      </c>
      <c r="AH98" s="78" t="str">
        <f t="shared" si="72"/>
        <v>"%USERPROFILE%\Documents\GitHub\eaglep3\Utilities\RefineRTDCRunTimes.py" --tripid 186-18 --locoid 4003 --swversion DE.1.0.9.0 --startMP 204:232905 --initTime 2017-11-18T15:07:56 --startdatetime 2017-11-18T15:12:23 --delay 49 --endMP 204:196 --enddatetime 2017-11-18T15:49:50 --enforcementcount 0 &gt;&gt;%USERPROFILE%\Documents\GitHub\eaglep3-reporting\EC\2017-11-18-refined-times.txt</v>
      </c>
      <c r="AI98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{"issue":{"subject":"","project_id":79,"tracker_id":40,"status_id":1,"priority_id":2,"assigned_to_id":338,"start_date":"2017-11-18","description":"","custom_fields":[{"id":1,"name":"Subdivision","value":"EC"},{"id":4,"name":"Milepost","value":"0.0196"},{"id":17,"name":"Train ID","value":"186-18"},{"id":16,"name":"Locomotive ID","value":"4003"},{"id":130,"name":"Impact","value":""},{"id":150,"name":"Time of Event (Mountain Time)","value":"15:49:50"},{"id":151,"name":"Denver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1" t="str">
        <f t="shared" si="74"/>
        <v>start /low /b %USERPROFILE%\Documents\GitHub\eaglep3\Utilities\DownloadLogsFromS3.py --loco 4003 --day 2017-11-18</v>
      </c>
      <c r="AN98" s="150" t="str">
        <f t="shared" si="75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22:49:50"},{"id":29,"name":"Sharepoint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7" t="str">
        <f t="shared" si="76"/>
        <v>https://d0f6bd738d7f1b3e5a7ca70fe4ff75f0.us-east-1.aws.found.io/app/kibana#/discover/Steve-Slow-Train-Analysis-(2080s-and-2083s)?_g=(refreshInterval:(display:Off,pause:!f,section:0,value:0),time:(from:'2017-11-18T14:07:56-0700',mode:absolute,to:'2017-11-18T16:49:50-0700'))&amp;_a=(columns:!('Message%20ID',Summary),filters:!(),index:'emp_*',interval:auto,query:(query_string:(analyze_wildcard:!t,query:'%22rtdc.l.rtdc.4003%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2" t="s">
        <v>824</v>
      </c>
      <c r="B99" s="7">
        <v>4006</v>
      </c>
      <c r="C99" s="21" t="s">
        <v>192</v>
      </c>
      <c r="D99" s="21" t="s">
        <v>994</v>
      </c>
      <c r="E99" s="13">
        <v>43057.600891203707</v>
      </c>
      <c r="F99" s="13">
        <v>43057.604525462964</v>
      </c>
      <c r="G99" s="7">
        <v>59</v>
      </c>
      <c r="H99" s="21" t="s">
        <v>629</v>
      </c>
      <c r="I99" s="13">
        <v>43057.628738425927</v>
      </c>
      <c r="J99" s="7">
        <v>0</v>
      </c>
      <c r="K99" s="89" t="str">
        <f t="shared" si="54"/>
        <v>4005/4006</v>
      </c>
      <c r="L99" s="184" t="str">
        <f>VLOOKUP(A99,'Trips&amp;Operators'!$C$1:$G$99911,5,FALSE)</f>
        <v>HOLCOMB KAMDEN</v>
      </c>
      <c r="M99" s="6">
        <f t="shared" si="55"/>
        <v>2.421296296233777E-2</v>
      </c>
      <c r="N99" s="7">
        <f t="shared" si="78"/>
        <v>34.866666665766388</v>
      </c>
      <c r="O99" s="7"/>
      <c r="P99" s="7"/>
      <c r="Q99" s="22"/>
      <c r="R99" s="173"/>
      <c r="S99" s="220">
        <f t="shared" si="56"/>
        <v>1</v>
      </c>
      <c r="T99" s="173" t="str">
        <f t="shared" si="57"/>
        <v>NorthBound</v>
      </c>
      <c r="U99" s="19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5" t="str">
        <f t="shared" si="58"/>
        <v>https://d0f6bd738d7f1b3e5a7ca70fe4ff75f0.us-east-1.aws.found.io/app/kibana#/discover/Steve-Slow-Train-Analysis-(2080s-and-2083s)?_g=(refreshInterval:(display:Off,pause:!f,section:0,value:0),time:(from:'2017-11-18T13:25:17-0700',mode:absolute,to:'2017-11-18T16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9" s="203" t="str">
        <f>IF(AA99&lt;VLOOKUP(AG99,Variables!$AC$3:$AD$8,2,FALSE),"Y","N")</f>
        <v>N</v>
      </c>
      <c r="X99" s="203">
        <f t="shared" si="77"/>
        <v>1</v>
      </c>
      <c r="Y99" s="203">
        <f t="shared" si="70"/>
        <v>4.4400000000000002E-2</v>
      </c>
      <c r="Z99" s="203">
        <f t="shared" si="71"/>
        <v>23.324400000000001</v>
      </c>
      <c r="AA99" s="203">
        <f t="shared" si="59"/>
        <v>23.28</v>
      </c>
      <c r="AB99" s="54" t="e">
        <f>VLOOKUP(A99,Enforcements!$C$7:$K$9,8,0)</f>
        <v>#N/A</v>
      </c>
      <c r="AC99" s="51" t="e">
        <f>VLOOKUP(A99,Enforcements!$C$7:$E$9,3,0)</f>
        <v>#N/A</v>
      </c>
      <c r="AD99" s="178">
        <f t="shared" si="60"/>
        <v>187</v>
      </c>
      <c r="AE99" s="77" t="str">
        <f t="shared" si="61"/>
        <v>aws s3 cp s3://rtdc.mdm.uploadarchive.raw/RTDC4006/ "%USERPROFILE%\AppData\Local\Temp\OnboardLogs"\RTDC4006\2017-11-18 --exclude "*" --recursive --include "*20171118*" &amp; "%USERPROFILE%\Documents\GitHub\mrs-test-scripts\Headless Mode &amp; Sideloading\WalkAndUnGZ.bat" "%USERPROFILE%\AppData\Local\Temp\OnboardLogs"\RTDC4006\2017-11-18 &amp; aws s3 cp s3://rtdc.mdm.uploadarchive.raw/RTDC4006/ "%USERPROFILE%\AppData\Local\Temp\OnboardLogs"\RTDC4006\2017-11-19 --exclude "*" --recursive --include "*20171119*" &amp; "%USERPROFILE%\Documents\GitHub\mrs-test-scripts\Headless Mode &amp; Sideloading\WalkAndUnGZ.bat" "%USERPROFILE%\AppData\Local\Temp\OnboardLogs"\RTDC4006\2017-11-19</v>
      </c>
      <c r="AF99" s="74" t="str">
        <f t="shared" si="62"/>
        <v>"C:\Program Files (x86)\AstroGrep\AstroGrep.exe" /e /r /s /spath="%USERPROFILE%\AppData\Local\Temp\OnboardLogs" /stypes="app*4006*20171118*" /stext=" 22:.+((SYSTEM_STATE.+slice.+state.+changed )|(ment ac)|(multiple cpu faults)|(system.+state.+changed )|(\[timeout)|(PRM\|1\|D)|(kpr)|(kdp)|(train st.+moving)|(\|lc)|(penalty))"</v>
      </c>
      <c r="AG99" s="181" t="str">
        <f t="shared" si="63"/>
        <v>EC</v>
      </c>
      <c r="AH99" s="78" t="str">
        <f t="shared" si="72"/>
        <v>"%USERPROFILE%\Documents\GitHub\eaglep3\Utilities\RefineRTDCRunTimes.py" --tripid 187-18 --locoid 4006 --swversion DE.1.0.9.0 --startMP 204:444 --initTime 2017-11-18T14:25:17 --startdatetime 2017-11-18T14:30:31 --delay 59 --endMP 204:233244 --enddatetime 2017-11-18T15:05:23 --enforcementcount 0 &gt;&gt;%USERPROFILE%\Documents\GitHub\eaglep3-reporting\EC\2017-11-18-refined-times.txt</v>
      </c>
      <c r="AI99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{"issue":{"subject":"","project_id":79,"tracker_id":40,"status_id":1,"priority_id":2,"assigned_to_id":338,"start_date":"2017-11-18","description":"","custom_fields":[{"id":1,"name":"Subdivision","value":"EC"},{"id":4,"name":"Milepost","value":"23.3244"},{"id":17,"name":"Train ID","value":"187-18"},{"id":16,"name":"Locomotive ID","value":"4006"},{"id":130,"name":"Impact","value":""},{"id":150,"name":"Time of Event (Mountain Time)","value":"15:05:23"},{"id":151,"name":"Denver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1" t="str">
        <f t="shared" si="74"/>
        <v>start /low /b %USERPROFILE%\Documents\GitHub\eaglep3\Utilities\DownloadLogsFromS3.py --loco 4006 --day 2017-11-18</v>
      </c>
      <c r="AN99" s="150" t="str">
        <f t="shared" si="75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22:05:23"},{"id":29,"name":"Sharepoint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7" t="str">
        <f t="shared" si="76"/>
        <v>https://d0f6bd738d7f1b3e5a7ca70fe4ff75f0.us-east-1.aws.found.io/app/kibana#/discover/Steve-Slow-Train-Analysis-(2080s-and-2083s)?_g=(refreshInterval:(display:Off,pause:!f,section:0,value:0),time:(from:'2017-11-18T13:25:17-0700',mode:absolute,to:'2017-11-18T16:05:23-0700'))&amp;_a=(columns:!('Message%20ID',Summary),filters:!(),index:'emp_*',interval:auto,query:(query_string:(analyze_wildcard:!t,query:'%22rtdc.l.rtdc.4006%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32" t="s">
        <v>834</v>
      </c>
      <c r="B100" s="7">
        <v>4005</v>
      </c>
      <c r="C100" s="21" t="s">
        <v>192</v>
      </c>
      <c r="D100" s="21" t="s">
        <v>490</v>
      </c>
      <c r="E100" s="13">
        <v>43057.641840277778</v>
      </c>
      <c r="F100" s="13">
        <v>43057.644016203703</v>
      </c>
      <c r="G100" s="7">
        <v>61</v>
      </c>
      <c r="H100" s="21" t="s">
        <v>995</v>
      </c>
      <c r="I100" s="13">
        <v>43057.669131944444</v>
      </c>
      <c r="J100" s="7">
        <v>0</v>
      </c>
      <c r="K100" s="89" t="str">
        <f t="shared" si="54"/>
        <v>4005/4006</v>
      </c>
      <c r="L100" s="184" t="str">
        <f>VLOOKUP(A100,'Trips&amp;Operators'!$C$1:$G$99911,5,FALSE)</f>
        <v>HOLCOMB KAMDEN</v>
      </c>
      <c r="M100" s="6">
        <f t="shared" si="55"/>
        <v>2.5115740740147885E-2</v>
      </c>
      <c r="N100" s="7">
        <f t="shared" si="78"/>
        <v>36.166666665812954</v>
      </c>
      <c r="O100" s="7"/>
      <c r="P100" s="7"/>
      <c r="Q100" s="22"/>
      <c r="R100" s="173"/>
      <c r="S100" s="220">
        <f t="shared" si="56"/>
        <v>1</v>
      </c>
      <c r="T100" s="173" t="str">
        <f t="shared" si="57"/>
        <v>Southbound</v>
      </c>
      <c r="U100" s="19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5" t="str">
        <f t="shared" si="58"/>
        <v>https://d0f6bd738d7f1b3e5a7ca70fe4ff75f0.us-east-1.aws.found.io/app/kibana#/discover/Steve-Slow-Train-Analysis-(2080s-and-2083s)?_g=(refreshInterval:(display:Off,pause:!f,section:0,value:0),time:(from:'2017-11-18T14:24:15-0700',mode:absolute,to:'2017-11-18T17:03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0" s="203" t="str">
        <f>IF(AA100&lt;VLOOKUP(AG100,Variables!$AC$3:$AD$8,2,FALSE),"Y","N")</f>
        <v>N</v>
      </c>
      <c r="X100" s="203">
        <f t="shared" si="77"/>
        <v>1</v>
      </c>
      <c r="Y100" s="203">
        <f t="shared" si="70"/>
        <v>23.291699999999999</v>
      </c>
      <c r="Z100" s="203">
        <f t="shared" si="71"/>
        <v>1.9400000000000001E-2</v>
      </c>
      <c r="AA100" s="203">
        <f t="shared" si="59"/>
        <v>23.272299999999998</v>
      </c>
      <c r="AB100" s="54" t="e">
        <f>VLOOKUP(A100,Enforcements!$C$7:$K$9,8,0)</f>
        <v>#N/A</v>
      </c>
      <c r="AC100" s="51" t="e">
        <f>VLOOKUP(A100,Enforcements!$C$7:$E$9,3,0)</f>
        <v>#N/A</v>
      </c>
      <c r="AD100" s="178">
        <f t="shared" si="60"/>
        <v>188</v>
      </c>
      <c r="AE100" s="77" t="str">
        <f t="shared" si="61"/>
        <v>aws s3 cp s3://rtdc.mdm.uploadarchive.raw/RTDC4005/ "%USERPROFILE%\AppData\Local\Temp\OnboardLogs"\RTDC4005\2017-11-18 --exclude "*" --recursive --include "*20171118*" &amp; "%USERPROFILE%\Documents\GitHub\mrs-test-scripts\Headless Mode &amp; Sideloading\WalkAndUnGZ.bat" "%USERPROFILE%\AppData\Local\Temp\OnboardLogs"\RTDC4005\2017-11-18 &amp; aws s3 cp s3://rtdc.mdm.uploadarchive.raw/RTDC4005/ "%USERPROFILE%\AppData\Local\Temp\OnboardLogs"\RTDC4005\2017-11-19 --exclude "*" --recursive --include "*20171119*" &amp; "%USERPROFILE%\Documents\GitHub\mrs-test-scripts\Headless Mode &amp; Sideloading\WalkAndUnGZ.bat" "%USERPROFILE%\AppData\Local\Temp\OnboardLogs"\RTDC4005\2017-11-19</v>
      </c>
      <c r="AF100" s="74" t="str">
        <f t="shared" si="62"/>
        <v>"C:\Program Files (x86)\AstroGrep\AstroGrep.exe" /e /r /s /spath="%USERPROFILE%\AppData\Local\Temp\OnboardLogs" /stypes="app*4005*20171118*" /stext=" 23:.+((SYSTEM_STATE.+slice.+state.+changed )|(ment ac)|(multiple cpu faults)|(system.+state.+changed )|(\[timeout)|(PRM\|1\|D)|(kpr)|(kdp)|(train st.+moving)|(\|lc)|(penalty))"</v>
      </c>
      <c r="AG100" s="181" t="str">
        <f t="shared" si="63"/>
        <v>EC</v>
      </c>
      <c r="AH100" s="78" t="str">
        <f t="shared" si="72"/>
        <v>"%USERPROFILE%\Documents\GitHub\eaglep3\Utilities\RefineRTDCRunTimes.py" --tripid 188-18 --locoid 4005 --swversion DE.1.0.9.0 --startMP 204:232917 --initTime 2017-11-18T15:24:15 --startdatetime 2017-11-18T15:27:23 --delay 61 --endMP 204:194 --enddatetime 2017-11-18T16:03:33 --enforcementcount 0 &gt;&gt;%USERPROFILE%\Documents\GitHub\eaglep3-reporting\EC\2017-11-18-refined-times.txt</v>
      </c>
      <c r="AI100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{"issue":{"subject":"","project_id":79,"tracker_id":40,"status_id":1,"priority_id":2,"assigned_to_id":338,"start_date":"2017-11-18","description":"","custom_fields":[{"id":1,"name":"Subdivision","value":"EC"},{"id":4,"name":"Milepost","value":"0.0194"},{"id":17,"name":"Train ID","value":"188-18"},{"id":16,"name":"Locomotive ID","value":"4005"},{"id":130,"name":"Impact","value":""},{"id":150,"name":"Time of Event (Mountain Time)","value":"16:03:33"},{"id":151,"name":"Denver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1" t="str">
        <f t="shared" si="74"/>
        <v>start /low /b %USERPROFILE%\Documents\GitHub\eaglep3\Utilities\DownloadLogsFromS3.py --loco 4005 --day 2017-11-18</v>
      </c>
      <c r="AN100" s="150" t="str">
        <f t="shared" si="75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23:03:33"},{"id":29,"name":"Sharepoint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7" t="str">
        <f t="shared" si="76"/>
        <v>https://d0f6bd738d7f1b3e5a7ca70fe4ff75f0.us-east-1.aws.found.io/app/kibana#/discover/Steve-Slow-Train-Analysis-(2080s-and-2083s)?_g=(refreshInterval:(display:Off,pause:!f,section:0,value:0),time:(from:'2017-11-18T14:24:15-0700',mode:absolute,to:'2017-11-18T17:03:33-0700'))&amp;_a=(columns:!('Message%20ID',Summary),filters:!(),index:'emp_*',interval:auto,query:(query_string:(analyze_wildcard:!t,query:'%22rtdc.l.rtdc.4005%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827</v>
      </c>
      <c r="B101" s="7">
        <v>4018</v>
      </c>
      <c r="C101" s="21" t="s">
        <v>192</v>
      </c>
      <c r="D101" s="21" t="s">
        <v>496</v>
      </c>
      <c r="E101" s="13">
        <v>43057.613680555558</v>
      </c>
      <c r="F101" s="13">
        <v>43057.615254629629</v>
      </c>
      <c r="G101" s="7">
        <v>61</v>
      </c>
      <c r="H101" s="21" t="s">
        <v>996</v>
      </c>
      <c r="I101" s="13">
        <v>43057.641111111108</v>
      </c>
      <c r="J101" s="7">
        <v>0</v>
      </c>
      <c r="K101" s="89" t="str">
        <f t="shared" si="54"/>
        <v>4017/4018</v>
      </c>
      <c r="L101" s="184" t="str">
        <f>VLOOKUP(A101,'Trips&amp;Operators'!$C$1:$G$99911,5,FALSE)</f>
        <v>DAVIS MICHAEL</v>
      </c>
      <c r="M101" s="6">
        <f t="shared" si="55"/>
        <v>2.5856481479422655E-2</v>
      </c>
      <c r="N101" s="7">
        <f t="shared" si="78"/>
        <v>37.233333330368623</v>
      </c>
      <c r="O101" s="7"/>
      <c r="P101" s="7"/>
      <c r="Q101" s="22"/>
      <c r="R101" s="173"/>
      <c r="S101" s="220">
        <f t="shared" si="56"/>
        <v>1</v>
      </c>
      <c r="T101" s="173" t="str">
        <f t="shared" si="57"/>
        <v>NorthBound</v>
      </c>
      <c r="U101" s="19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5" t="str">
        <f t="shared" si="58"/>
        <v>https://d0f6bd738d7f1b3e5a7ca70fe4ff75f0.us-east-1.aws.found.io/app/kibana#/discover/Steve-Slow-Train-Analysis-(2080s-and-2083s)?_g=(refreshInterval:(display:Off,pause:!f,section:0,value:0),time:(from:'2017-11-18T13:43:42-0700',mode:absolute,to:'2017-11-18T16:23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1" s="203" t="str">
        <f>IF(AA101&lt;VLOOKUP(AG101,Variables!$AC$3:$AD$8,2,FALSE),"Y","N")</f>
        <v>N</v>
      </c>
      <c r="X101" s="203">
        <f t="shared" si="77"/>
        <v>1</v>
      </c>
      <c r="Y101" s="203">
        <f t="shared" si="70"/>
        <v>5.2200000000000003E-2</v>
      </c>
      <c r="Z101" s="203">
        <f t="shared" si="71"/>
        <v>23.334900000000001</v>
      </c>
      <c r="AA101" s="203">
        <f t="shared" si="59"/>
        <v>23.282700000000002</v>
      </c>
      <c r="AB101" s="54" t="e">
        <f>VLOOKUP(A101,Enforcements!$C$7:$K$9,8,0)</f>
        <v>#N/A</v>
      </c>
      <c r="AC101" s="51" t="e">
        <f>VLOOKUP(A101,Enforcements!$C$7:$E$9,3,0)</f>
        <v>#N/A</v>
      </c>
      <c r="AD101" s="178">
        <f t="shared" si="60"/>
        <v>189</v>
      </c>
      <c r="AE101" s="77" t="str">
        <f t="shared" si="61"/>
        <v>aws s3 cp s3://rtdc.mdm.uploadarchive.raw/RTDC4018/ "%USERPROFILE%\AppData\Local\Temp\OnboardLogs"\RTDC4018\2017-11-18 --exclude "*" --recursive --include "*20171118*" &amp; "%USERPROFILE%\Documents\GitHub\mrs-test-scripts\Headless Mode &amp; Sideloading\WalkAndUnGZ.bat" "%USERPROFILE%\AppData\Local\Temp\OnboardLogs"\RTDC4018\2017-11-18 &amp; aws s3 cp s3://rtdc.mdm.uploadarchive.raw/RTDC4018/ "%USERPROFILE%\AppData\Local\Temp\OnboardLogs"\RTDC4018\2017-11-19 --exclude "*" --recursive --include "*20171119*" &amp; "%USERPROFILE%\Documents\GitHub\mrs-test-scripts\Headless Mode &amp; Sideloading\WalkAndUnGZ.bat" "%USERPROFILE%\AppData\Local\Temp\OnboardLogs"\RTDC4018\2017-11-19</v>
      </c>
      <c r="AF101" s="74" t="str">
        <f t="shared" si="62"/>
        <v>"C:\Program Files (x86)\AstroGrep\AstroGrep.exe" /e /r /s /spath="%USERPROFILE%\AppData\Local\Temp\OnboardLogs" /stypes="app*4018*20171118*" /stext=" 22:.+((SYSTEM_STATE.+slice.+state.+changed )|(ment ac)|(multiple cpu faults)|(system.+state.+changed )|(\[timeout)|(PRM\|1\|D)|(kpr)|(kdp)|(train st.+moving)|(\|lc)|(penalty))"</v>
      </c>
      <c r="AG101" s="181" t="str">
        <f t="shared" si="63"/>
        <v>EC</v>
      </c>
      <c r="AH101" s="78" t="str">
        <f t="shared" si="72"/>
        <v>"%USERPROFILE%\Documents\GitHub\eaglep3\Utilities\RefineRTDCRunTimes.py" --tripid 189-18 --locoid 4018 --swversion DE.1.0.9.0 --startMP 204:522 --initTime 2017-11-18T14:43:42 --startdatetime 2017-11-18T14:45:58 --delay 61 --endMP 204:233349 --enddatetime 2017-11-18T15:23:12 --enforcementcount 0 &gt;&gt;%USERPROFILE%\Documents\GitHub\eaglep3-reporting\EC\2017-11-18-refined-times.txt</v>
      </c>
      <c r="AI101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{"issue":{"subject":"","project_id":79,"tracker_id":40,"status_id":1,"priority_id":2,"assigned_to_id":338,"start_date":"2017-11-18","description":"","custom_fields":[{"id":1,"name":"Subdivision","value":"EC"},{"id":4,"name":"Milepost","value":"23.3349"},{"id":17,"name":"Train ID","value":"189-18"},{"id":16,"name":"Locomotive ID","value":"4018"},{"id":130,"name":"Impact","value":""},{"id":150,"name":"Time of Event (Mountain Time)","value":"15:23:12"},{"id":151,"name":"Denver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1" t="str">
        <f t="shared" si="74"/>
        <v>start /low /b %USERPROFILE%\Documents\GitHub\eaglep3\Utilities\DownloadLogsFromS3.py --loco 4018 --day 2017-11-18</v>
      </c>
      <c r="AN101" s="150" t="str">
        <f t="shared" si="75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22:23:12"},{"id":29,"name":"Sharepoint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7" t="str">
        <f t="shared" si="76"/>
        <v>https://d0f6bd738d7f1b3e5a7ca70fe4ff75f0.us-east-1.aws.found.io/app/kibana#/discover/Steve-Slow-Train-Analysis-(2080s-and-2083s)?_g=(refreshInterval:(display:Off,pause:!f,section:0,value:0),time:(from:'2017-11-18T13:43:42-0700',mode:absolute,to:'2017-11-18T16:23:12-0700'))&amp;_a=(columns:!('Message%20ID',Summary),filters:!(),index:'emp_*',interval:auto,query:(query_string:(analyze_wildcard:!t,query:'%22rtdc.l.rtdc.4018%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837</v>
      </c>
      <c r="B102" s="7">
        <v>4017</v>
      </c>
      <c r="C102" s="21" t="s">
        <v>192</v>
      </c>
      <c r="D102" s="21" t="s">
        <v>555</v>
      </c>
      <c r="E102" s="13">
        <v>43057.652048611111</v>
      </c>
      <c r="F102" s="13">
        <v>43057.654467592591</v>
      </c>
      <c r="G102" s="7">
        <v>62</v>
      </c>
      <c r="H102" s="21" t="s">
        <v>523</v>
      </c>
      <c r="I102" s="13">
        <v>43057.681608796294</v>
      </c>
      <c r="J102" s="7">
        <v>0</v>
      </c>
      <c r="K102" s="89" t="str">
        <f t="shared" si="54"/>
        <v>4017/4018</v>
      </c>
      <c r="L102" s="184" t="str">
        <f>VLOOKUP(A102,'Trips&amp;Operators'!$C$1:$G$99911,5,FALSE)</f>
        <v>DAVIS MICHAEL</v>
      </c>
      <c r="M102" s="6">
        <f t="shared" si="55"/>
        <v>2.7141203703649808E-2</v>
      </c>
      <c r="N102" s="7">
        <f t="shared" si="78"/>
        <v>39.083333333255723</v>
      </c>
      <c r="O102" s="7"/>
      <c r="P102" s="7"/>
      <c r="Q102" s="22"/>
      <c r="R102" s="173"/>
      <c r="S102" s="220">
        <f t="shared" si="56"/>
        <v>1</v>
      </c>
      <c r="T102" s="173" t="str">
        <f t="shared" si="57"/>
        <v>Southbound</v>
      </c>
      <c r="U102" s="19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5" t="str">
        <f t="shared" si="58"/>
        <v>https://d0f6bd738d7f1b3e5a7ca70fe4ff75f0.us-east-1.aws.found.io/app/kibana#/discover/Steve-Slow-Train-Analysis-(2080s-and-2083s)?_g=(refreshInterval:(display:Off,pause:!f,section:0,value:0),time:(from:'2017-11-18T14:38:57-0700',mode:absolute,to:'2017-11-18T17:21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2" s="203" t="str">
        <f>IF(AA102&lt;VLOOKUP(AG102,Variables!$AC$3:$AD$8,2,FALSE),"Y","N")</f>
        <v>N</v>
      </c>
      <c r="X102" s="203">
        <f t="shared" si="77"/>
        <v>1</v>
      </c>
      <c r="Y102" s="203">
        <f t="shared" si="70"/>
        <v>23.296299999999999</v>
      </c>
      <c r="Z102" s="203">
        <f t="shared" si="71"/>
        <v>2.1600000000000001E-2</v>
      </c>
      <c r="AA102" s="203">
        <f t="shared" si="59"/>
        <v>23.274699999999999</v>
      </c>
      <c r="AB102" s="54" t="e">
        <f>VLOOKUP(A102,Enforcements!$C$7:$K$9,8,0)</f>
        <v>#N/A</v>
      </c>
      <c r="AC102" s="51" t="e">
        <f>VLOOKUP(A102,Enforcements!$C$7:$E$9,3,0)</f>
        <v>#N/A</v>
      </c>
      <c r="AD102" s="178">
        <f t="shared" si="60"/>
        <v>190</v>
      </c>
      <c r="AE102" s="77" t="str">
        <f t="shared" si="61"/>
        <v>aws s3 cp s3://rtdc.mdm.uploadarchive.raw/RTDC4017/ "%USERPROFILE%\AppData\Local\Temp\OnboardLogs"\RTDC4017\2017-11-18 --exclude "*" --recursive --include "*20171118*" &amp; "%USERPROFILE%\Documents\GitHub\mrs-test-scripts\Headless Mode &amp; Sideloading\WalkAndUnGZ.bat" "%USERPROFILE%\AppData\Local\Temp\OnboardLogs"\RTDC4017\2017-11-18 &amp; aws s3 cp s3://rtdc.mdm.uploadarchive.raw/RTDC4017/ "%USERPROFILE%\AppData\Local\Temp\OnboardLogs"\RTDC4017\2017-11-19 --exclude "*" --recursive --include "*20171119*" &amp; "%USERPROFILE%\Documents\GitHub\mrs-test-scripts\Headless Mode &amp; Sideloading\WalkAndUnGZ.bat" "%USERPROFILE%\AppData\Local\Temp\OnboardLogs"\RTDC4017\2017-11-19</v>
      </c>
      <c r="AF102" s="74" t="str">
        <f t="shared" si="62"/>
        <v>"C:\Program Files (x86)\AstroGrep\AstroGrep.exe" /e /r /s /spath="%USERPROFILE%\AppData\Local\Temp\OnboardLogs" /stypes="app*4017*20171118*" /stext=" 23:.+((SYSTEM_STATE.+slice.+state.+changed )|(ment ac)|(multiple cpu faults)|(system.+state.+changed )|(\[timeout)|(PRM\|1\|D)|(kpr)|(kdp)|(train st.+moving)|(\|lc)|(penalty))"</v>
      </c>
      <c r="AG102" s="181" t="str">
        <f t="shared" si="63"/>
        <v>EC</v>
      </c>
      <c r="AH102" s="78" t="str">
        <f t="shared" si="72"/>
        <v>"%USERPROFILE%\Documents\GitHub\eaglep3\Utilities\RefineRTDCRunTimes.py" --tripid 190-18 --locoid 4017 --swversion DE.1.0.9.0 --startMP 204:232963 --initTime 2017-11-18T15:38:57 --startdatetime 2017-11-18T15:42:26 --delay 62 --endMP 204:216 --enddatetime 2017-11-18T16:21:31 --enforcementcount 0 &gt;&gt;%USERPROFILE%\Documents\GitHub\eaglep3-reporting\EC\2017-11-18-refined-times.txt</v>
      </c>
      <c r="AI102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{"issue":{"subject":"","project_id":79,"tracker_id":40,"status_id":1,"priority_id":2,"assigned_to_id":338,"start_date":"2017-11-18","description":"","custom_fields":[{"id":1,"name":"Subdivision","value":"EC"},{"id":4,"name":"Milepost","value":"0.0216"},{"id":17,"name":"Train ID","value":"190-18"},{"id":16,"name":"Locomotive ID","value":"4017"},{"id":130,"name":"Impact","value":""},{"id":150,"name":"Time of Event (Mountain Time)","value":"16:21:31"},{"id":151,"name":"Denver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1" t="str">
        <f t="shared" si="74"/>
        <v>start /low /b %USERPROFILE%\Documents\GitHub\eaglep3\Utilities\DownloadLogsFromS3.py --loco 4017 --day 2017-11-18</v>
      </c>
      <c r="AN102" s="150" t="str">
        <f t="shared" si="75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23:21:31"},{"id":29,"name":"Sharepoint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7" t="str">
        <f t="shared" si="76"/>
        <v>https://d0f6bd738d7f1b3e5a7ca70fe4ff75f0.us-east-1.aws.found.io/app/kibana#/discover/Steve-Slow-Train-Analysis-(2080s-and-2083s)?_g=(refreshInterval:(display:Off,pause:!f,section:0,value:0),time:(from:'2017-11-18T14:38:57-0700',mode:absolute,to:'2017-11-18T17:21:31-0700'))&amp;_a=(columns:!('Message%20ID',Summary),filters:!(),index:'emp_*',interval:auto,query:(query_string:(analyze_wildcard:!t,query:'%22rtdc.l.rtdc.4017%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829</v>
      </c>
      <c r="B103" s="7">
        <v>4024</v>
      </c>
      <c r="C103" s="21" t="s">
        <v>192</v>
      </c>
      <c r="D103" s="21" t="s">
        <v>496</v>
      </c>
      <c r="E103" s="13">
        <v>43057.621469907404</v>
      </c>
      <c r="F103" s="13">
        <v>43057.6253125</v>
      </c>
      <c r="G103" s="7">
        <v>104</v>
      </c>
      <c r="H103" s="21" t="s">
        <v>527</v>
      </c>
      <c r="I103" s="13">
        <v>43057.649965277778</v>
      </c>
      <c r="J103" s="7">
        <v>0</v>
      </c>
      <c r="K103" s="89" t="str">
        <f t="shared" si="54"/>
        <v>4023/4024</v>
      </c>
      <c r="L103" s="184" t="str">
        <f>VLOOKUP(A103,'Trips&amp;Operators'!$C$1:$G$99911,5,FALSE)</f>
        <v>SAFIEF AEIMEN</v>
      </c>
      <c r="M103" s="6">
        <f t="shared" si="55"/>
        <v>2.4652777778101154E-2</v>
      </c>
      <c r="N103" s="7">
        <f t="shared" si="78"/>
        <v>35.500000000465661</v>
      </c>
      <c r="O103" s="7"/>
      <c r="P103" s="7"/>
      <c r="Q103" s="22"/>
      <c r="R103" s="173"/>
      <c r="S103" s="220">
        <f t="shared" si="56"/>
        <v>1</v>
      </c>
      <c r="T103" s="173" t="str">
        <f t="shared" si="57"/>
        <v>NorthBound</v>
      </c>
      <c r="U103" s="19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5" t="str">
        <f t="shared" si="58"/>
        <v>https://d0f6bd738d7f1b3e5a7ca70fe4ff75f0.us-east-1.aws.found.io/app/kibana#/discover/Steve-Slow-Train-Analysis-(2080s-and-2083s)?_g=(refreshInterval:(display:Off,pause:!f,section:0,value:0),time:(from:'2017-11-18T13:54:55-0700',mode:absolute,to:'2017-11-18T16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3" s="203" t="str">
        <f>IF(AA103&lt;VLOOKUP(AG103,Variables!$AC$3:$AD$8,2,FALSE),"Y","N")</f>
        <v>N</v>
      </c>
      <c r="X103" s="203">
        <f t="shared" si="77"/>
        <v>1</v>
      </c>
      <c r="Y103" s="203">
        <f t="shared" si="70"/>
        <v>5.2200000000000003E-2</v>
      </c>
      <c r="Z103" s="203">
        <f t="shared" si="71"/>
        <v>23.321899999999999</v>
      </c>
      <c r="AA103" s="203">
        <f t="shared" si="59"/>
        <v>23.2697</v>
      </c>
      <c r="AB103" s="54" t="e">
        <f>VLOOKUP(A103,Enforcements!$C$7:$K$9,8,0)</f>
        <v>#N/A</v>
      </c>
      <c r="AC103" s="51" t="e">
        <f>VLOOKUP(A103,Enforcements!$C$7:$E$9,3,0)</f>
        <v>#N/A</v>
      </c>
      <c r="AD103" s="178">
        <f t="shared" si="60"/>
        <v>191</v>
      </c>
      <c r="AE103" s="77" t="str">
        <f t="shared" si="61"/>
        <v>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 &amp; aws s3 cp s3://rtdc.mdm.uploadarchive.raw/RTDC4024/ "%USERPROFILE%\AppData\Local\Temp\OnboardLogs"\RTDC4024\2017-11-19 --exclude "*" --recursive --include "*20171119*" &amp; "%USERPROFILE%\Documents\GitHub\mrs-test-scripts\Headless Mode &amp; Sideloading\WalkAndUnGZ.bat" "%USERPROFILE%\AppData\Local\Temp\OnboardLogs"\RTDC4024\2017-11-19</v>
      </c>
      <c r="AF103" s="74" t="str">
        <f t="shared" si="62"/>
        <v>"C:\Program Files (x86)\AstroGrep\AstroGrep.exe" /e /r /s /spath="%USERPROFILE%\AppData\Local\Temp\OnboardLogs" /stypes="app*4024*20171118*" /stext=" 22:.+((SYSTEM_STATE.+slice.+state.+changed )|(ment ac)|(multiple cpu faults)|(system.+state.+changed )|(\[timeout)|(PRM\|1\|D)|(kpr)|(kdp)|(train st.+moving)|(\|lc)|(penalty))"</v>
      </c>
      <c r="AG103" s="181" t="str">
        <f t="shared" si="63"/>
        <v>EC</v>
      </c>
      <c r="AH103" s="78" t="str">
        <f t="shared" si="72"/>
        <v>"%USERPROFILE%\Documents\GitHub\eaglep3\Utilities\RefineRTDCRunTimes.py" --tripid 191-18 --locoid 4024 --swversion DE.1.0.9.0 --startMP 204:522 --initTime 2017-11-18T14:54:55 --startdatetime 2017-11-18T15:00:27 --delay 104 --endMP 204:233219 --enddatetime 2017-11-18T15:35:57 --enforcementcount 0 &gt;&gt;%USERPROFILE%\Documents\GitHub\eaglep3-reporting\EC\2017-11-18-refined-times.txt</v>
      </c>
      <c r="AI103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{"issue":{"subject":"","project_id":79,"tracker_id":40,"status_id":1,"priority_id":2,"assigned_to_id":338,"start_date":"2017-11-18","description":"","custom_fields":[{"id":1,"name":"Subdivision","value":"EC"},{"id":4,"name":"Milepost","value":"23.3219"},{"id":17,"name":"Train ID","value":"191-18"},{"id":16,"name":"Locomotive ID","value":"4024"},{"id":130,"name":"Impact","value":""},{"id":150,"name":"Time of Event (Mountain Time)","value":"15:35:57"},{"id":151,"name":"Denver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1" t="str">
        <f t="shared" si="74"/>
        <v>start /low /b %USERPROFILE%\Documents\GitHub\eaglep3\Utilities\DownloadLogsFromS3.py --loco 4024 --day 2017-11-18</v>
      </c>
      <c r="AN103" s="150" t="str">
        <f t="shared" si="75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22:35:57"},{"id":29,"name":"Sharepoint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7" t="str">
        <f t="shared" si="76"/>
        <v>https://d0f6bd738d7f1b3e5a7ca70fe4ff75f0.us-east-1.aws.found.io/app/kibana#/discover/Steve-Slow-Train-Analysis-(2080s-and-2083s)?_g=(refreshInterval:(display:Off,pause:!f,section:0,value:0),time:(from:'2017-11-18T13:54:55-0700',mode:absolute,to:'2017-11-18T16:35:57-0700'))&amp;_a=(columns:!('Message%20ID',Summary),filters:!(),index:'emp_*',interval:auto,query:(query_string:(analyze_wildcard:!t,query:'%22rtdc.l.rtdc.4024%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836</v>
      </c>
      <c r="B104" s="7">
        <v>4023</v>
      </c>
      <c r="C104" s="21" t="s">
        <v>192</v>
      </c>
      <c r="D104" s="21" t="s">
        <v>565</v>
      </c>
      <c r="E104" s="13">
        <v>43057.651736111111</v>
      </c>
      <c r="F104" s="13">
        <v>43057.664780092593</v>
      </c>
      <c r="G104" s="7">
        <v>67</v>
      </c>
      <c r="H104" s="21" t="s">
        <v>499</v>
      </c>
      <c r="I104" s="13">
        <v>43057.692048611112</v>
      </c>
      <c r="J104" s="7">
        <v>0</v>
      </c>
      <c r="K104" s="89" t="str">
        <f t="shared" si="54"/>
        <v>4023/4024</v>
      </c>
      <c r="L104" s="184" t="str">
        <f>VLOOKUP(A104,'Trips&amp;Operators'!$C$1:$G$99911,5,FALSE)</f>
        <v>SAFIEF AEIMEN</v>
      </c>
      <c r="M104" s="6">
        <f t="shared" si="55"/>
        <v>2.7268518519122154E-2</v>
      </c>
      <c r="N104" s="7">
        <f t="shared" si="78"/>
        <v>39.266666667535901</v>
      </c>
      <c r="O104" s="7"/>
      <c r="P104" s="7"/>
      <c r="Q104" s="22"/>
      <c r="R104" s="173"/>
      <c r="S104" s="220">
        <f t="shared" si="56"/>
        <v>1</v>
      </c>
      <c r="T104" s="173" t="str">
        <f t="shared" si="57"/>
        <v>Southbound</v>
      </c>
      <c r="U104" s="19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5" t="str">
        <f t="shared" si="58"/>
        <v>https://d0f6bd738d7f1b3e5a7ca70fe4ff75f0.us-east-1.aws.found.io/app/kibana#/discover/Steve-Slow-Train-Analysis-(2080s-and-2083s)?_g=(refreshInterval:(display:Off,pause:!f,section:0,value:0),time:(from:'2017-11-18T14:38:30-0700',mode:absolute,to:'2017-11-18T17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04" s="203" t="str">
        <f>IF(AA104&lt;VLOOKUP(AG104,Variables!$AC$3:$AD$8,2,FALSE),"Y","N")</f>
        <v>N</v>
      </c>
      <c r="X104" s="203">
        <f t="shared" si="77"/>
        <v>1</v>
      </c>
      <c r="Y104" s="203">
        <f t="shared" si="70"/>
        <v>23.290199999999999</v>
      </c>
      <c r="Z104" s="203">
        <f t="shared" si="71"/>
        <v>2.18E-2</v>
      </c>
      <c r="AA104" s="203">
        <f t="shared" si="59"/>
        <v>23.2684</v>
      </c>
      <c r="AB104" s="54" t="e">
        <f>VLOOKUP(A104,Enforcements!$C$7:$K$9,8,0)</f>
        <v>#N/A</v>
      </c>
      <c r="AC104" s="51" t="e">
        <f>VLOOKUP(A104,Enforcements!$C$7:$E$9,3,0)</f>
        <v>#N/A</v>
      </c>
      <c r="AD104" s="178">
        <f t="shared" si="60"/>
        <v>192</v>
      </c>
      <c r="AE104" s="77" t="str">
        <f t="shared" si="61"/>
        <v>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 &amp; aws s3 cp s3://rtdc.mdm.uploadarchive.raw/RTDC4023/ "%USERPROFILE%\AppData\Local\Temp\OnboardLogs"\RTDC4023\2017-11-19 --exclude "*" --recursive --include "*20171119*" &amp; "%USERPROFILE%\Documents\GitHub\mrs-test-scripts\Headless Mode &amp; Sideloading\WalkAndUnGZ.bat" "%USERPROFILE%\AppData\Local\Temp\OnboardLogs"\RTDC4023\2017-11-19</v>
      </c>
      <c r="AF104" s="74" t="str">
        <f t="shared" si="62"/>
        <v>"C:\Program Files (x86)\AstroGrep\AstroGrep.exe" /e /r /s /spath="%USERPROFILE%\AppData\Local\Temp\OnboardLogs" /stypes="app*4023*20171118*" /stext=" 23:.+((SYSTEM_STATE.+slice.+state.+changed )|(ment ac)|(multiple cpu faults)|(system.+state.+changed )|(\[timeout)|(PRM\|1\|D)|(kpr)|(kdp)|(train st.+moving)|(\|lc)|(penalty))"</v>
      </c>
      <c r="AG104" s="181" t="str">
        <f t="shared" si="63"/>
        <v>EC</v>
      </c>
      <c r="AH104" s="78" t="str">
        <f t="shared" si="72"/>
        <v>"%USERPROFILE%\Documents\GitHub\eaglep3\Utilities\RefineRTDCRunTimes.py" --tripid 192-18 --locoid 4023 --swversion DE.1.0.9.0 --startMP 204:232902 --initTime 2017-11-18T15:38:30 --startdatetime 2017-11-18T15:57:17 --delay 67 --endMP 204:218 --enddatetime 2017-11-18T16:36:33 --enforcementcount 0 &gt;&gt;%USERPROFILE%\Documents\GitHub\eaglep3-reporting\EC\2017-11-18-refined-times.txt</v>
      </c>
      <c r="AI104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{"issue":{"subject":"","project_id":79,"tracker_id":40,"status_id":1,"priority_id":2,"assigned_to_id":338,"start_date":"2017-11-18","description":"","custom_fields":[{"id":1,"name":"Subdivision","value":"EC"},{"id":4,"name":"Milepost","value":"0.0218"},{"id":17,"name":"Train ID","value":"192-18"},{"id":16,"name":"Locomotive ID","value":"4023"},{"id":130,"name":"Impact","value":""},{"id":150,"name":"Time of Event (Mountain Time)","value":"16:36:33"},{"id":151,"name":"Denver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1" t="str">
        <f t="shared" si="74"/>
        <v>start /low /b %USERPROFILE%\Documents\GitHub\eaglep3\Utilities\DownloadLogsFromS3.py --loco 4023 --day 2017-11-18</v>
      </c>
      <c r="AN104" s="150" t="str">
        <f t="shared" si="75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23:36:33"},{"id":29,"name":"Sharepoint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7" t="str">
        <f t="shared" si="76"/>
        <v>https://d0f6bd738d7f1b3e5a7ca70fe4ff75f0.us-east-1.aws.found.io/app/kibana#/discover/Steve-Slow-Train-Analysis-(2080s-and-2083s)?_g=(refreshInterval:(display:Off,pause:!f,section:0,value:0),time:(from:'2017-11-18T14:38:30-0700',mode:absolute,to:'2017-11-18T17:36:33-0700'))&amp;_a=(columns:!('Message%20ID',Summary),filters:!(),index:'emp_*',interval:auto,query:(query_string:(analyze_wildcard:!t,query:'%22rtdc.l.rtdc.4023%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832</v>
      </c>
      <c r="B105" s="7">
        <v>4026</v>
      </c>
      <c r="C105" s="21" t="s">
        <v>192</v>
      </c>
      <c r="D105" s="21" t="s">
        <v>552</v>
      </c>
      <c r="E105" s="13">
        <v>43057.632326388892</v>
      </c>
      <c r="F105" s="13">
        <v>43057.63559027778</v>
      </c>
      <c r="G105" s="7">
        <v>53</v>
      </c>
      <c r="H105" s="21" t="s">
        <v>1000</v>
      </c>
      <c r="I105" s="13">
        <v>43057.660509259258</v>
      </c>
      <c r="J105" s="7">
        <v>0</v>
      </c>
      <c r="K105" s="89" t="str">
        <f t="shared" si="54"/>
        <v>4025/4026</v>
      </c>
      <c r="L105" s="184" t="str">
        <f>VLOOKUP(A105,'Trips&amp;Operators'!$C$1:$G$99911,5,FALSE)</f>
        <v>GUZMAN DANNY</v>
      </c>
      <c r="M105" s="6">
        <f t="shared" si="55"/>
        <v>2.491898147854954E-2</v>
      </c>
      <c r="N105" s="7">
        <f t="shared" si="78"/>
        <v>35.883333329111338</v>
      </c>
      <c r="O105" s="7"/>
      <c r="P105" s="7"/>
      <c r="Q105" s="22"/>
      <c r="R105" s="173"/>
      <c r="S105" s="220">
        <f t="shared" si="56"/>
        <v>1</v>
      </c>
      <c r="T105" s="173" t="str">
        <f t="shared" si="57"/>
        <v>NorthBound</v>
      </c>
      <c r="U105" s="19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5" t="str">
        <f t="shared" si="58"/>
        <v>https://d0f6bd738d7f1b3e5a7ca70fe4ff75f0.us-east-1.aws.found.io/app/kibana#/discover/Steve-Slow-Train-Analysis-(2080s-and-2083s)?_g=(refreshInterval:(display:Off,pause:!f,section:0,value:0),time:(from:'2017-11-18T14:10:33-0700',mode:absolute,to:'2017-11-18T16:51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5" s="203" t="str">
        <f>IF(AA105&lt;VLOOKUP(AG105,Variables!$AC$3:$AD$8,2,FALSE),"Y","N")</f>
        <v>N</v>
      </c>
      <c r="X105" s="203">
        <f t="shared" si="77"/>
        <v>1</v>
      </c>
      <c r="Y105" s="203">
        <f t="shared" si="70"/>
        <v>5.6800000000000003E-2</v>
      </c>
      <c r="Z105" s="203">
        <f t="shared" si="71"/>
        <v>23.316099999999999</v>
      </c>
      <c r="AA105" s="203">
        <f t="shared" si="59"/>
        <v>23.2593</v>
      </c>
      <c r="AB105" s="54" t="e">
        <f>VLOOKUP(A105,Enforcements!$C$7:$K$9,8,0)</f>
        <v>#N/A</v>
      </c>
      <c r="AC105" s="51" t="e">
        <f>VLOOKUP(A105,Enforcements!$C$7:$E$9,3,0)</f>
        <v>#N/A</v>
      </c>
      <c r="AD105" s="178">
        <f t="shared" si="60"/>
        <v>193</v>
      </c>
      <c r="AE105" s="77" t="str">
        <f t="shared" si="61"/>
        <v>aws s3 cp s3://rtdc.mdm.uploadarchive.raw/RTDC4026/ "%USERPROFILE%\AppData\Local\Temp\OnboardLogs"\RTDC4026\2017-11-18 --exclude "*" --recursive --include "*20171118*" &amp; "%USERPROFILE%\Documents\GitHub\mrs-test-scripts\Headless Mode &amp; Sideloading\WalkAndUnGZ.bat" "%USERPROFILE%\AppData\Local\Temp\OnboardLogs"\RTDC4026\2017-11-18 &amp; aws s3 cp s3://rtdc.mdm.uploadarchive.raw/RTDC4026/ "%USERPROFILE%\AppData\Local\Temp\OnboardLogs"\RTDC4026\2017-11-19 --exclude "*" --recursive --include "*20171119*" &amp; "%USERPROFILE%\Documents\GitHub\mrs-test-scripts\Headless Mode &amp; Sideloading\WalkAndUnGZ.bat" "%USERPROFILE%\AppData\Local\Temp\OnboardLogs"\RTDC4026\2017-11-19</v>
      </c>
      <c r="AF105" s="74" t="str">
        <f t="shared" si="62"/>
        <v>"C:\Program Files (x86)\AstroGrep\AstroGrep.exe" /e /r /s /spath="%USERPROFILE%\AppData\Local\Temp\OnboardLogs" /stypes="app*4026*20171118*" /stext=" 22:.+((SYSTEM_STATE.+slice.+state.+changed )|(ment ac)|(multiple cpu faults)|(system.+state.+changed )|(\[timeout)|(PRM\|1\|D)|(kpr)|(kdp)|(train st.+moving)|(\|lc)|(penalty))"</v>
      </c>
      <c r="AG105" s="181" t="str">
        <f t="shared" si="63"/>
        <v>EC</v>
      </c>
      <c r="AH105" s="78" t="str">
        <f t="shared" si="72"/>
        <v>"%USERPROFILE%\Documents\GitHub\eaglep3\Utilities\RefineRTDCRunTimes.py" --tripid 193-18 --locoid 4026 --swversion DE.1.0.9.0 --startMP 204:568 --initTime 2017-11-18T15:10:33 --startdatetime 2017-11-18T15:15:15 --delay 53 --endMP 204:233161 --enddatetime 2017-11-18T15:51:08 --enforcementcount 0 &gt;&gt;%USERPROFILE%\Documents\GitHub\eaglep3-reporting\EC\2017-11-18-refined-times.txt</v>
      </c>
      <c r="AI105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{"issue":{"subject":"","project_id":79,"tracker_id":40,"status_id":1,"priority_id":2,"assigned_to_id":338,"start_date":"2017-11-18","description":"","custom_fields":[{"id":1,"name":"Subdivision","value":"EC"},{"id":4,"name":"Milepost","value":"23.3161"},{"id":17,"name":"Train ID","value":"193-18"},{"id":16,"name":"Locomotive ID","value":"4026"},{"id":130,"name":"Impact","value":""},{"id":150,"name":"Time of Event (Mountain Time)","value":"15:51:08"},{"id":151,"name":"Denver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1" t="str">
        <f t="shared" si="74"/>
        <v>start /low /b %USERPROFILE%\Documents\GitHub\eaglep3\Utilities\DownloadLogsFromS3.py --loco 4026 --day 2017-11-18</v>
      </c>
      <c r="AN105" s="150" t="str">
        <f t="shared" si="75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22:51:08"},{"id":29,"name":"Sharepoint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7" t="str">
        <f t="shared" si="76"/>
        <v>https://d0f6bd738d7f1b3e5a7ca70fe4ff75f0.us-east-1.aws.found.io/app/kibana#/discover/Steve-Slow-Train-Analysis-(2080s-and-2083s)?_g=(refreshInterval:(display:Off,pause:!f,section:0,value:0),time:(from:'2017-11-18T14:10:33-0700',mode:absolute,to:'2017-11-18T16:51:08-0700'))&amp;_a=(columns:!('Message%20ID',Summary),filters:!(),index:'emp_*',interval:auto,query:(query_string:(analyze_wildcard:!t,query:'%22rtdc.l.rtdc.4026%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841</v>
      </c>
      <c r="B106" s="7">
        <v>4025</v>
      </c>
      <c r="C106" s="21" t="s">
        <v>192</v>
      </c>
      <c r="D106" s="21" t="s">
        <v>552</v>
      </c>
      <c r="E106" s="13">
        <v>43057.632326388892</v>
      </c>
      <c r="F106" s="13">
        <v>43057.675173611111</v>
      </c>
      <c r="G106" s="7">
        <v>53</v>
      </c>
      <c r="H106" s="21" t="s">
        <v>1000</v>
      </c>
      <c r="I106" s="13">
        <v>43057.700810185182</v>
      </c>
      <c r="J106" s="7">
        <v>0</v>
      </c>
      <c r="K106" s="89" t="str">
        <f t="shared" si="54"/>
        <v>4025/4026</v>
      </c>
      <c r="L106" s="184" t="str">
        <f>VLOOKUP(A106,'Trips&amp;Operators'!$C$1:$G$99911,5,FALSE)</f>
        <v>GUZMAN DANNY</v>
      </c>
      <c r="M106" s="6">
        <f t="shared" si="55"/>
        <v>2.5636574071540963E-2</v>
      </c>
      <c r="N106" s="7">
        <f t="shared" si="78"/>
        <v>36.916666663018987</v>
      </c>
      <c r="O106" s="7"/>
      <c r="P106" s="7"/>
      <c r="Q106" s="22"/>
      <c r="R106" s="173"/>
      <c r="S106" s="220">
        <f t="shared" si="56"/>
        <v>1</v>
      </c>
      <c r="T106" s="173" t="str">
        <f t="shared" si="57"/>
        <v>Southbound</v>
      </c>
      <c r="U106" s="19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5" t="str">
        <f t="shared" si="58"/>
        <v>https://d0f6bd738d7f1b3e5a7ca70fe4ff75f0.us-east-1.aws.found.io/app/kibana#/discover/Steve-Slow-Train-Analysis-(2080s-and-2083s)?_g=(refreshInterval:(display:Off,pause:!f,section:0,value:0),time:(from:'2017-11-18T14:10:33-0700',mode:absolute,to:'2017-11-18T17:49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6" s="203" t="str">
        <f>IF(AA106&lt;VLOOKUP(AG106,Variables!$AC$3:$AD$8,2,FALSE),"Y","N")</f>
        <v>N</v>
      </c>
      <c r="X106" s="203">
        <f t="shared" si="77"/>
        <v>1</v>
      </c>
      <c r="Y106" s="203">
        <v>23.290199999999999</v>
      </c>
      <c r="Z106" s="203">
        <v>2.18E-2</v>
      </c>
      <c r="AA106" s="203">
        <f t="shared" si="59"/>
        <v>23.2684</v>
      </c>
      <c r="AB106" s="54" t="e">
        <f>VLOOKUP(A106,Enforcements!$C$7:$K$9,8,0)</f>
        <v>#N/A</v>
      </c>
      <c r="AC106" s="51" t="e">
        <f>VLOOKUP(A106,Enforcements!$C$7:$E$9,3,0)</f>
        <v>#N/A</v>
      </c>
      <c r="AD106" s="178">
        <f t="shared" si="60"/>
        <v>194</v>
      </c>
      <c r="AE106" s="77" t="str">
        <f t="shared" si="61"/>
        <v>aws s3 cp s3://rtdc.mdm.uploadarchive.raw/RTDC4025/ "%USERPROFILE%\AppData\Local\Temp\OnboardLogs"\RTDC4025\2017-11-18 --exclude "*" --recursive --include "*20171118*" &amp; "%USERPROFILE%\Documents\GitHub\mrs-test-scripts\Headless Mode &amp; Sideloading\WalkAndUnGZ.bat" "%USERPROFILE%\AppData\Local\Temp\OnboardLogs"\RTDC4025\2017-11-18 &amp; aws s3 cp s3://rtdc.mdm.uploadarchive.raw/RTDC4025/ "%USERPROFILE%\AppData\Local\Temp\OnboardLogs"\RTDC4025\2017-11-19 --exclude "*" --recursive --include "*20171119*" &amp; "%USERPROFILE%\Documents\GitHub\mrs-test-scripts\Headless Mode &amp; Sideloading\WalkAndUnGZ.bat" "%USERPROFILE%\AppData\Local\Temp\OnboardLogs"\RTDC4025\2017-11-19</v>
      </c>
      <c r="AF106" s="74" t="str">
        <f t="shared" si="62"/>
        <v>"C:\Program Files (x86)\AstroGrep\AstroGrep.exe" /e /r /s /spath="%USERPROFILE%\AppData\Local\Temp\OnboardLogs" /stypes="app*4025*20171118*" /stext=" 23:.+((SYSTEM_STATE.+slice.+state.+changed )|(ment ac)|(multiple cpu faults)|(system.+state.+changed )|(\[timeout)|(PRM\|1\|D)|(kpr)|(kdp)|(train st.+moving)|(\|lc)|(penalty))"</v>
      </c>
      <c r="AG106" s="181" t="str">
        <f t="shared" si="63"/>
        <v>EC</v>
      </c>
      <c r="AH106" s="78" t="str">
        <f t="shared" ref="AH106" si="79">refinertdcruntimes&amp;" --tripid "&amp;A106&amp;" --locoid "&amp;B106&amp;" --swversion "&amp;C106&amp;" --startMP "&amp;D106&amp;" --initTime "&amp;TEXT(E106,"yyyy-mm-ddTHH:MM:SS")&amp;" --startdatetime "&amp;TEXT(F106,"yyyy-mm-ddTHH:MM:SS")&amp;" --delay "&amp;G106&amp;" --endMP "&amp;H106&amp;" --enddatetime "&amp;TEXT(I106,"yyyy-mm-ddTHH:MM:SS")&amp;" --enforcementcount "&amp;J106&amp;IF(outputrefinedruntimes," &gt;&gt;"&amp;RefinedRTDCRunTimesOutputFile,"")</f>
        <v>"%USERPROFILE%\Documents\GitHub\eaglep3\Utilities\RefineRTDCRunTimes.py" --tripid 194-18 --locoid 4025 --swversion DE.1.0.9.0 --startMP 204:568 --initTime 2017-11-18T15:10:33 --startdatetime 2017-11-18T16:12:15 --delay 53 --endMP 204:233161 --enddatetime 2017-11-18T16:49:10 --enforcementcount 0 &gt;&gt;%USERPROFILE%\Documents\GitHub\eaglep3-reporting\EC\2017-11-18-refined-times.txt</v>
      </c>
      <c r="AI106" s="96" t="str">
        <f t="shared" ref="AI106" si="80">"echo {""issue"":{""subject"":"""&amp;R106&amp;""",""project_id"":79,""tracker_id"":40,""status_id"":"&amp;redmine_status&amp;",""priority_id"":"&amp;redmine_priority&amp;",""assigned_to_id"":"&amp;redmine_assignee&amp;",""start_date"":"""&amp;TEXT(I106,"YYYY-mm-dd")&amp;""",""description"":"""&amp;AJ106&amp;""",""custom_fields"":[{""id"":1,""name"":""Subdivision"",""value"":"""&amp;AG106&amp;"""},{""id"":4,""name"":""Milepost"",""value"":"""&amp;Z106&amp;"""},{""id"":17,""name"":""Train ID"",""value"":"""&amp;A106&amp;"""},{""id"":16,""name"":""Locomotive ID"",""value"":"""&amp;B106&amp;"""},{""id"":130,""name"":""Impact"",""value"":"""&amp;AK106&amp;"""},{""id"":150,""name"":""Time of Event (Mountain Time)"",""value"":"""&amp;TEXT(I106,"hh:mm:ss")&amp;"""},{""id"":151,""name"":""Denver Issue ID"",""value"":"""&amp;"""},{""id"":178,""name"":""Operational Impact"",""value"":"""&amp;redmine_op_impact&amp;"""},{""id"":179,""name"":""Denver Segment Assigned"",""value"":"""&amp;AL106&amp;"""}]}}"&amp;"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{"issue":{"subject":"","project_id":79,"tracker_id":40,"status_id":1,"priority_id":2,"assigned_to_id":338,"start_date":"2017-11-18","description":"","custom_fields":[{"id":1,"name":"Subdivision","value":"EC"},{"id":4,"name":"Milepost","value":"0.0218"},{"id":17,"name":"Train ID","value":"194-18"},{"id":16,"name":"Locomotive ID","value":"4025"},{"id":130,"name":"Impact","value":""},{"id":150,"name":"Time of Event (Mountain Time)","value":"16:49:10"},{"id":151,"name":"Denver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1" t="str">
        <f t="shared" ref="AM106" si="81">"start /low /b "&amp;dls3logs&amp;" --loco "&amp;B106&amp;" --day "&amp;TEXT(F106,"YYYY-MM-DD")</f>
        <v>start /low /b %USERPROFILE%\Documents\GitHub\eaglep3\Utilities\DownloadLogsFromS3.py --loco 4025 --day 2017-11-18</v>
      </c>
      <c r="AN106" s="150" t="str">
        <f t="shared" ref="AN106" si="82">"echo {""issue"":{""subject"":"""&amp;R106&amp;""",""project_id"":30,""tracker_id"":4,""status_id"":"&amp;redmine_status_wcr&amp;",""priority_id"":"&amp;redmine_priority_wcr&amp;",""assigned_to_id"":"&amp;redmine_assignee_wcr&amp;",""start_date"":"""&amp;TEXT(I106-utc_offset/24,"YYYY-mm-dd")&amp;""",""description"":"""&amp;AJ106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23:49:10"},{"id":29,"name":"Sharepoint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7" t="str">
        <f t="shared" ref="AO106" si="83"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Message%20ID',Summary),filters:!(),index:'emp_*',interval:auto,query:"&amp;"(query_string:(analyze_wildcard:!t,query:'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-11-18T14:10:33-0700',mode:absolute,to:'2017-11-18T17:49:10-0700'))&amp;_a=(columns:!('Message%20ID',Summary),filters:!(),index:'emp_*',interval:auto,query:(query_string:(analyze_wildcard:!t,query:'%22rtdc.l.rtdc.4025%22')),sort:!(Time.ISO8601,asc))</v>
      </c>
    </row>
    <row r="107" spans="1:91" s="20" customFormat="1" x14ac:dyDescent="0.25">
      <c r="A107" s="32" t="s">
        <v>833</v>
      </c>
      <c r="B107" s="7">
        <v>4008</v>
      </c>
      <c r="C107" s="21" t="s">
        <v>192</v>
      </c>
      <c r="D107" s="21" t="s">
        <v>511</v>
      </c>
      <c r="E107" s="13">
        <v>43057.641377314816</v>
      </c>
      <c r="F107" s="13">
        <v>43057.646006944444</v>
      </c>
      <c r="G107" s="7">
        <v>80</v>
      </c>
      <c r="H107" s="21" t="s">
        <v>1001</v>
      </c>
      <c r="I107" s="13">
        <v>43057.672152777777</v>
      </c>
      <c r="J107" s="7">
        <v>0</v>
      </c>
      <c r="K107" s="89" t="str">
        <f t="shared" si="54"/>
        <v>4007/4008</v>
      </c>
      <c r="L107" s="184" t="str">
        <f>VLOOKUP(A107,'Trips&amp;Operators'!$C$1:$G$99911,5,FALSE)</f>
        <v>BADERTSCHER DIANE</v>
      </c>
      <c r="M107" s="6">
        <f t="shared" si="55"/>
        <v>2.6145833333430346E-2</v>
      </c>
      <c r="N107" s="7">
        <f t="shared" si="78"/>
        <v>37.650000000139698</v>
      </c>
      <c r="O107" s="7"/>
      <c r="P107" s="7"/>
      <c r="Q107" s="22"/>
      <c r="R107" s="173"/>
      <c r="S107" s="220">
        <f t="shared" si="56"/>
        <v>1</v>
      </c>
      <c r="T107" s="173" t="str">
        <f t="shared" si="57"/>
        <v>NorthBound</v>
      </c>
      <c r="U107" s="19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5" t="str">
        <f t="shared" si="58"/>
        <v>https://d0f6bd738d7f1b3e5a7ca70fe4ff75f0.us-east-1.aws.found.io/app/kibana#/discover/Steve-Slow-Train-Analysis-(2080s-and-2083s)?_g=(refreshInterval:(display:Off,pause:!f,section:0,value:0),time:(from:'2017-11-18T14:23:35-0700',mode:absolute,to:'2017-11-18T17:07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7" s="203" t="str">
        <f>IF(AA107&lt;VLOOKUP(AG107,Variables!$AC$3:$AD$8,2,FALSE),"Y","N")</f>
        <v>N</v>
      </c>
      <c r="X107" s="203">
        <f t="shared" si="77"/>
        <v>1</v>
      </c>
      <c r="Y107" s="203">
        <f t="shared" ref="Y107:Y153" si="84">RIGHT(D107,LEN(D107)-4)/10000</f>
        <v>5.2600000000000001E-2</v>
      </c>
      <c r="Z107" s="203">
        <f t="shared" ref="Z107:Z153" si="85">RIGHT(H107,LEN(H107)-4)/10000</f>
        <v>23.320399999999999</v>
      </c>
      <c r="AA107" s="203">
        <f t="shared" si="59"/>
        <v>23.267799999999998</v>
      </c>
      <c r="AB107" s="54" t="e">
        <f>VLOOKUP(A107,Enforcements!$C$7:$K$9,8,0)</f>
        <v>#N/A</v>
      </c>
      <c r="AC107" s="51" t="e">
        <f>VLOOKUP(A107,Enforcements!$C$7:$E$9,3,0)</f>
        <v>#N/A</v>
      </c>
      <c r="AD107" s="178">
        <f t="shared" si="60"/>
        <v>195</v>
      </c>
      <c r="AE107" s="77" t="str">
        <f t="shared" si="61"/>
        <v>aws s3 cp s3://rtdc.mdm.uploadarchive.raw/RTDC4008/ "%USERPROFILE%\AppData\Local\Temp\OnboardLogs"\RTDC4008\2017-11-18 --exclude "*" --recursive --include "*20171118*" &amp; "%USERPROFILE%\Documents\GitHub\mrs-test-scripts\Headless Mode &amp; Sideloading\WalkAndUnGZ.bat" "%USERPROFILE%\AppData\Local\Temp\OnboardLogs"\RTDC4008\2017-11-18 &amp; aws s3 cp s3://rtdc.mdm.uploadarchive.raw/RTDC4008/ "%USERPROFILE%\AppData\Local\Temp\OnboardLogs"\RTDC4008\2017-11-19 --exclude "*" --recursive --include "*20171119*" &amp; "%USERPROFILE%\Documents\GitHub\mrs-test-scripts\Headless Mode &amp; Sideloading\WalkAndUnGZ.bat" "%USERPROFILE%\AppData\Local\Temp\OnboardLogs"\RTDC4008\2017-11-19</v>
      </c>
      <c r="AF107" s="74" t="str">
        <f t="shared" si="62"/>
        <v>"C:\Program Files (x86)\AstroGrep\AstroGrep.exe" /e /r /s /spath="%USERPROFILE%\AppData\Local\Temp\OnboardLogs" /stypes="app*4008*20171118*" /stext=" 23:.+((SYSTEM_STATE.+slice.+state.+changed )|(ment ac)|(multiple cpu faults)|(system.+state.+changed )|(\[timeout)|(PRM\|1\|D)|(kpr)|(kdp)|(train st.+moving)|(\|lc)|(penalty))"</v>
      </c>
      <c r="AG107" s="181" t="str">
        <f t="shared" si="63"/>
        <v>EC</v>
      </c>
      <c r="AH107" s="78" t="str">
        <f t="shared" si="72"/>
        <v>"%USERPROFILE%\Documents\GitHub\eaglep3\Utilities\RefineRTDCRunTimes.py" --tripid 195-18 --locoid 4008 --swversion DE.1.0.9.0 --startMP 204:526 --initTime 2017-11-18T15:23:35 --startdatetime 2017-11-18T15:30:15 --delay 80 --endMP 204:233204 --enddatetime 2017-11-18T16:07:54 --enforcementcount 0 &gt;&gt;%USERPROFILE%\Documents\GitHub\eaglep3-reporting\EC\2017-11-18-refined-times.txt</v>
      </c>
      <c r="AI107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{"issue":{"subject":"","project_id":79,"tracker_id":40,"status_id":1,"priority_id":2,"assigned_to_id":338,"start_date":"2017-11-18","description":"","custom_fields":[{"id":1,"name":"Subdivision","value":"EC"},{"id":4,"name":"Milepost","value":"23.3204"},{"id":17,"name":"Train ID","value":"195-18"},{"id":16,"name":"Locomotive ID","value":"4008"},{"id":130,"name":"Impact","value":""},{"id":150,"name":"Time of Event (Mountain Time)","value":"16:07:54"},{"id":151,"name":"Denver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1" t="str">
        <f t="shared" si="74"/>
        <v>start /low /b %USERPROFILE%\Documents\GitHub\eaglep3\Utilities\DownloadLogsFromS3.py --loco 4008 --day 2017-11-18</v>
      </c>
      <c r="AN107" s="150" t="str">
        <f t="shared" si="75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23:07:54"},{"id":29,"name":"Sharepoint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7" t="str">
        <f t="shared" si="76"/>
        <v>https://d0f6bd738d7f1b3e5a7ca70fe4ff75f0.us-east-1.aws.found.io/app/kibana#/discover/Steve-Slow-Train-Analysis-(2080s-and-2083s)?_g=(refreshInterval:(display:Off,pause:!f,section:0,value:0),time:(from:'2017-11-18T14:23:35-0700',mode:absolute,to:'2017-11-18T17:07:54-0700'))&amp;_a=(columns:!('Message%20ID',Summary),filters:!(),index:'emp_*',interval:auto,query:(query_string:(analyze_wildcard:!t,query:'%22rtdc.l.rtdc.4008%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843</v>
      </c>
      <c r="B108" s="7">
        <v>4007</v>
      </c>
      <c r="C108" s="21" t="s">
        <v>192</v>
      </c>
      <c r="D108" s="21" t="s">
        <v>650</v>
      </c>
      <c r="E108" s="13">
        <v>43057.682222222225</v>
      </c>
      <c r="F108" s="13">
        <v>43057.685601851852</v>
      </c>
      <c r="G108" s="7">
        <v>76</v>
      </c>
      <c r="H108" s="21" t="s">
        <v>1002</v>
      </c>
      <c r="I108" s="13">
        <v>43057.712800925925</v>
      </c>
      <c r="J108" s="7">
        <v>0</v>
      </c>
      <c r="K108" s="89" t="str">
        <f t="shared" si="54"/>
        <v>4007/4008</v>
      </c>
      <c r="L108" s="184" t="str">
        <f>VLOOKUP(A108,'Trips&amp;Operators'!$C$1:$G$99911,5,FALSE)</f>
        <v>BADERTSCHER DIANE</v>
      </c>
      <c r="M108" s="6">
        <f t="shared" si="55"/>
        <v>2.7199074072996154E-2</v>
      </c>
      <c r="N108" s="7">
        <f t="shared" si="78"/>
        <v>39.166666665114462</v>
      </c>
      <c r="O108" s="7"/>
      <c r="P108" s="7"/>
      <c r="Q108" s="22"/>
      <c r="R108" s="173"/>
      <c r="S108" s="220">
        <f t="shared" si="56"/>
        <v>1</v>
      </c>
      <c r="T108" s="173" t="str">
        <f t="shared" si="57"/>
        <v>Southbound</v>
      </c>
      <c r="U108" s="19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5" t="str">
        <f t="shared" si="58"/>
        <v>https://d0f6bd738d7f1b3e5a7ca70fe4ff75f0.us-east-1.aws.found.io/app/kibana#/discover/Steve-Slow-Train-Analysis-(2080s-and-2083s)?_g=(refreshInterval:(display:Off,pause:!f,section:0,value:0),time:(from:'2017-11-18T15:22:24-0700',mode:absolute,to:'2017-11-18T18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8" s="203" t="str">
        <f>IF(AA108&lt;VLOOKUP(AG108,Variables!$AC$3:$AD$8,2,FALSE),"Y","N")</f>
        <v>N</v>
      </c>
      <c r="X108" s="203">
        <f t="shared" si="77"/>
        <v>1</v>
      </c>
      <c r="Y108" s="203">
        <f t="shared" si="84"/>
        <v>23.2883</v>
      </c>
      <c r="Z108" s="203">
        <f t="shared" si="85"/>
        <v>2.52E-2</v>
      </c>
      <c r="AA108" s="203">
        <f t="shared" si="59"/>
        <v>23.263099999999998</v>
      </c>
      <c r="AB108" s="54" t="e">
        <f>VLOOKUP(A108,Enforcements!$C$7:$K$9,8,0)</f>
        <v>#N/A</v>
      </c>
      <c r="AC108" s="51" t="e">
        <f>VLOOKUP(A108,Enforcements!$C$7:$E$9,3,0)</f>
        <v>#N/A</v>
      </c>
      <c r="AD108" s="178">
        <f t="shared" si="60"/>
        <v>196</v>
      </c>
      <c r="AE108" s="77" t="str">
        <f t="shared" si="61"/>
        <v>aws s3 cp s3://rtdc.mdm.uploadarchive.raw/RTDC4007/ "%USERPROFILE%\AppData\Local\Temp\OnboardLogs"\RTDC4007\2017-11-18 --exclude "*" --recursive --include "*20171118*" &amp; "%USERPROFILE%\Documents\GitHub\mrs-test-scripts\Headless Mode &amp; Sideloading\WalkAndUnGZ.bat" "%USERPROFILE%\AppData\Local\Temp\OnboardLogs"\RTDC4007\2017-11-18 &amp; aws s3 cp s3://rtdc.mdm.uploadarchive.raw/RTDC4007/ "%USERPROFILE%\AppData\Local\Temp\OnboardLogs"\RTDC4007\2017-11-19 --exclude "*" --recursive --include "*20171119*" &amp; "%USERPROFILE%\Documents\GitHub\mrs-test-scripts\Headless Mode &amp; Sideloading\WalkAndUnGZ.bat" "%USERPROFILE%\AppData\Local\Temp\OnboardLogs"\RTDC4007\2017-11-19</v>
      </c>
      <c r="AF108" s="74" t="str">
        <f t="shared" si="62"/>
        <v>"C:\Program Files (x86)\AstroGrep\AstroGrep.exe" /e /r /s /spath="%USERPROFILE%\AppData\Local\Temp\OnboardLogs" /stypes="app*4007*20171119*" /stext=" 00:.+((SYSTEM_STATE.+slice.+state.+changed )|(ment ac)|(multiple cpu faults)|(system.+state.+changed )|(\[timeout)|(PRM\|1\|D)|(kpr)|(kdp)|(train st.+moving)|(\|lc)|(penalty))"</v>
      </c>
      <c r="AG108" s="181" t="str">
        <f t="shared" si="63"/>
        <v>EC</v>
      </c>
      <c r="AH108" s="78" t="str">
        <f t="shared" si="72"/>
        <v>"%USERPROFILE%\Documents\GitHub\eaglep3\Utilities\RefineRTDCRunTimes.py" --tripid 196-18 --locoid 4007 --swversion DE.1.0.9.0 --startMP 204:232883 --initTime 2017-11-18T16:22:24 --startdatetime 2017-11-18T16:27:16 --delay 76 --endMP 204:252 --enddatetime 2017-11-18T17:06:26 --enforcementcount 0 &gt;&gt;%USERPROFILE%\Documents\GitHub\eaglep3-reporting\EC\2017-11-18-refined-times.txt</v>
      </c>
      <c r="AI108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{"issue":{"subject":"","project_id":79,"tracker_id":40,"status_id":1,"priority_id":2,"assigned_to_id":338,"start_date":"2017-11-18","description":"","custom_fields":[{"id":1,"name":"Subdivision","value":"EC"},{"id":4,"name":"Milepost","value":"0.0252"},{"id":17,"name":"Train ID","value":"196-18"},{"id":16,"name":"Locomotive ID","value":"4007"},{"id":130,"name":"Impact","value":""},{"id":150,"name":"Time of Event (Mountain Time)","value":"17:06:26"},{"id":151,"name":"Denver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1" t="str">
        <f t="shared" si="74"/>
        <v>start /low /b %USERPROFILE%\Documents\GitHub\eaglep3\Utilities\DownloadLogsFromS3.py --loco 4007 --day 2017-11-18</v>
      </c>
      <c r="AN108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00:06:26"},{"id":29,"name":"Sharepoint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7" t="str">
        <f t="shared" si="76"/>
        <v>https://d0f6bd738d7f1b3e5a7ca70fe4ff75f0.us-east-1.aws.found.io/app/kibana#/discover/Steve-Slow-Train-Analysis-(2080s-and-2083s)?_g=(refreshInterval:(display:Off,pause:!f,section:0,value:0),time:(from:'2017-11-18T15:22:24-0700',mode:absolute,to:'2017-11-18T18:06:26-0700'))&amp;_a=(columns:!('Message%20ID',Summary),filters:!(),index:'emp_*',interval:auto,query:(query_string:(analyze_wildcard:!t,query:'%22rtdc.l.rtdc.4007%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838</v>
      </c>
      <c r="B109" s="7">
        <v>4022</v>
      </c>
      <c r="C109" s="21" t="s">
        <v>192</v>
      </c>
      <c r="D109" s="21" t="s">
        <v>513</v>
      </c>
      <c r="E109" s="13">
        <v>43057.653182870374</v>
      </c>
      <c r="F109" s="13">
        <v>43057.6565625</v>
      </c>
      <c r="G109" s="7">
        <v>111</v>
      </c>
      <c r="H109" s="21" t="s">
        <v>644</v>
      </c>
      <c r="I109" s="13">
        <v>43057.681956018518</v>
      </c>
      <c r="J109" s="7">
        <v>0</v>
      </c>
      <c r="K109" s="89" t="str">
        <f t="shared" ref="K109:K140" si="86">IF(ISEVEN(B109),(B109-1)&amp;"/"&amp;B109,B109&amp;"/"&amp;(B109+1))</f>
        <v>4021/4022</v>
      </c>
      <c r="L109" s="184" t="str">
        <f>VLOOKUP(A109,'Trips&amp;Operators'!$C$1:$G$99911,5,FALSE)</f>
        <v>BERLING GARY</v>
      </c>
      <c r="M109" s="6">
        <f t="shared" ref="M109:M140" si="87">I109-F109</f>
        <v>2.5393518517375924E-2</v>
      </c>
      <c r="N109" s="7">
        <f t="shared" si="78"/>
        <v>36.56666666502133</v>
      </c>
      <c r="O109" s="7"/>
      <c r="P109" s="7"/>
      <c r="Q109" s="22"/>
      <c r="R109" s="173"/>
      <c r="S109" s="220">
        <f t="shared" ref="S109:S140" si="88">1/IF(AG109="EC",12,1)*SUM(U109:U109)</f>
        <v>1</v>
      </c>
      <c r="T109" s="173" t="str">
        <f t="shared" ref="T109:T140" si="89">IF(ISEVEN(LEFT(AD109,4)),"Southbound","NorthBound")</f>
        <v>NorthBound</v>
      </c>
      <c r="U109" s="19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5" t="str">
        <f t="shared" si="58"/>
        <v>https://d0f6bd738d7f1b3e5a7ca70fe4ff75f0.us-east-1.aws.found.io/app/kibana#/discover/Steve-Slow-Train-Analysis-(2080s-and-2083s)?_g=(refreshInterval:(display:Off,pause:!f,section:0,value:0),time:(from:'2017-11-18T14:40:35-0700',mode:absolute,to:'2017-11-18T17:22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9" s="203" t="str">
        <f>IF(AA109&lt;VLOOKUP(AG109,Variables!$AC$3:$AD$8,2,FALSE),"Y","N")</f>
        <v>N</v>
      </c>
      <c r="X109" s="203">
        <f t="shared" ref="X109:X112" si="90">VALUE(LEFT(AD109,4))-VALUE(LEFT(AD108,4))</f>
        <v>1</v>
      </c>
      <c r="Y109" s="203">
        <f t="shared" si="84"/>
        <v>5.1299999999999998E-2</v>
      </c>
      <c r="Z109" s="203">
        <f t="shared" si="85"/>
        <v>23.3215</v>
      </c>
      <c r="AA109" s="203">
        <f t="shared" ref="AA109:AA140" si="91">ABS(Z109-Y109)</f>
        <v>23.270199999999999</v>
      </c>
      <c r="AB109" s="54" t="e">
        <f>VLOOKUP(A109,Enforcements!$C$7:$K$9,8,0)</f>
        <v>#N/A</v>
      </c>
      <c r="AC109" s="51" t="e">
        <f>VLOOKUP(A109,Enforcements!$C$7:$E$9,3,0)</f>
        <v>#N/A</v>
      </c>
      <c r="AD109" s="178">
        <f t="shared" ref="AD109:AD140" si="92">VALUE(LEFT(A109,LEN(A109)-3))</f>
        <v>197</v>
      </c>
      <c r="AE109" s="77" t="str">
        <f t="shared" si="61"/>
        <v>aws s3 cp s3://rtdc.mdm.uploadarchive.raw/RTDC4022/ "%USERPROFILE%\AppData\Local\Temp\OnboardLogs"\RTDC4022\2017-11-18 --exclude "*" --recursive --include "*20171118*" &amp; "%USERPROFILE%\Documents\GitHub\mrs-test-scripts\Headless Mode &amp; Sideloading\WalkAndUnGZ.bat" "%USERPROFILE%\AppData\Local\Temp\OnboardLogs"\RTDC4022\2017-11-18 &amp; aws s3 cp s3://rtdc.mdm.uploadarchive.raw/RTDC4022/ "%USERPROFILE%\AppData\Local\Temp\OnboardLogs"\RTDC4022\2017-11-19 --exclude "*" --recursive --include "*20171119*" &amp; "%USERPROFILE%\Documents\GitHub\mrs-test-scripts\Headless Mode &amp; Sideloading\WalkAndUnGZ.bat" "%USERPROFILE%\AppData\Local\Temp\OnboardLogs"\RTDC4022\2017-11-19</v>
      </c>
      <c r="AF109" s="74" t="str">
        <f t="shared" si="62"/>
        <v>"C:\Program Files (x86)\AstroGrep\AstroGrep.exe" /e /r /s /spath="%USERPROFILE%\AppData\Local\Temp\OnboardLogs" /stypes="app*4022*20171118*" /stext=" 23:.+((SYSTEM_STATE.+slice.+state.+changed )|(ment ac)|(multiple cpu faults)|(system.+state.+changed )|(\[timeout)|(PRM\|1\|D)|(kpr)|(kdp)|(train st.+moving)|(\|lc)|(penalty))"</v>
      </c>
      <c r="AG109" s="181" t="str">
        <f t="shared" ref="AG109:AG140" si="93">DetSubdiv(A109)</f>
        <v>EC</v>
      </c>
      <c r="AH109" s="78" t="str">
        <f t="shared" si="72"/>
        <v>"%USERPROFILE%\Documents\GitHub\eaglep3\Utilities\RefineRTDCRunTimes.py" --tripid 197-18 --locoid 4022 --swversion DE.1.0.9.0 --startMP 204:513 --initTime 2017-11-18T15:40:35 --startdatetime 2017-11-18T15:45:27 --delay 111 --endMP 204:233215 --enddatetime 2017-11-18T16:22:01 --enforcementcount 0 &gt;&gt;%USERPROFILE%\Documents\GitHub\eaglep3-reporting\EC\2017-11-18-refined-times.txt</v>
      </c>
      <c r="AI109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{"issue":{"subject":"","project_id":79,"tracker_id":40,"status_id":1,"priority_id":2,"assigned_to_id":338,"start_date":"2017-11-18","description":"","custom_fields":[{"id":1,"name":"Subdivision","value":"EC"},{"id":4,"name":"Milepost","value":"23.3215"},{"id":17,"name":"Train ID","value":"197-18"},{"id":16,"name":"Locomotive ID","value":"4022"},{"id":130,"name":"Impact","value":""},{"id":150,"name":"Time of Event (Mountain Time)","value":"16:22:01"},{"id":151,"name":"Denver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1" t="str">
        <f t="shared" si="74"/>
        <v>start /low /b %USERPROFILE%\Documents\GitHub\eaglep3\Utilities\DownloadLogsFromS3.py --loco 4022 --day 2017-11-18</v>
      </c>
      <c r="AN109" s="150" t="str">
        <f t="shared" si="75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23:22:01"},{"id":29,"name":"Sharepoint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7" t="str">
        <f t="shared" si="76"/>
        <v>https://d0f6bd738d7f1b3e5a7ca70fe4ff75f0.us-east-1.aws.found.io/app/kibana#/discover/Steve-Slow-Train-Analysis-(2080s-and-2083s)?_g=(refreshInterval:(display:Off,pause:!f,section:0,value:0),time:(from:'2017-11-18T14:40:35-0700',mode:absolute,to:'2017-11-18T17:22:01-0700'))&amp;_a=(columns:!('Message%20ID',Summary),filters:!(),index:'emp_*',interval:auto,query:(query_string:(analyze_wildcard:!t,query:'%22rtdc.l.rtdc.4022%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847</v>
      </c>
      <c r="B110" s="7">
        <v>4021</v>
      </c>
      <c r="C110" s="21" t="s">
        <v>192</v>
      </c>
      <c r="D110" s="21" t="s">
        <v>953</v>
      </c>
      <c r="E110" s="13">
        <v>43057.688518518517</v>
      </c>
      <c r="F110" s="13">
        <v>43057.696006944447</v>
      </c>
      <c r="G110" s="7">
        <v>79</v>
      </c>
      <c r="H110" s="21" t="s">
        <v>556</v>
      </c>
      <c r="I110" s="13">
        <v>43057.72283564815</v>
      </c>
      <c r="J110" s="7">
        <v>0</v>
      </c>
      <c r="K110" s="89" t="str">
        <f t="shared" si="86"/>
        <v>4021/4022</v>
      </c>
      <c r="L110" s="184" t="str">
        <f>VLOOKUP(A110,'Trips&amp;Operators'!$C$1:$G$99911,5,FALSE)</f>
        <v>BERLING GARY</v>
      </c>
      <c r="M110" s="6">
        <f t="shared" si="87"/>
        <v>2.6828703703358769E-2</v>
      </c>
      <c r="N110" s="7">
        <f t="shared" si="78"/>
        <v>38.633333332836628</v>
      </c>
      <c r="O110" s="7"/>
      <c r="P110" s="7"/>
      <c r="Q110" s="22"/>
      <c r="R110" s="173"/>
      <c r="S110" s="220">
        <f t="shared" si="88"/>
        <v>1</v>
      </c>
      <c r="T110" s="173" t="str">
        <f t="shared" si="89"/>
        <v>Southbound</v>
      </c>
      <c r="U110" s="19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5" t="str">
        <f t="shared" si="58"/>
        <v>https://d0f6bd738d7f1b3e5a7ca70fe4ff75f0.us-east-1.aws.found.io/app/kibana#/discover/Steve-Slow-Train-Analysis-(2080s-and-2083s)?_g=(refreshInterval:(display:Off,pause:!f,section:0,value:0),time:(from:'2017-11-18T15:31:28-0700',mode:absolute,to:'2017-11-18T18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0" s="203" t="str">
        <f>IF(AA110&lt;VLOOKUP(AG110,Variables!$AC$3:$AD$8,2,FALSE),"Y","N")</f>
        <v>N</v>
      </c>
      <c r="X110" s="203">
        <f t="shared" si="90"/>
        <v>1</v>
      </c>
      <c r="Y110" s="203">
        <f t="shared" si="84"/>
        <v>23.29</v>
      </c>
      <c r="Z110" s="203">
        <f t="shared" si="85"/>
        <v>2.1399999999999999E-2</v>
      </c>
      <c r="AA110" s="203">
        <f t="shared" si="91"/>
        <v>23.268599999999999</v>
      </c>
      <c r="AB110" s="54" t="e">
        <f>VLOOKUP(A110,Enforcements!$C$7:$K$9,8,0)</f>
        <v>#N/A</v>
      </c>
      <c r="AC110" s="51" t="e">
        <f>VLOOKUP(A110,Enforcements!$C$7:$E$9,3,0)</f>
        <v>#N/A</v>
      </c>
      <c r="AD110" s="178">
        <f t="shared" si="92"/>
        <v>198</v>
      </c>
      <c r="AE110" s="77" t="str">
        <f t="shared" si="61"/>
        <v>aws s3 cp s3://rtdc.mdm.uploadarchive.raw/RTDC4021/ "%USERPROFILE%\AppData\Local\Temp\OnboardLogs"\RTDC4021\2017-11-18 --exclude "*" --recursive --include "*20171118*" &amp; "%USERPROFILE%\Documents\GitHub\mrs-test-scripts\Headless Mode &amp; Sideloading\WalkAndUnGZ.bat" "%USERPROFILE%\AppData\Local\Temp\OnboardLogs"\RTDC4021\2017-11-18 &amp; aws s3 cp s3://rtdc.mdm.uploadarchive.raw/RTDC4021/ "%USERPROFILE%\AppData\Local\Temp\OnboardLogs"\RTDC4021\2017-11-19 --exclude "*" --recursive --include "*20171119*" &amp; "%USERPROFILE%\Documents\GitHub\mrs-test-scripts\Headless Mode &amp; Sideloading\WalkAndUnGZ.bat" "%USERPROFILE%\AppData\Local\Temp\OnboardLogs"\RTDC4021\2017-11-19</v>
      </c>
      <c r="AF110" s="74" t="str">
        <f t="shared" si="62"/>
        <v>"C:\Program Files (x86)\AstroGrep\AstroGrep.exe" /e /r /s /spath="%USERPROFILE%\AppData\Local\Temp\OnboardLogs" /stypes="app*4021*20171119*" /stext=" 00:.+((SYSTEM_STATE.+slice.+state.+changed )|(ment ac)|(multiple cpu faults)|(system.+state.+changed )|(\[timeout)|(PRM\|1\|D)|(kpr)|(kdp)|(train st.+moving)|(\|lc)|(penalty))"</v>
      </c>
      <c r="AG110" s="181" t="str">
        <f t="shared" si="93"/>
        <v>EC</v>
      </c>
      <c r="AH110" s="78" t="str">
        <f t="shared" si="72"/>
        <v>"%USERPROFILE%\Documents\GitHub\eaglep3\Utilities\RefineRTDCRunTimes.py" --tripid 198-18 --locoid 4021 --swversion DE.1.0.9.0 --startMP 204:232900 --initTime 2017-11-18T16:31:28 --startdatetime 2017-11-18T16:42:15 --delay 79 --endMP 204:214 --enddatetime 2017-11-18T17:20:53 --enforcementcount 0 &gt;&gt;%USERPROFILE%\Documents\GitHub\eaglep3-reporting\EC\2017-11-18-refined-times.txt</v>
      </c>
      <c r="AI110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{"issue":{"subject":"","project_id":79,"tracker_id":40,"status_id":1,"priority_id":2,"assigned_to_id":338,"start_date":"2017-11-18","description":"","custom_fields":[{"id":1,"name":"Subdivision","value":"EC"},{"id":4,"name":"Milepost","value":"0.0214"},{"id":17,"name":"Train ID","value":"198-18"},{"id":16,"name":"Locomotive ID","value":"4021"},{"id":130,"name":"Impact","value":""},{"id":150,"name":"Time of Event (Mountain Time)","value":"17:20:53"},{"id":151,"name":"Denver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1" t="str">
        <f t="shared" si="74"/>
        <v>start /low /b %USERPROFILE%\Documents\GitHub\eaglep3\Utilities\DownloadLogsFromS3.py --loco 4021 --day 2017-11-18</v>
      </c>
      <c r="AN110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00:20:53"},{"id":29,"name":"Sharepoint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7" t="str">
        <f t="shared" si="76"/>
        <v>https://d0f6bd738d7f1b3e5a7ca70fe4ff75f0.us-east-1.aws.found.io/app/kibana#/discover/Steve-Slow-Train-Analysis-(2080s-and-2083s)?_g=(refreshInterval:(display:Off,pause:!f,section:0,value:0),time:(from:'2017-11-18T15:31:28-0700',mode:absolute,to:'2017-11-18T18:20:53-0700'))&amp;_a=(columns:!('Message%20ID',Summary),filters:!(),index:'emp_*',interval:auto,query:(query_string:(analyze_wildcard:!t,query:'%22rtdc.l.rtdc.4021%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839</v>
      </c>
      <c r="B111" s="7">
        <v>4004</v>
      </c>
      <c r="C111" s="21" t="s">
        <v>192</v>
      </c>
      <c r="D111" s="21" t="s">
        <v>616</v>
      </c>
      <c r="E111" s="13">
        <v>43057.663506944446</v>
      </c>
      <c r="F111" s="13">
        <v>43057.666886574072</v>
      </c>
      <c r="G111" s="7">
        <v>66</v>
      </c>
      <c r="H111" s="21" t="s">
        <v>935</v>
      </c>
      <c r="I111" s="13">
        <v>43057.691469907404</v>
      </c>
      <c r="J111" s="7">
        <v>0</v>
      </c>
      <c r="K111" s="89" t="str">
        <f t="shared" si="86"/>
        <v>4003/4004</v>
      </c>
      <c r="L111" s="184" t="str">
        <f>VLOOKUP(A111,'Trips&amp;Operators'!$C$1:$G$99911,5,FALSE)</f>
        <v>MOSES BRADLEY</v>
      </c>
      <c r="M111" s="6">
        <f t="shared" si="87"/>
        <v>2.4583333331975155E-2</v>
      </c>
      <c r="N111" s="7">
        <f t="shared" si="78"/>
        <v>35.399999998044223</v>
      </c>
      <c r="O111" s="7"/>
      <c r="P111" s="7"/>
      <c r="Q111" s="22"/>
      <c r="R111" s="173"/>
      <c r="S111" s="220">
        <f t="shared" si="88"/>
        <v>1</v>
      </c>
      <c r="T111" s="173" t="str">
        <f t="shared" si="89"/>
        <v>NorthBound</v>
      </c>
      <c r="U111" s="19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5" t="str">
        <f t="shared" si="58"/>
        <v>https://d0f6bd738d7f1b3e5a7ca70fe4ff75f0.us-east-1.aws.found.io/app/kibana#/discover/Steve-Slow-Train-Analysis-(2080s-and-2083s)?_g=(refreshInterval:(display:Off,pause:!f,section:0,value:0),time:(from:'2017-11-18T14:55:27-0700',mode:absolute,to:'2017-11-18T17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1" s="203" t="str">
        <f>IF(AA111&lt;VLOOKUP(AG111,Variables!$AC$3:$AD$8,2,FALSE),"Y","N")</f>
        <v>N</v>
      </c>
      <c r="X111" s="203">
        <f t="shared" si="90"/>
        <v>1</v>
      </c>
      <c r="Y111" s="203">
        <f t="shared" si="84"/>
        <v>0.05</v>
      </c>
      <c r="Z111" s="203">
        <f t="shared" si="85"/>
        <v>23.3232</v>
      </c>
      <c r="AA111" s="203">
        <f t="shared" si="91"/>
        <v>23.273199999999999</v>
      </c>
      <c r="AB111" s="54" t="e">
        <f>VLOOKUP(A111,Enforcements!$C$7:$K$9,8,0)</f>
        <v>#N/A</v>
      </c>
      <c r="AC111" s="51" t="e">
        <f>VLOOKUP(A111,Enforcements!$C$7:$E$9,3,0)</f>
        <v>#N/A</v>
      </c>
      <c r="AD111" s="178">
        <f t="shared" si="92"/>
        <v>199</v>
      </c>
      <c r="AE111" s="77" t="str">
        <f t="shared" si="61"/>
        <v>aws s3 cp s3://rtdc.mdm.uploadarchive.raw/RTDC4004/ "%USERPROFILE%\AppData\Local\Temp\OnboardLogs"\RTDC4004\2017-11-18 --exclude "*" --recursive --include "*20171118*" &amp; "%USERPROFILE%\Documents\GitHub\mrs-test-scripts\Headless Mode &amp; Sideloading\WalkAndUnGZ.bat" "%USERPROFILE%\AppData\Local\Temp\OnboardLogs"\RTDC4004\2017-11-18 &amp; aws s3 cp s3://rtdc.mdm.uploadarchive.raw/RTDC4004/ "%USERPROFILE%\AppData\Local\Temp\OnboardLogs"\RTDC4004\2017-11-19 --exclude "*" --recursive --include "*20171119*" &amp; "%USERPROFILE%\Documents\GitHub\mrs-test-scripts\Headless Mode &amp; Sideloading\WalkAndUnGZ.bat" "%USERPROFILE%\AppData\Local\Temp\OnboardLogs"\RTDC4004\2017-11-19</v>
      </c>
      <c r="AF111" s="74" t="str">
        <f t="shared" si="62"/>
        <v>"C:\Program Files (x86)\AstroGrep\AstroGrep.exe" /e /r /s /spath="%USERPROFILE%\AppData\Local\Temp\OnboardLogs" /stypes="app*4004*20171118*" /stext=" 23:.+((SYSTEM_STATE.+slice.+state.+changed )|(ment ac)|(multiple cpu faults)|(system.+state.+changed )|(\[timeout)|(PRM\|1\|D)|(kpr)|(kdp)|(train st.+moving)|(\|lc)|(penalty))"</v>
      </c>
      <c r="AG111" s="181" t="str">
        <f t="shared" si="93"/>
        <v>EC</v>
      </c>
      <c r="AH111" s="78" t="str">
        <f t="shared" si="72"/>
        <v>"%USERPROFILE%\Documents\GitHub\eaglep3\Utilities\RefineRTDCRunTimes.py" --tripid 199-18 --locoid 4004 --swversion DE.1.0.9.0 --startMP 204:500 --initTime 2017-11-18T15:55:27 --startdatetime 2017-11-18T16:00:19 --delay 66 --endMP 204:233232 --enddatetime 2017-11-18T16:35:43 --enforcementcount 0 &gt;&gt;%USERPROFILE%\Documents\GitHub\eaglep3-reporting\EC\2017-11-18-refined-times.txt</v>
      </c>
      <c r="AI111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{"issue":{"subject":"","project_id":79,"tracker_id":40,"status_id":1,"priority_id":2,"assigned_to_id":338,"start_date":"2017-11-18","description":"","custom_fields":[{"id":1,"name":"Subdivision","value":"EC"},{"id":4,"name":"Milepost","value":"23.3232"},{"id":17,"name":"Train ID","value":"199-18"},{"id":16,"name":"Locomotive ID","value":"4004"},{"id":130,"name":"Impact","value":""},{"id":150,"name":"Time of Event (Mountain Time)","value":"16:35:43"},{"id":151,"name":"Denver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1" t="str">
        <f t="shared" si="74"/>
        <v>start /low /b %USERPROFILE%\Documents\GitHub\eaglep3\Utilities\DownloadLogsFromS3.py --loco 4004 --day 2017-11-18</v>
      </c>
      <c r="AN111" s="150" t="str">
        <f t="shared" si="75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23:35:43"},{"id":29,"name":"Sharepoint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7" t="str">
        <f t="shared" si="76"/>
        <v>https://d0f6bd738d7f1b3e5a7ca70fe4ff75f0.us-east-1.aws.found.io/app/kibana#/discover/Steve-Slow-Train-Analysis-(2080s-and-2083s)?_g=(refreshInterval:(display:Off,pause:!f,section:0,value:0),time:(from:'2017-11-18T14:55:27-0700',mode:absolute,to:'2017-11-18T17:35:43-0700'))&amp;_a=(columns:!('Message%20ID',Summary),filters:!(),index:'emp_*',interval:auto,query:(query_string:(analyze_wildcard:!t,query:'%22rtdc.l.rtdc.4004%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850</v>
      </c>
      <c r="B112" s="7">
        <v>4003</v>
      </c>
      <c r="C112" s="21" t="s">
        <v>192</v>
      </c>
      <c r="D112" s="21" t="s">
        <v>1003</v>
      </c>
      <c r="E112" s="13">
        <v>43057.704097222224</v>
      </c>
      <c r="F112" s="13">
        <v>43057.706469907411</v>
      </c>
      <c r="G112" s="7">
        <v>59</v>
      </c>
      <c r="H112" s="21" t="s">
        <v>443</v>
      </c>
      <c r="I112" s="13">
        <v>43057.732083333336</v>
      </c>
      <c r="J112" s="7">
        <v>0</v>
      </c>
      <c r="K112" s="89" t="str">
        <f t="shared" si="86"/>
        <v>4003/4004</v>
      </c>
      <c r="L112" s="184" t="str">
        <f>VLOOKUP(A112,'Trips&amp;Operators'!$C$1:$G$99911,5,FALSE)</f>
        <v>MOSES BRADLEY</v>
      </c>
      <c r="M112" s="6">
        <f t="shared" si="87"/>
        <v>2.5613425925257616E-2</v>
      </c>
      <c r="N112" s="7">
        <f t="shared" si="78"/>
        <v>36.883333332370967</v>
      </c>
      <c r="O112" s="7"/>
      <c r="P112" s="7"/>
      <c r="Q112" s="22"/>
      <c r="R112" s="173"/>
      <c r="S112" s="220">
        <f t="shared" si="88"/>
        <v>1</v>
      </c>
      <c r="T112" s="173" t="str">
        <f t="shared" si="89"/>
        <v>Southbound</v>
      </c>
      <c r="U112" s="19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5" t="str">
        <f t="shared" si="58"/>
        <v>https://d0f6bd738d7f1b3e5a7ca70fe4ff75f0.us-east-1.aws.found.io/app/kibana#/discover/Steve-Slow-Train-Analysis-(2080s-and-2083s)?_g=(refreshInterval:(display:Off,pause:!f,section:0,value:0),time:(from:'2017-11-18T15:53:54-0700',mode:absolute,to:'2017-11-18T18:34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2" s="203" t="str">
        <f>IF(AA112&lt;VLOOKUP(AG112,Variables!$AC$3:$AD$8,2,FALSE),"Y","N")</f>
        <v>N</v>
      </c>
      <c r="X112" s="203">
        <f t="shared" si="90"/>
        <v>1</v>
      </c>
      <c r="Y112" s="203">
        <f t="shared" si="84"/>
        <v>23.2926</v>
      </c>
      <c r="Z112" s="203">
        <f t="shared" si="85"/>
        <v>2.07E-2</v>
      </c>
      <c r="AA112" s="203">
        <f t="shared" si="91"/>
        <v>23.271899999999999</v>
      </c>
      <c r="AB112" s="54" t="e">
        <f>VLOOKUP(A112,Enforcements!$C$7:$K$9,8,0)</f>
        <v>#N/A</v>
      </c>
      <c r="AC112" s="51" t="e">
        <f>VLOOKUP(A112,Enforcements!$C$7:$E$9,3,0)</f>
        <v>#N/A</v>
      </c>
      <c r="AD112" s="178">
        <f t="shared" si="92"/>
        <v>200</v>
      </c>
      <c r="AE112" s="77" t="str">
        <f t="shared" si="61"/>
        <v>aws s3 cp s3://rtdc.mdm.uploadarchive.raw/RTDC4003/ "%USERPROFILE%\AppData\Local\Temp\OnboardLogs"\RTDC4003\2017-11-18 --exclude "*" --recursive --include "*20171118*" &amp; "%USERPROFILE%\Documents\GitHub\mrs-test-scripts\Headless Mode &amp; Sideloading\WalkAndUnGZ.bat" "%USERPROFILE%\AppData\Local\Temp\OnboardLogs"\RTDC4003\2017-11-18 &amp; aws s3 cp s3://rtdc.mdm.uploadarchive.raw/RTDC4003/ "%USERPROFILE%\AppData\Local\Temp\OnboardLogs"\RTDC4003\2017-11-19 --exclude "*" --recursive --include "*20171119*" &amp; "%USERPROFILE%\Documents\GitHub\mrs-test-scripts\Headless Mode &amp; Sideloading\WalkAndUnGZ.bat" "%USERPROFILE%\AppData\Local\Temp\OnboardLogs"\RTDC4003\2017-11-19</v>
      </c>
      <c r="AF112" s="74" t="str">
        <f t="shared" si="62"/>
        <v>"C:\Program Files (x86)\AstroGrep\AstroGrep.exe" /e /r /s /spath="%USERPROFILE%\AppData\Local\Temp\OnboardLogs" /stypes="app*4003*20171119*" /stext=" 00:.+((SYSTEM_STATE.+slice.+state.+changed )|(ment ac)|(multiple cpu faults)|(system.+state.+changed )|(\[timeout)|(PRM\|1\|D)|(kpr)|(kdp)|(train st.+moving)|(\|lc)|(penalty))"</v>
      </c>
      <c r="AG112" s="181" t="str">
        <f t="shared" si="93"/>
        <v>EC</v>
      </c>
      <c r="AH112" s="78" t="str">
        <f t="shared" si="72"/>
        <v>"%USERPROFILE%\Documents\GitHub\eaglep3\Utilities\RefineRTDCRunTimes.py" --tripid 200-18 --locoid 4003 --swversion DE.1.0.9.0 --startMP 204:232926 --initTime 2017-11-18T16:53:54 --startdatetime 2017-11-18T16:57:19 --delay 59 --endMP 204:207 --enddatetime 2017-11-18T17:34:12 --enforcementcount 0 &gt;&gt;%USERPROFILE%\Documents\GitHub\eaglep3-reporting\EC\2017-11-18-refined-times.txt</v>
      </c>
      <c r="AI112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{"issue":{"subject":"","project_id":79,"tracker_id":40,"status_id":1,"priority_id":2,"assigned_to_id":338,"start_date":"2017-11-18","description":"","custom_fields":[{"id":1,"name":"Subdivision","value":"EC"},{"id":4,"name":"Milepost","value":"0.0207"},{"id":17,"name":"Train ID","value":"200-18"},{"id":16,"name":"Locomotive ID","value":"4003"},{"id":130,"name":"Impact","value":""},{"id":150,"name":"Time of Event (Mountain Time)","value":"17:34:12"},{"id":151,"name":"Denver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1" t="str">
        <f t="shared" si="74"/>
        <v>start /low /b %USERPROFILE%\Documents\GitHub\eaglep3\Utilities\DownloadLogsFromS3.py --loco 4003 --day 2017-11-18</v>
      </c>
      <c r="AN112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00:34:12"},{"id":29,"name":"Sharepoint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7" t="str">
        <f t="shared" si="76"/>
        <v>https://d0f6bd738d7f1b3e5a7ca70fe4ff75f0.us-east-1.aws.found.io/app/kibana#/discover/Steve-Slow-Train-Analysis-(2080s-and-2083s)?_g=(refreshInterval:(display:Off,pause:!f,section:0,value:0),time:(from:'2017-11-18T15:53:54-0700',mode:absolute,to:'2017-11-18T18:34:12-0700'))&amp;_a=(columns:!('Message%20ID',Summary),filters:!(),index:'emp_*',interval:auto,query:(query_string:(analyze_wildcard:!t,query:'%22rtdc.l.rtdc.4003%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842</v>
      </c>
      <c r="B113" s="7">
        <v>4006</v>
      </c>
      <c r="C113" s="21" t="s">
        <v>192</v>
      </c>
      <c r="D113" s="21" t="s">
        <v>444</v>
      </c>
      <c r="E113" s="13">
        <v>43057.672592592593</v>
      </c>
      <c r="F113" s="13">
        <v>43057.677511574075</v>
      </c>
      <c r="G113" s="7">
        <v>65</v>
      </c>
      <c r="H113" s="21" t="s">
        <v>1004</v>
      </c>
      <c r="I113" s="13">
        <v>43057.702187499999</v>
      </c>
      <c r="J113" s="7">
        <v>0</v>
      </c>
      <c r="K113" s="89" t="str">
        <f t="shared" si="86"/>
        <v>4005/4006</v>
      </c>
      <c r="L113" s="184" t="str">
        <f>VLOOKUP(A113,'Trips&amp;Operators'!$C$1:$G$99911,5,FALSE)</f>
        <v>HOLCOMB KAMDEN</v>
      </c>
      <c r="M113" s="6">
        <f t="shared" si="87"/>
        <v>2.4675925924384501E-2</v>
      </c>
      <c r="N113" s="7">
        <f t="shared" si="78"/>
        <v>35.533333331113681</v>
      </c>
      <c r="O113" s="7"/>
      <c r="P113" s="7"/>
      <c r="Q113" s="22"/>
      <c r="R113" s="173"/>
      <c r="S113" s="220">
        <f t="shared" si="88"/>
        <v>1</v>
      </c>
      <c r="T113" s="173" t="str">
        <f t="shared" si="89"/>
        <v>NorthBound</v>
      </c>
      <c r="U113" s="19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5" t="str">
        <f t="shared" si="58"/>
        <v>https://d0f6bd738d7f1b3e5a7ca70fe4ff75f0.us-east-1.aws.found.io/app/kibana#/discover/Steve-Slow-Train-Analysis-(2080s-and-2083s)?_g=(refreshInterval:(display:Off,pause:!f,section:0,value:0),time:(from:'2017-11-18T15:08:32-0700',mode:absolute,to:'2017-11-18T17:51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3" s="203" t="str">
        <f>IF(AA113&lt;VLOOKUP(AG113,Variables!$AC$3:$AD$8,2,FALSE),"Y","N")</f>
        <v>N</v>
      </c>
      <c r="X113" s="203">
        <f t="shared" ref="X113:X144" si="94">VALUE(LEFT(AD113,4))-VALUE(LEFT(AD112,4))</f>
        <v>1</v>
      </c>
      <c r="Y113" s="203">
        <f t="shared" si="84"/>
        <v>5.0599999999999999E-2</v>
      </c>
      <c r="Z113" s="203">
        <f t="shared" si="85"/>
        <v>23.320499999999999</v>
      </c>
      <c r="AA113" s="203">
        <f t="shared" si="91"/>
        <v>23.2699</v>
      </c>
      <c r="AB113" s="54" t="e">
        <f>VLOOKUP(A113,Enforcements!$C$7:$K$9,8,0)</f>
        <v>#N/A</v>
      </c>
      <c r="AC113" s="51" t="e">
        <f>VLOOKUP(A113,Enforcements!$C$7:$E$9,3,0)</f>
        <v>#N/A</v>
      </c>
      <c r="AD113" s="178">
        <f t="shared" si="92"/>
        <v>201</v>
      </c>
      <c r="AE113" s="77" t="str">
        <f t="shared" si="61"/>
        <v>aws s3 cp s3://rtdc.mdm.uploadarchive.raw/RTDC4006/ "%USERPROFILE%\AppData\Local\Temp\OnboardLogs"\RTDC4006\2017-11-18 --exclude "*" --recursive --include "*20171118*" &amp; "%USERPROFILE%\Documents\GitHub\mrs-test-scripts\Headless Mode &amp; Sideloading\WalkAndUnGZ.bat" "%USERPROFILE%\AppData\Local\Temp\OnboardLogs"\RTDC4006\2017-11-18 &amp; aws s3 cp s3://rtdc.mdm.uploadarchive.raw/RTDC4006/ "%USERPROFILE%\AppData\Local\Temp\OnboardLogs"\RTDC4006\2017-11-19 --exclude "*" --recursive --include "*20171119*" &amp; "%USERPROFILE%\Documents\GitHub\mrs-test-scripts\Headless Mode &amp; Sideloading\WalkAndUnGZ.bat" "%USERPROFILE%\AppData\Local\Temp\OnboardLogs"\RTDC4006\2017-11-19</v>
      </c>
      <c r="AF113" s="74" t="str">
        <f t="shared" si="62"/>
        <v>"C:\Program Files (x86)\AstroGrep\AstroGrep.exe" /e /r /s /spath="%USERPROFILE%\AppData\Local\Temp\OnboardLogs" /stypes="app*4006*20171118*" /stext=" 23:.+((SYSTEM_STATE.+slice.+state.+changed )|(ment ac)|(multiple cpu faults)|(system.+state.+changed )|(\[timeout)|(PRM\|1\|D)|(kpr)|(kdp)|(train st.+moving)|(\|lc)|(penalty))"</v>
      </c>
      <c r="AG113" s="181" t="str">
        <f t="shared" si="93"/>
        <v>EC</v>
      </c>
      <c r="AH113" s="78" t="str">
        <f t="shared" si="72"/>
        <v>"%USERPROFILE%\Documents\GitHub\eaglep3\Utilities\RefineRTDCRunTimes.py" --tripid 201-18 --locoid 4006 --swversion DE.1.0.9.0 --startMP 204:506 --initTime 2017-11-18T16:08:32 --startdatetime 2017-11-18T16:15:37 --delay 65 --endMP 204:233205 --enddatetime 2017-11-18T16:51:09 --enforcementcount 0 &gt;&gt;%USERPROFILE%\Documents\GitHub\eaglep3-reporting\EC\2017-11-18-refined-times.txt</v>
      </c>
      <c r="AI113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{"issue":{"subject":"","project_id":79,"tracker_id":40,"status_id":1,"priority_id":2,"assigned_to_id":338,"start_date":"2017-11-18","description":"","custom_fields":[{"id":1,"name":"Subdivision","value":"EC"},{"id":4,"name":"Milepost","value":"23.3205"},{"id":17,"name":"Train ID","value":"201-18"},{"id":16,"name":"Locomotive ID","value":"4006"},{"id":130,"name":"Impact","value":""},{"id":150,"name":"Time of Event (Mountain Time)","value":"16:51:09"},{"id":151,"name":"Denver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1" t="str">
        <f t="shared" si="74"/>
        <v>start /low /b %USERPROFILE%\Documents\GitHub\eaglep3\Utilities\DownloadLogsFromS3.py --loco 4006 --day 2017-11-18</v>
      </c>
      <c r="AN113" s="150" t="str">
        <f t="shared" si="75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23:51:09"},{"id":29,"name":"Sharepoint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7" t="str">
        <f t="shared" si="76"/>
        <v>https://d0f6bd738d7f1b3e5a7ca70fe4ff75f0.us-east-1.aws.found.io/app/kibana#/discover/Steve-Slow-Train-Analysis-(2080s-and-2083s)?_g=(refreshInterval:(display:Off,pause:!f,section:0,value:0),time:(from:'2017-11-18T15:08:32-0700',mode:absolute,to:'2017-11-18T17:51:09-0700'))&amp;_a=(columns:!('Message%20ID',Summary),filters:!(),index:'emp_*',interval:auto,query:(query_string:(analyze_wildcard:!t,query:'%22rtdc.l.rtdc.4006%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852</v>
      </c>
      <c r="B114" s="7">
        <v>4005</v>
      </c>
      <c r="C114" s="21" t="s">
        <v>192</v>
      </c>
      <c r="D114" s="21" t="s">
        <v>1005</v>
      </c>
      <c r="E114" s="13">
        <v>43057.714537037034</v>
      </c>
      <c r="F114" s="13">
        <v>43057.716863425929</v>
      </c>
      <c r="G114" s="7">
        <v>49</v>
      </c>
      <c r="H114" s="21" t="s">
        <v>494</v>
      </c>
      <c r="I114" s="13">
        <v>43057.741701388892</v>
      </c>
      <c r="J114" s="7">
        <v>0</v>
      </c>
      <c r="K114" s="89" t="str">
        <f t="shared" si="86"/>
        <v>4005/4006</v>
      </c>
      <c r="L114" s="184" t="str">
        <f>VLOOKUP(A114,'Trips&amp;Operators'!$C$1:$G$99911,5,FALSE)</f>
        <v>HOLCOMB KAMDEN</v>
      </c>
      <c r="M114" s="6">
        <f t="shared" si="87"/>
        <v>2.4837962962919846E-2</v>
      </c>
      <c r="N114" s="7">
        <f t="shared" si="78"/>
        <v>35.766666666604578</v>
      </c>
      <c r="O114" s="7"/>
      <c r="P114" s="7"/>
      <c r="Q114" s="22"/>
      <c r="R114" s="173"/>
      <c r="S114" s="220">
        <f t="shared" si="88"/>
        <v>1</v>
      </c>
      <c r="T114" s="173" t="str">
        <f t="shared" si="89"/>
        <v>Southbound</v>
      </c>
      <c r="U114" s="19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5" t="str">
        <f t="shared" si="58"/>
        <v>https://d0f6bd738d7f1b3e5a7ca70fe4ff75f0.us-east-1.aws.found.io/app/kibana#/discover/Steve-Slow-Train-Analysis-(2080s-and-2083s)?_g=(refreshInterval:(display:Off,pause:!f,section:0,value:0),time:(from:'2017-11-18T16:08:56-0700',mode:absolute,to:'2017-11-18T18:48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4" s="203" t="str">
        <f>IF(AA114&lt;VLOOKUP(AG114,Variables!$AC$3:$AD$8,2,FALSE),"Y","N")</f>
        <v>N</v>
      </c>
      <c r="X114" s="203">
        <f t="shared" si="94"/>
        <v>1</v>
      </c>
      <c r="Y114" s="203">
        <f t="shared" si="84"/>
        <v>23.289000000000001</v>
      </c>
      <c r="Z114" s="203">
        <f t="shared" si="85"/>
        <v>0.02</v>
      </c>
      <c r="AA114" s="203">
        <f t="shared" si="91"/>
        <v>23.269000000000002</v>
      </c>
      <c r="AB114" s="54" t="e">
        <f>VLOOKUP(A114,Enforcements!$C$7:$K$9,8,0)</f>
        <v>#N/A</v>
      </c>
      <c r="AC114" s="51" t="e">
        <f>VLOOKUP(A114,Enforcements!$C$7:$E$9,3,0)</f>
        <v>#N/A</v>
      </c>
      <c r="AD114" s="178">
        <f t="shared" si="92"/>
        <v>202</v>
      </c>
      <c r="AE114" s="77" t="str">
        <f t="shared" si="61"/>
        <v>aws s3 cp s3://rtdc.mdm.uploadarchive.raw/RTDC4005/ "%USERPROFILE%\AppData\Local\Temp\OnboardLogs"\RTDC4005\2017-11-18 --exclude "*" --recursive --include "*20171118*" &amp; "%USERPROFILE%\Documents\GitHub\mrs-test-scripts\Headless Mode &amp; Sideloading\WalkAndUnGZ.bat" "%USERPROFILE%\AppData\Local\Temp\OnboardLogs"\RTDC4005\2017-11-18 &amp; aws s3 cp s3://rtdc.mdm.uploadarchive.raw/RTDC4005/ "%USERPROFILE%\AppData\Local\Temp\OnboardLogs"\RTDC4005\2017-11-19 --exclude "*" --recursive --include "*20171119*" &amp; "%USERPROFILE%\Documents\GitHub\mrs-test-scripts\Headless Mode &amp; Sideloading\WalkAndUnGZ.bat" "%USERPROFILE%\AppData\Local\Temp\OnboardLogs"\RTDC4005\2017-11-19</v>
      </c>
      <c r="AF114" s="74" t="str">
        <f t="shared" si="62"/>
        <v>"C:\Program Files (x86)\AstroGrep\AstroGrep.exe" /e /r /s /spath="%USERPROFILE%\AppData\Local\Temp\OnboardLogs" /stypes="app*4005*20171119*" /stext=" 00:.+((SYSTEM_STATE.+slice.+state.+changed )|(ment ac)|(multiple cpu faults)|(system.+state.+changed )|(\[timeout)|(PRM\|1\|D)|(kpr)|(kdp)|(train st.+moving)|(\|lc)|(penalty))"</v>
      </c>
      <c r="AG114" s="181" t="str">
        <f t="shared" si="93"/>
        <v>EC</v>
      </c>
      <c r="AH114" s="78" t="str">
        <f t="shared" si="72"/>
        <v>"%USERPROFILE%\Documents\GitHub\eaglep3\Utilities\RefineRTDCRunTimes.py" --tripid 202-18 --locoid 4005 --swversion DE.1.0.9.0 --startMP 204:232890 --initTime 2017-11-18T17:08:56 --startdatetime 2017-11-18T17:12:17 --delay 49 --endMP 204:200 --enddatetime 2017-11-18T17:48:03 --enforcementcount 0 &gt;&gt;%USERPROFILE%\Documents\GitHub\eaglep3-reporting\EC\2017-11-18-refined-times.txt</v>
      </c>
      <c r="AI114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{"issue":{"subject":"","project_id":79,"tracker_id":40,"status_id":1,"priority_id":2,"assigned_to_id":338,"start_date":"2017-11-18","description":"","custom_fields":[{"id":1,"name":"Subdivision","value":"EC"},{"id":4,"name":"Milepost","value":"0.02"},{"id":17,"name":"Train ID","value":"202-18"},{"id":16,"name":"Locomotive ID","value":"4005"},{"id":130,"name":"Impact","value":""},{"id":150,"name":"Time of Event (Mountain Time)","value":"17:48:03"},{"id":151,"name":"Denver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1" t="str">
        <f t="shared" si="74"/>
        <v>start /low /b %USERPROFILE%\Documents\GitHub\eaglep3\Utilities\DownloadLogsFromS3.py --loco 4005 --day 2017-11-18</v>
      </c>
      <c r="AN114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00:48:03"},{"id":29,"name":"Sharepoint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7" t="str">
        <f t="shared" si="76"/>
        <v>https://d0f6bd738d7f1b3e5a7ca70fe4ff75f0.us-east-1.aws.found.io/app/kibana#/discover/Steve-Slow-Train-Analysis-(2080s-and-2083s)?_g=(refreshInterval:(display:Off,pause:!f,section:0,value:0),time:(from:'2017-11-18T16:08:56-0700',mode:absolute,to:'2017-11-18T18:48:03-0700'))&amp;_a=(columns:!('Message%20ID',Summary),filters:!(),index:'emp_*',interval:auto,query:(query_string:(analyze_wildcard:!t,query:'%22rtdc.l.rtdc.4005%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846</v>
      </c>
      <c r="B115" s="7">
        <v>4018</v>
      </c>
      <c r="C115" s="21" t="s">
        <v>192</v>
      </c>
      <c r="D115" s="21" t="s">
        <v>560</v>
      </c>
      <c r="E115" s="13">
        <v>43057.685335648152</v>
      </c>
      <c r="F115" s="13">
        <v>43057.687858796293</v>
      </c>
      <c r="G115" s="7">
        <v>62</v>
      </c>
      <c r="H115" s="21" t="s">
        <v>622</v>
      </c>
      <c r="I115" s="13">
        <v>43057.71402777778</v>
      </c>
      <c r="J115" s="7">
        <v>0</v>
      </c>
      <c r="K115" s="89" t="str">
        <f t="shared" si="86"/>
        <v>4017/4018</v>
      </c>
      <c r="L115" s="184" t="str">
        <f>VLOOKUP(A115,'Trips&amp;Operators'!$C$1:$G$99911,5,FALSE)</f>
        <v>DAVIS MICHAEL</v>
      </c>
      <c r="M115" s="6">
        <f t="shared" si="87"/>
        <v>2.6168981486989651E-2</v>
      </c>
      <c r="N115" s="7">
        <f t="shared" si="78"/>
        <v>37.683333341265097</v>
      </c>
      <c r="O115" s="7"/>
      <c r="P115" s="7"/>
      <c r="Q115" s="22"/>
      <c r="R115" s="173"/>
      <c r="S115" s="220">
        <f t="shared" si="88"/>
        <v>1</v>
      </c>
      <c r="T115" s="173" t="str">
        <f t="shared" si="89"/>
        <v>NorthBound</v>
      </c>
      <c r="U115" s="19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5" t="str">
        <f t="shared" si="58"/>
        <v>https://d0f6bd738d7f1b3e5a7ca70fe4ff75f0.us-east-1.aws.found.io/app/kibana#/discover/Steve-Slow-Train-Analysis-(2080s-and-2083s)?_g=(refreshInterval:(display:Off,pause:!f,section:0,value:0),time:(from:'2017-11-18T15:26:53-0700',mode:absolute,to:'2017-11-18T18:08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5" s="203" t="str">
        <f>IF(AA115&lt;VLOOKUP(AG115,Variables!$AC$3:$AD$8,2,FALSE),"Y","N")</f>
        <v>N</v>
      </c>
      <c r="X115" s="203">
        <f t="shared" si="94"/>
        <v>1</v>
      </c>
      <c r="Y115" s="203">
        <f t="shared" si="84"/>
        <v>5.1900000000000002E-2</v>
      </c>
      <c r="Z115" s="203">
        <f t="shared" si="85"/>
        <v>23.331</v>
      </c>
      <c r="AA115" s="203">
        <f t="shared" si="91"/>
        <v>23.2791</v>
      </c>
      <c r="AB115" s="54" t="e">
        <f>VLOOKUP(A115,Enforcements!$C$7:$K$9,8,0)</f>
        <v>#N/A</v>
      </c>
      <c r="AC115" s="51" t="e">
        <f>VLOOKUP(A115,Enforcements!$C$7:$E$9,3,0)</f>
        <v>#N/A</v>
      </c>
      <c r="AD115" s="178">
        <f t="shared" si="92"/>
        <v>203</v>
      </c>
      <c r="AE115" s="77" t="str">
        <f t="shared" si="61"/>
        <v>aws s3 cp s3://rtdc.mdm.uploadarchive.raw/RTDC4018/ "%USERPROFILE%\AppData\Local\Temp\OnboardLogs"\RTDC4018\2017-11-18 --exclude "*" --recursive --include "*20171118*" &amp; "%USERPROFILE%\Documents\GitHub\mrs-test-scripts\Headless Mode &amp; Sideloading\WalkAndUnGZ.bat" "%USERPROFILE%\AppData\Local\Temp\OnboardLogs"\RTDC4018\2017-11-18 &amp; aws s3 cp s3://rtdc.mdm.uploadarchive.raw/RTDC4018/ "%USERPROFILE%\AppData\Local\Temp\OnboardLogs"\RTDC4018\2017-11-19 --exclude "*" --recursive --include "*20171119*" &amp; "%USERPROFILE%\Documents\GitHub\mrs-test-scripts\Headless Mode &amp; Sideloading\WalkAndUnGZ.bat" "%USERPROFILE%\AppData\Local\Temp\OnboardLogs"\RTDC4018\2017-11-19</v>
      </c>
      <c r="AF115" s="74" t="str">
        <f t="shared" si="62"/>
        <v>"C:\Program Files (x86)\AstroGrep\AstroGrep.exe" /e /r /s /spath="%USERPROFILE%\AppData\Local\Temp\OnboardLogs" /stypes="app*4018*20171119*" /stext=" 00:.+((SYSTEM_STATE.+slice.+state.+changed )|(ment ac)|(multiple cpu faults)|(system.+state.+changed )|(\[timeout)|(PRM\|1\|D)|(kpr)|(kdp)|(train st.+moving)|(\|lc)|(penalty))"</v>
      </c>
      <c r="AG115" s="181" t="str">
        <f t="shared" si="93"/>
        <v>EC</v>
      </c>
      <c r="AH115" s="78" t="str">
        <f t="shared" si="72"/>
        <v>"%USERPROFILE%\Documents\GitHub\eaglep3\Utilities\RefineRTDCRunTimes.py" --tripid 203-18 --locoid 4018 --swversion DE.1.0.9.0 --startMP 204:519 --initTime 2017-11-18T16:26:53 --startdatetime 2017-11-18T16:30:31 --delay 62 --endMP 204:233310 --enddatetime 2017-11-18T17:08:12 --enforcementcount 0 &gt;&gt;%USERPROFILE%\Documents\GitHub\eaglep3-reporting\EC\2017-11-18-refined-times.txt</v>
      </c>
      <c r="AI115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{"issue":{"subject":"","project_id":79,"tracker_id":40,"status_id":1,"priority_id":2,"assigned_to_id":338,"start_date":"2017-11-18","description":"","custom_fields":[{"id":1,"name":"Subdivision","value":"EC"},{"id":4,"name":"Milepost","value":"23.331"},{"id":17,"name":"Train ID","value":"203-18"},{"id":16,"name":"Locomotive ID","value":"4018"},{"id":130,"name":"Impact","value":""},{"id":150,"name":"Time of Event (Mountain Time)","value":"17:08:12"},{"id":151,"name":"Denver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1" t="str">
        <f t="shared" si="74"/>
        <v>start /low /b %USERPROFILE%\Documents\GitHub\eaglep3\Utilities\DownloadLogsFromS3.py --loco 4018 --day 2017-11-18</v>
      </c>
      <c r="AN115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00:08:12"},{"id":29,"name":"Sharepoint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7" t="str">
        <f t="shared" si="76"/>
        <v>https://d0f6bd738d7f1b3e5a7ca70fe4ff75f0.us-east-1.aws.found.io/app/kibana#/discover/Steve-Slow-Train-Analysis-(2080s-and-2083s)?_g=(refreshInterval:(display:Off,pause:!f,section:0,value:0),time:(from:'2017-11-18T15:26:53-0700',mode:absolute,to:'2017-11-18T18:08:12-0700'))&amp;_a=(columns:!('Message%20ID',Summary),filters:!(),index:'emp_*',interval:auto,query:(query_string:(analyze_wildcard:!t,query:'%22rtdc.l.rtdc.4018%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857</v>
      </c>
      <c r="B116" s="7">
        <v>4017</v>
      </c>
      <c r="C116" s="21" t="s">
        <v>192</v>
      </c>
      <c r="D116" s="21" t="s">
        <v>550</v>
      </c>
      <c r="E116" s="13">
        <v>43057.723252314812</v>
      </c>
      <c r="F116" s="13">
        <v>43057.727337962962</v>
      </c>
      <c r="G116" s="7">
        <v>68</v>
      </c>
      <c r="H116" s="21" t="s">
        <v>497</v>
      </c>
      <c r="I116" s="13">
        <v>43057.755497685182</v>
      </c>
      <c r="J116" s="7">
        <v>0</v>
      </c>
      <c r="K116" s="89" t="str">
        <f t="shared" si="86"/>
        <v>4017/4018</v>
      </c>
      <c r="L116" s="184" t="str">
        <f>VLOOKUP(A116,'Trips&amp;Operators'!$C$1:$G$99911,5,FALSE)</f>
        <v>DAVIS MICHAEL</v>
      </c>
      <c r="M116" s="6">
        <f t="shared" si="87"/>
        <v>2.8159722220152617E-2</v>
      </c>
      <c r="N116" s="7">
        <f t="shared" si="78"/>
        <v>40.549999997019768</v>
      </c>
      <c r="O116" s="7"/>
      <c r="P116" s="7"/>
      <c r="Q116" s="22"/>
      <c r="R116" s="173"/>
      <c r="S116" s="220">
        <f t="shared" si="88"/>
        <v>1</v>
      </c>
      <c r="T116" s="173" t="str">
        <f t="shared" si="89"/>
        <v>Southbound</v>
      </c>
      <c r="U116" s="19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5" t="str">
        <f t="shared" si="58"/>
        <v>https://d0f6bd738d7f1b3e5a7ca70fe4ff75f0.us-east-1.aws.found.io/app/kibana#/discover/Steve-Slow-Train-Analysis-(2080s-and-2083s)?_g=(refreshInterval:(display:Off,pause:!f,section:0,value:0),time:(from:'2017-11-18T16:21:29-0700',mode:absolute,to:'2017-11-18T19:07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6" s="203" t="str">
        <f>IF(AA116&lt;VLOOKUP(AG116,Variables!$AC$3:$AD$8,2,FALSE),"Y","N")</f>
        <v>N</v>
      </c>
      <c r="X116" s="203">
        <f t="shared" si="94"/>
        <v>1</v>
      </c>
      <c r="Y116" s="203">
        <f t="shared" si="84"/>
        <v>23.297699999999999</v>
      </c>
      <c r="Z116" s="203">
        <f t="shared" si="85"/>
        <v>2.23E-2</v>
      </c>
      <c r="AA116" s="203">
        <f t="shared" si="91"/>
        <v>23.275399999999998</v>
      </c>
      <c r="AB116" s="54" t="e">
        <f>VLOOKUP(A116,Enforcements!$C$7:$K$9,8,0)</f>
        <v>#N/A</v>
      </c>
      <c r="AC116" s="51" t="e">
        <f>VLOOKUP(A116,Enforcements!$C$7:$E$9,3,0)</f>
        <v>#N/A</v>
      </c>
      <c r="AD116" s="178">
        <f t="shared" si="92"/>
        <v>204</v>
      </c>
      <c r="AE116" s="77" t="str">
        <f t="shared" si="61"/>
        <v>aws s3 cp s3://rtdc.mdm.uploadarchive.raw/RTDC4017/ "%USERPROFILE%\AppData\Local\Temp\OnboardLogs"\RTDC4017\2017-11-18 --exclude "*" --recursive --include "*20171118*" &amp; "%USERPROFILE%\Documents\GitHub\mrs-test-scripts\Headless Mode &amp; Sideloading\WalkAndUnGZ.bat" "%USERPROFILE%\AppData\Local\Temp\OnboardLogs"\RTDC4017\2017-11-18 &amp; aws s3 cp s3://rtdc.mdm.uploadarchive.raw/RTDC4017/ "%USERPROFILE%\AppData\Local\Temp\OnboardLogs"\RTDC4017\2017-11-19 --exclude "*" --recursive --include "*20171119*" &amp; "%USERPROFILE%\Documents\GitHub\mrs-test-scripts\Headless Mode &amp; Sideloading\WalkAndUnGZ.bat" "%USERPROFILE%\AppData\Local\Temp\OnboardLogs"\RTDC4017\2017-11-19</v>
      </c>
      <c r="AF116" s="74" t="str">
        <f t="shared" si="62"/>
        <v>"C:\Program Files (x86)\AstroGrep\AstroGrep.exe" /e /r /s /spath="%USERPROFILE%\AppData\Local\Temp\OnboardLogs" /stypes="app*4017*20171119*" /stext=" 01:.+((SYSTEM_STATE.+slice.+state.+changed )|(ment ac)|(multiple cpu faults)|(system.+state.+changed )|(\[timeout)|(PRM\|1\|D)|(kpr)|(kdp)|(train st.+moving)|(\|lc)|(penalty))"</v>
      </c>
      <c r="AG116" s="181" t="str">
        <f t="shared" si="93"/>
        <v>EC</v>
      </c>
      <c r="AH116" s="78" t="str">
        <f t="shared" si="72"/>
        <v>"%USERPROFILE%\Documents\GitHub\eaglep3\Utilities\RefineRTDCRunTimes.py" --tripid 204-18 --locoid 4017 --swversion DE.1.0.9.0 --startMP 204:232977 --initTime 2017-11-18T17:21:29 --startdatetime 2017-11-18T17:27:22 --delay 68 --endMP 204:223 --enddatetime 2017-11-18T18:07:55 --enforcementcount 0 &gt;&gt;%USERPROFILE%\Documents\GitHub\eaglep3-reporting\EC\2017-11-18-refined-times.txt</v>
      </c>
      <c r="AI116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{"issue":{"subject":"","project_id":79,"tracker_id":40,"status_id":1,"priority_id":2,"assigned_to_id":338,"start_date":"2017-11-18","description":"","custom_fields":[{"id":1,"name":"Subdivision","value":"EC"},{"id":4,"name":"Milepost","value":"0.0223"},{"id":17,"name":"Train ID","value":"204-18"},{"id":16,"name":"Locomotive ID","value":"4017"},{"id":130,"name":"Impact","value":""},{"id":150,"name":"Time of Event (Mountain Time)","value":"18:07:55"},{"id":151,"name":"Denver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1" t="str">
        <f t="shared" si="74"/>
        <v>start /low /b %USERPROFILE%\Documents\GitHub\eaglep3\Utilities\DownloadLogsFromS3.py --loco 4017 --day 2017-11-18</v>
      </c>
      <c r="AN116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01:07:55"},{"id":29,"name":"Sharepoint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7" t="str">
        <f t="shared" si="76"/>
        <v>https://d0f6bd738d7f1b3e5a7ca70fe4ff75f0.us-east-1.aws.found.io/app/kibana#/discover/Steve-Slow-Train-Analysis-(2080s-and-2083s)?_g=(refreshInterval:(display:Off,pause:!f,section:0,value:0),time:(from:'2017-11-18T16:21:29-0700',mode:absolute,to:'2017-11-18T19:07:55-0700'))&amp;_a=(columns:!('Message%20ID',Summary),filters:!(),index:'emp_*',interval:auto,query:(query_string:(analyze_wildcard:!t,query:'%22rtdc.l.rtdc.4017%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848</v>
      </c>
      <c r="B117" s="7">
        <v>4024</v>
      </c>
      <c r="C117" s="21" t="s">
        <v>192</v>
      </c>
      <c r="D117" s="21" t="s">
        <v>496</v>
      </c>
      <c r="E117" s="13">
        <v>43057.694988425923</v>
      </c>
      <c r="F117" s="13">
        <v>43057.698148148149</v>
      </c>
      <c r="G117" s="7">
        <v>70</v>
      </c>
      <c r="H117" s="21" t="s">
        <v>549</v>
      </c>
      <c r="I117" s="13">
        <v>43057.722974537035</v>
      </c>
      <c r="J117" s="7">
        <v>0</v>
      </c>
      <c r="K117" s="89" t="str">
        <f t="shared" si="86"/>
        <v>4023/4024</v>
      </c>
      <c r="L117" s="184" t="str">
        <f>VLOOKUP(A117,'Trips&amp;Operators'!$C$1:$G$99911,5,FALSE)</f>
        <v>SAFIEF AEIMEN</v>
      </c>
      <c r="M117" s="6">
        <f t="shared" si="87"/>
        <v>2.4826388886140194E-2</v>
      </c>
      <c r="N117" s="7">
        <f t="shared" si="78"/>
        <v>35.749999996041879</v>
      </c>
      <c r="O117" s="7"/>
      <c r="P117" s="7"/>
      <c r="Q117" s="22"/>
      <c r="R117" s="173"/>
      <c r="S117" s="220">
        <f t="shared" si="88"/>
        <v>1</v>
      </c>
      <c r="T117" s="173" t="str">
        <f t="shared" si="89"/>
        <v>NorthBound</v>
      </c>
      <c r="U117" s="19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5" t="str">
        <f t="shared" si="58"/>
        <v>https://d0f6bd738d7f1b3e5a7ca70fe4ff75f0.us-east-1.aws.found.io/app/kibana#/discover/Steve-Slow-Train-Analysis-(2080s-and-2083s)?_g=(refreshInterval:(display:Off,pause:!f,section:0,value:0),time:(from:'2017-11-18T15:40:47-0700',mode:absolute,to:'2017-11-18T18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7" s="203" t="str">
        <f>IF(AA117&lt;VLOOKUP(AG117,Variables!$AC$3:$AD$8,2,FALSE),"Y","N")</f>
        <v>N</v>
      </c>
      <c r="X117" s="203">
        <f t="shared" si="94"/>
        <v>1</v>
      </c>
      <c r="Y117" s="203">
        <f t="shared" si="84"/>
        <v>5.2200000000000003E-2</v>
      </c>
      <c r="Z117" s="203">
        <f t="shared" si="85"/>
        <v>23.323799999999999</v>
      </c>
      <c r="AA117" s="203">
        <f t="shared" si="91"/>
        <v>23.271599999999999</v>
      </c>
      <c r="AB117" s="54" t="e">
        <f>VLOOKUP(A117,Enforcements!$C$7:$K$9,8,0)</f>
        <v>#N/A</v>
      </c>
      <c r="AC117" s="51" t="e">
        <f>VLOOKUP(A117,Enforcements!$C$7:$E$9,3,0)</f>
        <v>#N/A</v>
      </c>
      <c r="AD117" s="178">
        <f t="shared" si="92"/>
        <v>205</v>
      </c>
      <c r="AE117" s="77" t="str">
        <f t="shared" si="61"/>
        <v>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 &amp; aws s3 cp s3://rtdc.mdm.uploadarchive.raw/RTDC4024/ "%USERPROFILE%\AppData\Local\Temp\OnboardLogs"\RTDC4024\2017-11-19 --exclude "*" --recursive --include "*20171119*" &amp; "%USERPROFILE%\Documents\GitHub\mrs-test-scripts\Headless Mode &amp; Sideloading\WalkAndUnGZ.bat" "%USERPROFILE%\AppData\Local\Temp\OnboardLogs"\RTDC4024\2017-11-19</v>
      </c>
      <c r="AF117" s="74" t="str">
        <f t="shared" si="62"/>
        <v>"C:\Program Files (x86)\AstroGrep\AstroGrep.exe" /e /r /s /spath="%USERPROFILE%\AppData\Local\Temp\OnboardLogs" /stypes="app*4024*20171119*" /stext=" 00:.+((SYSTEM_STATE.+slice.+state.+changed )|(ment ac)|(multiple cpu faults)|(system.+state.+changed )|(\[timeout)|(PRM\|1\|D)|(kpr)|(kdp)|(train st.+moving)|(\|lc)|(penalty))"</v>
      </c>
      <c r="AG117" s="181" t="str">
        <f t="shared" si="93"/>
        <v>EC</v>
      </c>
      <c r="AH117" s="78" t="str">
        <f t="shared" si="72"/>
        <v>"%USERPROFILE%\Documents\GitHub\eaglep3\Utilities\RefineRTDCRunTimes.py" --tripid 205-18 --locoid 4024 --swversion DE.1.0.9.0 --startMP 204:522 --initTime 2017-11-18T16:40:47 --startdatetime 2017-11-18T16:45:20 --delay 70 --endMP 204:233238 --enddatetime 2017-11-18T17:21:05 --enforcementcount 0 &gt;&gt;%USERPROFILE%\Documents\GitHub\eaglep3-reporting\EC\2017-11-18-refined-times.txt</v>
      </c>
      <c r="AI117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{"issue":{"subject":"","project_id":79,"tracker_id":40,"status_id":1,"priority_id":2,"assigned_to_id":338,"start_date":"2017-11-18","description":"","custom_fields":[{"id":1,"name":"Subdivision","value":"EC"},{"id":4,"name":"Milepost","value":"23.3238"},{"id":17,"name":"Train ID","value":"205-18"},{"id":16,"name":"Locomotive ID","value":"4024"},{"id":130,"name":"Impact","value":""},{"id":150,"name":"Time of Event (Mountain Time)","value":"17:21:05"},{"id":151,"name":"Denver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1" t="str">
        <f t="shared" si="74"/>
        <v>start /low /b %USERPROFILE%\Documents\GitHub\eaglep3\Utilities\DownloadLogsFromS3.py --loco 4024 --day 2017-11-18</v>
      </c>
      <c r="AN117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00:21:05"},{"id":29,"name":"Sharepoint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7" t="str">
        <f t="shared" si="76"/>
        <v>https://d0f6bd738d7f1b3e5a7ca70fe4ff75f0.us-east-1.aws.found.io/app/kibana#/discover/Steve-Slow-Train-Analysis-(2080s-and-2083s)?_g=(refreshInterval:(display:Off,pause:!f,section:0,value:0),time:(from:'2017-11-18T15:40:47-0700',mode:absolute,to:'2017-11-18T18:21:05-0700'))&amp;_a=(columns:!('Message%20ID',Summary),filters:!(),index:'emp_*',interval:auto,query:(query_string:(analyze_wildcard:!t,query:'%22rtdc.l.rtdc.4024%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859</v>
      </c>
      <c r="B118" s="7">
        <v>4023</v>
      </c>
      <c r="C118" s="21" t="s">
        <v>192</v>
      </c>
      <c r="D118" s="21" t="s">
        <v>638</v>
      </c>
      <c r="E118" s="13">
        <v>43057.724479166667</v>
      </c>
      <c r="F118" s="13">
        <v>43057.737847222219</v>
      </c>
      <c r="G118" s="7">
        <v>70</v>
      </c>
      <c r="H118" s="21" t="s">
        <v>620</v>
      </c>
      <c r="I118" s="13">
        <v>43057.763981481483</v>
      </c>
      <c r="J118" s="7">
        <v>0</v>
      </c>
      <c r="K118" s="89" t="str">
        <f t="shared" si="86"/>
        <v>4023/4024</v>
      </c>
      <c r="L118" s="184" t="str">
        <f>VLOOKUP(A118,'Trips&amp;Operators'!$C$1:$G$99911,5,FALSE)</f>
        <v>SAFIEF AEIMEN</v>
      </c>
      <c r="M118" s="6">
        <f t="shared" si="87"/>
        <v>2.6134259263926651E-2</v>
      </c>
      <c r="N118" s="7">
        <f t="shared" ref="N118:N149" si="95">24*60*SUM($M118:$M118)</f>
        <v>37.633333340054378</v>
      </c>
      <c r="O118" s="7"/>
      <c r="P118" s="7"/>
      <c r="Q118" s="22"/>
      <c r="R118" s="173"/>
      <c r="S118" s="220">
        <f t="shared" si="88"/>
        <v>1</v>
      </c>
      <c r="T118" s="173" t="str">
        <f t="shared" si="89"/>
        <v>Southbound</v>
      </c>
      <c r="U118" s="19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5" t="str">
        <f t="shared" si="58"/>
        <v>https://d0f6bd738d7f1b3e5a7ca70fe4ff75f0.us-east-1.aws.found.io/app/kibana#/discover/Steve-Slow-Train-Analysis-(2080s-and-2083s)?_g=(refreshInterval:(display:Off,pause:!f,section:0,value:0),time:(from:'2017-11-18T16:23:15-0700',mode:absolute,to:'2017-11-18T19:20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8" s="203" t="str">
        <f>IF(AA118&lt;VLOOKUP(AG118,Variables!$AC$3:$AD$8,2,FALSE),"Y","N")</f>
        <v>N</v>
      </c>
      <c r="X118" s="203">
        <f t="shared" si="94"/>
        <v>1</v>
      </c>
      <c r="Y118" s="203">
        <f t="shared" si="84"/>
        <v>23.293199999999999</v>
      </c>
      <c r="Z118" s="203">
        <f t="shared" si="85"/>
        <v>2.0500000000000001E-2</v>
      </c>
      <c r="AA118" s="203">
        <f t="shared" si="91"/>
        <v>23.2727</v>
      </c>
      <c r="AB118" s="54" t="e">
        <f>VLOOKUP(A118,Enforcements!$C$7:$K$9,8,0)</f>
        <v>#N/A</v>
      </c>
      <c r="AC118" s="51" t="e">
        <f>VLOOKUP(A118,Enforcements!$C$7:$E$9,3,0)</f>
        <v>#N/A</v>
      </c>
      <c r="AD118" s="178">
        <f t="shared" si="92"/>
        <v>206</v>
      </c>
      <c r="AE118" s="77" t="str">
        <f t="shared" si="61"/>
        <v>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 &amp; aws s3 cp s3://rtdc.mdm.uploadarchive.raw/RTDC4023/ "%USERPROFILE%\AppData\Local\Temp\OnboardLogs"\RTDC4023\2017-11-19 --exclude "*" --recursive --include "*20171119*" &amp; "%USERPROFILE%\Documents\GitHub\mrs-test-scripts\Headless Mode &amp; Sideloading\WalkAndUnGZ.bat" "%USERPROFILE%\AppData\Local\Temp\OnboardLogs"\RTDC4023\2017-11-19</v>
      </c>
      <c r="AF118" s="74" t="str">
        <f t="shared" si="62"/>
        <v>"C:\Program Files (x86)\AstroGrep\AstroGrep.exe" /e /r /s /spath="%USERPROFILE%\AppData\Local\Temp\OnboardLogs" /stypes="app*4023*20171119*" /stext=" 01:.+((SYSTEM_STATE.+slice.+state.+changed )|(ment ac)|(multiple cpu faults)|(system.+state.+changed )|(\[timeout)|(PRM\|1\|D)|(kpr)|(kdp)|(train st.+moving)|(\|lc)|(penalty))"</v>
      </c>
      <c r="AG118" s="181" t="str">
        <f t="shared" si="93"/>
        <v>EC</v>
      </c>
      <c r="AH118" s="78" t="str">
        <f t="shared" si="72"/>
        <v>"%USERPROFILE%\Documents\GitHub\eaglep3\Utilities\RefineRTDCRunTimes.py" --tripid 206-18 --locoid 4023 --swversion DE.1.0.9.0 --startMP 204:232932 --initTime 2017-11-18T17:23:15 --startdatetime 2017-11-18T17:42:30 --delay 70 --endMP 204:205 --enddatetime 2017-11-18T18:20:08 --enforcementcount 0 &gt;&gt;%USERPROFILE%\Documents\GitHub\eaglep3-reporting\EC\2017-11-18-refined-times.txt</v>
      </c>
      <c r="AI118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{"issue":{"subject":"","project_id":79,"tracker_id":40,"status_id":1,"priority_id":2,"assigned_to_id":338,"start_date":"2017-11-18","description":"","custom_fields":[{"id":1,"name":"Subdivision","value":"EC"},{"id":4,"name":"Milepost","value":"0.0205"},{"id":17,"name":"Train ID","value":"206-18"},{"id":16,"name":"Locomotive ID","value":"4023"},{"id":130,"name":"Impact","value":""},{"id":150,"name":"Time of Event (Mountain Time)","value":"18:20:08"},{"id":151,"name":"Denver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1" t="str">
        <f t="shared" si="74"/>
        <v>start /low /b %USERPROFILE%\Documents\GitHub\eaglep3\Utilities\DownloadLogsFromS3.py --loco 4023 --day 2017-11-18</v>
      </c>
      <c r="AN118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01:20:08"},{"id":29,"name":"Sharepoint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7" t="str">
        <f t="shared" si="76"/>
        <v>https://d0f6bd738d7f1b3e5a7ca70fe4ff75f0.us-east-1.aws.found.io/app/kibana#/discover/Steve-Slow-Train-Analysis-(2080s-and-2083s)?_g=(refreshInterval:(display:Off,pause:!f,section:0,value:0),time:(from:'2017-11-18T16:23:15-0700',mode:absolute,to:'2017-11-18T19:20:08-0700'))&amp;_a=(columns:!('Message%20ID',Summary),filters:!(),index:'emp_*',interval:auto,query:(query_string:(analyze_wildcard:!t,query:'%22rtdc.l.rtdc.4023%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849</v>
      </c>
      <c r="B119" s="7">
        <v>4026</v>
      </c>
      <c r="C119" s="21" t="s">
        <v>192</v>
      </c>
      <c r="D119" s="21" t="s">
        <v>1006</v>
      </c>
      <c r="E119" s="13">
        <v>43057.703923611109</v>
      </c>
      <c r="F119" s="13">
        <v>43057.708495370367</v>
      </c>
      <c r="G119" s="7">
        <v>51</v>
      </c>
      <c r="H119" s="21" t="s">
        <v>1007</v>
      </c>
      <c r="I119" s="13">
        <v>43057.733564814815</v>
      </c>
      <c r="J119" s="7">
        <v>0</v>
      </c>
      <c r="K119" s="89" t="str">
        <f t="shared" si="86"/>
        <v>4025/4026</v>
      </c>
      <c r="L119" s="184" t="str">
        <f>VLOOKUP(A119,'Trips&amp;Operators'!$C$1:$G$99911,5,FALSE)</f>
        <v>GUZMAN DANNY</v>
      </c>
      <c r="M119" s="6">
        <f t="shared" si="87"/>
        <v>2.5069444447581191E-2</v>
      </c>
      <c r="N119" s="7">
        <f t="shared" si="95"/>
        <v>36.100000004516914</v>
      </c>
      <c r="O119" s="7"/>
      <c r="P119" s="7"/>
      <c r="Q119" s="22"/>
      <c r="R119" s="173"/>
      <c r="S119" s="220">
        <f t="shared" si="88"/>
        <v>1</v>
      </c>
      <c r="T119" s="173" t="str">
        <f t="shared" si="89"/>
        <v>NorthBound</v>
      </c>
      <c r="U119" s="19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5" t="str">
        <f t="shared" si="58"/>
        <v>https://d0f6bd738d7f1b3e5a7ca70fe4ff75f0.us-east-1.aws.found.io/app/kibana#/discover/Steve-Slow-Train-Analysis-(2080s-and-2083s)?_g=(refreshInterval:(display:Off,pause:!f,section:0,value:0),time:(from:'2017-11-18T15:53:39-0700',mode:absolute,to:'2017-11-18T18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9" s="203" t="str">
        <f>IF(AA119&lt;VLOOKUP(AG119,Variables!$AC$3:$AD$8,2,FALSE),"Y","N")</f>
        <v>N</v>
      </c>
      <c r="X119" s="203">
        <f t="shared" si="94"/>
        <v>1</v>
      </c>
      <c r="Y119" s="203">
        <f t="shared" si="84"/>
        <v>5.8599999999999999E-2</v>
      </c>
      <c r="Z119" s="203">
        <f t="shared" si="85"/>
        <v>23.322500000000002</v>
      </c>
      <c r="AA119" s="203">
        <f t="shared" si="91"/>
        <v>23.263900000000003</v>
      </c>
      <c r="AB119" s="54" t="e">
        <f>VLOOKUP(A119,Enforcements!$C$7:$K$9,8,0)</f>
        <v>#N/A</v>
      </c>
      <c r="AC119" s="51" t="e">
        <f>VLOOKUP(A119,Enforcements!$C$7:$E$9,3,0)</f>
        <v>#N/A</v>
      </c>
      <c r="AD119" s="178">
        <f t="shared" si="92"/>
        <v>207</v>
      </c>
      <c r="AE119" s="77" t="str">
        <f t="shared" si="61"/>
        <v>aws s3 cp s3://rtdc.mdm.uploadarchive.raw/RTDC4026/ "%USERPROFILE%\AppData\Local\Temp\OnboardLogs"\RTDC4026\2017-11-18 --exclude "*" --recursive --include "*20171118*" &amp; "%USERPROFILE%\Documents\GitHub\mrs-test-scripts\Headless Mode &amp; Sideloading\WalkAndUnGZ.bat" "%USERPROFILE%\AppData\Local\Temp\OnboardLogs"\RTDC4026\2017-11-18 &amp; aws s3 cp s3://rtdc.mdm.uploadarchive.raw/RTDC4026/ "%USERPROFILE%\AppData\Local\Temp\OnboardLogs"\RTDC4026\2017-11-19 --exclude "*" --recursive --include "*20171119*" &amp; "%USERPROFILE%\Documents\GitHub\mrs-test-scripts\Headless Mode &amp; Sideloading\WalkAndUnGZ.bat" "%USERPROFILE%\AppData\Local\Temp\OnboardLogs"\RTDC4026\2017-11-19</v>
      </c>
      <c r="AF119" s="74" t="str">
        <f t="shared" si="62"/>
        <v>"C:\Program Files (x86)\AstroGrep\AstroGrep.exe" /e /r /s /spath="%USERPROFILE%\AppData\Local\Temp\OnboardLogs" /stypes="app*4026*20171119*" /stext=" 00:.+((SYSTEM_STATE.+slice.+state.+changed )|(ment ac)|(multiple cpu faults)|(system.+state.+changed )|(\[timeout)|(PRM\|1\|D)|(kpr)|(kdp)|(train st.+moving)|(\|lc)|(penalty))"</v>
      </c>
      <c r="AG119" s="181" t="str">
        <f t="shared" si="93"/>
        <v>EC</v>
      </c>
      <c r="AH119" s="78" t="str">
        <f t="shared" si="72"/>
        <v>"%USERPROFILE%\Documents\GitHub\eaglep3\Utilities\RefineRTDCRunTimes.py" --tripid 207-18 --locoid 4026 --swversion DE.1.0.9.0 --startMP 204:586 --initTime 2017-11-18T16:53:39 --startdatetime 2017-11-18T17:00:14 --delay 51 --endMP 204:233225 --enddatetime 2017-11-18T17:36:20 --enforcementcount 0 &gt;&gt;%USERPROFILE%\Documents\GitHub\eaglep3-reporting\EC\2017-11-18-refined-times.txt</v>
      </c>
      <c r="AI119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{"issue":{"subject":"","project_id":79,"tracker_id":40,"status_id":1,"priority_id":2,"assigned_to_id":338,"start_date":"2017-11-18","description":"","custom_fields":[{"id":1,"name":"Subdivision","value":"EC"},{"id":4,"name":"Milepost","value":"23.3225"},{"id":17,"name":"Train ID","value":"207-18"},{"id":16,"name":"Locomotive ID","value":"4026"},{"id":130,"name":"Impact","value":""},{"id":150,"name":"Time of Event (Mountain Time)","value":"17:36:20"},{"id":151,"name":"Denver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1" t="str">
        <f t="shared" si="74"/>
        <v>start /low /b %USERPROFILE%\Documents\GitHub\eaglep3\Utilities\DownloadLogsFromS3.py --loco 4026 --day 2017-11-18</v>
      </c>
      <c r="AN119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00:36:20"},{"id":29,"name":"Sharepoint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7" t="str">
        <f t="shared" si="76"/>
        <v>https://d0f6bd738d7f1b3e5a7ca70fe4ff75f0.us-east-1.aws.found.io/app/kibana#/discover/Steve-Slow-Train-Analysis-(2080s-and-2083s)?_g=(refreshInterval:(display:Off,pause:!f,section:0,value:0),time:(from:'2017-11-18T15:53:39-0700',mode:absolute,to:'2017-11-18T18:36:20-0700'))&amp;_a=(columns:!('Message%20ID',Summary),filters:!(),index:'emp_*',interval:auto,query:(query_string:(analyze_wildcard:!t,query:'%22rtdc.l.rtdc.4026%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685</v>
      </c>
      <c r="B120" s="7">
        <v>4025</v>
      </c>
      <c r="C120" s="21" t="s">
        <v>192</v>
      </c>
      <c r="D120" s="21" t="s">
        <v>1008</v>
      </c>
      <c r="E120" s="13">
        <v>43057.73505787037</v>
      </c>
      <c r="F120" s="13">
        <v>43057.748090277775</v>
      </c>
      <c r="G120" s="7">
        <v>58</v>
      </c>
      <c r="H120" s="21" t="s">
        <v>1009</v>
      </c>
      <c r="I120" s="13">
        <v>43057.774942129632</v>
      </c>
      <c r="J120" s="7">
        <v>0</v>
      </c>
      <c r="K120" s="89" t="str">
        <f t="shared" si="86"/>
        <v>4025/4026</v>
      </c>
      <c r="L120" s="184" t="str">
        <f>VLOOKUP(A120,'Trips&amp;Operators'!$C$1:$G$99911,5,FALSE)</f>
        <v>GUZMAN DANNY</v>
      </c>
      <c r="M120" s="6">
        <f t="shared" si="87"/>
        <v>2.6851851856918074E-2</v>
      </c>
      <c r="N120" s="7">
        <f t="shared" si="95"/>
        <v>38.666666673962027</v>
      </c>
      <c r="O120" s="7"/>
      <c r="P120" s="7"/>
      <c r="Q120" s="22"/>
      <c r="R120" s="173"/>
      <c r="S120" s="220">
        <f t="shared" si="88"/>
        <v>1</v>
      </c>
      <c r="T120" s="173" t="str">
        <f t="shared" si="89"/>
        <v>Southbound</v>
      </c>
      <c r="U120" s="19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5" t="str">
        <f t="shared" si="58"/>
        <v>https://d0f6bd738d7f1b3e5a7ca70fe4ff75f0.us-east-1.aws.found.io/app/kibana#/discover/Steve-Slow-Train-Analysis-(2080s-and-2083s)?_g=(refreshInterval:(display:Off,pause:!f,section:0,value:0),time:(from:'2017-11-18T16:38:29-0700',mode:absolute,to:'2017-11-18T19:35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0" s="203" t="str">
        <f>IF(AA120&lt;VLOOKUP(AG120,Variables!$AC$3:$AD$8,2,FALSE),"Y","N")</f>
        <v>N</v>
      </c>
      <c r="X120" s="203">
        <f t="shared" si="94"/>
        <v>1</v>
      </c>
      <c r="Y120" s="203">
        <f t="shared" si="84"/>
        <v>23.290900000000001</v>
      </c>
      <c r="Z120" s="203">
        <f t="shared" si="85"/>
        <v>2.69E-2</v>
      </c>
      <c r="AA120" s="203">
        <f t="shared" si="91"/>
        <v>23.263999999999999</v>
      </c>
      <c r="AB120" s="54" t="e">
        <f>VLOOKUP(A120,Enforcements!$C$7:$K$9,8,0)</f>
        <v>#N/A</v>
      </c>
      <c r="AC120" s="51" t="e">
        <f>VLOOKUP(A120,Enforcements!$C$7:$E$9,3,0)</f>
        <v>#N/A</v>
      </c>
      <c r="AD120" s="178">
        <f t="shared" si="92"/>
        <v>208</v>
      </c>
      <c r="AE120" s="77" t="str">
        <f t="shared" si="61"/>
        <v>aws s3 cp s3://rtdc.mdm.uploadarchive.raw/RTDC4025/ "%USERPROFILE%\AppData\Local\Temp\OnboardLogs"\RTDC4025\2017-11-18 --exclude "*" --recursive --include "*20171118*" &amp; "%USERPROFILE%\Documents\GitHub\mrs-test-scripts\Headless Mode &amp; Sideloading\WalkAndUnGZ.bat" "%USERPROFILE%\AppData\Local\Temp\OnboardLogs"\RTDC4025\2017-11-18 &amp; aws s3 cp s3://rtdc.mdm.uploadarchive.raw/RTDC4025/ "%USERPROFILE%\AppData\Local\Temp\OnboardLogs"\RTDC4025\2017-11-19 --exclude "*" --recursive --include "*20171119*" &amp; "%USERPROFILE%\Documents\GitHub\mrs-test-scripts\Headless Mode &amp; Sideloading\WalkAndUnGZ.bat" "%USERPROFILE%\AppData\Local\Temp\OnboardLogs"\RTDC4025\2017-11-19</v>
      </c>
      <c r="AF120" s="74" t="str">
        <f t="shared" si="62"/>
        <v>"C:\Program Files (x86)\AstroGrep\AstroGrep.exe" /e /r /s /spath="%USERPROFILE%\AppData\Local\Temp\OnboardLogs" /stypes="app*4025*20171119*" /stext=" 01:.+((SYSTEM_STATE.+slice.+state.+changed )|(ment ac)|(multiple cpu faults)|(system.+state.+changed )|(\[timeout)|(PRM\|1\|D)|(kpr)|(kdp)|(train st.+moving)|(\|lc)|(penalty))"</v>
      </c>
      <c r="AG120" s="181" t="str">
        <f t="shared" si="93"/>
        <v>EC</v>
      </c>
      <c r="AH120" s="78" t="str">
        <f t="shared" si="72"/>
        <v>"%USERPROFILE%\Documents\GitHub\eaglep3\Utilities\RefineRTDCRunTimes.py" --tripid 208-18 --locoid 4025 --swversion DE.1.0.9.0 --startMP 204:232909 --initTime 2017-11-18T17:38:29 --startdatetime 2017-11-18T17:57:15 --delay 58 --endMP 204:269 --enddatetime 2017-11-18T18:35:55 --enforcementcount 0 &gt;&gt;%USERPROFILE%\Documents\GitHub\eaglep3-reporting\EC\2017-11-18-refined-times.txt</v>
      </c>
      <c r="AI120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{"issue":{"subject":"","project_id":79,"tracker_id":40,"status_id":1,"priority_id":2,"assigned_to_id":338,"start_date":"2017-11-18","description":"","custom_fields":[{"id":1,"name":"Subdivision","value":"EC"},{"id":4,"name":"Milepost","value":"0.0269"},{"id":17,"name":"Train ID","value":"208-18"},{"id":16,"name":"Locomotive ID","value":"4025"},{"id":130,"name":"Impact","value":""},{"id":150,"name":"Time of Event (Mountain Time)","value":"18:35:55"},{"id":151,"name":"Denver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1" t="str">
        <f t="shared" si="74"/>
        <v>start /low /b %USERPROFILE%\Documents\GitHub\eaglep3\Utilities\DownloadLogsFromS3.py --loco 4025 --day 2017-11-18</v>
      </c>
      <c r="AN120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01:35:55"},{"id":29,"name":"Sharepoint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7" t="str">
        <f t="shared" si="76"/>
        <v>https://d0f6bd738d7f1b3e5a7ca70fe4ff75f0.us-east-1.aws.found.io/app/kibana#/discover/Steve-Slow-Train-Analysis-(2080s-and-2083s)?_g=(refreshInterval:(display:Off,pause:!f,section:0,value:0),time:(from:'2017-11-18T16:38:29-0700',mode:absolute,to:'2017-11-18T19:35:55-0700'))&amp;_a=(columns:!('Message%20ID',Summary),filters:!(),index:'emp_*',interval:auto,query:(query_string:(analyze_wildcard:!t,query:'%22rtdc.l.rtdc.4025%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853</v>
      </c>
      <c r="B121" s="7">
        <v>4008</v>
      </c>
      <c r="C121" s="21" t="s">
        <v>192</v>
      </c>
      <c r="D121" s="21" t="s">
        <v>552</v>
      </c>
      <c r="E121" s="13">
        <v>43057.714571759258</v>
      </c>
      <c r="F121" s="13">
        <v>43057.718912037039</v>
      </c>
      <c r="G121" s="7">
        <v>59</v>
      </c>
      <c r="H121" s="21" t="s">
        <v>649</v>
      </c>
      <c r="I121" s="13">
        <v>43057.745682870373</v>
      </c>
      <c r="J121" s="7">
        <v>0</v>
      </c>
      <c r="K121" s="89" t="str">
        <f t="shared" si="86"/>
        <v>4007/4008</v>
      </c>
      <c r="L121" s="184" t="str">
        <f>VLOOKUP(A121,'Trips&amp;Operators'!$C$1:$G$99911,5,FALSE)</f>
        <v>BADERTSCHER DIANE</v>
      </c>
      <c r="M121" s="6">
        <f t="shared" si="87"/>
        <v>2.6770833334012423E-2</v>
      </c>
      <c r="N121" s="7">
        <f t="shared" si="95"/>
        <v>38.550000000977889</v>
      </c>
      <c r="O121" s="7"/>
      <c r="P121" s="7"/>
      <c r="Q121" s="22"/>
      <c r="R121" s="173"/>
      <c r="S121" s="220">
        <f t="shared" si="88"/>
        <v>1</v>
      </c>
      <c r="T121" s="173" t="str">
        <f t="shared" si="89"/>
        <v>NorthBound</v>
      </c>
      <c r="U121" s="19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5" t="str">
        <f t="shared" si="58"/>
        <v>https://d0f6bd738d7f1b3e5a7ca70fe4ff75f0.us-east-1.aws.found.io/app/kibana#/discover/Steve-Slow-Train-Analysis-(2080s-and-2083s)?_g=(refreshInterval:(display:Off,pause:!f,section:0,value:0),time:(from:'2017-11-18T16:08:59-0700',mode:absolute,to:'2017-11-18T18:53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1" s="203" t="str">
        <f>IF(AA121&lt;VLOOKUP(AG121,Variables!$AC$3:$AD$8,2,FALSE),"Y","N")</f>
        <v>N</v>
      </c>
      <c r="X121" s="203">
        <f t="shared" si="94"/>
        <v>1</v>
      </c>
      <c r="Y121" s="203">
        <f t="shared" si="84"/>
        <v>5.6800000000000003E-2</v>
      </c>
      <c r="Z121" s="203">
        <f t="shared" si="85"/>
        <v>23.3218</v>
      </c>
      <c r="AA121" s="203">
        <f t="shared" si="91"/>
        <v>23.265000000000001</v>
      </c>
      <c r="AB121" s="54" t="e">
        <f>VLOOKUP(A121,Enforcements!$C$7:$K$9,8,0)</f>
        <v>#N/A</v>
      </c>
      <c r="AC121" s="51" t="e">
        <f>VLOOKUP(A121,Enforcements!$C$7:$E$9,3,0)</f>
        <v>#N/A</v>
      </c>
      <c r="AD121" s="178">
        <f t="shared" si="92"/>
        <v>209</v>
      </c>
      <c r="AE121" s="77" t="str">
        <f t="shared" si="61"/>
        <v>aws s3 cp s3://rtdc.mdm.uploadarchive.raw/RTDC4008/ "%USERPROFILE%\AppData\Local\Temp\OnboardLogs"\RTDC4008\2017-11-18 --exclude "*" --recursive --include "*20171118*" &amp; "%USERPROFILE%\Documents\GitHub\mrs-test-scripts\Headless Mode &amp; Sideloading\WalkAndUnGZ.bat" "%USERPROFILE%\AppData\Local\Temp\OnboardLogs"\RTDC4008\2017-11-18 &amp; aws s3 cp s3://rtdc.mdm.uploadarchive.raw/RTDC4008/ "%USERPROFILE%\AppData\Local\Temp\OnboardLogs"\RTDC4008\2017-11-19 --exclude "*" --recursive --include "*20171119*" &amp; "%USERPROFILE%\Documents\GitHub\mrs-test-scripts\Headless Mode &amp; Sideloading\WalkAndUnGZ.bat" "%USERPROFILE%\AppData\Local\Temp\OnboardLogs"\RTDC4008\2017-11-19</v>
      </c>
      <c r="AF121" s="74" t="str">
        <f t="shared" si="62"/>
        <v>"C:\Program Files (x86)\AstroGrep\AstroGrep.exe" /e /r /s /spath="%USERPROFILE%\AppData\Local\Temp\OnboardLogs" /stypes="app*4008*20171119*" /stext=" 00:.+((SYSTEM_STATE.+slice.+state.+changed )|(ment ac)|(multiple cpu faults)|(system.+state.+changed )|(\[timeout)|(PRM\|1\|D)|(kpr)|(kdp)|(train st.+moving)|(\|lc)|(penalty))"</v>
      </c>
      <c r="AG121" s="181" t="str">
        <f t="shared" si="93"/>
        <v>EC</v>
      </c>
      <c r="AH121" s="78" t="str">
        <f t="shared" si="72"/>
        <v>"%USERPROFILE%\Documents\GitHub\eaglep3\Utilities\RefineRTDCRunTimes.py" --tripid 209-18 --locoid 4008 --swversion DE.1.0.9.0 --startMP 204:568 --initTime 2017-11-18T17:08:59 --startdatetime 2017-11-18T17:15:14 --delay 59 --endMP 204:233218 --enddatetime 2017-11-18T17:53:47 --enforcementcount 0 &gt;&gt;%USERPROFILE%\Documents\GitHub\eaglep3-reporting\EC\2017-11-18-refined-times.txt</v>
      </c>
      <c r="AI121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{"issue":{"subject":"","project_id":79,"tracker_id":40,"status_id":1,"priority_id":2,"assigned_to_id":338,"start_date":"2017-11-18","description":"","custom_fields":[{"id":1,"name":"Subdivision","value":"EC"},{"id":4,"name":"Milepost","value":"23.3218"},{"id":17,"name":"Train ID","value":"209-18"},{"id":16,"name":"Locomotive ID","value":"4008"},{"id":130,"name":"Impact","value":""},{"id":150,"name":"Time of Event (Mountain Time)","value":"17:53:47"},{"id":151,"name":"Denver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1" t="str">
        <f t="shared" si="74"/>
        <v>start /low /b %USERPROFILE%\Documents\GitHub\eaglep3\Utilities\DownloadLogsFromS3.py --loco 4008 --day 2017-11-18</v>
      </c>
      <c r="AN121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00:53:47"},{"id":29,"name":"Sharepoint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7" t="str">
        <f t="shared" si="76"/>
        <v>https://d0f6bd738d7f1b3e5a7ca70fe4ff75f0.us-east-1.aws.found.io/app/kibana#/discover/Steve-Slow-Train-Analysis-(2080s-and-2083s)?_g=(refreshInterval:(display:Off,pause:!f,section:0,value:0),time:(from:'2017-11-18T16:08:59-0700',mode:absolute,to:'2017-11-18T18:53:47-0700'))&amp;_a=(columns:!('Message%20ID',Summary),filters:!(),index:'emp_*',interval:auto,query:(query_string:(analyze_wildcard:!t,query:'%22rtdc.l.rtdc.4008%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864</v>
      </c>
      <c r="B122" s="7">
        <v>4007</v>
      </c>
      <c r="C122" s="21" t="s">
        <v>192</v>
      </c>
      <c r="D122" s="21" t="s">
        <v>557</v>
      </c>
      <c r="E122" s="13">
        <v>43057.754490740743</v>
      </c>
      <c r="F122" s="13">
        <v>43057.758506944447</v>
      </c>
      <c r="G122" s="7">
        <v>61</v>
      </c>
      <c r="H122" s="21" t="s">
        <v>621</v>
      </c>
      <c r="I122" s="13">
        <v>43057.785833333335</v>
      </c>
      <c r="J122" s="7">
        <v>0</v>
      </c>
      <c r="K122" s="89" t="str">
        <f t="shared" si="86"/>
        <v>4007/4008</v>
      </c>
      <c r="L122" s="184" t="str">
        <f>VLOOKUP(A122,'Trips&amp;Operators'!$C$1:$G$99911,5,FALSE)</f>
        <v>BADERTSCHER DIANE</v>
      </c>
      <c r="M122" s="6">
        <f t="shared" si="87"/>
        <v>2.73263888884685E-2</v>
      </c>
      <c r="N122" s="7">
        <f t="shared" si="95"/>
        <v>39.34999999939464</v>
      </c>
      <c r="O122" s="7"/>
      <c r="P122" s="7"/>
      <c r="Q122" s="22"/>
      <c r="R122" s="173"/>
      <c r="S122" s="220">
        <f t="shared" si="88"/>
        <v>1</v>
      </c>
      <c r="T122" s="173" t="str">
        <f t="shared" si="89"/>
        <v>Southbound</v>
      </c>
      <c r="U122" s="19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5" t="str">
        <f t="shared" si="58"/>
        <v>https://d0f6bd738d7f1b3e5a7ca70fe4ff75f0.us-east-1.aws.found.io/app/kibana#/discover/Steve-Slow-Train-Analysis-(2080s-and-2083s)?_g=(refreshInterval:(display:Off,pause:!f,section:0,value:0),time:(from:'2017-11-18T17:06:28-0700',mode:absolute,to:'2017-11-18T19:51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2" s="203" t="str">
        <f>IF(AA122&lt;VLOOKUP(AG122,Variables!$AC$3:$AD$8,2,FALSE),"Y","N")</f>
        <v>N</v>
      </c>
      <c r="X122" s="203">
        <f t="shared" si="94"/>
        <v>1</v>
      </c>
      <c r="Y122" s="203">
        <f t="shared" si="84"/>
        <v>23.288799999999998</v>
      </c>
      <c r="Z122" s="203">
        <f t="shared" si="85"/>
        <v>1.9199999999999998E-2</v>
      </c>
      <c r="AA122" s="203">
        <f t="shared" si="91"/>
        <v>23.269599999999997</v>
      </c>
      <c r="AB122" s="54" t="e">
        <f>VLOOKUP(A122,Enforcements!$C$7:$K$9,8,0)</f>
        <v>#N/A</v>
      </c>
      <c r="AC122" s="51" t="e">
        <f>VLOOKUP(A122,Enforcements!$C$7:$E$9,3,0)</f>
        <v>#N/A</v>
      </c>
      <c r="AD122" s="178">
        <f t="shared" si="92"/>
        <v>210</v>
      </c>
      <c r="AE122" s="77" t="str">
        <f t="shared" si="61"/>
        <v>aws s3 cp s3://rtdc.mdm.uploadarchive.raw/RTDC4007/ "%USERPROFILE%\AppData\Local\Temp\OnboardLogs"\RTDC4007\2017-11-18 --exclude "*" --recursive --include "*20171118*" &amp; "%USERPROFILE%\Documents\GitHub\mrs-test-scripts\Headless Mode &amp; Sideloading\WalkAndUnGZ.bat" "%USERPROFILE%\AppData\Local\Temp\OnboardLogs"\RTDC4007\2017-11-18 &amp; aws s3 cp s3://rtdc.mdm.uploadarchive.raw/RTDC4007/ "%USERPROFILE%\AppData\Local\Temp\OnboardLogs"\RTDC4007\2017-11-19 --exclude "*" --recursive --include "*20171119*" &amp; "%USERPROFILE%\Documents\GitHub\mrs-test-scripts\Headless Mode &amp; Sideloading\WalkAndUnGZ.bat" "%USERPROFILE%\AppData\Local\Temp\OnboardLogs"\RTDC4007\2017-11-19</v>
      </c>
      <c r="AF122" s="74" t="str">
        <f t="shared" si="62"/>
        <v>"C:\Program Files (x86)\AstroGrep\AstroGrep.exe" /e /r /s /spath="%USERPROFILE%\AppData\Local\Temp\OnboardLogs" /stypes="app*4007*20171119*" /stext=" 01:.+((SYSTEM_STATE.+slice.+state.+changed )|(ment ac)|(multiple cpu faults)|(system.+state.+changed )|(\[timeout)|(PRM\|1\|D)|(kpr)|(kdp)|(train st.+moving)|(\|lc)|(penalty))"</v>
      </c>
      <c r="AG122" s="181" t="str">
        <f t="shared" si="93"/>
        <v>EC</v>
      </c>
      <c r="AH122" s="78" t="str">
        <f t="shared" si="72"/>
        <v>"%USERPROFILE%\Documents\GitHub\eaglep3\Utilities\RefineRTDCRunTimes.py" --tripid 210-18 --locoid 4007 --swversion DE.1.0.9.0 --startMP 204:232888 --initTime 2017-11-18T18:06:28 --startdatetime 2017-11-18T18:12:15 --delay 61 --endMP 204:192 --enddatetime 2017-11-18T18:51:36 --enforcementcount 0 &gt;&gt;%USERPROFILE%\Documents\GitHub\eaglep3-reporting\EC\2017-11-18-refined-times.txt</v>
      </c>
      <c r="AI122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{"issue":{"subject":"","project_id":79,"tracker_id":40,"status_id":1,"priority_id":2,"assigned_to_id":338,"start_date":"2017-11-18","description":"","custom_fields":[{"id":1,"name":"Subdivision","value":"EC"},{"id":4,"name":"Milepost","value":"0.0192"},{"id":17,"name":"Train ID","value":"210-18"},{"id":16,"name":"Locomotive ID","value":"4007"},{"id":130,"name":"Impact","value":""},{"id":150,"name":"Time of Event (Mountain Time)","value":"18:51:36"},{"id":151,"name":"Denver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1" t="str">
        <f t="shared" si="74"/>
        <v>start /low /b %USERPROFILE%\Documents\GitHub\eaglep3\Utilities\DownloadLogsFromS3.py --loco 4007 --day 2017-11-18</v>
      </c>
      <c r="AN122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01:51:36"},{"id":29,"name":"Sharepoint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7" t="str">
        <f t="shared" si="76"/>
        <v>https://d0f6bd738d7f1b3e5a7ca70fe4ff75f0.us-east-1.aws.found.io/app/kibana#/discover/Steve-Slow-Train-Analysis-(2080s-and-2083s)?_g=(refreshInterval:(display:Off,pause:!f,section:0,value:0),time:(from:'2017-11-18T17:06:28-0700',mode:absolute,to:'2017-11-18T19:51:36-0700'))&amp;_a=(columns:!('Message%20ID',Summary),filters:!(),index:'emp_*',interval:auto,query:(query_string:(analyze_wildcard:!t,query:'%22rtdc.l.rtdc.4007%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858</v>
      </c>
      <c r="B123" s="7">
        <v>4022</v>
      </c>
      <c r="C123" s="21" t="s">
        <v>192</v>
      </c>
      <c r="D123" s="21" t="s">
        <v>646</v>
      </c>
      <c r="E123" s="13">
        <v>43057.724050925928</v>
      </c>
      <c r="F123" s="13">
        <v>43057.729305555556</v>
      </c>
      <c r="G123" s="7">
        <v>75</v>
      </c>
      <c r="H123" s="21" t="s">
        <v>549</v>
      </c>
      <c r="I123" s="13">
        <v>43057.754594907405</v>
      </c>
      <c r="J123" s="7">
        <v>0</v>
      </c>
      <c r="K123" s="89" t="str">
        <f t="shared" si="86"/>
        <v>4021/4022</v>
      </c>
      <c r="L123" s="184" t="str">
        <f>VLOOKUP(A123,'Trips&amp;Operators'!$C$1:$G$99911,5,FALSE)</f>
        <v>BERLING GARY</v>
      </c>
      <c r="M123" s="6">
        <f t="shared" si="87"/>
        <v>2.5289351848186925E-2</v>
      </c>
      <c r="N123" s="7">
        <f t="shared" si="95"/>
        <v>36.416666661389172</v>
      </c>
      <c r="O123" s="7"/>
      <c r="P123" s="7"/>
      <c r="Q123" s="22"/>
      <c r="R123" s="173"/>
      <c r="S123" s="220">
        <f t="shared" si="88"/>
        <v>1</v>
      </c>
      <c r="T123" s="173" t="str">
        <f t="shared" si="89"/>
        <v>NorthBound</v>
      </c>
      <c r="U123" s="19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5" t="str">
        <f t="shared" si="58"/>
        <v>https://d0f6bd738d7f1b3e5a7ca70fe4ff75f0.us-east-1.aws.found.io/app/kibana#/discover/Steve-Slow-Train-Analysis-(2080s-and-2083s)?_g=(refreshInterval:(display:Off,pause:!f,section:0,value:0),time:(from:'2017-11-18T16:22:38-0700',mode:absolute,to:'2017-11-18T19:06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3" s="203" t="str">
        <f>IF(AA123&lt;VLOOKUP(AG123,Variables!$AC$3:$AD$8,2,FALSE),"Y","N")</f>
        <v>N</v>
      </c>
      <c r="X123" s="203">
        <f t="shared" si="94"/>
        <v>1</v>
      </c>
      <c r="Y123" s="203">
        <f t="shared" si="84"/>
        <v>5.4800000000000001E-2</v>
      </c>
      <c r="Z123" s="203">
        <f t="shared" si="85"/>
        <v>23.323799999999999</v>
      </c>
      <c r="AA123" s="203">
        <f t="shared" si="91"/>
        <v>23.268999999999998</v>
      </c>
      <c r="AB123" s="54" t="e">
        <f>VLOOKUP(A123,Enforcements!$C$7:$K$9,8,0)</f>
        <v>#N/A</v>
      </c>
      <c r="AC123" s="51" t="e">
        <f>VLOOKUP(A123,Enforcements!$C$7:$E$9,3,0)</f>
        <v>#N/A</v>
      </c>
      <c r="AD123" s="178">
        <f t="shared" si="92"/>
        <v>211</v>
      </c>
      <c r="AE123" s="77" t="str">
        <f t="shared" si="61"/>
        <v>aws s3 cp s3://rtdc.mdm.uploadarchive.raw/RTDC4022/ "%USERPROFILE%\AppData\Local\Temp\OnboardLogs"\RTDC4022\2017-11-18 --exclude "*" --recursive --include "*20171118*" &amp; "%USERPROFILE%\Documents\GitHub\mrs-test-scripts\Headless Mode &amp; Sideloading\WalkAndUnGZ.bat" "%USERPROFILE%\AppData\Local\Temp\OnboardLogs"\RTDC4022\2017-11-18 &amp; aws s3 cp s3://rtdc.mdm.uploadarchive.raw/RTDC4022/ "%USERPROFILE%\AppData\Local\Temp\OnboardLogs"\RTDC4022\2017-11-19 --exclude "*" --recursive --include "*20171119*" &amp; "%USERPROFILE%\Documents\GitHub\mrs-test-scripts\Headless Mode &amp; Sideloading\WalkAndUnGZ.bat" "%USERPROFILE%\AppData\Local\Temp\OnboardLogs"\RTDC4022\2017-11-19</v>
      </c>
      <c r="AF123" s="74" t="str">
        <f t="shared" si="62"/>
        <v>"C:\Program Files (x86)\AstroGrep\AstroGrep.exe" /e /r /s /spath="%USERPROFILE%\AppData\Local\Temp\OnboardLogs" /stypes="app*4022*20171119*" /stext=" 01:.+((SYSTEM_STATE.+slice.+state.+changed )|(ment ac)|(multiple cpu faults)|(system.+state.+changed )|(\[timeout)|(PRM\|1\|D)|(kpr)|(kdp)|(train st.+moving)|(\|lc)|(penalty))"</v>
      </c>
      <c r="AG123" s="181" t="str">
        <f t="shared" si="93"/>
        <v>EC</v>
      </c>
      <c r="AH123" s="78" t="str">
        <f t="shared" si="72"/>
        <v>"%USERPROFILE%\Documents\GitHub\eaglep3\Utilities\RefineRTDCRunTimes.py" --tripid 211-18 --locoid 4022 --swversion DE.1.0.9.0 --startMP 204:548 --initTime 2017-11-18T17:22:38 --startdatetime 2017-11-18T17:30:12 --delay 75 --endMP 204:233238 --enddatetime 2017-11-18T18:06:37 --enforcementcount 0 &gt;&gt;%USERPROFILE%\Documents\GitHub\eaglep3-reporting\EC\2017-11-18-refined-times.txt</v>
      </c>
      <c r="AI123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{"issue":{"subject":"","project_id":79,"tracker_id":40,"status_id":1,"priority_id":2,"assigned_to_id":338,"start_date":"2017-11-18","description":"","custom_fields":[{"id":1,"name":"Subdivision","value":"EC"},{"id":4,"name":"Milepost","value":"23.3238"},{"id":17,"name":"Train ID","value":"211-18"},{"id":16,"name":"Locomotive ID","value":"4022"},{"id":130,"name":"Impact","value":""},{"id":150,"name":"Time of Event (Mountain Time)","value":"18:06:37"},{"id":151,"name":"Denver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1" t="str">
        <f t="shared" si="74"/>
        <v>start /low /b %USERPROFILE%\Documents\GitHub\eaglep3\Utilities\DownloadLogsFromS3.py --loco 4022 --day 2017-11-18</v>
      </c>
      <c r="AN123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01:06:37"},{"id":29,"name":"Sharepoint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7" t="str">
        <f t="shared" si="76"/>
        <v>https://d0f6bd738d7f1b3e5a7ca70fe4ff75f0.us-east-1.aws.found.io/app/kibana#/discover/Steve-Slow-Train-Analysis-(2080s-and-2083s)?_g=(refreshInterval:(display:Off,pause:!f,section:0,value:0),time:(from:'2017-11-18T16:22:38-0700',mode:absolute,to:'2017-11-18T19:06:37-0700'))&amp;_a=(columns:!('Message%20ID',Summary),filters:!(),index:'emp_*',interval:auto,query:(query_string:(analyze_wildcard:!t,query:'%22rtdc.l.rtdc.4022%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866</v>
      </c>
      <c r="B124" s="7">
        <v>4021</v>
      </c>
      <c r="C124" s="21" t="s">
        <v>192</v>
      </c>
      <c r="D124" s="21" t="s">
        <v>490</v>
      </c>
      <c r="E124" s="13">
        <v>43057.765601851854</v>
      </c>
      <c r="F124" s="13">
        <v>43057.768923611111</v>
      </c>
      <c r="G124" s="7">
        <v>88</v>
      </c>
      <c r="H124" s="21" t="s">
        <v>1010</v>
      </c>
      <c r="I124" s="13">
        <v>43057.795983796299</v>
      </c>
      <c r="J124" s="7">
        <v>0</v>
      </c>
      <c r="K124" s="89" t="str">
        <f t="shared" si="86"/>
        <v>4021/4022</v>
      </c>
      <c r="L124" s="184" t="str">
        <f>VLOOKUP(A124,'Trips&amp;Operators'!$C$1:$G$99911,5,FALSE)</f>
        <v>BERLING GARY</v>
      </c>
      <c r="M124" s="6">
        <f t="shared" si="87"/>
        <v>2.7060185188020114E-2</v>
      </c>
      <c r="N124" s="7">
        <f t="shared" si="95"/>
        <v>38.966666670748964</v>
      </c>
      <c r="O124" s="7"/>
      <c r="P124" s="7"/>
      <c r="Q124" s="22"/>
      <c r="R124" s="173"/>
      <c r="S124" s="220">
        <f t="shared" si="88"/>
        <v>1</v>
      </c>
      <c r="T124" s="173" t="str">
        <f t="shared" si="89"/>
        <v>Southbound</v>
      </c>
      <c r="U124" s="19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5" t="str">
        <f t="shared" si="58"/>
        <v>https://d0f6bd738d7f1b3e5a7ca70fe4ff75f0.us-east-1.aws.found.io/app/kibana#/discover/Steve-Slow-Train-Analysis-(2080s-and-2083s)?_g=(refreshInterval:(display:Off,pause:!f,section:0,value:0),time:(from:'2017-11-18T17:22:28-0700',mode:absolute,to:'2017-11-18T20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4" s="203" t="str">
        <f>IF(AA124&lt;VLOOKUP(AG124,Variables!$AC$3:$AD$8,2,FALSE),"Y","N")</f>
        <v>N</v>
      </c>
      <c r="X124" s="203">
        <f t="shared" si="94"/>
        <v>1</v>
      </c>
      <c r="Y124" s="203">
        <f t="shared" si="84"/>
        <v>23.291699999999999</v>
      </c>
      <c r="Z124" s="203">
        <f t="shared" si="85"/>
        <v>6.7999999999999996E-3</v>
      </c>
      <c r="AA124" s="203">
        <f t="shared" si="91"/>
        <v>23.2849</v>
      </c>
      <c r="AB124" s="54" t="e">
        <f>VLOOKUP(A124,Enforcements!$C$7:$K$9,8,0)</f>
        <v>#N/A</v>
      </c>
      <c r="AC124" s="51" t="e">
        <f>VLOOKUP(A124,Enforcements!$C$7:$E$9,3,0)</f>
        <v>#N/A</v>
      </c>
      <c r="AD124" s="178">
        <f t="shared" si="92"/>
        <v>212</v>
      </c>
      <c r="AE124" s="77" t="str">
        <f t="shared" si="61"/>
        <v>aws s3 cp s3://rtdc.mdm.uploadarchive.raw/RTDC4021/ "%USERPROFILE%\AppData\Local\Temp\OnboardLogs"\RTDC4021\2017-11-18 --exclude "*" --recursive --include "*20171118*" &amp; "%USERPROFILE%\Documents\GitHub\mrs-test-scripts\Headless Mode &amp; Sideloading\WalkAndUnGZ.bat" "%USERPROFILE%\AppData\Local\Temp\OnboardLogs"\RTDC4021\2017-11-18 &amp; aws s3 cp s3://rtdc.mdm.uploadarchive.raw/RTDC4021/ "%USERPROFILE%\AppData\Local\Temp\OnboardLogs"\RTDC4021\2017-11-19 --exclude "*" --recursive --include "*20171119*" &amp; "%USERPROFILE%\Documents\GitHub\mrs-test-scripts\Headless Mode &amp; Sideloading\WalkAndUnGZ.bat" "%USERPROFILE%\AppData\Local\Temp\OnboardLogs"\RTDC4021\2017-11-19</v>
      </c>
      <c r="AF124" s="74" t="str">
        <f t="shared" si="62"/>
        <v>"C:\Program Files (x86)\AstroGrep\AstroGrep.exe" /e /r /s /spath="%USERPROFILE%\AppData\Local\Temp\OnboardLogs" /stypes="app*4021*20171119*" /stext=" 02:.+((SYSTEM_STATE.+slice.+state.+changed )|(ment ac)|(multiple cpu faults)|(system.+state.+changed )|(\[timeout)|(PRM\|1\|D)|(kpr)|(kdp)|(train st.+moving)|(\|lc)|(penalty))"</v>
      </c>
      <c r="AG124" s="181" t="str">
        <f t="shared" si="93"/>
        <v>EC</v>
      </c>
      <c r="AH124" s="78" t="str">
        <f t="shared" si="72"/>
        <v>"%USERPROFILE%\Documents\GitHub\eaglep3\Utilities\RefineRTDCRunTimes.py" --tripid 212-18 --locoid 4021 --swversion DE.1.0.9.0 --startMP 204:232917 --initTime 2017-11-18T18:22:28 --startdatetime 2017-11-18T18:27:15 --delay 88 --endMP 204:68 --enddatetime 2017-11-18T19:06:13 --enforcementcount 0 &gt;&gt;%USERPROFILE%\Documents\GitHub\eaglep3-reporting\EC\2017-11-18-refined-times.txt</v>
      </c>
      <c r="AI124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{"issue":{"subject":"","project_id":79,"tracker_id":40,"status_id":1,"priority_id":2,"assigned_to_id":338,"start_date":"2017-11-18","description":"","custom_fields":[{"id":1,"name":"Subdivision","value":"EC"},{"id":4,"name":"Milepost","value":"0.0068"},{"id":17,"name":"Train ID","value":"212-18"},{"id":16,"name":"Locomotive ID","value":"4021"},{"id":130,"name":"Impact","value":""},{"id":150,"name":"Time of Event (Mountain Time)","value":"19:06:13"},{"id":151,"name":"Denver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1" t="str">
        <f t="shared" si="74"/>
        <v>start /low /b %USERPROFILE%\Documents\GitHub\eaglep3\Utilities\DownloadLogsFromS3.py --loco 4021 --day 2017-11-18</v>
      </c>
      <c r="AN124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02:06:13"},{"id":29,"name":"Sharepoint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7" t="str">
        <f t="shared" si="76"/>
        <v>https://d0f6bd738d7f1b3e5a7ca70fe4ff75f0.us-east-1.aws.found.io/app/kibana#/discover/Steve-Slow-Train-Analysis-(2080s-and-2083s)?_g=(refreshInterval:(display:Off,pause:!f,section:0,value:0),time:(from:'2017-11-18T17:22:28-0700',mode:absolute,to:'2017-11-18T20:06:13-0700'))&amp;_a=(columns:!('Message%20ID',Summary),filters:!(),index:'emp_*',interval:auto,query:(query_string:(analyze_wildcard:!t,query:'%22rtdc.l.rtdc.4021%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861</v>
      </c>
      <c r="B125" s="7">
        <v>4004</v>
      </c>
      <c r="C125" s="21" t="s">
        <v>192</v>
      </c>
      <c r="D125" s="21" t="s">
        <v>452</v>
      </c>
      <c r="E125" s="13">
        <v>43057.73400462963</v>
      </c>
      <c r="F125" s="13">
        <v>43057.739872685182</v>
      </c>
      <c r="G125" s="7">
        <v>74</v>
      </c>
      <c r="H125" s="21" t="s">
        <v>512</v>
      </c>
      <c r="I125" s="13">
        <v>43057.7653587963</v>
      </c>
      <c r="J125" s="7">
        <v>0</v>
      </c>
      <c r="K125" s="89" t="str">
        <f t="shared" si="86"/>
        <v>4003/4004</v>
      </c>
      <c r="L125" s="184" t="str">
        <f>VLOOKUP(A125,'Trips&amp;Operators'!$C$1:$G$99911,5,FALSE)</f>
        <v>FORTUNATO FRANK</v>
      </c>
      <c r="M125" s="6">
        <f t="shared" si="87"/>
        <v>2.5486111117061228E-2</v>
      </c>
      <c r="N125" s="7">
        <f t="shared" si="95"/>
        <v>36.700000008568168</v>
      </c>
      <c r="O125" s="7"/>
      <c r="P125" s="7"/>
      <c r="Q125" s="22"/>
      <c r="R125" s="173"/>
      <c r="S125" s="220">
        <f t="shared" si="88"/>
        <v>1</v>
      </c>
      <c r="T125" s="173" t="str">
        <f t="shared" si="89"/>
        <v>NorthBound</v>
      </c>
      <c r="U125" s="19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5" t="str">
        <f t="shared" si="58"/>
        <v>https://d0f6bd738d7f1b3e5a7ca70fe4ff75f0.us-east-1.aws.found.io/app/kibana#/discover/Steve-Slow-Train-Analysis-(2080s-and-2083s)?_g=(refreshInterval:(display:Off,pause:!f,section:0,value:0),time:(from:'2017-11-18T16:36:58-0700',mode:absolute,to:'2017-11-18T19:22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5" s="203" t="str">
        <f>IF(AA125&lt;VLOOKUP(AG125,Variables!$AC$3:$AD$8,2,FALSE),"Y","N")</f>
        <v>N</v>
      </c>
      <c r="X125" s="203">
        <f t="shared" si="94"/>
        <v>1</v>
      </c>
      <c r="Y125" s="203">
        <f t="shared" si="84"/>
        <v>5.28E-2</v>
      </c>
      <c r="Z125" s="203">
        <f t="shared" si="85"/>
        <v>23.319700000000001</v>
      </c>
      <c r="AA125" s="203">
        <f t="shared" si="91"/>
        <v>23.2669</v>
      </c>
      <c r="AB125" s="54" t="e">
        <f>VLOOKUP(A125,Enforcements!$C$7:$K$9,8,0)</f>
        <v>#N/A</v>
      </c>
      <c r="AC125" s="51" t="e">
        <f>VLOOKUP(A125,Enforcements!$C$7:$E$9,3,0)</f>
        <v>#N/A</v>
      </c>
      <c r="AD125" s="178">
        <f t="shared" si="92"/>
        <v>213</v>
      </c>
      <c r="AE125" s="77" t="str">
        <f t="shared" si="61"/>
        <v>aws s3 cp s3://rtdc.mdm.uploadarchive.raw/RTDC4004/ "%USERPROFILE%\AppData\Local\Temp\OnboardLogs"\RTDC4004\2017-11-18 --exclude "*" --recursive --include "*20171118*" &amp; "%USERPROFILE%\Documents\GitHub\mrs-test-scripts\Headless Mode &amp; Sideloading\WalkAndUnGZ.bat" "%USERPROFILE%\AppData\Local\Temp\OnboardLogs"\RTDC4004\2017-11-18 &amp; aws s3 cp s3://rtdc.mdm.uploadarchive.raw/RTDC4004/ "%USERPROFILE%\AppData\Local\Temp\OnboardLogs"\RTDC4004\2017-11-19 --exclude "*" --recursive --include "*20171119*" &amp; "%USERPROFILE%\Documents\GitHub\mrs-test-scripts\Headless Mode &amp; Sideloading\WalkAndUnGZ.bat" "%USERPROFILE%\AppData\Local\Temp\OnboardLogs"\RTDC4004\2017-11-19</v>
      </c>
      <c r="AF125" s="74" t="str">
        <f t="shared" si="62"/>
        <v>"C:\Program Files (x86)\AstroGrep\AstroGrep.exe" /e /r /s /spath="%USERPROFILE%\AppData\Local\Temp\OnboardLogs" /stypes="app*4004*20171119*" /stext=" 01:.+((SYSTEM_STATE.+slice.+state.+changed )|(ment ac)|(multiple cpu faults)|(system.+state.+changed )|(\[timeout)|(PRM\|1\|D)|(kpr)|(kdp)|(train st.+moving)|(\|lc)|(penalty))"</v>
      </c>
      <c r="AG125" s="181" t="str">
        <f t="shared" si="93"/>
        <v>EC</v>
      </c>
      <c r="AH125" s="78" t="str">
        <f t="shared" si="72"/>
        <v>"%USERPROFILE%\Documents\GitHub\eaglep3\Utilities\RefineRTDCRunTimes.py" --tripid 213-18 --locoid 4004 --swversion DE.1.0.9.0 --startMP 204:528 --initTime 2017-11-18T17:36:58 --startdatetime 2017-11-18T17:45:25 --delay 74 --endMP 204:233197 --enddatetime 2017-11-18T18:22:07 --enforcementcount 0 &gt;&gt;%USERPROFILE%\Documents\GitHub\eaglep3-reporting\EC\2017-11-18-refined-times.txt</v>
      </c>
      <c r="AI125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{"issue":{"subject":"","project_id":79,"tracker_id":40,"status_id":1,"priority_id":2,"assigned_to_id":338,"start_date":"2017-11-18","description":"","custom_fields":[{"id":1,"name":"Subdivision","value":"EC"},{"id":4,"name":"Milepost","value":"23.3197"},{"id":17,"name":"Train ID","value":"213-18"},{"id":16,"name":"Locomotive ID","value":"4004"},{"id":130,"name":"Impact","value":""},{"id":150,"name":"Time of Event (Mountain Time)","value":"18:22:07"},{"id":151,"name":"Denver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1" t="str">
        <f t="shared" si="74"/>
        <v>start /low /b %USERPROFILE%\Documents\GitHub\eaglep3\Utilities\DownloadLogsFromS3.py --loco 4004 --day 2017-11-18</v>
      </c>
      <c r="AN125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01:22:07"},{"id":29,"name":"Sharepoint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7" t="str">
        <f t="shared" si="76"/>
        <v>https://d0f6bd738d7f1b3e5a7ca70fe4ff75f0.us-east-1.aws.found.io/app/kibana#/discover/Steve-Slow-Train-Analysis-(2080s-and-2083s)?_g=(refreshInterval:(display:Off,pause:!f,section:0,value:0),time:(from:'2017-11-18T16:36:58-0700',mode:absolute,to:'2017-11-18T19:22:07-0700'))&amp;_a=(columns:!('Message%20ID',Summary),filters:!(),index:'emp_*',interval:auto,query:(query_string:(analyze_wildcard:!t,query:'%22rtdc.l.rtdc.4004%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689</v>
      </c>
      <c r="B126" s="7">
        <v>4003</v>
      </c>
      <c r="C126" s="21" t="s">
        <v>192</v>
      </c>
      <c r="D126" s="21" t="s">
        <v>1011</v>
      </c>
      <c r="E126" s="13">
        <v>43057.768101851849</v>
      </c>
      <c r="F126" s="13">
        <v>43057.779328703706</v>
      </c>
      <c r="G126" s="7">
        <v>91</v>
      </c>
      <c r="H126" s="21" t="s">
        <v>559</v>
      </c>
      <c r="I126" s="13">
        <v>43057.805486111109</v>
      </c>
      <c r="J126" s="7">
        <v>0</v>
      </c>
      <c r="K126" s="89" t="str">
        <f t="shared" si="86"/>
        <v>4003/4004</v>
      </c>
      <c r="L126" s="184" t="str">
        <f>VLOOKUP(A126,'Trips&amp;Operators'!$C$1:$G$99911,5,FALSE)</f>
        <v>FORTUNATO FRANK</v>
      </c>
      <c r="M126" s="6">
        <f t="shared" si="87"/>
        <v>2.6157407402934041E-2</v>
      </c>
      <c r="N126" s="7">
        <f t="shared" si="95"/>
        <v>37.666666660225019</v>
      </c>
      <c r="O126" s="7"/>
      <c r="P126" s="7"/>
      <c r="Q126" s="22"/>
      <c r="R126" s="173"/>
      <c r="S126" s="220">
        <f t="shared" si="88"/>
        <v>1</v>
      </c>
      <c r="T126" s="173" t="str">
        <f t="shared" si="89"/>
        <v>Southbound</v>
      </c>
      <c r="U126" s="19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5" t="str">
        <f t="shared" si="58"/>
        <v>https://d0f6bd738d7f1b3e5a7ca70fe4ff75f0.us-east-1.aws.found.io/app/kibana#/discover/Steve-Slow-Train-Analysis-(2080s-and-2083s)?_g=(refreshInterval:(display:Off,pause:!f,section:0,value:0),time:(from:'2017-11-18T17:26:04-0700',mode:absolute,to:'2017-11-18T20:19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6" s="203" t="str">
        <f>IF(AA126&lt;VLOOKUP(AG126,Variables!$AC$3:$AD$8,2,FALSE),"Y","N")</f>
        <v>N</v>
      </c>
      <c r="X126" s="203">
        <f t="shared" si="94"/>
        <v>1</v>
      </c>
      <c r="Y126" s="203">
        <f t="shared" si="84"/>
        <v>23.286300000000001</v>
      </c>
      <c r="Z126" s="203">
        <f t="shared" si="85"/>
        <v>1.9800000000000002E-2</v>
      </c>
      <c r="AA126" s="203">
        <f t="shared" si="91"/>
        <v>23.266500000000001</v>
      </c>
      <c r="AB126" s="54" t="str">
        <f>VLOOKUP(A126,Enforcements!$C$7:$K$9,8,0)</f>
        <v>Bulletin (2)</v>
      </c>
      <c r="AC126" s="51" t="str">
        <f>VLOOKUP(A126,Enforcements!$C$7:$E$9,3,0)</f>
        <v>GRADE CROSSING</v>
      </c>
      <c r="AD126" s="178">
        <f t="shared" si="92"/>
        <v>214</v>
      </c>
      <c r="AE126" s="77" t="str">
        <f t="shared" si="61"/>
        <v>aws s3 cp s3://rtdc.mdm.uploadarchive.raw/RTDC4003/ "%USERPROFILE%\AppData\Local\Temp\OnboardLogs"\RTDC4003\2017-11-18 --exclude "*" --recursive --include "*20171118*" &amp; "%USERPROFILE%\Documents\GitHub\mrs-test-scripts\Headless Mode &amp; Sideloading\WalkAndUnGZ.bat" "%USERPROFILE%\AppData\Local\Temp\OnboardLogs"\RTDC4003\2017-11-18 &amp; aws s3 cp s3://rtdc.mdm.uploadarchive.raw/RTDC4003/ "%USERPROFILE%\AppData\Local\Temp\OnboardLogs"\RTDC4003\2017-11-19 --exclude "*" --recursive --include "*20171119*" &amp; "%USERPROFILE%\Documents\GitHub\mrs-test-scripts\Headless Mode &amp; Sideloading\WalkAndUnGZ.bat" "%USERPROFILE%\AppData\Local\Temp\OnboardLogs"\RTDC4003\2017-11-19</v>
      </c>
      <c r="AF126" s="74" t="str">
        <f t="shared" si="62"/>
        <v>"C:\Program Files (x86)\AstroGrep\AstroGrep.exe" /e /r /s /spath="%USERPROFILE%\AppData\Local\Temp\OnboardLogs" /stypes="app*4003*20171119*" /stext=" 02:.+((SYSTEM_STATE.+slice.+state.+changed )|(ment ac)|(multiple cpu faults)|(system.+state.+changed )|(\[timeout)|(PRM\|1\|D)|(kpr)|(kdp)|(train st.+moving)|(\|lc)|(penalty))"</v>
      </c>
      <c r="AG126" s="181" t="str">
        <f t="shared" si="93"/>
        <v>EC</v>
      </c>
      <c r="AH126" s="78" t="str">
        <f t="shared" si="72"/>
        <v>"%USERPROFILE%\Documents\GitHub\eaglep3\Utilities\RefineRTDCRunTimes.py" --tripid 214-18 --locoid 4003 --swversion DE.1.0.9.0 --startMP 204:232863 --initTime 2017-11-18T18:26:04 --startdatetime 2017-11-18T18:42:14 --delay 91 --endMP 204:198 --enddatetime 2017-11-18T19:19:54 --enforcementcount 0 &gt;&gt;%USERPROFILE%\Documents\GitHub\eaglep3-reporting\EC\2017-11-18-refined-times.txt</v>
      </c>
      <c r="AI126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{"issue":{"subject":"","project_id":79,"tracker_id":40,"status_id":1,"priority_id":2,"assigned_to_id":338,"start_date":"2017-11-18","description":"","custom_fields":[{"id":1,"name":"Subdivision","value":"EC"},{"id":4,"name":"Milepost","value":"0.0198"},{"id":17,"name":"Train ID","value":"214-18"},{"id":16,"name":"Locomotive ID","value":"4003"},{"id":130,"name":"Impact","value":""},{"id":150,"name":"Time of Event (Mountain Time)","value":"19:19:54"},{"id":151,"name":"Denver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1" t="str">
        <f t="shared" si="74"/>
        <v>start /low /b %USERPROFILE%\Documents\GitHub\eaglep3\Utilities\DownloadLogsFromS3.py --loco 4003 --day 2017-11-18</v>
      </c>
      <c r="AN126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02:19:54"},{"id":29,"name":"Sharepoint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7" t="str">
        <f t="shared" si="76"/>
        <v>https://d0f6bd738d7f1b3e5a7ca70fe4ff75f0.us-east-1.aws.found.io/app/kibana#/discover/Steve-Slow-Train-Analysis-(2080s-and-2083s)?_g=(refreshInterval:(display:Off,pause:!f,section:0,value:0),time:(from:'2017-11-18T17:26:04-0700',mode:absolute,to:'2017-11-18T20:19:54-0700'))&amp;_a=(columns:!('Message%20ID',Summary),filters:!(),index:'emp_*',interval:auto,query:(query_string:(analyze_wildcard:!t,query:'%22rtdc.l.rtdc.4003%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687</v>
      </c>
      <c r="B127" s="7">
        <v>4006</v>
      </c>
      <c r="C127" s="21" t="s">
        <v>192</v>
      </c>
      <c r="D127" s="21" t="s">
        <v>560</v>
      </c>
      <c r="E127" s="13">
        <v>43057.745324074072</v>
      </c>
      <c r="F127" s="13">
        <v>43057.750196759262</v>
      </c>
      <c r="G127" s="7">
        <v>61</v>
      </c>
      <c r="H127" s="21" t="s">
        <v>937</v>
      </c>
      <c r="I127" s="13">
        <v>43057.774953703702</v>
      </c>
      <c r="J127" s="7">
        <v>0</v>
      </c>
      <c r="K127" s="89" t="str">
        <f t="shared" si="86"/>
        <v>4005/4006</v>
      </c>
      <c r="L127" s="184" t="str">
        <f>VLOOKUP(A127,'Trips&amp;Operators'!$C$1:$G$99911,5,FALSE)</f>
        <v>HOLCOMB KAMDEN</v>
      </c>
      <c r="M127" s="6">
        <f t="shared" si="87"/>
        <v>2.4756944440014195E-2</v>
      </c>
      <c r="N127" s="7">
        <f t="shared" si="95"/>
        <v>35.64999999362044</v>
      </c>
      <c r="O127" s="7"/>
      <c r="P127" s="7"/>
      <c r="Q127" s="22"/>
      <c r="R127" s="173"/>
      <c r="S127" s="220">
        <f t="shared" si="88"/>
        <v>1</v>
      </c>
      <c r="T127" s="173" t="str">
        <f t="shared" si="89"/>
        <v>NorthBound</v>
      </c>
      <c r="U127" s="19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5" t="str">
        <f t="shared" si="58"/>
        <v>https://d0f6bd738d7f1b3e5a7ca70fe4ff75f0.us-east-1.aws.found.io/app/kibana#/discover/Steve-Slow-Train-Analysis-(2080s-and-2083s)?_g=(refreshInterval:(display:Off,pause:!f,section:0,value:0),time:(from:'2017-11-18T16:53:16-0700',mode:absolute,to:'2017-11-18T19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7" s="203" t="str">
        <f>IF(AA127&lt;VLOOKUP(AG127,Variables!$AC$3:$AD$8,2,FALSE),"Y","N")</f>
        <v>N</v>
      </c>
      <c r="X127" s="203">
        <f t="shared" si="94"/>
        <v>1</v>
      </c>
      <c r="Y127" s="203">
        <f t="shared" si="84"/>
        <v>5.1900000000000002E-2</v>
      </c>
      <c r="Z127" s="203">
        <f t="shared" si="85"/>
        <v>23.317399999999999</v>
      </c>
      <c r="AA127" s="203">
        <f t="shared" si="91"/>
        <v>23.265499999999999</v>
      </c>
      <c r="AB127" s="54" t="e">
        <f>VLOOKUP(A127,Enforcements!$C$7:$K$9,8,0)</f>
        <v>#N/A</v>
      </c>
      <c r="AC127" s="51" t="e">
        <f>VLOOKUP(A127,Enforcements!$C$7:$E$9,3,0)</f>
        <v>#N/A</v>
      </c>
      <c r="AD127" s="178">
        <f t="shared" si="92"/>
        <v>215</v>
      </c>
      <c r="AE127" s="77" t="str">
        <f t="shared" si="61"/>
        <v>aws s3 cp s3://rtdc.mdm.uploadarchive.raw/RTDC4006/ "%USERPROFILE%\AppData\Local\Temp\OnboardLogs"\RTDC4006\2017-11-18 --exclude "*" --recursive --include "*20171118*" &amp; "%USERPROFILE%\Documents\GitHub\mrs-test-scripts\Headless Mode &amp; Sideloading\WalkAndUnGZ.bat" "%USERPROFILE%\AppData\Local\Temp\OnboardLogs"\RTDC4006\2017-11-18 &amp; aws s3 cp s3://rtdc.mdm.uploadarchive.raw/RTDC4006/ "%USERPROFILE%\AppData\Local\Temp\OnboardLogs"\RTDC4006\2017-11-19 --exclude "*" --recursive --include "*20171119*" &amp; "%USERPROFILE%\Documents\GitHub\mrs-test-scripts\Headless Mode &amp; Sideloading\WalkAndUnGZ.bat" "%USERPROFILE%\AppData\Local\Temp\OnboardLogs"\RTDC4006\2017-11-19</v>
      </c>
      <c r="AF127" s="74" t="str">
        <f t="shared" si="62"/>
        <v>"C:\Program Files (x86)\AstroGrep\AstroGrep.exe" /e /r /s /spath="%USERPROFILE%\AppData\Local\Temp\OnboardLogs" /stypes="app*4006*20171119*" /stext=" 01:.+((SYSTEM_STATE.+slice.+state.+changed )|(ment ac)|(multiple cpu faults)|(system.+state.+changed )|(\[timeout)|(PRM\|1\|D)|(kpr)|(kdp)|(train st.+moving)|(\|lc)|(penalty))"</v>
      </c>
      <c r="AG127" s="181" t="str">
        <f t="shared" si="93"/>
        <v>EC</v>
      </c>
      <c r="AH127" s="78" t="str">
        <f t="shared" si="72"/>
        <v>"%USERPROFILE%\Documents\GitHub\eaglep3\Utilities\RefineRTDCRunTimes.py" --tripid 215-18 --locoid 4006 --swversion DE.1.0.9.0 --startMP 204:519 --initTime 2017-11-18T17:53:16 --startdatetime 2017-11-18T18:00:17 --delay 61 --endMP 204:233174 --enddatetime 2017-11-18T18:35:56 --enforcementcount 0 &gt;&gt;%USERPROFILE%\Documents\GitHub\eaglep3-reporting\EC\2017-11-18-refined-times.txt</v>
      </c>
      <c r="AI127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{"issue":{"subject":"","project_id":79,"tracker_id":40,"status_id":1,"priority_id":2,"assigned_to_id":338,"start_date":"2017-11-18","description":"","custom_fields":[{"id":1,"name":"Subdivision","value":"EC"},{"id":4,"name":"Milepost","value":"23.3174"},{"id":17,"name":"Train ID","value":"215-18"},{"id":16,"name":"Locomotive ID","value":"4006"},{"id":130,"name":"Impact","value":""},{"id":150,"name":"Time of Event (Mountain Time)","value":"18:35:56"},{"id":151,"name":"Denver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1" t="str">
        <f t="shared" si="74"/>
        <v>start /low /b %USERPROFILE%\Documents\GitHub\eaglep3\Utilities\DownloadLogsFromS3.py --loco 4006 --day 2017-11-18</v>
      </c>
      <c r="AN127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01:35:56"},{"id":29,"name":"Sharepoint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7" t="str">
        <f t="shared" si="76"/>
        <v>https://d0f6bd738d7f1b3e5a7ca70fe4ff75f0.us-east-1.aws.found.io/app/kibana#/discover/Steve-Slow-Train-Analysis-(2080s-and-2083s)?_g=(refreshInterval:(display:Off,pause:!f,section:0,value:0),time:(from:'2017-11-18T16:53:16-0700',mode:absolute,to:'2017-11-18T19:35:56-0700'))&amp;_a=(columns:!('Message%20ID',Summary),filters:!(),index:'emp_*',interval:auto,query:(query_string:(analyze_wildcard:!t,query:'%22rtdc.l.rtdc.4006%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692</v>
      </c>
      <c r="B128" s="7">
        <v>4005</v>
      </c>
      <c r="C128" s="21" t="s">
        <v>192</v>
      </c>
      <c r="D128" s="21" t="s">
        <v>1012</v>
      </c>
      <c r="E128" s="13">
        <v>43057.785752314812</v>
      </c>
      <c r="F128" s="13">
        <v>43057.789872685185</v>
      </c>
      <c r="G128" s="7">
        <v>49</v>
      </c>
      <c r="H128" s="21" t="s">
        <v>1013</v>
      </c>
      <c r="I128" s="13">
        <v>43057.816493055558</v>
      </c>
      <c r="J128" s="7">
        <v>0</v>
      </c>
      <c r="K128" s="89" t="str">
        <f t="shared" si="86"/>
        <v>4005/4006</v>
      </c>
      <c r="L128" s="184" t="str">
        <f>VLOOKUP(A128,'Trips&amp;Operators'!$C$1:$G$99911,5,FALSE)</f>
        <v>HOLCOMB KAMDEN</v>
      </c>
      <c r="M128" s="6">
        <f t="shared" si="87"/>
        <v>2.662037037225673E-2</v>
      </c>
      <c r="N128" s="7">
        <f t="shared" si="95"/>
        <v>38.333333336049691</v>
      </c>
      <c r="O128" s="7"/>
      <c r="P128" s="7"/>
      <c r="Q128" s="22"/>
      <c r="R128" s="173"/>
      <c r="S128" s="220">
        <f t="shared" si="88"/>
        <v>1</v>
      </c>
      <c r="T128" s="173" t="str">
        <f t="shared" si="89"/>
        <v>Southbound</v>
      </c>
      <c r="U128" s="19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5" t="str">
        <f t="shared" si="58"/>
        <v>https://d0f6bd738d7f1b3e5a7ca70fe4ff75f0.us-east-1.aws.found.io/app/kibana#/discover/Steve-Slow-Train-Analysis-(2080s-and-2083s)?_g=(refreshInterval:(display:Off,pause:!f,section:0,value:0),time:(from:'2017-11-18T17:51:29-0700',mode:absolute,to:'2017-11-18T20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8" s="203" t="str">
        <f>IF(AA128&lt;VLOOKUP(AG128,Variables!$AC$3:$AD$8,2,FALSE),"Y","N")</f>
        <v>N</v>
      </c>
      <c r="X128" s="203">
        <f t="shared" si="94"/>
        <v>1</v>
      </c>
      <c r="Y128" s="203">
        <f t="shared" si="84"/>
        <v>23.285799999999998</v>
      </c>
      <c r="Z128" s="203">
        <f t="shared" si="85"/>
        <v>7.9000000000000008E-3</v>
      </c>
      <c r="AA128" s="203">
        <f t="shared" si="91"/>
        <v>23.277899999999999</v>
      </c>
      <c r="AB128" s="54" t="e">
        <f>VLOOKUP(A128,Enforcements!$C$7:$K$9,8,0)</f>
        <v>#N/A</v>
      </c>
      <c r="AC128" s="51" t="e">
        <f>VLOOKUP(A128,Enforcements!$C$7:$E$9,3,0)</f>
        <v>#N/A</v>
      </c>
      <c r="AD128" s="178">
        <f t="shared" si="92"/>
        <v>216</v>
      </c>
      <c r="AE128" s="77" t="str">
        <f t="shared" si="61"/>
        <v>aws s3 cp s3://rtdc.mdm.uploadarchive.raw/RTDC4005/ "%USERPROFILE%\AppData\Local\Temp\OnboardLogs"\RTDC4005\2017-11-18 --exclude "*" --recursive --include "*20171118*" &amp; "%USERPROFILE%\Documents\GitHub\mrs-test-scripts\Headless Mode &amp; Sideloading\WalkAndUnGZ.bat" "%USERPROFILE%\AppData\Local\Temp\OnboardLogs"\RTDC4005\2017-11-18 &amp; aws s3 cp s3://rtdc.mdm.uploadarchive.raw/RTDC4005/ "%USERPROFILE%\AppData\Local\Temp\OnboardLogs"\RTDC4005\2017-11-19 --exclude "*" --recursive --include "*20171119*" &amp; "%USERPROFILE%\Documents\GitHub\mrs-test-scripts\Headless Mode &amp; Sideloading\WalkAndUnGZ.bat" "%USERPROFILE%\AppData\Local\Temp\OnboardLogs"\RTDC4005\2017-11-19</v>
      </c>
      <c r="AF128" s="74" t="str">
        <f t="shared" si="62"/>
        <v>"C:\Program Files (x86)\AstroGrep\AstroGrep.exe" /e /r /s /spath="%USERPROFILE%\AppData\Local\Temp\OnboardLogs" /stypes="app*4005*20171119*" /stext=" 02:.+((SYSTEM_STATE.+slice.+state.+changed )|(ment ac)|(multiple cpu faults)|(system.+state.+changed )|(\[timeout)|(PRM\|1\|D)|(kpr)|(kdp)|(train st.+moving)|(\|lc)|(penalty))"</v>
      </c>
      <c r="AG128" s="181" t="str">
        <f t="shared" si="93"/>
        <v>EC</v>
      </c>
      <c r="AH128" s="78" t="str">
        <f t="shared" si="72"/>
        <v>"%USERPROFILE%\Documents\GitHub\eaglep3\Utilities\RefineRTDCRunTimes.py" --tripid 216-18 --locoid 4005 --swversion DE.1.0.9.0 --startMP 204:232858 --initTime 2017-11-18T18:51:29 --startdatetime 2017-11-18T18:57:25 --delay 49 --endMP 204:79 --enddatetime 2017-11-18T19:35:45 --enforcementcount 0 &gt;&gt;%USERPROFILE%\Documents\GitHub\eaglep3-reporting\EC\2017-11-18-refined-times.txt</v>
      </c>
      <c r="AI128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{"issue":{"subject":"","project_id":79,"tracker_id":40,"status_id":1,"priority_id":2,"assigned_to_id":338,"start_date":"2017-11-18","description":"","custom_fields":[{"id":1,"name":"Subdivision","value":"EC"},{"id":4,"name":"Milepost","value":"0.0079"},{"id":17,"name":"Train ID","value":"216-18"},{"id":16,"name":"Locomotive ID","value":"4005"},{"id":130,"name":"Impact","value":""},{"id":150,"name":"Time of Event (Mountain Time)","value":"19:35:45"},{"id":151,"name":"Denver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1" t="str">
        <f t="shared" si="74"/>
        <v>start /low /b %USERPROFILE%\Documents\GitHub\eaglep3\Utilities\DownloadLogsFromS3.py --loco 4005 --day 2017-11-18</v>
      </c>
      <c r="AN128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02:35:45"},{"id":29,"name":"Sharepoint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7" t="str">
        <f t="shared" si="76"/>
        <v>https://d0f6bd738d7f1b3e5a7ca70fe4ff75f0.us-east-1.aws.found.io/app/kibana#/discover/Steve-Slow-Train-Analysis-(2080s-and-2083s)?_g=(refreshInterval:(display:Off,pause:!f,section:0,value:0),time:(from:'2017-11-18T17:51:29-0700',mode:absolute,to:'2017-11-18T20:35:45-0700'))&amp;_a=(columns:!('Message%20ID',Summary),filters:!(),index:'emp_*',interval:auto,query:(query_string:(analyze_wildcard:!t,query:'%22rtdc.l.rtdc.4005%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865</v>
      </c>
      <c r="B129" s="7">
        <v>4018</v>
      </c>
      <c r="C129" s="21" t="s">
        <v>192</v>
      </c>
      <c r="D129" s="21" t="s">
        <v>528</v>
      </c>
      <c r="E129" s="13">
        <v>43057.756840277776</v>
      </c>
      <c r="F129" s="13">
        <v>43057.760636574072</v>
      </c>
      <c r="G129" s="7">
        <v>112</v>
      </c>
      <c r="H129" s="21" t="s">
        <v>455</v>
      </c>
      <c r="I129" s="13">
        <v>43057.785046296296</v>
      </c>
      <c r="J129" s="7">
        <v>0</v>
      </c>
      <c r="K129" s="89" t="str">
        <f t="shared" si="86"/>
        <v>4017/4018</v>
      </c>
      <c r="L129" s="184" t="str">
        <f>VLOOKUP(A129,'Trips&amp;Operators'!$C$1:$G$99911,5,FALSE)</f>
        <v>ELBAUM MIKE</v>
      </c>
      <c r="M129" s="6">
        <f t="shared" si="87"/>
        <v>2.4409722223936114E-2</v>
      </c>
      <c r="N129" s="7">
        <f t="shared" si="95"/>
        <v>35.150000002468005</v>
      </c>
      <c r="O129" s="7"/>
      <c r="P129" s="7"/>
      <c r="Q129" s="22"/>
      <c r="R129" s="173"/>
      <c r="S129" s="220">
        <f t="shared" si="88"/>
        <v>1</v>
      </c>
      <c r="T129" s="173" t="str">
        <f t="shared" si="89"/>
        <v>NorthBound</v>
      </c>
      <c r="U129" s="19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5" t="str">
        <f t="shared" si="58"/>
        <v>https://d0f6bd738d7f1b3e5a7ca70fe4ff75f0.us-east-1.aws.found.io/app/kibana#/discover/Steve-Slow-Train-Analysis-(2080s-and-2083s)?_g=(refreshInterval:(display:Off,pause:!f,section:0,value:0),time:(from:'2017-11-18T17:09:51-0700',mode:absolute,to:'2017-11-18T19:50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9" s="203" t="str">
        <f>IF(AA129&lt;VLOOKUP(AG129,Variables!$AC$3:$AD$8,2,FALSE),"Y","N")</f>
        <v>N</v>
      </c>
      <c r="X129" s="203">
        <f t="shared" si="94"/>
        <v>1</v>
      </c>
      <c r="Y129" s="203">
        <f t="shared" si="84"/>
        <v>5.3499999999999999E-2</v>
      </c>
      <c r="Z129" s="203">
        <f t="shared" si="85"/>
        <v>23.3276</v>
      </c>
      <c r="AA129" s="203">
        <f t="shared" si="91"/>
        <v>23.274100000000001</v>
      </c>
      <c r="AB129" s="54" t="e">
        <f>VLOOKUP(A129,Enforcements!$C$7:$K$9,8,0)</f>
        <v>#N/A</v>
      </c>
      <c r="AC129" s="51" t="e">
        <f>VLOOKUP(A129,Enforcements!$C$7:$E$9,3,0)</f>
        <v>#N/A</v>
      </c>
      <c r="AD129" s="178">
        <f t="shared" si="92"/>
        <v>217</v>
      </c>
      <c r="AE129" s="77" t="str">
        <f t="shared" si="61"/>
        <v>aws s3 cp s3://rtdc.mdm.uploadarchive.raw/RTDC4018/ "%USERPROFILE%\AppData\Local\Temp\OnboardLogs"\RTDC4018\2017-11-18 --exclude "*" --recursive --include "*20171118*" &amp; "%USERPROFILE%\Documents\GitHub\mrs-test-scripts\Headless Mode &amp; Sideloading\WalkAndUnGZ.bat" "%USERPROFILE%\AppData\Local\Temp\OnboardLogs"\RTDC4018\2017-11-18 &amp; aws s3 cp s3://rtdc.mdm.uploadarchive.raw/RTDC4018/ "%USERPROFILE%\AppData\Local\Temp\OnboardLogs"\RTDC4018\2017-11-19 --exclude "*" --recursive --include "*20171119*" &amp; "%USERPROFILE%\Documents\GitHub\mrs-test-scripts\Headless Mode &amp; Sideloading\WalkAndUnGZ.bat" "%USERPROFILE%\AppData\Local\Temp\OnboardLogs"\RTDC4018\2017-11-19</v>
      </c>
      <c r="AF129" s="74" t="str">
        <f t="shared" si="62"/>
        <v>"C:\Program Files (x86)\AstroGrep\AstroGrep.exe" /e /r /s /spath="%USERPROFILE%\AppData\Local\Temp\OnboardLogs" /stypes="app*4018*20171119*" /stext=" 01:.+((SYSTEM_STATE.+slice.+state.+changed )|(ment ac)|(multiple cpu faults)|(system.+state.+changed )|(\[timeout)|(PRM\|1\|D)|(kpr)|(kdp)|(train st.+moving)|(\|lc)|(penalty))"</v>
      </c>
      <c r="AG129" s="181" t="str">
        <f t="shared" si="93"/>
        <v>EC</v>
      </c>
      <c r="AH129" s="78" t="str">
        <f t="shared" si="72"/>
        <v>"%USERPROFILE%\Documents\GitHub\eaglep3\Utilities\RefineRTDCRunTimes.py" --tripid 217-18 --locoid 4018 --swversion DE.1.0.9.0 --startMP 204:535 --initTime 2017-11-18T18:09:51 --startdatetime 2017-11-18T18:15:19 --delay 112 --endMP 204:233276 --enddatetime 2017-11-18T18:50:28 --enforcementcount 0 &gt;&gt;%USERPROFILE%\Documents\GitHub\eaglep3-reporting\EC\2017-11-18-refined-times.txt</v>
      </c>
      <c r="AI129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{"issue":{"subject":"","project_id":79,"tracker_id":40,"status_id":1,"priority_id":2,"assigned_to_id":338,"start_date":"2017-11-18","description":"","custom_fields":[{"id":1,"name":"Subdivision","value":"EC"},{"id":4,"name":"Milepost","value":"23.3276"},{"id":17,"name":"Train ID","value":"217-18"},{"id":16,"name":"Locomotive ID","value":"4018"},{"id":130,"name":"Impact","value":""},{"id":150,"name":"Time of Event (Mountain Time)","value":"18:50:28"},{"id":151,"name":"Denver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1" t="str">
        <f t="shared" si="74"/>
        <v>start /low /b %USERPROFILE%\Documents\GitHub\eaglep3\Utilities\DownloadLogsFromS3.py --loco 4018 --day 2017-11-18</v>
      </c>
      <c r="AN129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01:50:28"},{"id":29,"name":"Sharepoint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7" t="str">
        <f t="shared" si="76"/>
        <v>https://d0f6bd738d7f1b3e5a7ca70fe4ff75f0.us-east-1.aws.found.io/app/kibana#/discover/Steve-Slow-Train-Analysis-(2080s-and-2083s)?_g=(refreshInterval:(display:Off,pause:!f,section:0,value:0),time:(from:'2017-11-18T17:09:51-0700',mode:absolute,to:'2017-11-18T19:50:28-0700'))&amp;_a=(columns:!('Message%20ID',Summary),filters:!(),index:'emp_*',interval:auto,query:(query_string:(analyze_wildcard:!t,query:'%22rtdc.l.rtdc.4018%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869</v>
      </c>
      <c r="B130" s="7">
        <v>4017</v>
      </c>
      <c r="C130" s="21" t="s">
        <v>192</v>
      </c>
      <c r="D130" s="21" t="s">
        <v>648</v>
      </c>
      <c r="E130" s="13">
        <v>43057.786516203705</v>
      </c>
      <c r="F130" s="13">
        <v>43057.800138888888</v>
      </c>
      <c r="G130" s="7">
        <v>63</v>
      </c>
      <c r="H130" s="21" t="s">
        <v>1014</v>
      </c>
      <c r="I130" s="13">
        <v>43057.825023148151</v>
      </c>
      <c r="J130" s="7">
        <v>0</v>
      </c>
      <c r="K130" s="89" t="str">
        <f t="shared" si="86"/>
        <v>4017/4018</v>
      </c>
      <c r="L130" s="184" t="str">
        <f>VLOOKUP(A130,'Trips&amp;Operators'!$C$1:$G$99911,5,FALSE)</f>
        <v>ELBAUM MIKE</v>
      </c>
      <c r="M130" s="6">
        <f t="shared" si="87"/>
        <v>2.4884259262762498E-2</v>
      </c>
      <c r="N130" s="7">
        <f t="shared" si="95"/>
        <v>35.833333338377997</v>
      </c>
      <c r="O130" s="7"/>
      <c r="P130" s="7"/>
      <c r="Q130" s="22"/>
      <c r="R130" s="173"/>
      <c r="S130" s="220">
        <f t="shared" si="88"/>
        <v>1</v>
      </c>
      <c r="T130" s="173" t="str">
        <f t="shared" si="89"/>
        <v>Southbound</v>
      </c>
      <c r="U130" s="19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5" t="str">
        <f t="shared" si="58"/>
        <v>https://d0f6bd738d7f1b3e5a7ca70fe4ff75f0.us-east-1.aws.found.io/app/kibana#/discover/Steve-Slow-Train-Analysis-(2080s-and-2083s)?_g=(refreshInterval:(display:Off,pause:!f,section:0,value:0),time:(from:'2017-11-18T17:52:35-0700',mode:absolute,to:'2017-11-18T20:48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0" s="203" t="str">
        <f>IF(AA130&lt;VLOOKUP(AG130,Variables!$AC$3:$AD$8,2,FALSE),"Y","N")</f>
        <v>N</v>
      </c>
      <c r="X130" s="203">
        <f t="shared" si="94"/>
        <v>1</v>
      </c>
      <c r="Y130" s="203">
        <f t="shared" si="84"/>
        <v>23.295000000000002</v>
      </c>
      <c r="Z130" s="203">
        <f t="shared" si="85"/>
        <v>2.63E-2</v>
      </c>
      <c r="AA130" s="203">
        <f t="shared" si="91"/>
        <v>23.268700000000003</v>
      </c>
      <c r="AB130" s="54" t="e">
        <f>VLOOKUP(A130,Enforcements!$C$7:$K$9,8,0)</f>
        <v>#N/A</v>
      </c>
      <c r="AC130" s="51" t="e">
        <f>VLOOKUP(A130,Enforcements!$C$7:$E$9,3,0)</f>
        <v>#N/A</v>
      </c>
      <c r="AD130" s="178">
        <f t="shared" si="92"/>
        <v>218</v>
      </c>
      <c r="AE130" s="77" t="str">
        <f t="shared" si="61"/>
        <v>aws s3 cp s3://rtdc.mdm.uploadarchive.raw/RTDC4017/ "%USERPROFILE%\AppData\Local\Temp\OnboardLogs"\RTDC4017\2017-11-18 --exclude "*" --recursive --include "*20171118*" &amp; "%USERPROFILE%\Documents\GitHub\mrs-test-scripts\Headless Mode &amp; Sideloading\WalkAndUnGZ.bat" "%USERPROFILE%\AppData\Local\Temp\OnboardLogs"\RTDC4017\2017-11-18 &amp; aws s3 cp s3://rtdc.mdm.uploadarchive.raw/RTDC4017/ "%USERPROFILE%\AppData\Local\Temp\OnboardLogs"\RTDC4017\2017-11-19 --exclude "*" --recursive --include "*20171119*" &amp; "%USERPROFILE%\Documents\GitHub\mrs-test-scripts\Headless Mode &amp; Sideloading\WalkAndUnGZ.bat" "%USERPROFILE%\AppData\Local\Temp\OnboardLogs"\RTDC4017\2017-11-19</v>
      </c>
      <c r="AF130" s="74" t="str">
        <f t="shared" si="62"/>
        <v>"C:\Program Files (x86)\AstroGrep\AstroGrep.exe" /e /r /s /spath="%USERPROFILE%\AppData\Local\Temp\OnboardLogs" /stypes="app*4017*20171119*" /stext=" 02:.+((SYSTEM_STATE.+slice.+state.+changed )|(ment ac)|(multiple cpu faults)|(system.+state.+changed )|(\[timeout)|(PRM\|1\|D)|(kpr)|(kdp)|(train st.+moving)|(\|lc)|(penalty))"</v>
      </c>
      <c r="AG130" s="181" t="str">
        <f t="shared" si="93"/>
        <v>EC</v>
      </c>
      <c r="AH130" s="78" t="str">
        <f t="shared" si="72"/>
        <v>"%USERPROFILE%\Documents\GitHub\eaglep3\Utilities\RefineRTDCRunTimes.py" --tripid 218-18 --locoid 4017 --swversion DE.1.0.9.0 --startMP 204:232950 --initTime 2017-11-18T18:52:35 --startdatetime 2017-11-18T19:12:12 --delay 63 --endMP 204:263 --enddatetime 2017-11-18T19:48:02 --enforcementcount 0 &gt;&gt;%USERPROFILE%\Documents\GitHub\eaglep3-reporting\EC\2017-11-18-refined-times.txt</v>
      </c>
      <c r="AI130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{"issue":{"subject":"","project_id":79,"tracker_id":40,"status_id":1,"priority_id":2,"assigned_to_id":338,"start_date":"2017-11-18","description":"","custom_fields":[{"id":1,"name":"Subdivision","value":"EC"},{"id":4,"name":"Milepost","value":"0.0263"},{"id":17,"name":"Train ID","value":"218-18"},{"id":16,"name":"Locomotive ID","value":"4017"},{"id":130,"name":"Impact","value":""},{"id":150,"name":"Time of Event (Mountain Time)","value":"19:48:02"},{"id":151,"name":"Denver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1" t="str">
        <f t="shared" si="74"/>
        <v>start /low /b %USERPROFILE%\Documents\GitHub\eaglep3\Utilities\DownloadLogsFromS3.py --loco 4017 --day 2017-11-18</v>
      </c>
      <c r="AN130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02:48:02"},{"id":29,"name":"Sharepoint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7" t="str">
        <f t="shared" si="76"/>
        <v>https://d0f6bd738d7f1b3e5a7ca70fe4ff75f0.us-east-1.aws.found.io/app/kibana#/discover/Steve-Slow-Train-Analysis-(2080s-and-2083s)?_g=(refreshInterval:(display:Off,pause:!f,section:0,value:0),time:(from:'2017-11-18T17:52:35-0700',mode:absolute,to:'2017-11-18T20:48:02-0700'))&amp;_a=(columns:!('Message%20ID',Summary),filters:!(),index:'emp_*',interval:auto,query:(query_string:(analyze_wildcard:!t,query:'%22rtdc.l.rtdc.4017%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867</v>
      </c>
      <c r="B131" s="7">
        <v>4024</v>
      </c>
      <c r="C131" s="21" t="s">
        <v>192</v>
      </c>
      <c r="D131" s="21" t="s">
        <v>496</v>
      </c>
      <c r="E131" s="13">
        <v>43057.766145833331</v>
      </c>
      <c r="F131" s="13">
        <v>43057.771006944444</v>
      </c>
      <c r="G131" s="7">
        <v>71</v>
      </c>
      <c r="H131" s="21" t="s">
        <v>493</v>
      </c>
      <c r="I131" s="13">
        <v>43057.795937499999</v>
      </c>
      <c r="J131" s="7">
        <v>0</v>
      </c>
      <c r="K131" s="89" t="str">
        <f t="shared" si="86"/>
        <v>4023/4024</v>
      </c>
      <c r="L131" s="184" t="str">
        <f>VLOOKUP(A131,'Trips&amp;Operators'!$C$1:$G$99911,5,FALSE)</f>
        <v>ZEWDU DEREJE</v>
      </c>
      <c r="M131" s="6">
        <f t="shared" si="87"/>
        <v>2.4930555555329192E-2</v>
      </c>
      <c r="N131" s="7">
        <f t="shared" si="95"/>
        <v>35.899999999674037</v>
      </c>
      <c r="O131" s="7"/>
      <c r="P131" s="7"/>
      <c r="Q131" s="22"/>
      <c r="R131" s="173"/>
      <c r="S131" s="220">
        <f t="shared" si="88"/>
        <v>1</v>
      </c>
      <c r="T131" s="173" t="str">
        <f t="shared" si="89"/>
        <v>NorthBound</v>
      </c>
      <c r="U131" s="19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5" t="str">
        <f t="shared" si="58"/>
        <v>https://d0f6bd738d7f1b3e5a7ca70fe4ff75f0.us-east-1.aws.found.io/app/kibana#/discover/Steve-Slow-Train-Analysis-(2080s-and-2083s)?_g=(refreshInterval:(display:Off,pause:!f,section:0,value:0),time:(from:'2017-11-18T17:23:15-0700',mode:absolute,to:'2017-11-18T20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1" s="203" t="str">
        <f>IF(AA131&lt;VLOOKUP(AG131,Variables!$AC$3:$AD$8,2,FALSE),"Y","N")</f>
        <v>N</v>
      </c>
      <c r="X131" s="203">
        <f t="shared" si="94"/>
        <v>1</v>
      </c>
      <c r="Y131" s="203">
        <f t="shared" si="84"/>
        <v>5.2200000000000003E-2</v>
      </c>
      <c r="Z131" s="203">
        <f t="shared" si="85"/>
        <v>23.327999999999999</v>
      </c>
      <c r="AA131" s="203">
        <f t="shared" si="91"/>
        <v>23.2758</v>
      </c>
      <c r="AB131" s="54" t="e">
        <f>VLOOKUP(A131,Enforcements!$C$7:$K$9,8,0)</f>
        <v>#N/A</v>
      </c>
      <c r="AC131" s="51" t="e">
        <f>VLOOKUP(A131,Enforcements!$C$7:$E$9,3,0)</f>
        <v>#N/A</v>
      </c>
      <c r="AD131" s="178">
        <f t="shared" si="92"/>
        <v>219</v>
      </c>
      <c r="AE131" s="77" t="str">
        <f t="shared" si="61"/>
        <v>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 &amp; aws s3 cp s3://rtdc.mdm.uploadarchive.raw/RTDC4024/ "%USERPROFILE%\AppData\Local\Temp\OnboardLogs"\RTDC4024\2017-11-19 --exclude "*" --recursive --include "*20171119*" &amp; "%USERPROFILE%\Documents\GitHub\mrs-test-scripts\Headless Mode &amp; Sideloading\WalkAndUnGZ.bat" "%USERPROFILE%\AppData\Local\Temp\OnboardLogs"\RTDC4024\2017-11-19</v>
      </c>
      <c r="AF131" s="74" t="str">
        <f t="shared" si="62"/>
        <v>"C:\Program Files (x86)\AstroGrep\AstroGrep.exe" /e /r /s /spath="%USERPROFILE%\AppData\Local\Temp\OnboardLogs" /stypes="app*4024*20171119*" /stext=" 02:.+((SYSTEM_STATE.+slice.+state.+changed )|(ment ac)|(multiple cpu faults)|(system.+state.+changed )|(\[timeout)|(PRM\|1\|D)|(kpr)|(kdp)|(train st.+moving)|(\|lc)|(penalty))"</v>
      </c>
      <c r="AG131" s="181" t="str">
        <f t="shared" si="93"/>
        <v>EC</v>
      </c>
      <c r="AH131" s="78" t="str">
        <f t="shared" si="72"/>
        <v>"%USERPROFILE%\Documents\GitHub\eaglep3\Utilities\RefineRTDCRunTimes.py" --tripid 219-18 --locoid 4024 --swversion DE.1.0.9.0 --startMP 204:522 --initTime 2017-11-18T18:23:15 --startdatetime 2017-11-18T18:30:15 --delay 71 --endMP 204:233280 --enddatetime 2017-11-18T19:06:09 --enforcementcount 0 &gt;&gt;%USERPROFILE%\Documents\GitHub\eaglep3-reporting\EC\2017-11-18-refined-times.txt</v>
      </c>
      <c r="AI131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{"issue":{"subject":"","project_id":79,"tracker_id":40,"status_id":1,"priority_id":2,"assigned_to_id":338,"start_date":"2017-11-18","description":"","custom_fields":[{"id":1,"name":"Subdivision","value":"EC"},{"id":4,"name":"Milepost","value":"23.328"},{"id":17,"name":"Train ID","value":"219-18"},{"id":16,"name":"Locomotive ID","value":"4024"},{"id":130,"name":"Impact","value":""},{"id":150,"name":"Time of Event (Mountain Time)","value":"19:06:09"},{"id":151,"name":"Denver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1" t="str">
        <f t="shared" si="74"/>
        <v>start /low /b %USERPROFILE%\Documents\GitHub\eaglep3\Utilities\DownloadLogsFromS3.py --loco 4024 --day 2017-11-18</v>
      </c>
      <c r="AN131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02:06:09"},{"id":29,"name":"Sharepoint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7" t="str">
        <f t="shared" si="76"/>
        <v>https://d0f6bd738d7f1b3e5a7ca70fe4ff75f0.us-east-1.aws.found.io/app/kibana#/discover/Steve-Slow-Train-Analysis-(2080s-and-2083s)?_g=(refreshInterval:(display:Off,pause:!f,section:0,value:0),time:(from:'2017-11-18T17:23:15-0700',mode:absolute,to:'2017-11-18T20:06:09-0700'))&amp;_a=(columns:!('Message%20ID',Summary),filters:!(),index:'emp_*',interval:auto,query:(query_string:(analyze_wildcard:!t,query:'%22rtdc.l.rtdc.4024%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872</v>
      </c>
      <c r="B132" s="7">
        <v>4023</v>
      </c>
      <c r="C132" s="21" t="s">
        <v>192</v>
      </c>
      <c r="D132" s="21" t="s">
        <v>530</v>
      </c>
      <c r="E132" s="13">
        <v>43057.805752314816</v>
      </c>
      <c r="F132" s="13">
        <v>43057.810717592591</v>
      </c>
      <c r="G132" s="7">
        <v>99</v>
      </c>
      <c r="H132" s="21" t="s">
        <v>1015</v>
      </c>
      <c r="I132" s="13">
        <v>43057.836793981478</v>
      </c>
      <c r="J132" s="7">
        <v>0</v>
      </c>
      <c r="K132" s="89" t="str">
        <f t="shared" si="86"/>
        <v>4023/4024</v>
      </c>
      <c r="L132" s="184" t="str">
        <f>VLOOKUP(A132,'Trips&amp;Operators'!$C$1:$G$99911,5,FALSE)</f>
        <v>ZEWDU DEREJE</v>
      </c>
      <c r="M132" s="6">
        <f t="shared" si="87"/>
        <v>2.6076388887304347E-2</v>
      </c>
      <c r="N132" s="7">
        <f t="shared" si="95"/>
        <v>37.54999999771826</v>
      </c>
      <c r="O132" s="7"/>
      <c r="P132" s="7"/>
      <c r="Q132" s="22"/>
      <c r="R132" s="173"/>
      <c r="S132" s="220">
        <f t="shared" si="88"/>
        <v>1</v>
      </c>
      <c r="T132" s="173" t="str">
        <f t="shared" si="89"/>
        <v>Southbound</v>
      </c>
      <c r="U132" s="19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5" t="str">
        <f t="shared" si="58"/>
        <v>https://d0f6bd738d7f1b3e5a7ca70fe4ff75f0.us-east-1.aws.found.io/app/kibana#/discover/Steve-Slow-Train-Analysis-(2080s-and-2083s)?_g=(refreshInterval:(display:Off,pause:!f,section:0,value:0),time:(from:'2017-11-18T18:20:17-0700',mode:absolute,to:'2017-11-18T21:04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2" s="203" t="str">
        <f>IF(AA132&lt;VLOOKUP(AG132,Variables!$AC$3:$AD$8,2,FALSE),"Y","N")</f>
        <v>N</v>
      </c>
      <c r="X132" s="203">
        <f t="shared" si="94"/>
        <v>1</v>
      </c>
      <c r="Y132" s="203">
        <f t="shared" si="84"/>
        <v>23.2957</v>
      </c>
      <c r="Z132" s="203">
        <f t="shared" si="85"/>
        <v>2.47E-2</v>
      </c>
      <c r="AA132" s="203">
        <f t="shared" si="91"/>
        <v>23.271000000000001</v>
      </c>
      <c r="AB132" s="54" t="e">
        <f>VLOOKUP(A132,Enforcements!$C$7:$K$9,8,0)</f>
        <v>#N/A</v>
      </c>
      <c r="AC132" s="51" t="e">
        <f>VLOOKUP(A132,Enforcements!$C$7:$E$9,3,0)</f>
        <v>#N/A</v>
      </c>
      <c r="AD132" s="178">
        <f t="shared" si="92"/>
        <v>220</v>
      </c>
      <c r="AE132" s="77" t="str">
        <f t="shared" si="61"/>
        <v>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 &amp; aws s3 cp s3://rtdc.mdm.uploadarchive.raw/RTDC4023/ "%USERPROFILE%\AppData\Local\Temp\OnboardLogs"\RTDC4023\2017-11-19 --exclude "*" --recursive --include "*20171119*" &amp; "%USERPROFILE%\Documents\GitHub\mrs-test-scripts\Headless Mode &amp; Sideloading\WalkAndUnGZ.bat" "%USERPROFILE%\AppData\Local\Temp\OnboardLogs"\RTDC4023\2017-11-19</v>
      </c>
      <c r="AF132" s="74" t="str">
        <f t="shared" si="62"/>
        <v>"C:\Program Files (x86)\AstroGrep\AstroGrep.exe" /e /r /s /spath="%USERPROFILE%\AppData\Local\Temp\OnboardLogs" /stypes="app*4023*20171119*" /stext=" 03:.+((SYSTEM_STATE.+slice.+state.+changed )|(ment ac)|(multiple cpu faults)|(system.+state.+changed )|(\[timeout)|(PRM\|1\|D)|(kpr)|(kdp)|(train st.+moving)|(\|lc)|(penalty))"</v>
      </c>
      <c r="AG132" s="181" t="str">
        <f t="shared" si="93"/>
        <v>EC</v>
      </c>
      <c r="AH132" s="78" t="str">
        <f t="shared" si="72"/>
        <v>"%USERPROFILE%\Documents\GitHub\eaglep3\Utilities\RefineRTDCRunTimes.py" --tripid 220-18 --locoid 4023 --swversion DE.1.0.9.0 --startMP 204:232957 --initTime 2017-11-18T19:20:17 --startdatetime 2017-11-18T19:27:26 --delay 99 --endMP 204:247 --enddatetime 2017-11-18T20:04:59 --enforcementcount 0 &gt;&gt;%USERPROFILE%\Documents\GitHub\eaglep3-reporting\EC\2017-11-18-refined-times.txt</v>
      </c>
      <c r="AI132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{"issue":{"subject":"","project_id":79,"tracker_id":40,"status_id":1,"priority_id":2,"assigned_to_id":338,"start_date":"2017-11-18","description":"","custom_fields":[{"id":1,"name":"Subdivision","value":"EC"},{"id":4,"name":"Milepost","value":"0.0247"},{"id":17,"name":"Train ID","value":"220-18"},{"id":16,"name":"Locomotive ID","value":"4023"},{"id":130,"name":"Impact","value":""},{"id":150,"name":"Time of Event (Mountain Time)","value":"20:04:59"},{"id":151,"name":"Denver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1" t="str">
        <f t="shared" si="74"/>
        <v>start /low /b %USERPROFILE%\Documents\GitHub\eaglep3\Utilities\DownloadLogsFromS3.py --loco 4023 --day 2017-11-18</v>
      </c>
      <c r="AN132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03:04:59"},{"id":29,"name":"Sharepoint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7" t="str">
        <f t="shared" si="76"/>
        <v>https://d0f6bd738d7f1b3e5a7ca70fe4ff75f0.us-east-1.aws.found.io/app/kibana#/discover/Steve-Slow-Train-Analysis-(2080s-and-2083s)?_g=(refreshInterval:(display:Off,pause:!f,section:0,value:0),time:(from:'2017-11-18T18:20:17-0700',mode:absolute,to:'2017-11-18T21:04:59-0700'))&amp;_a=(columns:!('Message%20ID',Summary),filters:!(),index:'emp_*',interval:auto,query:(query_string:(analyze_wildcard:!t,query:'%22rtdc.l.rtdc.4023%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870</v>
      </c>
      <c r="B133" s="7">
        <v>4008</v>
      </c>
      <c r="C133" s="21" t="s">
        <v>192</v>
      </c>
      <c r="D133" s="21" t="s">
        <v>526</v>
      </c>
      <c r="E133" s="13">
        <v>43057.787291666667</v>
      </c>
      <c r="F133" s="13">
        <v>43057.791921296295</v>
      </c>
      <c r="G133" s="7">
        <v>119</v>
      </c>
      <c r="H133" s="21" t="s">
        <v>626</v>
      </c>
      <c r="I133" s="13">
        <v>43057.817256944443</v>
      </c>
      <c r="J133" s="7">
        <v>0</v>
      </c>
      <c r="K133" s="89" t="str">
        <f t="shared" si="86"/>
        <v>4007/4008</v>
      </c>
      <c r="L133" s="184" t="str">
        <f>VLOOKUP(A133,'Trips&amp;Operators'!$C$1:$G$99911,5,FALSE)</f>
        <v>ANDERS STEVEN</v>
      </c>
      <c r="M133" s="6">
        <f t="shared" si="87"/>
        <v>2.5335648148029577E-2</v>
      </c>
      <c r="N133" s="7">
        <f t="shared" si="95"/>
        <v>36.483333333162591</v>
      </c>
      <c r="O133" s="7"/>
      <c r="P133" s="7"/>
      <c r="Q133" s="22"/>
      <c r="R133" s="173"/>
      <c r="S133" s="220">
        <f t="shared" si="88"/>
        <v>1</v>
      </c>
      <c r="T133" s="173" t="str">
        <f t="shared" si="89"/>
        <v>NorthBound</v>
      </c>
      <c r="U133" s="19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5" t="str">
        <f t="shared" si="58"/>
        <v>https://d0f6bd738d7f1b3e5a7ca70fe4ff75f0.us-east-1.aws.found.io/app/kibana#/discover/Steve-Slow-Train-Analysis-(2080s-and-2083s)?_g=(refreshInterval:(display:Off,pause:!f,section:0,value:0),time:(from:'2017-11-18T17:53:42-0700',mode:absolute,to:'2017-11-18T20:36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3" s="203" t="str">
        <f>IF(AA133&lt;VLOOKUP(AG133,Variables!$AC$3:$AD$8,2,FALSE),"Y","N")</f>
        <v>N</v>
      </c>
      <c r="X133" s="203">
        <f t="shared" si="94"/>
        <v>1</v>
      </c>
      <c r="Y133" s="203">
        <f t="shared" si="84"/>
        <v>5.1499999999999997E-2</v>
      </c>
      <c r="Z133" s="203">
        <f t="shared" si="85"/>
        <v>23.328800000000001</v>
      </c>
      <c r="AA133" s="203">
        <f t="shared" si="91"/>
        <v>23.2773</v>
      </c>
      <c r="AB133" s="54" t="e">
        <f>VLOOKUP(A133,Enforcements!$C$7:$K$9,8,0)</f>
        <v>#N/A</v>
      </c>
      <c r="AC133" s="51" t="e">
        <f>VLOOKUP(A133,Enforcements!$C$7:$E$9,3,0)</f>
        <v>#N/A</v>
      </c>
      <c r="AD133" s="178">
        <f t="shared" si="92"/>
        <v>221</v>
      </c>
      <c r="AE133" s="77" t="str">
        <f t="shared" si="61"/>
        <v>aws s3 cp s3://rtdc.mdm.uploadarchive.raw/RTDC4008/ "%USERPROFILE%\AppData\Local\Temp\OnboardLogs"\RTDC4008\2017-11-18 --exclude "*" --recursive --include "*20171118*" &amp; "%USERPROFILE%\Documents\GitHub\mrs-test-scripts\Headless Mode &amp; Sideloading\WalkAndUnGZ.bat" "%USERPROFILE%\AppData\Local\Temp\OnboardLogs"\RTDC4008\2017-11-18 &amp; aws s3 cp s3://rtdc.mdm.uploadarchive.raw/RTDC4008/ "%USERPROFILE%\AppData\Local\Temp\OnboardLogs"\RTDC4008\2017-11-19 --exclude "*" --recursive --include "*20171119*" &amp; "%USERPROFILE%\Documents\GitHub\mrs-test-scripts\Headless Mode &amp; Sideloading\WalkAndUnGZ.bat" "%USERPROFILE%\AppData\Local\Temp\OnboardLogs"\RTDC4008\2017-11-19</v>
      </c>
      <c r="AF133" s="74" t="str">
        <f t="shared" si="62"/>
        <v>"C:\Program Files (x86)\AstroGrep\AstroGrep.exe" /e /r /s /spath="%USERPROFILE%\AppData\Local\Temp\OnboardLogs" /stypes="app*4008*20171119*" /stext=" 02:.+((SYSTEM_STATE.+slice.+state.+changed )|(ment ac)|(multiple cpu faults)|(system.+state.+changed )|(\[timeout)|(PRM\|1\|D)|(kpr)|(kdp)|(train st.+moving)|(\|lc)|(penalty))"</v>
      </c>
      <c r="AG133" s="181" t="str">
        <f t="shared" si="93"/>
        <v>EC</v>
      </c>
      <c r="AH133" s="78" t="str">
        <f t="shared" si="72"/>
        <v>"%USERPROFILE%\Documents\GitHub\eaglep3\Utilities\RefineRTDCRunTimes.py" --tripid 221-18 --locoid 4008 --swversion DE.1.0.9.0 --startMP 204:515 --initTime 2017-11-18T18:53:42 --startdatetime 2017-11-18T19:00:22 --delay 119 --endMP 204:233288 --enddatetime 2017-11-18T19:36:51 --enforcementcount 0 &gt;&gt;%USERPROFILE%\Documents\GitHub\eaglep3-reporting\EC\2017-11-18-refined-times.txt</v>
      </c>
      <c r="AI133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{"issue":{"subject":"","project_id":79,"tracker_id":40,"status_id":1,"priority_id":2,"assigned_to_id":338,"start_date":"2017-11-18","description":"","custom_fields":[{"id":1,"name":"Subdivision","value":"EC"},{"id":4,"name":"Milepost","value":"23.3288"},{"id":17,"name":"Train ID","value":"221-18"},{"id":16,"name":"Locomotive ID","value":"4008"},{"id":130,"name":"Impact","value":""},{"id":150,"name":"Time of Event (Mountain Time)","value":"19:36:51"},{"id":151,"name":"Denver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1" t="str">
        <f t="shared" si="74"/>
        <v>start /low /b %USERPROFILE%\Documents\GitHub\eaglep3\Utilities\DownloadLogsFromS3.py --loco 4008 --day 2017-11-18</v>
      </c>
      <c r="AN133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02:36:51"},{"id":29,"name":"Sharepoint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7" t="str">
        <f t="shared" si="76"/>
        <v>https://d0f6bd738d7f1b3e5a7ca70fe4ff75f0.us-east-1.aws.found.io/app/kibana#/discover/Steve-Slow-Train-Analysis-(2080s-and-2083s)?_g=(refreshInterval:(display:Off,pause:!f,section:0,value:0),time:(from:'2017-11-18T17:53:42-0700',mode:absolute,to:'2017-11-18T20:36:51-0700'))&amp;_a=(columns:!('Message%20ID',Summary),filters:!(),index:'emp_*',interval:auto,query:(query_string:(analyze_wildcard:!t,query:'%22rtdc.l.rtdc.4008%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693</v>
      </c>
      <c r="B134" s="7">
        <v>4007</v>
      </c>
      <c r="C134" s="21" t="s">
        <v>192</v>
      </c>
      <c r="D134" s="21" t="s">
        <v>504</v>
      </c>
      <c r="E134" s="13">
        <v>43057.819641203707</v>
      </c>
      <c r="F134" s="13">
        <v>43057.831666666665</v>
      </c>
      <c r="G134" s="7">
        <v>61</v>
      </c>
      <c r="H134" s="21" t="s">
        <v>523</v>
      </c>
      <c r="I134" s="13">
        <v>43057.858530092592</v>
      </c>
      <c r="J134" s="7">
        <v>0</v>
      </c>
      <c r="K134" s="89" t="str">
        <f t="shared" si="86"/>
        <v>4007/4008</v>
      </c>
      <c r="L134" s="184" t="str">
        <f>VLOOKUP(A134,'Trips&amp;Operators'!$C$1:$G$99911,5,FALSE)</f>
        <v>ANDERS STEVEN</v>
      </c>
      <c r="M134" s="6">
        <f t="shared" si="87"/>
        <v>2.6863425926421769E-2</v>
      </c>
      <c r="N134" s="7">
        <f t="shared" si="95"/>
        <v>38.683333334047347</v>
      </c>
      <c r="O134" s="7"/>
      <c r="P134" s="7"/>
      <c r="Q134" s="22"/>
      <c r="R134" s="173"/>
      <c r="S134" s="220">
        <f t="shared" si="88"/>
        <v>1</v>
      </c>
      <c r="T134" s="173" t="str">
        <f t="shared" si="89"/>
        <v>Southbound</v>
      </c>
      <c r="U134" s="19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5" t="str">
        <f t="shared" si="58"/>
        <v>https://d0f6bd738d7f1b3e5a7ca70fe4ff75f0.us-east-1.aws.found.io/app/kibana#/discover/Steve-Slow-Train-Analysis-(2080s-and-2083s)?_g=(refreshInterval:(display:Off,pause:!f,section:0,value:0),time:(from:'2017-11-18T18:40:17-0700',mode:absolute,to:'2017-11-18T21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4" s="203" t="str">
        <f>IF(AA134&lt;VLOOKUP(AG134,Variables!$AC$3:$AD$8,2,FALSE),"Y","N")</f>
        <v>N</v>
      </c>
      <c r="X134" s="203">
        <f t="shared" si="94"/>
        <v>1</v>
      </c>
      <c r="Y134" s="203">
        <f t="shared" si="84"/>
        <v>23.2944</v>
      </c>
      <c r="Z134" s="203">
        <f t="shared" si="85"/>
        <v>2.1600000000000001E-2</v>
      </c>
      <c r="AA134" s="203">
        <f t="shared" si="91"/>
        <v>23.2728</v>
      </c>
      <c r="AB134" s="54" t="e">
        <f>VLOOKUP(A134,Enforcements!$C$7:$K$9,8,0)</f>
        <v>#N/A</v>
      </c>
      <c r="AC134" s="51" t="e">
        <f>VLOOKUP(A134,Enforcements!$C$7:$E$9,3,0)</f>
        <v>#N/A</v>
      </c>
      <c r="AD134" s="178">
        <f t="shared" si="92"/>
        <v>222</v>
      </c>
      <c r="AE134" s="77" t="str">
        <f t="shared" si="61"/>
        <v>aws s3 cp s3://rtdc.mdm.uploadarchive.raw/RTDC4007/ "%USERPROFILE%\AppData\Local\Temp\OnboardLogs"\RTDC4007\2017-11-18 --exclude "*" --recursive --include "*20171118*" &amp; "%USERPROFILE%\Documents\GitHub\mrs-test-scripts\Headless Mode &amp; Sideloading\WalkAndUnGZ.bat" "%USERPROFILE%\AppData\Local\Temp\OnboardLogs"\RTDC4007\2017-11-18 &amp; aws s3 cp s3://rtdc.mdm.uploadarchive.raw/RTDC4007/ "%USERPROFILE%\AppData\Local\Temp\OnboardLogs"\RTDC4007\2017-11-19 --exclude "*" --recursive --include "*20171119*" &amp; "%USERPROFILE%\Documents\GitHub\mrs-test-scripts\Headless Mode &amp; Sideloading\WalkAndUnGZ.bat" "%USERPROFILE%\AppData\Local\Temp\OnboardLogs"\RTDC4007\2017-11-19</v>
      </c>
      <c r="AF134" s="74" t="str">
        <f t="shared" si="62"/>
        <v>"C:\Program Files (x86)\AstroGrep\AstroGrep.exe" /e /r /s /spath="%USERPROFILE%\AppData\Local\Temp\OnboardLogs" /stypes="app*4007*20171119*" /stext=" 03:.+((SYSTEM_STATE.+slice.+state.+changed )|(ment ac)|(multiple cpu faults)|(system.+state.+changed )|(\[timeout)|(PRM\|1\|D)|(kpr)|(kdp)|(train st.+moving)|(\|lc)|(penalty))"</v>
      </c>
      <c r="AG134" s="181" t="str">
        <f t="shared" si="93"/>
        <v>EC</v>
      </c>
      <c r="AH134" s="78" t="str">
        <f t="shared" si="72"/>
        <v>"%USERPROFILE%\Documents\GitHub\eaglep3\Utilities\RefineRTDCRunTimes.py" --tripid 222-18 --locoid 4007 --swversion DE.1.0.9.0 --startMP 204:232944 --initTime 2017-11-18T19:40:17 --startdatetime 2017-11-18T19:57:36 --delay 61 --endMP 204:216 --enddatetime 2017-11-18T20:36:17 --enforcementcount 0 &gt;&gt;%USERPROFILE%\Documents\GitHub\eaglep3-reporting\EC\2017-11-18-refined-times.txt</v>
      </c>
      <c r="AI134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{"issue":{"subject":"","project_id":79,"tracker_id":40,"status_id":1,"priority_id":2,"assigned_to_id":338,"start_date":"2017-11-18","description":"","custom_fields":[{"id":1,"name":"Subdivision","value":"EC"},{"id":4,"name":"Milepost","value":"0.0216"},{"id":17,"name":"Train ID","value":"222-18"},{"id":16,"name":"Locomotive ID","value":"4007"},{"id":130,"name":"Impact","value":""},{"id":150,"name":"Time of Event (Mountain Time)","value":"20:36:17"},{"id":151,"name":"Denver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1" t="str">
        <f t="shared" si="74"/>
        <v>start /low /b %USERPROFILE%\Documents\GitHub\eaglep3\Utilities\DownloadLogsFromS3.py --loco 4007 --day 2017-11-18</v>
      </c>
      <c r="AN134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03:36:17"},{"id":29,"name":"Sharepoint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7" t="str">
        <f t="shared" si="76"/>
        <v>https://d0f6bd738d7f1b3e5a7ca70fe4ff75f0.us-east-1.aws.found.io/app/kibana#/discover/Steve-Slow-Train-Analysis-(2080s-and-2083s)?_g=(refreshInterval:(display:Off,pause:!f,section:0,value:0),time:(from:'2017-11-18T18:40:17-0700',mode:absolute,to:'2017-11-18T21:36:17-0700'))&amp;_a=(columns:!('Message%20ID',Summary),filters:!(),index:'emp_*',interval:auto,query:(query_string:(analyze_wildcard:!t,query:'%22rtdc.l.rtdc.4007%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873</v>
      </c>
      <c r="B135" s="7">
        <v>4004</v>
      </c>
      <c r="C135" s="21" t="s">
        <v>192</v>
      </c>
      <c r="D135" s="21" t="s">
        <v>511</v>
      </c>
      <c r="E135" s="13">
        <v>43057.808865740742</v>
      </c>
      <c r="F135" s="13">
        <v>43057.812673611108</v>
      </c>
      <c r="G135" s="7">
        <v>56</v>
      </c>
      <c r="H135" s="21" t="s">
        <v>1016</v>
      </c>
      <c r="I135" s="13">
        <v>43057.837962962964</v>
      </c>
      <c r="J135" s="7">
        <v>0</v>
      </c>
      <c r="K135" s="89" t="str">
        <f t="shared" si="86"/>
        <v>4003/4004</v>
      </c>
      <c r="L135" s="184" t="str">
        <f>VLOOKUP(A135,'Trips&amp;Operators'!$C$1:$G$99911,5,FALSE)</f>
        <v>FORTUNATO FRANK</v>
      </c>
      <c r="M135" s="6">
        <f t="shared" si="87"/>
        <v>2.5289351855462883E-2</v>
      </c>
      <c r="N135" s="7">
        <f t="shared" si="95"/>
        <v>36.416666671866551</v>
      </c>
      <c r="O135" s="7"/>
      <c r="P135" s="7"/>
      <c r="Q135" s="22"/>
      <c r="R135" s="173"/>
      <c r="S135" s="220">
        <f t="shared" si="88"/>
        <v>1</v>
      </c>
      <c r="T135" s="173" t="str">
        <f t="shared" si="89"/>
        <v>NorthBound</v>
      </c>
      <c r="U135" s="19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5" t="str">
        <f t="shared" si="58"/>
        <v>https://d0f6bd738d7f1b3e5a7ca70fe4ff75f0.us-east-1.aws.found.io/app/kibana#/discover/Steve-Slow-Train-Analysis-(2080s-and-2083s)?_g=(refreshInterval:(display:Off,pause:!f,section:0,value:0),time:(from:'2017-11-18T18:24:46-0700',mode:absolute,to:'2017-11-18T21:06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5" s="203" t="str">
        <f>IF(AA135&lt;VLOOKUP(AG135,Variables!$AC$3:$AD$8,2,FALSE),"Y","N")</f>
        <v>N</v>
      </c>
      <c r="X135" s="203">
        <f t="shared" si="94"/>
        <v>1</v>
      </c>
      <c r="Y135" s="203">
        <f t="shared" si="84"/>
        <v>5.2600000000000001E-2</v>
      </c>
      <c r="Z135" s="203">
        <f t="shared" si="85"/>
        <v>23.317799999999998</v>
      </c>
      <c r="AA135" s="203">
        <f t="shared" si="91"/>
        <v>23.265199999999997</v>
      </c>
      <c r="AB135" s="54" t="e">
        <f>VLOOKUP(A135,Enforcements!$C$7:$K$9,8,0)</f>
        <v>#N/A</v>
      </c>
      <c r="AC135" s="51" t="e">
        <f>VLOOKUP(A135,Enforcements!$C$7:$E$9,3,0)</f>
        <v>#N/A</v>
      </c>
      <c r="AD135" s="178">
        <f t="shared" si="92"/>
        <v>223</v>
      </c>
      <c r="AE135" s="77" t="str">
        <f t="shared" si="61"/>
        <v>aws s3 cp s3://rtdc.mdm.uploadarchive.raw/RTDC4004/ "%USERPROFILE%\AppData\Local\Temp\OnboardLogs"\RTDC4004\2017-11-18 --exclude "*" --recursive --include "*20171118*" &amp; "%USERPROFILE%\Documents\GitHub\mrs-test-scripts\Headless Mode &amp; Sideloading\WalkAndUnGZ.bat" "%USERPROFILE%\AppData\Local\Temp\OnboardLogs"\RTDC4004\2017-11-18 &amp; aws s3 cp s3://rtdc.mdm.uploadarchive.raw/RTDC4004/ "%USERPROFILE%\AppData\Local\Temp\OnboardLogs"\RTDC4004\2017-11-19 --exclude "*" --recursive --include "*20171119*" &amp; "%USERPROFILE%\Documents\GitHub\mrs-test-scripts\Headless Mode &amp; Sideloading\WalkAndUnGZ.bat" "%USERPROFILE%\AppData\Local\Temp\OnboardLogs"\RTDC4004\2017-11-19</v>
      </c>
      <c r="AF135" s="74" t="str">
        <f t="shared" si="62"/>
        <v>"C:\Program Files (x86)\AstroGrep\AstroGrep.exe" /e /r /s /spath="%USERPROFILE%\AppData\Local\Temp\OnboardLogs" /stypes="app*4004*20171119*" /stext=" 03:.+((SYSTEM_STATE.+slice.+state.+changed )|(ment ac)|(multiple cpu faults)|(system.+state.+changed )|(\[timeout)|(PRM\|1\|D)|(kpr)|(kdp)|(train st.+moving)|(\|lc)|(penalty))"</v>
      </c>
      <c r="AG135" s="181" t="str">
        <f t="shared" si="93"/>
        <v>EC</v>
      </c>
      <c r="AH135" s="78" t="str">
        <f t="shared" si="72"/>
        <v>"%USERPROFILE%\Documents\GitHub\eaglep3\Utilities\RefineRTDCRunTimes.py" --tripid 223-18 --locoid 4004 --swversion DE.1.0.9.0 --startMP 204:526 --initTime 2017-11-18T19:24:46 --startdatetime 2017-11-18T19:30:15 --delay 56 --endMP 204:233178 --enddatetime 2017-11-18T20:06:40 --enforcementcount 0 &gt;&gt;%USERPROFILE%\Documents\GitHub\eaglep3-reporting\EC\2017-11-18-refined-times.txt</v>
      </c>
      <c r="AI135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{"issue":{"subject":"","project_id":79,"tracker_id":40,"status_id":1,"priority_id":2,"assigned_to_id":338,"start_date":"2017-11-18","description":"","custom_fields":[{"id":1,"name":"Subdivision","value":"EC"},{"id":4,"name":"Milepost","value":"23.3178"},{"id":17,"name":"Train ID","value":"223-18"},{"id":16,"name":"Locomotive ID","value":"4004"},{"id":130,"name":"Impact","value":""},{"id":150,"name":"Time of Event (Mountain Time)","value":"20:06:40"},{"id":151,"name":"Denver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1" t="str">
        <f t="shared" si="74"/>
        <v>start /low /b %USERPROFILE%\Documents\GitHub\eaglep3\Utilities\DownloadLogsFromS3.py --loco 4004 --day 2017-11-18</v>
      </c>
      <c r="AN135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03:06:40"},{"id":29,"name":"Sharepoint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7" t="str">
        <f t="shared" si="76"/>
        <v>https://d0f6bd738d7f1b3e5a7ca70fe4ff75f0.us-east-1.aws.found.io/app/kibana#/discover/Steve-Slow-Train-Analysis-(2080s-and-2083s)?_g=(refreshInterval:(display:Off,pause:!f,section:0,value:0),time:(from:'2017-11-18T18:24:46-0700',mode:absolute,to:'2017-11-18T21:06:40-0700'))&amp;_a=(columns:!('Message%20ID',Summary),filters:!(),index:'emp_*',interval:auto,query:(query_string:(analyze_wildcard:!t,query:'%22rtdc.l.rtdc.4004%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878</v>
      </c>
      <c r="B136" s="7">
        <v>4003</v>
      </c>
      <c r="C136" s="21" t="s">
        <v>192</v>
      </c>
      <c r="D136" s="21" t="s">
        <v>1017</v>
      </c>
      <c r="E136" s="13">
        <v>43057.839097222219</v>
      </c>
      <c r="F136" s="13">
        <v>43057.85229166667</v>
      </c>
      <c r="G136" s="7">
        <v>46</v>
      </c>
      <c r="H136" s="21" t="s">
        <v>510</v>
      </c>
      <c r="I136" s="13">
        <v>43057.87771990741</v>
      </c>
      <c r="J136" s="7">
        <v>0</v>
      </c>
      <c r="K136" s="89" t="str">
        <f t="shared" si="86"/>
        <v>4003/4004</v>
      </c>
      <c r="L136" s="184" t="str">
        <f>VLOOKUP(A136,'Trips&amp;Operators'!$C$1:$G$99911,5,FALSE)</f>
        <v>FORTUNATO FRANK</v>
      </c>
      <c r="M136" s="6">
        <f t="shared" si="87"/>
        <v>2.5428240740438923E-2</v>
      </c>
      <c r="N136" s="7">
        <f t="shared" si="95"/>
        <v>36.616666666232049</v>
      </c>
      <c r="O136" s="7"/>
      <c r="P136" s="7"/>
      <c r="Q136" s="22"/>
      <c r="R136" s="173"/>
      <c r="S136" s="220">
        <f t="shared" si="88"/>
        <v>1</v>
      </c>
      <c r="T136" s="173" t="str">
        <f t="shared" si="89"/>
        <v>Southbound</v>
      </c>
      <c r="U136" s="19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5" t="str">
        <f t="shared" si="58"/>
        <v>https://d0f6bd738d7f1b3e5a7ca70fe4ff75f0.us-east-1.aws.found.io/app/kibana#/discover/Steve-Slow-Train-Analysis-(2080s-and-2083s)?_g=(refreshInterval:(display:Off,pause:!f,section:0,value:0),time:(from:'2017-11-18T19:08:18-0700',mode:absolute,to:'2017-11-18T22:03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6" s="203" t="str">
        <f>IF(AA136&lt;VLOOKUP(AG136,Variables!$AC$3:$AD$8,2,FALSE),"Y","N")</f>
        <v>N</v>
      </c>
      <c r="X136" s="203">
        <f t="shared" si="94"/>
        <v>1</v>
      </c>
      <c r="Y136" s="203">
        <f t="shared" si="84"/>
        <v>23.286100000000001</v>
      </c>
      <c r="Z136" s="203">
        <f t="shared" si="85"/>
        <v>1.9599999999999999E-2</v>
      </c>
      <c r="AA136" s="203">
        <f t="shared" si="91"/>
        <v>23.266500000000001</v>
      </c>
      <c r="AB136" s="54" t="e">
        <f>VLOOKUP(A136,Enforcements!$C$7:$K$9,8,0)</f>
        <v>#N/A</v>
      </c>
      <c r="AC136" s="51" t="e">
        <f>VLOOKUP(A136,Enforcements!$C$7:$E$9,3,0)</f>
        <v>#N/A</v>
      </c>
      <c r="AD136" s="178">
        <f t="shared" si="92"/>
        <v>224</v>
      </c>
      <c r="AE136" s="77" t="str">
        <f t="shared" si="61"/>
        <v>aws s3 cp s3://rtdc.mdm.uploadarchive.raw/RTDC4003/ "%USERPROFILE%\AppData\Local\Temp\OnboardLogs"\RTDC4003\2017-11-18 --exclude "*" --recursive --include "*20171118*" &amp; "%USERPROFILE%\Documents\GitHub\mrs-test-scripts\Headless Mode &amp; Sideloading\WalkAndUnGZ.bat" "%USERPROFILE%\AppData\Local\Temp\OnboardLogs"\RTDC4003\2017-11-18 &amp; aws s3 cp s3://rtdc.mdm.uploadarchive.raw/RTDC4003/ "%USERPROFILE%\AppData\Local\Temp\OnboardLogs"\RTDC4003\2017-11-19 --exclude "*" --recursive --include "*20171119*" &amp; "%USERPROFILE%\Documents\GitHub\mrs-test-scripts\Headless Mode &amp; Sideloading\WalkAndUnGZ.bat" "%USERPROFILE%\AppData\Local\Temp\OnboardLogs"\RTDC4003\2017-11-19</v>
      </c>
      <c r="AF136" s="74" t="str">
        <f t="shared" si="62"/>
        <v>"C:\Program Files (x86)\AstroGrep\AstroGrep.exe" /e /r /s /spath="%USERPROFILE%\AppData\Local\Temp\OnboardLogs" /stypes="app*4003*20171119*" /stext=" 04:.+((SYSTEM_STATE.+slice.+state.+changed )|(ment ac)|(multiple cpu faults)|(system.+state.+changed )|(\[timeout)|(PRM\|1\|D)|(kpr)|(kdp)|(train st.+moving)|(\|lc)|(penalty))"</v>
      </c>
      <c r="AG136" s="181" t="str">
        <f t="shared" si="93"/>
        <v>EC</v>
      </c>
      <c r="AH136" s="78" t="str">
        <f t="shared" si="72"/>
        <v>"%USERPROFILE%\Documents\GitHub\eaglep3\Utilities\RefineRTDCRunTimes.py" --tripid 224-18 --locoid 4003 --swversion DE.1.0.9.0 --startMP 204:232861 --initTime 2017-11-18T20:08:18 --startdatetime 2017-11-18T20:27:18 --delay 46 --endMP 204:196 --enddatetime 2017-11-18T21:03:55 --enforcementcount 0 &gt;&gt;%USERPROFILE%\Documents\GitHub\eaglep3-reporting\EC\2017-11-18-refined-times.txt</v>
      </c>
      <c r="AI136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{"issue":{"subject":"","project_id":79,"tracker_id":40,"status_id":1,"priority_id":2,"assigned_to_id":338,"start_date":"2017-11-18","description":"","custom_fields":[{"id":1,"name":"Subdivision","value":"EC"},{"id":4,"name":"Milepost","value":"0.0196"},{"id":17,"name":"Train ID","value":"224-18"},{"id":16,"name":"Locomotive ID","value":"4003"},{"id":130,"name":"Impact","value":""},{"id":150,"name":"Time of Event (Mountain Time)","value":"21:03:55"},{"id":151,"name":"Denver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1" t="str">
        <f t="shared" si="74"/>
        <v>start /low /b %USERPROFILE%\Documents\GitHub\eaglep3\Utilities\DownloadLogsFromS3.py --loco 4003 --day 2017-11-18</v>
      </c>
      <c r="AN136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04:03:55"},{"id":29,"name":"Sharepoint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7" t="str">
        <f t="shared" si="76"/>
        <v>https://d0f6bd738d7f1b3e5a7ca70fe4ff75f0.us-east-1.aws.found.io/app/kibana#/discover/Steve-Slow-Train-Analysis-(2080s-and-2083s)?_g=(refreshInterval:(display:Off,pause:!f,section:0,value:0),time:(from:'2017-11-18T19:08:18-0700',mode:absolute,to:'2017-11-18T22:03:55-0700'))&amp;_a=(columns:!('Message%20ID',Summary),filters:!(),index:'emp_*',interval:auto,query:(query_string:(analyze_wildcard:!t,query:'%22rtdc.l.rtdc.4003%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876</v>
      </c>
      <c r="B137" s="7">
        <v>4018</v>
      </c>
      <c r="C137" s="21" t="s">
        <v>192</v>
      </c>
      <c r="D137" s="21" t="s">
        <v>1018</v>
      </c>
      <c r="E137" s="13">
        <v>43057.826064814813</v>
      </c>
      <c r="F137" s="13">
        <v>43057.833472222221</v>
      </c>
      <c r="G137" s="7">
        <v>50</v>
      </c>
      <c r="H137" s="21" t="s">
        <v>642</v>
      </c>
      <c r="I137" s="13">
        <v>43057.857928240737</v>
      </c>
      <c r="J137" s="7">
        <v>0</v>
      </c>
      <c r="K137" s="89" t="str">
        <f t="shared" si="86"/>
        <v>4017/4018</v>
      </c>
      <c r="L137" s="184" t="str">
        <f>VLOOKUP(A137,'Trips&amp;Operators'!$C$1:$G$99911,5,FALSE)</f>
        <v>ELBAUM MIKE</v>
      </c>
      <c r="M137" s="6">
        <f t="shared" si="87"/>
        <v>2.4456018516502809E-2</v>
      </c>
      <c r="N137" s="7">
        <f t="shared" si="95"/>
        <v>35.216666663764045</v>
      </c>
      <c r="O137" s="7"/>
      <c r="P137" s="7"/>
      <c r="Q137" s="22"/>
      <c r="R137" s="173"/>
      <c r="S137" s="220">
        <f t="shared" si="88"/>
        <v>1</v>
      </c>
      <c r="T137" s="173" t="str">
        <f t="shared" si="89"/>
        <v>NorthBound</v>
      </c>
      <c r="U137" s="19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5" t="str">
        <f t="shared" si="58"/>
        <v>https://d0f6bd738d7f1b3e5a7ca70fe4ff75f0.us-east-1.aws.found.io/app/kibana#/discover/Steve-Slow-Train-Analysis-(2080s-and-2083s)?_g=(refreshInterval:(display:Off,pause:!f,section:0,value:0),time:(from:'2017-11-18T18:49:32-0700',mode:absolute,to:'2017-11-18T21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7" s="203" t="str">
        <f>IF(AA137&lt;VLOOKUP(AG137,Variables!$AC$3:$AD$8,2,FALSE),"Y","N")</f>
        <v>N</v>
      </c>
      <c r="X137" s="203">
        <f t="shared" si="94"/>
        <v>1</v>
      </c>
      <c r="Y137" s="203">
        <f t="shared" si="84"/>
        <v>5.6599999999999998E-2</v>
      </c>
      <c r="Z137" s="203">
        <f t="shared" si="85"/>
        <v>23.325900000000001</v>
      </c>
      <c r="AA137" s="203">
        <f t="shared" si="91"/>
        <v>23.269300000000001</v>
      </c>
      <c r="AB137" s="54" t="e">
        <f>VLOOKUP(A137,Enforcements!$C$7:$K$9,8,0)</f>
        <v>#N/A</v>
      </c>
      <c r="AC137" s="51" t="e">
        <f>VLOOKUP(A137,Enforcements!$C$7:$E$9,3,0)</f>
        <v>#N/A</v>
      </c>
      <c r="AD137" s="178">
        <f t="shared" si="92"/>
        <v>225</v>
      </c>
      <c r="AE137" s="77" t="str">
        <f t="shared" si="61"/>
        <v>aws s3 cp s3://rtdc.mdm.uploadarchive.raw/RTDC4018/ "%USERPROFILE%\AppData\Local\Temp\OnboardLogs"\RTDC4018\2017-11-18 --exclude "*" --recursive --include "*20171118*" &amp; "%USERPROFILE%\Documents\GitHub\mrs-test-scripts\Headless Mode &amp; Sideloading\WalkAndUnGZ.bat" "%USERPROFILE%\AppData\Local\Temp\OnboardLogs"\RTDC4018\2017-11-18 &amp; aws s3 cp s3://rtdc.mdm.uploadarchive.raw/RTDC4018/ "%USERPROFILE%\AppData\Local\Temp\OnboardLogs"\RTDC4018\2017-11-19 --exclude "*" --recursive --include "*20171119*" &amp; "%USERPROFILE%\Documents\GitHub\mrs-test-scripts\Headless Mode &amp; Sideloading\WalkAndUnGZ.bat" "%USERPROFILE%\AppData\Local\Temp\OnboardLogs"\RTDC4018\2017-11-19</v>
      </c>
      <c r="AF137" s="74" t="str">
        <f t="shared" si="62"/>
        <v>"C:\Program Files (x86)\AstroGrep\AstroGrep.exe" /e /r /s /spath="%USERPROFILE%\AppData\Local\Temp\OnboardLogs" /stypes="app*4018*20171119*" /stext=" 03:.+((SYSTEM_STATE.+slice.+state.+changed )|(ment ac)|(multiple cpu faults)|(system.+state.+changed )|(\[timeout)|(PRM\|1\|D)|(kpr)|(kdp)|(train st.+moving)|(\|lc)|(penalty))"</v>
      </c>
      <c r="AG137" s="181" t="str">
        <f t="shared" si="93"/>
        <v>EC</v>
      </c>
      <c r="AH137" s="78" t="str">
        <f t="shared" si="72"/>
        <v>"%USERPROFILE%\Documents\GitHub\eaglep3\Utilities\RefineRTDCRunTimes.py" --tripid 225-18 --locoid 4018 --swversion DE.1.0.9.0 --startMP 204:566 --initTime 2017-11-18T19:49:32 --startdatetime 2017-11-18T20:00:12 --delay 50 --endMP 204:233259 --enddatetime 2017-11-18T20:35:25 --enforcementcount 0 &gt;&gt;%USERPROFILE%\Documents\GitHub\eaglep3-reporting\EC\2017-11-18-refined-times.txt</v>
      </c>
      <c r="AI137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{"issue":{"subject":"","project_id":79,"tracker_id":40,"status_id":1,"priority_id":2,"assigned_to_id":338,"start_date":"2017-11-18","description":"","custom_fields":[{"id":1,"name":"Subdivision","value":"EC"},{"id":4,"name":"Milepost","value":"23.3259"},{"id":17,"name":"Train ID","value":"225-18"},{"id":16,"name":"Locomotive ID","value":"4018"},{"id":130,"name":"Impact","value":""},{"id":150,"name":"Time of Event (Mountain Time)","value":"20:35:25"},{"id":151,"name":"Denver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1" t="str">
        <f t="shared" si="74"/>
        <v>start /low /b %USERPROFILE%\Documents\GitHub\eaglep3\Utilities\DownloadLogsFromS3.py --loco 4018 --day 2017-11-18</v>
      </c>
      <c r="AN137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03:35:25"},{"id":29,"name":"Sharepoint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7" t="str">
        <f t="shared" si="76"/>
        <v>https://d0f6bd738d7f1b3e5a7ca70fe4ff75f0.us-east-1.aws.found.io/app/kibana#/discover/Steve-Slow-Train-Analysis-(2080s-and-2083s)?_g=(refreshInterval:(display:Off,pause:!f,section:0,value:0),time:(from:'2017-11-18T18:49:32-0700',mode:absolute,to:'2017-11-18T21:35:25-0700'))&amp;_a=(columns:!('Message%20ID',Summary),filters:!(),index:'emp_*',interval:auto,query:(query_string:(analyze_wildcard:!t,query:'%22rtdc.l.rtdc.4018%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694</v>
      </c>
      <c r="B138" s="7">
        <v>4017</v>
      </c>
      <c r="C138" s="21" t="s">
        <v>192</v>
      </c>
      <c r="D138" s="21" t="s">
        <v>955</v>
      </c>
      <c r="E138" s="13">
        <v>43057.859571759262</v>
      </c>
      <c r="F138" s="13">
        <v>43057.873078703706</v>
      </c>
      <c r="G138" s="7">
        <v>49</v>
      </c>
      <c r="H138" s="21" t="s">
        <v>951</v>
      </c>
      <c r="I138" s="13">
        <v>43057.900011574071</v>
      </c>
      <c r="J138" s="7">
        <v>0</v>
      </c>
      <c r="K138" s="89" t="str">
        <f t="shared" si="86"/>
        <v>4017/4018</v>
      </c>
      <c r="L138" s="184" t="str">
        <f>VLOOKUP(A138,'Trips&amp;Operators'!$C$1:$G$99911,5,FALSE)</f>
        <v>ELBAUM MIKE</v>
      </c>
      <c r="M138" s="6">
        <f t="shared" si="87"/>
        <v>2.693287036527181E-2</v>
      </c>
      <c r="N138" s="7">
        <f t="shared" si="95"/>
        <v>38.783333325991407</v>
      </c>
      <c r="O138" s="7"/>
      <c r="P138" s="7"/>
      <c r="Q138" s="22"/>
      <c r="R138" s="173"/>
      <c r="S138" s="220">
        <f t="shared" si="88"/>
        <v>1</v>
      </c>
      <c r="T138" s="173" t="str">
        <f t="shared" si="89"/>
        <v>Southbound</v>
      </c>
      <c r="U138" s="19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5" t="str">
        <f t="shared" si="58"/>
        <v>https://d0f6bd738d7f1b3e5a7ca70fe4ff75f0.us-east-1.aws.found.io/app/kibana#/discover/Steve-Slow-Train-Analysis-(2080s-and-2083s)?_g=(refreshInterval:(display:Off,pause:!f,section:0,value:0),time:(from:'2017-11-18T19:37:47-0700',mode:absolute,to:'2017-11-18T22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8" s="203" t="str">
        <f>IF(AA138&lt;VLOOKUP(AG138,Variables!$AC$3:$AD$8,2,FALSE),"Y","N")</f>
        <v>N</v>
      </c>
      <c r="X138" s="203">
        <f t="shared" si="94"/>
        <v>1</v>
      </c>
      <c r="Y138" s="203">
        <f t="shared" si="84"/>
        <v>23.292999999999999</v>
      </c>
      <c r="Z138" s="203">
        <f t="shared" si="85"/>
        <v>2.6200000000000001E-2</v>
      </c>
      <c r="AA138" s="203">
        <f t="shared" si="91"/>
        <v>23.2668</v>
      </c>
      <c r="AB138" s="54" t="e">
        <f>VLOOKUP(A138,Enforcements!$C$7:$K$9,8,0)</f>
        <v>#N/A</v>
      </c>
      <c r="AC138" s="51" t="e">
        <f>VLOOKUP(A138,Enforcements!$C$7:$E$9,3,0)</f>
        <v>#N/A</v>
      </c>
      <c r="AD138" s="178">
        <f t="shared" si="92"/>
        <v>226</v>
      </c>
      <c r="AE138" s="77" t="str">
        <f t="shared" si="61"/>
        <v>aws s3 cp s3://rtdc.mdm.uploadarchive.raw/RTDC4017/ "%USERPROFILE%\AppData\Local\Temp\OnboardLogs"\RTDC4017\2017-11-18 --exclude "*" --recursive --include "*20171118*" &amp; "%USERPROFILE%\Documents\GitHub\mrs-test-scripts\Headless Mode &amp; Sideloading\WalkAndUnGZ.bat" "%USERPROFILE%\AppData\Local\Temp\OnboardLogs"\RTDC4017\2017-11-18 &amp; aws s3 cp s3://rtdc.mdm.uploadarchive.raw/RTDC4017/ "%USERPROFILE%\AppData\Local\Temp\OnboardLogs"\RTDC4017\2017-11-19 --exclude "*" --recursive --include "*20171119*" &amp; "%USERPROFILE%\Documents\GitHub\mrs-test-scripts\Headless Mode &amp; Sideloading\WalkAndUnGZ.bat" "%USERPROFILE%\AppData\Local\Temp\OnboardLogs"\RTDC4017\2017-11-19</v>
      </c>
      <c r="AF138" s="74" t="str">
        <f t="shared" si="62"/>
        <v>"C:\Program Files (x86)\AstroGrep\AstroGrep.exe" /e /r /s /spath="%USERPROFILE%\AppData\Local\Temp\OnboardLogs" /stypes="app*4017*20171119*" /stext=" 04:.+((SYSTEM_STATE.+slice.+state.+changed )|(ment ac)|(multiple cpu faults)|(system.+state.+changed )|(\[timeout)|(PRM\|1\|D)|(kpr)|(kdp)|(train st.+moving)|(\|lc)|(penalty))"</v>
      </c>
      <c r="AG138" s="181" t="str">
        <f t="shared" si="93"/>
        <v>EC</v>
      </c>
      <c r="AH138" s="78" t="str">
        <f t="shared" si="72"/>
        <v>"%USERPROFILE%\Documents\GitHub\eaglep3\Utilities\RefineRTDCRunTimes.py" --tripid 226-18 --locoid 4017 --swversion DE.1.0.9.0 --startMP 204:232930 --initTime 2017-11-18T20:37:47 --startdatetime 2017-11-18T20:57:14 --delay 49 --endMP 204:262 --enddatetime 2017-11-18T21:36:01 --enforcementcount 0 &gt;&gt;%USERPROFILE%\Documents\GitHub\eaglep3-reporting\EC\2017-11-18-refined-times.txt</v>
      </c>
      <c r="AI138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{"issue":{"subject":"","project_id":79,"tracker_id":40,"status_id":1,"priority_id":2,"assigned_to_id":338,"start_date":"2017-11-18","description":"","custom_fields":[{"id":1,"name":"Subdivision","value":"EC"},{"id":4,"name":"Milepost","value":"0.0262"},{"id":17,"name":"Train ID","value":"226-18"},{"id":16,"name":"Locomotive ID","value":"4017"},{"id":130,"name":"Impact","value":""},{"id":150,"name":"Time of Event (Mountain Time)","value":"21:36:01"},{"id":151,"name":"Denver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1" t="str">
        <f t="shared" si="74"/>
        <v>start /low /b %USERPROFILE%\Documents\GitHub\eaglep3\Utilities\DownloadLogsFromS3.py --loco 4017 --day 2017-11-18</v>
      </c>
      <c r="AN138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04:36:01"},{"id":29,"name":"Sharepoint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7" t="str">
        <f t="shared" si="76"/>
        <v>https://d0f6bd738d7f1b3e5a7ca70fe4ff75f0.us-east-1.aws.found.io/app/kibana#/discover/Steve-Slow-Train-Analysis-(2080s-and-2083s)?_g=(refreshInterval:(display:Off,pause:!f,section:0,value:0),time:(from:'2017-11-18T19:37:47-0700',mode:absolute,to:'2017-11-18T22:36:01-0700'))&amp;_a=(columns:!('Message%20ID',Summary),filters:!(),index:'emp_*',interval:auto,query:(query_string:(analyze_wildcard:!t,query:'%22rtdc.l.rtdc.4017%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879</v>
      </c>
      <c r="B139" s="7">
        <v>4024</v>
      </c>
      <c r="C139" s="21" t="s">
        <v>192</v>
      </c>
      <c r="D139" s="21" t="s">
        <v>646</v>
      </c>
      <c r="E139" s="13">
        <v>43057.839016203703</v>
      </c>
      <c r="F139" s="13">
        <v>43057.854502314818</v>
      </c>
      <c r="G139" s="7">
        <v>173</v>
      </c>
      <c r="H139" s="21" t="s">
        <v>1019</v>
      </c>
      <c r="I139" s="13">
        <v>43057.880937499998</v>
      </c>
      <c r="J139" s="7">
        <v>0</v>
      </c>
      <c r="K139" s="89" t="str">
        <f t="shared" si="86"/>
        <v>4023/4024</v>
      </c>
      <c r="L139" s="184" t="str">
        <f>VLOOKUP(A139,'Trips&amp;Operators'!$C$1:$G$99911,5,FALSE)</f>
        <v>NICHOLSON WESLEY</v>
      </c>
      <c r="M139" s="6">
        <f t="shared" si="87"/>
        <v>2.643518518016208E-2</v>
      </c>
      <c r="N139" s="7">
        <f t="shared" si="95"/>
        <v>38.066666659433395</v>
      </c>
      <c r="O139" s="7"/>
      <c r="P139" s="7"/>
      <c r="Q139" s="22"/>
      <c r="R139" s="173"/>
      <c r="S139" s="220">
        <f t="shared" si="88"/>
        <v>1</v>
      </c>
      <c r="T139" s="173" t="str">
        <f t="shared" si="89"/>
        <v>NorthBound</v>
      </c>
      <c r="U139" s="19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5" t="str">
        <f t="shared" si="58"/>
        <v>https://d0f6bd738d7f1b3e5a7ca70fe4ff75f0.us-east-1.aws.found.io/app/kibana#/discover/Steve-Slow-Train-Analysis-(2080s-and-2083s)?_g=(refreshInterval:(display:Off,pause:!f,section:0,value:0),time:(from:'2017-11-18T19:08:11-0700',mode:absolute,to:'2017-11-18T22:08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9" s="203" t="str">
        <f>IF(AA139&lt;VLOOKUP(AG139,Variables!$AC$3:$AD$8,2,FALSE),"Y","N")</f>
        <v>N</v>
      </c>
      <c r="X139" s="203">
        <f t="shared" si="94"/>
        <v>1</v>
      </c>
      <c r="Y139" s="203">
        <f t="shared" si="84"/>
        <v>5.4800000000000001E-2</v>
      </c>
      <c r="Z139" s="203">
        <f t="shared" si="85"/>
        <v>23.317599999999999</v>
      </c>
      <c r="AA139" s="203">
        <f t="shared" si="91"/>
        <v>23.262799999999999</v>
      </c>
      <c r="AB139" s="54" t="e">
        <f>VLOOKUP(A139,Enforcements!$C$7:$K$9,8,0)</f>
        <v>#N/A</v>
      </c>
      <c r="AC139" s="51" t="e">
        <f>VLOOKUP(A139,Enforcements!$C$7:$E$9,3,0)</f>
        <v>#N/A</v>
      </c>
      <c r="AD139" s="178">
        <f t="shared" si="92"/>
        <v>227</v>
      </c>
      <c r="AE139" s="77" t="str">
        <f t="shared" si="61"/>
        <v>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 &amp; aws s3 cp s3://rtdc.mdm.uploadarchive.raw/RTDC4024/ "%USERPROFILE%\AppData\Local\Temp\OnboardLogs"\RTDC4024\2017-11-19 --exclude "*" --recursive --include "*20171119*" &amp; "%USERPROFILE%\Documents\GitHub\mrs-test-scripts\Headless Mode &amp; Sideloading\WalkAndUnGZ.bat" "%USERPROFILE%\AppData\Local\Temp\OnboardLogs"\RTDC4024\2017-11-19</v>
      </c>
      <c r="AF139" s="74" t="str">
        <f t="shared" si="62"/>
        <v>"C:\Program Files (x86)\AstroGrep\AstroGrep.exe" /e /r /s /spath="%USERPROFILE%\AppData\Local\Temp\OnboardLogs" /stypes="app*4024*20171119*" /stext=" 04:.+((SYSTEM_STATE.+slice.+state.+changed )|(ment ac)|(multiple cpu faults)|(system.+state.+changed )|(\[timeout)|(PRM\|1\|D)|(kpr)|(kdp)|(train st.+moving)|(\|lc)|(penalty))"</v>
      </c>
      <c r="AG139" s="181" t="str">
        <f t="shared" si="93"/>
        <v>EC</v>
      </c>
      <c r="AH139" s="78" t="str">
        <f t="shared" si="72"/>
        <v>"%USERPROFILE%\Documents\GitHub\eaglep3\Utilities\RefineRTDCRunTimes.py" --tripid 227-18 --locoid 4024 --swversion DE.1.0.9.0 --startMP 204:548 --initTime 2017-11-18T20:08:11 --startdatetime 2017-11-18T20:30:29 --delay 173 --endMP 204:233176 --enddatetime 2017-11-18T21:08:33 --enforcementcount 0 &gt;&gt;%USERPROFILE%\Documents\GitHub\eaglep3-reporting\EC\2017-11-18-refined-times.txt</v>
      </c>
      <c r="AI139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{"issue":{"subject":"","project_id":79,"tracker_id":40,"status_id":1,"priority_id":2,"assigned_to_id":338,"start_date":"2017-11-18","description":"","custom_fields":[{"id":1,"name":"Subdivision","value":"EC"},{"id":4,"name":"Milepost","value":"23.3176"},{"id":17,"name":"Train ID","value":"227-18"},{"id":16,"name":"Locomotive ID","value":"4024"},{"id":130,"name":"Impact","value":""},{"id":150,"name":"Time of Event (Mountain Time)","value":"21:08:33"},{"id":151,"name":"Denver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1" t="str">
        <f t="shared" si="74"/>
        <v>start /low /b %USERPROFILE%\Documents\GitHub\eaglep3\Utilities\DownloadLogsFromS3.py --loco 4024 --day 2017-11-18</v>
      </c>
      <c r="AN139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04:08:33"},{"id":29,"name":"Sharepoint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7" t="str">
        <f t="shared" si="76"/>
        <v>https://d0f6bd738d7f1b3e5a7ca70fe4ff75f0.us-east-1.aws.found.io/app/kibana#/discover/Steve-Slow-Train-Analysis-(2080s-and-2083s)?_g=(refreshInterval:(display:Off,pause:!f,section:0,value:0),time:(from:'2017-11-18T19:08:11-0700',mode:absolute,to:'2017-11-18T22:08:33-0700'))&amp;_a=(columns:!('Message%20ID',Summary),filters:!(),index:'emp_*',interval:auto,query:(query_string:(analyze_wildcard:!t,query:'%22rtdc.l.rtdc.4024%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884</v>
      </c>
      <c r="B140" s="7">
        <v>4023</v>
      </c>
      <c r="C140" s="21" t="s">
        <v>192</v>
      </c>
      <c r="D140" s="21" t="s">
        <v>553</v>
      </c>
      <c r="E140" s="13">
        <v>43057.884571759256</v>
      </c>
      <c r="F140" s="13">
        <v>43057.894155092596</v>
      </c>
      <c r="G140" s="7">
        <v>79</v>
      </c>
      <c r="H140" s="21" t="s">
        <v>443</v>
      </c>
      <c r="I140" s="13">
        <v>43057.920613425929</v>
      </c>
      <c r="J140" s="7">
        <v>0</v>
      </c>
      <c r="K140" s="89" t="str">
        <f t="shared" si="86"/>
        <v>4023/4024</v>
      </c>
      <c r="L140" s="184" t="str">
        <f>VLOOKUP(A140,'Trips&amp;Operators'!$C$1:$G$99911,5,FALSE)</f>
        <v>NICHOLSON WESLEY</v>
      </c>
      <c r="M140" s="6">
        <f t="shared" si="87"/>
        <v>2.6458333333721384E-2</v>
      </c>
      <c r="N140" s="7">
        <f t="shared" si="95"/>
        <v>38.100000000558794</v>
      </c>
      <c r="O140" s="7"/>
      <c r="P140" s="7"/>
      <c r="Q140" s="22"/>
      <c r="R140" s="173"/>
      <c r="S140" s="220">
        <f t="shared" si="88"/>
        <v>1</v>
      </c>
      <c r="T140" s="173" t="str">
        <f t="shared" si="89"/>
        <v>Southbound</v>
      </c>
      <c r="U140" s="19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5" t="str">
        <f t="shared" si="58"/>
        <v>https://d0f6bd738d7f1b3e5a7ca70fe4ff75f0.us-east-1.aws.found.io/app/kibana#/discover/Steve-Slow-Train-Analysis-(2080s-and-2083s)?_g=(refreshInterval:(display:Off,pause:!f,section:0,value:0),time:(from:'2017-11-18T20:13:47-0700',mode:absolute,to:'2017-11-18T23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0" s="203" t="str">
        <f>IF(AA140&lt;VLOOKUP(AG140,Variables!$AC$3:$AD$8,2,FALSE),"Y","N")</f>
        <v>N</v>
      </c>
      <c r="X140" s="203">
        <f t="shared" si="94"/>
        <v>1</v>
      </c>
      <c r="Y140" s="203">
        <f t="shared" si="84"/>
        <v>23.289200000000001</v>
      </c>
      <c r="Z140" s="203">
        <f t="shared" si="85"/>
        <v>2.07E-2</v>
      </c>
      <c r="AA140" s="203">
        <f t="shared" si="91"/>
        <v>23.2685</v>
      </c>
      <c r="AB140" s="54" t="e">
        <f>VLOOKUP(A140,Enforcements!$C$7:$K$9,8,0)</f>
        <v>#N/A</v>
      </c>
      <c r="AC140" s="51" t="e">
        <f>VLOOKUP(A140,Enforcements!$C$7:$E$9,3,0)</f>
        <v>#N/A</v>
      </c>
      <c r="AD140" s="178">
        <f t="shared" si="92"/>
        <v>228</v>
      </c>
      <c r="AE140" s="77" t="str">
        <f t="shared" si="61"/>
        <v>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 &amp; aws s3 cp s3://rtdc.mdm.uploadarchive.raw/RTDC4023/ "%USERPROFILE%\AppData\Local\Temp\OnboardLogs"\RTDC4023\2017-11-19 --exclude "*" --recursive --include "*20171119*" &amp; "%USERPROFILE%\Documents\GitHub\mrs-test-scripts\Headless Mode &amp; Sideloading\WalkAndUnGZ.bat" "%USERPROFILE%\AppData\Local\Temp\OnboardLogs"\RTDC4023\2017-11-19</v>
      </c>
      <c r="AF140" s="74" t="str">
        <f t="shared" si="62"/>
        <v>"C:\Program Files (x86)\AstroGrep\AstroGrep.exe" /e /r /s /spath="%USERPROFILE%\AppData\Local\Temp\OnboardLogs" /stypes="app*4023*20171119*" /stext=" 05:.+((SYSTEM_STATE.+slice.+state.+changed )|(ment ac)|(multiple cpu faults)|(system.+state.+changed )|(\[timeout)|(PRM\|1\|D)|(kpr)|(kdp)|(train st.+moving)|(\|lc)|(penalty))"</v>
      </c>
      <c r="AG140" s="181" t="str">
        <f t="shared" si="93"/>
        <v>EC</v>
      </c>
      <c r="AH140" s="78" t="str">
        <f t="shared" si="72"/>
        <v>"%USERPROFILE%\Documents\GitHub\eaglep3\Utilities\RefineRTDCRunTimes.py" --tripid 228-18 --locoid 4023 --swversion DE.1.0.9.0 --startMP 204:232892 --initTime 2017-11-18T21:13:47 --startdatetime 2017-11-18T21:27:35 --delay 79 --endMP 204:207 --enddatetime 2017-11-18T22:05:41 --enforcementcount 0 &gt;&gt;%USERPROFILE%\Documents\GitHub\eaglep3-reporting\EC\2017-11-18-refined-times.txt</v>
      </c>
      <c r="AI140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{"issue":{"subject":"","project_id":79,"tracker_id":40,"status_id":1,"priority_id":2,"assigned_to_id":338,"start_date":"2017-11-18","description":"","custom_fields":[{"id":1,"name":"Subdivision","value":"EC"},{"id":4,"name":"Milepost","value":"0.0207"},{"id":17,"name":"Train ID","value":"228-18"},{"id":16,"name":"Locomotive ID","value":"4023"},{"id":130,"name":"Impact","value":""},{"id":150,"name":"Time of Event (Mountain Time)","value":"22:05:41"},{"id":151,"name":"Denver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1" t="str">
        <f t="shared" si="74"/>
        <v>start /low /b %USERPROFILE%\Documents\GitHub\eaglep3\Utilities\DownloadLogsFromS3.py --loco 4023 --day 2017-11-18</v>
      </c>
      <c r="AN140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05:05:41"},{"id":29,"name":"Sharepoint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7" t="str">
        <f t="shared" si="76"/>
        <v>https://d0f6bd738d7f1b3e5a7ca70fe4ff75f0.us-east-1.aws.found.io/app/kibana#/discover/Steve-Slow-Train-Analysis-(2080s-and-2083s)?_g=(refreshInterval:(display:Off,pause:!f,section:0,value:0),time:(from:'2017-11-18T20:13:47-0700',mode:absolute,to:'2017-11-18T23:05:41-0700'))&amp;_a=(columns:!('Message%20ID',Summary),filters:!(),index:'emp_*',interval:auto,query:(query_string:(analyze_wildcard:!t,query:'%22rtdc.l.rtdc.4023%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881</v>
      </c>
      <c r="B141" s="7">
        <v>4008</v>
      </c>
      <c r="C141" s="21" t="s">
        <v>192</v>
      </c>
      <c r="D141" s="21" t="s">
        <v>645</v>
      </c>
      <c r="E141" s="13">
        <v>43057.86923611111</v>
      </c>
      <c r="F141" s="13">
        <v>43057.875324074077</v>
      </c>
      <c r="G141" s="7">
        <v>166</v>
      </c>
      <c r="H141" s="21" t="s">
        <v>505</v>
      </c>
      <c r="I141" s="13">
        <v>43057.900671296295</v>
      </c>
      <c r="J141" s="7">
        <v>0</v>
      </c>
      <c r="K141" s="89" t="str">
        <f t="shared" ref="K141:K172" si="96">IF(ISEVEN(B141),(B141-1)&amp;"/"&amp;B141,B141&amp;"/"&amp;(B141+1))</f>
        <v>4007/4008</v>
      </c>
      <c r="L141" s="184" t="str">
        <f>VLOOKUP(A141,'Trips&amp;Operators'!$C$1:$G$99911,5,FALSE)</f>
        <v>ZEWDU DEREJE</v>
      </c>
      <c r="M141" s="6">
        <f t="shared" ref="M141:M172" si="97">I141-F141</f>
        <v>2.5347222217533272E-2</v>
      </c>
      <c r="N141" s="7">
        <f t="shared" si="95"/>
        <v>36.499999993247911</v>
      </c>
      <c r="O141" s="7"/>
      <c r="P141" s="7"/>
      <c r="Q141" s="22"/>
      <c r="R141" s="173"/>
      <c r="S141" s="220">
        <f t="shared" ref="S141:S172" si="98">1/IF(AG141="EC",12,1)*SUM(U141:U141)</f>
        <v>1</v>
      </c>
      <c r="T141" s="173" t="str">
        <f t="shared" ref="T141:T172" si="99">IF(ISEVEN(LEFT(AD141,4)),"Southbound","NorthBound")</f>
        <v>NorthBound</v>
      </c>
      <c r="U141" s="19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5" t="str">
        <f t="shared" ref="V141:V204" si="100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-18T19:51:42-0700',mode:absolute,to:'2017-11-18T22:36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1" s="203" t="str">
        <f>IF(AA141&lt;VLOOKUP(AG141,Variables!$AC$3:$AD$8,2,FALSE),"Y","N")</f>
        <v>N</v>
      </c>
      <c r="X141" s="203">
        <f t="shared" si="94"/>
        <v>1</v>
      </c>
      <c r="Y141" s="203">
        <f t="shared" si="84"/>
        <v>5.3100000000000001E-2</v>
      </c>
      <c r="Z141" s="203">
        <f t="shared" si="85"/>
        <v>23.3293</v>
      </c>
      <c r="AA141" s="203">
        <f t="shared" ref="AA141:AA172" si="101">ABS(Z141-Y141)</f>
        <v>23.276199999999999</v>
      </c>
      <c r="AB141" s="54" t="e">
        <f>VLOOKUP(A141,Enforcements!$C$7:$K$9,8,0)</f>
        <v>#N/A</v>
      </c>
      <c r="AC141" s="51" t="e">
        <f>VLOOKUP(A141,Enforcements!$C$7:$E$9,3,0)</f>
        <v>#N/A</v>
      </c>
      <c r="AD141" s="178">
        <f t="shared" ref="AD141:AD172" si="102">VALUE(LEFT(A141,LEN(A141)-3))</f>
        <v>229</v>
      </c>
      <c r="AE141" s="77" t="str">
        <f t="shared" ref="AE141:AE204" si="103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s3://rtdc.mdm.uploadarchive.raw/RTDC4008/ "%USERPROFILE%\AppData\Local\Temp\OnboardLogs"\RTDC4008\2017-11-18 --exclude "*" --recursive --include "*20171118*" &amp; "%USERPROFILE%\Documents\GitHub\mrs-test-scripts\Headless Mode &amp; Sideloading\WalkAndUnGZ.bat" "%USERPROFILE%\AppData\Local\Temp\OnboardLogs"\RTDC4008\2017-11-18 &amp; aws s3 cp s3://rtdc.mdm.uploadarchive.raw/RTDC4008/ "%USERPROFILE%\AppData\Local\Temp\OnboardLogs"\RTDC4008\2017-11-19 --exclude "*" --recursive --include "*20171119*" &amp; "%USERPROFILE%\Documents\GitHub\mrs-test-scripts\Headless Mode &amp; Sideloading\WalkAndUnGZ.bat" "%USERPROFILE%\AppData\Local\Temp\OnboardLogs"\RTDC4008\2017-11-19</v>
      </c>
      <c r="AF141" s="74" t="str">
        <f t="shared" ref="AF141:AF204" si="104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/stypes="app*4008*20171119*" /stext=" 04:.+((SYSTEM_STATE.+slice.+state.+changed )|(ment ac)|(multiple cpu faults)|(system.+state.+changed )|(\[timeout)|(PRM\|1\|D)|(kpr)|(kdp)|(train st.+moving)|(\|lc)|(penalty))"</v>
      </c>
      <c r="AG141" s="181" t="str">
        <f t="shared" ref="AG141:AG172" si="105">DetSubdiv(A141)</f>
        <v>EC</v>
      </c>
      <c r="AH141" s="78" t="str">
        <f t="shared" si="72"/>
        <v>"%USERPROFILE%\Documents\GitHub\eaglep3\Utilities\RefineRTDCRunTimes.py" --tripid 229-18 --locoid 4008 --swversion DE.1.0.9.0 --startMP 204:531 --initTime 2017-11-18T20:51:42 --startdatetime 2017-11-18T21:00:28 --delay 166 --endMP 204:233293 --enddatetime 2017-11-18T21:36:58 --enforcementcount 0 &gt;&gt;%USERPROFILE%\Documents\GitHub\eaglep3-reporting\EC\2017-11-18-refined-times.txt</v>
      </c>
      <c r="AI141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{"issue":{"subject":"","project_id":79,"tracker_id":40,"status_id":1,"priority_id":2,"assigned_to_id":338,"start_date":"2017-11-18","description":"","custom_fields":[{"id":1,"name":"Subdivision","value":"EC"},{"id":4,"name":"Milepost","value":"23.3293"},{"id":17,"name":"Train ID","value":"229-18"},{"id":16,"name":"Locomotive ID","value":"4008"},{"id":130,"name":"Impact","value":""},{"id":150,"name":"Time of Event (Mountain Time)","value":"21:36:58"},{"id":151,"name":"Denver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1" t="str">
        <f t="shared" si="74"/>
        <v>start /low /b %USERPROFILE%\Documents\GitHub\eaglep3\Utilities\DownloadLogsFromS3.py --loco 4008 --day 2017-11-18</v>
      </c>
      <c r="AN141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04:36:58"},{"id":29,"name":"Sharepoint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7" t="str">
        <f t="shared" si="76"/>
        <v>https://d0f6bd738d7f1b3e5a7ca70fe4ff75f0.us-east-1.aws.found.io/app/kibana#/discover/Steve-Slow-Train-Analysis-(2080s-and-2083s)?_g=(refreshInterval:(display:Off,pause:!f,section:0,value:0),time:(from:'2017-11-18T19:51:42-0700',mode:absolute,to:'2017-11-18T22:36:58-0700'))&amp;_a=(columns:!('Message%20ID',Summary),filters:!(),index:'emp_*',interval:auto,query:(query_string:(analyze_wildcard:!t,query:'%22rtdc.l.rtdc.4008%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886</v>
      </c>
      <c r="B142" s="7">
        <v>4007</v>
      </c>
      <c r="C142" s="21" t="s">
        <v>192</v>
      </c>
      <c r="D142" s="21" t="s">
        <v>940</v>
      </c>
      <c r="E142" s="13">
        <v>43057.912210648145</v>
      </c>
      <c r="F142" s="13">
        <v>43057.914768518516</v>
      </c>
      <c r="G142" s="7">
        <v>100</v>
      </c>
      <c r="H142" s="21" t="s">
        <v>957</v>
      </c>
      <c r="I142" s="13">
        <v>43057.940324074072</v>
      </c>
      <c r="J142" s="7">
        <v>0</v>
      </c>
      <c r="K142" s="89" t="str">
        <f t="shared" si="96"/>
        <v>4007/4008</v>
      </c>
      <c r="L142" s="184" t="str">
        <f>VLOOKUP(A142,'Trips&amp;Operators'!$C$1:$G$99911,5,FALSE)</f>
        <v>ZEWDU DEREJE</v>
      </c>
      <c r="M142" s="6">
        <f t="shared" si="97"/>
        <v>2.5555555555911269E-2</v>
      </c>
      <c r="N142" s="7">
        <f t="shared" si="95"/>
        <v>36.800000000512227</v>
      </c>
      <c r="O142" s="7"/>
      <c r="P142" s="7"/>
      <c r="Q142" s="22"/>
      <c r="R142" s="173"/>
      <c r="S142" s="220">
        <f t="shared" si="98"/>
        <v>1</v>
      </c>
      <c r="T142" s="173" t="str">
        <f t="shared" si="99"/>
        <v>Southbound</v>
      </c>
      <c r="U142" s="19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5" t="str">
        <f t="shared" si="100"/>
        <v>https://d0f6bd738d7f1b3e5a7ca70fe4ff75f0.us-east-1.aws.found.io/app/kibana#/discover/Steve-Slow-Train-Analysis-(2080s-and-2083s)?_g=(refreshInterval:(display:Off,pause:!f,section:0,value:0),time:(from:'2017-11-18T20:53:35-0700',mode:absolute,to:'2017-11-18T23:34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2" s="203" t="str">
        <f>IF(AA142&lt;VLOOKUP(AG142,Variables!$AC$3:$AD$8,2,FALSE),"Y","N")</f>
        <v>N</v>
      </c>
      <c r="X142" s="203">
        <f t="shared" si="94"/>
        <v>1</v>
      </c>
      <c r="Y142" s="203">
        <f t="shared" si="84"/>
        <v>23.295500000000001</v>
      </c>
      <c r="Z142" s="203">
        <f t="shared" si="85"/>
        <v>2.5399999999999999E-2</v>
      </c>
      <c r="AA142" s="203">
        <f t="shared" si="101"/>
        <v>23.270099999999999</v>
      </c>
      <c r="AB142" s="54" t="e">
        <f>VLOOKUP(A142,Enforcements!$C$7:$K$9,8,0)</f>
        <v>#N/A</v>
      </c>
      <c r="AC142" s="51" t="e">
        <f>VLOOKUP(A142,Enforcements!$C$7:$E$9,3,0)</f>
        <v>#N/A</v>
      </c>
      <c r="AD142" s="178">
        <f t="shared" si="102"/>
        <v>230</v>
      </c>
      <c r="AE142" s="77" t="str">
        <f t="shared" si="103"/>
        <v>aws s3 cp s3://rtdc.mdm.uploadarchive.raw/RTDC4007/ "%USERPROFILE%\AppData\Local\Temp\OnboardLogs"\RTDC4007\2017-11-18 --exclude "*" --recursive --include "*20171118*" &amp; "%USERPROFILE%\Documents\GitHub\mrs-test-scripts\Headless Mode &amp; Sideloading\WalkAndUnGZ.bat" "%USERPROFILE%\AppData\Local\Temp\OnboardLogs"\RTDC4007\2017-11-18 &amp; aws s3 cp s3://rtdc.mdm.uploadarchive.raw/RTDC4007/ "%USERPROFILE%\AppData\Local\Temp\OnboardLogs"\RTDC4007\2017-11-19 --exclude "*" --recursive --include "*20171119*" &amp; "%USERPROFILE%\Documents\GitHub\mrs-test-scripts\Headless Mode &amp; Sideloading\WalkAndUnGZ.bat" "%USERPROFILE%\AppData\Local\Temp\OnboardLogs"\RTDC4007\2017-11-19</v>
      </c>
      <c r="AF142" s="74" t="str">
        <f t="shared" si="104"/>
        <v>"C:\Program Files (x86)\AstroGrep\AstroGrep.exe" /e /r /s /spath="%USERPROFILE%\AppData\Local\Temp\OnboardLogs" /stypes="app*4007*20171119*" /stext=" 05:.+((SYSTEM_STATE.+slice.+state.+changed )|(ment ac)|(multiple cpu faults)|(system.+state.+changed )|(\[timeout)|(PRM\|1\|D)|(kpr)|(kdp)|(train st.+moving)|(\|lc)|(penalty))"</v>
      </c>
      <c r="AG142" s="181" t="str">
        <f t="shared" si="105"/>
        <v>EC</v>
      </c>
      <c r="AH142" s="78" t="str">
        <f t="shared" si="72"/>
        <v>"%USERPROFILE%\Documents\GitHub\eaglep3\Utilities\RefineRTDCRunTimes.py" --tripid 230-18 --locoid 4007 --swversion DE.1.0.9.0 --startMP 204:232955 --initTime 2017-11-18T21:53:35 --startdatetime 2017-11-18T21:57:16 --delay 100 --endMP 204:254 --enddatetime 2017-11-18T22:34:04 --enforcementcount 0 &gt;&gt;%USERPROFILE%\Documents\GitHub\eaglep3-reporting\EC\2017-11-18-refined-times.txt</v>
      </c>
      <c r="AI142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{"issue":{"subject":"","project_id":79,"tracker_id":40,"status_id":1,"priority_id":2,"assigned_to_id":338,"start_date":"2017-11-18","description":"","custom_fields":[{"id":1,"name":"Subdivision","value":"EC"},{"id":4,"name":"Milepost","value":"0.0254"},{"id":17,"name":"Train ID","value":"230-18"},{"id":16,"name":"Locomotive ID","value":"4007"},{"id":130,"name":"Impact","value":""},{"id":150,"name":"Time of Event (Mountain Time)","value":"22:34:04"},{"id":151,"name":"Denver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1" t="str">
        <f t="shared" si="74"/>
        <v>start /low /b %USERPROFILE%\Documents\GitHub\eaglep3\Utilities\DownloadLogsFromS3.py --loco 4007 --day 2017-11-18</v>
      </c>
      <c r="AN142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05:34:04"},{"id":29,"name":"Sharepoint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7" t="str">
        <f t="shared" si="76"/>
        <v>https://d0f6bd738d7f1b3e5a7ca70fe4ff75f0.us-east-1.aws.found.io/app/kibana#/discover/Steve-Slow-Train-Analysis-(2080s-and-2083s)?_g=(refreshInterval:(display:Off,pause:!f,section:0,value:0),time:(from:'2017-11-18T20:53:35-0700',mode:absolute,to:'2017-11-18T23:34:04-0700'))&amp;_a=(columns:!('Message%20ID',Summary),filters:!(),index:'emp_*',interval:auto,query:(query_string:(analyze_wildcard:!t,query:'%22rtdc.l.rtdc.4007%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883</v>
      </c>
      <c r="B143" s="7">
        <v>4004</v>
      </c>
      <c r="C143" s="21" t="s">
        <v>192</v>
      </c>
      <c r="D143" s="21" t="s">
        <v>641</v>
      </c>
      <c r="E143" s="13">
        <v>43057.879710648151</v>
      </c>
      <c r="F143" s="13">
        <v>43057.895983796298</v>
      </c>
      <c r="G143" s="7">
        <v>47</v>
      </c>
      <c r="H143" s="21" t="s">
        <v>1020</v>
      </c>
      <c r="I143" s="13">
        <v>43057.921134259261</v>
      </c>
      <c r="J143" s="7">
        <v>0</v>
      </c>
      <c r="K143" s="89" t="str">
        <f t="shared" si="96"/>
        <v>4003/4004</v>
      </c>
      <c r="L143" s="184" t="str">
        <f>VLOOKUP(A143,'Trips&amp;Operators'!$C$1:$G$99911,5,FALSE)</f>
        <v>FORTUNATO FRANK</v>
      </c>
      <c r="M143" s="6">
        <f t="shared" si="97"/>
        <v>2.5150462963210884E-2</v>
      </c>
      <c r="N143" s="7">
        <f t="shared" si="95"/>
        <v>36.216666667023674</v>
      </c>
      <c r="O143" s="7"/>
      <c r="P143" s="7"/>
      <c r="Q143" s="22"/>
      <c r="R143" s="173"/>
      <c r="S143" s="220">
        <f t="shared" si="98"/>
        <v>1</v>
      </c>
      <c r="T143" s="173" t="str">
        <f t="shared" si="99"/>
        <v>NorthBound</v>
      </c>
      <c r="U143" s="19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5" t="str">
        <f t="shared" si="100"/>
        <v>https://d0f6bd738d7f1b3e5a7ca70fe4ff75f0.us-east-1.aws.found.io/app/kibana#/discover/Steve-Slow-Train-Analysis-(2080s-and-2083s)?_g=(refreshInterval:(display:Off,pause:!f,section:0,value:0),time:(from:'2017-11-18T20:06:47-0700',mode:absolute,to:'2017-11-18T23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3" s="203" t="str">
        <f>IF(AA143&lt;VLOOKUP(AG143,Variables!$AC$3:$AD$8,2,FALSE),"Y","N")</f>
        <v>N</v>
      </c>
      <c r="X143" s="203">
        <f t="shared" si="94"/>
        <v>1</v>
      </c>
      <c r="Y143" s="203">
        <f t="shared" si="84"/>
        <v>5.11E-2</v>
      </c>
      <c r="Z143" s="203">
        <f t="shared" si="85"/>
        <v>23.3188</v>
      </c>
      <c r="AA143" s="203">
        <f t="shared" si="101"/>
        <v>23.267699999999998</v>
      </c>
      <c r="AB143" s="54" t="e">
        <f>VLOOKUP(A143,Enforcements!$C$7:$K$9,8,0)</f>
        <v>#N/A</v>
      </c>
      <c r="AC143" s="51" t="e">
        <f>VLOOKUP(A143,Enforcements!$C$7:$E$9,3,0)</f>
        <v>#N/A</v>
      </c>
      <c r="AD143" s="178">
        <f t="shared" si="102"/>
        <v>231</v>
      </c>
      <c r="AE143" s="77" t="str">
        <f t="shared" si="103"/>
        <v>aws s3 cp s3://rtdc.mdm.uploadarchive.raw/RTDC4004/ "%USERPROFILE%\AppData\Local\Temp\OnboardLogs"\RTDC4004\2017-11-18 --exclude "*" --recursive --include "*20171118*" &amp; "%USERPROFILE%\Documents\GitHub\mrs-test-scripts\Headless Mode &amp; Sideloading\WalkAndUnGZ.bat" "%USERPROFILE%\AppData\Local\Temp\OnboardLogs"\RTDC4004\2017-11-18 &amp; aws s3 cp s3://rtdc.mdm.uploadarchive.raw/RTDC4004/ "%USERPROFILE%\AppData\Local\Temp\OnboardLogs"\RTDC4004\2017-11-19 --exclude "*" --recursive --include "*20171119*" &amp; "%USERPROFILE%\Documents\GitHub\mrs-test-scripts\Headless Mode &amp; Sideloading\WalkAndUnGZ.bat" "%USERPROFILE%\AppData\Local\Temp\OnboardLogs"\RTDC4004\2017-11-19</v>
      </c>
      <c r="AF143" s="74" t="str">
        <f t="shared" si="104"/>
        <v>"C:\Program Files (x86)\AstroGrep\AstroGrep.exe" /e /r /s /spath="%USERPROFILE%\AppData\Local\Temp\OnboardLogs" /stypes="app*4004*20171119*" /stext=" 05:.+((SYSTEM_STATE.+slice.+state.+changed )|(ment ac)|(multiple cpu faults)|(system.+state.+changed )|(\[timeout)|(PRM\|1\|D)|(kpr)|(kdp)|(train st.+moving)|(\|lc)|(penalty))"</v>
      </c>
      <c r="AG143" s="181" t="str">
        <f t="shared" si="105"/>
        <v>EC</v>
      </c>
      <c r="AH143" s="78" t="str">
        <f t="shared" si="72"/>
        <v>"%USERPROFILE%\Documents\GitHub\eaglep3\Utilities\RefineRTDCRunTimes.py" --tripid 231-18 --locoid 4004 --swversion DE.1.0.9.0 --startMP 204:511 --initTime 2017-11-18T21:06:47 --startdatetime 2017-11-18T21:30:13 --delay 47 --endMP 204:233188 --enddatetime 2017-11-18T22:06:26 --enforcementcount 0 &gt;&gt;%USERPROFILE%\Documents\GitHub\eaglep3-reporting\EC\2017-11-18-refined-times.txt</v>
      </c>
      <c r="AI143" s="96" t="str">
        <f t="shared" si="73"/>
        <v>echo {"issue":{"subject":"","project_id":79,"tracker_id":40,"status_id":1,"priority_id":2,"assigned_to_id":338,"start_date":"2017-11-18","description":"","custom_fields":[{"id":1,"name":"Subdivision","value":"EC"},{"id":4,"name":"Milepost","value":"23.3188"},{"id":17,"name":"Train ID","value":"231-18"},{"id":16,"name":"Locomotive ID","value":"4004"},{"id":130,"name":"Impact","value":""},{"id":150,"name":"Time of Event (Mountain Time)","value":"22:06:26"},{"id":151,"name":"Denver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1" t="str">
        <f t="shared" si="74"/>
        <v>start /low /b %USERPROFILE%\Documents\GitHub\eaglep3\Utilities\DownloadLogsFromS3.py --loco 4004 --day 2017-11-18</v>
      </c>
      <c r="AN143" s="150" t="str">
        <f t="shared" si="7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05:06:26"},{"id":29,"name":"Sharepoint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7" t="str">
        <f t="shared" si="76"/>
        <v>https://d0f6bd738d7f1b3e5a7ca70fe4ff75f0.us-east-1.aws.found.io/app/kibana#/discover/Steve-Slow-Train-Analysis-(2080s-and-2083s)?_g=(refreshInterval:(display:Off,pause:!f,section:0,value:0),time:(from:'2017-11-18T20:06:47-0700',mode:absolute,to:'2017-11-18T23:06:26-0700'))&amp;_a=(columns:!('Message%20ID',Summary),filters:!(),index:'emp_*',interval:auto,query:(query_string:(analyze_wildcard:!t,query:'%22rtdc.l.rtdc.4004%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888</v>
      </c>
      <c r="B144" s="7">
        <v>4003</v>
      </c>
      <c r="C144" s="21" t="s">
        <v>192</v>
      </c>
      <c r="D144" s="21" t="s">
        <v>1021</v>
      </c>
      <c r="E144" s="13">
        <v>43057.922430555554</v>
      </c>
      <c r="F144" s="13">
        <v>43057.93582175926</v>
      </c>
      <c r="G144" s="7">
        <v>50</v>
      </c>
      <c r="H144" s="21" t="s">
        <v>556</v>
      </c>
      <c r="I144" s="13">
        <v>43057.96197916667</v>
      </c>
      <c r="J144" s="7">
        <v>0</v>
      </c>
      <c r="K144" s="89" t="str">
        <f t="shared" si="96"/>
        <v>4003/4004</v>
      </c>
      <c r="L144" s="184" t="str">
        <f>VLOOKUP(A144,'Trips&amp;Operators'!$C$1:$G$99911,5,FALSE)</f>
        <v>FORTUNATO FRANK</v>
      </c>
      <c r="M144" s="6">
        <f t="shared" si="97"/>
        <v>2.6157407410209998E-2</v>
      </c>
      <c r="N144" s="7">
        <f t="shared" si="95"/>
        <v>37.666666670702398</v>
      </c>
      <c r="O144" s="7"/>
      <c r="P144" s="7"/>
      <c r="Q144" s="22"/>
      <c r="R144" s="173"/>
      <c r="S144" s="220">
        <f t="shared" si="98"/>
        <v>1</v>
      </c>
      <c r="T144" s="173" t="str">
        <f t="shared" si="99"/>
        <v>Southbound</v>
      </c>
      <c r="U144" s="19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5" t="str">
        <f t="shared" si="100"/>
        <v>https://d0f6bd738d7f1b3e5a7ca70fe4ff75f0.us-east-1.aws.found.io/app/kibana#/discover/Steve-Slow-Train-Analysis-(2080s-and-2083s)?_g=(refreshInterval:(display:Off,pause:!f,section:0,value:0),time:(from:'2017-11-18T21:08:18-0700',mode:absolute,to:'2017-11-19T00:05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4" s="203" t="str">
        <f>IF(AA144&lt;VLOOKUP(AG144,Variables!$AC$3:$AD$8,2,FALSE),"Y","N")</f>
        <v>N</v>
      </c>
      <c r="X144" s="203">
        <f t="shared" si="94"/>
        <v>1</v>
      </c>
      <c r="Y144" s="203">
        <f t="shared" si="84"/>
        <v>23.286899999999999</v>
      </c>
      <c r="Z144" s="203">
        <f t="shared" si="85"/>
        <v>2.1399999999999999E-2</v>
      </c>
      <c r="AA144" s="203">
        <f t="shared" si="101"/>
        <v>23.265499999999999</v>
      </c>
      <c r="AB144" s="54" t="e">
        <f>VLOOKUP(A144,Enforcements!$C$7:$K$9,8,0)</f>
        <v>#N/A</v>
      </c>
      <c r="AC144" s="51" t="e">
        <f>VLOOKUP(A144,Enforcements!$C$7:$E$9,3,0)</f>
        <v>#N/A</v>
      </c>
      <c r="AD144" s="178">
        <f t="shared" si="102"/>
        <v>232</v>
      </c>
      <c r="AE144" s="77" t="str">
        <f t="shared" si="103"/>
        <v>aws s3 cp s3://rtdc.mdm.uploadarchive.raw/RTDC4003/ "%USERPROFILE%\AppData\Local\Temp\OnboardLogs"\RTDC4003\2017-11-18 --exclude "*" --recursive --include "*20171118*" &amp; "%USERPROFILE%\Documents\GitHub\mrs-test-scripts\Headless Mode &amp; Sideloading\WalkAndUnGZ.bat" "%USERPROFILE%\AppData\Local\Temp\OnboardLogs"\RTDC4003\2017-11-18 &amp; aws s3 cp s3://rtdc.mdm.uploadarchive.raw/RTDC4003/ "%USERPROFILE%\AppData\Local\Temp\OnboardLogs"\RTDC4003\2017-11-19 --exclude "*" --recursive --include "*20171119*" &amp; "%USERPROFILE%\Documents\GitHub\mrs-test-scripts\Headless Mode &amp; Sideloading\WalkAndUnGZ.bat" "%USERPROFILE%\AppData\Local\Temp\OnboardLogs"\RTDC4003\2017-11-19</v>
      </c>
      <c r="AF144" s="74" t="str">
        <f t="shared" si="104"/>
        <v>"C:\Program Files (x86)\AstroGrep\AstroGrep.exe" /e /r /s /spath="%USERPROFILE%\AppData\Local\Temp\OnboardLogs" /stypes="app*4003*20171119*" /stext=" 06:.+((SYSTEM_STATE.+slice.+state.+changed )|(ment ac)|(multiple cpu faults)|(system.+state.+changed )|(\[timeout)|(PRM\|1\|D)|(kpr)|(kdp)|(train st.+moving)|(\|lc)|(penalty))"</v>
      </c>
      <c r="AG144" s="181" t="str">
        <f t="shared" si="105"/>
        <v>EC</v>
      </c>
      <c r="AH144" s="78" t="str">
        <f t="shared" ref="AH144:AH213" si="106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232-18 --locoid 4003 --swversion DE.1.0.9.0 --startMP 204:232869 --initTime 2017-11-18T22:08:18 --startdatetime 2017-11-18T22:27:35 --delay 50 --endMP 204:214 --enddatetime 2017-11-18T23:05:15 --enforcementcount 0 &gt;&gt;%USERPROFILE%\Documents\GitHub\eaglep3-reporting\EC\2017-11-18-refined-times.txt</v>
      </c>
      <c r="AI144" s="96" t="str">
        <f t="shared" ref="AI144:AI213" si="107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{"issue":{"subject":"","project_id":79,"tracker_id":40,"status_id":1,"priority_id":2,"assigned_to_id":338,"start_date":"2017-11-18","description":"","custom_fields":[{"id":1,"name":"Subdivision","value":"EC"},{"id":4,"name":"Milepost","value":"0.0214"},{"id":17,"name":"Train ID","value":"232-18"},{"id":16,"name":"Locomotive ID","value":"4003"},{"id":130,"name":"Impact","value":""},{"id":150,"name":"Time of Event (Mountain Time)","value":"23:05:15"},{"id":151,"name":"Denver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1" t="str">
        <f t="shared" ref="AM144:AM213" si="108">"start /low /b "&amp;dls3logs&amp;" --loco "&amp;B144&amp;" --day "&amp;TEXT(F144,"YYYY-MM-DD")</f>
        <v>start /low /b %USERPROFILE%\Documents\GitHub\eaglep3\Utilities\DownloadLogsFromS3.py --loco 4003 --day 2017-11-18</v>
      </c>
      <c r="AN144" s="150" t="str">
        <f t="shared" ref="AN144:AN213" si="109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06:05:15"},{"id":29,"name":"Sharepoint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7" t="str">
        <f t="shared" ref="AO144:AO213" si="110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-11-18T21:08:18-0700',mode:absolute,to:'2017-11-19T00:05:15-0700'))&amp;_a=(columns:!('Message%20ID',Summary),filters:!(),index:'emp_*',interval:auto,query:(query_string:(analyze_wildcard:!t,query:'%22rtdc.l.rtdc.4003%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695</v>
      </c>
      <c r="B145" s="7">
        <v>4018</v>
      </c>
      <c r="C145" s="21" t="s">
        <v>192</v>
      </c>
      <c r="D145" s="21" t="s">
        <v>1022</v>
      </c>
      <c r="E145" s="13">
        <v>43057.901145833333</v>
      </c>
      <c r="F145" s="13">
        <v>43057.916817129626</v>
      </c>
      <c r="G145" s="7">
        <v>58</v>
      </c>
      <c r="H145" s="21" t="s">
        <v>1023</v>
      </c>
      <c r="I145" s="13">
        <v>43057.942094907405</v>
      </c>
      <c r="J145" s="7">
        <v>0</v>
      </c>
      <c r="K145" s="89" t="str">
        <f t="shared" si="96"/>
        <v>4017/4018</v>
      </c>
      <c r="L145" s="184" t="str">
        <f>VLOOKUP(A145,'Trips&amp;Operators'!$C$1:$G$99911,5,FALSE)</f>
        <v>ELBAUM MIKE</v>
      </c>
      <c r="M145" s="6">
        <f t="shared" si="97"/>
        <v>2.527777777868323E-2</v>
      </c>
      <c r="N145" s="7">
        <f t="shared" si="95"/>
        <v>36.400000001303852</v>
      </c>
      <c r="O145" s="7"/>
      <c r="P145" s="7"/>
      <c r="Q145" s="22"/>
      <c r="R145" s="173"/>
      <c r="S145" s="220">
        <f t="shared" si="98"/>
        <v>1</v>
      </c>
      <c r="T145" s="173" t="str">
        <f t="shared" si="99"/>
        <v>NorthBound</v>
      </c>
      <c r="U145" s="19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5" t="str">
        <f t="shared" si="100"/>
        <v>https://d0f6bd738d7f1b3e5a7ca70fe4ff75f0.us-east-1.aws.found.io/app/kibana#/discover/Steve-Slow-Train-Analysis-(2080s-and-2083s)?_g=(refreshInterval:(display:Off,pause:!f,section:0,value:0),time:(from:'2017-11-18T20:37:39-0700',mode:absolute,to:'2017-11-18T23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5" s="203" t="str">
        <f>IF(AA145&lt;VLOOKUP(AG145,Variables!$AC$3:$AD$8,2,FALSE),"Y","N")</f>
        <v>N</v>
      </c>
      <c r="X145" s="203">
        <f t="shared" ref="X145:X170" si="111">VALUE(LEFT(AD145,4))-VALUE(LEFT(AD144,4))</f>
        <v>1</v>
      </c>
      <c r="Y145" s="203">
        <f t="shared" si="84"/>
        <v>5.6000000000000001E-2</v>
      </c>
      <c r="Z145" s="203">
        <f t="shared" si="85"/>
        <v>23.327400000000001</v>
      </c>
      <c r="AA145" s="203">
        <f t="shared" si="101"/>
        <v>23.2714</v>
      </c>
      <c r="AB145" s="54" t="e">
        <f>VLOOKUP(A145,Enforcements!$C$7:$K$9,8,0)</f>
        <v>#N/A</v>
      </c>
      <c r="AC145" s="51" t="e">
        <f>VLOOKUP(A145,Enforcements!$C$7:$E$9,3,0)</f>
        <v>#N/A</v>
      </c>
      <c r="AD145" s="178">
        <f t="shared" si="102"/>
        <v>233</v>
      </c>
      <c r="AE145" s="77" t="str">
        <f t="shared" si="103"/>
        <v>aws s3 cp s3://rtdc.mdm.uploadarchive.raw/RTDC4018/ "%USERPROFILE%\AppData\Local\Temp\OnboardLogs"\RTDC4018\2017-11-18 --exclude "*" --recursive --include "*20171118*" &amp; "%USERPROFILE%\Documents\GitHub\mrs-test-scripts\Headless Mode &amp; Sideloading\WalkAndUnGZ.bat" "%USERPROFILE%\AppData\Local\Temp\OnboardLogs"\RTDC4018\2017-11-18 &amp; aws s3 cp s3://rtdc.mdm.uploadarchive.raw/RTDC4018/ "%USERPROFILE%\AppData\Local\Temp\OnboardLogs"\RTDC4018\2017-11-19 --exclude "*" --recursive --include "*20171119*" &amp; "%USERPROFILE%\Documents\GitHub\mrs-test-scripts\Headless Mode &amp; Sideloading\WalkAndUnGZ.bat" "%USERPROFILE%\AppData\Local\Temp\OnboardLogs"\RTDC4018\2017-11-19</v>
      </c>
      <c r="AF145" s="74" t="str">
        <f t="shared" si="104"/>
        <v>"C:\Program Files (x86)\AstroGrep\AstroGrep.exe" /e /r /s /spath="%USERPROFILE%\AppData\Local\Temp\OnboardLogs" /stypes="app*4018*20171119*" /stext=" 05:.+((SYSTEM_STATE.+slice.+state.+changed )|(ment ac)|(multiple cpu faults)|(system.+state.+changed )|(\[timeout)|(PRM\|1\|D)|(kpr)|(kdp)|(train st.+moving)|(\|lc)|(penalty))"</v>
      </c>
      <c r="AG145" s="181" t="str">
        <f t="shared" si="105"/>
        <v>EC</v>
      </c>
      <c r="AH145" s="78" t="str">
        <f t="shared" si="106"/>
        <v>"%USERPROFILE%\Documents\GitHub\eaglep3\Utilities\RefineRTDCRunTimes.py" --tripid 233-18 --locoid 4018 --swversion DE.1.0.9.0 --startMP 204:560 --initTime 2017-11-18T21:37:39 --startdatetime 2017-11-18T22:00:13 --delay 58 --endMP 204:233274 --enddatetime 2017-11-18T22:36:37 --enforcementcount 0 &gt;&gt;%USERPROFILE%\Documents\GitHub\eaglep3-reporting\EC\2017-11-18-refined-times.txt</v>
      </c>
      <c r="AI145" s="96" t="str">
        <f t="shared" si="107"/>
        <v>echo {"issue":{"subject":"","project_id":79,"tracker_id":40,"status_id":1,"priority_id":2,"assigned_to_id":338,"start_date":"2017-11-18","description":"","custom_fields":[{"id":1,"name":"Subdivision","value":"EC"},{"id":4,"name":"Milepost","value":"23.3274"},{"id":17,"name":"Train ID","value":"233-18"},{"id":16,"name":"Locomotive ID","value":"4018"},{"id":130,"name":"Impact","value":""},{"id":150,"name":"Time of Event (Mountain Time)","value":"22:36:37"},{"id":151,"name":"Denver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1" t="str">
        <f t="shared" si="108"/>
        <v>start /low /b %USERPROFILE%\Documents\GitHub\eaglep3\Utilities\DownloadLogsFromS3.py --loco 4018 --day 2017-11-18</v>
      </c>
      <c r="AN145" s="150" t="str">
        <f t="shared" si="109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05:36:37"},{"id":29,"name":"Sharepoint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7" t="str">
        <f t="shared" si="110"/>
        <v>https://d0f6bd738d7f1b3e5a7ca70fe4ff75f0.us-east-1.aws.found.io/app/kibana#/discover/Steve-Slow-Train-Analysis-(2080s-and-2083s)?_g=(refreshInterval:(display:Off,pause:!f,section:0,value:0),time:(from:'2017-11-18T20:37:39-0700',mode:absolute,to:'2017-11-18T23:36:37-0700'))&amp;_a=(columns:!('Message%20ID',Summary),filters:!(),index:'emp_*',interval:auto,query:(query_string:(analyze_wildcard:!t,query:'%22rtdc.l.rtdc.4018%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890</v>
      </c>
      <c r="B146" s="7">
        <v>4017</v>
      </c>
      <c r="C146" s="21" t="s">
        <v>192</v>
      </c>
      <c r="D146" s="21" t="s">
        <v>640</v>
      </c>
      <c r="E146" s="13">
        <v>43057.945844907408</v>
      </c>
      <c r="F146" s="13">
        <v>43057.956388888888</v>
      </c>
      <c r="G146" s="7">
        <v>50</v>
      </c>
      <c r="H146" s="21" t="s">
        <v>1014</v>
      </c>
      <c r="I146" s="13">
        <v>43057.981956018521</v>
      </c>
      <c r="J146" s="7">
        <v>0</v>
      </c>
      <c r="K146" s="89" t="str">
        <f t="shared" si="96"/>
        <v>4017/4018</v>
      </c>
      <c r="L146" s="184" t="str">
        <f>VLOOKUP(A146,'Trips&amp;Operators'!$C$1:$G$99911,5,FALSE)</f>
        <v>ELBAUM MIKE</v>
      </c>
      <c r="M146" s="6">
        <f t="shared" si="97"/>
        <v>2.5567129632690921E-2</v>
      </c>
      <c r="N146" s="7">
        <f t="shared" si="95"/>
        <v>36.816666671074927</v>
      </c>
      <c r="O146" s="7"/>
      <c r="P146" s="7"/>
      <c r="Q146" s="22"/>
      <c r="R146" s="173"/>
      <c r="S146" s="220">
        <f t="shared" si="98"/>
        <v>1</v>
      </c>
      <c r="T146" s="173" t="str">
        <f t="shared" si="99"/>
        <v>Southbound</v>
      </c>
      <c r="U146" s="19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5" t="str">
        <f t="shared" si="100"/>
        <v>https://d0f6bd738d7f1b3e5a7ca70fe4ff75f0.us-east-1.aws.found.io/app/kibana#/discover/Steve-Slow-Train-Analysis-(2080s-and-2083s)?_g=(refreshInterval:(display:Off,pause:!f,section:0,value:0),time:(from:'2017-11-18T21:42:01-0700',mode:absolute,to:'2017-11-19T00:34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6" s="203" t="str">
        <f>IF(AA146&lt;VLOOKUP(AG146,Variables!$AC$3:$AD$8,2,FALSE),"Y","N")</f>
        <v>N</v>
      </c>
      <c r="X146" s="203">
        <f t="shared" si="111"/>
        <v>1</v>
      </c>
      <c r="Y146" s="203">
        <f t="shared" si="84"/>
        <v>23.294699999999999</v>
      </c>
      <c r="Z146" s="203">
        <f t="shared" si="85"/>
        <v>2.63E-2</v>
      </c>
      <c r="AA146" s="203">
        <f t="shared" si="101"/>
        <v>23.2684</v>
      </c>
      <c r="AB146" s="54" t="e">
        <f>VLOOKUP(A146,Enforcements!$C$7:$K$9,8,0)</f>
        <v>#N/A</v>
      </c>
      <c r="AC146" s="51" t="e">
        <f>VLOOKUP(A146,Enforcements!$C$7:$E$9,3,0)</f>
        <v>#N/A</v>
      </c>
      <c r="AD146" s="178">
        <f t="shared" si="102"/>
        <v>234</v>
      </c>
      <c r="AE146" s="77" t="str">
        <f t="shared" si="103"/>
        <v>aws s3 cp s3://rtdc.mdm.uploadarchive.raw/RTDC4017/ "%USERPROFILE%\AppData\Local\Temp\OnboardLogs"\RTDC4017\2017-11-18 --exclude "*" --recursive --include "*20171118*" &amp; "%USERPROFILE%\Documents\GitHub\mrs-test-scripts\Headless Mode &amp; Sideloading\WalkAndUnGZ.bat" "%USERPROFILE%\AppData\Local\Temp\OnboardLogs"\RTDC4017\2017-11-18 &amp; aws s3 cp s3://rtdc.mdm.uploadarchive.raw/RTDC4017/ "%USERPROFILE%\AppData\Local\Temp\OnboardLogs"\RTDC4017\2017-11-19 --exclude "*" --recursive --include "*20171119*" &amp; "%USERPROFILE%\Documents\GitHub\mrs-test-scripts\Headless Mode &amp; Sideloading\WalkAndUnGZ.bat" "%USERPROFILE%\AppData\Local\Temp\OnboardLogs"\RTDC4017\2017-11-19</v>
      </c>
      <c r="AF146" s="74" t="str">
        <f t="shared" si="104"/>
        <v>"C:\Program Files (x86)\AstroGrep\AstroGrep.exe" /e /r /s /spath="%USERPROFILE%\AppData\Local\Temp\OnboardLogs" /stypes="app*4017*20171119*" /stext=" 06:.+((SYSTEM_STATE.+slice.+state.+changed )|(ment ac)|(multiple cpu faults)|(system.+state.+changed )|(\[timeout)|(PRM\|1\|D)|(kpr)|(kdp)|(train st.+moving)|(\|lc)|(penalty))"</v>
      </c>
      <c r="AG146" s="181" t="str">
        <f t="shared" si="105"/>
        <v>EC</v>
      </c>
      <c r="AH146" s="78" t="str">
        <f t="shared" si="106"/>
        <v>"%USERPROFILE%\Documents\GitHub\eaglep3\Utilities\RefineRTDCRunTimes.py" --tripid 234-18 --locoid 4017 --swversion DE.1.0.9.0 --startMP 204:232947 --initTime 2017-11-18T22:42:01 --startdatetime 2017-11-18T22:57:12 --delay 50 --endMP 204:263 --enddatetime 2017-11-18T23:34:01 --enforcementcount 0 &gt;&gt;%USERPROFILE%\Documents\GitHub\eaglep3-reporting\EC\2017-11-18-refined-times.txt</v>
      </c>
      <c r="AI146" s="96" t="str">
        <f t="shared" si="107"/>
        <v>echo {"issue":{"subject":"","project_id":79,"tracker_id":40,"status_id":1,"priority_id":2,"assigned_to_id":338,"start_date":"2017-11-18","description":"","custom_fields":[{"id":1,"name":"Subdivision","value":"EC"},{"id":4,"name":"Milepost","value":"0.0263"},{"id":17,"name":"Train ID","value":"234-18"},{"id":16,"name":"Locomotive ID","value":"4017"},{"id":130,"name":"Impact","value":""},{"id":150,"name":"Time of Event (Mountain Time)","value":"23:34:01"},{"id":151,"name":"Denver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1" t="str">
        <f t="shared" si="108"/>
        <v>start /low /b %USERPROFILE%\Documents\GitHub\eaglep3\Utilities\DownloadLogsFromS3.py --loco 4017 --day 2017-11-18</v>
      </c>
      <c r="AN146" s="150" t="str">
        <f t="shared" si="109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06:34:01"},{"id":29,"name":"Sharepoint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7" t="str">
        <f t="shared" si="110"/>
        <v>https://d0f6bd738d7f1b3e5a7ca70fe4ff75f0.us-east-1.aws.found.io/app/kibana#/discover/Steve-Slow-Train-Analysis-(2080s-and-2083s)?_g=(refreshInterval:(display:Off,pause:!f,section:0,value:0),time:(from:'2017-11-18T21:42:01-0700',mode:absolute,to:'2017-11-19T00:34:01-0700'))&amp;_a=(columns:!('Message%20ID',Summary),filters:!(),index:'emp_*',interval:auto,query:(query_string:(analyze_wildcard:!t,query:'%22rtdc.l.rtdc.4017%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889</v>
      </c>
      <c r="B147" s="7">
        <v>4024</v>
      </c>
      <c r="C147" s="21" t="s">
        <v>192</v>
      </c>
      <c r="D147" s="21" t="s">
        <v>561</v>
      </c>
      <c r="E147" s="13">
        <v>43057.932604166665</v>
      </c>
      <c r="F147" s="13">
        <v>43057.937800925924</v>
      </c>
      <c r="G147" s="7">
        <v>111</v>
      </c>
      <c r="H147" s="21" t="s">
        <v>948</v>
      </c>
      <c r="I147" s="13">
        <v>43057.962754629632</v>
      </c>
      <c r="J147" s="7">
        <v>0</v>
      </c>
      <c r="K147" s="89" t="str">
        <f t="shared" si="96"/>
        <v>4023/4024</v>
      </c>
      <c r="L147" s="184" t="str">
        <f>VLOOKUP(A147,'Trips&amp;Operators'!$C$1:$G$99911,5,FALSE)</f>
        <v>NICHOLSON WESLEY</v>
      </c>
      <c r="M147" s="6">
        <f t="shared" si="97"/>
        <v>2.4953703708888497E-2</v>
      </c>
      <c r="N147" s="7">
        <f t="shared" si="95"/>
        <v>35.933333340799436</v>
      </c>
      <c r="O147" s="7"/>
      <c r="P147" s="7"/>
      <c r="Q147" s="22"/>
      <c r="R147" s="173"/>
      <c r="S147" s="220">
        <f t="shared" si="98"/>
        <v>1</v>
      </c>
      <c r="T147" s="173" t="str">
        <f t="shared" si="99"/>
        <v>NorthBound</v>
      </c>
      <c r="U147" s="19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5" t="str">
        <f t="shared" si="100"/>
        <v>https://d0f6bd738d7f1b3e5a7ca70fe4ff75f0.us-east-1.aws.found.io/app/kibana#/discover/Steve-Slow-Train-Analysis-(2080s-and-2083s)?_g=(refreshInterval:(display:Off,pause:!f,section:0,value:0),time:(from:'2017-11-18T21:22:57-0700',mode:absolute,to:'2017-11-19T00:06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7" s="203" t="str">
        <f>IF(AA147&lt;VLOOKUP(AG147,Variables!$AC$3:$AD$8,2,FALSE),"Y","N")</f>
        <v>N</v>
      </c>
      <c r="X147" s="203">
        <f t="shared" si="111"/>
        <v>1</v>
      </c>
      <c r="Y147" s="203">
        <f t="shared" si="84"/>
        <v>4.9799999999999997E-2</v>
      </c>
      <c r="Z147" s="203">
        <f t="shared" si="85"/>
        <v>23.3186</v>
      </c>
      <c r="AA147" s="203">
        <f t="shared" si="101"/>
        <v>23.268799999999999</v>
      </c>
      <c r="AB147" s="54" t="e">
        <f>VLOOKUP(A147,Enforcements!$C$7:$K$9,8,0)</f>
        <v>#N/A</v>
      </c>
      <c r="AC147" s="51" t="e">
        <f>VLOOKUP(A147,Enforcements!$C$7:$E$9,3,0)</f>
        <v>#N/A</v>
      </c>
      <c r="AD147" s="178">
        <f t="shared" si="102"/>
        <v>235</v>
      </c>
      <c r="AE147" s="77" t="str">
        <f t="shared" si="103"/>
        <v>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 &amp; aws s3 cp s3://rtdc.mdm.uploadarchive.raw/RTDC4024/ "%USERPROFILE%\AppData\Local\Temp\OnboardLogs"\RTDC4024\2017-11-19 --exclude "*" --recursive --include "*20171119*" &amp; "%USERPROFILE%\Documents\GitHub\mrs-test-scripts\Headless Mode &amp; Sideloading\WalkAndUnGZ.bat" "%USERPROFILE%\AppData\Local\Temp\OnboardLogs"\RTDC4024\2017-11-19</v>
      </c>
      <c r="AF147" s="74" t="str">
        <f t="shared" si="104"/>
        <v>"C:\Program Files (x86)\AstroGrep\AstroGrep.exe" /e /r /s /spath="%USERPROFILE%\AppData\Local\Temp\OnboardLogs" /stypes="app*4024*20171119*" /stext=" 06:.+((SYSTEM_STATE.+slice.+state.+changed )|(ment ac)|(multiple cpu faults)|(system.+state.+changed )|(\[timeout)|(PRM\|1\|D)|(kpr)|(kdp)|(train st.+moving)|(\|lc)|(penalty))"</v>
      </c>
      <c r="AG147" s="181" t="str">
        <f t="shared" si="105"/>
        <v>EC</v>
      </c>
      <c r="AH147" s="78" t="str">
        <f t="shared" si="106"/>
        <v>"%USERPROFILE%\Documents\GitHub\eaglep3\Utilities\RefineRTDCRunTimes.py" --tripid 235-18 --locoid 4024 --swversion DE.1.0.9.0 --startMP 204:498 --initTime 2017-11-18T22:22:57 --startdatetime 2017-11-18T22:30:26 --delay 111 --endMP 204:233186 --enddatetime 2017-11-18T23:06:22 --enforcementcount 0 &gt;&gt;%USERPROFILE%\Documents\GitHub\eaglep3-reporting\EC\2017-11-18-refined-times.txt</v>
      </c>
      <c r="AI147" s="96" t="str">
        <f t="shared" si="107"/>
        <v>echo {"issue":{"subject":"","project_id":79,"tracker_id":40,"status_id":1,"priority_id":2,"assigned_to_id":338,"start_date":"2017-11-18","description":"","custom_fields":[{"id":1,"name":"Subdivision","value":"EC"},{"id":4,"name":"Milepost","value":"23.3186"},{"id":17,"name":"Train ID","value":"235-18"},{"id":16,"name":"Locomotive ID","value":"4024"},{"id":130,"name":"Impact","value":""},{"id":150,"name":"Time of Event (Mountain Time)","value":"23:06:22"},{"id":151,"name":"Denver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1" t="str">
        <f t="shared" si="108"/>
        <v>start /low /b %USERPROFILE%\Documents\GitHub\eaglep3\Utilities\DownloadLogsFromS3.py --loco 4024 --day 2017-11-18</v>
      </c>
      <c r="AN147" s="150" t="str">
        <f t="shared" si="109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06:06:22"},{"id":29,"name":"Sharepoint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7" t="str">
        <f t="shared" si="110"/>
        <v>https://d0f6bd738d7f1b3e5a7ca70fe4ff75f0.us-east-1.aws.found.io/app/kibana#/discover/Steve-Slow-Train-Analysis-(2080s-and-2083s)?_g=(refreshInterval:(display:Off,pause:!f,section:0,value:0),time:(from:'2017-11-18T21:22:57-0700',mode:absolute,to:'2017-11-19T00:06:22-0700'))&amp;_a=(columns:!('Message%20ID',Summary),filters:!(),index:'emp_*',interval:auto,query:(query_string:(analyze_wildcard:!t,query:'%22rtdc.l.rtdc.4024%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893</v>
      </c>
      <c r="B148" s="7">
        <v>4023</v>
      </c>
      <c r="C148" s="21" t="s">
        <v>192</v>
      </c>
      <c r="D148" s="21" t="s">
        <v>1024</v>
      </c>
      <c r="E148" s="13">
        <v>43057.974027777775</v>
      </c>
      <c r="F148" s="13">
        <v>43057.977326388886</v>
      </c>
      <c r="G148" s="7">
        <v>97</v>
      </c>
      <c r="H148" s="21" t="s">
        <v>499</v>
      </c>
      <c r="I148" s="13">
        <v>43058.004675925928</v>
      </c>
      <c r="J148" s="7">
        <v>0</v>
      </c>
      <c r="K148" s="89" t="str">
        <f t="shared" si="96"/>
        <v>4023/4024</v>
      </c>
      <c r="L148" s="184" t="str">
        <f>VLOOKUP(A148,'Trips&amp;Operators'!$C$1:$G$99911,5,FALSE)</f>
        <v>NICHOLSON WESLEY</v>
      </c>
      <c r="M148" s="6">
        <f t="shared" si="97"/>
        <v>2.7349537042027805E-2</v>
      </c>
      <c r="N148" s="7">
        <f t="shared" si="95"/>
        <v>39.383333340520039</v>
      </c>
      <c r="O148" s="7"/>
      <c r="P148" s="7"/>
      <c r="Q148" s="22"/>
      <c r="R148" s="173"/>
      <c r="S148" s="220">
        <f t="shared" si="98"/>
        <v>1</v>
      </c>
      <c r="T148" s="173" t="str">
        <f t="shared" si="99"/>
        <v>Southbound</v>
      </c>
      <c r="U148" s="19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5" t="str">
        <f t="shared" si="100"/>
        <v>https://d0f6bd738d7f1b3e5a7ca70fe4ff75f0.us-east-1.aws.found.io/app/kibana#/discover/Steve-Slow-Train-Analysis-(2080s-and-2083s)?_g=(refreshInterval:(display:Off,pause:!f,section:0,value:0),time:(from:'2017-11-18T22:22:36-0700',mode:absolute,to:'2017-11-19T01:06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8" s="203" t="str">
        <f>IF(AA148&lt;VLOOKUP(AG148,Variables!$AC$3:$AD$8,2,FALSE),"Y","N")</f>
        <v>N</v>
      </c>
      <c r="X148" s="203">
        <f t="shared" si="111"/>
        <v>1</v>
      </c>
      <c r="Y148" s="203">
        <f t="shared" si="84"/>
        <v>23.287099999999999</v>
      </c>
      <c r="Z148" s="203">
        <f t="shared" si="85"/>
        <v>2.18E-2</v>
      </c>
      <c r="AA148" s="203">
        <f t="shared" si="101"/>
        <v>23.2653</v>
      </c>
      <c r="AB148" s="54" t="e">
        <f>VLOOKUP(A148,Enforcements!$C$7:$K$9,8,0)</f>
        <v>#N/A</v>
      </c>
      <c r="AC148" s="51" t="e">
        <f>VLOOKUP(A148,Enforcements!$C$7:$E$9,3,0)</f>
        <v>#N/A</v>
      </c>
      <c r="AD148" s="178">
        <f t="shared" si="102"/>
        <v>236</v>
      </c>
      <c r="AE148" s="77" t="str">
        <f t="shared" si="103"/>
        <v>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 &amp; aws s3 cp s3://rtdc.mdm.uploadarchive.raw/RTDC4023/ "%USERPROFILE%\AppData\Local\Temp\OnboardLogs"\RTDC4023\2017-11-19 --exclude "*" --recursive --include "*20171119*" &amp; "%USERPROFILE%\Documents\GitHub\mrs-test-scripts\Headless Mode &amp; Sideloading\WalkAndUnGZ.bat" "%USERPROFILE%\AppData\Local\Temp\OnboardLogs"\RTDC4023\2017-11-19</v>
      </c>
      <c r="AF148" s="74" t="str">
        <f t="shared" si="104"/>
        <v>"C:\Program Files (x86)\AstroGrep\AstroGrep.exe" /e /r /s /spath="%USERPROFILE%\AppData\Local\Temp\OnboardLogs" /stypes="app*4023*20171119*" /stext=" 07:.+((SYSTEM_STATE.+slice.+state.+changed )|(ment ac)|(multiple cpu faults)|(system.+state.+changed )|(\[timeout)|(PRM\|1\|D)|(kpr)|(kdp)|(train st.+moving)|(\|lc)|(penalty))"</v>
      </c>
      <c r="AG148" s="181" t="str">
        <f t="shared" si="105"/>
        <v>EC</v>
      </c>
      <c r="AH148" s="78" t="str">
        <f t="shared" si="106"/>
        <v>"%USERPROFILE%\Documents\GitHub\eaglep3\Utilities\RefineRTDCRunTimes.py" --tripid 236-18 --locoid 4023 --swversion DE.1.0.9.0 --startMP 204:232871 --initTime 2017-11-18T23:22:36 --startdatetime 2017-11-18T23:27:21 --delay 97 --endMP 204:218 --enddatetime 2017-11-19T00:06:44 --enforcementcount 0 &gt;&gt;%USERPROFILE%\Documents\GitHub\eaglep3-reporting\EC\2017-11-18-refined-times.txt</v>
      </c>
      <c r="AI148" s="96" t="str">
        <f t="shared" si="107"/>
        <v>echo {"issue":{"subject":"","project_id":79,"tracker_id":40,"status_id":1,"priority_id":2,"assigned_to_id":338,"start_date":"2017-11-19","description":"","custom_fields":[{"id":1,"name":"Subdivision","value":"EC"},{"id":4,"name":"Milepost","value":"0.0218"},{"id":17,"name":"Train ID","value":"236-18"},{"id":16,"name":"Locomotive ID","value":"4023"},{"id":130,"name":"Impact","value":""},{"id":150,"name":"Time of Event (Mountain Time)","value":"00:06:44"},{"id":151,"name":"Denver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1" t="str">
        <f t="shared" si="108"/>
        <v>start /low /b %USERPROFILE%\Documents\GitHub\eaglep3\Utilities\DownloadLogsFromS3.py --loco 4023 --day 2017-11-18</v>
      </c>
      <c r="AN148" s="150" t="str">
        <f t="shared" si="109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07:06:44"},{"id":29,"name":"Sharepoint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7" t="str">
        <f t="shared" si="110"/>
        <v>https://d0f6bd738d7f1b3e5a7ca70fe4ff75f0.us-east-1.aws.found.io/app/kibana#/discover/Steve-Slow-Train-Analysis-(2080s-and-2083s)?_g=(refreshInterval:(display:Off,pause:!f,section:0,value:0),time:(from:'2017-11-18T22:22:36-0700',mode:absolute,to:'2017-11-19T01:06:44-0700'))&amp;_a=(columns:!('Message%20ID',Summary),filters:!(),index:'emp_*',interval:auto,query:(query_string:(analyze_wildcard:!t,query:'%22rtdc.l.rtdc.4023%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697</v>
      </c>
      <c r="B149" s="7">
        <v>4008</v>
      </c>
      <c r="C149" s="21" t="s">
        <v>192</v>
      </c>
      <c r="D149" s="21" t="s">
        <v>936</v>
      </c>
      <c r="E149" s="13">
        <v>43057.955567129633</v>
      </c>
      <c r="F149" s="13">
        <v>43057.95857638889</v>
      </c>
      <c r="G149" s="7">
        <v>156</v>
      </c>
      <c r="H149" s="21" t="s">
        <v>495</v>
      </c>
      <c r="I149" s="13">
        <v>43058.048020833332</v>
      </c>
      <c r="J149" s="7">
        <v>0</v>
      </c>
      <c r="K149" s="89" t="str">
        <f t="shared" si="96"/>
        <v>4007/4008</v>
      </c>
      <c r="L149" s="184" t="str">
        <f>VLOOKUP(A149,'Trips&amp;Operators'!$C$1:$G$99911,5,FALSE)</f>
        <v>ANDERS STEVEN</v>
      </c>
      <c r="M149" s="6">
        <f t="shared" si="97"/>
        <v>8.9444444442051463E-2</v>
      </c>
      <c r="N149" s="7">
        <f t="shared" si="95"/>
        <v>128.79999999655411</v>
      </c>
      <c r="O149" s="7"/>
      <c r="P149" s="7"/>
      <c r="Q149" s="22"/>
      <c r="R149" s="173" t="s">
        <v>1073</v>
      </c>
      <c r="S149" s="220">
        <f t="shared" si="98"/>
        <v>1</v>
      </c>
      <c r="T149" s="173" t="str">
        <f t="shared" si="99"/>
        <v>NorthBound</v>
      </c>
      <c r="U149" s="19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5" t="str">
        <f t="shared" si="100"/>
        <v>https://d0f6bd738d7f1b3e5a7ca70fe4ff75f0.us-east-1.aws.found.io/app/kibana#/discover/Steve-Slow-Train-Analysis-(2080s-and-2083s)?_g=(refreshInterval:(display:Off,pause:!f,section:0,value:0),time:(from:'2017-11-18T21:56:01-0700',mode:absolute,to:'2017-11-19T02:09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9" s="203" t="str">
        <f>IF(AA149&lt;VLOOKUP(AG149,Variables!$AC$3:$AD$8,2,FALSE),"Y","N")</f>
        <v>N</v>
      </c>
      <c r="X149" s="203">
        <f t="shared" si="111"/>
        <v>1</v>
      </c>
      <c r="Y149" s="203">
        <f t="shared" si="84"/>
        <v>5.4199999999999998E-2</v>
      </c>
      <c r="Z149" s="203">
        <f t="shared" si="85"/>
        <v>23.3249</v>
      </c>
      <c r="AA149" s="203">
        <f t="shared" si="101"/>
        <v>23.270699999999998</v>
      </c>
      <c r="AB149" s="54" t="e">
        <f>VLOOKUP(A149,Enforcements!$C$7:$K$9,8,0)</f>
        <v>#N/A</v>
      </c>
      <c r="AC149" s="51" t="e">
        <f>VLOOKUP(A149,Enforcements!$C$7:$E$9,3,0)</f>
        <v>#N/A</v>
      </c>
      <c r="AD149" s="178">
        <f t="shared" si="102"/>
        <v>237</v>
      </c>
      <c r="AE149" s="77" t="str">
        <f t="shared" si="103"/>
        <v>aws s3 cp s3://rtdc.mdm.uploadarchive.raw/RTDC4008/ "%USERPROFILE%\AppData\Local\Temp\OnboardLogs"\RTDC4008\2017-11-18 --exclude "*" --recursive --include "*20171118*" &amp; "%USERPROFILE%\Documents\GitHub\mrs-test-scripts\Headless Mode &amp; Sideloading\WalkAndUnGZ.bat" "%USERPROFILE%\AppData\Local\Temp\OnboardLogs"\RTDC4008\2017-11-18 &amp; aws s3 cp s3://rtdc.mdm.uploadarchive.raw/RTDC4008/ "%USERPROFILE%\AppData\Local\Temp\OnboardLogs"\RTDC4008\2017-11-19 --exclude "*" --recursive --include "*20171119*" &amp; "%USERPROFILE%\Documents\GitHub\mrs-test-scripts\Headless Mode &amp; Sideloading\WalkAndUnGZ.bat" "%USERPROFILE%\AppData\Local\Temp\OnboardLogs"\RTDC4008\2017-11-19</v>
      </c>
      <c r="AF149" s="74" t="str">
        <f t="shared" si="104"/>
        <v>"C:\Program Files (x86)\AstroGrep\AstroGrep.exe" /e /r /s /spath="%USERPROFILE%\AppData\Local\Temp\OnboardLogs" /stypes="app*4008*20171119*" /stext=" 08:.+((SYSTEM_STATE.+slice.+state.+changed )|(ment ac)|(multiple cpu faults)|(system.+state.+changed )|(\[timeout)|(PRM\|1\|D)|(kpr)|(kdp)|(train st.+moving)|(\|lc)|(penalty))"</v>
      </c>
      <c r="AG149" s="181" t="str">
        <f t="shared" si="105"/>
        <v>EC</v>
      </c>
      <c r="AH149" s="78" t="str">
        <f t="shared" si="106"/>
        <v>"%USERPROFILE%\Documents\GitHub\eaglep3\Utilities\RefineRTDCRunTimes.py" --tripid 237-18 --locoid 4008 --swversion DE.1.0.9.0 --startMP 204:542 --initTime 2017-11-18T22:56:01 --startdatetime 2017-11-18T23:00:21 --delay 156 --endMP 204:233249 --enddatetime 2017-11-19T01:09:09 --enforcementcount 0 &gt;&gt;%USERPROFILE%\Documents\GitHub\eaglep3-reporting\EC\2017-11-18-refined-times.txt</v>
      </c>
      <c r="AI149" s="96" t="str">
        <f t="shared" si="107"/>
        <v>echo {"issue":{"subject":"Delayed due to trespasser struck by train","project_id":79,"tracker_id":40,"status_id":1,"priority_id":2,"assigned_to_id":338,"start_date":"2017-11-19","description":"","custom_fields":[{"id":1,"name":"Subdivision","value":"EC"},{"id":4,"name":"Milepost","value":"23.3249"},{"id":17,"name":"Train ID","value":"237-18"},{"id":16,"name":"Locomotive ID","value":"4008"},{"id":130,"name":"Impact","value":""},{"id":150,"name":"Time of Event (Mountain Time)","value":"01:09:09"},{"id":151,"name":"Denver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1" t="str">
        <f t="shared" si="108"/>
        <v>start /low /b %USERPROFILE%\Documents\GitHub\eaglep3\Utilities\DownloadLogsFromS3.py --loco 4008 --day 2017-11-18</v>
      </c>
      <c r="AN149" s="150" t="str">
        <f t="shared" si="109"/>
        <v>echo {"issue":{"subject":"Delayed due to trespasser struck by train","project_id":30,"tracker_id":4,"status_id":1,"priority_id":1,"assigned_to_id":10,"start_date":"2017-11-19","description":"","custom_fields":[{"id":30,"name":"Category","value":"Issue"},{"id":3,"name":"Functional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08:09:09"},{"id":29,"name":"Sharepoint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7" t="str">
        <f t="shared" si="110"/>
        <v>https://d0f6bd738d7f1b3e5a7ca70fe4ff75f0.us-east-1.aws.found.io/app/kibana#/discover/Steve-Slow-Train-Analysis-(2080s-and-2083s)?_g=(refreshInterval:(display:Off,pause:!f,section:0,value:0),time:(from:'2017-11-18T21:56:01-0700',mode:absolute,to:'2017-11-19T02:09:09-0700'))&amp;_a=(columns:!('Message%20ID',Summary),filters:!(),index:'emp_*',interval:auto,query:(query_string:(analyze_wildcard:!t,query:'%22rtdc.l.rtdc.4008%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892</v>
      </c>
      <c r="B150" s="7">
        <v>4004</v>
      </c>
      <c r="C150" s="21" t="s">
        <v>192</v>
      </c>
      <c r="D150" s="21" t="s">
        <v>560</v>
      </c>
      <c r="E150" s="13">
        <v>43057.963182870371</v>
      </c>
      <c r="F150" s="13">
        <v>43057.979351851849</v>
      </c>
      <c r="G150" s="7">
        <v>51</v>
      </c>
      <c r="H150" s="21" t="s">
        <v>1025</v>
      </c>
      <c r="I150" s="13">
        <v>43058.018090277779</v>
      </c>
      <c r="J150" s="7">
        <v>0</v>
      </c>
      <c r="K150" s="89" t="str">
        <f t="shared" si="96"/>
        <v>4003/4004</v>
      </c>
      <c r="L150" s="184" t="str">
        <f>VLOOKUP(A150,'Trips&amp;Operators'!$C$1:$G$99911,5,FALSE)</f>
        <v>FORTUNATO FRANK</v>
      </c>
      <c r="M150" s="6">
        <f t="shared" si="97"/>
        <v>3.8738425930205267E-2</v>
      </c>
      <c r="N150" s="7">
        <f t="shared" ref="N150:N164" si="112">24*60*SUM($M150:$M150)</f>
        <v>55.783333339495584</v>
      </c>
      <c r="O150" s="7"/>
      <c r="P150" s="7"/>
      <c r="Q150" s="22"/>
      <c r="R150" s="173" t="s">
        <v>1073</v>
      </c>
      <c r="S150" s="220">
        <f t="shared" si="98"/>
        <v>1</v>
      </c>
      <c r="T150" s="173" t="str">
        <f t="shared" si="99"/>
        <v>NorthBound</v>
      </c>
      <c r="U150" s="19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5" t="str">
        <f t="shared" si="100"/>
        <v>https://d0f6bd738d7f1b3e5a7ca70fe4ff75f0.us-east-1.aws.found.io/app/kibana#/discover/Steve-Slow-Train-Analysis-(2080s-and-2083s)?_g=(refreshInterval:(display:Off,pause:!f,section:0,value:0),time:(from:'2017-11-18T22:06:59-0700',mode:absolute,to:'2017-11-19T01:26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0" s="203" t="str">
        <f>IF(AA150&lt;VLOOKUP(AG150,Variables!$AC$3:$AD$8,2,FALSE),"Y","N")</f>
        <v>Y</v>
      </c>
      <c r="X150" s="203">
        <f t="shared" si="111"/>
        <v>2</v>
      </c>
      <c r="Y150" s="203">
        <f t="shared" si="84"/>
        <v>5.1900000000000002E-2</v>
      </c>
      <c r="Z150" s="203">
        <f t="shared" si="85"/>
        <v>15.7804</v>
      </c>
      <c r="AA150" s="203">
        <f t="shared" si="101"/>
        <v>15.7285</v>
      </c>
      <c r="AB150" s="54" t="e">
        <f>VLOOKUP(A150,Enforcements!$C$7:$K$9,8,0)</f>
        <v>#N/A</v>
      </c>
      <c r="AC150" s="51" t="e">
        <f>VLOOKUP(A150,Enforcements!$C$7:$E$9,3,0)</f>
        <v>#N/A</v>
      </c>
      <c r="AD150" s="178">
        <f t="shared" si="102"/>
        <v>239</v>
      </c>
      <c r="AE150" s="77" t="str">
        <f t="shared" si="103"/>
        <v>aws s3 cp s3://rtdc.mdm.uploadarchive.raw/RTDC4004/ "%USERPROFILE%\AppData\Local\Temp\OnboardLogs"\RTDC4004\2017-11-18 --exclude "*" --recursive --include "*20171118*" &amp; "%USERPROFILE%\Documents\GitHub\mrs-test-scripts\Headless Mode &amp; Sideloading\WalkAndUnGZ.bat" "%USERPROFILE%\AppData\Local\Temp\OnboardLogs"\RTDC4004\2017-11-18 &amp; aws s3 cp s3://rtdc.mdm.uploadarchive.raw/RTDC4004/ "%USERPROFILE%\AppData\Local\Temp\OnboardLogs"\RTDC4004\2017-11-19 --exclude "*" --recursive --include "*20171119*" &amp; "%USERPROFILE%\Documents\GitHub\mrs-test-scripts\Headless Mode &amp; Sideloading\WalkAndUnGZ.bat" "%USERPROFILE%\AppData\Local\Temp\OnboardLogs"\RTDC4004\2017-11-19</v>
      </c>
      <c r="AF150" s="74" t="str">
        <f t="shared" si="104"/>
        <v>"C:\Program Files (x86)\AstroGrep\AstroGrep.exe" /e /r /s /spath="%USERPROFILE%\AppData\Local\Temp\OnboardLogs" /stypes="app*4004*20171119*" /stext=" 07:.+((SYSTEM_STATE.+slice.+state.+changed )|(ment ac)|(multiple cpu faults)|(system.+state.+changed )|(\[timeout)|(PRM\|1\|D)|(kpr)|(kdp)|(train st.+moving)|(\|lc)|(penalty))"</v>
      </c>
      <c r="AG150" s="181" t="str">
        <f t="shared" si="105"/>
        <v>EC</v>
      </c>
      <c r="AH150" s="78" t="str">
        <f t="shared" si="106"/>
        <v>"%USERPROFILE%\Documents\GitHub\eaglep3\Utilities\RefineRTDCRunTimes.py" --tripid 239-18 --locoid 4004 --swversion DE.1.0.9.0 --startMP 204:519 --initTime 2017-11-18T23:06:59 --startdatetime 2017-11-18T23:30:16 --delay 51 --endMP 204:157804 --enddatetime 2017-11-19T00:26:03 --enforcementcount 0 &gt;&gt;%USERPROFILE%\Documents\GitHub\eaglep3-reporting\EC\2017-11-18-refined-times.txt</v>
      </c>
      <c r="AI150" s="96" t="str">
        <f t="shared" si="107"/>
        <v>echo {"issue":{"subject":"Delayed due to trespasser struck by train","project_id":79,"tracker_id":40,"status_id":1,"priority_id":2,"assigned_to_id":338,"start_date":"2017-11-19","description":"","custom_fields":[{"id":1,"name":"Subdivision","value":"EC"},{"id":4,"name":"Milepost","value":"15.7804"},{"id":17,"name":"Train ID","value":"239-18"},{"id":16,"name":"Locomotive ID","value":"4004"},{"id":130,"name":"Impact","value":""},{"id":150,"name":"Time of Event (Mountain Time)","value":"00:26:03"},{"id":151,"name":"Denver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1" t="str">
        <f t="shared" si="108"/>
        <v>start /low /b %USERPROFILE%\Documents\GitHub\eaglep3\Utilities\DownloadLogsFromS3.py --loco 4004 --day 2017-11-18</v>
      </c>
      <c r="AN150" s="150" t="str">
        <f t="shared" si="109"/>
        <v>echo {"issue":{"subject":"Delayed due to trespasser struck by train","project_id":30,"tracker_id":4,"status_id":1,"priority_id":1,"assigned_to_id":10,"start_date":"2017-11-19","description":"","custom_fields":[{"id":30,"name":"Category","value":"Issue"},{"id":3,"name":"Functional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07:26:03"},{"id":29,"name":"Sharepoint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7" t="str">
        <f t="shared" si="110"/>
        <v>https://d0f6bd738d7f1b3e5a7ca70fe4ff75f0.us-east-1.aws.found.io/app/kibana#/discover/Steve-Slow-Train-Analysis-(2080s-and-2083s)?_g=(refreshInterval:(display:Off,pause:!f,section:0,value:0),time:(from:'2017-11-18T22:06:59-0700',mode:absolute,to:'2017-11-19T01:26:03-0700'))&amp;_a=(columns:!('Message%20ID',Summary),filters:!(),index:'emp_*',interval:auto,query:(query_string:(analyze_wildcard:!t,query:'%22rtdc.l.rtdc.4004%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897</v>
      </c>
      <c r="B151" s="7">
        <v>4003</v>
      </c>
      <c r="C151" s="21" t="s">
        <v>192</v>
      </c>
      <c r="D151" s="21" t="s">
        <v>1026</v>
      </c>
      <c r="E151" s="13">
        <v>43058.018969907411</v>
      </c>
      <c r="F151" s="13">
        <v>43058.020520833335</v>
      </c>
      <c r="G151" s="7">
        <v>52</v>
      </c>
      <c r="H151" s="21" t="s">
        <v>453</v>
      </c>
      <c r="I151" s="13">
        <v>43058.044571759259</v>
      </c>
      <c r="J151" s="7">
        <v>0</v>
      </c>
      <c r="K151" s="89" t="str">
        <f t="shared" si="96"/>
        <v>4003/4004</v>
      </c>
      <c r="L151" s="184" t="str">
        <f>VLOOKUP(A151,'Trips&amp;Operators'!$C$1:$G$99911,5,FALSE)</f>
        <v>FORTUNATO FRANK</v>
      </c>
      <c r="M151" s="6">
        <f t="shared" si="97"/>
        <v>2.4050925923802424E-2</v>
      </c>
      <c r="N151" s="7">
        <f t="shared" si="112"/>
        <v>34.633333330275491</v>
      </c>
      <c r="O151" s="7"/>
      <c r="P151" s="7"/>
      <c r="Q151" s="22"/>
      <c r="R151" s="173"/>
      <c r="S151" s="220">
        <f t="shared" si="98"/>
        <v>1</v>
      </c>
      <c r="T151" s="173" t="str">
        <f t="shared" si="99"/>
        <v>Southbound</v>
      </c>
      <c r="U151" s="19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5" t="str">
        <f t="shared" si="100"/>
        <v>https://d0f6bd738d7f1b3e5a7ca70fe4ff75f0.us-east-1.aws.found.io/app/kibana#/discover/Steve-Slow-Train-Analysis-(2080s-and-2083s)?_g=(refreshInterval:(display:Off,pause:!f,section:0,value:0),time:(from:'2017-11-18T23:27:19-0700',mode:absolute,to:'2017-11-19T02:04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1" s="203" t="str">
        <f>IF(AA151&lt;VLOOKUP(AG151,Variables!$AC$3:$AD$8,2,FALSE),"Y","N")</f>
        <v>Y</v>
      </c>
      <c r="X151" s="203">
        <f t="shared" si="111"/>
        <v>1</v>
      </c>
      <c r="Y151" s="203">
        <f t="shared" si="84"/>
        <v>15.757300000000001</v>
      </c>
      <c r="Z151" s="203">
        <f t="shared" si="85"/>
        <v>2.29E-2</v>
      </c>
      <c r="AA151" s="203">
        <f t="shared" si="101"/>
        <v>15.734400000000001</v>
      </c>
      <c r="AB151" s="54" t="e">
        <f>VLOOKUP(A151,Enforcements!$C$7:$K$9,8,0)</f>
        <v>#N/A</v>
      </c>
      <c r="AC151" s="51" t="e">
        <f>VLOOKUP(A151,Enforcements!$C$7:$E$9,3,0)</f>
        <v>#N/A</v>
      </c>
      <c r="AD151" s="178">
        <f t="shared" si="102"/>
        <v>240</v>
      </c>
      <c r="AE151" s="77" t="str">
        <f t="shared" si="103"/>
        <v>aws s3 cp s3://rtdc.mdm.uploadarchive.raw/RTDC4003/ "%USERPROFILE%\AppData\Local\Temp\OnboardLogs"\RTDC4003\2017-11-19 --exclude "*" --recursive --include "*20171119*" &amp; "%USERPROFILE%\Documents\GitHub\mrs-test-scripts\Headless Mode &amp; Sideloading\WalkAndUnGZ.bat" "%USERPROFILE%\AppData\Local\Temp\OnboardLogs"\RTDC4003\2017-11-19 &amp; aws s3 cp s3://rtdc.mdm.uploadarchive.raw/RTDC4003/ "%USERPROFILE%\AppData\Local\Temp\OnboardLogs"\RTDC4003\2017-11-20 --exclude "*" --recursive --include "*20171120*" &amp; "%USERPROFILE%\Documents\GitHub\mrs-test-scripts\Headless Mode &amp; Sideloading\WalkAndUnGZ.bat" "%USERPROFILE%\AppData\Local\Temp\OnboardLogs"\RTDC4003\2017-11-20</v>
      </c>
      <c r="AF151" s="74" t="str">
        <f t="shared" si="104"/>
        <v>"C:\Program Files (x86)\AstroGrep\AstroGrep.exe" /e /r /s /spath="%USERPROFILE%\AppData\Local\Temp\OnboardLogs" /stypes="app*4003*20171119*" /stext=" 08:.+((SYSTEM_STATE.+slice.+state.+changed )|(ment ac)|(multiple cpu faults)|(system.+state.+changed )|(\[timeout)|(PRM\|1\|D)|(kpr)|(kdp)|(train st.+moving)|(\|lc)|(penalty))"</v>
      </c>
      <c r="AG151" s="181" t="str">
        <f t="shared" si="105"/>
        <v>EC</v>
      </c>
      <c r="AH151" s="78" t="str">
        <f t="shared" si="106"/>
        <v>"%USERPROFILE%\Documents\GitHub\eaglep3\Utilities\RefineRTDCRunTimes.py" --tripid 240-18 --locoid 4003 --swversion DE.1.0.9.0 --startMP 204:157573 --initTime 2017-11-19T00:27:19 --startdatetime 2017-11-19T00:29:33 --delay 52 --endMP 204:229 --enddatetime 2017-11-19T01:04:11 --enforcementcount 0 &gt;&gt;%USERPROFILE%\Documents\GitHub\eaglep3-reporting\EC\2017-11-18-refined-times.txt</v>
      </c>
      <c r="AI151" s="96" t="str">
        <f t="shared" si="107"/>
        <v>echo {"issue":{"subject":"","project_id":79,"tracker_id":40,"status_id":1,"priority_id":2,"assigned_to_id":338,"start_date":"2017-11-19","description":"","custom_fields":[{"id":1,"name":"Subdivision","value":"EC"},{"id":4,"name":"Milepost","value":"0.0229"},{"id":17,"name":"Train ID","value":"240-18"},{"id":16,"name":"Locomotive ID","value":"4003"},{"id":130,"name":"Impact","value":""},{"id":150,"name":"Time of Event (Mountain Time)","value":"01:04:11"},{"id":151,"name":"Denver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1" t="str">
        <f t="shared" si="108"/>
        <v>start /low /b %USERPROFILE%\Documents\GitHub\eaglep3\Utilities\DownloadLogsFromS3.py --loco 4003 --day 2017-11-19</v>
      </c>
      <c r="AN151" s="150" t="str">
        <f t="shared" si="109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08:04:11"},{"id":29,"name":"Sharepoint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7" t="str">
        <f t="shared" si="110"/>
        <v>https://d0f6bd738d7f1b3e5a7ca70fe4ff75f0.us-east-1.aws.found.io/app/kibana#/discover/Steve-Slow-Train-Analysis-(2080s-and-2083s)?_g=(refreshInterval:(display:Off,pause:!f,section:0,value:0),time:(from:'2017-11-18T23:27:19-0700',mode:absolute,to:'2017-11-19T02:04:11-0700'))&amp;_a=(columns:!('Message%20ID',Summary),filters:!(),index:'emp_*',interval:auto,query:(query_string:(analyze_wildcard:!t,query:'%22rtdc.l.rtdc.4003%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895</v>
      </c>
      <c r="B152" s="7">
        <v>4018</v>
      </c>
      <c r="C152" s="21" t="s">
        <v>192</v>
      </c>
      <c r="D152" s="21" t="s">
        <v>1018</v>
      </c>
      <c r="E152" s="13">
        <v>43057.987129629626</v>
      </c>
      <c r="F152" s="13">
        <v>43058.000150462962</v>
      </c>
      <c r="G152" s="7">
        <v>60</v>
      </c>
      <c r="H152" s="21" t="s">
        <v>1027</v>
      </c>
      <c r="I152" s="13">
        <v>43058.033807870372</v>
      </c>
      <c r="J152" s="7">
        <v>0</v>
      </c>
      <c r="K152" s="89" t="str">
        <f t="shared" si="96"/>
        <v>4017/4018</v>
      </c>
      <c r="L152" s="184" t="str">
        <f>VLOOKUP(A152,'Trips&amp;Operators'!$C$1:$G$99911,5,FALSE)</f>
        <v>ELBAUM MIKE</v>
      </c>
      <c r="M152" s="6">
        <f t="shared" si="97"/>
        <v>3.365740740991896E-2</v>
      </c>
      <c r="N152" s="7">
        <f t="shared" si="112"/>
        <v>48.466666670283303</v>
      </c>
      <c r="O152" s="7"/>
      <c r="P152" s="7"/>
      <c r="Q152" s="22"/>
      <c r="R152" s="173"/>
      <c r="S152" s="220">
        <f t="shared" si="98"/>
        <v>1</v>
      </c>
      <c r="T152" s="173" t="str">
        <f t="shared" si="99"/>
        <v>NorthBound</v>
      </c>
      <c r="U152" s="19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5" t="str">
        <f t="shared" si="100"/>
        <v>https://d0f6bd738d7f1b3e5a7ca70fe4ff75f0.us-east-1.aws.found.io/app/kibana#/discover/Steve-Slow-Train-Analysis-(2080s-and-2083s)?_g=(refreshInterval:(display:Off,pause:!f,section:0,value:0),time:(from:'2017-11-18T22:41:28-0700',mode:absolute,to:'2017-11-19T01:48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2" s="203" t="str">
        <f>IF(AA152&lt;VLOOKUP(AG152,Variables!$AC$3:$AD$8,2,FALSE),"Y","N")</f>
        <v>Y</v>
      </c>
      <c r="X152" s="203">
        <f t="shared" si="111"/>
        <v>1</v>
      </c>
      <c r="Y152" s="203">
        <f t="shared" si="84"/>
        <v>5.6599999999999998E-2</v>
      </c>
      <c r="Z152" s="203">
        <f t="shared" si="85"/>
        <v>15.815799999999999</v>
      </c>
      <c r="AA152" s="203">
        <f t="shared" si="101"/>
        <v>15.7592</v>
      </c>
      <c r="AB152" s="54" t="e">
        <f>VLOOKUP(A152,Enforcements!$C$7:$K$9,8,0)</f>
        <v>#N/A</v>
      </c>
      <c r="AC152" s="51" t="e">
        <f>VLOOKUP(A152,Enforcements!$C$7:$E$9,3,0)</f>
        <v>#N/A</v>
      </c>
      <c r="AD152" s="178">
        <f t="shared" si="102"/>
        <v>241</v>
      </c>
      <c r="AE152" s="77" t="str">
        <f t="shared" si="103"/>
        <v>aws s3 cp s3://rtdc.mdm.uploadarchive.raw/RTDC4018/ "%USERPROFILE%\AppData\Local\Temp\OnboardLogs"\RTDC4018\2017-11-19 --exclude "*" --recursive --include "*20171119*" &amp; "%USERPROFILE%\Documents\GitHub\mrs-test-scripts\Headless Mode &amp; Sideloading\WalkAndUnGZ.bat" "%USERPROFILE%\AppData\Local\Temp\OnboardLogs"\RTDC4018\2017-11-19 &amp; aws s3 cp s3://rtdc.mdm.uploadarchive.raw/RTDC4018/ "%USERPROFILE%\AppData\Local\Temp\OnboardLogs"\RTDC4018\2017-11-20 --exclude "*" --recursive --include "*20171120*" &amp; "%USERPROFILE%\Documents\GitHub\mrs-test-scripts\Headless Mode &amp; Sideloading\WalkAndUnGZ.bat" "%USERPROFILE%\AppData\Local\Temp\OnboardLogs"\RTDC4018\2017-11-20</v>
      </c>
      <c r="AF152" s="74" t="str">
        <f t="shared" si="104"/>
        <v>"C:\Program Files (x86)\AstroGrep\AstroGrep.exe" /e /r /s /spath="%USERPROFILE%\AppData\Local\Temp\OnboardLogs" /stypes="app*4018*20171119*" /stext=" 07:.+((SYSTEM_STATE.+slice.+state.+changed )|(ment ac)|(multiple cpu faults)|(system.+state.+changed )|(\[timeout)|(PRM\|1\|D)|(kpr)|(kdp)|(train st.+moving)|(\|lc)|(penalty))"</v>
      </c>
      <c r="AG152" s="181" t="str">
        <f t="shared" si="105"/>
        <v>EC</v>
      </c>
      <c r="AH152" s="78" t="str">
        <f t="shared" si="106"/>
        <v>"%USERPROFILE%\Documents\GitHub\eaglep3\Utilities\RefineRTDCRunTimes.py" --tripid 241-18 --locoid 4018 --swversion DE.1.0.9.0 --startMP 204:566 --initTime 2017-11-18T23:41:28 --startdatetime 2017-11-19T00:00:13 --delay 60 --endMP 204:158158 --enddatetime 2017-11-19T00:48:41 --enforcementcount 0 &gt;&gt;%USERPROFILE%\Documents\GitHub\eaglep3-reporting\EC\2017-11-18-refined-times.txt</v>
      </c>
      <c r="AI152" s="96" t="str">
        <f t="shared" si="107"/>
        <v>echo {"issue":{"subject":"","project_id":79,"tracker_id":40,"status_id":1,"priority_id":2,"assigned_to_id":338,"start_date":"2017-11-19","description":"","custom_fields":[{"id":1,"name":"Subdivision","value":"EC"},{"id":4,"name":"Milepost","value":"15.8158"},{"id":17,"name":"Train ID","value":"241-18"},{"id":16,"name":"Locomotive ID","value":"4018"},{"id":130,"name":"Impact","value":""},{"id":150,"name":"Time of Event (Mountain Time)","value":"00:48:41"},{"id":151,"name":"Denver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1" t="str">
        <f t="shared" si="108"/>
        <v>start /low /b %USERPROFILE%\Documents\GitHub\eaglep3\Utilities\DownloadLogsFromS3.py --loco 4018 --day 2017-11-19</v>
      </c>
      <c r="AN152" s="150" t="str">
        <f t="shared" si="109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07:48:41"},{"id":29,"name":"Sharepoint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7" t="str">
        <f t="shared" si="110"/>
        <v>https://d0f6bd738d7f1b3e5a7ca70fe4ff75f0.us-east-1.aws.found.io/app/kibana#/discover/Steve-Slow-Train-Analysis-(2080s-and-2083s)?_g=(refreshInterval:(display:Off,pause:!f,section:0,value:0),time:(from:'2017-11-18T22:41:28-0700',mode:absolute,to:'2017-11-19T01:48:41-0700'))&amp;_a=(columns:!('Message%20ID',Summary),filters:!(),index:'emp_*',interval:auto,query:(query_string:(analyze_wildcard:!t,query:'%22rtdc.l.rtdc.4018%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700</v>
      </c>
      <c r="B153" s="7">
        <v>4017</v>
      </c>
      <c r="C153" s="21" t="s">
        <v>192</v>
      </c>
      <c r="D153" s="21" t="s">
        <v>1028</v>
      </c>
      <c r="E153" s="13">
        <v>43058.034872685188</v>
      </c>
      <c r="F153" s="13">
        <v>43058.037094907406</v>
      </c>
      <c r="G153" s="7">
        <v>61</v>
      </c>
      <c r="H153" s="21" t="s">
        <v>1009</v>
      </c>
      <c r="I153" s="13">
        <v>43058.064953703702</v>
      </c>
      <c r="J153" s="7">
        <v>0</v>
      </c>
      <c r="K153" s="89" t="str">
        <f t="shared" si="96"/>
        <v>4017/4018</v>
      </c>
      <c r="L153" s="184" t="str">
        <f>VLOOKUP(A153,'Trips&amp;Operators'!$C$1:$G$99911,5,FALSE)</f>
        <v>ELBAUM MIKE</v>
      </c>
      <c r="M153" s="6">
        <f t="shared" si="97"/>
        <v>2.7858796296641231E-2</v>
      </c>
      <c r="N153" s="7">
        <f t="shared" si="112"/>
        <v>40.116666667163372</v>
      </c>
      <c r="O153" s="7"/>
      <c r="P153" s="7"/>
      <c r="Q153" s="22"/>
      <c r="R153" s="173"/>
      <c r="S153" s="220">
        <f t="shared" si="98"/>
        <v>1</v>
      </c>
      <c r="T153" s="173" t="str">
        <f t="shared" si="99"/>
        <v>Southbound</v>
      </c>
      <c r="U153" s="19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5" t="str">
        <f t="shared" si="100"/>
        <v>https://d0f6bd738d7f1b3e5a7ca70fe4ff75f0.us-east-1.aws.found.io/app/kibana#/discover/Steve-Slow-Train-Analysis-(2080s-and-2083s)?_g=(refreshInterval:(display:Off,pause:!f,section:0,value:0),time:(from:'2017-11-18T23:50:13-0700',mode:absolute,to:'2017-11-19T02:33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3" s="203" t="str">
        <f>IF(AA153&lt;VLOOKUP(AG153,Variables!$AC$3:$AD$8,2,FALSE),"Y","N")</f>
        <v>Y</v>
      </c>
      <c r="X153" s="203">
        <f t="shared" si="111"/>
        <v>1</v>
      </c>
      <c r="Y153" s="203">
        <f t="shared" si="84"/>
        <v>15.792899999999999</v>
      </c>
      <c r="Z153" s="203">
        <f t="shared" si="85"/>
        <v>2.69E-2</v>
      </c>
      <c r="AA153" s="203">
        <f t="shared" si="101"/>
        <v>15.766</v>
      </c>
      <c r="AB153" s="54" t="str">
        <f>VLOOKUP(A153,Enforcements!$C$7:$K$9,8,0)</f>
        <v>Bulletin (2)</v>
      </c>
      <c r="AC153" s="51" t="str">
        <f>VLOOKUP(A153,Enforcements!$C$7:$E$9,3,0)</f>
        <v>GRADE CROSSING</v>
      </c>
      <c r="AD153" s="178">
        <f t="shared" si="102"/>
        <v>242</v>
      </c>
      <c r="AE153" s="77" t="str">
        <f t="shared" si="103"/>
        <v>aws s3 cp s3://rtdc.mdm.uploadarchive.raw/RTDC4017/ "%USERPROFILE%\AppData\Local\Temp\OnboardLogs"\RTDC4017\2017-11-19 --exclude "*" --recursive --include "*20171119*" &amp; "%USERPROFILE%\Documents\GitHub\mrs-test-scripts\Headless Mode &amp; Sideloading\WalkAndUnGZ.bat" "%USERPROFILE%\AppData\Local\Temp\OnboardLogs"\RTDC4017\2017-11-19 &amp; aws s3 cp s3://rtdc.mdm.uploadarchive.raw/RTDC4017/ "%USERPROFILE%\AppData\Local\Temp\OnboardLogs"\RTDC4017\2017-11-20 --exclude "*" --recursive --include "*20171120*" &amp; "%USERPROFILE%\Documents\GitHub\mrs-test-scripts\Headless Mode &amp; Sideloading\WalkAndUnGZ.bat" "%USERPROFILE%\AppData\Local\Temp\OnboardLogs"\RTDC4017\2017-11-20</v>
      </c>
      <c r="AF153" s="74" t="str">
        <f t="shared" si="104"/>
        <v>"C:\Program Files (x86)\AstroGrep\AstroGrep.exe" /e /r /s /spath="%USERPROFILE%\AppData\Local\Temp\OnboardLogs" /stypes="app*4017*20171119*" /stext=" 08:.+((SYSTEM_STATE.+slice.+state.+changed )|(ment ac)|(multiple cpu faults)|(system.+state.+changed )|(\[timeout)|(PRM\|1\|D)|(kpr)|(kdp)|(train st.+moving)|(\|lc)|(penalty))"</v>
      </c>
      <c r="AG153" s="181" t="str">
        <f t="shared" si="105"/>
        <v>EC</v>
      </c>
      <c r="AH153" s="78" t="str">
        <f t="shared" si="106"/>
        <v>"%USERPROFILE%\Documents\GitHub\eaglep3\Utilities\RefineRTDCRunTimes.py" --tripid 242-18 --locoid 4017 --swversion DE.1.0.9.0 --startMP 204:157929 --initTime 2017-11-19T00:50:13 --startdatetime 2017-11-19T00:53:25 --delay 61 --endMP 204:269 --enddatetime 2017-11-19T01:33:32 --enforcementcount 0 &gt;&gt;%USERPROFILE%\Documents\GitHub\eaglep3-reporting\EC\2017-11-18-refined-times.txt</v>
      </c>
      <c r="AI153" s="96" t="str">
        <f t="shared" si="107"/>
        <v>echo {"issue":{"subject":"","project_id":79,"tracker_id":40,"status_id":1,"priority_id":2,"assigned_to_id":338,"start_date":"2017-11-19","description":"","custom_fields":[{"id":1,"name":"Subdivision","value":"EC"},{"id":4,"name":"Milepost","value":"0.0269"},{"id":17,"name":"Train ID","value":"242-18"},{"id":16,"name":"Locomotive ID","value":"4017"},{"id":130,"name":"Impact","value":""},{"id":150,"name":"Time of Event (Mountain Time)","value":"01:33:32"},{"id":151,"name":"Denver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1" t="str">
        <f t="shared" si="108"/>
        <v>start /low /b %USERPROFILE%\Documents\GitHub\eaglep3\Utilities\DownloadLogsFromS3.py --loco 4017 --day 2017-11-19</v>
      </c>
      <c r="AN153" s="150" t="str">
        <f t="shared" si="109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08:33:32"},{"id":29,"name":"Sharepoint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7" t="str">
        <f t="shared" si="110"/>
        <v>https://d0f6bd738d7f1b3e5a7ca70fe4ff75f0.us-east-1.aws.found.io/app/kibana#/discover/Steve-Slow-Train-Analysis-(2080s-and-2083s)?_g=(refreshInterval:(display:Off,pause:!f,section:0,value:0),time:(from:'2017-11-18T23:50:13-0700',mode:absolute,to:'2017-11-19T02:33:32-0700'))&amp;_a=(columns:!('Message%20ID',Summary),filters:!(),index:'emp_*',interval:auto,query:(query_string:(analyze_wildcard:!t,query:'%22rtdc.l.rtdc.4017%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896</v>
      </c>
      <c r="B154" s="7">
        <v>4024</v>
      </c>
      <c r="C154" s="21" t="s">
        <v>192</v>
      </c>
      <c r="D154" s="21" t="s">
        <v>1028</v>
      </c>
      <c r="E154" s="13">
        <v>43058.034872685188</v>
      </c>
      <c r="F154" s="13">
        <v>43058.021180555559</v>
      </c>
      <c r="G154" s="7">
        <v>61</v>
      </c>
      <c r="H154" s="21" t="s">
        <v>1009</v>
      </c>
      <c r="I154" s="13">
        <v>43058.053981481484</v>
      </c>
      <c r="J154" s="7">
        <v>0</v>
      </c>
      <c r="K154" s="89" t="str">
        <f t="shared" si="96"/>
        <v>4023/4024</v>
      </c>
      <c r="L154" s="184" t="str">
        <f>VLOOKUP(A154,'Trips&amp;Operators'!$C$1:$G$99911,5,FALSE)</f>
        <v>NICHOLSON WESLEY</v>
      </c>
      <c r="M154" s="6">
        <f t="shared" si="97"/>
        <v>3.2800925924675539E-2</v>
      </c>
      <c r="N154" s="7">
        <f t="shared" si="112"/>
        <v>47.233333331532776</v>
      </c>
      <c r="O154" s="7"/>
      <c r="P154" s="7"/>
      <c r="Q154" s="22"/>
      <c r="R154" s="173"/>
      <c r="S154" s="220">
        <f t="shared" si="98"/>
        <v>1</v>
      </c>
      <c r="T154" s="173" t="str">
        <f t="shared" si="99"/>
        <v>NorthBound</v>
      </c>
      <c r="U154" s="19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5" t="str">
        <f t="shared" si="100"/>
        <v>https://d0f6bd738d7f1b3e5a7ca70fe4ff75f0.us-east-1.aws.found.io/app/kibana#/discover/Steve-Slow-Train-Analysis-(2080s-and-2083s)?_g=(refreshInterval:(display:Off,pause:!f,section:0,value:0),time:(from:'2017-11-18T23:50:13-0700',mode:absolute,to:'2017-11-19T02:17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4" s="203" t="str">
        <f>IF(AA154&lt;VLOOKUP(AG154,Variables!$AC$3:$AD$8,2,FALSE),"Y","N")</f>
        <v>N</v>
      </c>
      <c r="X154" s="203">
        <f t="shared" si="111"/>
        <v>1</v>
      </c>
      <c r="Y154" s="203">
        <v>4.9799999999999997E-2</v>
      </c>
      <c r="Z154" s="203">
        <v>23.3186</v>
      </c>
      <c r="AA154" s="203">
        <f t="shared" si="101"/>
        <v>23.268799999999999</v>
      </c>
      <c r="AB154" s="54" t="e">
        <f>VLOOKUP(A154,Enforcements!$C$7:$K$9,8,0)</f>
        <v>#N/A</v>
      </c>
      <c r="AC154" s="51" t="e">
        <f>VLOOKUP(A154,Enforcements!$C$7:$E$9,3,0)</f>
        <v>#N/A</v>
      </c>
      <c r="AD154" s="178">
        <f t="shared" si="102"/>
        <v>243</v>
      </c>
      <c r="AE154" s="77" t="str">
        <f t="shared" si="103"/>
        <v>aws s3 cp s3://rtdc.mdm.uploadarchive.raw/RTDC4024/ "%USERPROFILE%\AppData\Local\Temp\OnboardLogs"\RTDC4024\2017-11-19 --exclude "*" --recursive --include "*20171119*" &amp; "%USERPROFILE%\Documents\GitHub\mrs-test-scripts\Headless Mode &amp; Sideloading\WalkAndUnGZ.bat" "%USERPROFILE%\AppData\Local\Temp\OnboardLogs"\RTDC4024\2017-11-19 &amp; aws s3 cp s3://rtdc.mdm.uploadarchive.raw/RTDC4024/ "%USERPROFILE%\AppData\Local\Temp\OnboardLogs"\RTDC4024\2017-11-20 --exclude "*" --recursive --include "*20171120*" &amp; "%USERPROFILE%\Documents\GitHub\mrs-test-scripts\Headless Mode &amp; Sideloading\WalkAndUnGZ.bat" "%USERPROFILE%\AppData\Local\Temp\OnboardLogs"\RTDC4024\2017-11-20</v>
      </c>
      <c r="AF154" s="74" t="str">
        <f t="shared" si="104"/>
        <v>"C:\Program Files (x86)\AstroGrep\AstroGrep.exe" /e /r /s /spath="%USERPROFILE%\AppData\Local\Temp\OnboardLogs" /stypes="app*4024*20171119*" /stext=" 08:.+((SYSTEM_STATE.+slice.+state.+changed )|(ment ac)|(multiple cpu faults)|(system.+state.+changed )|(\[timeout)|(PRM\|1\|D)|(kpr)|(kdp)|(train st.+moving)|(\|lc)|(penalty))"</v>
      </c>
      <c r="AG154" s="181" t="str">
        <f t="shared" si="105"/>
        <v>EC</v>
      </c>
      <c r="AH154" s="78" t="str">
        <f t="shared" ref="AH154" si="113"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"&amp;J154&amp;IF(outputrefinedruntimes," &gt;&gt;"&amp;RefinedRTDCRunTimesOutputFile,"")</f>
        <v>"%USERPROFILE%\Documents\GitHub\eaglep3\Utilities\RefineRTDCRunTimes.py" --tripid 243-18 --locoid 4024 --swversion DE.1.0.9.0 --startMP 204:157929 --initTime 2017-11-19T00:50:13 --startdatetime 2017-11-19T00:30:30 --delay 61 --endMP 204:269 --enddatetime 2017-11-19T01:17:44 --enforcementcount 0 &gt;&gt;%USERPROFILE%\Documents\GitHub\eaglep3-reporting\EC\2017-11-18-refined-times.txt</v>
      </c>
      <c r="AI154" s="96" t="str">
        <f t="shared" ref="AI154" si="114">"echo {""issue"":{""subject"":"""&amp;R154&amp;""",""project_id"":79,""tracker_id"":40,""status_id"":"&amp;redmine_status&amp;",""priority_id"":"&amp;redmine_priority&amp;",""assigned_to_id"":"&amp;redmine_assignee&amp;",""start_date"":"""&amp;TEXT(I154,"YYYY-mm-dd")&amp;""",""description"":"""&amp;AJ154&amp;""",""custom_fields"":[{""id"":1,""name"":""Subdivision"",""value"":"""&amp;AG154&amp;"""},{""id"":4,""name"":""Milepost"",""value"":"""&amp;Z154&amp;"""},{""id"":17,""name"":""Train ID"",""value"":"""&amp;A154&amp;"""},{""id"":16,""name"":""Locomotive ID"",""value"":"""&amp;B154&amp;"""},{""id"":130,""name"":""Impact"",""value"":"""&amp;AK154&amp;"""},{""id"":150,""name"":""Time of Event (Mountain Time)"",""value"":"""&amp;TEXT(I154,"hh:mm:ss")&amp;"""},{""id"":151,""name"":""Denver Issue ID"",""value"":"""&amp;"""},{""id"":178,""name"":""Operational Impact"",""value"":"""&amp;redmine_op_impact&amp;"""},{""id"":179,""name"":""Denver Segment Assigned"",""value"":"""&amp;AL154&amp;"""}]}}"&amp;"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{"issue":{"subject":"","project_id":79,"tracker_id":40,"status_id":1,"priority_id":2,"assigned_to_id":338,"start_date":"2017-11-19","description":"","custom_fields":[{"id":1,"name":"Subdivision","value":"EC"},{"id":4,"name":"Milepost","value":"23.3186"},{"id":17,"name":"Train ID","value":"243-18"},{"id":16,"name":"Locomotive ID","value":"4024"},{"id":130,"name":"Impact","value":""},{"id":150,"name":"Time of Event (Mountain Time)","value":"01:17:44"},{"id":151,"name":"Denver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1" t="str">
        <f t="shared" ref="AM154" si="115">"start /low /b "&amp;dls3logs&amp;" --loco "&amp;B154&amp;" --day "&amp;TEXT(F154,"YYYY-MM-DD")</f>
        <v>start /low /b %USERPROFILE%\Documents\GitHub\eaglep3\Utilities\DownloadLogsFromS3.py --loco 4024 --day 2017-11-19</v>
      </c>
      <c r="AN154" s="150" t="str">
        <f t="shared" ref="AN154" si="116">"echo {""issue"":{""subject"":"""&amp;R154&amp;""",""project_id"":30,""tracker_id"":4,""status_id"":"&amp;redmine_status_wcr&amp;",""priority_id"":"&amp;redmine_priority_wcr&amp;",""assigned_to_id"":"&amp;redmine_assignee_wcr&amp;",""start_date"":"""&amp;TEXT(I154-utc_offset/24,"YYYY-mm-dd")&amp;""",""description"":"""&amp;AJ154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08:17:44"},{"id":29,"name":"Sharepoint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7" t="str">
        <f t="shared" ref="AO154" si="117"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Message%20ID',Summary),filters:!(),index:'emp_*',interval:auto,query:"&amp;"(query_string:(analyze_wildcard:!t,query:'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-11-18T23:50:13-0700',mode:absolute,to:'2017-11-19T02:17:44-0700'))&amp;_a=(columns:!('Message%20ID',Summary),filters:!(),index:'emp_*',interval:auto,query:(query_string:(analyze_wildcard:!t,query:'%22rtdc.l.rtdc.4024%22')),sort:!(Time.ISO8601,asc))</v>
      </c>
    </row>
    <row r="155" spans="1:91" s="20" customFormat="1" x14ac:dyDescent="0.25">
      <c r="A155" s="32" t="s">
        <v>900</v>
      </c>
      <c r="B155" s="7">
        <v>4023</v>
      </c>
      <c r="C155" s="21" t="s">
        <v>192</v>
      </c>
      <c r="D155" s="21" t="s">
        <v>1028</v>
      </c>
      <c r="E155" s="13">
        <v>43058.034872685188</v>
      </c>
      <c r="F155" s="13">
        <v>43058.060740740744</v>
      </c>
      <c r="G155" s="7">
        <v>61</v>
      </c>
      <c r="H155" s="21" t="s">
        <v>1009</v>
      </c>
      <c r="I155" s="13">
        <v>43058.089004629626</v>
      </c>
      <c r="J155" s="7">
        <v>0</v>
      </c>
      <c r="K155" s="89" t="str">
        <f t="shared" si="96"/>
        <v>4023/4024</v>
      </c>
      <c r="L155" s="184" t="str">
        <f>VLOOKUP(A155,'Trips&amp;Operators'!$C$1:$G$99911,5,FALSE)</f>
        <v>NICHOLSON WESLEY</v>
      </c>
      <c r="M155" s="6">
        <f t="shared" si="97"/>
        <v>2.8263888882065658E-2</v>
      </c>
      <c r="N155" s="7">
        <f t="shared" si="112"/>
        <v>40.699999990174547</v>
      </c>
      <c r="O155" s="7"/>
      <c r="P155" s="7"/>
      <c r="Q155" s="22"/>
      <c r="R155" s="173"/>
      <c r="S155" s="220">
        <f t="shared" si="98"/>
        <v>1</v>
      </c>
      <c r="T155" s="173" t="str">
        <f t="shared" si="99"/>
        <v>Southbound</v>
      </c>
      <c r="U155" s="19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5" t="str">
        <f t="shared" si="100"/>
        <v>https://d0f6bd738d7f1b3e5a7ca70fe4ff75f0.us-east-1.aws.found.io/app/kibana#/discover/Steve-Slow-Train-Analysis-(2080s-and-2083s)?_g=(refreshInterval:(display:Off,pause:!f,section:0,value:0),time:(from:'2017-11-18T23:50:13-0700',mode:absolute,to:'2017-11-19T03:08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5" s="203" t="str">
        <f>IF(AA155&lt;VLOOKUP(AG155,Variables!$AC$3:$AD$8,2,FALSE),"Y","N")</f>
        <v>N</v>
      </c>
      <c r="X155" s="203">
        <f t="shared" si="111"/>
        <v>1</v>
      </c>
      <c r="Y155" s="203">
        <v>23.287099999999999</v>
      </c>
      <c r="Z155" s="203">
        <v>2.18E-2</v>
      </c>
      <c r="AA155" s="203">
        <f t="shared" si="101"/>
        <v>23.2653</v>
      </c>
      <c r="AB155" s="54" t="e">
        <f>VLOOKUP(A155,Enforcements!$C$7:$K$9,8,0)</f>
        <v>#N/A</v>
      </c>
      <c r="AC155" s="51" t="e">
        <f>VLOOKUP(A155,Enforcements!$C$7:$E$9,3,0)</f>
        <v>#N/A</v>
      </c>
      <c r="AD155" s="178">
        <f t="shared" si="102"/>
        <v>244</v>
      </c>
      <c r="AE155" s="77" t="str">
        <f t="shared" si="103"/>
        <v>aws s3 cp s3://rtdc.mdm.uploadarchive.raw/RTDC4023/ "%USERPROFILE%\AppData\Local\Temp\OnboardLogs"\RTDC4023\2017-11-19 --exclude "*" --recursive --include "*20171119*" &amp; "%USERPROFILE%\Documents\GitHub\mrs-test-scripts\Headless Mode &amp; Sideloading\WalkAndUnGZ.bat" "%USERPROFILE%\AppData\Local\Temp\OnboardLogs"\RTDC4023\2017-11-19 &amp; aws s3 cp s3://rtdc.mdm.uploadarchive.raw/RTDC4023/ "%USERPROFILE%\AppData\Local\Temp\OnboardLogs"\RTDC4023\2017-11-20 --exclude "*" --recursive --include "*20171120*" &amp; "%USERPROFILE%\Documents\GitHub\mrs-test-scripts\Headless Mode &amp; Sideloading\WalkAndUnGZ.bat" "%USERPROFILE%\AppData\Local\Temp\OnboardLogs"\RTDC4023\2017-11-20</v>
      </c>
      <c r="AF155" s="74" t="str">
        <f t="shared" si="104"/>
        <v>"C:\Program Files (x86)\AstroGrep\AstroGrep.exe" /e /r /s /spath="%USERPROFILE%\AppData\Local\Temp\OnboardLogs" /stypes="app*4023*20171119*" /stext=" 09:.+((SYSTEM_STATE.+slice.+state.+changed )|(ment ac)|(multiple cpu faults)|(system.+state.+changed )|(\[timeout)|(PRM\|1\|D)|(kpr)|(kdp)|(train st.+moving)|(\|lc)|(penalty))"</v>
      </c>
      <c r="AG155" s="181" t="str">
        <f t="shared" si="105"/>
        <v>EC</v>
      </c>
      <c r="AH155" s="78" t="str">
        <f t="shared" ref="AH155" si="118">refinertdcruntimes&amp;" --tripid "&amp;A155&amp;" --locoid "&amp;B155&amp;" --swversion "&amp;C155&amp;" --startMP "&amp;D155&amp;" --initTime "&amp;TEXT(E155,"yyyy-mm-ddTHH:MM:SS")&amp;" --startdatetime "&amp;TEXT(F155,"yyyy-mm-ddTHH:MM:SS")&amp;" --delay "&amp;G155&amp;" --endMP "&amp;H155&amp;" --enddatetime "&amp;TEXT(I155,"yyyy-mm-ddTHH:MM:SS")&amp;" --enforcementcount "&amp;J155&amp;IF(outputrefinedruntimes," &gt;&gt;"&amp;RefinedRTDCRunTimesOutputFile,"")</f>
        <v>"%USERPROFILE%\Documents\GitHub\eaglep3\Utilities\RefineRTDCRunTimes.py" --tripid 244-18 --locoid 4023 --swversion DE.1.0.9.0 --startMP 204:157929 --initTime 2017-11-19T00:50:13 --startdatetime 2017-11-19T01:27:28 --delay 61 --endMP 204:269 --enddatetime 2017-11-19T02:08:10 --enforcementcount 0 &gt;&gt;%USERPROFILE%\Documents\GitHub\eaglep3-reporting\EC\2017-11-18-refined-times.txt</v>
      </c>
      <c r="AI155" s="96" t="str">
        <f t="shared" ref="AI155" si="119">"echo {""issue"":{""subject"":"""&amp;R155&amp;""",""project_id"":79,""tracker_id"":40,""status_id"":"&amp;redmine_status&amp;",""priority_id"":"&amp;redmine_priority&amp;",""assigned_to_id"":"&amp;redmine_assignee&amp;",""start_date"":"""&amp;TEXT(I155,"YYYY-mm-dd")&amp;""",""description"":"""&amp;AJ155&amp;""",""custom_fields"":[{""id"":1,""name"":""Subdivision"",""value"":"""&amp;AG155&amp;"""},{""id"":4,""name"":""Milepost"",""value"":"""&amp;Z155&amp;"""},{""id"":17,""name"":""Train ID"",""value"":"""&amp;A155&amp;"""},{""id"":16,""name"":""Locomotive ID"",""value"":"""&amp;B155&amp;"""},{""id"":130,""name"":""Impact"",""value"":"""&amp;AK155&amp;"""},{""id"":150,""name"":""Time of Event (Mountain Time)"",""value"":"""&amp;TEXT(I155,"hh:mm:ss")&amp;"""},{""id"":151,""name"":""Denver Issue ID"",""value"":"""&amp;"""},{""id"":178,""name"":""Operational Impact"",""value"":"""&amp;redmine_op_impact&amp;"""},{""id"":179,""name"":""Denver Segment Assigned"",""value"":"""&amp;AL155&amp;"""}]}}"&amp;"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{"issue":{"subject":"","project_id":79,"tracker_id":40,"status_id":1,"priority_id":2,"assigned_to_id":338,"start_date":"2017-11-19","description":"","custom_fields":[{"id":1,"name":"Subdivision","value":"EC"},{"id":4,"name":"Milepost","value":"0.0218"},{"id":17,"name":"Train ID","value":"244-18"},{"id":16,"name":"Locomotive ID","value":"4023"},{"id":130,"name":"Impact","value":""},{"id":150,"name":"Time of Event (Mountain Time)","value":"02:08:10"},{"id":151,"name":"Denver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1" t="str">
        <f t="shared" ref="AM155" si="120">"start /low /b "&amp;dls3logs&amp;" --loco "&amp;B155&amp;" --day "&amp;TEXT(F155,"YYYY-MM-DD")</f>
        <v>start /low /b %USERPROFILE%\Documents\GitHub\eaglep3\Utilities\DownloadLogsFromS3.py --loco 4023 --day 2017-11-19</v>
      </c>
      <c r="AN155" s="150" t="str">
        <f t="shared" ref="AN155" si="121">"echo {""issue"":{""subject"":"""&amp;R155&amp;""",""project_id"":30,""tracker_id"":4,""status_id"":"&amp;redmine_status_wcr&amp;",""priority_id"":"&amp;redmine_priority_wcr&amp;",""assigned_to_id"":"&amp;redmine_assignee_wcr&amp;",""start_date"":"""&amp;TEXT(I155-utc_offset/24,"YYYY-mm-dd")&amp;""",""description"":"""&amp;AJ155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09:08:10"},{"id":29,"name":"Sharepoint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7" t="str">
        <f t="shared" ref="AO155" si="122"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Message%20ID',Summary),filters:!(),index:'emp_*',interval:auto,query:"&amp;"(query_string:(analyze_wildcard:!t,query:'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-11-18T23:50:13-0700',mode:absolute,to:'2017-11-19T03:08:10-0700'))&amp;_a=(columns:!('Message%20ID',Summary),filters:!(),index:'emp_*',interval:auto,query:(query_string:(analyze_wildcard:!t,query:'%22rtdc.l.rtdc.4023%22')),sort:!(Time.ISO8601,asc))</v>
      </c>
    </row>
    <row r="156" spans="1:91" s="20" customFormat="1" x14ac:dyDescent="0.25">
      <c r="A156" s="32" t="s">
        <v>898</v>
      </c>
      <c r="B156" s="7">
        <v>4012</v>
      </c>
      <c r="C156" s="21" t="s">
        <v>192</v>
      </c>
      <c r="D156" s="21" t="s">
        <v>1029</v>
      </c>
      <c r="E156" s="13">
        <v>43058.026469907411</v>
      </c>
      <c r="F156" s="13">
        <v>43058.04184027778</v>
      </c>
      <c r="G156" s="7">
        <v>57</v>
      </c>
      <c r="H156" s="21" t="s">
        <v>1030</v>
      </c>
      <c r="I156" s="13">
        <v>43058.069386574076</v>
      </c>
      <c r="J156" s="7">
        <v>0</v>
      </c>
      <c r="K156" s="89" t="str">
        <f t="shared" si="96"/>
        <v>4011/4012</v>
      </c>
      <c r="L156" s="184" t="str">
        <f>VLOOKUP(A156,'Trips&amp;Operators'!$C$1:$G$99911,5,FALSE)</f>
        <v>GUNTHIER ERIC</v>
      </c>
      <c r="M156" s="6">
        <f t="shared" si="97"/>
        <v>2.7546296296350192E-2</v>
      </c>
      <c r="N156" s="7">
        <f t="shared" si="112"/>
        <v>39.666666666744277</v>
      </c>
      <c r="O156" s="7"/>
      <c r="P156" s="7"/>
      <c r="Q156" s="22"/>
      <c r="R156" s="173"/>
      <c r="S156" s="220">
        <f t="shared" si="98"/>
        <v>1</v>
      </c>
      <c r="T156" s="173" t="str">
        <f t="shared" si="99"/>
        <v>NorthBound</v>
      </c>
      <c r="U156" s="19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5" t="str">
        <f t="shared" si="100"/>
        <v>https://d0f6bd738d7f1b3e5a7ca70fe4ff75f0.us-east-1.aws.found.io/app/kibana#/discover/Steve-Slow-Train-Analysis-(2080s-and-2083s)?_g=(refreshInterval:(display:Off,pause:!f,section:0,value:0),time:(from:'2017-11-18T23:38:07-0700',mode:absolute,to:'2017-11-19T02:39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6" s="203" t="str">
        <f>IF(AA156&lt;VLOOKUP(AG156,Variables!$AC$3:$AD$8,2,FALSE),"Y","N")</f>
        <v>N</v>
      </c>
      <c r="X156" s="203">
        <f t="shared" si="111"/>
        <v>1</v>
      </c>
      <c r="Y156" s="203">
        <f>RIGHT(D156,LEN(D156)-4)/10000</f>
        <v>0.11559999999999999</v>
      </c>
      <c r="Z156" s="203">
        <f>RIGHT(H156,LEN(H156)-4)/10000</f>
        <v>23.290800000000001</v>
      </c>
      <c r="AA156" s="203">
        <f t="shared" si="101"/>
        <v>23.1752</v>
      </c>
      <c r="AB156" s="54" t="e">
        <f>VLOOKUP(A156,Enforcements!$C$7:$K$9,8,0)</f>
        <v>#N/A</v>
      </c>
      <c r="AC156" s="51" t="e">
        <f>VLOOKUP(A156,Enforcements!$C$7:$E$9,3,0)</f>
        <v>#N/A</v>
      </c>
      <c r="AD156" s="178">
        <f t="shared" si="102"/>
        <v>245</v>
      </c>
      <c r="AE156" s="77" t="str">
        <f t="shared" si="103"/>
        <v>aws s3 cp s3://rtdc.mdm.uploadarchive.raw/RTDC4012/ "%USERPROFILE%\AppData\Local\Temp\OnboardLogs"\RTDC4012\2017-11-19 --exclude "*" --recursive --include "*20171119*" &amp; "%USERPROFILE%\Documents\GitHub\mrs-test-scripts\Headless Mode &amp; Sideloading\WalkAndUnGZ.bat" "%USERPROFILE%\AppData\Local\Temp\OnboardLogs"\RTDC4012\2017-11-19 &amp; aws s3 cp s3://rtdc.mdm.uploadarchive.raw/RTDC4012/ "%USERPROFILE%\AppData\Local\Temp\OnboardLogs"\RTDC4012\2017-11-20 --exclude "*" --recursive --include "*20171120*" &amp; "%USERPROFILE%\Documents\GitHub\mrs-test-scripts\Headless Mode &amp; Sideloading\WalkAndUnGZ.bat" "%USERPROFILE%\AppData\Local\Temp\OnboardLogs"\RTDC4012\2017-11-20</v>
      </c>
      <c r="AF156" s="74" t="str">
        <f t="shared" si="104"/>
        <v>"C:\Program Files (x86)\AstroGrep\AstroGrep.exe" /e /r /s /spath="%USERPROFILE%\AppData\Local\Temp\OnboardLogs" /stypes="app*4012*20171119*" /stext=" 08:.+((SYSTEM_STATE.+slice.+state.+changed )|(ment ac)|(multiple cpu faults)|(system.+state.+changed )|(\[timeout)|(PRM\|1\|D)|(kpr)|(kdp)|(train st.+moving)|(\|lc)|(penalty))"</v>
      </c>
      <c r="AG156" s="181" t="str">
        <f t="shared" si="105"/>
        <v>EC</v>
      </c>
      <c r="AH156" s="78" t="str">
        <f t="shared" si="106"/>
        <v>"%USERPROFILE%\Documents\GitHub\eaglep3\Utilities\RefineRTDCRunTimes.py" --tripid 245-18 --locoid 4012 --swversion DE.1.0.9.0 --startMP 204:1156 --initTime 2017-11-19T00:38:07 --startdatetime 2017-11-19T01:00:15 --delay 57 --endMP 204:232908 --enddatetime 2017-11-19T01:39:55 --enforcementcount 0 &gt;&gt;%USERPROFILE%\Documents\GitHub\eaglep3-reporting\EC\2017-11-18-refined-times.txt</v>
      </c>
      <c r="AI156" s="96" t="str">
        <f t="shared" si="107"/>
        <v>echo {"issue":{"subject":"","project_id":79,"tracker_id":40,"status_id":1,"priority_id":2,"assigned_to_id":338,"start_date":"2017-11-19","description":"","custom_fields":[{"id":1,"name":"Subdivision","value":"EC"},{"id":4,"name":"Milepost","value":"23.2908"},{"id":17,"name":"Train ID","value":"245-18"},{"id":16,"name":"Locomotive ID","value":"4012"},{"id":130,"name":"Impact","value":""},{"id":150,"name":"Time of Event (Mountain Time)","value":"01:39:55"},{"id":151,"name":"Denver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1" t="str">
        <f t="shared" si="108"/>
        <v>start /low /b %USERPROFILE%\Documents\GitHub\eaglep3\Utilities\DownloadLogsFromS3.py --loco 4012 --day 2017-11-19</v>
      </c>
      <c r="AN156" s="150" t="str">
        <f t="shared" si="109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08:39:55"},{"id":29,"name":"Sharepoint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7" t="str">
        <f t="shared" si="110"/>
        <v>https://d0f6bd738d7f1b3e5a7ca70fe4ff75f0.us-east-1.aws.found.io/app/kibana#/discover/Steve-Slow-Train-Analysis-(2080s-and-2083s)?_g=(refreshInterval:(display:Off,pause:!f,section:0,value:0),time:(from:'2017-11-18T23:38:07-0700',mode:absolute,to:'2017-11-19T02:39:55-0700'))&amp;_a=(columns:!('Message%20ID',Summary),filters:!(),index:'emp_*',interval:auto,query:(query_string:(analyze_wildcard:!t,query:'%22rtdc.l.rtdc.4012%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902</v>
      </c>
      <c r="B157" s="7">
        <v>4011</v>
      </c>
      <c r="C157" s="21" t="s">
        <v>192</v>
      </c>
      <c r="D157" s="21" t="s">
        <v>1029</v>
      </c>
      <c r="E157" s="13">
        <v>43058.026469907411</v>
      </c>
      <c r="F157" s="13">
        <v>43058.09915509259</v>
      </c>
      <c r="G157" s="7">
        <v>57</v>
      </c>
      <c r="H157" s="21" t="s">
        <v>1030</v>
      </c>
      <c r="I157" s="13">
        <v>43058.125150462962</v>
      </c>
      <c r="J157" s="7">
        <v>0</v>
      </c>
      <c r="K157" s="89" t="str">
        <f t="shared" si="96"/>
        <v>4011/4012</v>
      </c>
      <c r="L157" s="184" t="str">
        <f>VLOOKUP(A157,'Trips&amp;Operators'!$C$1:$G$99911,5,FALSE)</f>
        <v>GUNTHIER ERIC</v>
      </c>
      <c r="M157" s="6">
        <f t="shared" si="97"/>
        <v>2.5995370371674653E-2</v>
      </c>
      <c r="N157" s="7">
        <f t="shared" si="112"/>
        <v>37.433333335211501</v>
      </c>
      <c r="O157" s="7"/>
      <c r="P157" s="7"/>
      <c r="Q157" s="22"/>
      <c r="R157" s="173"/>
      <c r="S157" s="220">
        <f t="shared" si="98"/>
        <v>1</v>
      </c>
      <c r="T157" s="173" t="str">
        <f t="shared" si="99"/>
        <v>Southbound</v>
      </c>
      <c r="U157" s="19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5" t="str">
        <f t="shared" si="100"/>
        <v>https://d0f6bd738d7f1b3e5a7ca70fe4ff75f0.us-east-1.aws.found.io/app/kibana#/discover/Steve-Slow-Train-Analysis-(2080s-and-2083s)?_g=(refreshInterval:(display:Off,pause:!f,section:0,value:0),time:(from:'2017-11-18T23:38:07-0700',mode:absolute,to:'2017-11-19T04:00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7" s="203" t="str">
        <f>IF(AA157&lt;VLOOKUP(AG157,Variables!$AC$3:$AD$8,2,FALSE),"Y","N")</f>
        <v>N</v>
      </c>
      <c r="X157" s="203">
        <f t="shared" si="111"/>
        <v>1</v>
      </c>
      <c r="Y157" s="203">
        <v>23.287099999999999</v>
      </c>
      <c r="Z157" s="203">
        <v>2.18E-2</v>
      </c>
      <c r="AA157" s="203">
        <f t="shared" si="101"/>
        <v>23.2653</v>
      </c>
      <c r="AB157" s="54" t="e">
        <f>VLOOKUP(A157,Enforcements!$C$7:$K$9,8,0)</f>
        <v>#N/A</v>
      </c>
      <c r="AC157" s="51" t="e">
        <f>VLOOKUP(A157,Enforcements!$C$7:$E$9,3,0)</f>
        <v>#N/A</v>
      </c>
      <c r="AD157" s="178">
        <f t="shared" si="102"/>
        <v>246</v>
      </c>
      <c r="AE157" s="77" t="str">
        <f t="shared" si="103"/>
        <v>aws s3 cp s3://rtdc.mdm.uploadarchive.raw/RTDC4011/ "%USERPROFILE%\AppData\Local\Temp\OnboardLogs"\RTDC4011\2017-11-19 --exclude "*" --recursive --include "*20171119*" &amp; "%USERPROFILE%\Documents\GitHub\mrs-test-scripts\Headless Mode &amp; Sideloading\WalkAndUnGZ.bat" "%USERPROFILE%\AppData\Local\Temp\OnboardLogs"\RTDC4011\2017-11-19 &amp; aws s3 cp s3://rtdc.mdm.uploadarchive.raw/RTDC4011/ "%USERPROFILE%\AppData\Local\Temp\OnboardLogs"\RTDC4011\2017-11-20 --exclude "*" --recursive --include "*20171120*" &amp; "%USERPROFILE%\Documents\GitHub\mrs-test-scripts\Headless Mode &amp; Sideloading\WalkAndUnGZ.bat" "%USERPROFILE%\AppData\Local\Temp\OnboardLogs"\RTDC4011\2017-11-20</v>
      </c>
      <c r="AF157" s="74" t="str">
        <f t="shared" si="104"/>
        <v>"C:\Program Files (x86)\AstroGrep\AstroGrep.exe" /e /r /s /spath="%USERPROFILE%\AppData\Local\Temp\OnboardLogs" /stypes="app*4011*20171119*" /stext=" 10:.+((SYSTEM_STATE.+slice.+state.+changed )|(ment ac)|(multiple cpu faults)|(system.+state.+changed )|(\[timeout)|(PRM\|1\|D)|(kpr)|(kdp)|(train st.+moving)|(\|lc)|(penalty))"</v>
      </c>
      <c r="AG157" s="181" t="str">
        <f t="shared" si="105"/>
        <v>EC</v>
      </c>
      <c r="AH157" s="78" t="str">
        <f t="shared" ref="AH157" si="123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246-18 --locoid 4011 --swversion DE.1.0.9.0 --startMP 204:1156 --initTime 2017-11-19T00:38:07 --startdatetime 2017-11-19T02:22:47 --delay 57 --endMP 204:232908 --enddatetime 2017-11-19T03:00:13 --enforcementcount 0 &gt;&gt;%USERPROFILE%\Documents\GitHub\eaglep3-reporting\EC\2017-11-18-refined-times.txt</v>
      </c>
      <c r="AI157" s="96" t="str">
        <f t="shared" ref="AI157" si="124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{"issue":{"subject":"","project_id":79,"tracker_id":40,"status_id":1,"priority_id":2,"assigned_to_id":338,"start_date":"2017-11-19","description":"","custom_fields":[{"id":1,"name":"Subdivision","value":"EC"},{"id":4,"name":"Milepost","value":"0.0218"},{"id":17,"name":"Train ID","value":"246-18"},{"id":16,"name":"Locomotive ID","value":"4011"},{"id":130,"name":"Impact","value":""},{"id":150,"name":"Time of Event (Mountain Time)","value":"03:00:13"},{"id":151,"name":"Denver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1" t="str">
        <f t="shared" ref="AM157" si="125">"start /low /b "&amp;dls3logs&amp;" --loco "&amp;B157&amp;" --day "&amp;TEXT(F157,"YYYY-MM-DD")</f>
        <v>start /low /b %USERPROFILE%\Documents\GitHub\eaglep3\Utilities\DownloadLogsFromS3.py --loco 4011 --day 2017-11-19</v>
      </c>
      <c r="AN157" s="150" t="str">
        <f t="shared" ref="AN157" si="126">"echo {""issue"":{""subject"":"""&amp;R157&amp;""",""project_id"":30,""tracker_id"":4,""status_id"":"&amp;redmine_status_wcr&amp;",""priority_id"":"&amp;redmine_priority_wcr&amp;",""assigned_to_id"":"&amp;redmine_assignee_wcr&amp;",""start_date"":"""&amp;TEXT(I157-utc_offset/24,"YYYY-mm-dd")&amp;""",""description"":"""&amp;AJ157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10:00:13"},{"id":29,"name":"Sharepoint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7" t="str">
        <f t="shared" ref="AO157" si="127"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Message%20ID',Summary),filters:!(),index:'emp_*',interval:auto,query:"&amp;"(query_string:(analyze_wildcard:!t,query:'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-11-18T23:38:07-0700',mode:absolute,to:'2017-11-19T04:00:13-0700'))&amp;_a=(columns:!('Message%20ID',Summary),filters:!(),index:'emp_*',interval:auto,query:(query_string:(analyze_wildcard:!t,query:'%22rtdc.l.rtdc.4011%22')),sort:!(Time.ISO8601,asc))</v>
      </c>
    </row>
    <row r="158" spans="1:91" s="20" customFormat="1" x14ac:dyDescent="0.25">
      <c r="A158" s="32" t="s">
        <v>745</v>
      </c>
      <c r="B158" s="7">
        <v>4031</v>
      </c>
      <c r="C158" s="21" t="s">
        <v>192</v>
      </c>
      <c r="D158" s="21" t="s">
        <v>655</v>
      </c>
      <c r="E158" s="13">
        <v>43057.234780092593</v>
      </c>
      <c r="F158" s="13">
        <v>43057.236701388887</v>
      </c>
      <c r="G158" s="7">
        <v>70</v>
      </c>
      <c r="H158" s="21" t="s">
        <v>958</v>
      </c>
      <c r="I158" s="13">
        <v>43057.246388888889</v>
      </c>
      <c r="J158" s="7">
        <v>0</v>
      </c>
      <c r="K158" s="89" t="str">
        <f t="shared" si="96"/>
        <v>4031/4032</v>
      </c>
      <c r="L158" s="184" t="str">
        <f>VLOOKUP(A158,'Trips&amp;Operators'!$C$1:$G$99911,5,FALSE)</f>
        <v>LAMAR NEKESHA</v>
      </c>
      <c r="M158" s="6">
        <f t="shared" si="97"/>
        <v>9.6875000017462298E-3</v>
      </c>
      <c r="N158" s="7">
        <f t="shared" si="112"/>
        <v>13.950000002514571</v>
      </c>
      <c r="O158" s="7"/>
      <c r="P158" s="7"/>
      <c r="Q158" s="22"/>
      <c r="R158" s="173"/>
      <c r="S158" s="220">
        <f t="shared" si="98"/>
        <v>1</v>
      </c>
      <c r="T158" s="173" t="str">
        <f t="shared" si="99"/>
        <v>Southbound</v>
      </c>
      <c r="U158" s="19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15" t="str">
        <f t="shared" si="100"/>
        <v>https://d0f6bd738d7f1b3e5a7ca70fe4ff75f0.us-east-1.aws.found.io/app/kibana#/discover/Steve-Slow-Train-Analysis-(2080s-and-2083s)?_g=(refreshInterval:(display:Off,pause:!f,section:0,value:0),time:(from:'2017-11-18T04:38:05-0700',mode:absolute,to:'2017-11-18T06:54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8" s="203" t="str">
        <f>IF(AA158&lt;VLOOKUP(AG158,Variables!$AC$3:$AD$8,2,FALSE),"Y","N")</f>
        <v>N</v>
      </c>
      <c r="X158" s="203">
        <f t="shared" si="111"/>
        <v>1554</v>
      </c>
      <c r="Y158" s="203">
        <f t="shared" ref="Y158:Y170" si="128">RIGHT(D158,LEN(D158)-4)/10000</f>
        <v>5.8672000000000004</v>
      </c>
      <c r="Z158" s="203">
        <f t="shared" ref="Z158:Z170" si="129">RIGHT(H158,LEN(H158)-4)/10000</f>
        <v>6.9199999999999998E-2</v>
      </c>
      <c r="AA158" s="203">
        <f t="shared" si="101"/>
        <v>5.798</v>
      </c>
      <c r="AB158" s="54" t="e">
        <f>VLOOKUP(A158,Enforcements!$C$7:$K$9,8,0)</f>
        <v>#N/A</v>
      </c>
      <c r="AC158" s="51" t="e">
        <f>VLOOKUP(A158,Enforcements!$C$7:$E$9,3,0)</f>
        <v>#N/A</v>
      </c>
      <c r="AD158" s="178">
        <f t="shared" si="102"/>
        <v>1800</v>
      </c>
      <c r="AE158" s="77" t="str">
        <f t="shared" si="103"/>
        <v>aws s3 cp s3://rtdc.mdm.uploadarchive.raw/RTDC4031/ "%USERPROFILE%\AppData\Local\Temp\OnboardLogs"\RTDC4031\2017-11-18 --exclude "*" --recursive --include "*20171118*" &amp; "%USERPROFILE%\Documents\GitHub\mrs-test-scripts\Headless Mode &amp; Sideloading\WalkAndUnGZ.bat" "%USERPROFILE%\AppData\Local\Temp\OnboardLogs"\RTDC4031\2017-11-18 &amp; aws s3 cp s3://rtdc.mdm.uploadarchive.raw/RTDC4031/ "%USERPROFILE%\AppData\Local\Temp\OnboardLogs"\RTDC4031\2017-11-19 --exclude "*" --recursive --include "*20171119*" &amp; "%USERPROFILE%\Documents\GitHub\mrs-test-scripts\Headless Mode &amp; Sideloading\WalkAndUnGZ.bat" "%USERPROFILE%\AppData\Local\Temp\OnboardLogs"\RTDC4031\2017-11-19</v>
      </c>
      <c r="AF158" s="74" t="str">
        <f t="shared" si="104"/>
        <v>"C:\Program Files (x86)\AstroGrep\AstroGrep.exe" /e /r /s /spath="%USERPROFILE%\AppData\Local\Temp\OnboardLogs" /stypes="app*4031*20171118*" /stext=" 12:.+((SYSTEM_STATE.+slice.+state.+changed )|(ment ac)|(multiple cpu faults)|(system.+state.+changed )|(\[timeout)|(PRM\|1\|D)|(kpr)|(kdp)|(train st.+moving)|(\|lc)|(penalty))"</v>
      </c>
      <c r="AG158" s="181" t="str">
        <f t="shared" si="105"/>
        <v>NW</v>
      </c>
      <c r="AH158" s="78" t="str">
        <f t="shared" si="106"/>
        <v>"%USERPROFILE%\Documents\GitHub\eaglep3\Utilities\RefineRTDCRunTimes.py" --tripid 1800-18 --locoid 4031 --swversion DE.1.0.9.0 --startMP 300:58672 --initTime 2017-11-18T05:38:05 --startdatetime 2017-11-18T05:40:51 --delay 70 --endMP 204:692 --enddatetime 2017-11-18T05:54:48 --enforcementcount 0 &gt;&gt;%USERPROFILE%\Documents\GitHub\eaglep3-reporting\EC\2017-11-18-refined-times.txt</v>
      </c>
      <c r="AI158" s="96" t="str">
        <f t="shared" si="107"/>
        <v>echo {"issue":{"subject":"","project_id":79,"tracker_id":40,"status_id":1,"priority_id":2,"assigned_to_id":338,"start_date":"2017-11-18","description":"","custom_fields":[{"id":1,"name":"Subdivision","value":"NW"},{"id":4,"name":"Milepost","value":"0.0692"},{"id":17,"name":"Train ID","value":"1800-18"},{"id":16,"name":"Locomotive ID","value":"4031"},{"id":130,"name":"Impact","value":""},{"id":150,"name":"Time of Event (Mountain Time)","value":"05:54:48"},{"id":151,"name":"Denver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1" t="str">
        <f t="shared" si="108"/>
        <v>start /low /b %USERPROFILE%\Documents\GitHub\eaglep3\Utilities\DownloadLogsFromS3.py --loco 4031 --day 2017-11-18</v>
      </c>
      <c r="AN158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12:54:48"},{"id":29,"name":"Sharepoint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7" t="str">
        <f t="shared" si="110"/>
        <v>https://d0f6bd738d7f1b3e5a7ca70fe4ff75f0.us-east-1.aws.found.io/app/kibana#/discover/Steve-Slow-Train-Analysis-(2080s-and-2083s)?_g=(refreshInterval:(display:Off,pause:!f,section:0,value:0),time:(from:'2017-11-18T04:38:05-0700',mode:absolute,to:'2017-11-18T06:54:48-0700'))&amp;_a=(columns:!('Message%20ID',Summary),filters:!(),index:'emp_*',interval:auto,query:(query_string:(analyze_wildcard:!t,query:'%22rtdc.l.rtdc.4031%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749</v>
      </c>
      <c r="B159" s="7">
        <v>4032</v>
      </c>
      <c r="C159" s="21" t="s">
        <v>192</v>
      </c>
      <c r="D159" s="21" t="s">
        <v>959</v>
      </c>
      <c r="E159" s="13">
        <v>43057.24796296296</v>
      </c>
      <c r="F159" s="13">
        <v>43057.256712962961</v>
      </c>
      <c r="G159" s="7">
        <v>52</v>
      </c>
      <c r="H159" s="21" t="s">
        <v>960</v>
      </c>
      <c r="I159" s="13">
        <v>43057.265833333331</v>
      </c>
      <c r="J159" s="7">
        <v>0</v>
      </c>
      <c r="K159" s="89" t="str">
        <f t="shared" si="96"/>
        <v>4031/4032</v>
      </c>
      <c r="L159" s="184" t="str">
        <f>VLOOKUP(A159,'Trips&amp;Operators'!$C$1:$G$99911,5,FALSE)</f>
        <v>LAMAR NEKESHA</v>
      </c>
      <c r="M159" s="6">
        <f t="shared" si="97"/>
        <v>9.1203703705104999E-3</v>
      </c>
      <c r="N159" s="7">
        <f t="shared" si="112"/>
        <v>13.13333333353512</v>
      </c>
      <c r="O159" s="7"/>
      <c r="P159" s="7"/>
      <c r="Q159" s="22"/>
      <c r="R159" s="173"/>
      <c r="S159" s="220">
        <f t="shared" si="98"/>
        <v>1</v>
      </c>
      <c r="T159" s="173" t="str">
        <f t="shared" si="99"/>
        <v>NorthBound</v>
      </c>
      <c r="U159" s="19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5" t="str">
        <f t="shared" si="100"/>
        <v>https://d0f6bd738d7f1b3e5a7ca70fe4ff75f0.us-east-1.aws.found.io/app/kibana#/discover/Steve-Slow-Train-Analysis-(2080s-and-2083s)?_g=(refreshInterval:(display:Off,pause:!f,section:0,value:0),time:(from:'2017-11-18T04:57:04-0700',mode:absolute,to:'2017-11-18T07:22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9" s="203" t="str">
        <f>IF(AA159&lt;VLOOKUP(AG159,Variables!$AC$3:$AD$8,2,FALSE),"Y","N")</f>
        <v>N</v>
      </c>
      <c r="X159" s="203">
        <f t="shared" si="111"/>
        <v>1</v>
      </c>
      <c r="Y159" s="203">
        <f t="shared" si="128"/>
        <v>9.74E-2</v>
      </c>
      <c r="Z159" s="203">
        <f t="shared" si="129"/>
        <v>5.8992000000000004</v>
      </c>
      <c r="AA159" s="203">
        <f t="shared" si="101"/>
        <v>5.8018000000000001</v>
      </c>
      <c r="AB159" s="54" t="e">
        <f>VLOOKUP(A159,Enforcements!$C$7:$K$9,8,0)</f>
        <v>#N/A</v>
      </c>
      <c r="AC159" s="51" t="e">
        <f>VLOOKUP(A159,Enforcements!$C$7:$E$9,3,0)</f>
        <v>#N/A</v>
      </c>
      <c r="AD159" s="178">
        <f t="shared" si="102"/>
        <v>1801</v>
      </c>
      <c r="AE159" s="77" t="str">
        <f t="shared" si="103"/>
        <v>aws s3 cp s3://rtdc.mdm.uploadarchive.raw/RTDC4032/ "%USERPROFILE%\AppData\Local\Temp\OnboardLogs"\RTDC4032\2017-11-18 --exclude "*" --recursive --include "*20171118*" &amp; "%USERPROFILE%\Documents\GitHub\mrs-test-scripts\Headless Mode &amp; Sideloading\WalkAndUnGZ.bat" "%USERPROFILE%\AppData\Local\Temp\OnboardLogs"\RTDC4032\2017-11-18 &amp; aws s3 cp s3://rtdc.mdm.uploadarchive.raw/RTDC4032/ "%USERPROFILE%\AppData\Local\Temp\OnboardLogs"\RTDC4032\2017-11-19 --exclude "*" --recursive --include "*20171119*" &amp; "%USERPROFILE%\Documents\GitHub\mrs-test-scripts\Headless Mode &amp; Sideloading\WalkAndUnGZ.bat" "%USERPROFILE%\AppData\Local\Temp\OnboardLogs"\RTDC4032\2017-11-19</v>
      </c>
      <c r="AF159" s="74" t="str">
        <f t="shared" si="104"/>
        <v>"C:\Program Files (x86)\AstroGrep\AstroGrep.exe" /e /r /s /spath="%USERPROFILE%\AppData\Local\Temp\OnboardLogs" /stypes="app*4032*20171118*" /stext=" 13:.+((SYSTEM_STATE.+slice.+state.+changed )|(ment ac)|(multiple cpu faults)|(system.+state.+changed )|(\[timeout)|(PRM\|1\|D)|(kpr)|(kdp)|(train st.+moving)|(\|lc)|(penalty))"</v>
      </c>
      <c r="AG159" s="181" t="str">
        <f t="shared" si="105"/>
        <v>NW</v>
      </c>
      <c r="AH159" s="78" t="str">
        <f t="shared" si="106"/>
        <v>"%USERPROFILE%\Documents\GitHub\eaglep3\Utilities\RefineRTDCRunTimes.py" --tripid 1801-18 --locoid 4032 --swversion DE.1.0.9.0 --startMP 204:974 --initTime 2017-11-18T05:57:04 --startdatetime 2017-11-18T06:09:40 --delay 52 --endMP 300:58992 --enddatetime 2017-11-18T06:22:48 --enforcementcount 0 &gt;&gt;%USERPROFILE%\Documents\GitHub\eaglep3-reporting\EC\2017-11-18-refined-times.txt</v>
      </c>
      <c r="AI159" s="96" t="str">
        <f t="shared" si="107"/>
        <v>echo {"issue":{"subject":"","project_id":79,"tracker_id":40,"status_id":1,"priority_id":2,"assigned_to_id":338,"start_date":"2017-11-18","description":"","custom_fields":[{"id":1,"name":"Subdivision","value":"NW"},{"id":4,"name":"Milepost","value":"5.8992"},{"id":17,"name":"Train ID","value":"1801-18"},{"id":16,"name":"Locomotive ID","value":"4032"},{"id":130,"name":"Impact","value":""},{"id":150,"name":"Time of Event (Mountain Time)","value":"06:22:48"},{"id":151,"name":"Denver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1" t="str">
        <f t="shared" si="108"/>
        <v>start /low /b %USERPROFILE%\Documents\GitHub\eaglep3\Utilities\DownloadLogsFromS3.py --loco 4032 --day 2017-11-18</v>
      </c>
      <c r="AN159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13:22:48"},{"id":29,"name":"Sharepoint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7" t="str">
        <f t="shared" si="110"/>
        <v>https://d0f6bd738d7f1b3e5a7ca70fe4ff75f0.us-east-1.aws.found.io/app/kibana#/discover/Steve-Slow-Train-Analysis-(2080s-and-2083s)?_g=(refreshInterval:(display:Off,pause:!f,section:0,value:0),time:(from:'2017-11-18T04:57:04-0700',mode:absolute,to:'2017-11-18T07:22:48-0700'))&amp;_a=(columns:!('Message%20ID',Summary),filters:!(),index:'emp_*',interval:auto,query:(query_string:(analyze_wildcard:!t,query:'%22rtdc.l.rtdc.4032%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753</v>
      </c>
      <c r="B160" s="7">
        <v>4031</v>
      </c>
      <c r="C160" s="21" t="s">
        <v>192</v>
      </c>
      <c r="D160" s="21" t="s">
        <v>961</v>
      </c>
      <c r="E160" s="13">
        <v>43057.268182870372</v>
      </c>
      <c r="F160" s="13">
        <v>43057.279861111114</v>
      </c>
      <c r="G160" s="7">
        <v>102</v>
      </c>
      <c r="H160" s="21" t="s">
        <v>962</v>
      </c>
      <c r="I160" s="13">
        <v>43057.287858796299</v>
      </c>
      <c r="J160" s="7">
        <v>0</v>
      </c>
      <c r="K160" s="89" t="str">
        <f t="shared" si="96"/>
        <v>4031/4032</v>
      </c>
      <c r="L160" s="184" t="str">
        <f>VLOOKUP(A160,'Trips&amp;Operators'!$C$1:$G$99911,5,FALSE)</f>
        <v>LAMAR NEKESHA</v>
      </c>
      <c r="M160" s="6">
        <f t="shared" si="97"/>
        <v>7.9976851848186925E-3</v>
      </c>
      <c r="N160" s="7">
        <f t="shared" si="112"/>
        <v>11.516666666138917</v>
      </c>
      <c r="O160" s="7"/>
      <c r="P160" s="7"/>
      <c r="Q160" s="22"/>
      <c r="R160" s="173"/>
      <c r="S160" s="220">
        <f t="shared" si="98"/>
        <v>1</v>
      </c>
      <c r="T160" s="173" t="str">
        <f t="shared" si="99"/>
        <v>Southbound</v>
      </c>
      <c r="U160" s="19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5" t="str">
        <f t="shared" si="100"/>
        <v>https://d0f6bd738d7f1b3e5a7ca70fe4ff75f0.us-east-1.aws.found.io/app/kibana#/discover/Steve-Slow-Train-Analysis-(2080s-and-2083s)?_g=(refreshInterval:(display:Off,pause:!f,section:0,value:0),time:(from:'2017-11-18T05:26:11-0700',mode:absolute,to:'2017-11-18T07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0" s="203" t="str">
        <f>IF(AA160&lt;VLOOKUP(AG160,Variables!$AC$3:$AD$8,2,FALSE),"Y","N")</f>
        <v>N</v>
      </c>
      <c r="X160" s="203">
        <f t="shared" si="111"/>
        <v>1</v>
      </c>
      <c r="Y160" s="203">
        <f t="shared" si="128"/>
        <v>5.8682999999999996</v>
      </c>
      <c r="Z160" s="203">
        <f t="shared" si="129"/>
        <v>6.8500000000000005E-2</v>
      </c>
      <c r="AA160" s="203">
        <f t="shared" si="101"/>
        <v>5.7997999999999994</v>
      </c>
      <c r="AB160" s="54" t="e">
        <f>VLOOKUP(A160,Enforcements!$C$7:$K$9,8,0)</f>
        <v>#N/A</v>
      </c>
      <c r="AC160" s="51" t="e">
        <f>VLOOKUP(A160,Enforcements!$C$7:$E$9,3,0)</f>
        <v>#N/A</v>
      </c>
      <c r="AD160" s="178">
        <f t="shared" si="102"/>
        <v>1802</v>
      </c>
      <c r="AE160" s="77" t="str">
        <f t="shared" si="103"/>
        <v>aws s3 cp s3://rtdc.mdm.uploadarchive.raw/RTDC4031/ "%USERPROFILE%\AppData\Local\Temp\OnboardLogs"\RTDC4031\2017-11-18 --exclude "*" --recursive --include "*20171118*" &amp; "%USERPROFILE%\Documents\GitHub\mrs-test-scripts\Headless Mode &amp; Sideloading\WalkAndUnGZ.bat" "%USERPROFILE%\AppData\Local\Temp\OnboardLogs"\RTDC4031\2017-11-18 &amp; aws s3 cp s3://rtdc.mdm.uploadarchive.raw/RTDC4031/ "%USERPROFILE%\AppData\Local\Temp\OnboardLogs"\RTDC4031\2017-11-19 --exclude "*" --recursive --include "*20171119*" &amp; "%USERPROFILE%\Documents\GitHub\mrs-test-scripts\Headless Mode &amp; Sideloading\WalkAndUnGZ.bat" "%USERPROFILE%\AppData\Local\Temp\OnboardLogs"\RTDC4031\2017-11-19</v>
      </c>
      <c r="AF160" s="74" t="str">
        <f t="shared" si="104"/>
        <v>"C:\Program Files (x86)\AstroGrep\AstroGrep.exe" /e /r /s /spath="%USERPROFILE%\AppData\Local\Temp\OnboardLogs" /stypes="app*4031*20171118*" /stext=" 13:.+((SYSTEM_STATE.+slice.+state.+changed )|(ment ac)|(multiple cpu faults)|(system.+state.+changed )|(\[timeout)|(PRM\|1\|D)|(kpr)|(kdp)|(train st.+moving)|(\|lc)|(penalty))"</v>
      </c>
      <c r="AG160" s="181" t="str">
        <f t="shared" si="105"/>
        <v>NW</v>
      </c>
      <c r="AH160" s="78" t="str">
        <f t="shared" si="106"/>
        <v>"%USERPROFILE%\Documents\GitHub\eaglep3\Utilities\RefineRTDCRunTimes.py" --tripid 1802-18 --locoid 4031 --swversion DE.1.0.9.0 --startMP 300:58683 --initTime 2017-11-18T06:26:11 --startdatetime 2017-11-18T06:43:00 --delay 102 --endMP 204:685 --enddatetime 2017-11-18T06:54:31 --enforcementcount 0 &gt;&gt;%USERPROFILE%\Documents\GitHub\eaglep3-reporting\EC\2017-11-18-refined-times.txt</v>
      </c>
      <c r="AI160" s="96" t="str">
        <f t="shared" si="107"/>
        <v>echo {"issue":{"subject":"","project_id":79,"tracker_id":40,"status_id":1,"priority_id":2,"assigned_to_id":338,"start_date":"2017-11-18","description":"","custom_fields":[{"id":1,"name":"Subdivision","value":"NW"},{"id":4,"name":"Milepost","value":"0.0685"},{"id":17,"name":"Train ID","value":"1802-18"},{"id":16,"name":"Locomotive ID","value":"4031"},{"id":130,"name":"Impact","value":""},{"id":150,"name":"Time of Event (Mountain Time)","value":"06:54:31"},{"id":151,"name":"Denver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1" t="str">
        <f t="shared" si="108"/>
        <v>start /low /b %USERPROFILE%\Documents\GitHub\eaglep3\Utilities\DownloadLogsFromS3.py --loco 4031 --day 2017-11-18</v>
      </c>
      <c r="AN160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13:54:31"},{"id":29,"name":"Sharepoint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7" t="str">
        <f t="shared" si="110"/>
        <v>https://d0f6bd738d7f1b3e5a7ca70fe4ff75f0.us-east-1.aws.found.io/app/kibana#/discover/Steve-Slow-Train-Analysis-(2080s-and-2083s)?_g=(refreshInterval:(display:Off,pause:!f,section:0,value:0),time:(from:'2017-11-18T05:26:11-0700',mode:absolute,to:'2017-11-18T07:54:31-0700'))&amp;_a=(columns:!('Message%20ID',Summary),filters:!(),index:'emp_*',interval:auto,query:(query_string:(analyze_wildcard:!t,query:'%22rtdc.l.rtdc.4031%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674</v>
      </c>
      <c r="B161" s="7">
        <v>4032</v>
      </c>
      <c r="C161" s="21" t="s">
        <v>192</v>
      </c>
      <c r="D161" s="21" t="s">
        <v>666</v>
      </c>
      <c r="E161" s="13">
        <v>43057.289421296293</v>
      </c>
      <c r="F161" s="13">
        <v>43057.298113425924</v>
      </c>
      <c r="G161" s="7">
        <v>68</v>
      </c>
      <c r="H161" s="21" t="s">
        <v>963</v>
      </c>
      <c r="I161" s="13">
        <v>43057.30678240741</v>
      </c>
      <c r="J161" s="7">
        <v>0</v>
      </c>
      <c r="K161" s="89" t="str">
        <f t="shared" si="96"/>
        <v>4031/4032</v>
      </c>
      <c r="L161" s="184" t="str">
        <f>VLOOKUP(A161,'Trips&amp;Operators'!$C$1:$G$99911,5,FALSE)</f>
        <v>LAMAR NEKESHA</v>
      </c>
      <c r="M161" s="6">
        <f t="shared" si="97"/>
        <v>8.668981485243421E-3</v>
      </c>
      <c r="N161" s="7">
        <f t="shared" si="112"/>
        <v>12.483333338750526</v>
      </c>
      <c r="O161" s="7"/>
      <c r="P161" s="7"/>
      <c r="Q161" s="22"/>
      <c r="R161" s="173"/>
      <c r="S161" s="220">
        <f t="shared" si="98"/>
        <v>1</v>
      </c>
      <c r="T161" s="173" t="str">
        <f t="shared" si="99"/>
        <v>NorthBound</v>
      </c>
      <c r="U161" s="19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5" t="str">
        <f t="shared" si="100"/>
        <v>https://d0f6bd738d7f1b3e5a7ca70fe4ff75f0.us-east-1.aws.found.io/app/kibana#/discover/Steve-Slow-Train-Analysis-(2080s-and-2083s)?_g=(refreshInterval:(display:Off,pause:!f,section:0,value:0),time:(from:'2017-11-18T05:56:46-0700',mode:absolute,to:'2017-11-18T08:21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1" s="203" t="str">
        <f>IF(AA161&lt;VLOOKUP(AG161,Variables!$AC$3:$AD$8,2,FALSE),"Y","N")</f>
        <v>N</v>
      </c>
      <c r="X161" s="203">
        <f t="shared" si="111"/>
        <v>1</v>
      </c>
      <c r="Y161" s="203">
        <f t="shared" si="128"/>
        <v>9.64E-2</v>
      </c>
      <c r="Z161" s="203">
        <f t="shared" si="129"/>
        <v>5.8954000000000004</v>
      </c>
      <c r="AA161" s="203">
        <f t="shared" si="101"/>
        <v>5.7990000000000004</v>
      </c>
      <c r="AB161" s="54" t="e">
        <f>VLOOKUP(A161,Enforcements!$C$7:$K$9,8,0)</f>
        <v>#N/A</v>
      </c>
      <c r="AC161" s="51" t="e">
        <f>VLOOKUP(A161,Enforcements!$C$7:$E$9,3,0)</f>
        <v>#N/A</v>
      </c>
      <c r="AD161" s="178">
        <f t="shared" si="102"/>
        <v>1803</v>
      </c>
      <c r="AE161" s="77" t="str">
        <f t="shared" si="103"/>
        <v>aws s3 cp s3://rtdc.mdm.uploadarchive.raw/RTDC4032/ "%USERPROFILE%\AppData\Local\Temp\OnboardLogs"\RTDC4032\2017-11-18 --exclude "*" --recursive --include "*20171118*" &amp; "%USERPROFILE%\Documents\GitHub\mrs-test-scripts\Headless Mode &amp; Sideloading\WalkAndUnGZ.bat" "%USERPROFILE%\AppData\Local\Temp\OnboardLogs"\RTDC4032\2017-11-18 &amp; aws s3 cp s3://rtdc.mdm.uploadarchive.raw/RTDC4032/ "%USERPROFILE%\AppData\Local\Temp\OnboardLogs"\RTDC4032\2017-11-19 --exclude "*" --recursive --include "*20171119*" &amp; "%USERPROFILE%\Documents\GitHub\mrs-test-scripts\Headless Mode &amp; Sideloading\WalkAndUnGZ.bat" "%USERPROFILE%\AppData\Local\Temp\OnboardLogs"\RTDC4032\2017-11-19</v>
      </c>
      <c r="AF161" s="74" t="str">
        <f t="shared" si="104"/>
        <v>"C:\Program Files (x86)\AstroGrep\AstroGrep.exe" /e /r /s /spath="%USERPROFILE%\AppData\Local\Temp\OnboardLogs" /stypes="app*4032*20171118*" /stext=" 14:.+((SYSTEM_STATE.+slice.+state.+changed )|(ment ac)|(multiple cpu faults)|(system.+state.+changed )|(\[timeout)|(PRM\|1\|D)|(kpr)|(kdp)|(train st.+moving)|(\|lc)|(penalty))"</v>
      </c>
      <c r="AG161" s="181" t="str">
        <f t="shared" si="105"/>
        <v>NW</v>
      </c>
      <c r="AH161" s="78" t="str">
        <f t="shared" si="106"/>
        <v>"%USERPROFILE%\Documents\GitHub\eaglep3\Utilities\RefineRTDCRunTimes.py" --tripid 1803-18 --locoid 4032 --swversion DE.1.0.9.0 --startMP 204:964 --initTime 2017-11-18T06:56:46 --startdatetime 2017-11-18T07:09:17 --delay 68 --endMP 300:58954 --enddatetime 2017-11-18T07:21:46 --enforcementcount 0 &gt;&gt;%USERPROFILE%\Documents\GitHub\eaglep3-reporting\EC\2017-11-18-refined-times.txt</v>
      </c>
      <c r="AI161" s="96" t="str">
        <f t="shared" si="107"/>
        <v>echo {"issue":{"subject":"","project_id":79,"tracker_id":40,"status_id":1,"priority_id":2,"assigned_to_id":338,"start_date":"2017-11-18","description":"","custom_fields":[{"id":1,"name":"Subdivision","value":"NW"},{"id":4,"name":"Milepost","value":"5.8954"},{"id":17,"name":"Train ID","value":"1803-18"},{"id":16,"name":"Locomotive ID","value":"4032"},{"id":130,"name":"Impact","value":""},{"id":150,"name":"Time of Event (Mountain Time)","value":"07:21:46"},{"id":151,"name":"Denver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1" t="str">
        <f t="shared" si="108"/>
        <v>start /low /b %USERPROFILE%\Documents\GitHub\eaglep3\Utilities\DownloadLogsFromS3.py --loco 4032 --day 2017-11-18</v>
      </c>
      <c r="AN161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14:21:46"},{"id":29,"name":"Sharepoint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7" t="str">
        <f t="shared" si="110"/>
        <v>https://d0f6bd738d7f1b3e5a7ca70fe4ff75f0.us-east-1.aws.found.io/app/kibana#/discover/Steve-Slow-Train-Analysis-(2080s-and-2083s)?_g=(refreshInterval:(display:Off,pause:!f,section:0,value:0),time:(from:'2017-11-18T05:56:46-0700',mode:absolute,to:'2017-11-18T08:21:46-0700'))&amp;_a=(columns:!('Message%20ID',Summary),filters:!(),index:'emp_*',interval:auto,query:(query_string:(analyze_wildcard:!t,query:'%22rtdc.l.rtdc.4032%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761</v>
      </c>
      <c r="B162" s="7">
        <v>4031</v>
      </c>
      <c r="C162" s="21" t="s">
        <v>192</v>
      </c>
      <c r="D162" s="21" t="s">
        <v>964</v>
      </c>
      <c r="E162" s="13">
        <v>43057.310254629629</v>
      </c>
      <c r="F162" s="13">
        <v>43057.321527777778</v>
      </c>
      <c r="G162" s="7">
        <v>88</v>
      </c>
      <c r="H162" s="21" t="s">
        <v>965</v>
      </c>
      <c r="I162" s="13">
        <v>43057.329513888886</v>
      </c>
      <c r="J162" s="7">
        <v>0</v>
      </c>
      <c r="K162" s="89" t="str">
        <f t="shared" si="96"/>
        <v>4031/4032</v>
      </c>
      <c r="L162" s="184" t="str">
        <f>VLOOKUP(A162,'Trips&amp;Operators'!$C$1:$G$99911,5,FALSE)</f>
        <v>LAMAR NEKESHA</v>
      </c>
      <c r="M162" s="6">
        <f t="shared" si="97"/>
        <v>7.9861111080390401E-3</v>
      </c>
      <c r="N162" s="7">
        <f t="shared" si="112"/>
        <v>11.499999995576218</v>
      </c>
      <c r="O162" s="7"/>
      <c r="P162" s="7"/>
      <c r="Q162" s="22"/>
      <c r="R162" s="173"/>
      <c r="S162" s="220">
        <f t="shared" si="98"/>
        <v>1</v>
      </c>
      <c r="T162" s="173" t="str">
        <f t="shared" si="99"/>
        <v>Southbound</v>
      </c>
      <c r="U162" s="19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5" t="str">
        <f t="shared" si="100"/>
        <v>https://d0f6bd738d7f1b3e5a7ca70fe4ff75f0.us-east-1.aws.found.io/app/kibana#/discover/Steve-Slow-Train-Analysis-(2080s-and-2083s)?_g=(refreshInterval:(display:Off,pause:!f,section:0,value:0),time:(from:'2017-11-18T06:26:46-0700',mode:absolute,to:'2017-11-18T08:54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2" s="203" t="str">
        <f>IF(AA162&lt;VLOOKUP(AG162,Variables!$AC$3:$AD$8,2,FALSE),"Y","N")</f>
        <v>N</v>
      </c>
      <c r="X162" s="203">
        <f t="shared" si="111"/>
        <v>1</v>
      </c>
      <c r="Y162" s="203">
        <f t="shared" si="128"/>
        <v>5.8651</v>
      </c>
      <c r="Z162" s="203">
        <f t="shared" si="129"/>
        <v>6.9599999999999995E-2</v>
      </c>
      <c r="AA162" s="203">
        <f t="shared" si="101"/>
        <v>5.7954999999999997</v>
      </c>
      <c r="AB162" s="54" t="e">
        <f>VLOOKUP(A162,Enforcements!$C$7:$K$9,8,0)</f>
        <v>#N/A</v>
      </c>
      <c r="AC162" s="51" t="e">
        <f>VLOOKUP(A162,Enforcements!$C$7:$E$9,3,0)</f>
        <v>#N/A</v>
      </c>
      <c r="AD162" s="178">
        <f t="shared" si="102"/>
        <v>1804</v>
      </c>
      <c r="AE162" s="77" t="str">
        <f t="shared" si="103"/>
        <v>aws s3 cp s3://rtdc.mdm.uploadarchive.raw/RTDC4031/ "%USERPROFILE%\AppData\Local\Temp\OnboardLogs"\RTDC4031\2017-11-18 --exclude "*" --recursive --include "*20171118*" &amp; "%USERPROFILE%\Documents\GitHub\mrs-test-scripts\Headless Mode &amp; Sideloading\WalkAndUnGZ.bat" "%USERPROFILE%\AppData\Local\Temp\OnboardLogs"\RTDC4031\2017-11-18 &amp; aws s3 cp s3://rtdc.mdm.uploadarchive.raw/RTDC4031/ "%USERPROFILE%\AppData\Local\Temp\OnboardLogs"\RTDC4031\2017-11-19 --exclude "*" --recursive --include "*20171119*" &amp; "%USERPROFILE%\Documents\GitHub\mrs-test-scripts\Headless Mode &amp; Sideloading\WalkAndUnGZ.bat" "%USERPROFILE%\AppData\Local\Temp\OnboardLogs"\RTDC4031\2017-11-19</v>
      </c>
      <c r="AF162" s="74" t="str">
        <f t="shared" si="104"/>
        <v>"C:\Program Files (x86)\AstroGrep\AstroGrep.exe" /e /r /s /spath="%USERPROFILE%\AppData\Local\Temp\OnboardLogs" /stypes="app*4031*20171118*" /stext=" 14:.+((SYSTEM_STATE.+slice.+state.+changed )|(ment ac)|(multiple cpu faults)|(system.+state.+changed )|(\[timeout)|(PRM\|1\|D)|(kpr)|(kdp)|(train st.+moving)|(\|lc)|(penalty))"</v>
      </c>
      <c r="AG162" s="181" t="str">
        <f t="shared" si="105"/>
        <v>NW</v>
      </c>
      <c r="AH162" s="78" t="str">
        <f t="shared" si="106"/>
        <v>"%USERPROFILE%\Documents\GitHub\eaglep3\Utilities\RefineRTDCRunTimes.py" --tripid 1804-18 --locoid 4031 --swversion DE.1.0.9.0 --startMP 300:58651 --initTime 2017-11-18T07:26:46 --startdatetime 2017-11-18T07:43:00 --delay 88 --endMP 204:696 --enddatetime 2017-11-18T07:54:30 --enforcementcount 0 &gt;&gt;%USERPROFILE%\Documents\GitHub\eaglep3-reporting\EC\2017-11-18-refined-times.txt</v>
      </c>
      <c r="AI162" s="96" t="str">
        <f t="shared" si="107"/>
        <v>echo {"issue":{"subject":"","project_id":79,"tracker_id":40,"status_id":1,"priority_id":2,"assigned_to_id":338,"start_date":"2017-11-18","description":"","custom_fields":[{"id":1,"name":"Subdivision","value":"NW"},{"id":4,"name":"Milepost","value":"0.0696"},{"id":17,"name":"Train ID","value":"1804-18"},{"id":16,"name":"Locomotive ID","value":"4031"},{"id":130,"name":"Impact","value":""},{"id":150,"name":"Time of Event (Mountain Time)","value":"07:54:30"},{"id":151,"name":"Denver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1" t="str">
        <f t="shared" si="108"/>
        <v>start /low /b %USERPROFILE%\Documents\GitHub\eaglep3\Utilities\DownloadLogsFromS3.py --loco 4031 --day 2017-11-18</v>
      </c>
      <c r="AN162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14:54:30"},{"id":29,"name":"Sharepoint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7" t="str">
        <f t="shared" si="110"/>
        <v>https://d0f6bd738d7f1b3e5a7ca70fe4ff75f0.us-east-1.aws.found.io/app/kibana#/discover/Steve-Slow-Train-Analysis-(2080s-and-2083s)?_g=(refreshInterval:(display:Off,pause:!f,section:0,value:0),time:(from:'2017-11-18T06:26:46-0700',mode:absolute,to:'2017-11-18T08:54:30-0700'))&amp;_a=(columns:!('Message%20ID',Summary),filters:!(),index:'emp_*',interval:auto,query:(query_string:(analyze_wildcard:!t,query:'%22rtdc.l.rtdc.4031%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765</v>
      </c>
      <c r="B163" s="7">
        <v>4032</v>
      </c>
      <c r="C163" s="21" t="s">
        <v>192</v>
      </c>
      <c r="D163" s="21" t="s">
        <v>666</v>
      </c>
      <c r="E163" s="13">
        <v>43057.33085648148</v>
      </c>
      <c r="F163" s="13">
        <v>43057.339942129627</v>
      </c>
      <c r="G163" s="7">
        <v>65</v>
      </c>
      <c r="H163" s="21" t="s">
        <v>966</v>
      </c>
      <c r="I163" s="13">
        <v>43057.348865740743</v>
      </c>
      <c r="J163" s="7">
        <v>0</v>
      </c>
      <c r="K163" s="89" t="str">
        <f t="shared" si="96"/>
        <v>4031/4032</v>
      </c>
      <c r="L163" s="184" t="str">
        <f>VLOOKUP(A163,'Trips&amp;Operators'!$C$1:$G$99911,5,FALSE)</f>
        <v>LAMAR NEKESHA</v>
      </c>
      <c r="M163" s="6">
        <f t="shared" si="97"/>
        <v>8.9236111161881126E-3</v>
      </c>
      <c r="N163" s="7">
        <f t="shared" si="112"/>
        <v>12.850000007310882</v>
      </c>
      <c r="O163" s="7"/>
      <c r="P163" s="7"/>
      <c r="Q163" s="22"/>
      <c r="R163" s="173"/>
      <c r="S163" s="220">
        <f t="shared" si="98"/>
        <v>1</v>
      </c>
      <c r="T163" s="173" t="str">
        <f t="shared" si="99"/>
        <v>NorthBound</v>
      </c>
      <c r="U163" s="19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5" t="str">
        <f t="shared" si="100"/>
        <v>https://d0f6bd738d7f1b3e5a7ca70fe4ff75f0.us-east-1.aws.found.io/app/kibana#/discover/Steve-Slow-Train-Analysis-(2080s-and-2083s)?_g=(refreshInterval:(display:Off,pause:!f,section:0,value:0),time:(from:'2017-11-18T06:56:26-0700',mode:absolute,to:'2017-11-18T09:22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3" s="203" t="str">
        <f>IF(AA163&lt;VLOOKUP(AG163,Variables!$AC$3:$AD$8,2,FALSE),"Y","N")</f>
        <v>N</v>
      </c>
      <c r="X163" s="203">
        <f t="shared" si="111"/>
        <v>1</v>
      </c>
      <c r="Y163" s="203">
        <f t="shared" si="128"/>
        <v>9.64E-2</v>
      </c>
      <c r="Z163" s="203">
        <f t="shared" si="129"/>
        <v>5.8975999999999997</v>
      </c>
      <c r="AA163" s="203">
        <f t="shared" si="101"/>
        <v>5.8011999999999997</v>
      </c>
      <c r="AB163" s="54" t="e">
        <f>VLOOKUP(A163,Enforcements!$C$7:$K$9,8,0)</f>
        <v>#N/A</v>
      </c>
      <c r="AC163" s="51" t="e">
        <f>VLOOKUP(A163,Enforcements!$C$7:$E$9,3,0)</f>
        <v>#N/A</v>
      </c>
      <c r="AD163" s="178">
        <f t="shared" si="102"/>
        <v>1805</v>
      </c>
      <c r="AE163" s="77" t="str">
        <f t="shared" si="103"/>
        <v>aws s3 cp s3://rtdc.mdm.uploadarchive.raw/RTDC4032/ "%USERPROFILE%\AppData\Local\Temp\OnboardLogs"\RTDC4032\2017-11-18 --exclude "*" --recursive --include "*20171118*" &amp; "%USERPROFILE%\Documents\GitHub\mrs-test-scripts\Headless Mode &amp; Sideloading\WalkAndUnGZ.bat" "%USERPROFILE%\AppData\Local\Temp\OnboardLogs"\RTDC4032\2017-11-18 &amp; aws s3 cp s3://rtdc.mdm.uploadarchive.raw/RTDC4032/ "%USERPROFILE%\AppData\Local\Temp\OnboardLogs"\RTDC4032\2017-11-19 --exclude "*" --recursive --include "*20171119*" &amp; "%USERPROFILE%\Documents\GitHub\mrs-test-scripts\Headless Mode &amp; Sideloading\WalkAndUnGZ.bat" "%USERPROFILE%\AppData\Local\Temp\OnboardLogs"\RTDC4032\2017-11-19</v>
      </c>
      <c r="AF163" s="74" t="str">
        <f t="shared" si="104"/>
        <v>"C:\Program Files (x86)\AstroGrep\AstroGrep.exe" /e /r /s /spath="%USERPROFILE%\AppData\Local\Temp\OnboardLogs" /stypes="app*4032*20171118*" /stext=" 15:.+((SYSTEM_STATE.+slice.+state.+changed )|(ment ac)|(multiple cpu faults)|(system.+state.+changed )|(\[timeout)|(PRM\|1\|D)|(kpr)|(kdp)|(train st.+moving)|(\|lc)|(penalty))"</v>
      </c>
      <c r="AG163" s="181" t="str">
        <f t="shared" si="105"/>
        <v>NW</v>
      </c>
      <c r="AH163" s="78" t="str">
        <f t="shared" si="106"/>
        <v>"%USERPROFILE%\Documents\GitHub\eaglep3\Utilities\RefineRTDCRunTimes.py" --tripid 1805-18 --locoid 4032 --swversion DE.1.0.9.0 --startMP 204:964 --initTime 2017-11-18T07:56:26 --startdatetime 2017-11-18T08:09:31 --delay 65 --endMP 300:58976 --enddatetime 2017-11-18T08:22:22 --enforcementcount 0 &gt;&gt;%USERPROFILE%\Documents\GitHub\eaglep3-reporting\EC\2017-11-18-refined-times.txt</v>
      </c>
      <c r="AI163" s="96" t="str">
        <f t="shared" si="107"/>
        <v>echo {"issue":{"subject":"","project_id":79,"tracker_id":40,"status_id":1,"priority_id":2,"assigned_to_id":338,"start_date":"2017-11-18","description":"","custom_fields":[{"id":1,"name":"Subdivision","value":"NW"},{"id":4,"name":"Milepost","value":"5.8976"},{"id":17,"name":"Train ID","value":"1805-18"},{"id":16,"name":"Locomotive ID","value":"4032"},{"id":130,"name":"Impact","value":""},{"id":150,"name":"Time of Event (Mountain Time)","value":"08:22:22"},{"id":151,"name":"Denver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1" t="str">
        <f t="shared" si="108"/>
        <v>start /low /b %USERPROFILE%\Documents\GitHub\eaglep3\Utilities\DownloadLogsFromS3.py --loco 4032 --day 2017-11-18</v>
      </c>
      <c r="AN163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15:22:22"},{"id":29,"name":"Sharepoint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7" t="str">
        <f t="shared" si="110"/>
        <v>https://d0f6bd738d7f1b3e5a7ca70fe4ff75f0.us-east-1.aws.found.io/app/kibana#/discover/Steve-Slow-Train-Analysis-(2080s-and-2083s)?_g=(refreshInterval:(display:Off,pause:!f,section:0,value:0),time:(from:'2017-11-18T06:56:26-0700',mode:absolute,to:'2017-11-18T09:22:22-0700'))&amp;_a=(columns:!('Message%20ID',Summary),filters:!(),index:'emp_*',interval:auto,query:(query_string:(analyze_wildcard:!t,query:'%22rtdc.l.rtdc.4032%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769</v>
      </c>
      <c r="B164" s="7">
        <v>4031</v>
      </c>
      <c r="C164" s="21" t="s">
        <v>192</v>
      </c>
      <c r="D164" s="21" t="s">
        <v>967</v>
      </c>
      <c r="E164" s="13">
        <v>43057.350208333337</v>
      </c>
      <c r="F164" s="13">
        <v>43057.363194444442</v>
      </c>
      <c r="G164" s="7">
        <v>75</v>
      </c>
      <c r="H164" s="21" t="s">
        <v>965</v>
      </c>
      <c r="I164" s="13">
        <v>43057.371215277781</v>
      </c>
      <c r="J164" s="7">
        <v>0</v>
      </c>
      <c r="K164" s="89" t="str">
        <f t="shared" si="96"/>
        <v>4031/4032</v>
      </c>
      <c r="L164" s="184" t="str">
        <f>VLOOKUP(A164,'Trips&amp;Operators'!$C$1:$G$99911,5,FALSE)</f>
        <v>LAMAR NEKESHA</v>
      </c>
      <c r="M164" s="6">
        <f t="shared" si="97"/>
        <v>8.0208333383779973E-3</v>
      </c>
      <c r="N164" s="7">
        <f t="shared" si="112"/>
        <v>11.550000007264316</v>
      </c>
      <c r="O164" s="7"/>
      <c r="P164" s="7"/>
      <c r="Q164" s="22"/>
      <c r="R164" s="173"/>
      <c r="S164" s="220">
        <f t="shared" si="98"/>
        <v>1</v>
      </c>
      <c r="T164" s="173" t="str">
        <f t="shared" si="99"/>
        <v>Southbound</v>
      </c>
      <c r="U164" s="19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5" t="str">
        <f t="shared" si="100"/>
        <v>https://d0f6bd738d7f1b3e5a7ca70fe4ff75f0.us-east-1.aws.found.io/app/kibana#/discover/Steve-Slow-Train-Analysis-(2080s-and-2083s)?_g=(refreshInterval:(display:Off,pause:!f,section:0,value:0),time:(from:'2017-11-18T07:24:18-0700',mode:absolute,to:'2017-11-18T09:54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4" s="203" t="str">
        <f>IF(AA164&lt;VLOOKUP(AG164,Variables!$AC$3:$AD$8,2,FALSE),"Y","N")</f>
        <v>N</v>
      </c>
      <c r="X164" s="203">
        <f t="shared" si="111"/>
        <v>1</v>
      </c>
      <c r="Y164" s="203">
        <f t="shared" si="128"/>
        <v>5.8658000000000001</v>
      </c>
      <c r="Z164" s="203">
        <f t="shared" si="129"/>
        <v>6.9599999999999995E-2</v>
      </c>
      <c r="AA164" s="203">
        <f t="shared" si="101"/>
        <v>5.7961999999999998</v>
      </c>
      <c r="AB164" s="54" t="e">
        <f>VLOOKUP(A164,Enforcements!$C$7:$K$9,8,0)</f>
        <v>#N/A</v>
      </c>
      <c r="AC164" s="51" t="e">
        <f>VLOOKUP(A164,Enforcements!$C$7:$E$9,3,0)</f>
        <v>#N/A</v>
      </c>
      <c r="AD164" s="178">
        <f t="shared" si="102"/>
        <v>1806</v>
      </c>
      <c r="AE164" s="77" t="str">
        <f t="shared" si="103"/>
        <v>aws s3 cp s3://rtdc.mdm.uploadarchive.raw/RTDC4031/ "%USERPROFILE%\AppData\Local\Temp\OnboardLogs"\RTDC4031\2017-11-18 --exclude "*" --recursive --include "*20171118*" &amp; "%USERPROFILE%\Documents\GitHub\mrs-test-scripts\Headless Mode &amp; Sideloading\WalkAndUnGZ.bat" "%USERPROFILE%\AppData\Local\Temp\OnboardLogs"\RTDC4031\2017-11-18 &amp; aws s3 cp s3://rtdc.mdm.uploadarchive.raw/RTDC4031/ "%USERPROFILE%\AppData\Local\Temp\OnboardLogs"\RTDC4031\2017-11-19 --exclude "*" --recursive --include "*20171119*" &amp; "%USERPROFILE%\Documents\GitHub\mrs-test-scripts\Headless Mode &amp; Sideloading\WalkAndUnGZ.bat" "%USERPROFILE%\AppData\Local\Temp\OnboardLogs"\RTDC4031\2017-11-19</v>
      </c>
      <c r="AF164" s="74" t="str">
        <f t="shared" si="104"/>
        <v>"C:\Program Files (x86)\AstroGrep\AstroGrep.exe" /e /r /s /spath="%USERPROFILE%\AppData\Local\Temp\OnboardLogs" /stypes="app*4031*20171118*" /stext=" 15:.+((SYSTEM_STATE.+slice.+state.+changed )|(ment ac)|(multiple cpu faults)|(system.+state.+changed )|(\[timeout)|(PRM\|1\|D)|(kpr)|(kdp)|(train st.+moving)|(\|lc)|(penalty))"</v>
      </c>
      <c r="AG164" s="181" t="str">
        <f t="shared" si="105"/>
        <v>NW</v>
      </c>
      <c r="AH164" s="78" t="str">
        <f t="shared" si="106"/>
        <v>"%USERPROFILE%\Documents\GitHub\eaglep3\Utilities\RefineRTDCRunTimes.py" --tripid 1806-18 --locoid 4031 --swversion DE.1.0.9.0 --startMP 300:58658 --initTime 2017-11-18T08:24:18 --startdatetime 2017-11-18T08:43:00 --delay 75 --endMP 204:696 --enddatetime 2017-11-18T08:54:33 --enforcementcount 0 &gt;&gt;%USERPROFILE%\Documents\GitHub\eaglep3-reporting\EC\2017-11-18-refined-times.txt</v>
      </c>
      <c r="AI164" s="96" t="str">
        <f t="shared" si="107"/>
        <v>echo {"issue":{"subject":"","project_id":79,"tracker_id":40,"status_id":1,"priority_id":2,"assigned_to_id":338,"start_date":"2017-11-18","description":"","custom_fields":[{"id":1,"name":"Subdivision","value":"NW"},{"id":4,"name":"Milepost","value":"0.0696"},{"id":17,"name":"Train ID","value":"1806-18"},{"id":16,"name":"Locomotive ID","value":"4031"},{"id":130,"name":"Impact","value":""},{"id":150,"name":"Time of Event (Mountain Time)","value":"08:54:33"},{"id":151,"name":"Denver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1" t="str">
        <f t="shared" si="108"/>
        <v>start /low /b %USERPROFILE%\Documents\GitHub\eaglep3\Utilities\DownloadLogsFromS3.py --loco 4031 --day 2017-11-18</v>
      </c>
      <c r="AN164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15:54:33"},{"id":29,"name":"Sharepoint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7" t="str">
        <f t="shared" si="110"/>
        <v>https://d0f6bd738d7f1b3e5a7ca70fe4ff75f0.us-east-1.aws.found.io/app/kibana#/discover/Steve-Slow-Train-Analysis-(2080s-and-2083s)?_g=(refreshInterval:(display:Off,pause:!f,section:0,value:0),time:(from:'2017-11-18T07:24:18-0700',mode:absolute,to:'2017-11-18T09:54:33-0700'))&amp;_a=(columns:!('Message%20ID',Summary),filters:!(),index:'emp_*',interval:auto,query:(query_string:(analyze_wildcard:!t,query:'%22rtdc.l.rtdc.4031%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677</v>
      </c>
      <c r="B165" s="7">
        <v>4032</v>
      </c>
      <c r="C165" s="21" t="s">
        <v>192</v>
      </c>
      <c r="D165" s="21" t="s">
        <v>968</v>
      </c>
      <c r="E165" s="13">
        <v>43057.379976851851</v>
      </c>
      <c r="F165" s="13">
        <v>43057.381956018522</v>
      </c>
      <c r="G165" s="7">
        <v>62</v>
      </c>
      <c r="H165" s="21" t="s">
        <v>969</v>
      </c>
      <c r="I165" s="13">
        <v>43057.382303240738</v>
      </c>
      <c r="J165" s="7">
        <v>2</v>
      </c>
      <c r="K165" s="89" t="str">
        <f t="shared" si="96"/>
        <v>4031/4032</v>
      </c>
      <c r="L165" s="184" t="str">
        <f>VLOOKUP(A165,'Trips&amp;Operators'!$C$1:$G$99911,5,FALSE)</f>
        <v>LAMAR NEKESHA</v>
      </c>
      <c r="M165" s="6">
        <f t="shared" si="97"/>
        <v>3.4722221607808024E-4</v>
      </c>
      <c r="N165" s="7"/>
      <c r="O165" s="7"/>
      <c r="P165" s="7">
        <f>24*60*SUM($M165:$M165)</f>
        <v>0.49999999115243554</v>
      </c>
      <c r="Q165" s="22"/>
      <c r="R165" s="173" t="s">
        <v>669</v>
      </c>
      <c r="S165" s="220">
        <f t="shared" si="98"/>
        <v>0</v>
      </c>
      <c r="T165" s="173" t="str">
        <f t="shared" si="99"/>
        <v>NorthBound</v>
      </c>
      <c r="U165" s="19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0</v>
      </c>
      <c r="V165" s="215" t="str">
        <f t="shared" si="100"/>
        <v>https://d0f6bd738d7f1b3e5a7ca70fe4ff75f0.us-east-1.aws.found.io/app/kibana#/discover/Steve-Slow-Train-Analysis-(2080s-and-2083s)?_g=(refreshInterval:(display:Off,pause:!f,section:0,value:0),time:(from:'2017-11-18T08:07:10-0700',mode:absolute,to:'2017-11-18T10:10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5" s="203" t="str">
        <f>IF(AA165&lt;VLOOKUP(AG165,Variables!$AC$3:$AD$8,2,FALSE),"Y","N")</f>
        <v>Y</v>
      </c>
      <c r="X165" s="203">
        <f t="shared" si="111"/>
        <v>1</v>
      </c>
      <c r="Y165" s="203">
        <f t="shared" si="128"/>
        <v>0.14149999999999999</v>
      </c>
      <c r="Z165" s="203">
        <f t="shared" si="129"/>
        <v>0.187</v>
      </c>
      <c r="AA165" s="203">
        <f t="shared" si="101"/>
        <v>4.5500000000000013E-2</v>
      </c>
      <c r="AB165" s="54" t="e">
        <f>VLOOKUP(A165,Enforcements!$C$7:$K$9,8,0)</f>
        <v>#N/A</v>
      </c>
      <c r="AC165" s="51" t="e">
        <f>VLOOKUP(A165,Enforcements!$C$7:$E$9,3,0)</f>
        <v>#N/A</v>
      </c>
      <c r="AD165" s="178">
        <f t="shared" si="102"/>
        <v>1807</v>
      </c>
      <c r="AE165" s="77" t="str">
        <f t="shared" si="103"/>
        <v>aws s3 cp s3://rtdc.mdm.uploadarchive.raw/RTDC4032/ "%USERPROFILE%\AppData\Local\Temp\OnboardLogs"\RTDC4032\2017-11-18 --exclude "*" --recursive --include "*20171118*" &amp; "%USERPROFILE%\Documents\GitHub\mrs-test-scripts\Headless Mode &amp; Sideloading\WalkAndUnGZ.bat" "%USERPROFILE%\AppData\Local\Temp\OnboardLogs"\RTDC4032\2017-11-18 &amp; aws s3 cp s3://rtdc.mdm.uploadarchive.raw/RTDC4032/ "%USERPROFILE%\AppData\Local\Temp\OnboardLogs"\RTDC4032\2017-11-19 --exclude "*" --recursive --include "*20171119*" &amp; "%USERPROFILE%\Documents\GitHub\mrs-test-scripts\Headless Mode &amp; Sideloading\WalkAndUnGZ.bat" "%USERPROFILE%\AppData\Local\Temp\OnboardLogs"\RTDC4032\2017-11-19</v>
      </c>
      <c r="AF165" s="74" t="str">
        <f t="shared" si="104"/>
        <v>"C:\Program Files (x86)\AstroGrep\AstroGrep.exe" /e /r /s /spath="%USERPROFILE%\AppData\Local\Temp\OnboardLogs" /stypes="app*4032*20171118*" /stext=" 16:.+((SYSTEM_STATE.+slice.+state.+changed )|(ment ac)|(multiple cpu faults)|(system.+state.+changed )|(\[timeout)|(PRM\|1\|D)|(kpr)|(kdp)|(train st.+moving)|(\|lc)|(penalty))"</v>
      </c>
      <c r="AG165" s="181" t="str">
        <f t="shared" si="105"/>
        <v>NW</v>
      </c>
      <c r="AH165" s="78" t="str">
        <f t="shared" si="106"/>
        <v>"%USERPROFILE%\Documents\GitHub\eaglep3\Utilities\RefineRTDCRunTimes.py" --tripid 1807-18 --locoid 4032 --swversion DE.1.0.9.0 --startMP 204:1415 --initTime 2017-11-18T09:07:10 --startdatetime 2017-11-18T09:10:01 --delay 62 --endMP 204:1870 --enddatetime 2017-11-18T09:10:31 --enforcementcount 2 &gt;&gt;%USERPROFILE%\Documents\GitHub\eaglep3-reporting\EC\2017-11-18-refined-times.txt</v>
      </c>
      <c r="AI165" s="96" t="str">
        <f t="shared" si="107"/>
        <v>echo {"issue":{"subject":"Poor GPS at DUS","project_id":79,"tracker_id":40,"status_id":1,"priority_id":2,"assigned_to_id":338,"start_date":"2017-11-18","description":"","custom_fields":[{"id":1,"name":"Subdivision","value":"NW"},{"id":4,"name":"Milepost","value":"0.187"},{"id":17,"name":"Train ID","value":"1807-18"},{"id":16,"name":"Locomotive ID","value":"4032"},{"id":130,"name":"Impact","value":""},{"id":150,"name":"Time of Event (Mountain Time)","value":"09:10:31"},{"id":151,"name":"Denver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1" t="str">
        <f t="shared" si="108"/>
        <v>start /low /b %USERPROFILE%\Documents\GitHub\eaglep3\Utilities\DownloadLogsFromS3.py --loco 4032 --day 2017-11-18</v>
      </c>
      <c r="AN165" s="150" t="str">
        <f t="shared" si="109"/>
        <v>echo {"issue":{"subject":"Poor GPS at DUS","project_id":30,"tracker_id":4,"status_id":1,"priority_id":1,"assigned_to_id":10,"start_date":"2017-11-18","description":"","custom_fields":[{"id":30,"name":"Category","value":"Issue"},{"id":3,"name":"Functional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16:10:31"},{"id":29,"name":"Sharepoint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7" t="str">
        <f t="shared" si="110"/>
        <v>https://d0f6bd738d7f1b3e5a7ca70fe4ff75f0.us-east-1.aws.found.io/app/kibana#/discover/Steve-Slow-Train-Analysis-(2080s-and-2083s)?_g=(refreshInterval:(display:Off,pause:!f,section:0,value:0),time:(from:'2017-11-18T08:07:10-0700',mode:absolute,to:'2017-11-18T10:10:31-0700'))&amp;_a=(columns:!('Message%20ID',Summary),filters:!(),index:'emp_*',interval:auto,query:(query_string:(analyze_wildcard:!t,query:'%22rtdc.l.rtdc.4032%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778</v>
      </c>
      <c r="B166" s="7">
        <v>4031</v>
      </c>
      <c r="C166" s="21" t="s">
        <v>192</v>
      </c>
      <c r="D166" s="21" t="s">
        <v>964</v>
      </c>
      <c r="E166" s="13">
        <v>43057.393877314818</v>
      </c>
      <c r="F166" s="13">
        <v>43057.395462962966</v>
      </c>
      <c r="G166" s="7">
        <v>72</v>
      </c>
      <c r="H166" s="21" t="s">
        <v>970</v>
      </c>
      <c r="I166" s="13">
        <v>43057.412812499999</v>
      </c>
      <c r="J166" s="7">
        <v>0</v>
      </c>
      <c r="K166" s="89" t="str">
        <f t="shared" si="96"/>
        <v>4031/4032</v>
      </c>
      <c r="L166" s="184" t="str">
        <f>VLOOKUP(A166,'Trips&amp;Operators'!$C$1:$G$99911,5,FALSE)</f>
        <v>LAMAR NEKESHA</v>
      </c>
      <c r="M166" s="6">
        <f t="shared" si="97"/>
        <v>1.7349537032714579E-2</v>
      </c>
      <c r="N166" s="7">
        <f>24*60*SUM($M166:$M166)</f>
        <v>24.983333327108994</v>
      </c>
      <c r="O166" s="7"/>
      <c r="P166" s="7"/>
      <c r="Q166" s="22"/>
      <c r="R166" s="173"/>
      <c r="S166" s="220">
        <f t="shared" si="98"/>
        <v>1</v>
      </c>
      <c r="T166" s="173" t="str">
        <f t="shared" si="99"/>
        <v>Southbound</v>
      </c>
      <c r="U166" s="19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5" t="str">
        <f t="shared" si="100"/>
        <v>https://d0f6bd738d7f1b3e5a7ca70fe4ff75f0.us-east-1.aws.found.io/app/kibana#/discover/Steve-Slow-Train-Analysis-(2080s-and-2083s)?_g=(refreshInterval:(display:Off,pause:!f,section:0,value:0),time:(from:'2017-11-18T08:27:11-0700',mode:absolute,to:'2017-11-18T10:54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6" s="203" t="str">
        <f>IF(AA166&lt;VLOOKUP(AG166,Variables!$AC$3:$AD$8,2,FALSE),"Y","N")</f>
        <v>N</v>
      </c>
      <c r="X166" s="203">
        <f t="shared" si="111"/>
        <v>1</v>
      </c>
      <c r="Y166" s="203">
        <f t="shared" si="128"/>
        <v>5.8651</v>
      </c>
      <c r="Z166" s="203">
        <f t="shared" si="129"/>
        <v>6.9400000000000003E-2</v>
      </c>
      <c r="AA166" s="203">
        <f t="shared" si="101"/>
        <v>5.7957000000000001</v>
      </c>
      <c r="AB166" s="54" t="e">
        <f>VLOOKUP(A166,Enforcements!$C$7:$K$9,8,0)</f>
        <v>#N/A</v>
      </c>
      <c r="AC166" s="51" t="e">
        <f>VLOOKUP(A166,Enforcements!$C$7:$E$9,3,0)</f>
        <v>#N/A</v>
      </c>
      <c r="AD166" s="178">
        <f t="shared" si="102"/>
        <v>1808</v>
      </c>
      <c r="AE166" s="77" t="str">
        <f t="shared" si="103"/>
        <v>aws s3 cp s3://rtdc.mdm.uploadarchive.raw/RTDC4031/ "%USERPROFILE%\AppData\Local\Temp\OnboardLogs"\RTDC4031\2017-11-18 --exclude "*" --recursive --include "*20171118*" &amp; "%USERPROFILE%\Documents\GitHub\mrs-test-scripts\Headless Mode &amp; Sideloading\WalkAndUnGZ.bat" "%USERPROFILE%\AppData\Local\Temp\OnboardLogs"\RTDC4031\2017-11-18 &amp; aws s3 cp s3://rtdc.mdm.uploadarchive.raw/RTDC4031/ "%USERPROFILE%\AppData\Local\Temp\OnboardLogs"\RTDC4031\2017-11-19 --exclude "*" --recursive --include "*20171119*" &amp; "%USERPROFILE%\Documents\GitHub\mrs-test-scripts\Headless Mode &amp; Sideloading\WalkAndUnGZ.bat" "%USERPROFILE%\AppData\Local\Temp\OnboardLogs"\RTDC4031\2017-11-19</v>
      </c>
      <c r="AF166" s="74" t="str">
        <f t="shared" si="104"/>
        <v>"C:\Program Files (x86)\AstroGrep\AstroGrep.exe" /e /r /s /spath="%USERPROFILE%\AppData\Local\Temp\OnboardLogs" /stypes="app*4031*20171118*" /stext=" 16:.+((SYSTEM_STATE.+slice.+state.+changed )|(ment ac)|(multiple cpu faults)|(system.+state.+changed )|(\[timeout)|(PRM\|1\|D)|(kpr)|(kdp)|(train st.+moving)|(\|lc)|(penalty))"</v>
      </c>
      <c r="AG166" s="181" t="str">
        <f t="shared" si="105"/>
        <v>NW</v>
      </c>
      <c r="AH166" s="78" t="str">
        <f t="shared" si="106"/>
        <v>"%USERPROFILE%\Documents\GitHub\eaglep3\Utilities\RefineRTDCRunTimes.py" --tripid 1808-18 --locoid 4031 --swversion DE.1.0.9.0 --startMP 300:58651 --initTime 2017-11-18T09:27:11 --startdatetime 2017-11-18T09:29:28 --delay 72 --endMP 204:694 --enddatetime 2017-11-18T09:54:27 --enforcementcount 0 &gt;&gt;%USERPROFILE%\Documents\GitHub\eaglep3-reporting\EC\2017-11-18-refined-times.txt</v>
      </c>
      <c r="AI166" s="96" t="str">
        <f t="shared" si="107"/>
        <v>echo {"issue":{"subject":"","project_id":79,"tracker_id":40,"status_id":1,"priority_id":2,"assigned_to_id":338,"start_date":"2017-11-18","description":"","custom_fields":[{"id":1,"name":"Subdivision","value":"NW"},{"id":4,"name":"Milepost","value":"0.0694"},{"id":17,"name":"Train ID","value":"1808-18"},{"id":16,"name":"Locomotive ID","value":"4031"},{"id":130,"name":"Impact","value":""},{"id":150,"name":"Time of Event (Mountain Time)","value":"09:54:27"},{"id":151,"name":"Denver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1" t="str">
        <f t="shared" si="108"/>
        <v>start /low /b %USERPROFILE%\Documents\GitHub\eaglep3\Utilities\DownloadLogsFromS3.py --loco 4031 --day 2017-11-18</v>
      </c>
      <c r="AN166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16:54:27"},{"id":29,"name":"Sharepoint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7" t="str">
        <f t="shared" si="110"/>
        <v>https://d0f6bd738d7f1b3e5a7ca70fe4ff75f0.us-east-1.aws.found.io/app/kibana#/discover/Steve-Slow-Train-Analysis-(2080s-and-2083s)?_g=(refreshInterval:(display:Off,pause:!f,section:0,value:0),time:(from:'2017-11-18T08:27:11-0700',mode:absolute,to:'2017-11-18T10:54:27-0700'))&amp;_a=(columns:!('Message%20ID',Summary),filters:!(),index:'emp_*',interval:auto,query:(query_string:(analyze_wildcard:!t,query:'%22rtdc.l.rtdc.4031%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783</v>
      </c>
      <c r="B167" s="7">
        <v>4032</v>
      </c>
      <c r="C167" s="21" t="s">
        <v>192</v>
      </c>
      <c r="D167" s="21" t="s">
        <v>971</v>
      </c>
      <c r="E167" s="13">
        <v>43057.420590277776</v>
      </c>
      <c r="F167" s="13">
        <v>43057.423298611109</v>
      </c>
      <c r="G167" s="7">
        <v>66</v>
      </c>
      <c r="H167" s="21" t="s">
        <v>659</v>
      </c>
      <c r="I167" s="13">
        <v>43057.432442129626</v>
      </c>
      <c r="J167" s="7">
        <v>0</v>
      </c>
      <c r="K167" s="89" t="str">
        <f t="shared" si="96"/>
        <v>4031/4032</v>
      </c>
      <c r="L167" s="184" t="str">
        <f>VLOOKUP(A167,'Trips&amp;Operators'!$C$1:$G$99911,5,FALSE)</f>
        <v>LAMAR NEKESHA</v>
      </c>
      <c r="M167" s="6">
        <f t="shared" si="97"/>
        <v>9.1435185167938471E-3</v>
      </c>
      <c r="N167" s="7">
        <f>24*60*SUM($M167:$M167)</f>
        <v>13.16666666418314</v>
      </c>
      <c r="O167" s="7"/>
      <c r="P167" s="7"/>
      <c r="Q167" s="22"/>
      <c r="R167" s="173"/>
      <c r="S167" s="220">
        <f t="shared" si="98"/>
        <v>1</v>
      </c>
      <c r="T167" s="173" t="str">
        <f t="shared" si="99"/>
        <v>NorthBound</v>
      </c>
      <c r="U167" s="19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5" t="str">
        <f t="shared" si="100"/>
        <v>https://d0f6bd738d7f1b3e5a7ca70fe4ff75f0.us-east-1.aws.found.io/app/kibana#/discover/Steve-Slow-Train-Analysis-(2080s-and-2083s)?_g=(refreshInterval:(display:Off,pause:!f,section:0,value:0),time:(from:'2017-11-18T09:05:39-0700',mode:absolute,to:'2017-11-18T11:22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7" s="203" t="str">
        <f>IF(AA167&lt;VLOOKUP(AG167,Variables!$AC$3:$AD$8,2,FALSE),"Y","N")</f>
        <v>N</v>
      </c>
      <c r="X167" s="203">
        <f t="shared" si="111"/>
        <v>1</v>
      </c>
      <c r="Y167" s="203">
        <f t="shared" si="128"/>
        <v>0.14829999999999999</v>
      </c>
      <c r="Z167" s="203">
        <f t="shared" si="129"/>
        <v>5.8971</v>
      </c>
      <c r="AA167" s="203">
        <f t="shared" si="101"/>
        <v>5.7488000000000001</v>
      </c>
      <c r="AB167" s="54" t="e">
        <f>VLOOKUP(A167,Enforcements!$C$7:$K$9,8,0)</f>
        <v>#N/A</v>
      </c>
      <c r="AC167" s="51" t="e">
        <f>VLOOKUP(A167,Enforcements!$C$7:$E$9,3,0)</f>
        <v>#N/A</v>
      </c>
      <c r="AD167" s="178">
        <f t="shared" si="102"/>
        <v>1809</v>
      </c>
      <c r="AE167" s="77" t="str">
        <f t="shared" si="103"/>
        <v>aws s3 cp s3://rtdc.mdm.uploadarchive.raw/RTDC4032/ "%USERPROFILE%\AppData\Local\Temp\OnboardLogs"\RTDC4032\2017-11-18 --exclude "*" --recursive --include "*20171118*" &amp; "%USERPROFILE%\Documents\GitHub\mrs-test-scripts\Headless Mode &amp; Sideloading\WalkAndUnGZ.bat" "%USERPROFILE%\AppData\Local\Temp\OnboardLogs"\RTDC4032\2017-11-18 &amp; aws s3 cp s3://rtdc.mdm.uploadarchive.raw/RTDC4032/ "%USERPROFILE%\AppData\Local\Temp\OnboardLogs"\RTDC4032\2017-11-19 --exclude "*" --recursive --include "*20171119*" &amp; "%USERPROFILE%\Documents\GitHub\mrs-test-scripts\Headless Mode &amp; Sideloading\WalkAndUnGZ.bat" "%USERPROFILE%\AppData\Local\Temp\OnboardLogs"\RTDC4032\2017-11-19</v>
      </c>
      <c r="AF167" s="74" t="str">
        <f t="shared" si="104"/>
        <v>"C:\Program Files (x86)\AstroGrep\AstroGrep.exe" /e /r /s /spath="%USERPROFILE%\AppData\Local\Temp\OnboardLogs" /stypes="app*4032*20171118*" /stext=" 17:.+((SYSTEM_STATE.+slice.+state.+changed )|(ment ac)|(multiple cpu faults)|(system.+state.+changed )|(\[timeout)|(PRM\|1\|D)|(kpr)|(kdp)|(train st.+moving)|(\|lc)|(penalty))"</v>
      </c>
      <c r="AG167" s="181" t="str">
        <f t="shared" si="105"/>
        <v>NW</v>
      </c>
      <c r="AH167" s="78" t="str">
        <f t="shared" si="106"/>
        <v>"%USERPROFILE%\Documents\GitHub\eaglep3\Utilities\RefineRTDCRunTimes.py" --tripid 1809-18 --locoid 4032 --swversion DE.1.0.9.0 --startMP 204:1483 --initTime 2017-11-18T10:05:39 --startdatetime 2017-11-18T10:09:33 --delay 66 --endMP 300:58971 --enddatetime 2017-11-18T10:22:43 --enforcementcount 0 &gt;&gt;%USERPROFILE%\Documents\GitHub\eaglep3-reporting\EC\2017-11-18-refined-times.txt</v>
      </c>
      <c r="AI167" s="96" t="str">
        <f t="shared" si="107"/>
        <v>echo {"issue":{"subject":"","project_id":79,"tracker_id":40,"status_id":1,"priority_id":2,"assigned_to_id":338,"start_date":"2017-11-18","description":"","custom_fields":[{"id":1,"name":"Subdivision","value":"NW"},{"id":4,"name":"Milepost","value":"5.8971"},{"id":17,"name":"Train ID","value":"1809-18"},{"id":16,"name":"Locomotive ID","value":"4032"},{"id":130,"name":"Impact","value":""},{"id":150,"name":"Time of Event (Mountain Time)","value":"10:22:43"},{"id":151,"name":"Denver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1" t="str">
        <f t="shared" si="108"/>
        <v>start /low /b %USERPROFILE%\Documents\GitHub\eaglep3\Utilities\DownloadLogsFromS3.py --loco 4032 --day 2017-11-18</v>
      </c>
      <c r="AN167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17:22:43"},{"id":29,"name":"Sharepoint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7" t="str">
        <f t="shared" si="110"/>
        <v>https://d0f6bd738d7f1b3e5a7ca70fe4ff75f0.us-east-1.aws.found.io/app/kibana#/discover/Steve-Slow-Train-Analysis-(2080s-and-2083s)?_g=(refreshInterval:(display:Off,pause:!f,section:0,value:0),time:(from:'2017-11-18T09:05:39-0700',mode:absolute,to:'2017-11-18T11:22:43-0700'))&amp;_a=(columns:!('Message%20ID',Summary),filters:!(),index:'emp_*',interval:auto,query:(query_string:(analyze_wildcard:!t,query:'%22rtdc.l.rtdc.4032%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681</v>
      </c>
      <c r="B168" s="7">
        <v>4031</v>
      </c>
      <c r="C168" s="21" t="s">
        <v>192</v>
      </c>
      <c r="D168" s="21" t="s">
        <v>657</v>
      </c>
      <c r="E168" s="13">
        <v>43057.434756944444</v>
      </c>
      <c r="F168" s="13">
        <v>43057.446527777778</v>
      </c>
      <c r="G168" s="7">
        <v>53</v>
      </c>
      <c r="H168" s="21" t="s">
        <v>973</v>
      </c>
      <c r="I168" s="13">
        <v>43057.453472222223</v>
      </c>
      <c r="J168" s="7">
        <v>0</v>
      </c>
      <c r="K168" s="89" t="str">
        <f t="shared" si="96"/>
        <v>4031/4032</v>
      </c>
      <c r="L168" s="184" t="str">
        <f>VLOOKUP(A168,'Trips&amp;Operators'!$C$1:$G$99911,5,FALSE)</f>
        <v>LAMAR NEKESHA</v>
      </c>
      <c r="M168" s="6">
        <f t="shared" si="97"/>
        <v>6.9444444452528842E-3</v>
      </c>
      <c r="N168" s="7">
        <f>24*60*SUM($M168:$M168)</f>
        <v>10.000000001164153</v>
      </c>
      <c r="O168" s="7"/>
      <c r="P168" s="7"/>
      <c r="Q168" s="22"/>
      <c r="R168" s="173"/>
      <c r="S168" s="220">
        <f t="shared" si="98"/>
        <v>1</v>
      </c>
      <c r="T168" s="173" t="str">
        <f t="shared" si="99"/>
        <v>Southbound</v>
      </c>
      <c r="U168" s="19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5" t="str">
        <f t="shared" si="100"/>
        <v>https://d0f6bd738d7f1b3e5a7ca70fe4ff75f0.us-east-1.aws.found.io/app/kibana#/discover/Steve-Slow-Train-Analysis-(2080s-and-2083s)?_g=(refreshInterval:(display:Off,pause:!f,section:0,value:0),time:(from:'2017-11-18T09:26:03-0700',mode:absolute,to:'2017-11-18T11:53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8" s="203" t="str">
        <f>IF(AA168&lt;VLOOKUP(AG168,Variables!$AC$3:$AD$8,2,FALSE),"Y","N")</f>
        <v>Y</v>
      </c>
      <c r="X168" s="203">
        <f t="shared" si="111"/>
        <v>1</v>
      </c>
      <c r="Y168" s="203">
        <f t="shared" si="128"/>
        <v>5.8659999999999997</v>
      </c>
      <c r="Z168" s="203">
        <f t="shared" si="129"/>
        <v>0.45450000000000002</v>
      </c>
      <c r="AA168" s="203">
        <f t="shared" si="101"/>
        <v>5.4114999999999993</v>
      </c>
      <c r="AB168" s="54" t="e">
        <f>VLOOKUP(A168,Enforcements!$C$7:$K$9,8,0)</f>
        <v>#N/A</v>
      </c>
      <c r="AC168" s="51" t="e">
        <f>VLOOKUP(A168,Enforcements!$C$7:$E$9,3,0)</f>
        <v>#N/A</v>
      </c>
      <c r="AD168" s="178">
        <f t="shared" si="102"/>
        <v>1810</v>
      </c>
      <c r="AE168" s="77" t="str">
        <f t="shared" si="103"/>
        <v>aws s3 cp s3://rtdc.mdm.uploadarchive.raw/RTDC4031/ "%USERPROFILE%\AppData\Local\Temp\OnboardLogs"\RTDC4031\2017-11-18 --exclude "*" --recursive --include "*20171118*" &amp; "%USERPROFILE%\Documents\GitHub\mrs-test-scripts\Headless Mode &amp; Sideloading\WalkAndUnGZ.bat" "%USERPROFILE%\AppData\Local\Temp\OnboardLogs"\RTDC4031\2017-11-18 &amp; aws s3 cp s3://rtdc.mdm.uploadarchive.raw/RTDC4031/ "%USERPROFILE%\AppData\Local\Temp\OnboardLogs"\RTDC4031\2017-11-19 --exclude "*" --recursive --include "*20171119*" &amp; "%USERPROFILE%\Documents\GitHub\mrs-test-scripts\Headless Mode &amp; Sideloading\WalkAndUnGZ.bat" "%USERPROFILE%\AppData\Local\Temp\OnboardLogs"\RTDC4031\2017-11-19</v>
      </c>
      <c r="AF168" s="74" t="str">
        <f t="shared" si="104"/>
        <v>"C:\Program Files (x86)\AstroGrep\AstroGrep.exe" /e /r /s /spath="%USERPROFILE%\AppData\Local\Temp\OnboardLogs" /stypes="app*4031*20171118*" /stext=" 17:.+((SYSTEM_STATE.+slice.+state.+changed )|(ment ac)|(multiple cpu faults)|(system.+state.+changed )|(\[timeout)|(PRM\|1\|D)|(kpr)|(kdp)|(train st.+moving)|(\|lc)|(penalty))"</v>
      </c>
      <c r="AG168" s="181" t="str">
        <f t="shared" si="105"/>
        <v>NW</v>
      </c>
      <c r="AH168" s="78" t="str">
        <f t="shared" si="106"/>
        <v>"%USERPROFILE%\Documents\GitHub\eaglep3\Utilities\RefineRTDCRunTimes.py" --tripid 1810-18 --locoid 4031 --swversion DE.1.0.9.0 --startMP 300:58660 --initTime 2017-11-18T10:26:03 --startdatetime 2017-11-18T10:43:00 --delay 53 --endMP 204:4545 --enddatetime 2017-11-18T10:53:00 --enforcementcount 0 &gt;&gt;%USERPROFILE%\Documents\GitHub\eaglep3-reporting\EC\2017-11-18-refined-times.txt</v>
      </c>
      <c r="AI168" s="96" t="str">
        <f t="shared" si="107"/>
        <v>echo {"issue":{"subject":"","project_id":79,"tracker_id":40,"status_id":1,"priority_id":2,"assigned_to_id":338,"start_date":"2017-11-18","description":"","custom_fields":[{"id":1,"name":"Subdivision","value":"NW"},{"id":4,"name":"Milepost","value":"0.4545"},{"id":17,"name":"Train ID","value":"1810-18"},{"id":16,"name":"Locomotive ID","value":"4031"},{"id":130,"name":"Impact","value":""},{"id":150,"name":"Time of Event (Mountain Time)","value":"10:53:00"},{"id":151,"name":"Denver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1" t="str">
        <f t="shared" si="108"/>
        <v>start /low /b %USERPROFILE%\Documents\GitHub\eaglep3\Utilities\DownloadLogsFromS3.py --loco 4031 --day 2017-11-18</v>
      </c>
      <c r="AN168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17:53:00"},{"id":29,"name":"Sharepoint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7" t="str">
        <f t="shared" si="110"/>
        <v>https://d0f6bd738d7f1b3e5a7ca70fe4ff75f0.us-east-1.aws.found.io/app/kibana#/discover/Steve-Slow-Train-Analysis-(2080s-and-2083s)?_g=(refreshInterval:(display:Off,pause:!f,section:0,value:0),time:(from:'2017-11-18T09:26:03-0700',mode:absolute,to:'2017-11-18T11:53:00-0700'))&amp;_a=(columns:!('Message%20ID',Summary),filters:!(),index:'emp_*',interval:auto,query:(query_string:(analyze_wildcard:!t,query:'%22rtdc.l.rtdc.4031%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791</v>
      </c>
      <c r="B169" s="7">
        <v>4032</v>
      </c>
      <c r="C169" s="21" t="s">
        <v>192</v>
      </c>
      <c r="D169" s="21" t="s">
        <v>974</v>
      </c>
      <c r="E169" s="13">
        <v>43057.462638888886</v>
      </c>
      <c r="F169" s="13">
        <v>43057.464861111112</v>
      </c>
      <c r="G169" s="7">
        <v>85</v>
      </c>
      <c r="H169" s="21" t="s">
        <v>664</v>
      </c>
      <c r="I169" s="13">
        <v>43057.474456018521</v>
      </c>
      <c r="J169" s="7">
        <v>0</v>
      </c>
      <c r="K169" s="89" t="str">
        <f t="shared" si="96"/>
        <v>4031/4032</v>
      </c>
      <c r="L169" s="184" t="str">
        <f>VLOOKUP(A169,'Trips&amp;Operators'!$C$1:$G$99911,5,FALSE)</f>
        <v>LAMAR NEKESHA</v>
      </c>
      <c r="M169" s="6">
        <f t="shared" si="97"/>
        <v>9.5949074093368836E-3</v>
      </c>
      <c r="N169" s="7">
        <f>24*60*SUM($M169:$M169)</f>
        <v>13.816666669445112</v>
      </c>
      <c r="O169" s="7"/>
      <c r="P169" s="7"/>
      <c r="Q169" s="22"/>
      <c r="R169" s="173"/>
      <c r="S169" s="220">
        <f t="shared" si="98"/>
        <v>1</v>
      </c>
      <c r="T169" s="173" t="str">
        <f t="shared" si="99"/>
        <v>NorthBound</v>
      </c>
      <c r="U169" s="19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5" t="str">
        <f t="shared" si="100"/>
        <v>https://d0f6bd738d7f1b3e5a7ca70fe4ff75f0.us-east-1.aws.found.io/app/kibana#/discover/Steve-Slow-Train-Analysis-(2080s-and-2083s)?_g=(refreshInterval:(display:Off,pause:!f,section:0,value:0),time:(from:'2017-11-18T10:06:12-0700',mode:absolute,to:'2017-11-18T12:23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9" s="203" t="str">
        <f>IF(AA169&lt;VLOOKUP(AG169,Variables!$AC$3:$AD$8,2,FALSE),"Y","N")</f>
        <v>N</v>
      </c>
      <c r="X169" s="203">
        <f t="shared" si="111"/>
        <v>1</v>
      </c>
      <c r="Y169" s="203">
        <f t="shared" si="128"/>
        <v>9.8500000000000004E-2</v>
      </c>
      <c r="Z169" s="203">
        <f t="shared" si="129"/>
        <v>5.8983999999999996</v>
      </c>
      <c r="AA169" s="203">
        <f t="shared" si="101"/>
        <v>5.7999000000000001</v>
      </c>
      <c r="AB169" s="54" t="e">
        <f>VLOOKUP(A169,Enforcements!$C$7:$K$9,8,0)</f>
        <v>#N/A</v>
      </c>
      <c r="AC169" s="51" t="e">
        <f>VLOOKUP(A169,Enforcements!$C$7:$E$9,3,0)</f>
        <v>#N/A</v>
      </c>
      <c r="AD169" s="178">
        <f t="shared" si="102"/>
        <v>1811</v>
      </c>
      <c r="AE169" s="77" t="str">
        <f t="shared" si="103"/>
        <v>aws s3 cp s3://rtdc.mdm.uploadarchive.raw/RTDC4032/ "%USERPROFILE%\AppData\Local\Temp\OnboardLogs"\RTDC4032\2017-11-18 --exclude "*" --recursive --include "*20171118*" &amp; "%USERPROFILE%\Documents\GitHub\mrs-test-scripts\Headless Mode &amp; Sideloading\WalkAndUnGZ.bat" "%USERPROFILE%\AppData\Local\Temp\OnboardLogs"\RTDC4032\2017-11-18 &amp; aws s3 cp s3://rtdc.mdm.uploadarchive.raw/RTDC4032/ "%USERPROFILE%\AppData\Local\Temp\OnboardLogs"\RTDC4032\2017-11-19 --exclude "*" --recursive --include "*20171119*" &amp; "%USERPROFILE%\Documents\GitHub\mrs-test-scripts\Headless Mode &amp; Sideloading\WalkAndUnGZ.bat" "%USERPROFILE%\AppData\Local\Temp\OnboardLogs"\RTDC4032\2017-11-19</v>
      </c>
      <c r="AF169" s="74" t="str">
        <f t="shared" si="104"/>
        <v>"C:\Program Files (x86)\AstroGrep\AstroGrep.exe" /e /r /s /spath="%USERPROFILE%\AppData\Local\Temp\OnboardLogs" /stypes="app*4032*20171118*" /stext=" 18:.+((SYSTEM_STATE.+slice.+state.+changed )|(ment ac)|(multiple cpu faults)|(system.+state.+changed )|(\[timeout)|(PRM\|1\|D)|(kpr)|(kdp)|(train st.+moving)|(\|lc)|(penalty))"</v>
      </c>
      <c r="AG169" s="181" t="str">
        <f t="shared" si="105"/>
        <v>NW</v>
      </c>
      <c r="AH169" s="78" t="str">
        <f t="shared" si="106"/>
        <v>"%USERPROFILE%\Documents\GitHub\eaglep3\Utilities\RefineRTDCRunTimes.py" --tripid 1811-18 --locoid 4032 --swversion DE.1.0.9.0 --startMP 204:985 --initTime 2017-11-18T11:06:12 --startdatetime 2017-11-18T11:09:24 --delay 85 --endMP 300:58984 --enddatetime 2017-11-18T11:23:13 --enforcementcount 0 &gt;&gt;%USERPROFILE%\Documents\GitHub\eaglep3-reporting\EC\2017-11-18-refined-times.txt</v>
      </c>
      <c r="AI169" s="96" t="str">
        <f t="shared" si="107"/>
        <v>echo {"issue":{"subject":"","project_id":79,"tracker_id":40,"status_id":1,"priority_id":2,"assigned_to_id":338,"start_date":"2017-11-18","description":"","custom_fields":[{"id":1,"name":"Subdivision","value":"NW"},{"id":4,"name":"Milepost","value":"5.8984"},{"id":17,"name":"Train ID","value":"1811-18"},{"id":16,"name":"Locomotive ID","value":"4032"},{"id":130,"name":"Impact","value":""},{"id":150,"name":"Time of Event (Mountain Time)","value":"11:23:13"},{"id":151,"name":"Denver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1" t="str">
        <f t="shared" si="108"/>
        <v>start /low /b %USERPROFILE%\Documents\GitHub\eaglep3\Utilities\DownloadLogsFromS3.py --loco 4032 --day 2017-11-18</v>
      </c>
      <c r="AN169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18:23:13"},{"id":29,"name":"Sharepoint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7" t="str">
        <f t="shared" si="110"/>
        <v>https://d0f6bd738d7f1b3e5a7ca70fe4ff75f0.us-east-1.aws.found.io/app/kibana#/discover/Steve-Slow-Train-Analysis-(2080s-and-2083s)?_g=(refreshInterval:(display:Off,pause:!f,section:0,value:0),time:(from:'2017-11-18T10:06:12-0700',mode:absolute,to:'2017-11-18T12:23:13-0700'))&amp;_a=(columns:!('Message%20ID',Summary),filters:!(),index:'emp_*',interval:auto,query:(query_string:(analyze_wildcard:!t,query:'%22rtdc.l.rtdc.4032%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682</v>
      </c>
      <c r="B170" s="7">
        <v>4031</v>
      </c>
      <c r="C170" s="21" t="s">
        <v>192</v>
      </c>
      <c r="D170" s="21" t="s">
        <v>1074</v>
      </c>
      <c r="E170" s="13">
        <v>43057.476284722223</v>
      </c>
      <c r="F170" s="13">
        <v>43057.488194444442</v>
      </c>
      <c r="G170" s="7">
        <v>52</v>
      </c>
      <c r="H170" s="21" t="s">
        <v>1075</v>
      </c>
      <c r="I170" s="13">
        <v>43057.495254629626</v>
      </c>
      <c r="J170" s="7">
        <v>0</v>
      </c>
      <c r="K170" s="89" t="str">
        <f t="shared" si="96"/>
        <v>4031/4032</v>
      </c>
      <c r="L170" s="184" t="str">
        <f>VLOOKUP(A170,'Trips&amp;Operators'!$C$1:$G$99911,5,FALSE)</f>
        <v>LAMAR NEKESHA</v>
      </c>
      <c r="M170" s="6">
        <f t="shared" si="97"/>
        <v>7.0601851839455776E-3</v>
      </c>
      <c r="N170" s="7">
        <f>24*60*SUM($M170:$M170)</f>
        <v>10.166666664881632</v>
      </c>
      <c r="O170" s="7"/>
      <c r="P170" s="7"/>
      <c r="Q170" s="22"/>
      <c r="R170" s="173"/>
      <c r="S170" s="220">
        <f t="shared" si="98"/>
        <v>1</v>
      </c>
      <c r="T170" s="173" t="str">
        <f t="shared" si="99"/>
        <v>Southbound</v>
      </c>
      <c r="U170" s="19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5" t="str">
        <f t="shared" si="100"/>
        <v>https://d0f6bd738d7f1b3e5a7ca70fe4ff75f0.us-east-1.aws.found.io/app/kibana#/discover/Steve-Slow-Train-Analysis-(2080s-and-2083s)?_g=(refreshInterval:(display:Off,pause:!f,section:0,value:0),time:(from:'2017-11-18T10:25:51-0700',mode:absolute,to:'2017-11-18T12:53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0" s="203" t="str">
        <f>IF(AA170&lt;VLOOKUP(AG170,Variables!$AC$3:$AD$8,2,FALSE),"Y","N")</f>
        <v>Y</v>
      </c>
      <c r="X170" s="203">
        <f t="shared" si="111"/>
        <v>1</v>
      </c>
      <c r="Y170" s="203">
        <f t="shared" si="128"/>
        <v>5.867</v>
      </c>
      <c r="Z170" s="203">
        <f t="shared" si="129"/>
        <v>0.47399999999999998</v>
      </c>
      <c r="AA170" s="203">
        <f t="shared" si="101"/>
        <v>5.3929999999999998</v>
      </c>
      <c r="AB170" s="54" t="e">
        <f>VLOOKUP(A170,Enforcements!$C$7:$K$9,8,0)</f>
        <v>#N/A</v>
      </c>
      <c r="AC170" s="51" t="e">
        <f>VLOOKUP(A170,Enforcements!$C$7:$E$9,3,0)</f>
        <v>#N/A</v>
      </c>
      <c r="AD170" s="178">
        <f t="shared" si="102"/>
        <v>1812</v>
      </c>
      <c r="AE170" s="77" t="str">
        <f t="shared" si="103"/>
        <v>aws s3 cp s3://rtdc.mdm.uploadarchive.raw/RTDC4031/ "%USERPROFILE%\AppData\Local\Temp\OnboardLogs"\RTDC4031\2017-11-18 --exclude "*" --recursive --include "*20171118*" &amp; "%USERPROFILE%\Documents\GitHub\mrs-test-scripts\Headless Mode &amp; Sideloading\WalkAndUnGZ.bat" "%USERPROFILE%\AppData\Local\Temp\OnboardLogs"\RTDC4031\2017-11-18 &amp; aws s3 cp s3://rtdc.mdm.uploadarchive.raw/RTDC4031/ "%USERPROFILE%\AppData\Local\Temp\OnboardLogs"\RTDC4031\2017-11-19 --exclude "*" --recursive --include "*20171119*" &amp; "%USERPROFILE%\Documents\GitHub\mrs-test-scripts\Headless Mode &amp; Sideloading\WalkAndUnGZ.bat" "%USERPROFILE%\AppData\Local\Temp\OnboardLogs"\RTDC4031\2017-11-19</v>
      </c>
      <c r="AF170" s="74" t="str">
        <f t="shared" si="104"/>
        <v>"C:\Program Files (x86)\AstroGrep\AstroGrep.exe" /e /r /s /spath="%USERPROFILE%\AppData\Local\Temp\OnboardLogs" /stypes="app*4031*20171118*" /stext=" 18:.+((SYSTEM_STATE.+slice.+state.+changed )|(ment ac)|(multiple cpu faults)|(system.+state.+changed )|(\[timeout)|(PRM\|1\|D)|(kpr)|(kdp)|(train st.+moving)|(\|lc)|(penalty))"</v>
      </c>
      <c r="AG170" s="181" t="str">
        <f t="shared" si="105"/>
        <v>NW</v>
      </c>
      <c r="AH170" s="78" t="str">
        <f t="shared" si="106"/>
        <v>"%USERPROFILE%\Documents\GitHub\eaglep3\Utilities\RefineRTDCRunTimes.py" --tripid 1812-18 --locoid 4031 --swversion DE.1.0.9.0 --startMP 300:58670 --initTime 2017-11-18T11:25:51 --startdatetime 2017-11-18T11:43:00 --delay 52 --endMP 204:4740 --enddatetime 2017-11-18T11:53:10 --enforcementcount 0 &gt;&gt;%USERPROFILE%\Documents\GitHub\eaglep3-reporting\EC\2017-11-18-refined-times.txt</v>
      </c>
      <c r="AI170" s="96" t="str">
        <f t="shared" si="107"/>
        <v>echo {"issue":{"subject":"","project_id":79,"tracker_id":40,"status_id":1,"priority_id":2,"assigned_to_id":338,"start_date":"2017-11-18","description":"","custom_fields":[{"id":1,"name":"Subdivision","value":"NW"},{"id":4,"name":"Milepost","value":"0.474"},{"id":17,"name":"Train ID","value":"1812-18"},{"id":16,"name":"Locomotive ID","value":"4031"},{"id":130,"name":"Impact","value":""},{"id":150,"name":"Time of Event (Mountain Time)","value":"11:53:10"},{"id":151,"name":"Denver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1" t="str">
        <f t="shared" si="108"/>
        <v>start /low /b %USERPROFILE%\Documents\GitHub\eaglep3\Utilities\DownloadLogsFromS3.py --loco 4031 --day 2017-11-18</v>
      </c>
      <c r="AN170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18:53:10"},{"id":29,"name":"Sharepoint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7" t="str">
        <f t="shared" si="110"/>
        <v>https://d0f6bd738d7f1b3e5a7ca70fe4ff75f0.us-east-1.aws.found.io/app/kibana#/discover/Steve-Slow-Train-Analysis-(2080s-and-2083s)?_g=(refreshInterval:(display:Off,pause:!f,section:0,value:0),time:(from:'2017-11-18T10:25:51-0700',mode:absolute,to:'2017-11-18T12:53:10-0700'))&amp;_a=(columns:!('Message%20ID',Summary),filters:!(),index:'emp_*',interval:auto,query:(query_string:(analyze_wildcard:!t,query:'%22rtdc.l.rtdc.4031%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1087</v>
      </c>
      <c r="B171" s="7">
        <v>4032</v>
      </c>
      <c r="C171" s="21" t="s">
        <v>192</v>
      </c>
      <c r="D171" s="21" t="s">
        <v>1074</v>
      </c>
      <c r="E171" s="13">
        <v>43057.476284722223</v>
      </c>
      <c r="F171" s="13">
        <f>I170+10/24/60</f>
        <v>43057.502199074072</v>
      </c>
      <c r="G171" s="7">
        <v>52</v>
      </c>
      <c r="H171" s="21" t="s">
        <v>1075</v>
      </c>
      <c r="I171" s="13">
        <f>F171+1/24/60</f>
        <v>43057.502893518518</v>
      </c>
      <c r="J171" s="7">
        <v>0</v>
      </c>
      <c r="K171" s="89" t="str">
        <f t="shared" si="96"/>
        <v>4031/4032</v>
      </c>
      <c r="L171" s="184" t="e">
        <f>VLOOKUP(A171,'Trips&amp;Operators'!$C$1:$G$99911,5,FALSE)</f>
        <v>#N/A</v>
      </c>
      <c r="M171" s="6">
        <f t="shared" si="97"/>
        <v>6.944444467080757E-4</v>
      </c>
      <c r="N171" s="7"/>
      <c r="O171" s="7"/>
      <c r="P171" s="7">
        <f>24*60*SUM($M171:$M171)</f>
        <v>1.000000003259629</v>
      </c>
      <c r="Q171" s="22"/>
      <c r="R171" s="173" t="s">
        <v>1088</v>
      </c>
      <c r="S171" s="220">
        <f t="shared" si="98"/>
        <v>0</v>
      </c>
      <c r="T171" s="173" t="str">
        <f t="shared" si="99"/>
        <v>NorthBound</v>
      </c>
      <c r="U171" s="19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0</v>
      </c>
      <c r="V171" s="215" t="str">
        <f t="shared" si="100"/>
        <v>https://d0f6bd738d7f1b3e5a7ca70fe4ff75f0.us-east-1.aws.found.io/app/kibana#/discover/Steve-Slow-Train-Analysis-(2080s-and-2083s)?_g=(refreshInterval:(display:Off,pause:!f,section:0,value:0),time:(from:'2017-11-18T10:25:51-0700',mode:absolute,to:'2017-11-18T13:04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1" s="203" t="str">
        <f>IF(AA171&lt;VLOOKUP(AG171,Variables!$AC$3:$AD$8,2,FALSE),"Y","N")</f>
        <v>Y</v>
      </c>
      <c r="X171" s="203">
        <f t="shared" ref="X171:X177" si="130">VALUE(LEFT(AD171,4))-VALUE(LEFT(AD170,4))</f>
        <v>1</v>
      </c>
      <c r="Y171" s="203">
        <v>0</v>
      </c>
      <c r="Z171" s="203">
        <v>0</v>
      </c>
      <c r="AA171" s="203">
        <f t="shared" si="101"/>
        <v>0</v>
      </c>
      <c r="AB171" s="54" t="e">
        <f>VLOOKUP(A171,Enforcements!$C$7:$K$9,8,0)</f>
        <v>#N/A</v>
      </c>
      <c r="AC171" s="51" t="e">
        <f>VLOOKUP(A171,Enforcements!$C$7:$E$9,3,0)</f>
        <v>#N/A</v>
      </c>
      <c r="AD171" s="178">
        <f t="shared" si="102"/>
        <v>1813</v>
      </c>
      <c r="AE171" s="77" t="str">
        <f t="shared" si="103"/>
        <v>aws s3 cp s3://rtdc.mdm.uploadarchive.raw/RTDC4032/ "%USERPROFILE%\AppData\Local\Temp\OnboardLogs"\RTDC4032\2017-11-18 --exclude "*" --recursive --include "*20171118*" &amp; "%USERPROFILE%\Documents\GitHub\mrs-test-scripts\Headless Mode &amp; Sideloading\WalkAndUnGZ.bat" "%USERPROFILE%\AppData\Local\Temp\OnboardLogs"\RTDC4032\2017-11-18 &amp; aws s3 cp s3://rtdc.mdm.uploadarchive.raw/RTDC4032/ "%USERPROFILE%\AppData\Local\Temp\OnboardLogs"\RTDC4032\2017-11-19 --exclude "*" --recursive --include "*20171119*" &amp; "%USERPROFILE%\Documents\GitHub\mrs-test-scripts\Headless Mode &amp; Sideloading\WalkAndUnGZ.bat" "%USERPROFILE%\AppData\Local\Temp\OnboardLogs"\RTDC4032\2017-11-19</v>
      </c>
      <c r="AF171" s="74" t="str">
        <f t="shared" si="104"/>
        <v>"C:\Program Files (x86)\AstroGrep\AstroGrep.exe" /e /r /s /spath="%USERPROFILE%\AppData\Local\Temp\OnboardLogs" /stypes="app*4032*20171118*" /stext=" 19:.+((SYSTEM_STATE.+slice.+state.+changed )|(ment ac)|(multiple cpu faults)|(system.+state.+changed )|(\[timeout)|(PRM\|1\|D)|(kpr)|(kdp)|(train st.+moving)|(\|lc)|(penalty))"</v>
      </c>
      <c r="AG171" s="181" t="str">
        <f t="shared" si="105"/>
        <v>NW</v>
      </c>
      <c r="AH171" s="78" t="str">
        <f t="shared" ref="AH171" si="131">refinertdcruntimes&amp;" --tripid "&amp;A171&amp;" --locoid "&amp;B171&amp;" --swversion "&amp;C171&amp;" --startMP "&amp;D171&amp;" --initTime "&amp;TEXT(E171,"yyyy-mm-ddTHH:MM:SS")&amp;" --startdatetime "&amp;TEXT(F171,"yyyy-mm-ddTHH:MM:SS")&amp;" --delay "&amp;G171&amp;" --endMP "&amp;H171&amp;" --enddatetime "&amp;TEXT(I171,"yyyy-mm-ddTHH:MM:SS")&amp;" --enforcementcount "&amp;J171&amp;IF(outputrefinedruntimes," &gt;&gt;"&amp;RefinedRTDCRunTimesOutputFile,"")</f>
        <v>"%USERPROFILE%\Documents\GitHub\eaglep3\Utilities\RefineRTDCRunTimes.py" --tripid 1813-18 --locoid 4032 --swversion DE.1.0.9.0 --startMP 300:58670 --initTime 2017-11-18T11:25:51 --startdatetime 2017-11-18T12:03:10 --delay 52 --endMP 204:4740 --enddatetime 2017-11-18T12:04:10 --enforcementcount 0 &gt;&gt;%USERPROFILE%\Documents\GitHub\eaglep3-reporting\EC\2017-11-18-refined-times.txt</v>
      </c>
      <c r="AI171" s="96" t="str">
        <f t="shared" ref="AI171" si="132">"echo {""issue"":{""subject"":"""&amp;R171&amp;""",""project_id"":79,""tracker_id"":40,""status_id"":"&amp;redmine_status&amp;",""priority_id"":"&amp;redmine_priority&amp;",""assigned_to_id"":"&amp;redmine_assignee&amp;",""start_date"":"""&amp;TEXT(I171,"YYYY-mm-dd")&amp;""",""description"":"""&amp;AJ171&amp;""",""custom_fields"":[{""id"":1,""name"":""Subdivision"",""value"":"""&amp;AG171&amp;"""},{""id"":4,""name"":""Milepost"",""value"":"""&amp;Z171&amp;"""},{""id"":17,""name"":""Train ID"",""value"":"""&amp;A171&amp;"""},{""id"":16,""name"":""Locomotive ID"",""value"":"""&amp;B171&amp;"""},{""id"":130,""name"":""Impact"",""value"":"""&amp;AK171&amp;"""},{""id"":150,""name"":""Time of Event (Mountain Time)"",""value"":"""&amp;TEXT(I171,"hh:mm:ss")&amp;"""},{""id"":151,""name"":""Denver Issue ID"",""value"":"""&amp;"""},{""id"":178,""name"":""Operational Impact"",""value"":"""&amp;redmine_op_impact&amp;"""},{""id"":179,""name"":""Denver Segment Assigned"",""value"":"""&amp;AL171&amp;"""}]}}"&amp;" | curl --insecure -X POST -H ""Content-Type: application/json"" -H ""X-Redmine-API-Key: "&amp;redm_api_key&amp;""" "&amp;redm_url&amp;" --data @-"</f>
        <v>echo {"issue":{"subject":"Did not init","project_id":79,"tracker_id":40,"status_id":1,"priority_id":2,"assigned_to_id":338,"start_date":"2017-11-18","description":"","custom_fields":[{"id":1,"name":"Subdivision","value":"NW"},{"id":4,"name":"Milepost","value":"0"},{"id":17,"name":"Train ID","value":"1813-18"},{"id":16,"name":"Locomotive ID","value":"4032"},{"id":130,"name":"Impact","value":""},{"id":150,"name":"Time of Event (Mountain Time)","value":"12:04:10"},{"id":151,"name":"Denver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1" t="str">
        <f t="shared" ref="AM171" si="133">"start /low /b "&amp;dls3logs&amp;" --loco "&amp;B171&amp;" --day "&amp;TEXT(F171,"YYYY-MM-DD")</f>
        <v>start /low /b %USERPROFILE%\Documents\GitHub\eaglep3\Utilities\DownloadLogsFromS3.py --loco 4032 --day 2017-11-18</v>
      </c>
      <c r="AN171" s="150" t="str">
        <f t="shared" ref="AN171" si="134">"echo {""issue"":{""subject"":"""&amp;R171&amp;""",""project_id"":30,""tracker_id"":4,""status_id"":"&amp;redmine_status_wcr&amp;",""priority_id"":"&amp;redmine_priority_wcr&amp;",""assigned_to_id"":"&amp;redmine_assignee_wcr&amp;",""start_date"":"""&amp;TEXT(I171-utc_offset/24,"YYYY-mm-dd")&amp;""",""description"":"""&amp;AJ171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19:04:10"},{"id":29,"name":"Sharepoint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7" t="str">
        <f t="shared" ref="AO171" si="135"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Message%20ID',Summary),filters:!(),index:'emp_*',interval:auto,query:"&amp;"(query_string:(analyze_wildcard:!t,query:'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-11-18T10:25:51-0700',mode:absolute,to:'2017-11-18T13:04:10-0700'))&amp;_a=(columns:!('Message%20ID',Summary),filters:!(),index:'emp_*',interval:auto,query:(query_string:(analyze_wildcard:!t,query:'%22rtdc.l.rtdc.4032%22')),sort:!(Time.ISO8601,asc))</v>
      </c>
    </row>
    <row r="172" spans="1:91" s="20" customFormat="1" x14ac:dyDescent="0.25">
      <c r="A172" s="32" t="s">
        <v>806</v>
      </c>
      <c r="B172" s="7">
        <v>4031</v>
      </c>
      <c r="C172" s="21" t="s">
        <v>192</v>
      </c>
      <c r="D172" s="21" t="s">
        <v>657</v>
      </c>
      <c r="E172" s="13">
        <v>43057.520868055559</v>
      </c>
      <c r="F172" s="13">
        <v>43057.529166666667</v>
      </c>
      <c r="G172" s="7">
        <v>163</v>
      </c>
      <c r="H172" s="21" t="s">
        <v>571</v>
      </c>
      <c r="I172" s="13">
        <v>43057.53806712963</v>
      </c>
      <c r="J172" s="7">
        <v>0</v>
      </c>
      <c r="K172" s="89" t="str">
        <f t="shared" si="96"/>
        <v>4031/4032</v>
      </c>
      <c r="L172" s="184" t="str">
        <f>VLOOKUP(A172,'Trips&amp;Operators'!$C$1:$G$99911,5,FALSE)</f>
        <v>LAMAR NEKESHA</v>
      </c>
      <c r="M172" s="6">
        <f t="shared" si="97"/>
        <v>8.9004629626288079E-3</v>
      </c>
      <c r="N172" s="7">
        <f>24*60*SUM($M172:$M172)</f>
        <v>12.816666666185483</v>
      </c>
      <c r="O172" s="7"/>
      <c r="P172" s="7"/>
      <c r="Q172" s="22"/>
      <c r="R172" s="173"/>
      <c r="S172" s="220">
        <f t="shared" si="98"/>
        <v>1</v>
      </c>
      <c r="T172" s="173" t="str">
        <f t="shared" si="99"/>
        <v>Southbound</v>
      </c>
      <c r="U172" s="19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5" t="str">
        <f t="shared" si="100"/>
        <v>https://d0f6bd738d7f1b3e5a7ca70fe4ff75f0.us-east-1.aws.found.io/app/kibana#/discover/Steve-Slow-Train-Analysis-(2080s-and-2083s)?_g=(refreshInterval:(display:Off,pause:!f,section:0,value:0),time:(from:'2017-11-18T11:30:03-0700',mode:absolute,to:'2017-11-18T13:54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2" s="203" t="str">
        <f>IF(AA172&lt;VLOOKUP(AG172,Variables!$AC$3:$AD$8,2,FALSE),"Y","N")</f>
        <v>N</v>
      </c>
      <c r="X172" s="203">
        <f t="shared" si="130"/>
        <v>1</v>
      </c>
      <c r="Y172" s="203">
        <f>RIGHT(D172,LEN(D172)-4)/10000</f>
        <v>5.8659999999999997</v>
      </c>
      <c r="Z172" s="203">
        <f>RIGHT(H172,LEN(H172)-4)/10000</f>
        <v>6.8900000000000003E-2</v>
      </c>
      <c r="AA172" s="203">
        <f t="shared" si="101"/>
        <v>5.7970999999999995</v>
      </c>
      <c r="AB172" s="54" t="e">
        <f>VLOOKUP(A172,Enforcements!$C$7:$K$9,8,0)</f>
        <v>#N/A</v>
      </c>
      <c r="AC172" s="51" t="e">
        <f>VLOOKUP(A172,Enforcements!$C$7:$E$9,3,0)</f>
        <v>#N/A</v>
      </c>
      <c r="AD172" s="178">
        <f t="shared" si="102"/>
        <v>1814</v>
      </c>
      <c r="AE172" s="77" t="str">
        <f t="shared" si="103"/>
        <v>aws s3 cp s3://rtdc.mdm.uploadarchive.raw/RTDC4031/ "%USERPROFILE%\AppData\Local\Temp\OnboardLogs"\RTDC4031\2017-11-18 --exclude "*" --recursive --include "*20171118*" &amp; "%USERPROFILE%\Documents\GitHub\mrs-test-scripts\Headless Mode &amp; Sideloading\WalkAndUnGZ.bat" "%USERPROFILE%\AppData\Local\Temp\OnboardLogs"\RTDC4031\2017-11-18 &amp; aws s3 cp s3://rtdc.mdm.uploadarchive.raw/RTDC4031/ "%USERPROFILE%\AppData\Local\Temp\OnboardLogs"\RTDC4031\2017-11-19 --exclude "*" --recursive --include "*20171119*" &amp; "%USERPROFILE%\Documents\GitHub\mrs-test-scripts\Headless Mode &amp; Sideloading\WalkAndUnGZ.bat" "%USERPROFILE%\AppData\Local\Temp\OnboardLogs"\RTDC4031\2017-11-19</v>
      </c>
      <c r="AF172" s="74" t="str">
        <f t="shared" si="104"/>
        <v>"C:\Program Files (x86)\AstroGrep\AstroGrep.exe" /e /r /s /spath="%USERPROFILE%\AppData\Local\Temp\OnboardLogs" /stypes="app*4031*20171118*" /stext=" 19:.+((SYSTEM_STATE.+slice.+state.+changed )|(ment ac)|(multiple cpu faults)|(system.+state.+changed )|(\[timeout)|(PRM\|1\|D)|(kpr)|(kdp)|(train st.+moving)|(\|lc)|(penalty))"</v>
      </c>
      <c r="AG172" s="181" t="str">
        <f t="shared" si="105"/>
        <v>NW</v>
      </c>
      <c r="AH172" s="78" t="str">
        <f t="shared" si="106"/>
        <v>"%USERPROFILE%\Documents\GitHub\eaglep3\Utilities\RefineRTDCRunTimes.py" --tripid 1814-18 --locoid 4031 --swversion DE.1.0.9.0 --startMP 300:58660 --initTime 2017-11-18T12:30:03 --startdatetime 2017-11-18T12:42:00 --delay 163 --endMP 204:689 --enddatetime 2017-11-18T12:54:49 --enforcementcount 0 &gt;&gt;%USERPROFILE%\Documents\GitHub\eaglep3-reporting\EC\2017-11-18-refined-times.txt</v>
      </c>
      <c r="AI172" s="96" t="str">
        <f t="shared" si="107"/>
        <v>echo {"issue":{"subject":"","project_id":79,"tracker_id":40,"status_id":1,"priority_id":2,"assigned_to_id":338,"start_date":"2017-11-18","description":"","custom_fields":[{"id":1,"name":"Subdivision","value":"NW"},{"id":4,"name":"Milepost","value":"0.0689"},{"id":17,"name":"Train ID","value":"1814-18"},{"id":16,"name":"Locomotive ID","value":"4031"},{"id":130,"name":"Impact","value":""},{"id":150,"name":"Time of Event (Mountain Time)","value":"12:54:49"},{"id":151,"name":"Denver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1" t="str">
        <f t="shared" si="108"/>
        <v>start /low /b %USERPROFILE%\Documents\GitHub\eaglep3\Utilities\DownloadLogsFromS3.py --loco 4031 --day 2017-11-18</v>
      </c>
      <c r="AN172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19:54:49"},{"id":29,"name":"Sharepoint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7" t="str">
        <f t="shared" si="110"/>
        <v>https://d0f6bd738d7f1b3e5a7ca70fe4ff75f0.us-east-1.aws.found.io/app/kibana#/discover/Steve-Slow-Train-Analysis-(2080s-and-2083s)?_g=(refreshInterval:(display:Off,pause:!f,section:0,value:0),time:(from:'2017-11-18T11:30:03-0700',mode:absolute,to:'2017-11-18T13:54:49-0700'))&amp;_a=(columns:!('Message%20ID',Summary),filters:!(),index:'emp_*',interval:auto,query:(query_string:(analyze_wildcard:!t,query:'%22rtdc.l.rtdc.4031%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1089</v>
      </c>
      <c r="B173" s="7">
        <v>4032</v>
      </c>
      <c r="C173" s="21" t="s">
        <v>192</v>
      </c>
      <c r="D173" s="21" t="s">
        <v>657</v>
      </c>
      <c r="E173" s="13">
        <v>43057.520868055559</v>
      </c>
      <c r="F173" s="13">
        <f>I172+10/24/60</f>
        <v>43057.545011574075</v>
      </c>
      <c r="G173" s="7">
        <v>163</v>
      </c>
      <c r="H173" s="21" t="s">
        <v>571</v>
      </c>
      <c r="I173" s="13">
        <f>F173+1/24/60</f>
        <v>43057.545706018522</v>
      </c>
      <c r="J173" s="7">
        <v>0</v>
      </c>
      <c r="K173" s="89" t="str">
        <f t="shared" ref="K173:K182" si="136">IF(ISEVEN(B173),(B173-1)&amp;"/"&amp;B173,B173&amp;"/"&amp;(B173+1))</f>
        <v>4031/4032</v>
      </c>
      <c r="L173" s="184" t="e">
        <f>VLOOKUP(A173,'Trips&amp;Operators'!$C$1:$G$99911,5,FALSE)</f>
        <v>#N/A</v>
      </c>
      <c r="M173" s="6">
        <f t="shared" ref="M173:M182" si="137">I173-F173</f>
        <v>6.944444467080757E-4</v>
      </c>
      <c r="N173" s="7"/>
      <c r="O173" s="7"/>
      <c r="P173" s="7">
        <f>24*60*SUM($M173:$M173)</f>
        <v>1.000000003259629</v>
      </c>
      <c r="Q173" s="22"/>
      <c r="R173" s="173" t="s">
        <v>1088</v>
      </c>
      <c r="S173" s="220">
        <f t="shared" ref="S173:S182" si="138">1/IF(AG173="EC",12,1)*SUM(U173:U173)</f>
        <v>0</v>
      </c>
      <c r="T173" s="173" t="str">
        <f t="shared" ref="T173:T182" si="139">IF(ISEVEN(LEFT(AD173,4)),"Southbound","NorthBound")</f>
        <v>NorthBound</v>
      </c>
      <c r="U173" s="19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0</v>
      </c>
      <c r="V173" s="215" t="str">
        <f t="shared" si="100"/>
        <v>https://d0f6bd738d7f1b3e5a7ca70fe4ff75f0.us-east-1.aws.found.io/app/kibana#/discover/Steve-Slow-Train-Analysis-(2080s-and-2083s)?_g=(refreshInterval:(display:Off,pause:!f,section:0,value:0),time:(from:'2017-11-18T11:30:03-0700',mode:absolute,to:'2017-11-18T14:05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3" s="203" t="str">
        <f>IF(AA173&lt;VLOOKUP(AG173,Variables!$AC$3:$AD$8,2,FALSE),"Y","N")</f>
        <v>Y</v>
      </c>
      <c r="X173" s="203">
        <f t="shared" si="130"/>
        <v>1</v>
      </c>
      <c r="Y173" s="203">
        <v>0</v>
      </c>
      <c r="Z173" s="203">
        <v>0</v>
      </c>
      <c r="AA173" s="203">
        <f t="shared" ref="AA173:AA204" si="140">ABS(Z173-Y173)</f>
        <v>0</v>
      </c>
      <c r="AB173" s="54" t="e">
        <f>VLOOKUP(A173,Enforcements!$C$7:$K$9,8,0)</f>
        <v>#N/A</v>
      </c>
      <c r="AC173" s="51" t="e">
        <f>VLOOKUP(A173,Enforcements!$C$7:$E$9,3,0)</f>
        <v>#N/A</v>
      </c>
      <c r="AD173" s="178">
        <f t="shared" ref="AD173:AD182" si="141">VALUE(LEFT(A173,LEN(A173)-3))</f>
        <v>1815</v>
      </c>
      <c r="AE173" s="77" t="str">
        <f t="shared" si="103"/>
        <v>aws s3 cp s3://rtdc.mdm.uploadarchive.raw/RTDC4032/ "%USERPROFILE%\AppData\Local\Temp\OnboardLogs"\RTDC4032\2017-11-18 --exclude "*" --recursive --include "*20171118*" &amp; "%USERPROFILE%\Documents\GitHub\mrs-test-scripts\Headless Mode &amp; Sideloading\WalkAndUnGZ.bat" "%USERPROFILE%\AppData\Local\Temp\OnboardLogs"\RTDC4032\2017-11-18 &amp; aws s3 cp s3://rtdc.mdm.uploadarchive.raw/RTDC4032/ "%USERPROFILE%\AppData\Local\Temp\OnboardLogs"\RTDC4032\2017-11-19 --exclude "*" --recursive --include "*20171119*" &amp; "%USERPROFILE%\Documents\GitHub\mrs-test-scripts\Headless Mode &amp; Sideloading\WalkAndUnGZ.bat" "%USERPROFILE%\AppData\Local\Temp\OnboardLogs"\RTDC4032\2017-11-19</v>
      </c>
      <c r="AF173" s="74" t="str">
        <f t="shared" si="104"/>
        <v>"C:\Program Files (x86)\AstroGrep\AstroGrep.exe" /e /r /s /spath="%USERPROFILE%\AppData\Local\Temp\OnboardLogs" /stypes="app*4032*20171118*" /stext=" 20:.+((SYSTEM_STATE.+slice.+state.+changed )|(ment ac)|(multiple cpu faults)|(system.+state.+changed )|(\[timeout)|(PRM\|1\|D)|(kpr)|(kdp)|(train st.+moving)|(\|lc)|(penalty))"</v>
      </c>
      <c r="AG173" s="181" t="str">
        <f t="shared" ref="AG173:AG182" si="142">DetSubdiv(A173)</f>
        <v>NW</v>
      </c>
      <c r="AH173" s="78" t="str">
        <f t="shared" ref="AH173" si="143">refinertdcruntimes&amp;" --tripid "&amp;A173&amp;" --locoid "&amp;B173&amp;" --swversion "&amp;C173&amp;" --startMP "&amp;D173&amp;" --initTime "&amp;TEXT(E173,"yyyy-mm-ddTHH:MM:SS")&amp;" --startdatetime "&amp;TEXT(F173,"yyyy-mm-ddTHH:MM:SS")&amp;" --delay "&amp;G173&amp;" --endMP "&amp;H173&amp;" --enddatetime "&amp;TEXT(I173,"yyyy-mm-ddTHH:MM:SS")&amp;" --enforcementcount "&amp;J173&amp;IF(outputrefinedruntimes," &gt;&gt;"&amp;RefinedRTDCRunTimesOutputFile,"")</f>
        <v>"%USERPROFILE%\Documents\GitHub\eaglep3\Utilities\RefineRTDCRunTimes.py" --tripid 1815-18 --locoid 4032 --swversion DE.1.0.9.0 --startMP 300:58660 --initTime 2017-11-18T12:30:03 --startdatetime 2017-11-18T13:04:49 --delay 163 --endMP 204:689 --enddatetime 2017-11-18T13:05:49 --enforcementcount 0 &gt;&gt;%USERPROFILE%\Documents\GitHub\eaglep3-reporting\EC\2017-11-18-refined-times.txt</v>
      </c>
      <c r="AI173" s="96" t="str">
        <f t="shared" ref="AI173" si="144">"echo {""issue"":{""subject"":"""&amp;R173&amp;""",""project_id"":79,""tracker_id"":40,""status_id"":"&amp;redmine_status&amp;",""priority_id"":"&amp;redmine_priority&amp;",""assigned_to_id"":"&amp;redmine_assignee&amp;",""start_date"":"""&amp;TEXT(I173,"YYYY-mm-dd")&amp;""",""description"":"""&amp;AJ173&amp;""",""custom_fields"":[{""id"":1,""name"":""Subdivision"",""value"":"""&amp;AG173&amp;"""},{""id"":4,""name"":""Milepost"",""value"":"""&amp;Z173&amp;"""},{""id"":17,""name"":""Train ID"",""value"":"""&amp;A173&amp;"""},{""id"":16,""name"":""Locomotive ID"",""value"":"""&amp;B173&amp;"""},{""id"":130,""name"":""Impact"",""value"":"""&amp;AK173&amp;"""},{""id"":150,""name"":""Time of Event (Mountain Time)"",""value"":"""&amp;TEXT(I173,"hh:mm:ss")&amp;"""},{""id"":151,""name"":""Denver Issue ID"",""value"":"""&amp;"""},{""id"":178,""name"":""Operational Impact"",""value"":"""&amp;redmine_op_impact&amp;"""},{""id"":179,""name"":""Denver Segment Assigned"",""value"":"""&amp;AL173&amp;"""}]}}"&amp;" | curl --insecure -X POST -H ""Content-Type: application/json"" -H ""X-Redmine-API-Key: "&amp;redm_api_key&amp;""" "&amp;redm_url&amp;" --data @-"</f>
        <v>echo {"issue":{"subject":"Did not init","project_id":79,"tracker_id":40,"status_id":1,"priority_id":2,"assigned_to_id":338,"start_date":"2017-11-18","description":"","custom_fields":[{"id":1,"name":"Subdivision","value":"NW"},{"id":4,"name":"Milepost","value":"0"},{"id":17,"name":"Train ID","value":"1815-18"},{"id":16,"name":"Locomotive ID","value":"4032"},{"id":130,"name":"Impact","value":""},{"id":150,"name":"Time of Event (Mountain Time)","value":"13:05:49"},{"id":151,"name":"Denver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1" t="str">
        <f t="shared" ref="AM173" si="145">"start /low /b "&amp;dls3logs&amp;" --loco "&amp;B173&amp;" --day "&amp;TEXT(F173,"YYYY-MM-DD")</f>
        <v>start /low /b %USERPROFILE%\Documents\GitHub\eaglep3\Utilities\DownloadLogsFromS3.py --loco 4032 --day 2017-11-18</v>
      </c>
      <c r="AN173" s="150" t="str">
        <f t="shared" ref="AN173" si="146">"echo {""issue"":{""subject"":"""&amp;R173&amp;""",""project_id"":30,""tracker_id"":4,""status_id"":"&amp;redmine_status_wcr&amp;",""priority_id"":"&amp;redmine_priority_wcr&amp;",""assigned_to_id"":"&amp;redmine_assignee_wcr&amp;",""start_date"":"""&amp;TEXT(I173-utc_offset/24,"YYYY-mm-dd")&amp;""",""description"":"""&amp;AJ173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20:05:49"},{"id":29,"name":"Sharepoint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7" t="str">
        <f t="shared" ref="AO173" si="147"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Message%20ID',Summary),filters:!(),index:'emp_*',interval:auto,query:"&amp;"(query_string:(analyze_wildcard:!t,query:'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-11-18T11:30:03-0700',mode:absolute,to:'2017-11-18T14:05:49-0700'))&amp;_a=(columns:!('Message%20ID',Summary),filters:!(),index:'emp_*',interval:auto,query:(query_string:(analyze_wildcard:!t,query:'%22rtdc.l.rtdc.4032%22')),sort:!(Time.ISO8601,asc))</v>
      </c>
    </row>
    <row r="174" spans="1:91" s="20" customFormat="1" x14ac:dyDescent="0.25">
      <c r="A174" s="32" t="s">
        <v>814</v>
      </c>
      <c r="B174" s="7">
        <v>4031</v>
      </c>
      <c r="C174" s="21" t="s">
        <v>192</v>
      </c>
      <c r="D174" s="21" t="s">
        <v>975</v>
      </c>
      <c r="E174" s="13">
        <v>43057.559155092589</v>
      </c>
      <c r="F174" s="13">
        <v>43057.570833333331</v>
      </c>
      <c r="G174" s="7">
        <v>47</v>
      </c>
      <c r="H174" s="21" t="s">
        <v>976</v>
      </c>
      <c r="I174" s="13">
        <v>43057.579837962963</v>
      </c>
      <c r="J174" s="7">
        <v>0</v>
      </c>
      <c r="K174" s="89" t="str">
        <f t="shared" si="136"/>
        <v>4031/4032</v>
      </c>
      <c r="L174" s="184" t="str">
        <f>VLOOKUP(A174,'Trips&amp;Operators'!$C$1:$G$99911,5,FALSE)</f>
        <v>LAMAR NEKESHA</v>
      </c>
      <c r="M174" s="6">
        <f t="shared" si="137"/>
        <v>9.0046296318178065E-3</v>
      </c>
      <c r="N174" s="7">
        <f t="shared" ref="N174:N182" si="148">24*60*SUM($M174:$M174)</f>
        <v>12.966666669817641</v>
      </c>
      <c r="O174" s="7"/>
      <c r="P174" s="7"/>
      <c r="Q174" s="22"/>
      <c r="R174" s="173"/>
      <c r="S174" s="220">
        <f t="shared" si="138"/>
        <v>1</v>
      </c>
      <c r="T174" s="173" t="str">
        <f t="shared" si="139"/>
        <v>Southbound</v>
      </c>
      <c r="U174" s="19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5" t="str">
        <f t="shared" si="100"/>
        <v>https://d0f6bd738d7f1b3e5a7ca70fe4ff75f0.us-east-1.aws.found.io/app/kibana#/discover/Steve-Slow-Train-Analysis-(2080s-and-2083s)?_g=(refreshInterval:(display:Off,pause:!f,section:0,value:0),time:(from:'2017-11-18T12:25:11-0700',mode:absolute,to:'2017-11-18T14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4" s="203" t="str">
        <f>IF(AA174&lt;VLOOKUP(AG174,Variables!$AC$3:$AD$8,2,FALSE),"Y","N")</f>
        <v>N</v>
      </c>
      <c r="X174" s="203">
        <f t="shared" si="130"/>
        <v>1</v>
      </c>
      <c r="Y174" s="203">
        <f t="shared" ref="Y174:Y182" si="149">RIGHT(D174,LEN(D174)-4)/10000</f>
        <v>5.8677000000000001</v>
      </c>
      <c r="Z174" s="203">
        <f t="shared" ref="Z174:Z182" si="150">RIGHT(H174,LEN(H174)-4)/10000</f>
        <v>6.7799999999999999E-2</v>
      </c>
      <c r="AA174" s="203">
        <f t="shared" si="140"/>
        <v>5.7999000000000001</v>
      </c>
      <c r="AB174" s="54" t="e">
        <f>VLOOKUP(A174,Enforcements!$C$7:$K$9,8,0)</f>
        <v>#N/A</v>
      </c>
      <c r="AC174" s="51" t="e">
        <f>VLOOKUP(A174,Enforcements!$C$7:$E$9,3,0)</f>
        <v>#N/A</v>
      </c>
      <c r="AD174" s="178">
        <f t="shared" si="141"/>
        <v>1816</v>
      </c>
      <c r="AE174" s="77" t="str">
        <f t="shared" si="103"/>
        <v>aws s3 cp s3://rtdc.mdm.uploadarchive.raw/RTDC4031/ "%USERPROFILE%\AppData\Local\Temp\OnboardLogs"\RTDC4031\2017-11-18 --exclude "*" --recursive --include "*20171118*" &amp; "%USERPROFILE%\Documents\GitHub\mrs-test-scripts\Headless Mode &amp; Sideloading\WalkAndUnGZ.bat" "%USERPROFILE%\AppData\Local\Temp\OnboardLogs"\RTDC4031\2017-11-18 &amp; aws s3 cp s3://rtdc.mdm.uploadarchive.raw/RTDC4031/ "%USERPROFILE%\AppData\Local\Temp\OnboardLogs"\RTDC4031\2017-11-19 --exclude "*" --recursive --include "*20171119*" &amp; "%USERPROFILE%\Documents\GitHub\mrs-test-scripts\Headless Mode &amp; Sideloading\WalkAndUnGZ.bat" "%USERPROFILE%\AppData\Local\Temp\OnboardLogs"\RTDC4031\2017-11-19</v>
      </c>
      <c r="AF174" s="74" t="str">
        <f t="shared" si="104"/>
        <v>"C:\Program Files (x86)\AstroGrep\AstroGrep.exe" /e /r /s /spath="%USERPROFILE%\AppData\Local\Temp\OnboardLogs" /stypes="app*4031*20171118*" /stext=" 20:.+((SYSTEM_STATE.+slice.+state.+changed )|(ment ac)|(multiple cpu faults)|(system.+state.+changed )|(\[timeout)|(PRM\|1\|D)|(kpr)|(kdp)|(train st.+moving)|(\|lc)|(penalty))"</v>
      </c>
      <c r="AG174" s="181" t="str">
        <f t="shared" si="142"/>
        <v>NW</v>
      </c>
      <c r="AH174" s="78" t="str">
        <f t="shared" si="106"/>
        <v>"%USERPROFILE%\Documents\GitHub\eaglep3\Utilities\RefineRTDCRunTimes.py" --tripid 1816-18 --locoid 4031 --swversion DE.1.0.9.0 --startMP 300:58677 --initTime 2017-11-18T13:25:11 --startdatetime 2017-11-18T13:42:00 --delay 47 --endMP 204:678 --enddatetime 2017-11-18T13:54:58 --enforcementcount 0 &gt;&gt;%USERPROFILE%\Documents\GitHub\eaglep3-reporting\EC\2017-11-18-refined-times.txt</v>
      </c>
      <c r="AI174" s="96" t="str">
        <f t="shared" si="107"/>
        <v>echo {"issue":{"subject":"","project_id":79,"tracker_id":40,"status_id":1,"priority_id":2,"assigned_to_id":338,"start_date":"2017-11-18","description":"","custom_fields":[{"id":1,"name":"Subdivision","value":"NW"},{"id":4,"name":"Milepost","value":"0.0678"},{"id":17,"name":"Train ID","value":"1816-18"},{"id":16,"name":"Locomotive ID","value":"4031"},{"id":130,"name":"Impact","value":""},{"id":150,"name":"Time of Event (Mountain Time)","value":"13:54:58"},{"id":151,"name":"Denver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1" t="str">
        <f t="shared" si="108"/>
        <v>start /low /b %USERPROFILE%\Documents\GitHub\eaglep3\Utilities\DownloadLogsFromS3.py --loco 4031 --day 2017-11-18</v>
      </c>
      <c r="AN174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20:54:58"},{"id":29,"name":"Sharepoint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7" t="str">
        <f t="shared" si="110"/>
        <v>https://d0f6bd738d7f1b3e5a7ca70fe4ff75f0.us-east-1.aws.found.io/app/kibana#/discover/Steve-Slow-Train-Analysis-(2080s-and-2083s)?_g=(refreshInterval:(display:Off,pause:!f,section:0,value:0),time:(from:'2017-11-18T12:25:11-0700',mode:absolute,to:'2017-11-18T14:54:58-0700'))&amp;_a=(columns:!('Message%20ID',Summary),filters:!(),index:'emp_*',interval:auto,query:(query_string:(analyze_wildcard:!t,query:'%22rtdc.l.rtdc.4031%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821</v>
      </c>
      <c r="B175" s="7">
        <v>4054</v>
      </c>
      <c r="C175" s="21" t="s">
        <v>192</v>
      </c>
      <c r="D175" s="21" t="s">
        <v>977</v>
      </c>
      <c r="E175" s="13">
        <v>43057.586469907408</v>
      </c>
      <c r="F175" s="13">
        <v>43057.590358796297</v>
      </c>
      <c r="G175" s="7">
        <v>239</v>
      </c>
      <c r="H175" s="21" t="s">
        <v>663</v>
      </c>
      <c r="I175" s="13">
        <v>43057.600266203706</v>
      </c>
      <c r="J175" s="7">
        <v>0</v>
      </c>
      <c r="K175" s="89" t="str">
        <f t="shared" si="136"/>
        <v>4053/4054</v>
      </c>
      <c r="L175" s="184" t="str">
        <f>VLOOKUP(A175,'Trips&amp;Operators'!$C$1:$G$99911,5,FALSE)</f>
        <v>SMITH MICHAEL</v>
      </c>
      <c r="M175" s="6">
        <f t="shared" si="137"/>
        <v>9.9074074096279219E-3</v>
      </c>
      <c r="N175" s="7">
        <f t="shared" si="148"/>
        <v>14.266666669864208</v>
      </c>
      <c r="O175" s="7"/>
      <c r="P175" s="7"/>
      <c r="Q175" s="22"/>
      <c r="R175" s="173"/>
      <c r="S175" s="220">
        <f t="shared" si="138"/>
        <v>1</v>
      </c>
      <c r="T175" s="173" t="str">
        <f t="shared" si="139"/>
        <v>NorthBound</v>
      </c>
      <c r="U175" s="19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5" t="str">
        <f t="shared" si="100"/>
        <v>https://d0f6bd738d7f1b3e5a7ca70fe4ff75f0.us-east-1.aws.found.io/app/kibana#/discover/Steve-Slow-Train-Analysis-(2080s-and-2083s)?_g=(refreshInterval:(display:Off,pause:!f,section:0,value:0),time:(from:'2017-11-18T13:04:31-0700',mode:absolute,to:'2017-11-18T15:24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5" s="203" t="str">
        <f>IF(AA175&lt;VLOOKUP(AG175,Variables!$AC$3:$AD$8,2,FALSE),"Y","N")</f>
        <v>N</v>
      </c>
      <c r="X175" s="203">
        <f t="shared" si="130"/>
        <v>1</v>
      </c>
      <c r="Y175" s="203">
        <f t="shared" si="149"/>
        <v>4.6800000000000001E-2</v>
      </c>
      <c r="Z175" s="203">
        <f t="shared" si="150"/>
        <v>5.8924000000000003</v>
      </c>
      <c r="AA175" s="203">
        <f t="shared" si="140"/>
        <v>5.8456000000000001</v>
      </c>
      <c r="AB175" s="54" t="e">
        <f>VLOOKUP(A175,Enforcements!$C$7:$K$9,8,0)</f>
        <v>#N/A</v>
      </c>
      <c r="AC175" s="51" t="e">
        <f>VLOOKUP(A175,Enforcements!$C$7:$E$9,3,0)</f>
        <v>#N/A</v>
      </c>
      <c r="AD175" s="178">
        <f t="shared" si="141"/>
        <v>1817</v>
      </c>
      <c r="AE175" s="77" t="str">
        <f t="shared" si="103"/>
        <v>aws s3 cp s3://rtdc.mdm.uploadarchive.raw/RTDC4054/ "%USERPROFILE%\AppData\Local\Temp\OnboardLogs"\RTDC4054\2017-11-18 --exclude "*" --recursive --include "*20171118*" &amp; "%USERPROFILE%\Documents\GitHub\mrs-test-scripts\Headless Mode &amp; Sideloading\WalkAndUnGZ.bat" "%USERPROFILE%\AppData\Local\Temp\OnboardLogs"\RTDC4054\2017-11-18 &amp; 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</v>
      </c>
      <c r="AF175" s="74" t="str">
        <f t="shared" si="104"/>
        <v>"C:\Program Files (x86)\AstroGrep\AstroGrep.exe" /e /r /s /spath="%USERPROFILE%\AppData\Local\Temp\OnboardLogs" /stypes="app*4054*20171118*" /stext=" 21:.+((SYSTEM_STATE.+slice.+state.+changed )|(ment ac)|(multiple cpu faults)|(system.+state.+changed )|(\[timeout)|(PRM\|1\|D)|(kpr)|(kdp)|(train st.+moving)|(\|lc)|(penalty))"</v>
      </c>
      <c r="AG175" s="181" t="str">
        <f t="shared" si="142"/>
        <v>NW</v>
      </c>
      <c r="AH175" s="78" t="str">
        <f t="shared" si="106"/>
        <v>"%USERPROFILE%\Documents\GitHub\eaglep3\Utilities\RefineRTDCRunTimes.py" --tripid 1817-18 --locoid 4054 --swversion DE.1.0.9.0 --startMP 204:468 --initTime 2017-11-18T14:04:31 --startdatetime 2017-11-18T14:10:07 --delay 239 --endMP 300:58924 --enddatetime 2017-11-18T14:24:23 --enforcementcount 0 &gt;&gt;%USERPROFILE%\Documents\GitHub\eaglep3-reporting\EC\2017-11-18-refined-times.txt</v>
      </c>
      <c r="AI175" s="96" t="str">
        <f t="shared" si="107"/>
        <v>echo {"issue":{"subject":"","project_id":79,"tracker_id":40,"status_id":1,"priority_id":2,"assigned_to_id":338,"start_date":"2017-11-18","description":"","custom_fields":[{"id":1,"name":"Subdivision","value":"NW"},{"id":4,"name":"Milepost","value":"5.8924"},{"id":17,"name":"Train ID","value":"1817-18"},{"id":16,"name":"Locomotive ID","value":"4054"},{"id":130,"name":"Impact","value":""},{"id":150,"name":"Time of Event (Mountain Time)","value":"14:24:23"},{"id":151,"name":"Denver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1" t="str">
        <f t="shared" si="108"/>
        <v>start /low /b %USERPROFILE%\Documents\GitHub\eaglep3\Utilities\DownloadLogsFromS3.py --loco 4054 --day 2017-11-18</v>
      </c>
      <c r="AN175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21:24:23"},{"id":29,"name":"Sharepoint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7" t="str">
        <f t="shared" si="110"/>
        <v>https://d0f6bd738d7f1b3e5a7ca70fe4ff75f0.us-east-1.aws.found.io/app/kibana#/discover/Steve-Slow-Train-Analysis-(2080s-and-2083s)?_g=(refreshInterval:(display:Off,pause:!f,section:0,value:0),time:(from:'2017-11-18T13:04:31-0700',mode:absolute,to:'2017-11-18T15:24:23-0700'))&amp;_a=(columns:!('Message%20ID',Summary),filters:!(),index:'emp_*',interval:auto,query:(query_string:(analyze_wildcard:!t,query:'%22rtdc.l.rtdc.4054%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825</v>
      </c>
      <c r="B176" s="7">
        <v>4053</v>
      </c>
      <c r="C176" s="21" t="s">
        <v>192</v>
      </c>
      <c r="D176" s="21" t="s">
        <v>1076</v>
      </c>
      <c r="E176" s="13">
        <v>43057.602500000001</v>
      </c>
      <c r="F176" s="13">
        <v>43057.612500000003</v>
      </c>
      <c r="G176" s="7">
        <v>79</v>
      </c>
      <c r="H176" s="21" t="s">
        <v>1077</v>
      </c>
      <c r="I176" s="13">
        <v>43057.621932870374</v>
      </c>
      <c r="J176" s="7">
        <v>0</v>
      </c>
      <c r="K176" s="89" t="str">
        <f t="shared" si="136"/>
        <v>4053/4054</v>
      </c>
      <c r="L176" s="184" t="str">
        <f>VLOOKUP(A176,'Trips&amp;Operators'!$C$1:$G$99911,5,FALSE)</f>
        <v>SMITH MICHAEL</v>
      </c>
      <c r="M176" s="6">
        <f t="shared" si="137"/>
        <v>9.4328703708015382E-3</v>
      </c>
      <c r="N176" s="7">
        <f t="shared" si="148"/>
        <v>13.583333333954215</v>
      </c>
      <c r="O176" s="7"/>
      <c r="P176" s="7"/>
      <c r="Q176" s="22"/>
      <c r="R176" s="173"/>
      <c r="S176" s="220">
        <f t="shared" si="138"/>
        <v>1</v>
      </c>
      <c r="T176" s="173" t="str">
        <f t="shared" si="139"/>
        <v>Southbound</v>
      </c>
      <c r="U176" s="19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5" t="str">
        <f t="shared" si="100"/>
        <v>https://d0f6bd738d7f1b3e5a7ca70fe4ff75f0.us-east-1.aws.found.io/app/kibana#/discover/Steve-Slow-Train-Analysis-(2080s-and-2083s)?_g=(refreshInterval:(display:Off,pause:!f,section:0,value:0),time:(from:'2017-11-18T13:27:36-0700',mode:absolute,to:'2017-11-18T15:55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6" s="203" t="str">
        <f>IF(AA176&lt;VLOOKUP(AG176,Variables!$AC$3:$AD$8,2,FALSE),"Y","N")</f>
        <v>N</v>
      </c>
      <c r="X176" s="203">
        <f t="shared" si="130"/>
        <v>1</v>
      </c>
      <c r="Y176" s="203">
        <f t="shared" si="149"/>
        <v>5.8615000000000004</v>
      </c>
      <c r="Z176" s="203">
        <f t="shared" si="150"/>
        <v>7.7100000000000002E-2</v>
      </c>
      <c r="AA176" s="203">
        <f t="shared" si="140"/>
        <v>5.7844000000000007</v>
      </c>
      <c r="AB176" s="54" t="e">
        <f>VLOOKUP(A176,Enforcements!$C$7:$K$9,8,0)</f>
        <v>#N/A</v>
      </c>
      <c r="AC176" s="51" t="e">
        <f>VLOOKUP(A176,Enforcements!$C$7:$E$9,3,0)</f>
        <v>#N/A</v>
      </c>
      <c r="AD176" s="178">
        <f t="shared" si="141"/>
        <v>1818</v>
      </c>
      <c r="AE176" s="77" t="str">
        <f t="shared" si="103"/>
        <v>aws s3 cp s3://rtdc.mdm.uploadarchive.raw/RTDC4053/ "%USERPROFILE%\AppData\Local\Temp\OnboardLogs"\RTDC4053\2017-11-18 --exclude "*" --recursive --include "*20171118*" &amp; "%USERPROFILE%\Documents\GitHub\mrs-test-scripts\Headless Mode &amp; Sideloading\WalkAndUnGZ.bat" "%USERPROFILE%\AppData\Local\Temp\OnboardLogs"\RTDC4053\2017-11-18 &amp; 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</v>
      </c>
      <c r="AF176" s="74" t="str">
        <f t="shared" si="104"/>
        <v>"C:\Program Files (x86)\AstroGrep\AstroGrep.exe" /e /r /s /spath="%USERPROFILE%\AppData\Local\Temp\OnboardLogs" /stypes="app*4053*20171118*" /stext=" 21:.+((SYSTEM_STATE.+slice.+state.+changed )|(ment ac)|(multiple cpu faults)|(system.+state.+changed )|(\[timeout)|(PRM\|1\|D)|(kpr)|(kdp)|(train st.+moving)|(\|lc)|(penalty))"</v>
      </c>
      <c r="AG176" s="181" t="str">
        <f t="shared" si="142"/>
        <v>NW</v>
      </c>
      <c r="AH176" s="78" t="str">
        <f t="shared" si="106"/>
        <v>"%USERPROFILE%\Documents\GitHub\eaglep3\Utilities\RefineRTDCRunTimes.py" --tripid 1818-18 --locoid 4053 --swversion DE.1.0.9.0 --startMP 300:58615 --initTime 2017-11-18T14:27:36 --startdatetime 2017-11-18T14:42:00 --delay 79 --endMP 204:771 --enddatetime 2017-11-18T14:55:35 --enforcementcount 0 &gt;&gt;%USERPROFILE%\Documents\GitHub\eaglep3-reporting\EC\2017-11-18-refined-times.txt</v>
      </c>
      <c r="AI176" s="96" t="str">
        <f t="shared" si="107"/>
        <v>echo {"issue":{"subject":"","project_id":79,"tracker_id":40,"status_id":1,"priority_id":2,"assigned_to_id":338,"start_date":"2017-11-18","description":"","custom_fields":[{"id":1,"name":"Subdivision","value":"NW"},{"id":4,"name":"Milepost","value":"0.0771"},{"id":17,"name":"Train ID","value":"1818-18"},{"id":16,"name":"Locomotive ID","value":"4053"},{"id":130,"name":"Impact","value":""},{"id":150,"name":"Time of Event (Mountain Time)","value":"14:55:35"},{"id":151,"name":"Denver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1" t="str">
        <f t="shared" si="108"/>
        <v>start /low /b %USERPROFILE%\Documents\GitHub\eaglep3\Utilities\DownloadLogsFromS3.py --loco 4053 --day 2017-11-18</v>
      </c>
      <c r="AN176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21:55:35"},{"id":29,"name":"Sharepoint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7" t="str">
        <f t="shared" si="110"/>
        <v>https://d0f6bd738d7f1b3e5a7ca70fe4ff75f0.us-east-1.aws.found.io/app/kibana#/discover/Steve-Slow-Train-Analysis-(2080s-and-2083s)?_g=(refreshInterval:(display:Off,pause:!f,section:0,value:0),time:(from:'2017-11-18T13:27:36-0700',mode:absolute,to:'2017-11-18T15:55:35-0700'))&amp;_a=(columns:!('Message%20ID',Summary),filters:!(),index:'emp_*',interval:auto,query:(query_string:(analyze_wildcard:!t,query:'%22rtdc.l.rtdc.4053%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830</v>
      </c>
      <c r="B177" s="7">
        <v>4054</v>
      </c>
      <c r="C177" s="21" t="s">
        <v>192</v>
      </c>
      <c r="D177" s="21" t="s">
        <v>665</v>
      </c>
      <c r="E177" s="13">
        <v>43057.624814814815</v>
      </c>
      <c r="F177" s="13">
        <v>43057.631481481483</v>
      </c>
      <c r="G177" s="7">
        <v>70</v>
      </c>
      <c r="H177" s="21" t="s">
        <v>531</v>
      </c>
      <c r="I177" s="13">
        <v>43057.641145833331</v>
      </c>
      <c r="J177" s="7">
        <v>0</v>
      </c>
      <c r="K177" s="89" t="str">
        <f t="shared" si="136"/>
        <v>4053/4054</v>
      </c>
      <c r="L177" s="184" t="str">
        <f>VLOOKUP(A177,'Trips&amp;Operators'!$C$1:$G$99911,5,FALSE)</f>
        <v>SMITH MICHAEL</v>
      </c>
      <c r="M177" s="6">
        <f t="shared" si="137"/>
        <v>9.6643518481869251E-3</v>
      </c>
      <c r="N177" s="7">
        <f t="shared" si="148"/>
        <v>13.916666661389172</v>
      </c>
      <c r="O177" s="7"/>
      <c r="P177" s="7"/>
      <c r="Q177" s="22"/>
      <c r="R177" s="173"/>
      <c r="S177" s="220">
        <f t="shared" si="138"/>
        <v>1</v>
      </c>
      <c r="T177" s="173" t="str">
        <f t="shared" si="139"/>
        <v>NorthBound</v>
      </c>
      <c r="U177" s="19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5" t="str">
        <f t="shared" si="100"/>
        <v>https://d0f6bd738d7f1b3e5a7ca70fe4ff75f0.us-east-1.aws.found.io/app/kibana#/discover/Steve-Slow-Train-Analysis-(2080s-and-2083s)?_g=(refreshInterval:(display:Off,pause:!f,section:0,value:0),time:(from:'2017-11-18T13:59:44-0700',mode:absolute,to:'2017-11-18T16:23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7" s="203" t="str">
        <f>IF(AA177&lt;VLOOKUP(AG177,Variables!$AC$3:$AD$8,2,FALSE),"Y","N")</f>
        <v>N</v>
      </c>
      <c r="X177" s="203">
        <f t="shared" si="130"/>
        <v>1</v>
      </c>
      <c r="Y177" s="203">
        <f t="shared" si="149"/>
        <v>0.1051</v>
      </c>
      <c r="Z177" s="203">
        <f t="shared" si="150"/>
        <v>5.8939000000000004</v>
      </c>
      <c r="AA177" s="203">
        <f t="shared" si="140"/>
        <v>5.7888000000000002</v>
      </c>
      <c r="AB177" s="54" t="e">
        <f>VLOOKUP(A177,Enforcements!$C$7:$K$9,8,0)</f>
        <v>#N/A</v>
      </c>
      <c r="AC177" s="51" t="e">
        <f>VLOOKUP(A177,Enforcements!$C$7:$E$9,3,0)</f>
        <v>#N/A</v>
      </c>
      <c r="AD177" s="178">
        <f t="shared" si="141"/>
        <v>1819</v>
      </c>
      <c r="AE177" s="77" t="str">
        <f t="shared" si="103"/>
        <v>aws s3 cp s3://rtdc.mdm.uploadarchive.raw/RTDC4054/ "%USERPROFILE%\AppData\Local\Temp\OnboardLogs"\RTDC4054\2017-11-18 --exclude "*" --recursive --include "*20171118*" &amp; "%USERPROFILE%\Documents\GitHub\mrs-test-scripts\Headless Mode &amp; Sideloading\WalkAndUnGZ.bat" "%USERPROFILE%\AppData\Local\Temp\OnboardLogs"\RTDC4054\2017-11-18 &amp; 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</v>
      </c>
      <c r="AF177" s="74" t="str">
        <f t="shared" si="104"/>
        <v>"C:\Program Files (x86)\AstroGrep\AstroGrep.exe" /e /r /s /spath="%USERPROFILE%\AppData\Local\Temp\OnboardLogs" /stypes="app*4054*20171118*" /stext=" 22:.+((SYSTEM_STATE.+slice.+state.+changed )|(ment ac)|(multiple cpu faults)|(system.+state.+changed )|(\[timeout)|(PRM\|1\|D)|(kpr)|(kdp)|(train st.+moving)|(\|lc)|(penalty))"</v>
      </c>
      <c r="AG177" s="181" t="str">
        <f t="shared" si="142"/>
        <v>NW</v>
      </c>
      <c r="AH177" s="78" t="str">
        <f t="shared" si="106"/>
        <v>"%USERPROFILE%\Documents\GitHub\eaglep3\Utilities\RefineRTDCRunTimes.py" --tripid 1819-18 --locoid 4054 --swversion DE.1.0.9.0 --startMP 204:1051 --initTime 2017-11-18T14:59:44 --startdatetime 2017-11-18T15:09:20 --delay 70 --endMP 300:58939 --enddatetime 2017-11-18T15:23:15 --enforcementcount 0 &gt;&gt;%USERPROFILE%\Documents\GitHub\eaglep3-reporting\EC\2017-11-18-refined-times.txt</v>
      </c>
      <c r="AI177" s="96" t="str">
        <f t="shared" si="107"/>
        <v>echo {"issue":{"subject":"","project_id":79,"tracker_id":40,"status_id":1,"priority_id":2,"assigned_to_id":338,"start_date":"2017-11-18","description":"","custom_fields":[{"id":1,"name":"Subdivision","value":"NW"},{"id":4,"name":"Milepost","value":"5.8939"},{"id":17,"name":"Train ID","value":"1819-18"},{"id":16,"name":"Locomotive ID","value":"4054"},{"id":130,"name":"Impact","value":""},{"id":150,"name":"Time of Event (Mountain Time)","value":"15:23:15"},{"id":151,"name":"Denver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1" t="str">
        <f t="shared" si="108"/>
        <v>start /low /b %USERPROFILE%\Documents\GitHub\eaglep3\Utilities\DownloadLogsFromS3.py --loco 4054 --day 2017-11-18</v>
      </c>
      <c r="AN177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22:23:15"},{"id":29,"name":"Sharepoint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7" t="str">
        <f t="shared" si="110"/>
        <v>https://d0f6bd738d7f1b3e5a7ca70fe4ff75f0.us-east-1.aws.found.io/app/kibana#/discover/Steve-Slow-Train-Analysis-(2080s-and-2083s)?_g=(refreshInterval:(display:Off,pause:!f,section:0,value:0),time:(from:'2017-11-18T13:59:44-0700',mode:absolute,to:'2017-11-18T16:23:15-0700'))&amp;_a=(columns:!('Message%20ID',Summary),filters:!(),index:'emp_*',interval:auto,query:(query_string:(analyze_wildcard:!t,query:'%22rtdc.l.rtdc.4054%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835</v>
      </c>
      <c r="B178" s="7">
        <v>4053</v>
      </c>
      <c r="C178" s="21" t="s">
        <v>192</v>
      </c>
      <c r="D178" s="21" t="s">
        <v>979</v>
      </c>
      <c r="E178" s="13">
        <v>43057.643460648149</v>
      </c>
      <c r="F178" s="13">
        <v>43057.654166666667</v>
      </c>
      <c r="G178" s="7">
        <v>66</v>
      </c>
      <c r="H178" s="21" t="s">
        <v>980</v>
      </c>
      <c r="I178" s="13">
        <v>43057.663668981484</v>
      </c>
      <c r="J178" s="7">
        <v>0</v>
      </c>
      <c r="K178" s="89" t="str">
        <f t="shared" si="136"/>
        <v>4053/4054</v>
      </c>
      <c r="L178" s="184" t="str">
        <f>VLOOKUP(A178,'Trips&amp;Operators'!$C$1:$G$99911,5,FALSE)</f>
        <v>SMITH MICHAEL</v>
      </c>
      <c r="M178" s="6">
        <f t="shared" si="137"/>
        <v>9.5023148169275373E-3</v>
      </c>
      <c r="N178" s="7">
        <f t="shared" si="148"/>
        <v>13.683333336375654</v>
      </c>
      <c r="O178" s="7"/>
      <c r="P178" s="7"/>
      <c r="Q178" s="22"/>
      <c r="R178" s="173"/>
      <c r="S178" s="220">
        <f t="shared" si="138"/>
        <v>1</v>
      </c>
      <c r="T178" s="173" t="str">
        <f t="shared" si="139"/>
        <v>Southbound</v>
      </c>
      <c r="U178" s="19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5" t="str">
        <f t="shared" si="100"/>
        <v>https://d0f6bd738d7f1b3e5a7ca70fe4ff75f0.us-east-1.aws.found.io/app/kibana#/discover/Steve-Slow-Train-Analysis-(2080s-and-2083s)?_g=(refreshInterval:(display:Off,pause:!f,section:0,value:0),time:(from:'2017-11-18T14:26:35-0700',mode:absolute,to:'2017-11-18T16:55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8" s="203" t="str">
        <f>IF(AA178&lt;VLOOKUP(AG178,Variables!$AC$3:$AD$8,2,FALSE),"Y","N")</f>
        <v>N</v>
      </c>
      <c r="X178" s="203">
        <f>VALUE(LEFT(AD178,4))-VALUE(LEFT(AD177,4))</f>
        <v>1</v>
      </c>
      <c r="Y178" s="203">
        <f t="shared" si="149"/>
        <v>5.8620999999999999</v>
      </c>
      <c r="Z178" s="203">
        <f t="shared" si="150"/>
        <v>7.6799999999999993E-2</v>
      </c>
      <c r="AA178" s="203">
        <f t="shared" si="140"/>
        <v>5.7852999999999994</v>
      </c>
      <c r="AB178" s="54" t="e">
        <f>VLOOKUP(A178,Enforcements!$C$7:$K$9,8,0)</f>
        <v>#N/A</v>
      </c>
      <c r="AC178" s="51" t="e">
        <f>VLOOKUP(A178,Enforcements!$C$7:$E$9,3,0)</f>
        <v>#N/A</v>
      </c>
      <c r="AD178" s="178">
        <f t="shared" si="141"/>
        <v>1820</v>
      </c>
      <c r="AE178" s="77" t="str">
        <f t="shared" si="103"/>
        <v>aws s3 cp s3://rtdc.mdm.uploadarchive.raw/RTDC4053/ "%USERPROFILE%\AppData\Local\Temp\OnboardLogs"\RTDC4053\2017-11-18 --exclude "*" --recursive --include "*20171118*" &amp; "%USERPROFILE%\Documents\GitHub\mrs-test-scripts\Headless Mode &amp; Sideloading\WalkAndUnGZ.bat" "%USERPROFILE%\AppData\Local\Temp\OnboardLogs"\RTDC4053\2017-11-18 &amp; 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</v>
      </c>
      <c r="AF178" s="74" t="str">
        <f t="shared" si="104"/>
        <v>"C:\Program Files (x86)\AstroGrep\AstroGrep.exe" /e /r /s /spath="%USERPROFILE%\AppData\Local\Temp\OnboardLogs" /stypes="app*4053*20171118*" /stext=" 22:.+((SYSTEM_STATE.+slice.+state.+changed )|(ment ac)|(multiple cpu faults)|(system.+state.+changed )|(\[timeout)|(PRM\|1\|D)|(kpr)|(kdp)|(train st.+moving)|(\|lc)|(penalty))"</v>
      </c>
      <c r="AG178" s="181" t="str">
        <f t="shared" si="142"/>
        <v>NW</v>
      </c>
      <c r="AH178" s="78" t="str">
        <f t="shared" si="106"/>
        <v>"%USERPROFILE%\Documents\GitHub\eaglep3\Utilities\RefineRTDCRunTimes.py" --tripid 1820-18 --locoid 4053 --swversion DE.1.0.9.0 --startMP 300:58621 --initTime 2017-11-18T15:26:35 --startdatetime 2017-11-18T15:42:00 --delay 66 --endMP 204:768 --enddatetime 2017-11-18T15:55:41 --enforcementcount 0 &gt;&gt;%USERPROFILE%\Documents\GitHub\eaglep3-reporting\EC\2017-11-18-refined-times.txt</v>
      </c>
      <c r="AI178" s="96" t="str">
        <f t="shared" si="107"/>
        <v>echo {"issue":{"subject":"","project_id":79,"tracker_id":40,"status_id":1,"priority_id":2,"assigned_to_id":338,"start_date":"2017-11-18","description":"","custom_fields":[{"id":1,"name":"Subdivision","value":"NW"},{"id":4,"name":"Milepost","value":"0.0768"},{"id":17,"name":"Train ID","value":"1820-18"},{"id":16,"name":"Locomotive ID","value":"4053"},{"id":130,"name":"Impact","value":""},{"id":150,"name":"Time of Event (Mountain Time)","value":"15:55:41"},{"id":151,"name":"Denver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1" t="str">
        <f t="shared" si="108"/>
        <v>start /low /b %USERPROFILE%\Documents\GitHub\eaglep3\Utilities\DownloadLogsFromS3.py --loco 4053 --day 2017-11-18</v>
      </c>
      <c r="AN178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22:55:41"},{"id":29,"name":"Sharepoint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7" t="str">
        <f t="shared" si="110"/>
        <v>https://d0f6bd738d7f1b3e5a7ca70fe4ff75f0.us-east-1.aws.found.io/app/kibana#/discover/Steve-Slow-Train-Analysis-(2080s-and-2083s)?_g=(refreshInterval:(display:Off,pause:!f,section:0,value:0),time:(from:'2017-11-18T14:26:35-0700',mode:absolute,to:'2017-11-18T16:55:41-0700'))&amp;_a=(columns:!('Message%20ID',Summary),filters:!(),index:'emp_*',interval:auto,query:(query_string:(analyze_wildcard:!t,query:'%22rtdc.l.rtdc.4053%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840</v>
      </c>
      <c r="B179" s="7">
        <v>4054</v>
      </c>
      <c r="C179" s="21" t="s">
        <v>192</v>
      </c>
      <c r="D179" s="21" t="s">
        <v>981</v>
      </c>
      <c r="E179" s="13">
        <v>43057.667060185187</v>
      </c>
      <c r="F179" s="13">
        <v>43057.673819444448</v>
      </c>
      <c r="G179" s="7">
        <v>108</v>
      </c>
      <c r="H179" s="21" t="s">
        <v>982</v>
      </c>
      <c r="I179" s="13">
        <v>43057.683599537035</v>
      </c>
      <c r="J179" s="7">
        <v>0</v>
      </c>
      <c r="K179" s="89" t="str">
        <f t="shared" si="136"/>
        <v>4053/4054</v>
      </c>
      <c r="L179" s="184" t="str">
        <f>VLOOKUP(A179,'Trips&amp;Operators'!$C$1:$G$99911,5,FALSE)</f>
        <v>SMITH MICHAEL</v>
      </c>
      <c r="M179" s="6">
        <f t="shared" si="137"/>
        <v>9.7800925868796185E-3</v>
      </c>
      <c r="N179" s="7">
        <f t="shared" si="148"/>
        <v>14.083333325106651</v>
      </c>
      <c r="O179" s="7"/>
      <c r="P179" s="7"/>
      <c r="Q179" s="22"/>
      <c r="R179" s="173"/>
      <c r="S179" s="220">
        <f t="shared" si="138"/>
        <v>1</v>
      </c>
      <c r="T179" s="173" t="str">
        <f t="shared" si="139"/>
        <v>NorthBound</v>
      </c>
      <c r="U179" s="19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5" t="str">
        <f t="shared" si="100"/>
        <v>https://d0f6bd738d7f1b3e5a7ca70fe4ff75f0.us-east-1.aws.found.io/app/kibana#/discover/Steve-Slow-Train-Analysis-(2080s-and-2083s)?_g=(refreshInterval:(display:Off,pause:!f,section:0,value:0),time:(from:'2017-11-18T15:00:34-0700',mode:absolute,to:'2017-11-18T17:24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9" s="203" t="str">
        <f>IF(AA179&lt;VLOOKUP(AG179,Variables!$AC$3:$AD$8,2,FALSE),"Y","N")</f>
        <v>N</v>
      </c>
      <c r="X179" s="203">
        <f>VALUE(LEFT(AD179,4))-VALUE(LEFT(AD178,4))</f>
        <v>1</v>
      </c>
      <c r="Y179" s="203">
        <f t="shared" si="149"/>
        <v>0.10390000000000001</v>
      </c>
      <c r="Z179" s="203">
        <f t="shared" si="150"/>
        <v>5.8977000000000004</v>
      </c>
      <c r="AA179" s="203">
        <f t="shared" si="140"/>
        <v>5.7938000000000001</v>
      </c>
      <c r="AB179" s="54" t="e">
        <f>VLOOKUP(A179,Enforcements!$C$7:$K$9,8,0)</f>
        <v>#N/A</v>
      </c>
      <c r="AC179" s="51" t="e">
        <f>VLOOKUP(A179,Enforcements!$C$7:$E$9,3,0)</f>
        <v>#N/A</v>
      </c>
      <c r="AD179" s="178">
        <f t="shared" si="141"/>
        <v>1821</v>
      </c>
      <c r="AE179" s="77" t="str">
        <f t="shared" si="103"/>
        <v>aws s3 cp s3://rtdc.mdm.uploadarchive.raw/RTDC4054/ "%USERPROFILE%\AppData\Local\Temp\OnboardLogs"\RTDC4054\2017-11-18 --exclude "*" --recursive --include "*20171118*" &amp; "%USERPROFILE%\Documents\GitHub\mrs-test-scripts\Headless Mode &amp; Sideloading\WalkAndUnGZ.bat" "%USERPROFILE%\AppData\Local\Temp\OnboardLogs"\RTDC4054\2017-11-18 &amp; 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</v>
      </c>
      <c r="AF179" s="74" t="str">
        <f t="shared" si="104"/>
        <v>"C:\Program Files (x86)\AstroGrep\AstroGrep.exe" /e /r /s /spath="%USERPROFILE%\AppData\Local\Temp\OnboardLogs" /stypes="app*4054*20171118*" /stext=" 23:.+((SYSTEM_STATE.+slice.+state.+changed )|(ment ac)|(multiple cpu faults)|(system.+state.+changed )|(\[timeout)|(PRM\|1\|D)|(kpr)|(kdp)|(train st.+moving)|(\|lc)|(penalty))"</v>
      </c>
      <c r="AG179" s="181" t="str">
        <f t="shared" si="142"/>
        <v>NW</v>
      </c>
      <c r="AH179" s="78" t="str">
        <f t="shared" si="106"/>
        <v>"%USERPROFILE%\Documents\GitHub\eaglep3\Utilities\RefineRTDCRunTimes.py" --tripid 1821-18 --locoid 4054 --swversion DE.1.0.9.0 --startMP 204:1039 --initTime 2017-11-18T16:00:34 --startdatetime 2017-11-18T16:10:18 --delay 108 --endMP 300:58977 --enddatetime 2017-11-18T16:24:23 --enforcementcount 0 &gt;&gt;%USERPROFILE%\Documents\GitHub\eaglep3-reporting\EC\2017-11-18-refined-times.txt</v>
      </c>
      <c r="AI179" s="96" t="str">
        <f t="shared" si="107"/>
        <v>echo {"issue":{"subject":"","project_id":79,"tracker_id":40,"status_id":1,"priority_id":2,"assigned_to_id":338,"start_date":"2017-11-18","description":"","custom_fields":[{"id":1,"name":"Subdivision","value":"NW"},{"id":4,"name":"Milepost","value":"5.8977"},{"id":17,"name":"Train ID","value":"1821-18"},{"id":16,"name":"Locomotive ID","value":"4054"},{"id":130,"name":"Impact","value":""},{"id":150,"name":"Time of Event (Mountain Time)","value":"16:24:23"},{"id":151,"name":"Denver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1" t="str">
        <f t="shared" si="108"/>
        <v>start /low /b %USERPROFILE%\Documents\GitHub\eaglep3\Utilities\DownloadLogsFromS3.py --loco 4054 --day 2017-11-18</v>
      </c>
      <c r="AN179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23:24:23"},{"id":29,"name":"Sharepoint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7" t="str">
        <f t="shared" si="110"/>
        <v>https://d0f6bd738d7f1b3e5a7ca70fe4ff75f0.us-east-1.aws.found.io/app/kibana#/discover/Steve-Slow-Train-Analysis-(2080s-and-2083s)?_g=(refreshInterval:(display:Off,pause:!f,section:0,value:0),time:(from:'2017-11-18T15:00:34-0700',mode:absolute,to:'2017-11-18T17:24:23-0700'))&amp;_a=(columns:!('Message%20ID',Summary),filters:!(),index:'emp_*',interval:auto,query:(query_string:(analyze_wildcard:!t,query:'%22rtdc.l.rtdc.4054%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684</v>
      </c>
      <c r="B180" s="7">
        <v>4053</v>
      </c>
      <c r="C180" s="21" t="s">
        <v>192</v>
      </c>
      <c r="D180" s="21" t="s">
        <v>660</v>
      </c>
      <c r="E180" s="13">
        <v>43057.687986111108</v>
      </c>
      <c r="F180" s="13">
        <v>43057.695833333331</v>
      </c>
      <c r="G180" s="7">
        <v>73</v>
      </c>
      <c r="H180" s="21" t="s">
        <v>1078</v>
      </c>
      <c r="I180" s="13">
        <v>43057.703842592593</v>
      </c>
      <c r="J180" s="7">
        <v>0</v>
      </c>
      <c r="K180" s="89" t="str">
        <f t="shared" si="136"/>
        <v>4053/4054</v>
      </c>
      <c r="L180" s="184" t="str">
        <f>VLOOKUP(A180,'Trips&amp;Operators'!$C$1:$G$99911,5,FALSE)</f>
        <v>SMITH MICHAEL</v>
      </c>
      <c r="M180" s="6">
        <f t="shared" si="137"/>
        <v>8.0092592615983449E-3</v>
      </c>
      <c r="N180" s="7">
        <f t="shared" si="148"/>
        <v>11.533333336701617</v>
      </c>
      <c r="O180" s="7"/>
      <c r="P180" s="7"/>
      <c r="Q180" s="22"/>
      <c r="R180" s="173"/>
      <c r="S180" s="220">
        <f t="shared" si="138"/>
        <v>1</v>
      </c>
      <c r="T180" s="173" t="str">
        <f t="shared" si="139"/>
        <v>Southbound</v>
      </c>
      <c r="U180" s="19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5" t="str">
        <f t="shared" si="100"/>
        <v>https://d0f6bd738d7f1b3e5a7ca70fe4ff75f0.us-east-1.aws.found.io/app/kibana#/discover/Steve-Slow-Train-Analysis-(2080s-and-2083s)?_g=(refreshInterval:(display:Off,pause:!f,section:0,value:0),time:(from:'2017-11-18T15:30:42-0700',mode:absolute,to:'2017-11-18T17:53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0" s="203" t="str">
        <f>IF(AA180&lt;VLOOKUP(AG180,Variables!$AC$3:$AD$8,2,FALSE),"Y","N")</f>
        <v>Y</v>
      </c>
      <c r="X180" s="203">
        <f>VALUE(LEFT(AD180,4))-VALUE(LEFT(AD179,4))</f>
        <v>1</v>
      </c>
      <c r="Y180" s="203">
        <f t="shared" si="149"/>
        <v>5.8667999999999996</v>
      </c>
      <c r="Z180" s="203">
        <f t="shared" si="150"/>
        <v>0.46750000000000003</v>
      </c>
      <c r="AA180" s="203">
        <f t="shared" si="140"/>
        <v>5.3992999999999993</v>
      </c>
      <c r="AB180" s="54" t="e">
        <f>VLOOKUP(A180,Enforcements!$C$7:$K$9,8,0)</f>
        <v>#N/A</v>
      </c>
      <c r="AC180" s="51" t="e">
        <f>VLOOKUP(A180,Enforcements!$C$7:$E$9,3,0)</f>
        <v>#N/A</v>
      </c>
      <c r="AD180" s="178">
        <f t="shared" si="141"/>
        <v>1822</v>
      </c>
      <c r="AE180" s="77" t="str">
        <f t="shared" si="103"/>
        <v>aws s3 cp s3://rtdc.mdm.uploadarchive.raw/RTDC4053/ "%USERPROFILE%\AppData\Local\Temp\OnboardLogs"\RTDC4053\2017-11-18 --exclude "*" --recursive --include "*20171118*" &amp; "%USERPROFILE%\Documents\GitHub\mrs-test-scripts\Headless Mode &amp; Sideloading\WalkAndUnGZ.bat" "%USERPROFILE%\AppData\Local\Temp\OnboardLogs"\RTDC4053\2017-11-18 &amp; 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</v>
      </c>
      <c r="AF180" s="74" t="str">
        <f t="shared" si="104"/>
        <v>"C:\Program Files (x86)\AstroGrep\AstroGrep.exe" /e /r /s /spath="%USERPROFILE%\AppData\Local\Temp\OnboardLogs" /stypes="app*4053*20171118*" /stext=" 23:.+((SYSTEM_STATE.+slice.+state.+changed )|(ment ac)|(multiple cpu faults)|(system.+state.+changed )|(\[timeout)|(PRM\|1\|D)|(kpr)|(kdp)|(train st.+moving)|(\|lc)|(penalty))"</v>
      </c>
      <c r="AG180" s="181" t="str">
        <f t="shared" si="142"/>
        <v>NW</v>
      </c>
      <c r="AH180" s="78" t="str">
        <f t="shared" si="106"/>
        <v>"%USERPROFILE%\Documents\GitHub\eaglep3\Utilities\RefineRTDCRunTimes.py" --tripid 1822-18 --locoid 4053 --swversion DE.1.0.9.0 --startMP 300:58668 --initTime 2017-11-18T16:30:42 --startdatetime 2017-11-18T16:42:00 --delay 73 --endMP 204:4675 --enddatetime 2017-11-18T16:53:32 --enforcementcount 0 &gt;&gt;%USERPROFILE%\Documents\GitHub\eaglep3-reporting\EC\2017-11-18-refined-times.txt</v>
      </c>
      <c r="AI180" s="96" t="str">
        <f t="shared" si="107"/>
        <v>echo {"issue":{"subject":"","project_id":79,"tracker_id":40,"status_id":1,"priority_id":2,"assigned_to_id":338,"start_date":"2017-11-18","description":"","custom_fields":[{"id":1,"name":"Subdivision","value":"NW"},{"id":4,"name":"Milepost","value":"0.4675"},{"id":17,"name":"Train ID","value":"1822-18"},{"id":16,"name":"Locomotive ID","value":"4053"},{"id":130,"name":"Impact","value":""},{"id":150,"name":"Time of Event (Mountain Time)","value":"16:53:32"},{"id":151,"name":"Denver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1" t="str">
        <f t="shared" si="108"/>
        <v>start /low /b %USERPROFILE%\Documents\GitHub\eaglep3\Utilities\DownloadLogsFromS3.py --loco 4053 --day 2017-11-18</v>
      </c>
      <c r="AN180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23:53:32"},{"id":29,"name":"Sharepoint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7" t="str">
        <f t="shared" si="110"/>
        <v>https://d0f6bd738d7f1b3e5a7ca70fe4ff75f0.us-east-1.aws.found.io/app/kibana#/discover/Steve-Slow-Train-Analysis-(2080s-and-2083s)?_g=(refreshInterval:(display:Off,pause:!f,section:0,value:0),time:(from:'2017-11-18T15:30:42-0700',mode:absolute,to:'2017-11-18T17:53:32-0700'))&amp;_a=(columns:!('Message%20ID',Summary),filters:!(),index:'emp_*',interval:auto,query:(query_string:(analyze_wildcard:!t,query:'%22rtdc.l.rtdc.4053%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851</v>
      </c>
      <c r="B181" s="7">
        <v>4054</v>
      </c>
      <c r="C181" s="21" t="s">
        <v>192</v>
      </c>
      <c r="D181" s="21" t="s">
        <v>1079</v>
      </c>
      <c r="E181" s="13">
        <v>43057.710324074076</v>
      </c>
      <c r="F181" s="13">
        <v>43057.714803240742</v>
      </c>
      <c r="G181" s="7">
        <v>64</v>
      </c>
      <c r="H181" s="21" t="s">
        <v>1080</v>
      </c>
      <c r="I181" s="13">
        <v>43057.724444444444</v>
      </c>
      <c r="J181" s="7">
        <v>0</v>
      </c>
      <c r="K181" s="89" t="str">
        <f t="shared" si="136"/>
        <v>4053/4054</v>
      </c>
      <c r="L181" s="184" t="str">
        <f>VLOOKUP(A181,'Trips&amp;Operators'!$C$1:$G$99911,5,FALSE)</f>
        <v>SMITH MICHAEL</v>
      </c>
      <c r="M181" s="6">
        <f t="shared" si="137"/>
        <v>9.6412037019035779E-3</v>
      </c>
      <c r="N181" s="7">
        <f t="shared" si="148"/>
        <v>13.883333330741152</v>
      </c>
      <c r="O181" s="7"/>
      <c r="P181" s="7"/>
      <c r="Q181" s="22"/>
      <c r="R181" s="173"/>
      <c r="S181" s="220">
        <f t="shared" si="138"/>
        <v>1</v>
      </c>
      <c r="T181" s="173" t="str">
        <f t="shared" si="139"/>
        <v>NorthBound</v>
      </c>
      <c r="U181" s="19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5" t="str">
        <f t="shared" si="100"/>
        <v>https://d0f6bd738d7f1b3e5a7ca70fe4ff75f0.us-east-1.aws.found.io/app/kibana#/discover/Steve-Slow-Train-Analysis-(2080s-and-2083s)?_g=(refreshInterval:(display:Off,pause:!f,section:0,value:0),time:(from:'2017-11-18T16:02:52-0700',mode:absolute,to:'2017-11-18T18:23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1" s="203" t="str">
        <f>IF(AA181&lt;VLOOKUP(AG181,Variables!$AC$3:$AD$8,2,FALSE),"Y","N")</f>
        <v>N</v>
      </c>
      <c r="X181" s="203">
        <f>VALUE(LEFT(AD181,4))-VALUE(LEFT(AD180,4))</f>
        <v>1</v>
      </c>
      <c r="Y181" s="203">
        <f t="shared" si="149"/>
        <v>0.1041</v>
      </c>
      <c r="Z181" s="203">
        <f t="shared" si="150"/>
        <v>5.8935000000000004</v>
      </c>
      <c r="AA181" s="203">
        <f t="shared" si="140"/>
        <v>5.7894000000000005</v>
      </c>
      <c r="AB181" s="54" t="e">
        <f>VLOOKUP(A181,Enforcements!$C$7:$K$9,8,0)</f>
        <v>#N/A</v>
      </c>
      <c r="AC181" s="51" t="e">
        <f>VLOOKUP(A181,Enforcements!$C$7:$E$9,3,0)</f>
        <v>#N/A</v>
      </c>
      <c r="AD181" s="178">
        <f t="shared" si="141"/>
        <v>1823</v>
      </c>
      <c r="AE181" s="77" t="str">
        <f t="shared" si="103"/>
        <v>aws s3 cp s3://rtdc.mdm.uploadarchive.raw/RTDC4054/ "%USERPROFILE%\AppData\Local\Temp\OnboardLogs"\RTDC4054\2017-11-18 --exclude "*" --recursive --include "*20171118*" &amp; "%USERPROFILE%\Documents\GitHub\mrs-test-scripts\Headless Mode &amp; Sideloading\WalkAndUnGZ.bat" "%USERPROFILE%\AppData\Local\Temp\OnboardLogs"\RTDC4054\2017-11-18 &amp; 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</v>
      </c>
      <c r="AF181" s="74" t="str">
        <f t="shared" si="104"/>
        <v>"C:\Program Files (x86)\AstroGrep\AstroGrep.exe" /e /r /s /spath="%USERPROFILE%\AppData\Local\Temp\OnboardLogs" /stypes="app*4054*20171119*" /stext=" 00:.+((SYSTEM_STATE.+slice.+state.+changed )|(ment ac)|(multiple cpu faults)|(system.+state.+changed )|(\[timeout)|(PRM\|1\|D)|(kpr)|(kdp)|(train st.+moving)|(\|lc)|(penalty))"</v>
      </c>
      <c r="AG181" s="181" t="str">
        <f t="shared" si="142"/>
        <v>NW</v>
      </c>
      <c r="AH181" s="78" t="str">
        <f t="shared" si="106"/>
        <v>"%USERPROFILE%\Documents\GitHub\eaglep3\Utilities\RefineRTDCRunTimes.py" --tripid 1823-18 --locoid 4054 --swversion DE.1.0.9.0 --startMP 204:1041 --initTime 2017-11-18T17:02:52 --startdatetime 2017-11-18T17:09:19 --delay 64 --endMP 300:58935 --enddatetime 2017-11-18T17:23:12 --enforcementcount 0 &gt;&gt;%USERPROFILE%\Documents\GitHub\eaglep3-reporting\EC\2017-11-18-refined-times.txt</v>
      </c>
      <c r="AI181" s="96" t="str">
        <f t="shared" si="107"/>
        <v>echo {"issue":{"subject":"","project_id":79,"tracker_id":40,"status_id":1,"priority_id":2,"assigned_to_id":338,"start_date":"2017-11-18","description":"","custom_fields":[{"id":1,"name":"Subdivision","value":"NW"},{"id":4,"name":"Milepost","value":"5.8935"},{"id":17,"name":"Train ID","value":"1823-18"},{"id":16,"name":"Locomotive ID","value":"4054"},{"id":130,"name":"Impact","value":""},{"id":150,"name":"Time of Event (Mountain Time)","value":"17:23:12"},{"id":151,"name":"Denver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1" t="str">
        <f t="shared" si="108"/>
        <v>start /low /b %USERPROFILE%\Documents\GitHub\eaglep3\Utilities\DownloadLogsFromS3.py --loco 4054 --day 2017-11-18</v>
      </c>
      <c r="AN181" s="150" t="str">
        <f t="shared" si="109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00:23:12"},{"id":29,"name":"Sharepoint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7" t="str">
        <f t="shared" si="110"/>
        <v>https://d0f6bd738d7f1b3e5a7ca70fe4ff75f0.us-east-1.aws.found.io/app/kibana#/discover/Steve-Slow-Train-Analysis-(2080s-and-2083s)?_g=(refreshInterval:(display:Off,pause:!f,section:0,value:0),time:(from:'2017-11-18T16:02:52-0700',mode:absolute,to:'2017-11-18T18:23:12-0700'))&amp;_a=(columns:!('Message%20ID',Summary),filters:!(),index:'emp_*',interval:auto,query:(query_string:(analyze_wildcard:!t,query:'%22rtdc.l.rtdc.4054%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860</v>
      </c>
      <c r="B182" s="7">
        <v>4053</v>
      </c>
      <c r="C182" s="21" t="s">
        <v>192</v>
      </c>
      <c r="D182" s="21" t="s">
        <v>983</v>
      </c>
      <c r="E182" s="13">
        <v>43057.725590277776</v>
      </c>
      <c r="F182" s="13">
        <v>43057.737500000003</v>
      </c>
      <c r="G182" s="7">
        <v>66</v>
      </c>
      <c r="H182" s="21" t="s">
        <v>667</v>
      </c>
      <c r="I182" s="13">
        <v>43057.747303240743</v>
      </c>
      <c r="J182" s="7">
        <v>0</v>
      </c>
      <c r="K182" s="89" t="str">
        <f t="shared" si="136"/>
        <v>4053/4054</v>
      </c>
      <c r="L182" s="184" t="str">
        <f>VLOOKUP(A182,'Trips&amp;Operators'!$C$1:$G$99911,5,FALSE)</f>
        <v>SMITH MICHAEL</v>
      </c>
      <c r="M182" s="6">
        <f t="shared" si="137"/>
        <v>9.8032407404389232E-3</v>
      </c>
      <c r="N182" s="7">
        <f t="shared" si="148"/>
        <v>14.116666666232049</v>
      </c>
      <c r="O182" s="7"/>
      <c r="P182" s="7"/>
      <c r="Q182" s="22"/>
      <c r="R182" s="173"/>
      <c r="S182" s="220">
        <f t="shared" si="138"/>
        <v>1</v>
      </c>
      <c r="T182" s="173" t="str">
        <f t="shared" si="139"/>
        <v>Southbound</v>
      </c>
      <c r="U182" s="19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5" t="str">
        <f t="shared" si="100"/>
        <v>https://d0f6bd738d7f1b3e5a7ca70fe4ff75f0.us-east-1.aws.found.io/app/kibana#/discover/Steve-Slow-Train-Analysis-(2080s-and-2083s)?_g=(refreshInterval:(display:Off,pause:!f,section:0,value:0),time:(from:'2017-11-18T16:24:51-0700',mode:absolute,to:'2017-11-18T18:56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2" s="203" t="str">
        <f>IF(AA182&lt;VLOOKUP(AG182,Variables!$AC$3:$AD$8,2,FALSE),"Y","N")</f>
        <v>N</v>
      </c>
      <c r="X182" s="203">
        <f>VALUE(LEFT(AD182,4))-VALUE(LEFT(AD181,4))</f>
        <v>1</v>
      </c>
      <c r="Y182" s="203">
        <f t="shared" si="149"/>
        <v>5.8619000000000003</v>
      </c>
      <c r="Z182" s="203">
        <f t="shared" si="150"/>
        <v>7.4999999999999997E-2</v>
      </c>
      <c r="AA182" s="203">
        <f t="shared" si="140"/>
        <v>5.7869000000000002</v>
      </c>
      <c r="AB182" s="54" t="e">
        <f>VLOOKUP(A182,Enforcements!$C$7:$K$9,8,0)</f>
        <v>#N/A</v>
      </c>
      <c r="AC182" s="51" t="e">
        <f>VLOOKUP(A182,Enforcements!$C$7:$E$9,3,0)</f>
        <v>#N/A</v>
      </c>
      <c r="AD182" s="178">
        <f t="shared" si="141"/>
        <v>1824</v>
      </c>
      <c r="AE182" s="77" t="str">
        <f t="shared" si="103"/>
        <v>aws s3 cp s3://rtdc.mdm.uploadarchive.raw/RTDC4053/ "%USERPROFILE%\AppData\Local\Temp\OnboardLogs"\RTDC4053\2017-11-18 --exclude "*" --recursive --include "*20171118*" &amp; "%USERPROFILE%\Documents\GitHub\mrs-test-scripts\Headless Mode &amp; Sideloading\WalkAndUnGZ.bat" "%USERPROFILE%\AppData\Local\Temp\OnboardLogs"\RTDC4053\2017-11-18 &amp; 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</v>
      </c>
      <c r="AF182" s="74" t="str">
        <f t="shared" si="104"/>
        <v>"C:\Program Files (x86)\AstroGrep\AstroGrep.exe" /e /r /s /spath="%USERPROFILE%\AppData\Local\Temp\OnboardLogs" /stypes="app*4053*20171119*" /stext=" 00:.+((SYSTEM_STATE.+slice.+state.+changed )|(ment ac)|(multiple cpu faults)|(system.+state.+changed )|(\[timeout)|(PRM\|1\|D)|(kpr)|(kdp)|(train st.+moving)|(\|lc)|(penalty))"</v>
      </c>
      <c r="AG182" s="181" t="str">
        <f t="shared" si="142"/>
        <v>NW</v>
      </c>
      <c r="AH182" s="78" t="str">
        <f t="shared" si="106"/>
        <v>"%USERPROFILE%\Documents\GitHub\eaglep3\Utilities\RefineRTDCRunTimes.py" --tripid 1824-18 --locoid 4053 --swversion DE.1.0.9.0 --startMP 300:58619 --initTime 2017-11-18T17:24:51 --startdatetime 2017-11-18T17:42:00 --delay 66 --endMP 204:750 --enddatetime 2017-11-18T17:56:07 --enforcementcount 0 &gt;&gt;%USERPROFILE%\Documents\GitHub\eaglep3-reporting\EC\2017-11-18-refined-times.txt</v>
      </c>
      <c r="AI182" s="96" t="str">
        <f t="shared" si="107"/>
        <v>echo {"issue":{"subject":"","project_id":79,"tracker_id":40,"status_id":1,"priority_id":2,"assigned_to_id":338,"start_date":"2017-11-18","description":"","custom_fields":[{"id":1,"name":"Subdivision","value":"NW"},{"id":4,"name":"Milepost","value":"0.075"},{"id":17,"name":"Train ID","value":"1824-18"},{"id":16,"name":"Locomotive ID","value":"4053"},{"id":130,"name":"Impact","value":""},{"id":150,"name":"Time of Event (Mountain Time)","value":"17:56:07"},{"id":151,"name":"Denver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1" t="str">
        <f t="shared" si="108"/>
        <v>start /low /b %USERPROFILE%\Documents\GitHub\eaglep3\Utilities\DownloadLogsFromS3.py --loco 4053 --day 2017-11-18</v>
      </c>
      <c r="AN182" s="150" t="str">
        <f t="shared" si="109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00:56:07"},{"id":29,"name":"Sharepoint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7" t="str">
        <f t="shared" si="110"/>
        <v>https://d0f6bd738d7f1b3e5a7ca70fe4ff75f0.us-east-1.aws.found.io/app/kibana#/discover/Steve-Slow-Train-Analysis-(2080s-and-2083s)?_g=(refreshInterval:(display:Off,pause:!f,section:0,value:0),time:(from:'2017-11-18T16:24:51-0700',mode:absolute,to:'2017-11-18T18:56:07-0700'))&amp;_a=(columns:!('Message%20ID',Summary),filters:!(),index:'emp_*',interval:auto,query:(query_string:(analyze_wildcard:!t,query:'%22rtdc.l.rtdc.4053%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863</v>
      </c>
      <c r="B183" s="7">
        <v>4054</v>
      </c>
      <c r="C183" s="21" t="s">
        <v>192</v>
      </c>
      <c r="D183" s="21" t="s">
        <v>984</v>
      </c>
      <c r="E183" s="13">
        <v>43057.751423611109</v>
      </c>
      <c r="F183" s="13">
        <v>43057.756493055553</v>
      </c>
      <c r="G183" s="7">
        <v>79</v>
      </c>
      <c r="H183" s="21" t="s">
        <v>985</v>
      </c>
      <c r="I183" s="13">
        <v>43057.766168981485</v>
      </c>
      <c r="J183" s="7">
        <v>0</v>
      </c>
      <c r="K183" s="89" t="str">
        <f t="shared" ref="K183:K193" si="151">IF(ISEVEN(B183),(B183-1)&amp;"/"&amp;B183,B183&amp;"/"&amp;(B183+1))</f>
        <v>4053/4054</v>
      </c>
      <c r="L183" s="184" t="str">
        <f>VLOOKUP(A183,'Trips&amp;Operators'!$C$1:$G$99911,5,FALSE)</f>
        <v>SMITH MICHAEL</v>
      </c>
      <c r="M183" s="6">
        <f t="shared" ref="M183:M193" si="152">I183-F183</f>
        <v>9.6759259322425351E-3</v>
      </c>
      <c r="N183" s="7">
        <f t="shared" ref="N183:N193" si="153">24*60*SUM($M183:$M183)</f>
        <v>13.93333334242925</v>
      </c>
      <c r="O183" s="7"/>
      <c r="P183" s="7"/>
      <c r="Q183" s="22"/>
      <c r="R183" s="173"/>
      <c r="S183" s="220">
        <f t="shared" ref="S183:S193" si="154">1/IF(AG183="EC",12,1)*SUM(U183:U183)</f>
        <v>1</v>
      </c>
      <c r="T183" s="173" t="str">
        <f t="shared" ref="T183:T193" si="155">IF(ISEVEN(LEFT(AD183,4)),"Southbound","NorthBound")</f>
        <v>NorthBound</v>
      </c>
      <c r="U183" s="19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5" t="str">
        <f t="shared" si="100"/>
        <v>https://d0f6bd738d7f1b3e5a7ca70fe4ff75f0.us-east-1.aws.found.io/app/kibana#/discover/Steve-Slow-Train-Analysis-(2080s-and-2083s)?_g=(refreshInterval:(display:Off,pause:!f,section:0,value:0),time:(from:'2017-11-18T17:02:03-0700',mode:absolute,to:'2017-11-18T19:23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3" s="203" t="str">
        <f>IF(AA183&lt;VLOOKUP(AG183,Variables!$AC$3:$AD$8,2,FALSE),"Y","N")</f>
        <v>N</v>
      </c>
      <c r="X183" s="203">
        <f t="shared" ref="X183:X196" si="156">VALUE(LEFT(AD183,4))-VALUE(LEFT(AD182,4))</f>
        <v>1</v>
      </c>
      <c r="Y183" s="203">
        <f t="shared" ref="Y183:Y193" si="157">RIGHT(D183,LEN(D183)-4)/10000</f>
        <v>0.10249999999999999</v>
      </c>
      <c r="Z183" s="203">
        <f t="shared" ref="Z183:Z193" si="158">RIGHT(H183,LEN(H183)-4)/10000</f>
        <v>5.8964999999999996</v>
      </c>
      <c r="AA183" s="203">
        <f t="shared" ref="AA183:AA193" si="159">ABS(Z183-Y183)</f>
        <v>5.7939999999999996</v>
      </c>
      <c r="AB183" s="54" t="e">
        <f>VLOOKUP(A183,Enforcements!$C$7:$K$9,8,0)</f>
        <v>#N/A</v>
      </c>
      <c r="AC183" s="51" t="e">
        <f>VLOOKUP(A183,Enforcements!$C$7:$E$9,3,0)</f>
        <v>#N/A</v>
      </c>
      <c r="AD183" s="178">
        <f t="shared" ref="AD183:AD193" si="160">VALUE(LEFT(A183,LEN(A183)-3))</f>
        <v>1825</v>
      </c>
      <c r="AE183" s="77" t="str">
        <f t="shared" si="103"/>
        <v>aws s3 cp s3://rtdc.mdm.uploadarchive.raw/RTDC4054/ "%USERPROFILE%\AppData\Local\Temp\OnboardLogs"\RTDC4054\2017-11-18 --exclude "*" --recursive --include "*20171118*" &amp; "%USERPROFILE%\Documents\GitHub\mrs-test-scripts\Headless Mode &amp; Sideloading\WalkAndUnGZ.bat" "%USERPROFILE%\AppData\Local\Temp\OnboardLogs"\RTDC4054\2017-11-18 &amp; 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</v>
      </c>
      <c r="AF183" s="74" t="str">
        <f t="shared" si="104"/>
        <v>"C:\Program Files (x86)\AstroGrep\AstroGrep.exe" /e /r /s /spath="%USERPROFILE%\AppData\Local\Temp\OnboardLogs" /stypes="app*4054*20171119*" /stext=" 01:.+((SYSTEM_STATE.+slice.+state.+changed )|(ment ac)|(multiple cpu faults)|(system.+state.+changed )|(\[timeout)|(PRM\|1\|D)|(kpr)|(kdp)|(train st.+moving)|(\|lc)|(penalty))"</v>
      </c>
      <c r="AG183" s="181" t="str">
        <f t="shared" ref="AG183:AG193" si="161">DetSubdiv(A183)</f>
        <v>NW</v>
      </c>
      <c r="AH183" s="78" t="str">
        <f t="shared" ref="AH183:AH193" si="162">refinertdcruntimes&amp;" --tripid "&amp;A183&amp;" --locoid "&amp;B183&amp;" --swversion "&amp;C183&amp;" --startMP "&amp;D183&amp;" --initTime "&amp;TEXT(E183,"yyyy-mm-ddTHH:MM:SS")&amp;" --startdatetime "&amp;TEXT(F183,"yyyy-mm-ddTHH:MM:SS")&amp;" --delay "&amp;G183&amp;" --endMP "&amp;H183&amp;" --enddatetime "&amp;TEXT(I183,"yyyy-mm-ddTHH:MM:SS")&amp;" --enforcementcount "&amp;J183&amp;IF(outputrefinedruntimes," &gt;&gt;"&amp;RefinedRTDCRunTimesOutputFile,"")</f>
        <v>"%USERPROFILE%\Documents\GitHub\eaglep3\Utilities\RefineRTDCRunTimes.py" --tripid 1825-18 --locoid 4054 --swversion DE.1.0.9.0 --startMP 204:1025 --initTime 2017-11-18T18:02:03 --startdatetime 2017-11-18T18:09:21 --delay 79 --endMP 300:58965 --enddatetime 2017-11-18T18:23:17 --enforcementcount 0 &gt;&gt;%USERPROFILE%\Documents\GitHub\eaglep3-reporting\EC\2017-11-18-refined-times.txt</v>
      </c>
      <c r="AI183" s="96" t="str">
        <f t="shared" ref="AI183:AI193" si="163">"echo {""issue"":{""subject"":"""&amp;R183&amp;""",""project_id"":79,""tracker_id"":40,""status_id"":"&amp;redmine_status&amp;",""priority_id"":"&amp;redmine_priority&amp;",""assigned_to_id"":"&amp;redmine_assignee&amp;",""start_date"":"""&amp;TEXT(I183,"YYYY-mm-dd")&amp;""",""description"":"""&amp;AJ183&amp;""",""custom_fields"":[{""id"":1,""name"":""Subdivision"",""value"":"""&amp;AG183&amp;"""},{""id"":4,""name"":""Milepost"",""value"":"""&amp;Z183&amp;"""},{""id"":17,""name"":""Train ID"",""value"":"""&amp;A183&amp;"""},{""id"":16,""name"":""Locomotive ID"",""value"":"""&amp;B183&amp;"""},{""id"":130,""name"":""Impact"",""value"":"""&amp;AK183&amp;"""},{""id"":150,""name"":""Time of Event (Mountain Time)"",""value"":"""&amp;TEXT(I183,"hh:mm:ss")&amp;"""},{""id"":151,""name"":""Denver Issue ID"",""value"":"""&amp;"""},{""id"":178,""name"":""Operational Impact"",""value"":"""&amp;redmine_op_impact&amp;"""},{""id"":179,""name"":""Denver Segment Assigned"",""value"":"""&amp;AL183&amp;"""}]}}"&amp;"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{"issue":{"subject":"","project_id":79,"tracker_id":40,"status_id":1,"priority_id":2,"assigned_to_id":338,"start_date":"2017-11-18","description":"","custom_fields":[{"id":1,"name":"Subdivision","value":"NW"},{"id":4,"name":"Milepost","value":"5.8965"},{"id":17,"name":"Train ID","value":"1825-18"},{"id":16,"name":"Locomotive ID","value":"4054"},{"id":130,"name":"Impact","value":""},{"id":150,"name":"Time of Event (Mountain Time)","value":"18:23:17"},{"id":151,"name":"Denver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1" t="str">
        <f t="shared" ref="AM183:AM193" si="164">"start /low /b "&amp;dls3logs&amp;" --loco "&amp;B183&amp;" --day "&amp;TEXT(F183,"YYYY-MM-DD")</f>
        <v>start /low /b %USERPROFILE%\Documents\GitHub\eaglep3\Utilities\DownloadLogsFromS3.py --loco 4054 --day 2017-11-18</v>
      </c>
      <c r="AN183" s="150" t="str">
        <f t="shared" ref="AN183:AN193" si="165">"echo {""issue"":{""subject"":"""&amp;R183&amp;""",""project_id"":30,""tracker_id"":4,""status_id"":"&amp;redmine_status_wcr&amp;",""priority_id"":"&amp;redmine_priority_wcr&amp;",""assigned_to_id"":"&amp;redmine_assignee_wcr&amp;",""start_date"":"""&amp;TEXT(I183-utc_offset/24,"YYYY-mm-dd")&amp;""",""description"":"""&amp;AJ183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01:23:17"},{"id":29,"name":"Sharepoint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7" t="str">
        <f t="shared" ref="AO183:AO193" si="166"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Message%20ID',Summary),filters:!(),index:'emp_*',interval:auto,query:"&amp;"(query_string:(analyze_wildcard:!t,query:'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-11-18T17:02:03-0700',mode:absolute,to:'2017-11-18T19:23:17-0700'))&amp;_a=(columns:!('Message%20ID',Summary),filters:!(),index:'emp_*',interval:auto,query:(query_string:(analyze_wildcard:!t,query:'%22rtdc.l.rtdc.4054%22')),sort:!(Time.ISO8601,asc))</v>
      </c>
    </row>
    <row r="184" spans="1:91" s="20" customFormat="1" x14ac:dyDescent="0.25">
      <c r="A184" s="32" t="s">
        <v>868</v>
      </c>
      <c r="B184" s="7">
        <v>4053</v>
      </c>
      <c r="C184" s="21" t="s">
        <v>192</v>
      </c>
      <c r="D184" s="21" t="s">
        <v>964</v>
      </c>
      <c r="E184" s="13">
        <v>43057.767442129632</v>
      </c>
      <c r="F184" s="13">
        <v>43057.779166666667</v>
      </c>
      <c r="G184" s="7">
        <v>75</v>
      </c>
      <c r="H184" s="21" t="s">
        <v>1081</v>
      </c>
      <c r="I184" s="13">
        <v>43057.788576388892</v>
      </c>
      <c r="J184" s="7">
        <v>0</v>
      </c>
      <c r="K184" s="89" t="str">
        <f t="shared" si="151"/>
        <v>4053/4054</v>
      </c>
      <c r="L184" s="184" t="str">
        <f>VLOOKUP(A184,'Trips&amp;Operators'!$C$1:$G$99911,5,FALSE)</f>
        <v>SMITH MICHAEL</v>
      </c>
      <c r="M184" s="6">
        <f t="shared" si="152"/>
        <v>9.4097222245181911E-3</v>
      </c>
      <c r="N184" s="7">
        <f t="shared" si="153"/>
        <v>13.550000003306195</v>
      </c>
      <c r="O184" s="7"/>
      <c r="P184" s="7"/>
      <c r="Q184" s="22"/>
      <c r="R184" s="173"/>
      <c r="S184" s="220">
        <f t="shared" si="154"/>
        <v>1</v>
      </c>
      <c r="T184" s="173" t="str">
        <f t="shared" si="155"/>
        <v>Southbound</v>
      </c>
      <c r="U184" s="19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5" t="str">
        <f t="shared" si="100"/>
        <v>https://d0f6bd738d7f1b3e5a7ca70fe4ff75f0.us-east-1.aws.found.io/app/kibana#/discover/Steve-Slow-Train-Analysis-(2080s-and-2083s)?_g=(refreshInterval:(display:Off,pause:!f,section:0,value:0),time:(from:'2017-11-18T17:25:07-0700',mode:absolute,to:'2017-11-18T19:55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4" s="203" t="str">
        <f>IF(AA184&lt;VLOOKUP(AG184,Variables!$AC$3:$AD$8,2,FALSE),"Y","N")</f>
        <v>N</v>
      </c>
      <c r="X184" s="203">
        <f t="shared" si="156"/>
        <v>1</v>
      </c>
      <c r="Y184" s="203">
        <f t="shared" si="157"/>
        <v>5.8651</v>
      </c>
      <c r="Z184" s="203">
        <f t="shared" si="158"/>
        <v>7.6200000000000004E-2</v>
      </c>
      <c r="AA184" s="203">
        <f t="shared" si="159"/>
        <v>5.7888999999999999</v>
      </c>
      <c r="AB184" s="54" t="e">
        <f>VLOOKUP(A184,Enforcements!$C$7:$K$9,8,0)</f>
        <v>#N/A</v>
      </c>
      <c r="AC184" s="51" t="e">
        <f>VLOOKUP(A184,Enforcements!$C$7:$E$9,3,0)</f>
        <v>#N/A</v>
      </c>
      <c r="AD184" s="178">
        <f t="shared" si="160"/>
        <v>1826</v>
      </c>
      <c r="AE184" s="77" t="str">
        <f t="shared" si="103"/>
        <v>aws s3 cp s3://rtdc.mdm.uploadarchive.raw/RTDC4053/ "%USERPROFILE%\AppData\Local\Temp\OnboardLogs"\RTDC4053\2017-11-18 --exclude "*" --recursive --include "*20171118*" &amp; "%USERPROFILE%\Documents\GitHub\mrs-test-scripts\Headless Mode &amp; Sideloading\WalkAndUnGZ.bat" "%USERPROFILE%\AppData\Local\Temp\OnboardLogs"\RTDC4053\2017-11-18 &amp; 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</v>
      </c>
      <c r="AF184" s="74" t="str">
        <f t="shared" si="104"/>
        <v>"C:\Program Files (x86)\AstroGrep\AstroGrep.exe" /e /r /s /spath="%USERPROFILE%\AppData\Local\Temp\OnboardLogs" /stypes="app*4053*20171119*" /stext=" 01:.+((SYSTEM_STATE.+slice.+state.+changed )|(ment ac)|(multiple cpu faults)|(system.+state.+changed )|(\[timeout)|(PRM\|1\|D)|(kpr)|(kdp)|(train st.+moving)|(\|lc)|(penalty))"</v>
      </c>
      <c r="AG184" s="181" t="str">
        <f t="shared" si="161"/>
        <v>NW</v>
      </c>
      <c r="AH184" s="78" t="str">
        <f t="shared" si="162"/>
        <v>"%USERPROFILE%\Documents\GitHub\eaglep3\Utilities\RefineRTDCRunTimes.py" --tripid 1826-18 --locoid 4053 --swversion DE.1.0.9.0 --startMP 300:58651 --initTime 2017-11-18T18:25:07 --startdatetime 2017-11-18T18:42:00 --delay 75 --endMP 204:762 --enddatetime 2017-11-18T18:55:33 --enforcementcount 0 &gt;&gt;%USERPROFILE%\Documents\GitHub\eaglep3-reporting\EC\2017-11-18-refined-times.txt</v>
      </c>
      <c r="AI184" s="96" t="str">
        <f t="shared" si="163"/>
        <v>echo {"issue":{"subject":"","project_id":79,"tracker_id":40,"status_id":1,"priority_id":2,"assigned_to_id":338,"start_date":"2017-11-18","description":"","custom_fields":[{"id":1,"name":"Subdivision","value":"NW"},{"id":4,"name":"Milepost","value":"0.0762"},{"id":17,"name":"Train ID","value":"1826-18"},{"id":16,"name":"Locomotive ID","value":"4053"},{"id":130,"name":"Impact","value":""},{"id":150,"name":"Time of Event (Mountain Time)","value":"18:55:33"},{"id":151,"name":"Denver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1" t="str">
        <f t="shared" si="164"/>
        <v>start /low /b %USERPROFILE%\Documents\GitHub\eaglep3\Utilities\DownloadLogsFromS3.py --loco 4053 --day 2017-11-18</v>
      </c>
      <c r="AN184" s="150" t="str">
        <f t="shared" si="16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01:55:33"},{"id":29,"name":"Sharepoint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7" t="str">
        <f t="shared" si="166"/>
        <v>https://d0f6bd738d7f1b3e5a7ca70fe4ff75f0.us-east-1.aws.found.io/app/kibana#/discover/Steve-Slow-Train-Analysis-(2080s-and-2083s)?_g=(refreshInterval:(display:Off,pause:!f,section:0,value:0),time:(from:'2017-11-18T17:25:07-0700',mode:absolute,to:'2017-11-18T19:55:33-0700'))&amp;_a=(columns:!('Message%20ID',Summary),filters:!(),index:'emp_*',interval:auto,query:(query_string:(analyze_wildcard:!t,query:'%22rtdc.l.rtdc.4053%22')),sort:!(Time.ISO8601,asc))</v>
      </c>
    </row>
    <row r="185" spans="1:91" s="20" customFormat="1" x14ac:dyDescent="0.25">
      <c r="A185" s="32" t="s">
        <v>691</v>
      </c>
      <c r="B185" s="7">
        <v>4054</v>
      </c>
      <c r="C185" s="21" t="s">
        <v>192</v>
      </c>
      <c r="D185" s="21" t="s">
        <v>1082</v>
      </c>
      <c r="E185" s="13">
        <v>43057.790671296294</v>
      </c>
      <c r="F185" s="13">
        <v>43057.798645833333</v>
      </c>
      <c r="G185" s="7">
        <v>70</v>
      </c>
      <c r="H185" s="21" t="s">
        <v>658</v>
      </c>
      <c r="I185" s="13">
        <v>43057.809004629627</v>
      </c>
      <c r="J185" s="7">
        <v>0</v>
      </c>
      <c r="K185" s="89" t="str">
        <f t="shared" si="151"/>
        <v>4053/4054</v>
      </c>
      <c r="L185" s="184" t="str">
        <f>VLOOKUP(A185,'Trips&amp;Operators'!$C$1:$G$99911,5,FALSE)</f>
        <v>SMITH MICHAEL</v>
      </c>
      <c r="M185" s="6">
        <f t="shared" si="152"/>
        <v>1.0358796294895001E-2</v>
      </c>
      <c r="N185" s="7">
        <f t="shared" si="153"/>
        <v>14.916666664648801</v>
      </c>
      <c r="O185" s="7"/>
      <c r="P185" s="7"/>
      <c r="Q185" s="22"/>
      <c r="R185" s="173"/>
      <c r="S185" s="220">
        <f t="shared" si="154"/>
        <v>1</v>
      </c>
      <c r="T185" s="173" t="str">
        <f t="shared" si="155"/>
        <v>NorthBound</v>
      </c>
      <c r="U185" s="19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5" t="str">
        <f t="shared" si="100"/>
        <v>https://d0f6bd738d7f1b3e5a7ca70fe4ff75f0.us-east-1.aws.found.io/app/kibana#/discover/Steve-Slow-Train-Analysis-(2080s-and-2083s)?_g=(refreshInterval:(display:Off,pause:!f,section:0,value:0),time:(from:'2017-11-18T17:58:34-0700',mode:absolute,to:'2017-11-18T20:24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5" s="203" t="str">
        <f>IF(AA185&lt;VLOOKUP(AG185,Variables!$AC$3:$AD$8,2,FALSE),"Y","N")</f>
        <v>N</v>
      </c>
      <c r="X185" s="203">
        <f t="shared" si="156"/>
        <v>1</v>
      </c>
      <c r="Y185" s="203">
        <f t="shared" si="157"/>
        <v>0.10299999999999999</v>
      </c>
      <c r="Z185" s="203">
        <f t="shared" si="158"/>
        <v>5.8982000000000001</v>
      </c>
      <c r="AA185" s="203">
        <f t="shared" si="159"/>
        <v>5.7952000000000004</v>
      </c>
      <c r="AB185" s="54" t="e">
        <f>VLOOKUP(A185,Enforcements!$C$7:$K$9,8,0)</f>
        <v>#N/A</v>
      </c>
      <c r="AC185" s="51" t="e">
        <f>VLOOKUP(A185,Enforcements!$C$7:$E$9,3,0)</f>
        <v>#N/A</v>
      </c>
      <c r="AD185" s="178">
        <f t="shared" si="160"/>
        <v>1827</v>
      </c>
      <c r="AE185" s="77" t="str">
        <f t="shared" si="103"/>
        <v>aws s3 cp s3://rtdc.mdm.uploadarchive.raw/RTDC4054/ "%USERPROFILE%\AppData\Local\Temp\OnboardLogs"\RTDC4054\2017-11-18 --exclude "*" --recursive --include "*20171118*" &amp; "%USERPROFILE%\Documents\GitHub\mrs-test-scripts\Headless Mode &amp; Sideloading\WalkAndUnGZ.bat" "%USERPROFILE%\AppData\Local\Temp\OnboardLogs"\RTDC4054\2017-11-18 &amp; 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</v>
      </c>
      <c r="AF185" s="74" t="str">
        <f t="shared" si="104"/>
        <v>"C:\Program Files (x86)\AstroGrep\AstroGrep.exe" /e /r /s /spath="%USERPROFILE%\AppData\Local\Temp\OnboardLogs" /stypes="app*4054*20171119*" /stext=" 02:.+((SYSTEM_STATE.+slice.+state.+changed )|(ment ac)|(multiple cpu faults)|(system.+state.+changed )|(\[timeout)|(PRM\|1\|D)|(kpr)|(kdp)|(train st.+moving)|(\|lc)|(penalty))"</v>
      </c>
      <c r="AG185" s="181" t="str">
        <f t="shared" si="161"/>
        <v>NW</v>
      </c>
      <c r="AH185" s="78" t="str">
        <f t="shared" si="162"/>
        <v>"%USERPROFILE%\Documents\GitHub\eaglep3\Utilities\RefineRTDCRunTimes.py" --tripid 1827-18 --locoid 4054 --swversion DE.1.0.9.0 --startMP 204:1030 --initTime 2017-11-18T18:58:34 --startdatetime 2017-11-18T19:10:03 --delay 70 --endMP 300:58982 --enddatetime 2017-11-18T19:24:58 --enforcementcount 0 &gt;&gt;%USERPROFILE%\Documents\GitHub\eaglep3-reporting\EC\2017-11-18-refined-times.txt</v>
      </c>
      <c r="AI185" s="96" t="str">
        <f t="shared" si="163"/>
        <v>echo {"issue":{"subject":"","project_id":79,"tracker_id":40,"status_id":1,"priority_id":2,"assigned_to_id":338,"start_date":"2017-11-18","description":"","custom_fields":[{"id":1,"name":"Subdivision","value":"NW"},{"id":4,"name":"Milepost","value":"5.8982"},{"id":17,"name":"Train ID","value":"1827-18"},{"id":16,"name":"Locomotive ID","value":"4054"},{"id":130,"name":"Impact","value":""},{"id":150,"name":"Time of Event (Mountain Time)","value":"19:24:58"},{"id":151,"name":"Denver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1" t="str">
        <f t="shared" si="164"/>
        <v>start /low /b %USERPROFILE%\Documents\GitHub\eaglep3\Utilities\DownloadLogsFromS3.py --loco 4054 --day 2017-11-18</v>
      </c>
      <c r="AN185" s="150" t="str">
        <f t="shared" si="16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02:24:58"},{"id":29,"name":"Sharepoint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7" t="str">
        <f t="shared" si="166"/>
        <v>https://d0f6bd738d7f1b3e5a7ca70fe4ff75f0.us-east-1.aws.found.io/app/kibana#/discover/Steve-Slow-Train-Analysis-(2080s-and-2083s)?_g=(refreshInterval:(display:Off,pause:!f,section:0,value:0),time:(from:'2017-11-18T17:58:34-0700',mode:absolute,to:'2017-11-18T20:24:58-0700'))&amp;_a=(columns:!('Message%20ID',Summary),filters:!(),index:'emp_*',interval:auto,query:(query_string:(analyze_wildcard:!t,query:'%22rtdc.l.rtdc.4054%22')),sort:!(Time.ISO8601,asc))</v>
      </c>
    </row>
    <row r="186" spans="1:91" s="20" customFormat="1" x14ac:dyDescent="0.25">
      <c r="A186" s="32" t="s">
        <v>874</v>
      </c>
      <c r="B186" s="7">
        <v>4053</v>
      </c>
      <c r="C186" s="21" t="s">
        <v>192</v>
      </c>
      <c r="D186" s="21" t="s">
        <v>986</v>
      </c>
      <c r="E186" s="13">
        <v>43057.81045138889</v>
      </c>
      <c r="F186" s="13">
        <v>43057.820833333331</v>
      </c>
      <c r="G186" s="7">
        <v>69</v>
      </c>
      <c r="H186" s="21" t="s">
        <v>962</v>
      </c>
      <c r="I186" s="13">
        <v>43057.830474537041</v>
      </c>
      <c r="J186" s="7">
        <v>0</v>
      </c>
      <c r="K186" s="89" t="str">
        <f t="shared" si="151"/>
        <v>4053/4054</v>
      </c>
      <c r="L186" s="184" t="str">
        <f>VLOOKUP(A186,'Trips&amp;Operators'!$C$1:$G$99911,5,FALSE)</f>
        <v>SMITH MICHAEL</v>
      </c>
      <c r="M186" s="6">
        <f t="shared" si="152"/>
        <v>9.6412037091795355E-3</v>
      </c>
      <c r="N186" s="7">
        <f t="shared" si="153"/>
        <v>13.883333341218531</v>
      </c>
      <c r="O186" s="7"/>
      <c r="P186" s="7"/>
      <c r="Q186" s="22"/>
      <c r="R186" s="173"/>
      <c r="S186" s="220">
        <f t="shared" si="154"/>
        <v>1</v>
      </c>
      <c r="T186" s="173" t="str">
        <f t="shared" si="155"/>
        <v>Southbound</v>
      </c>
      <c r="U186" s="19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5" t="str">
        <f t="shared" si="100"/>
        <v>https://d0f6bd738d7f1b3e5a7ca70fe4ff75f0.us-east-1.aws.found.io/app/kibana#/discover/Steve-Slow-Train-Analysis-(2080s-and-2083s)?_g=(refreshInterval:(display:Off,pause:!f,section:0,value:0),time:(from:'2017-11-18T18:27:03-0700',mode:absolute,to:'2017-11-18T20:55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6" s="203" t="str">
        <f>IF(AA186&lt;VLOOKUP(AG186,Variables!$AC$3:$AD$8,2,FALSE),"Y","N")</f>
        <v>N</v>
      </c>
      <c r="X186" s="203">
        <f t="shared" si="156"/>
        <v>1</v>
      </c>
      <c r="Y186" s="203">
        <f t="shared" si="157"/>
        <v>5.8663999999999996</v>
      </c>
      <c r="Z186" s="203">
        <f t="shared" si="158"/>
        <v>6.8500000000000005E-2</v>
      </c>
      <c r="AA186" s="203">
        <f t="shared" si="159"/>
        <v>5.7978999999999994</v>
      </c>
      <c r="AB186" s="54" t="e">
        <f>VLOOKUP(A186,Enforcements!$C$7:$K$9,8,0)</f>
        <v>#N/A</v>
      </c>
      <c r="AC186" s="51" t="e">
        <f>VLOOKUP(A186,Enforcements!$C$7:$E$9,3,0)</f>
        <v>#N/A</v>
      </c>
      <c r="AD186" s="178">
        <f t="shared" si="160"/>
        <v>1828</v>
      </c>
      <c r="AE186" s="77" t="str">
        <f t="shared" si="103"/>
        <v>aws s3 cp s3://rtdc.mdm.uploadarchive.raw/RTDC4053/ "%USERPROFILE%\AppData\Local\Temp\OnboardLogs"\RTDC4053\2017-11-18 --exclude "*" --recursive --include "*20171118*" &amp; "%USERPROFILE%\Documents\GitHub\mrs-test-scripts\Headless Mode &amp; Sideloading\WalkAndUnGZ.bat" "%USERPROFILE%\AppData\Local\Temp\OnboardLogs"\RTDC4053\2017-11-18 &amp; 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</v>
      </c>
      <c r="AF186" s="74" t="str">
        <f t="shared" si="104"/>
        <v>"C:\Program Files (x86)\AstroGrep\AstroGrep.exe" /e /r /s /spath="%USERPROFILE%\AppData\Local\Temp\OnboardLogs" /stypes="app*4053*20171119*" /stext=" 02:.+((SYSTEM_STATE.+slice.+state.+changed )|(ment ac)|(multiple cpu faults)|(system.+state.+changed )|(\[timeout)|(PRM\|1\|D)|(kpr)|(kdp)|(train st.+moving)|(\|lc)|(penalty))"</v>
      </c>
      <c r="AG186" s="181" t="str">
        <f t="shared" si="161"/>
        <v>NW</v>
      </c>
      <c r="AH186" s="78" t="str">
        <f t="shared" si="162"/>
        <v>"%USERPROFILE%\Documents\GitHub\eaglep3\Utilities\RefineRTDCRunTimes.py" --tripid 1828-18 --locoid 4053 --swversion DE.1.0.9.0 --startMP 300:58664 --initTime 2017-11-18T19:27:03 --startdatetime 2017-11-18T19:42:00 --delay 69 --endMP 204:685 --enddatetime 2017-11-18T19:55:53 --enforcementcount 0 &gt;&gt;%USERPROFILE%\Documents\GitHub\eaglep3-reporting\EC\2017-11-18-refined-times.txt</v>
      </c>
      <c r="AI186" s="96" t="str">
        <f t="shared" si="163"/>
        <v>echo {"issue":{"subject":"","project_id":79,"tracker_id":40,"status_id":1,"priority_id":2,"assigned_to_id":338,"start_date":"2017-11-18","description":"","custom_fields":[{"id":1,"name":"Subdivision","value":"NW"},{"id":4,"name":"Milepost","value":"0.0685"},{"id":17,"name":"Train ID","value":"1828-18"},{"id":16,"name":"Locomotive ID","value":"4053"},{"id":130,"name":"Impact","value":""},{"id":150,"name":"Time of Event (Mountain Time)","value":"19:55:53"},{"id":151,"name":"Denver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1" t="str">
        <f t="shared" si="164"/>
        <v>start /low /b %USERPROFILE%\Documents\GitHub\eaglep3\Utilities\DownloadLogsFromS3.py --loco 4053 --day 2017-11-18</v>
      </c>
      <c r="AN186" s="150" t="str">
        <f t="shared" si="16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02:55:53"},{"id":29,"name":"Sharepoint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7" t="str">
        <f t="shared" si="166"/>
        <v>https://d0f6bd738d7f1b3e5a7ca70fe4ff75f0.us-east-1.aws.found.io/app/kibana#/discover/Steve-Slow-Train-Analysis-(2080s-and-2083s)?_g=(refreshInterval:(display:Off,pause:!f,section:0,value:0),time:(from:'2017-11-18T18:27:03-0700',mode:absolute,to:'2017-11-18T20:55:53-0700'))&amp;_a=(columns:!('Message%20ID',Summary),filters:!(),index:'emp_*',interval:auto,query:(query_string:(analyze_wildcard:!t,query:'%22rtdc.l.rtdc.4053%22')),sort:!(Time.ISO8601,asc))</v>
      </c>
    </row>
    <row r="187" spans="1:91" s="20" customFormat="1" x14ac:dyDescent="0.25">
      <c r="A187" s="32" t="s">
        <v>877</v>
      </c>
      <c r="B187" s="7">
        <v>4054</v>
      </c>
      <c r="C187" s="21" t="s">
        <v>192</v>
      </c>
      <c r="D187" s="21" t="s">
        <v>987</v>
      </c>
      <c r="E187" s="13">
        <v>43057.833935185183</v>
      </c>
      <c r="F187" s="13">
        <v>43057.839814814812</v>
      </c>
      <c r="G187" s="7">
        <v>69</v>
      </c>
      <c r="H187" s="21" t="s">
        <v>988</v>
      </c>
      <c r="I187" s="13">
        <v>43057.849293981482</v>
      </c>
      <c r="J187" s="7">
        <v>0</v>
      </c>
      <c r="K187" s="89" t="str">
        <f t="shared" si="151"/>
        <v>4053/4054</v>
      </c>
      <c r="L187" s="184" t="str">
        <f>VLOOKUP(A187,'Trips&amp;Operators'!$C$1:$G$99911,5,FALSE)</f>
        <v>SMITH MICHAEL</v>
      </c>
      <c r="M187" s="6">
        <f t="shared" si="152"/>
        <v>9.4791666706441902E-3</v>
      </c>
      <c r="N187" s="7">
        <f t="shared" si="153"/>
        <v>13.650000005727634</v>
      </c>
      <c r="O187" s="7"/>
      <c r="P187" s="7"/>
      <c r="Q187" s="22"/>
      <c r="R187" s="173"/>
      <c r="S187" s="220">
        <f t="shared" si="154"/>
        <v>1</v>
      </c>
      <c r="T187" s="173" t="str">
        <f t="shared" si="155"/>
        <v>NorthBound</v>
      </c>
      <c r="U187" s="19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5" t="str">
        <f t="shared" si="100"/>
        <v>https://d0f6bd738d7f1b3e5a7ca70fe4ff75f0.us-east-1.aws.found.io/app/kibana#/discover/Steve-Slow-Train-Analysis-(2080s-and-2083s)?_g=(refreshInterval:(display:Off,pause:!f,section:0,value:0),time:(from:'2017-11-18T19:00:52-0700',mode:absolute,to:'2017-11-18T21:22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7" s="203" t="str">
        <f>IF(AA187&lt;VLOOKUP(AG187,Variables!$AC$3:$AD$8,2,FALSE),"Y","N")</f>
        <v>N</v>
      </c>
      <c r="X187" s="203">
        <f t="shared" si="156"/>
        <v>1</v>
      </c>
      <c r="Y187" s="203">
        <f t="shared" si="157"/>
        <v>9.8299999999999998E-2</v>
      </c>
      <c r="Z187" s="203">
        <f t="shared" si="158"/>
        <v>5.8940999999999999</v>
      </c>
      <c r="AA187" s="203">
        <f t="shared" si="159"/>
        <v>5.7957999999999998</v>
      </c>
      <c r="AB187" s="54" t="e">
        <f>VLOOKUP(A187,Enforcements!$C$7:$K$9,8,0)</f>
        <v>#N/A</v>
      </c>
      <c r="AC187" s="51" t="e">
        <f>VLOOKUP(A187,Enforcements!$C$7:$E$9,3,0)</f>
        <v>#N/A</v>
      </c>
      <c r="AD187" s="178">
        <f t="shared" si="160"/>
        <v>1829</v>
      </c>
      <c r="AE187" s="77" t="str">
        <f t="shared" si="103"/>
        <v>aws s3 cp s3://rtdc.mdm.uploadarchive.raw/RTDC4054/ "%USERPROFILE%\AppData\Local\Temp\OnboardLogs"\RTDC4054\2017-11-18 --exclude "*" --recursive --include "*20171118*" &amp; "%USERPROFILE%\Documents\GitHub\mrs-test-scripts\Headless Mode &amp; Sideloading\WalkAndUnGZ.bat" "%USERPROFILE%\AppData\Local\Temp\OnboardLogs"\RTDC4054\2017-11-18 &amp; 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</v>
      </c>
      <c r="AF187" s="74" t="str">
        <f t="shared" si="104"/>
        <v>"C:\Program Files (x86)\AstroGrep\AstroGrep.exe" /e /r /s /spath="%USERPROFILE%\AppData\Local\Temp\OnboardLogs" /stypes="app*4054*20171119*" /stext=" 03:.+((SYSTEM_STATE.+slice.+state.+changed )|(ment ac)|(multiple cpu faults)|(system.+state.+changed )|(\[timeout)|(PRM\|1\|D)|(kpr)|(kdp)|(train st.+moving)|(\|lc)|(penalty))"</v>
      </c>
      <c r="AG187" s="181" t="str">
        <f t="shared" si="161"/>
        <v>NW</v>
      </c>
      <c r="AH187" s="78" t="str">
        <f t="shared" si="162"/>
        <v>"%USERPROFILE%\Documents\GitHub\eaglep3\Utilities\RefineRTDCRunTimes.py" --tripid 1829-18 --locoid 4054 --swversion DE.1.0.9.0 --startMP 204:983 --initTime 2017-11-18T20:00:52 --startdatetime 2017-11-18T20:09:20 --delay 69 --endMP 300:58941 --enddatetime 2017-11-18T20:22:59 --enforcementcount 0 &gt;&gt;%USERPROFILE%\Documents\GitHub\eaglep3-reporting\EC\2017-11-18-refined-times.txt</v>
      </c>
      <c r="AI187" s="96" t="str">
        <f t="shared" si="163"/>
        <v>echo {"issue":{"subject":"","project_id":79,"tracker_id":40,"status_id":1,"priority_id":2,"assigned_to_id":338,"start_date":"2017-11-18","description":"","custom_fields":[{"id":1,"name":"Subdivision","value":"NW"},{"id":4,"name":"Milepost","value":"5.8941"},{"id":17,"name":"Train ID","value":"1829-18"},{"id":16,"name":"Locomotive ID","value":"4054"},{"id":130,"name":"Impact","value":""},{"id":150,"name":"Time of Event (Mountain Time)","value":"20:22:59"},{"id":151,"name":"Denver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1" t="str">
        <f t="shared" si="164"/>
        <v>start /low /b %USERPROFILE%\Documents\GitHub\eaglep3\Utilities\DownloadLogsFromS3.py --loco 4054 --day 2017-11-18</v>
      </c>
      <c r="AN187" s="150" t="str">
        <f t="shared" si="16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03:22:59"},{"id":29,"name":"Sharepoint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7" t="str">
        <f t="shared" si="166"/>
        <v>https://d0f6bd738d7f1b3e5a7ca70fe4ff75f0.us-east-1.aws.found.io/app/kibana#/discover/Steve-Slow-Train-Analysis-(2080s-and-2083s)?_g=(refreshInterval:(display:Off,pause:!f,section:0,value:0),time:(from:'2017-11-18T19:00:52-0700',mode:absolute,to:'2017-11-18T21:22:59-0700'))&amp;_a=(columns:!('Message%20ID',Summary),filters:!(),index:'emp_*',interval:auto,query:(query_string:(analyze_wildcard:!t,query:'%22rtdc.l.rtdc.4054%22')),sort:!(Time.ISO8601,asc))</v>
      </c>
    </row>
    <row r="188" spans="1:91" s="20" customFormat="1" x14ac:dyDescent="0.25">
      <c r="A188" s="32" t="s">
        <v>880</v>
      </c>
      <c r="B188" s="7">
        <v>4053</v>
      </c>
      <c r="C188" s="21" t="s">
        <v>192</v>
      </c>
      <c r="D188" s="21" t="s">
        <v>668</v>
      </c>
      <c r="E188" s="13">
        <v>43057.850624999999</v>
      </c>
      <c r="F188" s="13">
        <v>43057.862500000003</v>
      </c>
      <c r="G188" s="7">
        <v>69</v>
      </c>
      <c r="H188" s="21" t="s">
        <v>662</v>
      </c>
      <c r="I188" s="13">
        <v>43057.872025462966</v>
      </c>
      <c r="J188" s="7">
        <v>0</v>
      </c>
      <c r="K188" s="89" t="str">
        <f t="shared" si="151"/>
        <v>4053/4054</v>
      </c>
      <c r="L188" s="184" t="str">
        <f>VLOOKUP(A188,'Trips&amp;Operators'!$C$1:$G$99911,5,FALSE)</f>
        <v>SMITH MICHAEL</v>
      </c>
      <c r="M188" s="6">
        <f t="shared" si="152"/>
        <v>9.5254629632108845E-3</v>
      </c>
      <c r="N188" s="7">
        <f t="shared" si="153"/>
        <v>13.716666667023674</v>
      </c>
      <c r="O188" s="7"/>
      <c r="P188" s="7"/>
      <c r="Q188" s="22"/>
      <c r="R188" s="173"/>
      <c r="S188" s="220">
        <f t="shared" si="154"/>
        <v>1</v>
      </c>
      <c r="T188" s="173" t="str">
        <f t="shared" si="155"/>
        <v>Southbound</v>
      </c>
      <c r="U188" s="19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5" t="str">
        <f t="shared" si="100"/>
        <v>https://d0f6bd738d7f1b3e5a7ca70fe4ff75f0.us-east-1.aws.found.io/app/kibana#/discover/Steve-Slow-Train-Analysis-(2080s-and-2083s)?_g=(refreshInterval:(display:Off,pause:!f,section:0,value:0),time:(from:'2017-11-18T19:24:54-0700',mode:absolute,to:'2017-11-18T21:55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8" s="203" t="str">
        <f>IF(AA188&lt;VLOOKUP(AG188,Variables!$AC$3:$AD$8,2,FALSE),"Y","N")</f>
        <v>N</v>
      </c>
      <c r="X188" s="203">
        <f t="shared" si="156"/>
        <v>1</v>
      </c>
      <c r="Y188" s="203">
        <f t="shared" si="157"/>
        <v>5.8624999999999998</v>
      </c>
      <c r="Z188" s="203">
        <f t="shared" si="158"/>
        <v>6.9099999999999995E-2</v>
      </c>
      <c r="AA188" s="203">
        <f t="shared" si="159"/>
        <v>5.7934000000000001</v>
      </c>
      <c r="AB188" s="54" t="e">
        <f>VLOOKUP(A188,Enforcements!$C$7:$K$9,8,0)</f>
        <v>#N/A</v>
      </c>
      <c r="AC188" s="51" t="e">
        <f>VLOOKUP(A188,Enforcements!$C$7:$E$9,3,0)</f>
        <v>#N/A</v>
      </c>
      <c r="AD188" s="178">
        <f t="shared" si="160"/>
        <v>1830</v>
      </c>
      <c r="AE188" s="77" t="str">
        <f t="shared" si="103"/>
        <v>aws s3 cp s3://rtdc.mdm.uploadarchive.raw/RTDC4053/ "%USERPROFILE%\AppData\Local\Temp\OnboardLogs"\RTDC4053\2017-11-18 --exclude "*" --recursive --include "*20171118*" &amp; "%USERPROFILE%\Documents\GitHub\mrs-test-scripts\Headless Mode &amp; Sideloading\WalkAndUnGZ.bat" "%USERPROFILE%\AppData\Local\Temp\OnboardLogs"\RTDC4053\2017-11-18 &amp; 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</v>
      </c>
      <c r="AF188" s="74" t="str">
        <f t="shared" si="104"/>
        <v>"C:\Program Files (x86)\AstroGrep\AstroGrep.exe" /e /r /s /spath="%USERPROFILE%\AppData\Local\Temp\OnboardLogs" /stypes="app*4053*20171119*" /stext=" 03:.+((SYSTEM_STATE.+slice.+state.+changed )|(ment ac)|(multiple cpu faults)|(system.+state.+changed )|(\[timeout)|(PRM\|1\|D)|(kpr)|(kdp)|(train st.+moving)|(\|lc)|(penalty))"</v>
      </c>
      <c r="AG188" s="181" t="str">
        <f t="shared" si="161"/>
        <v>NW</v>
      </c>
      <c r="AH188" s="78" t="str">
        <f t="shared" si="162"/>
        <v>"%USERPROFILE%\Documents\GitHub\eaglep3\Utilities\RefineRTDCRunTimes.py" --tripid 1830-18 --locoid 4053 --swversion DE.1.0.9.0 --startMP 300:58625 --initTime 2017-11-18T20:24:54 --startdatetime 2017-11-18T20:42:00 --delay 69 --endMP 204:691 --enddatetime 2017-11-18T20:55:43 --enforcementcount 0 &gt;&gt;%USERPROFILE%\Documents\GitHub\eaglep3-reporting\EC\2017-11-18-refined-times.txt</v>
      </c>
      <c r="AI188" s="96" t="str">
        <f t="shared" si="163"/>
        <v>echo {"issue":{"subject":"","project_id":79,"tracker_id":40,"status_id":1,"priority_id":2,"assigned_to_id":338,"start_date":"2017-11-18","description":"","custom_fields":[{"id":1,"name":"Subdivision","value":"NW"},{"id":4,"name":"Milepost","value":"0.0691"},{"id":17,"name":"Train ID","value":"1830-18"},{"id":16,"name":"Locomotive ID","value":"4053"},{"id":130,"name":"Impact","value":""},{"id":150,"name":"Time of Event (Mountain Time)","value":"20:55:43"},{"id":151,"name":"Denver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1" t="str">
        <f t="shared" si="164"/>
        <v>start /low /b %USERPROFILE%\Documents\GitHub\eaglep3\Utilities\DownloadLogsFromS3.py --loco 4053 --day 2017-11-18</v>
      </c>
      <c r="AN188" s="150" t="str">
        <f t="shared" si="16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03:55:43"},{"id":29,"name":"Sharepoint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7" t="str">
        <f t="shared" si="166"/>
        <v>https://d0f6bd738d7f1b3e5a7ca70fe4ff75f0.us-east-1.aws.found.io/app/kibana#/discover/Steve-Slow-Train-Analysis-(2080s-and-2083s)?_g=(refreshInterval:(display:Off,pause:!f,section:0,value:0),time:(from:'2017-11-18T19:24:54-0700',mode:absolute,to:'2017-11-18T21:55:43-0700'))&amp;_a=(columns:!('Message%20ID',Summary),filters:!(),index:'emp_*',interval:auto,query:(query_string:(analyze_wildcard:!t,query:'%22rtdc.l.rtdc.4053%22')),sort:!(Time.ISO8601,asc))</v>
      </c>
    </row>
    <row r="189" spans="1:91" s="20" customFormat="1" x14ac:dyDescent="0.25">
      <c r="A189" s="32" t="s">
        <v>882</v>
      </c>
      <c r="B189" s="7">
        <v>4054</v>
      </c>
      <c r="C189" s="21" t="s">
        <v>192</v>
      </c>
      <c r="D189" s="21" t="s">
        <v>1083</v>
      </c>
      <c r="E189" s="13">
        <v>43057.874409722222</v>
      </c>
      <c r="F189" s="13">
        <v>43057.88212962963</v>
      </c>
      <c r="G189" s="7">
        <v>78</v>
      </c>
      <c r="H189" s="21" t="s">
        <v>1084</v>
      </c>
      <c r="I189" s="13">
        <v>43057.891875000001</v>
      </c>
      <c r="J189" s="7">
        <v>0</v>
      </c>
      <c r="K189" s="89" t="str">
        <f t="shared" si="151"/>
        <v>4053/4054</v>
      </c>
      <c r="L189" s="184" t="str">
        <f>VLOOKUP(A189,'Trips&amp;Operators'!$C$1:$G$99911,5,FALSE)</f>
        <v>SMITH MICHAEL</v>
      </c>
      <c r="M189" s="6">
        <f t="shared" si="152"/>
        <v>9.7453703710925765E-3</v>
      </c>
      <c r="N189" s="7">
        <f t="shared" si="153"/>
        <v>14.03333333437331</v>
      </c>
      <c r="O189" s="7"/>
      <c r="P189" s="7"/>
      <c r="Q189" s="22"/>
      <c r="R189" s="173"/>
      <c r="S189" s="220">
        <f t="shared" si="154"/>
        <v>1</v>
      </c>
      <c r="T189" s="173" t="str">
        <f t="shared" si="155"/>
        <v>NorthBound</v>
      </c>
      <c r="U189" s="19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5" t="str">
        <f t="shared" si="100"/>
        <v>https://d0f6bd738d7f1b3e5a7ca70fe4ff75f0.us-east-1.aws.found.io/app/kibana#/discover/Steve-Slow-Train-Analysis-(2080s-and-2083s)?_g=(refreshInterval:(display:Off,pause:!f,section:0,value:0),time:(from:'2017-11-18T19:59:09-0700',mode:absolute,to:'2017-11-18T22:24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9" s="203" t="str">
        <f>IF(AA189&lt;VLOOKUP(AG189,Variables!$AC$3:$AD$8,2,FALSE),"Y","N")</f>
        <v>N</v>
      </c>
      <c r="X189" s="203">
        <f t="shared" si="156"/>
        <v>1</v>
      </c>
      <c r="Y189" s="203">
        <f t="shared" si="157"/>
        <v>9.9699999999999997E-2</v>
      </c>
      <c r="Z189" s="203">
        <f t="shared" si="158"/>
        <v>5.8936999999999999</v>
      </c>
      <c r="AA189" s="203">
        <f t="shared" si="159"/>
        <v>5.7939999999999996</v>
      </c>
      <c r="AB189" s="54" t="e">
        <f>VLOOKUP(A189,Enforcements!$C$7:$K$9,8,0)</f>
        <v>#N/A</v>
      </c>
      <c r="AC189" s="51" t="e">
        <f>VLOOKUP(A189,Enforcements!$C$7:$E$9,3,0)</f>
        <v>#N/A</v>
      </c>
      <c r="AD189" s="178">
        <f t="shared" si="160"/>
        <v>1831</v>
      </c>
      <c r="AE189" s="77" t="str">
        <f t="shared" si="103"/>
        <v>aws s3 cp s3://rtdc.mdm.uploadarchive.raw/RTDC4054/ "%USERPROFILE%\AppData\Local\Temp\OnboardLogs"\RTDC4054\2017-11-18 --exclude "*" --recursive --include "*20171118*" &amp; "%USERPROFILE%\Documents\GitHub\mrs-test-scripts\Headless Mode &amp; Sideloading\WalkAndUnGZ.bat" "%USERPROFILE%\AppData\Local\Temp\OnboardLogs"\RTDC4054\2017-11-18 &amp; 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</v>
      </c>
      <c r="AF189" s="74" t="str">
        <f t="shared" si="104"/>
        <v>"C:\Program Files (x86)\AstroGrep\AstroGrep.exe" /e /r /s /spath="%USERPROFILE%\AppData\Local\Temp\OnboardLogs" /stypes="app*4054*20171119*" /stext=" 04:.+((SYSTEM_STATE.+slice.+state.+changed )|(ment ac)|(multiple cpu faults)|(system.+state.+changed )|(\[timeout)|(PRM\|1\|D)|(kpr)|(kdp)|(train st.+moving)|(\|lc)|(penalty))"</v>
      </c>
      <c r="AG189" s="181" t="str">
        <f t="shared" si="161"/>
        <v>NW</v>
      </c>
      <c r="AH189" s="78" t="str">
        <f t="shared" si="162"/>
        <v>"%USERPROFILE%\Documents\GitHub\eaglep3\Utilities\RefineRTDCRunTimes.py" --tripid 1831-18 --locoid 4054 --swversion DE.1.0.9.0 --startMP 204:997 --initTime 2017-11-18T20:59:09 --startdatetime 2017-11-18T21:10:16 --delay 78 --endMP 300:58937 --enddatetime 2017-11-18T21:24:18 --enforcementcount 0 &gt;&gt;%USERPROFILE%\Documents\GitHub\eaglep3-reporting\EC\2017-11-18-refined-times.txt</v>
      </c>
      <c r="AI189" s="96" t="str">
        <f t="shared" si="163"/>
        <v>echo {"issue":{"subject":"","project_id":79,"tracker_id":40,"status_id":1,"priority_id":2,"assigned_to_id":338,"start_date":"2017-11-18","description":"","custom_fields":[{"id":1,"name":"Subdivision","value":"NW"},{"id":4,"name":"Milepost","value":"5.8937"},{"id":17,"name":"Train ID","value":"1831-18"},{"id":16,"name":"Locomotive ID","value":"4054"},{"id":130,"name":"Impact","value":""},{"id":150,"name":"Time of Event (Mountain Time)","value":"21:24:18"},{"id":151,"name":"Denver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1" t="str">
        <f t="shared" si="164"/>
        <v>start /low /b %USERPROFILE%\Documents\GitHub\eaglep3\Utilities\DownloadLogsFromS3.py --loco 4054 --day 2017-11-18</v>
      </c>
      <c r="AN189" s="150" t="str">
        <f t="shared" si="16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04:24:18"},{"id":29,"name":"Sharepoint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7" t="str">
        <f t="shared" si="166"/>
        <v>https://d0f6bd738d7f1b3e5a7ca70fe4ff75f0.us-east-1.aws.found.io/app/kibana#/discover/Steve-Slow-Train-Analysis-(2080s-and-2083s)?_g=(refreshInterval:(display:Off,pause:!f,section:0,value:0),time:(from:'2017-11-18T19:59:09-0700',mode:absolute,to:'2017-11-18T22:24:18-0700'))&amp;_a=(columns:!('Message%20ID',Summary),filters:!(),index:'emp_*',interval:auto,query:(query_string:(analyze_wildcard:!t,query:'%22rtdc.l.rtdc.4054%22')),sort:!(Time.ISO8601,asc))</v>
      </c>
    </row>
    <row r="190" spans="1:91" s="20" customFormat="1" x14ac:dyDescent="0.25">
      <c r="A190" s="32" t="s">
        <v>885</v>
      </c>
      <c r="B190" s="7">
        <v>4053</v>
      </c>
      <c r="C190" s="21" t="s">
        <v>192</v>
      </c>
      <c r="D190" s="21" t="s">
        <v>979</v>
      </c>
      <c r="E190" s="13">
        <v>43057.893506944441</v>
      </c>
      <c r="F190" s="13">
        <v>43057.904166666667</v>
      </c>
      <c r="G190" s="7">
        <v>74</v>
      </c>
      <c r="H190" s="21" t="s">
        <v>989</v>
      </c>
      <c r="I190" s="13">
        <v>43057.914456018516</v>
      </c>
      <c r="J190" s="7">
        <v>0</v>
      </c>
      <c r="K190" s="89" t="str">
        <f t="shared" si="151"/>
        <v>4053/4054</v>
      </c>
      <c r="L190" s="184" t="str">
        <f>VLOOKUP(A190,'Trips&amp;Operators'!$C$1:$G$99911,5,FALSE)</f>
        <v>SMITH MICHAEL</v>
      </c>
      <c r="M190" s="6">
        <f t="shared" si="152"/>
        <v>1.0289351848769002E-2</v>
      </c>
      <c r="N190" s="7">
        <f t="shared" si="153"/>
        <v>14.816666662227362</v>
      </c>
      <c r="O190" s="7"/>
      <c r="P190" s="7"/>
      <c r="Q190" s="22"/>
      <c r="R190" s="173"/>
      <c r="S190" s="220">
        <f t="shared" si="154"/>
        <v>1</v>
      </c>
      <c r="T190" s="173" t="str">
        <f t="shared" si="155"/>
        <v>Southbound</v>
      </c>
      <c r="U190" s="19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5" t="str">
        <f t="shared" si="100"/>
        <v>https://d0f6bd738d7f1b3e5a7ca70fe4ff75f0.us-east-1.aws.found.io/app/kibana#/discover/Steve-Slow-Train-Analysis-(2080s-and-2083s)?_g=(refreshInterval:(display:Off,pause:!f,section:0,value:0),time:(from:'2017-11-18T20:26:39-0700',mode:absolute,to:'2017-11-18T22:56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0" s="203" t="str">
        <f>IF(AA190&lt;VLOOKUP(AG190,Variables!$AC$3:$AD$8,2,FALSE),"Y","N")</f>
        <v>N</v>
      </c>
      <c r="X190" s="203">
        <f t="shared" si="156"/>
        <v>1</v>
      </c>
      <c r="Y190" s="203">
        <f t="shared" si="157"/>
        <v>5.8620999999999999</v>
      </c>
      <c r="Z190" s="203">
        <f t="shared" si="158"/>
        <v>6.8400000000000002E-2</v>
      </c>
      <c r="AA190" s="203">
        <f t="shared" si="159"/>
        <v>5.7937000000000003</v>
      </c>
      <c r="AB190" s="54" t="e">
        <f>VLOOKUP(A190,Enforcements!$C$7:$K$9,8,0)</f>
        <v>#N/A</v>
      </c>
      <c r="AC190" s="51" t="e">
        <f>VLOOKUP(A190,Enforcements!$C$7:$E$9,3,0)</f>
        <v>#N/A</v>
      </c>
      <c r="AD190" s="178">
        <f t="shared" si="160"/>
        <v>1832</v>
      </c>
      <c r="AE190" s="77" t="str">
        <f t="shared" si="103"/>
        <v>aws s3 cp s3://rtdc.mdm.uploadarchive.raw/RTDC4053/ "%USERPROFILE%\AppData\Local\Temp\OnboardLogs"\RTDC4053\2017-11-18 --exclude "*" --recursive --include "*20171118*" &amp; "%USERPROFILE%\Documents\GitHub\mrs-test-scripts\Headless Mode &amp; Sideloading\WalkAndUnGZ.bat" "%USERPROFILE%\AppData\Local\Temp\OnboardLogs"\RTDC4053\2017-11-18 &amp; 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</v>
      </c>
      <c r="AF190" s="74" t="str">
        <f t="shared" si="104"/>
        <v>"C:\Program Files (x86)\AstroGrep\AstroGrep.exe" /e /r /s /spath="%USERPROFILE%\AppData\Local\Temp\OnboardLogs" /stypes="app*4053*20171119*" /stext=" 04:.+((SYSTEM_STATE.+slice.+state.+changed )|(ment ac)|(multiple cpu faults)|(system.+state.+changed )|(\[timeout)|(PRM\|1\|D)|(kpr)|(kdp)|(train st.+moving)|(\|lc)|(penalty))"</v>
      </c>
      <c r="AG190" s="181" t="str">
        <f t="shared" si="161"/>
        <v>NW</v>
      </c>
      <c r="AH190" s="78" t="str">
        <f t="shared" si="162"/>
        <v>"%USERPROFILE%\Documents\GitHub\eaglep3\Utilities\RefineRTDCRunTimes.py" --tripid 1832-18 --locoid 4053 --swversion DE.1.0.9.0 --startMP 300:58621 --initTime 2017-11-18T21:26:39 --startdatetime 2017-11-18T21:42:00 --delay 74 --endMP 204:684 --enddatetime 2017-11-18T21:56:49 --enforcementcount 0 &gt;&gt;%USERPROFILE%\Documents\GitHub\eaglep3-reporting\EC\2017-11-18-refined-times.txt</v>
      </c>
      <c r="AI190" s="96" t="str">
        <f t="shared" si="163"/>
        <v>echo {"issue":{"subject":"","project_id":79,"tracker_id":40,"status_id":1,"priority_id":2,"assigned_to_id":338,"start_date":"2017-11-18","description":"","custom_fields":[{"id":1,"name":"Subdivision","value":"NW"},{"id":4,"name":"Milepost","value":"0.0684"},{"id":17,"name":"Train ID","value":"1832-18"},{"id":16,"name":"Locomotive ID","value":"4053"},{"id":130,"name":"Impact","value":""},{"id":150,"name":"Time of Event (Mountain Time)","value":"21:56:49"},{"id":151,"name":"Denver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1" t="str">
        <f t="shared" si="164"/>
        <v>start /low /b %USERPROFILE%\Documents\GitHub\eaglep3\Utilities\DownloadLogsFromS3.py --loco 4053 --day 2017-11-18</v>
      </c>
      <c r="AN190" s="150" t="str">
        <f t="shared" si="16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04:56:49"},{"id":29,"name":"Sharepoint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7" t="str">
        <f t="shared" si="166"/>
        <v>https://d0f6bd738d7f1b3e5a7ca70fe4ff75f0.us-east-1.aws.found.io/app/kibana#/discover/Steve-Slow-Train-Analysis-(2080s-and-2083s)?_g=(refreshInterval:(display:Off,pause:!f,section:0,value:0),time:(from:'2017-11-18T20:26:39-0700',mode:absolute,to:'2017-11-18T22:56:49-0700'))&amp;_a=(columns:!('Message%20ID',Summary),filters:!(),index:'emp_*',interval:auto,query:(query_string:(analyze_wildcard:!t,query:'%22rtdc.l.rtdc.4053%22')),sort:!(Time.ISO8601,asc))</v>
      </c>
    </row>
    <row r="191" spans="1:91" s="20" customFormat="1" x14ac:dyDescent="0.25">
      <c r="A191" s="32" t="s">
        <v>887</v>
      </c>
      <c r="B191" s="7">
        <v>4054</v>
      </c>
      <c r="C191" s="21" t="s">
        <v>192</v>
      </c>
      <c r="D191" s="21" t="s">
        <v>990</v>
      </c>
      <c r="E191" s="13">
        <v>43057.91642361111</v>
      </c>
      <c r="F191" s="13">
        <v>43057.923807870371</v>
      </c>
      <c r="G191" s="7">
        <v>83</v>
      </c>
      <c r="H191" s="21" t="s">
        <v>661</v>
      </c>
      <c r="I191" s="13">
        <v>43057.933634259258</v>
      </c>
      <c r="J191" s="7">
        <v>0</v>
      </c>
      <c r="K191" s="89" t="str">
        <f t="shared" si="151"/>
        <v>4053/4054</v>
      </c>
      <c r="L191" s="184" t="str">
        <f>VLOOKUP(A191,'Trips&amp;Operators'!$C$1:$G$99911,5,FALSE)</f>
        <v>SMITH MICHAEL</v>
      </c>
      <c r="M191" s="6">
        <f t="shared" si="152"/>
        <v>9.8263888867222704E-3</v>
      </c>
      <c r="N191" s="7">
        <f t="shared" si="153"/>
        <v>14.149999996880069</v>
      </c>
      <c r="O191" s="7"/>
      <c r="P191" s="7"/>
      <c r="Q191" s="22"/>
      <c r="R191" s="173"/>
      <c r="S191" s="220">
        <f t="shared" si="154"/>
        <v>1</v>
      </c>
      <c r="T191" s="173" t="str">
        <f t="shared" si="155"/>
        <v>NorthBound</v>
      </c>
      <c r="U191" s="19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5" t="str">
        <f t="shared" si="100"/>
        <v>https://d0f6bd738d7f1b3e5a7ca70fe4ff75f0.us-east-1.aws.found.io/app/kibana#/discover/Steve-Slow-Train-Analysis-(2080s-and-2083s)?_g=(refreshInterval:(display:Off,pause:!f,section:0,value:0),time:(from:'2017-11-18T20:59:39-0700',mode:absolute,to:'2017-11-18T23:24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1" s="203" t="str">
        <f>IF(AA191&lt;VLOOKUP(AG191,Variables!$AC$3:$AD$8,2,FALSE),"Y","N")</f>
        <v>N</v>
      </c>
      <c r="X191" s="203">
        <f t="shared" si="156"/>
        <v>1</v>
      </c>
      <c r="Y191" s="203">
        <f t="shared" si="157"/>
        <v>0.12139999999999999</v>
      </c>
      <c r="Z191" s="203">
        <f t="shared" si="158"/>
        <v>5.8973000000000004</v>
      </c>
      <c r="AA191" s="203">
        <f t="shared" si="159"/>
        <v>5.7759</v>
      </c>
      <c r="AB191" s="54" t="e">
        <f>VLOOKUP(A191,Enforcements!$C$7:$K$9,8,0)</f>
        <v>#N/A</v>
      </c>
      <c r="AC191" s="51" t="e">
        <f>VLOOKUP(A191,Enforcements!$C$7:$E$9,3,0)</f>
        <v>#N/A</v>
      </c>
      <c r="AD191" s="178">
        <f t="shared" si="160"/>
        <v>1833</v>
      </c>
      <c r="AE191" s="77" t="str">
        <f t="shared" si="103"/>
        <v>aws s3 cp s3://rtdc.mdm.uploadarchive.raw/RTDC4054/ "%USERPROFILE%\AppData\Local\Temp\OnboardLogs"\RTDC4054\2017-11-18 --exclude "*" --recursive --include "*20171118*" &amp; "%USERPROFILE%\Documents\GitHub\mrs-test-scripts\Headless Mode &amp; Sideloading\WalkAndUnGZ.bat" "%USERPROFILE%\AppData\Local\Temp\OnboardLogs"\RTDC4054\2017-11-18 &amp; 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</v>
      </c>
      <c r="AF191" s="74" t="str">
        <f t="shared" si="104"/>
        <v>"C:\Program Files (x86)\AstroGrep\AstroGrep.exe" /e /r /s /spath="%USERPROFILE%\AppData\Local\Temp\OnboardLogs" /stypes="app*4054*20171119*" /stext=" 05:.+((SYSTEM_STATE.+slice.+state.+changed )|(ment ac)|(multiple cpu faults)|(system.+state.+changed )|(\[timeout)|(PRM\|1\|D)|(kpr)|(kdp)|(train st.+moving)|(\|lc)|(penalty))"</v>
      </c>
      <c r="AG191" s="181" t="str">
        <f t="shared" si="161"/>
        <v>NW</v>
      </c>
      <c r="AH191" s="78" t="str">
        <f t="shared" si="162"/>
        <v>"%USERPROFILE%\Documents\GitHub\eaglep3\Utilities\RefineRTDCRunTimes.py" --tripid 1833-18 --locoid 4054 --swversion DE.1.0.9.0 --startMP 204:1214 --initTime 2017-11-18T21:59:39 --startdatetime 2017-11-18T22:10:17 --delay 83 --endMP 300:58973 --enddatetime 2017-11-18T22:24:26 --enforcementcount 0 &gt;&gt;%USERPROFILE%\Documents\GitHub\eaglep3-reporting\EC\2017-11-18-refined-times.txt</v>
      </c>
      <c r="AI191" s="96" t="str">
        <f t="shared" si="163"/>
        <v>echo {"issue":{"subject":"","project_id":79,"tracker_id":40,"status_id":1,"priority_id":2,"assigned_to_id":338,"start_date":"2017-11-18","description":"","custom_fields":[{"id":1,"name":"Subdivision","value":"NW"},{"id":4,"name":"Milepost","value":"5.8973"},{"id":17,"name":"Train ID","value":"1833-18"},{"id":16,"name":"Locomotive ID","value":"4054"},{"id":130,"name":"Impact","value":""},{"id":150,"name":"Time of Event (Mountain Time)","value":"22:24:26"},{"id":151,"name":"Denver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1" t="str">
        <f t="shared" si="164"/>
        <v>start /low /b %USERPROFILE%\Documents\GitHub\eaglep3\Utilities\DownloadLogsFromS3.py --loco 4054 --day 2017-11-18</v>
      </c>
      <c r="AN191" s="150" t="str">
        <f t="shared" si="16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05:24:26"},{"id":29,"name":"Sharepoint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7" t="str">
        <f t="shared" si="166"/>
        <v>https://d0f6bd738d7f1b3e5a7ca70fe4ff75f0.us-east-1.aws.found.io/app/kibana#/discover/Steve-Slow-Train-Analysis-(2080s-and-2083s)?_g=(refreshInterval:(display:Off,pause:!f,section:0,value:0),time:(from:'2017-11-18T20:59:39-0700',mode:absolute,to:'2017-11-18T23:24:26-0700'))&amp;_a=(columns:!('Message%20ID',Summary),filters:!(),index:'emp_*',interval:auto,query:(query_string:(analyze_wildcard:!t,query:'%22rtdc.l.rtdc.4054%22')),sort:!(Time.ISO8601,asc))</v>
      </c>
    </row>
    <row r="192" spans="1:91" s="20" customFormat="1" x14ac:dyDescent="0.25">
      <c r="A192" s="32" t="s">
        <v>696</v>
      </c>
      <c r="B192" s="7">
        <v>4053</v>
      </c>
      <c r="C192" s="21" t="s">
        <v>192</v>
      </c>
      <c r="D192" s="21" t="s">
        <v>964</v>
      </c>
      <c r="E192" s="13">
        <v>43057.935196759259</v>
      </c>
      <c r="F192" s="13">
        <v>43057.945833333331</v>
      </c>
      <c r="G192" s="7">
        <v>71</v>
      </c>
      <c r="H192" s="21" t="s">
        <v>1085</v>
      </c>
      <c r="I192" s="13">
        <v>43057.953657407408</v>
      </c>
      <c r="J192" s="7">
        <v>0</v>
      </c>
      <c r="K192" s="89" t="str">
        <f t="shared" si="151"/>
        <v>4053/4054</v>
      </c>
      <c r="L192" s="184" t="str">
        <f>VLOOKUP(A192,'Trips&amp;Operators'!$C$1:$G$99911,5,FALSE)</f>
        <v>SMITH MICHAEL</v>
      </c>
      <c r="M192" s="6">
        <f t="shared" si="152"/>
        <v>7.8240740767796524E-3</v>
      </c>
      <c r="N192" s="7">
        <f t="shared" si="153"/>
        <v>11.266666670562699</v>
      </c>
      <c r="O192" s="7"/>
      <c r="P192" s="7"/>
      <c r="Q192" s="22"/>
      <c r="R192" s="173"/>
      <c r="S192" s="220">
        <f t="shared" si="154"/>
        <v>1</v>
      </c>
      <c r="T192" s="173" t="str">
        <f t="shared" si="155"/>
        <v>Southbound</v>
      </c>
      <c r="U192" s="19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5" t="str">
        <f t="shared" si="100"/>
        <v>https://d0f6bd738d7f1b3e5a7ca70fe4ff75f0.us-east-1.aws.found.io/app/kibana#/discover/Steve-Slow-Train-Analysis-(2080s-and-2083s)?_g=(refreshInterval:(display:Off,pause:!f,section:0,value:0),time:(from:'2017-11-18T21:26:41-0700',mode:absolute,to:'2017-11-18T23:53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2" s="203" t="str">
        <f>IF(AA192&lt;VLOOKUP(AG192,Variables!$AC$3:$AD$8,2,FALSE),"Y","N")</f>
        <v>Y</v>
      </c>
      <c r="X192" s="203">
        <f t="shared" si="156"/>
        <v>1</v>
      </c>
      <c r="Y192" s="203">
        <f t="shared" si="157"/>
        <v>5.8651</v>
      </c>
      <c r="Z192" s="203">
        <f t="shared" si="158"/>
        <v>0.46510000000000001</v>
      </c>
      <c r="AA192" s="203">
        <f t="shared" si="159"/>
        <v>5.4</v>
      </c>
      <c r="AB192" s="54" t="e">
        <f>VLOOKUP(A192,Enforcements!$C$7:$K$9,8,0)</f>
        <v>#N/A</v>
      </c>
      <c r="AC192" s="51" t="e">
        <f>VLOOKUP(A192,Enforcements!$C$7:$E$9,3,0)</f>
        <v>#N/A</v>
      </c>
      <c r="AD192" s="178">
        <f t="shared" si="160"/>
        <v>1834</v>
      </c>
      <c r="AE192" s="77" t="str">
        <f t="shared" si="103"/>
        <v>aws s3 cp s3://rtdc.mdm.uploadarchive.raw/RTDC4053/ "%USERPROFILE%\AppData\Local\Temp\OnboardLogs"\RTDC4053\2017-11-18 --exclude "*" --recursive --include "*20171118*" &amp; "%USERPROFILE%\Documents\GitHub\mrs-test-scripts\Headless Mode &amp; Sideloading\WalkAndUnGZ.bat" "%USERPROFILE%\AppData\Local\Temp\OnboardLogs"\RTDC4053\2017-11-18 &amp; 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</v>
      </c>
      <c r="AF192" s="74" t="str">
        <f t="shared" si="104"/>
        <v>"C:\Program Files (x86)\AstroGrep\AstroGrep.exe" /e /r /s /spath="%USERPROFILE%\AppData\Local\Temp\OnboardLogs" /stypes="app*4053*20171119*" /stext=" 05:.+((SYSTEM_STATE.+slice.+state.+changed )|(ment ac)|(multiple cpu faults)|(system.+state.+changed )|(\[timeout)|(PRM\|1\|D)|(kpr)|(kdp)|(train st.+moving)|(\|lc)|(penalty))"</v>
      </c>
      <c r="AG192" s="181" t="str">
        <f t="shared" si="161"/>
        <v>NW</v>
      </c>
      <c r="AH192" s="78" t="str">
        <f t="shared" si="162"/>
        <v>"%USERPROFILE%\Documents\GitHub\eaglep3\Utilities\RefineRTDCRunTimes.py" --tripid 1834-18 --locoid 4053 --swversion DE.1.0.9.0 --startMP 300:58651 --initTime 2017-11-18T22:26:41 --startdatetime 2017-11-18T22:42:00 --delay 71 --endMP 204:4651 --enddatetime 2017-11-18T22:53:16 --enforcementcount 0 &gt;&gt;%USERPROFILE%\Documents\GitHub\eaglep3-reporting\EC\2017-11-18-refined-times.txt</v>
      </c>
      <c r="AI192" s="96" t="str">
        <f t="shared" si="163"/>
        <v>echo {"issue":{"subject":"","project_id":79,"tracker_id":40,"status_id":1,"priority_id":2,"assigned_to_id":338,"start_date":"2017-11-18","description":"","custom_fields":[{"id":1,"name":"Subdivision","value":"NW"},{"id":4,"name":"Milepost","value":"0.4651"},{"id":17,"name":"Train ID","value":"1834-18"},{"id":16,"name":"Locomotive ID","value":"4053"},{"id":130,"name":"Impact","value":""},{"id":150,"name":"Time of Event (Mountain Time)","value":"22:53:16"},{"id":151,"name":"Denver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1" t="str">
        <f t="shared" si="164"/>
        <v>start /low /b %USERPROFILE%\Documents\GitHub\eaglep3\Utilities\DownloadLogsFromS3.py --loco 4053 --day 2017-11-18</v>
      </c>
      <c r="AN192" s="150" t="str">
        <f t="shared" si="16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05:53:16"},{"id":29,"name":"Sharepoint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7" t="str">
        <f t="shared" si="166"/>
        <v>https://d0f6bd738d7f1b3e5a7ca70fe4ff75f0.us-east-1.aws.found.io/app/kibana#/discover/Steve-Slow-Train-Analysis-(2080s-and-2083s)?_g=(refreshInterval:(display:Off,pause:!f,section:0,value:0),time:(from:'2017-11-18T21:26:41-0700',mode:absolute,to:'2017-11-18T23:53:16-0700'))&amp;_a=(columns:!('Message%20ID',Summary),filters:!(),index:'emp_*',interval:auto,query:(query_string:(analyze_wildcard:!t,query:'%22rtdc.l.rtdc.4053%22')),sort:!(Time.ISO8601,asc))</v>
      </c>
    </row>
    <row r="193" spans="1:91" s="20" customFormat="1" x14ac:dyDescent="0.25">
      <c r="A193" s="32" t="s">
        <v>891</v>
      </c>
      <c r="B193" s="7">
        <v>4054</v>
      </c>
      <c r="C193" s="21" t="s">
        <v>192</v>
      </c>
      <c r="D193" s="21" t="s">
        <v>1086</v>
      </c>
      <c r="E193" s="13">
        <v>43057.957662037035</v>
      </c>
      <c r="F193" s="13">
        <v>43057.964837962965</v>
      </c>
      <c r="G193" s="7">
        <v>63</v>
      </c>
      <c r="H193" s="21" t="s">
        <v>656</v>
      </c>
      <c r="I193" s="13">
        <v>43057.974872685183</v>
      </c>
      <c r="J193" s="7">
        <v>0</v>
      </c>
      <c r="K193" s="89" t="str">
        <f t="shared" si="151"/>
        <v>4053/4054</v>
      </c>
      <c r="L193" s="184" t="str">
        <f>VLOOKUP(A193,'Trips&amp;Operators'!$C$1:$G$99911,5,FALSE)</f>
        <v>SMITH MICHAEL</v>
      </c>
      <c r="M193" s="6">
        <f t="shared" si="152"/>
        <v>1.003472221782431E-2</v>
      </c>
      <c r="N193" s="7">
        <f t="shared" si="153"/>
        <v>14.449999993667006</v>
      </c>
      <c r="O193" s="7"/>
      <c r="P193" s="7"/>
      <c r="Q193" s="22"/>
      <c r="R193" s="173"/>
      <c r="S193" s="220">
        <f t="shared" si="154"/>
        <v>1</v>
      </c>
      <c r="T193" s="173" t="str">
        <f t="shared" si="155"/>
        <v>NorthBound</v>
      </c>
      <c r="U193" s="19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5" t="str">
        <f t="shared" si="100"/>
        <v>https://d0f6bd738d7f1b3e5a7ca70fe4ff75f0.us-east-1.aws.found.io/app/kibana#/discover/Steve-Slow-Train-Analysis-(2080s-and-2083s)?_g=(refreshInterval:(display:Off,pause:!f,section:0,value:0),time:(from:'2017-11-18T21:59:02-0700',mode:absolute,to:'2017-11-19T00:23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3" s="203" t="str">
        <f>IF(AA193&lt;VLOOKUP(AG193,Variables!$AC$3:$AD$8,2,FALSE),"Y","N")</f>
        <v>N</v>
      </c>
      <c r="X193" s="203">
        <f t="shared" si="156"/>
        <v>1</v>
      </c>
      <c r="Y193" s="203">
        <f t="shared" si="157"/>
        <v>9.5299999999999996E-2</v>
      </c>
      <c r="Z193" s="203">
        <f t="shared" si="158"/>
        <v>5.8968999999999996</v>
      </c>
      <c r="AA193" s="203">
        <f t="shared" si="159"/>
        <v>5.8015999999999996</v>
      </c>
      <c r="AB193" s="54" t="e">
        <f>VLOOKUP(A193,Enforcements!$C$7:$K$9,8,0)</f>
        <v>#N/A</v>
      </c>
      <c r="AC193" s="51" t="e">
        <f>VLOOKUP(A193,Enforcements!$C$7:$E$9,3,0)</f>
        <v>#N/A</v>
      </c>
      <c r="AD193" s="178">
        <f t="shared" si="160"/>
        <v>1835</v>
      </c>
      <c r="AE193" s="77" t="str">
        <f t="shared" si="103"/>
        <v>aws s3 cp s3://rtdc.mdm.uploadarchive.raw/RTDC4054/ "%USERPROFILE%\AppData\Local\Temp\OnboardLogs"\RTDC4054\2017-11-18 --exclude "*" --recursive --include "*20171118*" &amp; "%USERPROFILE%\Documents\GitHub\mrs-test-scripts\Headless Mode &amp; Sideloading\WalkAndUnGZ.bat" "%USERPROFILE%\AppData\Local\Temp\OnboardLogs"\RTDC4054\2017-11-18 &amp; 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</v>
      </c>
      <c r="AF193" s="74" t="str">
        <f t="shared" si="104"/>
        <v>"C:\Program Files (x86)\AstroGrep\AstroGrep.exe" /e /r /s /spath="%USERPROFILE%\AppData\Local\Temp\OnboardLogs" /stypes="app*4054*20171119*" /stext=" 06:.+((SYSTEM_STATE.+slice.+state.+changed )|(ment ac)|(multiple cpu faults)|(system.+state.+changed )|(\[timeout)|(PRM\|1\|D)|(kpr)|(kdp)|(train st.+moving)|(\|lc)|(penalty))"</v>
      </c>
      <c r="AG193" s="181" t="str">
        <f t="shared" si="161"/>
        <v>NW</v>
      </c>
      <c r="AH193" s="78" t="str">
        <f t="shared" si="162"/>
        <v>"%USERPROFILE%\Documents\GitHub\eaglep3\Utilities\RefineRTDCRunTimes.py" --tripid 1835-18 --locoid 4054 --swversion DE.1.0.9.0 --startMP 204:953 --initTime 2017-11-18T22:59:02 --startdatetime 2017-11-18T23:09:22 --delay 63 --endMP 300:58969 --enddatetime 2017-11-18T23:23:49 --enforcementcount 0 &gt;&gt;%USERPROFILE%\Documents\GitHub\eaglep3-reporting\EC\2017-11-18-refined-times.txt</v>
      </c>
      <c r="AI193" s="96" t="str">
        <f t="shared" si="163"/>
        <v>echo {"issue":{"subject":"","project_id":79,"tracker_id":40,"status_id":1,"priority_id":2,"assigned_to_id":338,"start_date":"2017-11-18","description":"","custom_fields":[{"id":1,"name":"Subdivision","value":"NW"},{"id":4,"name":"Milepost","value":"5.8969"},{"id":17,"name":"Train ID","value":"1835-18"},{"id":16,"name":"Locomotive ID","value":"4054"},{"id":130,"name":"Impact","value":""},{"id":150,"name":"Time of Event (Mountain Time)","value":"23:23:49"},{"id":151,"name":"Denver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1" t="str">
        <f t="shared" si="164"/>
        <v>start /low /b %USERPROFILE%\Documents\GitHub\eaglep3\Utilities\DownloadLogsFromS3.py --loco 4054 --day 2017-11-18</v>
      </c>
      <c r="AN193" s="150" t="str">
        <f t="shared" si="165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06:23:49"},{"id":29,"name":"Sharepoint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7" t="str">
        <f t="shared" si="166"/>
        <v>https://d0f6bd738d7f1b3e5a7ca70fe4ff75f0.us-east-1.aws.found.io/app/kibana#/discover/Steve-Slow-Train-Analysis-(2080s-and-2083s)?_g=(refreshInterval:(display:Off,pause:!f,section:0,value:0),time:(from:'2017-11-18T21:59:02-0700',mode:absolute,to:'2017-11-19T00:23:49-0700'))&amp;_a=(columns:!('Message%20ID',Summary),filters:!(),index:'emp_*',interval:auto,query:(query_string:(analyze_wildcard:!t,query:'%22rtdc.l.rtdc.4054%22')),sort:!(Time.ISO8601,asc))</v>
      </c>
    </row>
    <row r="194" spans="1:91" s="20" customFormat="1" x14ac:dyDescent="0.25">
      <c r="A194" s="32" t="s">
        <v>713</v>
      </c>
      <c r="B194" s="7">
        <v>4001</v>
      </c>
      <c r="C194" s="21" t="s">
        <v>192</v>
      </c>
      <c r="D194" s="21" t="s">
        <v>1031</v>
      </c>
      <c r="E194" s="13">
        <v>43057.115891203706</v>
      </c>
      <c r="F194" s="13">
        <v>43057.118738425925</v>
      </c>
      <c r="G194" s="7">
        <v>65</v>
      </c>
      <c r="H194" s="21" t="s">
        <v>510</v>
      </c>
      <c r="I194" s="13">
        <v>43057.124803240738</v>
      </c>
      <c r="J194" s="7">
        <v>0</v>
      </c>
      <c r="K194" s="89" t="str">
        <f t="shared" ref="K194:K213" si="167">IF(ISEVEN(B194),(B194-1)&amp;"/"&amp;B194,B194&amp;"/"&amp;(B194+1))</f>
        <v>4001/4002</v>
      </c>
      <c r="L194" s="184" t="str">
        <f>VLOOKUP(A194,'Trips&amp;Operators'!$C$1:$G$99911,5,FALSE)</f>
        <v>THOMPSON LESTER</v>
      </c>
      <c r="M194" s="6">
        <f t="shared" ref="M194:M213" si="168">I194-F194</f>
        <v>6.064814813726116E-3</v>
      </c>
      <c r="N194" s="7">
        <f t="shared" ref="N194:N213" si="169">24*60*SUM($M194:$M194)</f>
        <v>8.733333331765607</v>
      </c>
      <c r="O194" s="7"/>
      <c r="P194" s="7"/>
      <c r="Q194" s="22"/>
      <c r="R194" s="173"/>
      <c r="S194" s="220">
        <f t="shared" ref="S194:S213" si="170">1/IF(AG194="EC",12,1)*SUM(U194:U194)</f>
        <v>1</v>
      </c>
      <c r="T194" s="173" t="str">
        <f t="shared" ref="T194:T213" si="171">IF(ISEVEN(LEFT(AD194,4)),"Southbound","NorthBound")</f>
        <v>Southbound</v>
      </c>
      <c r="U194" s="19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5" t="str">
        <f t="shared" si="100"/>
        <v>https://d0f6bd738d7f1b3e5a7ca70fe4ff75f0.us-east-1.aws.found.io/app/kibana#/discover/Steve-Slow-Train-Analysis-(2080s-and-2083s)?_g=(refreshInterval:(display:Off,pause:!f,section:0,value:0),time:(from:'2017-11-18T01:46:53-0700',mode:absolute,to:'2017-11-18T03:59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4" s="203" t="str">
        <f>IF(AA194&lt;VLOOKUP(AG194,Variables!$AC$3:$AD$8,2,FALSE),"Y","N")</f>
        <v>Y</v>
      </c>
      <c r="X194" s="203">
        <f t="shared" si="156"/>
        <v>-1535</v>
      </c>
      <c r="Y194" s="203">
        <f t="shared" ref="Y194:Y213" si="172">RIGHT(D194,LEN(D194)-4)/10000</f>
        <v>2.3559000000000001</v>
      </c>
      <c r="Z194" s="203">
        <f t="shared" ref="Z194:Z213" si="173">RIGHT(H194,LEN(H194)-4)/10000</f>
        <v>1.9599999999999999E-2</v>
      </c>
      <c r="AA194" s="203">
        <f t="shared" ref="AA194:AA213" si="174">ABS(Z194-Y194)</f>
        <v>2.3363</v>
      </c>
      <c r="AB194" s="54" t="e">
        <f>VLOOKUP(A194,Enforcements!$C$7:$K$9,8,0)</f>
        <v>#N/A</v>
      </c>
      <c r="AC194" s="51" t="e">
        <f>VLOOKUP(A194,Enforcements!$C$7:$E$9,3,0)</f>
        <v>#N/A</v>
      </c>
      <c r="AD194" s="178">
        <f t="shared" ref="AD194:AD213" si="175">VALUE(LEFT(A194,LEN(A194)-3))</f>
        <v>300</v>
      </c>
      <c r="AE194" s="77" t="str">
        <f t="shared" si="103"/>
        <v>aws s3 cp s3://rtdc.mdm.uploadarchive.raw/RTDC4001/ "%USERPROFILE%\AppData\Local\Temp\OnboardLogs"\RTDC4001\2017-11-18 --exclude "*" --recursive --include "*20171118*" &amp; "%USERPROFILE%\Documents\GitHub\mrs-test-scripts\Headless Mode &amp; Sideloading\WalkAndUnGZ.bat" "%USERPROFILE%\AppData\Local\Temp\OnboardLogs"\RTDC4001\2017-11-18 &amp; aws s3 cp s3://rtdc.mdm.uploadarchive.raw/RTDC4001/ "%USERPROFILE%\AppData\Local\Temp\OnboardLogs"\RTDC4001\2017-11-19 --exclude "*" --recursive --include "*20171119*" &amp; "%USERPROFILE%\Documents\GitHub\mrs-test-scripts\Headless Mode &amp; Sideloading\WalkAndUnGZ.bat" "%USERPROFILE%\AppData\Local\Temp\OnboardLogs"\RTDC4001\2017-11-19</v>
      </c>
      <c r="AF194" s="74" t="str">
        <f t="shared" si="104"/>
        <v>"C:\Program Files (x86)\AstroGrep\AstroGrep.exe" /e /r /s /spath="%USERPROFILE%\AppData\Local\Temp\OnboardLogs" /stypes="app*4001*20171118*" /stext=" 09:.+((SYSTEM_STATE.+slice.+state.+changed )|(ment ac)|(multiple cpu faults)|(system.+state.+changed )|(\[timeout)|(PRM\|1\|D)|(kpr)|(kdp)|(train st.+moving)|(\|lc)|(penalty))"</v>
      </c>
      <c r="AG194" s="181" t="str">
        <f t="shared" ref="AG194:AG213" si="176">DetSubdiv(A194)</f>
        <v>Other</v>
      </c>
      <c r="AH194" s="78" t="str">
        <f t="shared" si="106"/>
        <v>"%USERPROFILE%\Documents\GitHub\eaglep3\Utilities\RefineRTDCRunTimes.py" --tripid 300-18 --locoid 4001 --swversion DE.1.0.9.0 --startMP 300:23559 --initTime 2017-11-18T02:46:53 --startdatetime 2017-11-18T02:50:59 --delay 65 --endMP 204:196 --enddatetime 2017-11-18T02:59:43 --enforcementcount 0 &gt;&gt;%USERPROFILE%\Documents\GitHub\eaglep3-reporting\EC\2017-11-18-refined-times.txt</v>
      </c>
      <c r="AI194" s="96" t="str">
        <f t="shared" si="107"/>
        <v>echo {"issue":{"subject":"","project_id":79,"tracker_id":40,"status_id":1,"priority_id":2,"assigned_to_id":338,"start_date":"2017-11-18","description":"","custom_fields":[{"id":1,"name":"Subdivision","value":"Other"},{"id":4,"name":"Milepost","value":"0.0196"},{"id":17,"name":"Train ID","value":"300-18"},{"id":16,"name":"Locomotive ID","value":"4001"},{"id":130,"name":"Impact","value":""},{"id":150,"name":"Time of Event (Mountain Time)","value":"02:59:43"},{"id":151,"name":"Denver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1" t="str">
        <f t="shared" si="108"/>
        <v>start /low /b %USERPROFILE%\Documents\GitHub\eaglep3\Utilities\DownloadLogsFromS3.py --loco 4001 --day 2017-11-18</v>
      </c>
      <c r="AN194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09:59:43"},{"id":29,"name":"Sharepoint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7" t="str">
        <f t="shared" si="110"/>
        <v>https://d0f6bd738d7f1b3e5a7ca70fe4ff75f0.us-east-1.aws.found.io/app/kibana#/discover/Steve-Slow-Train-Analysis-(2080s-and-2083s)?_g=(refreshInterval:(display:Off,pause:!f,section:0,value:0),time:(from:'2017-11-18T01:46:53-0700',mode:absolute,to:'2017-11-18T03:59:43-0700'))&amp;_a=(columns:!('Message%20ID',Summary),filters:!(),index:'emp_*',interval:auto,query:(query_string:(analyze_wildcard:!t,query:'%22rtdc.l.rtdc.4001%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688</v>
      </c>
      <c r="B195" s="7">
        <v>4026</v>
      </c>
      <c r="C195" s="21" t="s">
        <v>192</v>
      </c>
      <c r="D195" s="21" t="s">
        <v>911</v>
      </c>
      <c r="E195" s="13">
        <v>43057.777187500003</v>
      </c>
      <c r="F195" s="13">
        <v>43057.778506944444</v>
      </c>
      <c r="G195" s="7">
        <v>52</v>
      </c>
      <c r="H195" s="21" t="s">
        <v>1032</v>
      </c>
      <c r="I195" s="13">
        <v>43057.780844907407</v>
      </c>
      <c r="J195" s="7">
        <v>0</v>
      </c>
      <c r="K195" s="89" t="str">
        <f t="shared" si="167"/>
        <v>4025/4026</v>
      </c>
      <c r="L195" s="184" t="str">
        <f>VLOOKUP(A195,'Trips&amp;Operators'!$C$1:$G$99911,5,FALSE)</f>
        <v>GUZMAN DANNY</v>
      </c>
      <c r="M195" s="6">
        <f t="shared" si="168"/>
        <v>2.3379629637929611E-3</v>
      </c>
      <c r="N195" s="7">
        <f t="shared" si="169"/>
        <v>3.366666667861864</v>
      </c>
      <c r="O195" s="7"/>
      <c r="P195" s="7"/>
      <c r="Q195" s="22"/>
      <c r="R195" s="173"/>
      <c r="S195" s="220">
        <f t="shared" si="170"/>
        <v>0</v>
      </c>
      <c r="T195" s="173" t="str">
        <f t="shared" si="171"/>
        <v>NorthBound</v>
      </c>
      <c r="U195" s="19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0</v>
      </c>
      <c r="V195" s="215" t="str">
        <f t="shared" si="100"/>
        <v>https://d0f6bd738d7f1b3e5a7ca70fe4ff75f0.us-east-1.aws.found.io/app/kibana#/discover/Steve-Slow-Train-Analysis-(2080s-and-2083s)?_g=(refreshInterval:(display:Off,pause:!f,section:0,value:0),time:(from:'2017-11-18T17:39:09-0700',mode:absolute,to:'2017-11-18T19:44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5" s="203" t="str">
        <f>IF(AA195&lt;VLOOKUP(AG195,Variables!$AC$3:$AD$8,2,FALSE),"Y","N")</f>
        <v>Y</v>
      </c>
      <c r="X195" s="203">
        <f t="shared" si="156"/>
        <v>1</v>
      </c>
      <c r="Y195" s="203">
        <f t="shared" si="172"/>
        <v>5.8400000000000001E-2</v>
      </c>
      <c r="Z195" s="203">
        <f t="shared" si="173"/>
        <v>1.0811999999999999</v>
      </c>
      <c r="AA195" s="203">
        <f t="shared" si="174"/>
        <v>1.0227999999999999</v>
      </c>
      <c r="AB195" s="54" t="e">
        <f>VLOOKUP(A195,Enforcements!$C$7:$K$9,8,0)</f>
        <v>#N/A</v>
      </c>
      <c r="AC195" s="51" t="e">
        <f>VLOOKUP(A195,Enforcements!$C$7:$E$9,3,0)</f>
        <v>#N/A</v>
      </c>
      <c r="AD195" s="178">
        <f t="shared" si="175"/>
        <v>301</v>
      </c>
      <c r="AE195" s="77" t="str">
        <f t="shared" si="103"/>
        <v>aws s3 cp s3://rtdc.mdm.uploadarchive.raw/RTDC4026/ "%USERPROFILE%\AppData\Local\Temp\OnboardLogs"\RTDC4026\2017-11-18 --exclude "*" --recursive --include "*20171118*" &amp; "%USERPROFILE%\Documents\GitHub\mrs-test-scripts\Headless Mode &amp; Sideloading\WalkAndUnGZ.bat" "%USERPROFILE%\AppData\Local\Temp\OnboardLogs"\RTDC4026\2017-11-18 &amp; aws s3 cp s3://rtdc.mdm.uploadarchive.raw/RTDC4026/ "%USERPROFILE%\AppData\Local\Temp\OnboardLogs"\RTDC4026\2017-11-19 --exclude "*" --recursive --include "*20171119*" &amp; "%USERPROFILE%\Documents\GitHub\mrs-test-scripts\Headless Mode &amp; Sideloading\WalkAndUnGZ.bat" "%USERPROFILE%\AppData\Local\Temp\OnboardLogs"\RTDC4026\2017-11-19</v>
      </c>
      <c r="AF195" s="74" t="str">
        <f t="shared" si="104"/>
        <v>"C:\Program Files (x86)\AstroGrep\AstroGrep.exe" /e /r /s /spath="%USERPROFILE%\AppData\Local\Temp\OnboardLogs" /stypes="app*4026*20171119*" /stext=" 01:.+((SYSTEM_STATE.+slice.+state.+changed )|(ment ac)|(multiple cpu faults)|(system.+state.+changed )|(\[timeout)|(PRM\|1\|D)|(kpr)|(kdp)|(train st.+moving)|(\|lc)|(penalty))"</v>
      </c>
      <c r="AG195" s="181" t="str">
        <f t="shared" si="176"/>
        <v>Other</v>
      </c>
      <c r="AH195" s="78" t="str">
        <f t="shared" si="106"/>
        <v>"%USERPROFILE%\Documents\GitHub\eaglep3\Utilities\RefineRTDCRunTimes.py" --tripid 301-18 --locoid 4026 --swversion DE.1.0.9.0 --startMP 204:584 --initTime 2017-11-18T18:39:09 --startdatetime 2017-11-18T18:41:03 --delay 52 --endMP 300:10812 --enddatetime 2017-11-18T18:44:25 --enforcementcount 0 &gt;&gt;%USERPROFILE%\Documents\GitHub\eaglep3-reporting\EC\2017-11-18-refined-times.txt</v>
      </c>
      <c r="AI195" s="96" t="str">
        <f t="shared" si="107"/>
        <v>echo {"issue":{"subject":"","project_id":79,"tracker_id":40,"status_id":1,"priority_id":2,"assigned_to_id":338,"start_date":"2017-11-18","description":"","custom_fields":[{"id":1,"name":"Subdivision","value":"Other"},{"id":4,"name":"Milepost","value":"1.0812"},{"id":17,"name":"Train ID","value":"301-18"},{"id":16,"name":"Locomotive ID","value":"4026"},{"id":130,"name":"Impact","value":""},{"id":150,"name":"Time of Event (Mountain Time)","value":"18:44:25"},{"id":151,"name":"Denver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1" t="str">
        <f t="shared" si="108"/>
        <v>start /low /b %USERPROFILE%\Documents\GitHub\eaglep3\Utilities\DownloadLogsFromS3.py --loco 4026 --day 2017-11-18</v>
      </c>
      <c r="AN195" s="150" t="str">
        <f t="shared" si="109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01:44:25"},{"id":29,"name":"Sharepoint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7" t="str">
        <f t="shared" si="110"/>
        <v>https://d0f6bd738d7f1b3e5a7ca70fe4ff75f0.us-east-1.aws.found.io/app/kibana#/discover/Steve-Slow-Train-Analysis-(2080s-and-2083s)?_g=(refreshInterval:(display:Off,pause:!f,section:0,value:0),time:(from:'2017-11-18T17:39:09-0700',mode:absolute,to:'2017-11-18T19:44:25-0700'))&amp;_a=(columns:!('Message%20ID',Summary),filters:!(),index:'emp_*',interval:auto,query:(query_string:(analyze_wildcard:!t,query:'%22rtdc.l.rtdc.4026%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720</v>
      </c>
      <c r="B196" s="7">
        <v>4003</v>
      </c>
      <c r="C196" s="21" t="s">
        <v>192</v>
      </c>
      <c r="D196" s="21" t="s">
        <v>1033</v>
      </c>
      <c r="E196" s="13">
        <v>43057.139155092591</v>
      </c>
      <c r="F196" s="13">
        <v>43057.143958333334</v>
      </c>
      <c r="G196" s="7">
        <v>117</v>
      </c>
      <c r="H196" s="21" t="s">
        <v>623</v>
      </c>
      <c r="I196" s="13">
        <v>43057.148611111108</v>
      </c>
      <c r="J196" s="7">
        <v>0</v>
      </c>
      <c r="K196" s="89" t="str">
        <f t="shared" si="167"/>
        <v>4003/4004</v>
      </c>
      <c r="L196" s="184" t="str">
        <f>VLOOKUP(A196,'Trips&amp;Operators'!$C$1:$G$99911,5,FALSE)</f>
        <v>MAELZER KURT</v>
      </c>
      <c r="M196" s="6">
        <f t="shared" si="168"/>
        <v>4.6527777740266174E-3</v>
      </c>
      <c r="N196" s="7">
        <f t="shared" si="169"/>
        <v>6.6999999945983291</v>
      </c>
      <c r="O196" s="7"/>
      <c r="P196" s="7"/>
      <c r="Q196" s="22"/>
      <c r="R196" s="173"/>
      <c r="S196" s="220">
        <f t="shared" si="170"/>
        <v>1</v>
      </c>
      <c r="T196" s="173" t="str">
        <f t="shared" si="171"/>
        <v>Southbound</v>
      </c>
      <c r="U196" s="19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5" t="str">
        <f t="shared" si="100"/>
        <v>https://d0f6bd738d7f1b3e5a7ca70fe4ff75f0.us-east-1.aws.found.io/app/kibana#/discover/Steve-Slow-Train-Analysis-(2080s-and-2083s)?_g=(refreshInterval:(display:Off,pause:!f,section:0,value:0),time:(from:'2017-11-18T02:20:23-0700',mode:absolute,to:'2017-11-18T04:34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6" s="203" t="str">
        <f>IF(AA196&lt;VLOOKUP(AG196,Variables!$AC$3:$AD$8,2,FALSE),"Y","N")</f>
        <v>Y</v>
      </c>
      <c r="X196" s="203">
        <f t="shared" si="156"/>
        <v>1</v>
      </c>
      <c r="Y196" s="203">
        <f t="shared" si="172"/>
        <v>1.9816</v>
      </c>
      <c r="Z196" s="203">
        <f t="shared" si="173"/>
        <v>1.72E-2</v>
      </c>
      <c r="AA196" s="203">
        <f t="shared" si="174"/>
        <v>1.9643999999999999</v>
      </c>
      <c r="AB196" s="54" t="e">
        <f>VLOOKUP(A196,Enforcements!$C$7:$K$9,8,0)</f>
        <v>#N/A</v>
      </c>
      <c r="AC196" s="51" t="e">
        <f>VLOOKUP(A196,Enforcements!$C$7:$E$9,3,0)</f>
        <v>#N/A</v>
      </c>
      <c r="AD196" s="178">
        <f t="shared" si="175"/>
        <v>302</v>
      </c>
      <c r="AE196" s="77" t="str">
        <f t="shared" si="103"/>
        <v>aws s3 cp s3://rtdc.mdm.uploadarchive.raw/RTDC4003/ "%USERPROFILE%\AppData\Local\Temp\OnboardLogs"\RTDC4003\2017-11-18 --exclude "*" --recursive --include "*20171118*" &amp; "%USERPROFILE%\Documents\GitHub\mrs-test-scripts\Headless Mode &amp; Sideloading\WalkAndUnGZ.bat" "%USERPROFILE%\AppData\Local\Temp\OnboardLogs"\RTDC4003\2017-11-18 &amp; aws s3 cp s3://rtdc.mdm.uploadarchive.raw/RTDC4003/ "%USERPROFILE%\AppData\Local\Temp\OnboardLogs"\RTDC4003\2017-11-19 --exclude "*" --recursive --include "*20171119*" &amp; "%USERPROFILE%\Documents\GitHub\mrs-test-scripts\Headless Mode &amp; Sideloading\WalkAndUnGZ.bat" "%USERPROFILE%\AppData\Local\Temp\OnboardLogs"\RTDC4003\2017-11-19</v>
      </c>
      <c r="AF196" s="74" t="str">
        <f t="shared" si="104"/>
        <v>"C:\Program Files (x86)\AstroGrep\AstroGrep.exe" /e /r /s /spath="%USERPROFILE%\AppData\Local\Temp\OnboardLogs" /stypes="app*4003*20171118*" /stext=" 10:.+((SYSTEM_STATE.+slice.+state.+changed )|(ment ac)|(multiple cpu faults)|(system.+state.+changed )|(\[timeout)|(PRM\|1\|D)|(kpr)|(kdp)|(train st.+moving)|(\|lc)|(penalty))"</v>
      </c>
      <c r="AG196" s="181" t="str">
        <f t="shared" si="176"/>
        <v>Other</v>
      </c>
      <c r="AH196" s="78" t="str">
        <f t="shared" si="106"/>
        <v>"%USERPROFILE%\Documents\GitHub\eaglep3\Utilities\RefineRTDCRunTimes.py" --tripid 302-18 --locoid 4003 --swversion DE.1.0.9.0 --startMP 300:19816 --initTime 2017-11-18T03:20:23 --startdatetime 2017-11-18T03:27:18 --delay 117 --endMP 204:172 --enddatetime 2017-11-18T03:34:00 --enforcementcount 0 &gt;&gt;%USERPROFILE%\Documents\GitHub\eaglep3-reporting\EC\2017-11-18-refined-times.txt</v>
      </c>
      <c r="AI196" s="96" t="str">
        <f t="shared" si="107"/>
        <v>echo {"issue":{"subject":"","project_id":79,"tracker_id":40,"status_id":1,"priority_id":2,"assigned_to_id":338,"start_date":"2017-11-18","description":"","custom_fields":[{"id":1,"name":"Subdivision","value":"Other"},{"id":4,"name":"Milepost","value":"0.0172"},{"id":17,"name":"Train ID","value":"302-18"},{"id":16,"name":"Locomotive ID","value":"4003"},{"id":130,"name":"Impact","value":""},{"id":150,"name":"Time of Event (Mountain Time)","value":"03:34:00"},{"id":151,"name":"Denver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1" t="str">
        <f t="shared" si="108"/>
        <v>start /low /b %USERPROFILE%\Documents\GitHub\eaglep3\Utilities\DownloadLogsFromS3.py --loco 4003 --day 2017-11-18</v>
      </c>
      <c r="AN196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10:34:00"},{"id":29,"name":"Sharepoint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7" t="str">
        <f t="shared" si="110"/>
        <v>https://d0f6bd738d7f1b3e5a7ca70fe4ff75f0.us-east-1.aws.found.io/app/kibana#/discover/Steve-Slow-Train-Analysis-(2080s-and-2083s)?_g=(refreshInterval:(display:Off,pause:!f,section:0,value:0),time:(from:'2017-11-18T02:20:23-0700',mode:absolute,to:'2017-11-18T04:34:00-0700'))&amp;_a=(columns:!('Message%20ID',Summary),filters:!(),index:'emp_*',interval:auto,query:(query_string:(analyze_wildcard:!t,query:'%22rtdc.l.rtdc.4003%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871</v>
      </c>
      <c r="B197" s="7">
        <v>4022</v>
      </c>
      <c r="C197" s="21" t="s">
        <v>192</v>
      </c>
      <c r="D197" s="21" t="s">
        <v>1034</v>
      </c>
      <c r="E197" s="13">
        <v>43057.797974537039</v>
      </c>
      <c r="F197" s="13">
        <v>43057.799502314818</v>
      </c>
      <c r="G197" s="7">
        <v>53</v>
      </c>
      <c r="H197" s="21" t="s">
        <v>568</v>
      </c>
      <c r="I197" s="13">
        <v>43057.806423611109</v>
      </c>
      <c r="J197" s="7">
        <v>0</v>
      </c>
      <c r="K197" s="89" t="str">
        <f t="shared" si="167"/>
        <v>4021/4022</v>
      </c>
      <c r="L197" s="184" t="str">
        <f>VLOOKUP(A197,'Trips&amp;Operators'!$C$1:$G$99911,5,FALSE)</f>
        <v>BERLING GARY</v>
      </c>
      <c r="M197" s="6">
        <f t="shared" si="168"/>
        <v>6.9212962916935794E-3</v>
      </c>
      <c r="N197" s="7">
        <f t="shared" si="169"/>
        <v>9.9666666600387543</v>
      </c>
      <c r="O197" s="7"/>
      <c r="P197" s="7"/>
      <c r="Q197" s="22"/>
      <c r="R197" s="173"/>
      <c r="S197" s="220">
        <f t="shared" si="170"/>
        <v>1</v>
      </c>
      <c r="T197" s="173" t="str">
        <f t="shared" si="171"/>
        <v>NorthBound</v>
      </c>
      <c r="U197" s="19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5" t="str">
        <f t="shared" si="100"/>
        <v>https://d0f6bd738d7f1b3e5a7ca70fe4ff75f0.us-east-1.aws.found.io/app/kibana#/discover/Steve-Slow-Train-Analysis-(2080s-and-2083s)?_g=(refreshInterval:(display:Off,pause:!f,section:0,value:0),time:(from:'2017-11-18T18:09:05-0700',mode:absolute,to:'2017-11-18T20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7" s="203" t="str">
        <f>IF(AA197&lt;VLOOKUP(AG197,Variables!$AC$3:$AD$8,2,FALSE),"Y","N")</f>
        <v>Y</v>
      </c>
      <c r="X197" s="203">
        <f t="shared" ref="X197:X213" si="177">VALUE(LEFT(AD197,4))-VALUE(LEFT(AD196,4))</f>
        <v>1</v>
      </c>
      <c r="Y197" s="203">
        <f t="shared" si="172"/>
        <v>3.9699999999999999E-2</v>
      </c>
      <c r="Z197" s="203">
        <f t="shared" si="173"/>
        <v>2.3346</v>
      </c>
      <c r="AA197" s="203">
        <f t="shared" si="174"/>
        <v>2.2949000000000002</v>
      </c>
      <c r="AB197" s="54" t="e">
        <f>VLOOKUP(A197,Enforcements!$C$7:$K$9,8,0)</f>
        <v>#N/A</v>
      </c>
      <c r="AC197" s="51" t="e">
        <f>VLOOKUP(A197,Enforcements!$C$7:$E$9,3,0)</f>
        <v>#N/A</v>
      </c>
      <c r="AD197" s="178">
        <f t="shared" si="175"/>
        <v>303</v>
      </c>
      <c r="AE197" s="77" t="str">
        <f t="shared" si="103"/>
        <v>aws s3 cp s3://rtdc.mdm.uploadarchive.raw/RTDC4022/ "%USERPROFILE%\AppData\Local\Temp\OnboardLogs"\RTDC4022\2017-11-18 --exclude "*" --recursive --include "*20171118*" &amp; "%USERPROFILE%\Documents\GitHub\mrs-test-scripts\Headless Mode &amp; Sideloading\WalkAndUnGZ.bat" "%USERPROFILE%\AppData\Local\Temp\OnboardLogs"\RTDC4022\2017-11-18 &amp; aws s3 cp s3://rtdc.mdm.uploadarchive.raw/RTDC4022/ "%USERPROFILE%\AppData\Local\Temp\OnboardLogs"\RTDC4022\2017-11-19 --exclude "*" --recursive --include "*20171119*" &amp; "%USERPROFILE%\Documents\GitHub\mrs-test-scripts\Headless Mode &amp; Sideloading\WalkAndUnGZ.bat" "%USERPROFILE%\AppData\Local\Temp\OnboardLogs"\RTDC4022\2017-11-19</v>
      </c>
      <c r="AF197" s="74" t="str">
        <f t="shared" si="104"/>
        <v>"C:\Program Files (x86)\AstroGrep\AstroGrep.exe" /e /r /s /spath="%USERPROFILE%\AppData\Local\Temp\OnboardLogs" /stypes="app*4022*20171119*" /stext=" 02:.+((SYSTEM_STATE.+slice.+state.+changed )|(ment ac)|(multiple cpu faults)|(system.+state.+changed )|(\[timeout)|(PRM\|1\|D)|(kpr)|(kdp)|(train st.+moving)|(\|lc)|(penalty))"</v>
      </c>
      <c r="AG197" s="181" t="str">
        <f t="shared" si="176"/>
        <v>Other</v>
      </c>
      <c r="AH197" s="78" t="str">
        <f t="shared" si="106"/>
        <v>"%USERPROFILE%\Documents\GitHub\eaglep3\Utilities\RefineRTDCRunTimes.py" --tripid 303-18 --locoid 4022 --swversion DE.1.0.9.0 --startMP 204:397 --initTime 2017-11-18T19:09:05 --startdatetime 2017-11-18T19:11:17 --delay 53 --endMP 300:23346 --enddatetime 2017-11-18T19:21:15 --enforcementcount 0 &gt;&gt;%USERPROFILE%\Documents\GitHub\eaglep3-reporting\EC\2017-11-18-refined-times.txt</v>
      </c>
      <c r="AI197" s="96" t="str">
        <f t="shared" si="107"/>
        <v>echo {"issue":{"subject":"","project_id":79,"tracker_id":40,"status_id":1,"priority_id":2,"assigned_to_id":338,"start_date":"2017-11-18","description":"","custom_fields":[{"id":1,"name":"Subdivision","value":"Other"},{"id":4,"name":"Milepost","value":"2.3346"},{"id":17,"name":"Train ID","value":"303-18"},{"id":16,"name":"Locomotive ID","value":"4022"},{"id":130,"name":"Impact","value":""},{"id":150,"name":"Time of Event (Mountain Time)","value":"19:21:15"},{"id":151,"name":"Denver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1" t="str">
        <f t="shared" si="108"/>
        <v>start /low /b %USERPROFILE%\Documents\GitHub\eaglep3\Utilities\DownloadLogsFromS3.py --loco 4022 --day 2017-11-18</v>
      </c>
      <c r="AN197" s="150" t="str">
        <f t="shared" si="109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02:21:15"},{"id":29,"name":"Sharepoint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7" t="str">
        <f t="shared" si="110"/>
        <v>https://d0f6bd738d7f1b3e5a7ca70fe4ff75f0.us-east-1.aws.found.io/app/kibana#/discover/Steve-Slow-Train-Analysis-(2080s-and-2083s)?_g=(refreshInterval:(display:Off,pause:!f,section:0,value:0),time:(from:'2017-11-18T18:09:05-0700',mode:absolute,to:'2017-11-18T20:21:15-0700'))&amp;_a=(columns:!('Message%20ID',Summary),filters:!(),index:'emp_*',interval:auto,query:(query_string:(analyze_wildcard:!t,query:'%22rtdc.l.rtdc.4022%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722</v>
      </c>
      <c r="B198" s="7">
        <v>4017</v>
      </c>
      <c r="C198" s="21" t="s">
        <v>192</v>
      </c>
      <c r="D198" s="21" t="s">
        <v>1035</v>
      </c>
      <c r="E198" s="13">
        <v>43057.153171296297</v>
      </c>
      <c r="F198" s="13">
        <v>43057.156342592592</v>
      </c>
      <c r="G198" s="7">
        <v>73</v>
      </c>
      <c r="H198" s="21" t="s">
        <v>558</v>
      </c>
      <c r="I198" s="13">
        <v>43057.161365740743</v>
      </c>
      <c r="J198" s="7">
        <v>0</v>
      </c>
      <c r="K198" s="89" t="str">
        <f t="shared" si="167"/>
        <v>4017/4018</v>
      </c>
      <c r="L198" s="184" t="str">
        <f>VLOOKUP(A198,'Trips&amp;Operators'!$C$1:$G$99911,5,FALSE)</f>
        <v>NEWELL JAMES</v>
      </c>
      <c r="M198" s="6">
        <f t="shared" si="168"/>
        <v>5.02314815093996E-3</v>
      </c>
      <c r="N198" s="7">
        <f t="shared" si="169"/>
        <v>7.2333333373535424</v>
      </c>
      <c r="O198" s="7"/>
      <c r="P198" s="7"/>
      <c r="Q198" s="22"/>
      <c r="R198" s="173"/>
      <c r="S198" s="220">
        <f t="shared" si="170"/>
        <v>1</v>
      </c>
      <c r="T198" s="173" t="str">
        <f t="shared" si="171"/>
        <v>Southbound</v>
      </c>
      <c r="U198" s="19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5" t="str">
        <f t="shared" si="100"/>
        <v>https://d0f6bd738d7f1b3e5a7ca70fe4ff75f0.us-east-1.aws.found.io/app/kibana#/discover/Steve-Slow-Train-Analysis-(2080s-and-2083s)?_g=(refreshInterval:(display:Off,pause:!f,section:0,value:0),time:(from:'2017-11-18T02:40:34-0700',mode:absolute,to:'2017-11-18T04:52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8" s="203" t="str">
        <f>IF(AA198&lt;VLOOKUP(AG198,Variables!$AC$3:$AD$8,2,FALSE),"Y","N")</f>
        <v>Y</v>
      </c>
      <c r="X198" s="203">
        <f t="shared" si="177"/>
        <v>1</v>
      </c>
      <c r="Y198" s="203">
        <f t="shared" si="172"/>
        <v>2.3464</v>
      </c>
      <c r="Z198" s="203">
        <f t="shared" si="173"/>
        <v>2.6499999999999999E-2</v>
      </c>
      <c r="AA198" s="203">
        <f t="shared" si="174"/>
        <v>2.3199000000000001</v>
      </c>
      <c r="AB198" s="54" t="e">
        <f>VLOOKUP(A198,Enforcements!$C$7:$K$9,8,0)</f>
        <v>#N/A</v>
      </c>
      <c r="AC198" s="51" t="e">
        <f>VLOOKUP(A198,Enforcements!$C$7:$E$9,3,0)</f>
        <v>#N/A</v>
      </c>
      <c r="AD198" s="178">
        <f t="shared" si="175"/>
        <v>304</v>
      </c>
      <c r="AE198" s="77" t="str">
        <f t="shared" si="103"/>
        <v>aws s3 cp s3://rtdc.mdm.uploadarchive.raw/RTDC4017/ "%USERPROFILE%\AppData\Local\Temp\OnboardLogs"\RTDC4017\2017-11-18 --exclude "*" --recursive --include "*20171118*" &amp; "%USERPROFILE%\Documents\GitHub\mrs-test-scripts\Headless Mode &amp; Sideloading\WalkAndUnGZ.bat" "%USERPROFILE%\AppData\Local\Temp\OnboardLogs"\RTDC4017\2017-11-18 &amp; aws s3 cp s3://rtdc.mdm.uploadarchive.raw/RTDC4017/ "%USERPROFILE%\AppData\Local\Temp\OnboardLogs"\RTDC4017\2017-11-19 --exclude "*" --recursive --include "*20171119*" &amp; "%USERPROFILE%\Documents\GitHub\mrs-test-scripts\Headless Mode &amp; Sideloading\WalkAndUnGZ.bat" "%USERPROFILE%\AppData\Local\Temp\OnboardLogs"\RTDC4017\2017-11-19</v>
      </c>
      <c r="AF198" s="74" t="str">
        <f t="shared" si="104"/>
        <v>"C:\Program Files (x86)\AstroGrep\AstroGrep.exe" /e /r /s /spath="%USERPROFILE%\AppData\Local\Temp\OnboardLogs" /stypes="app*4017*20171118*" /stext=" 10:.+((SYSTEM_STATE.+slice.+state.+changed )|(ment ac)|(multiple cpu faults)|(system.+state.+changed )|(\[timeout)|(PRM\|1\|D)|(kpr)|(kdp)|(train st.+moving)|(\|lc)|(penalty))"</v>
      </c>
      <c r="AG198" s="181" t="str">
        <f t="shared" si="176"/>
        <v>Other</v>
      </c>
      <c r="AH198" s="78" t="str">
        <f t="shared" si="106"/>
        <v>"%USERPROFILE%\Documents\GitHub\eaglep3\Utilities\RefineRTDCRunTimes.py" --tripid 304-18 --locoid 4017 --swversion DE.1.0.9.0 --startMP 300:23464 --initTime 2017-11-18T03:40:34 --startdatetime 2017-11-18T03:45:08 --delay 73 --endMP 204:265 --enddatetime 2017-11-18T03:52:22 --enforcementcount 0 &gt;&gt;%USERPROFILE%\Documents\GitHub\eaglep3-reporting\EC\2017-11-18-refined-times.txt</v>
      </c>
      <c r="AI198" s="96" t="str">
        <f t="shared" si="107"/>
        <v>echo {"issue":{"subject":"","project_id":79,"tracker_id":40,"status_id":1,"priority_id":2,"assigned_to_id":338,"start_date":"2017-11-18","description":"","custom_fields":[{"id":1,"name":"Subdivision","value":"Other"},{"id":4,"name":"Milepost","value":"0.0265"},{"id":17,"name":"Train ID","value":"304-18"},{"id":16,"name":"Locomotive ID","value":"4017"},{"id":130,"name":"Impact","value":""},{"id":150,"name":"Time of Event (Mountain Time)","value":"03:52:22"},{"id":151,"name":"Denver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1" t="str">
        <f t="shared" si="108"/>
        <v>start /low /b %USERPROFILE%\Documents\GitHub\eaglep3\Utilities\DownloadLogsFromS3.py --loco 4017 --day 2017-11-18</v>
      </c>
      <c r="AN198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10:52:22"},{"id":29,"name":"Sharepoint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7" t="str">
        <f t="shared" si="110"/>
        <v>https://d0f6bd738d7f1b3e5a7ca70fe4ff75f0.us-east-1.aws.found.io/app/kibana#/discover/Steve-Slow-Train-Analysis-(2080s-and-2083s)?_g=(refreshInterval:(display:Off,pause:!f,section:0,value:0),time:(from:'2017-11-18T02:40:34-0700',mode:absolute,to:'2017-11-18T04:52:22-0700'))&amp;_a=(columns:!('Message%20ID',Summary),filters:!(),index:'emp_*',interval:auto,query:(query_string:(analyze_wildcard:!t,query:'%22rtdc.l.rtdc.4017%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875</v>
      </c>
      <c r="B199" s="7">
        <v>4006</v>
      </c>
      <c r="C199" s="21" t="s">
        <v>192</v>
      </c>
      <c r="D199" s="21" t="s">
        <v>1036</v>
      </c>
      <c r="E199" s="13">
        <v>43057.818530092591</v>
      </c>
      <c r="F199" s="13">
        <v>43057.819837962961</v>
      </c>
      <c r="G199" s="7">
        <v>51</v>
      </c>
      <c r="H199" s="21" t="s">
        <v>569</v>
      </c>
      <c r="I199" s="13">
        <v>43057.828136574077</v>
      </c>
      <c r="J199" s="7">
        <v>0</v>
      </c>
      <c r="K199" s="89" t="str">
        <f t="shared" si="167"/>
        <v>4005/4006</v>
      </c>
      <c r="L199" s="184" t="str">
        <f>VLOOKUP(A199,'Trips&amp;Operators'!$C$1:$G$99911,5,FALSE)</f>
        <v>HOLCOMB KAMDEN</v>
      </c>
      <c r="M199" s="6">
        <f t="shared" si="168"/>
        <v>8.298611115606036E-3</v>
      </c>
      <c r="N199" s="7">
        <f t="shared" si="169"/>
        <v>11.950000006472692</v>
      </c>
      <c r="O199" s="7"/>
      <c r="P199" s="7"/>
      <c r="Q199" s="22"/>
      <c r="R199" s="173"/>
      <c r="S199" s="220">
        <f t="shared" si="170"/>
        <v>1</v>
      </c>
      <c r="T199" s="173" t="str">
        <f t="shared" si="171"/>
        <v>NorthBound</v>
      </c>
      <c r="U199" s="19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5" t="str">
        <f t="shared" si="100"/>
        <v>https://d0f6bd738d7f1b3e5a7ca70fe4ff75f0.us-east-1.aws.found.io/app/kibana#/discover/Steve-Slow-Train-Analysis-(2080s-and-2083s)?_g=(refreshInterval:(display:Off,pause:!f,section:0,value:0),time:(from:'2017-11-18T18:38:41-0700',mode:absolute,to:'2017-11-18T20:52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9" s="203" t="str">
        <f>IF(AA199&lt;VLOOKUP(AG199,Variables!$AC$3:$AD$8,2,FALSE),"Y","N")</f>
        <v>Y</v>
      </c>
      <c r="X199" s="203">
        <f t="shared" si="177"/>
        <v>1</v>
      </c>
      <c r="Y199" s="203">
        <f t="shared" si="172"/>
        <v>3.7699999999999997E-2</v>
      </c>
      <c r="Z199" s="203">
        <f t="shared" si="173"/>
        <v>2.3308</v>
      </c>
      <c r="AA199" s="203">
        <f t="shared" si="174"/>
        <v>2.2930999999999999</v>
      </c>
      <c r="AB199" s="54" t="e">
        <f>VLOOKUP(A199,Enforcements!$C$7:$K$9,8,0)</f>
        <v>#N/A</v>
      </c>
      <c r="AC199" s="51" t="e">
        <f>VLOOKUP(A199,Enforcements!$C$7:$E$9,3,0)</f>
        <v>#N/A</v>
      </c>
      <c r="AD199" s="178">
        <f t="shared" si="175"/>
        <v>305</v>
      </c>
      <c r="AE199" s="77" t="str">
        <f t="shared" si="103"/>
        <v>aws s3 cp s3://rtdc.mdm.uploadarchive.raw/RTDC4006/ "%USERPROFILE%\AppData\Local\Temp\OnboardLogs"\RTDC4006\2017-11-18 --exclude "*" --recursive --include "*20171118*" &amp; "%USERPROFILE%\Documents\GitHub\mrs-test-scripts\Headless Mode &amp; Sideloading\WalkAndUnGZ.bat" "%USERPROFILE%\AppData\Local\Temp\OnboardLogs"\RTDC4006\2017-11-18 &amp; aws s3 cp s3://rtdc.mdm.uploadarchive.raw/RTDC4006/ "%USERPROFILE%\AppData\Local\Temp\OnboardLogs"\RTDC4006\2017-11-19 --exclude "*" --recursive --include "*20171119*" &amp; "%USERPROFILE%\Documents\GitHub\mrs-test-scripts\Headless Mode &amp; Sideloading\WalkAndUnGZ.bat" "%USERPROFILE%\AppData\Local\Temp\OnboardLogs"\RTDC4006\2017-11-19</v>
      </c>
      <c r="AF199" s="74" t="str">
        <f t="shared" si="104"/>
        <v>"C:\Program Files (x86)\AstroGrep\AstroGrep.exe" /e /r /s /spath="%USERPROFILE%\AppData\Local\Temp\OnboardLogs" /stypes="app*4006*20171119*" /stext=" 02:.+((SYSTEM_STATE.+slice.+state.+changed )|(ment ac)|(multiple cpu faults)|(system.+state.+changed )|(\[timeout)|(PRM\|1\|D)|(kpr)|(kdp)|(train st.+moving)|(\|lc)|(penalty))"</v>
      </c>
      <c r="AG199" s="181" t="str">
        <f t="shared" si="176"/>
        <v>Other</v>
      </c>
      <c r="AH199" s="78" t="str">
        <f t="shared" si="106"/>
        <v>"%USERPROFILE%\Documents\GitHub\eaglep3\Utilities\RefineRTDCRunTimes.py" --tripid 305-18 --locoid 4006 --swversion DE.1.0.9.0 --startMP 204:377 --initTime 2017-11-18T19:38:41 --startdatetime 2017-11-18T19:40:34 --delay 51 --endMP 300:23308 --enddatetime 2017-11-18T19:52:31 --enforcementcount 0 &gt;&gt;%USERPROFILE%\Documents\GitHub\eaglep3-reporting\EC\2017-11-18-refined-times.txt</v>
      </c>
      <c r="AI199" s="96" t="str">
        <f t="shared" si="107"/>
        <v>echo {"issue":{"subject":"","project_id":79,"tracker_id":40,"status_id":1,"priority_id":2,"assigned_to_id":338,"start_date":"2017-11-18","description":"","custom_fields":[{"id":1,"name":"Subdivision","value":"Other"},{"id":4,"name":"Milepost","value":"2.3308"},{"id":17,"name":"Train ID","value":"305-18"},{"id":16,"name":"Locomotive ID","value":"4006"},{"id":130,"name":"Impact","value":""},{"id":150,"name":"Time of Event (Mountain Time)","value":"19:52:31"},{"id":151,"name":"Denver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1" t="str">
        <f t="shared" si="108"/>
        <v>start /low /b %USERPROFILE%\Documents\GitHub\eaglep3\Utilities\DownloadLogsFromS3.py --loco 4006 --day 2017-11-18</v>
      </c>
      <c r="AN199" s="150" t="str">
        <f t="shared" si="109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02:52:31"},{"id":29,"name":"Sharepoint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7" t="str">
        <f t="shared" si="110"/>
        <v>https://d0f6bd738d7f1b3e5a7ca70fe4ff75f0.us-east-1.aws.found.io/app/kibana#/discover/Steve-Slow-Train-Analysis-(2080s-and-2083s)?_g=(refreshInterval:(display:Off,pause:!f,section:0,value:0),time:(from:'2017-11-18T18:38:41-0700',mode:absolute,to:'2017-11-18T20:52:31-0700'))&amp;_a=(columns:!('Message%20ID',Summary),filters:!(),index:'emp_*',interval:auto,query:(query_string:(analyze_wildcard:!t,query:'%22rtdc.l.rtdc.4006%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725</v>
      </c>
      <c r="B200" s="7">
        <v>4023</v>
      </c>
      <c r="C200" s="21" t="s">
        <v>192</v>
      </c>
      <c r="D200" s="21" t="s">
        <v>1037</v>
      </c>
      <c r="E200" s="13">
        <v>43057.173182870371</v>
      </c>
      <c r="F200" s="13">
        <v>43057.176932870374</v>
      </c>
      <c r="G200" s="7">
        <v>74</v>
      </c>
      <c r="H200" s="21" t="s">
        <v>631</v>
      </c>
      <c r="I200" s="13">
        <v>43057.181909722225</v>
      </c>
      <c r="J200" s="7">
        <v>0</v>
      </c>
      <c r="K200" s="89" t="str">
        <f t="shared" si="167"/>
        <v>4023/4024</v>
      </c>
      <c r="L200" s="184" t="str">
        <f>VLOOKUP(A200,'Trips&amp;Operators'!$C$1:$G$99911,5,FALSE)</f>
        <v>GEBRETEKLE DAGNEW</v>
      </c>
      <c r="M200" s="6">
        <f t="shared" si="168"/>
        <v>4.9768518510973081E-3</v>
      </c>
      <c r="N200" s="7">
        <f t="shared" si="169"/>
        <v>7.1666666655801237</v>
      </c>
      <c r="O200" s="7"/>
      <c r="P200" s="7"/>
      <c r="Q200" s="22"/>
      <c r="R200" s="173"/>
      <c r="S200" s="220">
        <f t="shared" si="170"/>
        <v>1</v>
      </c>
      <c r="T200" s="173" t="str">
        <f t="shared" si="171"/>
        <v>Southbound</v>
      </c>
      <c r="U200" s="19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5" t="str">
        <f t="shared" si="100"/>
        <v>https://d0f6bd738d7f1b3e5a7ca70fe4ff75f0.us-east-1.aws.found.io/app/kibana#/discover/Steve-Slow-Train-Analysis-(2080s-and-2083s)?_g=(refreshInterval:(display:Off,pause:!f,section:0,value:0),time:(from:'2017-11-18T03:09:23-0700',mode:absolute,to:'2017-11-18T05:21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0" s="203" t="str">
        <f>IF(AA200&lt;VLOOKUP(AG200,Variables!$AC$3:$AD$8,2,FALSE),"Y","N")</f>
        <v>Y</v>
      </c>
      <c r="X200" s="203">
        <f t="shared" si="177"/>
        <v>1</v>
      </c>
      <c r="Y200" s="203">
        <f t="shared" si="172"/>
        <v>2.3610000000000002</v>
      </c>
      <c r="Z200" s="203">
        <f t="shared" si="173"/>
        <v>1.6500000000000001E-2</v>
      </c>
      <c r="AA200" s="203">
        <f t="shared" si="174"/>
        <v>2.3445</v>
      </c>
      <c r="AB200" s="54" t="e">
        <f>VLOOKUP(A200,Enforcements!$C$7:$K$9,8,0)</f>
        <v>#N/A</v>
      </c>
      <c r="AC200" s="51" t="e">
        <f>VLOOKUP(A200,Enforcements!$C$7:$E$9,3,0)</f>
        <v>#N/A</v>
      </c>
      <c r="AD200" s="178">
        <f t="shared" si="175"/>
        <v>306</v>
      </c>
      <c r="AE200" s="77" t="str">
        <f t="shared" si="103"/>
        <v>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 &amp; aws s3 cp s3://rtdc.mdm.uploadarchive.raw/RTDC4023/ "%USERPROFILE%\AppData\Local\Temp\OnboardLogs"\RTDC4023\2017-11-19 --exclude "*" --recursive --include "*20171119*" &amp; "%USERPROFILE%\Documents\GitHub\mrs-test-scripts\Headless Mode &amp; Sideloading\WalkAndUnGZ.bat" "%USERPROFILE%\AppData\Local\Temp\OnboardLogs"\RTDC4023\2017-11-19</v>
      </c>
      <c r="AF200" s="74" t="str">
        <f t="shared" si="104"/>
        <v>"C:\Program Files (x86)\AstroGrep\AstroGrep.exe" /e /r /s /spath="%USERPROFILE%\AppData\Local\Temp\OnboardLogs" /stypes="app*4023*20171118*" /stext=" 11:.+((SYSTEM_STATE.+slice.+state.+changed )|(ment ac)|(multiple cpu faults)|(system.+state.+changed )|(\[timeout)|(PRM\|1\|D)|(kpr)|(kdp)|(train st.+moving)|(\|lc)|(penalty))"</v>
      </c>
      <c r="AG200" s="181" t="str">
        <f t="shared" si="176"/>
        <v>Other</v>
      </c>
      <c r="AH200" s="78" t="str">
        <f t="shared" si="106"/>
        <v>"%USERPROFILE%\Documents\GitHub\eaglep3\Utilities\RefineRTDCRunTimes.py" --tripid 306-18 --locoid 4023 --swversion DE.1.0.9.0 --startMP 300:23610 --initTime 2017-11-18T04:09:23 --startdatetime 2017-11-18T04:14:47 --delay 74 --endMP 204:165 --enddatetime 2017-11-18T04:21:57 --enforcementcount 0 &gt;&gt;%USERPROFILE%\Documents\GitHub\eaglep3-reporting\EC\2017-11-18-refined-times.txt</v>
      </c>
      <c r="AI200" s="96" t="str">
        <f t="shared" si="107"/>
        <v>echo {"issue":{"subject":"","project_id":79,"tracker_id":40,"status_id":1,"priority_id":2,"assigned_to_id":338,"start_date":"2017-11-18","description":"","custom_fields":[{"id":1,"name":"Subdivision","value":"Other"},{"id":4,"name":"Milepost","value":"0.0165"},{"id":17,"name":"Train ID","value":"306-18"},{"id":16,"name":"Locomotive ID","value":"4023"},{"id":130,"name":"Impact","value":""},{"id":150,"name":"Time of Event (Mountain Time)","value":"04:21:57"},{"id":151,"name":"Denver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1" t="str">
        <f t="shared" si="108"/>
        <v>start /low /b %USERPROFILE%\Documents\GitHub\eaglep3\Utilities\DownloadLogsFromS3.py --loco 4023 --day 2017-11-18</v>
      </c>
      <c r="AN200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11:21:57"},{"id":29,"name":"Sharepoint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7" t="str">
        <f t="shared" si="110"/>
        <v>https://d0f6bd738d7f1b3e5a7ca70fe4ff75f0.us-east-1.aws.found.io/app/kibana#/discover/Steve-Slow-Train-Analysis-(2080s-and-2083s)?_g=(refreshInterval:(display:Off,pause:!f,section:0,value:0),time:(from:'2017-11-18T03:09:23-0700',mode:absolute,to:'2017-11-18T05:21:57-0700'))&amp;_a=(columns:!('Message%20ID',Summary),filters:!(),index:'emp_*',interval:auto,query:(query_string:(analyze_wildcard:!t,query:'%22rtdc.l.rtdc.4023%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899</v>
      </c>
      <c r="B201" s="7">
        <v>4004</v>
      </c>
      <c r="C201" s="21" t="s">
        <v>192</v>
      </c>
      <c r="D201" s="21" t="s">
        <v>444</v>
      </c>
      <c r="E201" s="13">
        <v>43058.046400462961</v>
      </c>
      <c r="F201" s="13">
        <v>43058.049328703702</v>
      </c>
      <c r="G201" s="7">
        <v>146</v>
      </c>
      <c r="H201" s="21" t="s">
        <v>1038</v>
      </c>
      <c r="I201" s="13">
        <v>43058.057268518518</v>
      </c>
      <c r="J201" s="7">
        <v>0</v>
      </c>
      <c r="K201" s="89" t="str">
        <f t="shared" si="167"/>
        <v>4003/4004</v>
      </c>
      <c r="L201" s="184" t="str">
        <f>VLOOKUP(A201,'Trips&amp;Operators'!$C$1:$G$99911,5,FALSE)</f>
        <v>FORTUNATO FRANK</v>
      </c>
      <c r="M201" s="6">
        <f t="shared" si="168"/>
        <v>7.9398148154723458E-3</v>
      </c>
      <c r="N201" s="7">
        <f t="shared" si="169"/>
        <v>11.433333334280178</v>
      </c>
      <c r="O201" s="7"/>
      <c r="P201" s="7"/>
      <c r="Q201" s="22"/>
      <c r="R201" s="173"/>
      <c r="S201" s="220">
        <f t="shared" si="170"/>
        <v>1</v>
      </c>
      <c r="T201" s="173" t="str">
        <f t="shared" si="171"/>
        <v>NorthBound</v>
      </c>
      <c r="U201" s="19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5" t="str">
        <f t="shared" si="100"/>
        <v>https://d0f6bd738d7f1b3e5a7ca70fe4ff75f0.us-east-1.aws.found.io/app/kibana#/discover/Steve-Slow-Train-Analysis-(2080s-and-2083s)?_g=(refreshInterval:(display:Off,pause:!f,section:0,value:0),time:(from:'2017-11-19T00:06:49-0700',mode:absolute,to:'2017-11-19T02:22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1" s="203" t="str">
        <f>IF(AA201&lt;VLOOKUP(AG201,Variables!$AC$3:$AD$8,2,FALSE),"Y","N")</f>
        <v>Y</v>
      </c>
      <c r="X201" s="203">
        <f t="shared" si="177"/>
        <v>1</v>
      </c>
      <c r="Y201" s="203">
        <f t="shared" si="172"/>
        <v>5.0599999999999999E-2</v>
      </c>
      <c r="Z201" s="203">
        <f t="shared" si="173"/>
        <v>2.3311999999999999</v>
      </c>
      <c r="AA201" s="203">
        <f t="shared" si="174"/>
        <v>2.2805999999999997</v>
      </c>
      <c r="AB201" s="54" t="e">
        <f>VLOOKUP(A201,Enforcements!$C$7:$K$9,8,0)</f>
        <v>#N/A</v>
      </c>
      <c r="AC201" s="51" t="e">
        <f>VLOOKUP(A201,Enforcements!$C$7:$E$9,3,0)</f>
        <v>#N/A</v>
      </c>
      <c r="AD201" s="178">
        <f t="shared" si="175"/>
        <v>307</v>
      </c>
      <c r="AE201" s="77" t="str">
        <f t="shared" si="103"/>
        <v>aws s3 cp s3://rtdc.mdm.uploadarchive.raw/RTDC4004/ "%USERPROFILE%\AppData\Local\Temp\OnboardLogs"\RTDC4004\2017-11-19 --exclude "*" --recursive --include "*20171119*" &amp; "%USERPROFILE%\Documents\GitHub\mrs-test-scripts\Headless Mode &amp; Sideloading\WalkAndUnGZ.bat" "%USERPROFILE%\AppData\Local\Temp\OnboardLogs"\RTDC4004\2017-11-19 &amp; aws s3 cp s3://rtdc.mdm.uploadarchive.raw/RTDC4004/ "%USERPROFILE%\AppData\Local\Temp\OnboardLogs"\RTDC4004\2017-11-20 --exclude "*" --recursive --include "*20171120*" &amp; "%USERPROFILE%\Documents\GitHub\mrs-test-scripts\Headless Mode &amp; Sideloading\WalkAndUnGZ.bat" "%USERPROFILE%\AppData\Local\Temp\OnboardLogs"\RTDC4004\2017-11-20</v>
      </c>
      <c r="AF201" s="74" t="str">
        <f t="shared" si="104"/>
        <v>"C:\Program Files (x86)\AstroGrep\AstroGrep.exe" /e /r /s /spath="%USERPROFILE%\AppData\Local\Temp\OnboardLogs" /stypes="app*4004*20171119*" /stext=" 08:.+((SYSTEM_STATE.+slice.+state.+changed )|(ment ac)|(multiple cpu faults)|(system.+state.+changed )|(\[timeout)|(PRM\|1\|D)|(kpr)|(kdp)|(train st.+moving)|(\|lc)|(penalty))"</v>
      </c>
      <c r="AG201" s="181" t="str">
        <f t="shared" si="176"/>
        <v>Other</v>
      </c>
      <c r="AH201" s="78" t="str">
        <f t="shared" si="106"/>
        <v>"%USERPROFILE%\Documents\GitHub\eaglep3\Utilities\RefineRTDCRunTimes.py" --tripid 307-18 --locoid 4004 --swversion DE.1.0.9.0 --startMP 204:506 --initTime 2017-11-19T01:06:49 --startdatetime 2017-11-19T01:11:02 --delay 146 --endMP 300:23312 --enddatetime 2017-11-19T01:22:28 --enforcementcount 0 &gt;&gt;%USERPROFILE%\Documents\GitHub\eaglep3-reporting\EC\2017-11-18-refined-times.txt</v>
      </c>
      <c r="AI201" s="96" t="str">
        <f t="shared" si="107"/>
        <v>echo {"issue":{"subject":"","project_id":79,"tracker_id":40,"status_id":1,"priority_id":2,"assigned_to_id":338,"start_date":"2017-11-19","description":"","custom_fields":[{"id":1,"name":"Subdivision","value":"Other"},{"id":4,"name":"Milepost","value":"2.3312"},{"id":17,"name":"Train ID","value":"307-18"},{"id":16,"name":"Locomotive ID","value":"4004"},{"id":130,"name":"Impact","value":""},{"id":150,"name":"Time of Event (Mountain Time)","value":"01:22:28"},{"id":151,"name":"Denver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1" t="str">
        <f t="shared" si="108"/>
        <v>start /low /b %USERPROFILE%\Documents\GitHub\eaglep3\Utilities\DownloadLogsFromS3.py --loco 4004 --day 2017-11-19</v>
      </c>
      <c r="AN201" s="150" t="str">
        <f t="shared" si="109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08:22:28"},{"id":29,"name":"Sharepoint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7" t="str">
        <f t="shared" si="110"/>
        <v>https://d0f6bd738d7f1b3e5a7ca70fe4ff75f0.us-east-1.aws.found.io/app/kibana#/discover/Steve-Slow-Train-Analysis-(2080s-and-2083s)?_g=(refreshInterval:(display:Off,pause:!f,section:0,value:0),time:(from:'2017-11-19T00:06:49-0700',mode:absolute,to:'2017-11-19T02:22:28-0700'))&amp;_a=(columns:!('Message%20ID',Summary),filters:!(),index:'emp_*',interval:auto,query:(query_string:(analyze_wildcard:!t,query:'%22rtdc.l.rtdc.4004%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726</v>
      </c>
      <c r="B202" s="7">
        <v>4025</v>
      </c>
      <c r="C202" s="21" t="s">
        <v>192</v>
      </c>
      <c r="D202" s="21" t="s">
        <v>1039</v>
      </c>
      <c r="E202" s="13">
        <v>43057.183229166665</v>
      </c>
      <c r="F202" s="13">
        <v>43057.187037037038</v>
      </c>
      <c r="G202" s="7">
        <v>85</v>
      </c>
      <c r="H202" s="21" t="s">
        <v>1040</v>
      </c>
      <c r="I202" s="13">
        <v>43057.192997685182</v>
      </c>
      <c r="J202" s="7">
        <v>0</v>
      </c>
      <c r="K202" s="89" t="str">
        <f t="shared" si="167"/>
        <v>4025/4026</v>
      </c>
      <c r="L202" s="184" t="str">
        <f>VLOOKUP(A202,'Trips&amp;Operators'!$C$1:$G$99911,5,FALSE)</f>
        <v>BARRON PERLA</v>
      </c>
      <c r="M202" s="6">
        <f t="shared" si="168"/>
        <v>5.9606481445371173E-3</v>
      </c>
      <c r="N202" s="7">
        <f t="shared" si="169"/>
        <v>8.583333328133449</v>
      </c>
      <c r="O202" s="7"/>
      <c r="P202" s="7"/>
      <c r="Q202" s="22"/>
      <c r="R202" s="173"/>
      <c r="S202" s="220">
        <f t="shared" si="170"/>
        <v>1</v>
      </c>
      <c r="T202" s="173" t="str">
        <f t="shared" si="171"/>
        <v>Southbound</v>
      </c>
      <c r="U202" s="19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5" t="str">
        <f t="shared" si="100"/>
        <v>https://d0f6bd738d7f1b3e5a7ca70fe4ff75f0.us-east-1.aws.found.io/app/kibana#/discover/Steve-Slow-Train-Analysis-(2080s-and-2083s)?_g=(refreshInterval:(display:Off,pause:!f,section:0,value:0),time:(from:'2017-11-18T03:23:51-0700',mode:absolute,to:'2017-11-18T05:37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2" s="203" t="str">
        <f>IF(AA202&lt;VLOOKUP(AG202,Variables!$AC$3:$AD$8,2,FALSE),"Y","N")</f>
        <v>Y</v>
      </c>
      <c r="X202" s="203">
        <f t="shared" si="177"/>
        <v>1</v>
      </c>
      <c r="Y202" s="203">
        <f t="shared" si="172"/>
        <v>2.3569</v>
      </c>
      <c r="Z202" s="203">
        <f t="shared" si="173"/>
        <v>2.3800000000000002E-2</v>
      </c>
      <c r="AA202" s="203">
        <f t="shared" si="174"/>
        <v>2.3331</v>
      </c>
      <c r="AB202" s="54" t="e">
        <f>VLOOKUP(A202,Enforcements!$C$7:$K$9,8,0)</f>
        <v>#N/A</v>
      </c>
      <c r="AC202" s="51" t="e">
        <f>VLOOKUP(A202,Enforcements!$C$7:$E$9,3,0)</f>
        <v>#N/A</v>
      </c>
      <c r="AD202" s="178">
        <f t="shared" si="175"/>
        <v>308</v>
      </c>
      <c r="AE202" s="77" t="str">
        <f t="shared" si="103"/>
        <v>aws s3 cp s3://rtdc.mdm.uploadarchive.raw/RTDC4025/ "%USERPROFILE%\AppData\Local\Temp\OnboardLogs"\RTDC4025\2017-11-18 --exclude "*" --recursive --include "*20171118*" &amp; "%USERPROFILE%\Documents\GitHub\mrs-test-scripts\Headless Mode &amp; Sideloading\WalkAndUnGZ.bat" "%USERPROFILE%\AppData\Local\Temp\OnboardLogs"\RTDC4025\2017-11-18 &amp; aws s3 cp s3://rtdc.mdm.uploadarchive.raw/RTDC4025/ "%USERPROFILE%\AppData\Local\Temp\OnboardLogs"\RTDC4025\2017-11-19 --exclude "*" --recursive --include "*20171119*" &amp; "%USERPROFILE%\Documents\GitHub\mrs-test-scripts\Headless Mode &amp; Sideloading\WalkAndUnGZ.bat" "%USERPROFILE%\AppData\Local\Temp\OnboardLogs"\RTDC4025\2017-11-19</v>
      </c>
      <c r="AF202" s="74" t="str">
        <f t="shared" si="104"/>
        <v>"C:\Program Files (x86)\AstroGrep\AstroGrep.exe" /e /r /s /spath="%USERPROFILE%\AppData\Local\Temp\OnboardLogs" /stypes="app*4025*20171118*" /stext=" 11:.+((SYSTEM_STATE.+slice.+state.+changed )|(ment ac)|(multiple cpu faults)|(system.+state.+changed )|(\[timeout)|(PRM\|1\|D)|(kpr)|(kdp)|(train st.+moving)|(\|lc)|(penalty))"</v>
      </c>
      <c r="AG202" s="181" t="str">
        <f t="shared" si="176"/>
        <v>Other</v>
      </c>
      <c r="AH202" s="78" t="str">
        <f t="shared" si="106"/>
        <v>"%USERPROFILE%\Documents\GitHub\eaglep3\Utilities\RefineRTDCRunTimes.py" --tripid 308-18 --locoid 4025 --swversion DE.1.0.9.0 --startMP 300:23569 --initTime 2017-11-18T04:23:51 --startdatetime 2017-11-18T04:29:20 --delay 85 --endMP 204:238 --enddatetime 2017-11-18T04:37:55 --enforcementcount 0 &gt;&gt;%USERPROFILE%\Documents\GitHub\eaglep3-reporting\EC\2017-11-18-refined-times.txt</v>
      </c>
      <c r="AI202" s="96" t="str">
        <f t="shared" si="107"/>
        <v>echo {"issue":{"subject":"","project_id":79,"tracker_id":40,"status_id":1,"priority_id":2,"assigned_to_id":338,"start_date":"2017-11-18","description":"","custom_fields":[{"id":1,"name":"Subdivision","value":"Other"},{"id":4,"name":"Milepost","value":"0.0238"},{"id":17,"name":"Train ID","value":"308-18"},{"id":16,"name":"Locomotive ID","value":"4025"},{"id":130,"name":"Impact","value":""},{"id":150,"name":"Time of Event (Mountain Time)","value":"04:37:55"},{"id":151,"name":"Denver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1" t="str">
        <f t="shared" si="108"/>
        <v>start /low /b %USERPROFILE%\Documents\GitHub\eaglep3\Utilities\DownloadLogsFromS3.py --loco 4025 --day 2017-11-18</v>
      </c>
      <c r="AN202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11:37:55"},{"id":29,"name":"Sharepoint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7" t="str">
        <f t="shared" si="110"/>
        <v>https://d0f6bd738d7f1b3e5a7ca70fe4ff75f0.us-east-1.aws.found.io/app/kibana#/discover/Steve-Slow-Train-Analysis-(2080s-and-2083s)?_g=(refreshInterval:(display:Off,pause:!f,section:0,value:0),time:(from:'2017-11-18T03:23:51-0700',mode:absolute,to:'2017-11-18T05:37:55-0700'))&amp;_a=(columns:!('Message%20ID',Summary),filters:!(),index:'emp_*',interval:auto,query:(query_string:(analyze_wildcard:!t,query:'%22rtdc.l.rtdc.4025%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901</v>
      </c>
      <c r="B203" s="7">
        <v>4018</v>
      </c>
      <c r="C203" s="21" t="s">
        <v>192</v>
      </c>
      <c r="D203" s="21" t="s">
        <v>945</v>
      </c>
      <c r="E203" s="13">
        <v>43058.065787037034</v>
      </c>
      <c r="F203" s="13">
        <v>43058.067442129628</v>
      </c>
      <c r="G203" s="7">
        <v>51</v>
      </c>
      <c r="H203" s="21" t="s">
        <v>491</v>
      </c>
      <c r="I203" s="13">
        <v>43058.075925925928</v>
      </c>
      <c r="J203" s="7">
        <v>0</v>
      </c>
      <c r="K203" s="89" t="str">
        <f t="shared" si="167"/>
        <v>4017/4018</v>
      </c>
      <c r="L203" s="184" t="str">
        <f>VLOOKUP(A203,'Trips&amp;Operators'!$C$1:$G$99911,5,FALSE)</f>
        <v>ELBAUM MIKE</v>
      </c>
      <c r="M203" s="6">
        <f t="shared" si="168"/>
        <v>8.4837963004247285E-3</v>
      </c>
      <c r="N203" s="7">
        <f t="shared" si="169"/>
        <v>12.216666672611609</v>
      </c>
      <c r="O203" s="7"/>
      <c r="P203" s="7"/>
      <c r="Q203" s="22"/>
      <c r="R203" s="173"/>
      <c r="S203" s="220">
        <f t="shared" si="170"/>
        <v>1</v>
      </c>
      <c r="T203" s="173" t="str">
        <f t="shared" si="171"/>
        <v>NorthBound</v>
      </c>
      <c r="U203" s="19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5" t="str">
        <f t="shared" si="100"/>
        <v>https://d0f6bd738d7f1b3e5a7ca70fe4ff75f0.us-east-1.aws.found.io/app/kibana#/discover/Steve-Slow-Train-Analysis-(2080s-and-2083s)?_g=(refreshInterval:(display:Off,pause:!f,section:0,value:0),time:(from:'2017-11-19T00:34:44-0700',mode:absolute,to:'2017-11-19T02:49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3" s="203" t="str">
        <f>IF(AA203&lt;VLOOKUP(AG203,Variables!$AC$3:$AD$8,2,FALSE),"Y","N")</f>
        <v>Y</v>
      </c>
      <c r="X203" s="203">
        <f t="shared" si="177"/>
        <v>1</v>
      </c>
      <c r="Y203" s="203">
        <f t="shared" si="172"/>
        <v>5.8200000000000002E-2</v>
      </c>
      <c r="Z203" s="203">
        <f t="shared" si="173"/>
        <v>2.3304</v>
      </c>
      <c r="AA203" s="203">
        <f t="shared" si="174"/>
        <v>2.2722000000000002</v>
      </c>
      <c r="AB203" s="54" t="e">
        <f>VLOOKUP(A203,Enforcements!$C$7:$K$9,8,0)</f>
        <v>#N/A</v>
      </c>
      <c r="AC203" s="51" t="e">
        <f>VLOOKUP(A203,Enforcements!$C$7:$E$9,3,0)</f>
        <v>#N/A</v>
      </c>
      <c r="AD203" s="178">
        <f t="shared" si="175"/>
        <v>309</v>
      </c>
      <c r="AE203" s="77" t="str">
        <f t="shared" si="103"/>
        <v>aws s3 cp s3://rtdc.mdm.uploadarchive.raw/RTDC4018/ "%USERPROFILE%\AppData\Local\Temp\OnboardLogs"\RTDC4018\2017-11-19 --exclude "*" --recursive --include "*20171119*" &amp; "%USERPROFILE%\Documents\GitHub\mrs-test-scripts\Headless Mode &amp; Sideloading\WalkAndUnGZ.bat" "%USERPROFILE%\AppData\Local\Temp\OnboardLogs"\RTDC4018\2017-11-19 &amp; aws s3 cp s3://rtdc.mdm.uploadarchive.raw/RTDC4018/ "%USERPROFILE%\AppData\Local\Temp\OnboardLogs"\RTDC4018\2017-11-20 --exclude "*" --recursive --include "*20171120*" &amp; "%USERPROFILE%\Documents\GitHub\mrs-test-scripts\Headless Mode &amp; Sideloading\WalkAndUnGZ.bat" "%USERPROFILE%\AppData\Local\Temp\OnboardLogs"\RTDC4018\2017-11-20</v>
      </c>
      <c r="AF203" s="74" t="str">
        <f t="shared" si="104"/>
        <v>"C:\Program Files (x86)\AstroGrep\AstroGrep.exe" /e /r /s /spath="%USERPROFILE%\AppData\Local\Temp\OnboardLogs" /stypes="app*4018*20171119*" /stext=" 08:.+((SYSTEM_STATE.+slice.+state.+changed )|(ment ac)|(multiple cpu faults)|(system.+state.+changed )|(\[timeout)|(PRM\|1\|D)|(kpr)|(kdp)|(train st.+moving)|(\|lc)|(penalty))"</v>
      </c>
      <c r="AG203" s="181" t="str">
        <f t="shared" si="176"/>
        <v>Other</v>
      </c>
      <c r="AH203" s="78" t="str">
        <f t="shared" si="106"/>
        <v>"%USERPROFILE%\Documents\GitHub\eaglep3\Utilities\RefineRTDCRunTimes.py" --tripid 309-18 --locoid 4018 --swversion DE.1.0.9.0 --startMP 204:582 --initTime 2017-11-19T01:34:44 --startdatetime 2017-11-19T01:37:07 --delay 51 --endMP 300:23304 --enddatetime 2017-11-19T01:49:20 --enforcementcount 0 &gt;&gt;%USERPROFILE%\Documents\GitHub\eaglep3-reporting\EC\2017-11-18-refined-times.txt</v>
      </c>
      <c r="AI203" s="96" t="str">
        <f t="shared" si="107"/>
        <v>echo {"issue":{"subject":"","project_id":79,"tracker_id":40,"status_id":1,"priority_id":2,"assigned_to_id":338,"start_date":"2017-11-19","description":"","custom_fields":[{"id":1,"name":"Subdivision","value":"Other"},{"id":4,"name":"Milepost","value":"2.3304"},{"id":17,"name":"Train ID","value":"309-18"},{"id":16,"name":"Locomotive ID","value":"4018"},{"id":130,"name":"Impact","value":""},{"id":150,"name":"Time of Event (Mountain Time)","value":"01:49:20"},{"id":151,"name":"Denver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1" t="str">
        <f t="shared" si="108"/>
        <v>start /low /b %USERPROFILE%\Documents\GitHub\eaglep3\Utilities\DownloadLogsFromS3.py --loco 4018 --day 2017-11-19</v>
      </c>
      <c r="AN203" s="150" t="str">
        <f t="shared" si="109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08:49:20"},{"id":29,"name":"Sharepoint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7" t="str">
        <f t="shared" si="110"/>
        <v>https://d0f6bd738d7f1b3e5a7ca70fe4ff75f0.us-east-1.aws.found.io/app/kibana#/discover/Steve-Slow-Train-Analysis-(2080s-and-2083s)?_g=(refreshInterval:(display:Off,pause:!f,section:0,value:0),time:(from:'2017-11-19T00:34:44-0700',mode:absolute,to:'2017-11-19T02:49:20-0700'))&amp;_a=(columns:!('Message%20ID',Summary),filters:!(),index:'emp_*',interval:auto,query:(query_string:(analyze_wildcard:!t,query:'%22rtdc.l.rtdc.4018%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732</v>
      </c>
      <c r="B204" s="7">
        <v>4021</v>
      </c>
      <c r="C204" s="21" t="s">
        <v>192</v>
      </c>
      <c r="D204" s="21" t="s">
        <v>1041</v>
      </c>
      <c r="E204" s="13">
        <v>43057.200104166666</v>
      </c>
      <c r="F204" s="13">
        <v>43057.202511574076</v>
      </c>
      <c r="G204" s="7">
        <v>67</v>
      </c>
      <c r="H204" s="21" t="s">
        <v>1042</v>
      </c>
      <c r="I204" s="13">
        <v>43057.20815972222</v>
      </c>
      <c r="J204" s="7">
        <v>0</v>
      </c>
      <c r="K204" s="89" t="str">
        <f t="shared" si="167"/>
        <v>4021/4022</v>
      </c>
      <c r="L204" s="184" t="str">
        <f>VLOOKUP(A204,'Trips&amp;Operators'!$C$1:$G$99911,5,FALSE)</f>
        <v>MACDONALD THOMAS</v>
      </c>
      <c r="M204" s="6">
        <f t="shared" si="168"/>
        <v>5.648148144246079E-3</v>
      </c>
      <c r="N204" s="7">
        <f t="shared" si="169"/>
        <v>8.1333333277143538</v>
      </c>
      <c r="O204" s="7"/>
      <c r="P204" s="7"/>
      <c r="Q204" s="22"/>
      <c r="R204" s="173"/>
      <c r="S204" s="220">
        <f t="shared" si="170"/>
        <v>1</v>
      </c>
      <c r="T204" s="173" t="str">
        <f t="shared" si="171"/>
        <v>Southbound</v>
      </c>
      <c r="U204" s="19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5" t="str">
        <f t="shared" si="100"/>
        <v>https://d0f6bd738d7f1b3e5a7ca70fe4ff75f0.us-east-1.aws.found.io/app/kibana#/discover/Steve-Slow-Train-Analysis-(2080s-and-2083s)?_g=(refreshInterval:(display:Off,pause:!f,section:0,value:0),time:(from:'2017-11-18T03:48:09-0700',mode:absolute,to:'2017-11-18T05:59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4" s="203" t="str">
        <f>IF(AA204&lt;VLOOKUP(AG204,Variables!$AC$3:$AD$8,2,FALSE),"Y","N")</f>
        <v>Y</v>
      </c>
      <c r="X204" s="203">
        <f t="shared" si="177"/>
        <v>1</v>
      </c>
      <c r="Y204" s="203">
        <f t="shared" si="172"/>
        <v>2.3690000000000002</v>
      </c>
      <c r="Z204" s="203">
        <f t="shared" si="173"/>
        <v>2.7300000000000001E-2</v>
      </c>
      <c r="AA204" s="203">
        <f t="shared" si="174"/>
        <v>2.3417000000000003</v>
      </c>
      <c r="AB204" s="54" t="e">
        <f>VLOOKUP(A204,Enforcements!$C$7:$K$9,8,0)</f>
        <v>#N/A</v>
      </c>
      <c r="AC204" s="51" t="e">
        <f>VLOOKUP(A204,Enforcements!$C$7:$E$9,3,0)</f>
        <v>#N/A</v>
      </c>
      <c r="AD204" s="178">
        <f t="shared" si="175"/>
        <v>310</v>
      </c>
      <c r="AE204" s="77" t="str">
        <f t="shared" si="103"/>
        <v>aws s3 cp s3://rtdc.mdm.uploadarchive.raw/RTDC4021/ "%USERPROFILE%\AppData\Local\Temp\OnboardLogs"\RTDC4021\2017-11-18 --exclude "*" --recursive --include "*20171118*" &amp; "%USERPROFILE%\Documents\GitHub\mrs-test-scripts\Headless Mode &amp; Sideloading\WalkAndUnGZ.bat" "%USERPROFILE%\AppData\Local\Temp\OnboardLogs"\RTDC4021\2017-11-18 &amp; aws s3 cp s3://rtdc.mdm.uploadarchive.raw/RTDC4021/ "%USERPROFILE%\AppData\Local\Temp\OnboardLogs"\RTDC4021\2017-11-19 --exclude "*" --recursive --include "*20171119*" &amp; "%USERPROFILE%\Documents\GitHub\mrs-test-scripts\Headless Mode &amp; Sideloading\WalkAndUnGZ.bat" "%USERPROFILE%\AppData\Local\Temp\OnboardLogs"\RTDC4021\2017-11-19</v>
      </c>
      <c r="AF204" s="74" t="str">
        <f t="shared" si="104"/>
        <v>"C:\Program Files (x86)\AstroGrep\AstroGrep.exe" /e /r /s /spath="%USERPROFILE%\AppData\Local\Temp\OnboardLogs" /stypes="app*4021*20171118*" /stext=" 11:.+((SYSTEM_STATE.+slice.+state.+changed )|(ment ac)|(multiple cpu faults)|(system.+state.+changed )|(\[timeout)|(PRM\|1\|D)|(kpr)|(kdp)|(train st.+moving)|(\|lc)|(penalty))"</v>
      </c>
      <c r="AG204" s="181" t="str">
        <f t="shared" si="176"/>
        <v>Other</v>
      </c>
      <c r="AH204" s="78" t="str">
        <f t="shared" si="106"/>
        <v>"%USERPROFILE%\Documents\GitHub\eaglep3\Utilities\RefineRTDCRunTimes.py" --tripid 310-18 --locoid 4021 --swversion DE.1.0.9.0 --startMP 300:23690 --initTime 2017-11-18T04:48:09 --startdatetime 2017-11-18T04:51:37 --delay 67 --endMP 204:273 --enddatetime 2017-11-18T04:59:45 --enforcementcount 0 &gt;&gt;%USERPROFILE%\Documents\GitHub\eaglep3-reporting\EC\2017-11-18-refined-times.txt</v>
      </c>
      <c r="AI204" s="96" t="str">
        <f t="shared" si="107"/>
        <v>echo {"issue":{"subject":"","project_id":79,"tracker_id":40,"status_id":1,"priority_id":2,"assigned_to_id":338,"start_date":"2017-11-18","description":"","custom_fields":[{"id":1,"name":"Subdivision","value":"Other"},{"id":4,"name":"Milepost","value":"0.0273"},{"id":17,"name":"Train ID","value":"310-18"},{"id":16,"name":"Locomotive ID","value":"4021"},{"id":130,"name":"Impact","value":""},{"id":150,"name":"Time of Event (Mountain Time)","value":"04:59:45"},{"id":151,"name":"Denver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1" t="str">
        <f t="shared" si="108"/>
        <v>start /low /b %USERPROFILE%\Documents\GitHub\eaglep3\Utilities\DownloadLogsFromS3.py --loco 4021 --day 2017-11-18</v>
      </c>
      <c r="AN204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11:59:45"},{"id":29,"name":"Sharepoint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7" t="str">
        <f t="shared" si="110"/>
        <v>https://d0f6bd738d7f1b3e5a7ca70fe4ff75f0.us-east-1.aws.found.io/app/kibana#/discover/Steve-Slow-Train-Analysis-(2080s-and-2083s)?_g=(refreshInterval:(display:Off,pause:!f,section:0,value:0),time:(from:'2017-11-18T03:48:09-0700',mode:absolute,to:'2017-11-18T05:59:45-0700'))&amp;_a=(columns:!('Message%20ID',Summary),filters:!(),index:'emp_*',interval:auto,query:(query_string:(analyze_wildcard:!t,query:'%22rtdc.l.rtdc.4021%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903</v>
      </c>
      <c r="B205" s="7">
        <v>4024</v>
      </c>
      <c r="C205" s="21" t="s">
        <v>192</v>
      </c>
      <c r="D205" s="21" t="s">
        <v>639</v>
      </c>
      <c r="E205" s="13">
        <v>43058.091331018521</v>
      </c>
      <c r="F205" s="13">
        <v>43058.093657407408</v>
      </c>
      <c r="G205" s="7">
        <v>100</v>
      </c>
      <c r="H205" s="21" t="s">
        <v>1043</v>
      </c>
      <c r="I205" s="13">
        <v>43058.103819444441</v>
      </c>
      <c r="J205" s="7">
        <v>0</v>
      </c>
      <c r="K205" s="89" t="str">
        <f t="shared" si="167"/>
        <v>4023/4024</v>
      </c>
      <c r="L205" s="184" t="str">
        <f>VLOOKUP(A205,'Trips&amp;Operators'!$C$1:$G$99911,5,FALSE)</f>
        <v>NICHOLSON WESLEY</v>
      </c>
      <c r="M205" s="6">
        <f t="shared" si="168"/>
        <v>1.0162037033296656E-2</v>
      </c>
      <c r="N205" s="7">
        <f t="shared" si="169"/>
        <v>14.633333327947184</v>
      </c>
      <c r="O205" s="7"/>
      <c r="P205" s="7"/>
      <c r="Q205" s="22"/>
      <c r="R205" s="173"/>
      <c r="S205" s="220">
        <f t="shared" si="170"/>
        <v>1</v>
      </c>
      <c r="T205" s="173" t="str">
        <f t="shared" si="171"/>
        <v>NorthBound</v>
      </c>
      <c r="U205" s="19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5" t="str">
        <f t="shared" ref="V205:V213" si="17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-19T01:11:31-0700',mode:absolute,to:'2017-11-19T03:29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5" s="203" t="str">
        <f>IF(AA205&lt;VLOOKUP(AG205,Variables!$AC$3:$AD$8,2,FALSE),"Y","N")</f>
        <v>Y</v>
      </c>
      <c r="X205" s="203">
        <f t="shared" si="177"/>
        <v>1</v>
      </c>
      <c r="Y205" s="203">
        <f t="shared" si="172"/>
        <v>4.9500000000000002E-2</v>
      </c>
      <c r="Z205" s="203">
        <f t="shared" si="173"/>
        <v>2.3298999999999999</v>
      </c>
      <c r="AA205" s="203">
        <f t="shared" si="174"/>
        <v>2.2803999999999998</v>
      </c>
      <c r="AB205" s="54" t="e">
        <f>VLOOKUP(A205,Enforcements!$C$7:$K$9,8,0)</f>
        <v>#N/A</v>
      </c>
      <c r="AC205" s="51" t="e">
        <f>VLOOKUP(A205,Enforcements!$C$7:$E$9,3,0)</f>
        <v>#N/A</v>
      </c>
      <c r="AD205" s="178">
        <f t="shared" si="175"/>
        <v>311</v>
      </c>
      <c r="AE205" s="77" t="str">
        <f t="shared" ref="AE205:AE213" si="17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s3://rtdc.mdm.uploadarchive.raw/RTDC4024/ "%USERPROFILE%\AppData\Local\Temp\OnboardLogs"\RTDC4024\2017-11-19 --exclude "*" --recursive --include "*20171119*" &amp; "%USERPROFILE%\Documents\GitHub\mrs-test-scripts\Headless Mode &amp; Sideloading\WalkAndUnGZ.bat" "%USERPROFILE%\AppData\Local\Temp\OnboardLogs"\RTDC4024\2017-11-19 &amp; aws s3 cp s3://rtdc.mdm.uploadarchive.raw/RTDC4024/ "%USERPROFILE%\AppData\Local\Temp\OnboardLogs"\RTDC4024\2017-11-20 --exclude "*" --recursive --include "*20171120*" &amp; "%USERPROFILE%\Documents\GitHub\mrs-test-scripts\Headless Mode &amp; Sideloading\WalkAndUnGZ.bat" "%USERPROFILE%\AppData\Local\Temp\OnboardLogs"\RTDC4024\2017-11-20</v>
      </c>
      <c r="AF205" s="74" t="str">
        <f t="shared" ref="AF205:AF213" si="180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/stypes="app*4024*20171119*" /stext=" 09:.+((SYSTEM_STATE.+slice.+state.+changed )|(ment ac)|(multiple cpu faults)|(system.+state.+changed )|(\[timeout)|(PRM\|1\|D)|(kpr)|(kdp)|(train st.+moving)|(\|lc)|(penalty))"</v>
      </c>
      <c r="AG205" s="181" t="str">
        <f t="shared" si="176"/>
        <v>Other</v>
      </c>
      <c r="AH205" s="78" t="str">
        <f t="shared" si="106"/>
        <v>"%USERPROFILE%\Documents\GitHub\eaglep3\Utilities\RefineRTDCRunTimes.py" --tripid 311-18 --locoid 4024 --swversion DE.1.0.9.0 --startMP 204:495 --initTime 2017-11-19T02:11:31 --startdatetime 2017-11-19T02:14:52 --delay 100 --endMP 300:23299 --enddatetime 2017-11-19T02:29:30 --enforcementcount 0 &gt;&gt;%USERPROFILE%\Documents\GitHub\eaglep3-reporting\EC\2017-11-18-refined-times.txt</v>
      </c>
      <c r="AI205" s="96" t="str">
        <f t="shared" si="107"/>
        <v>echo {"issue":{"subject":"","project_id":79,"tracker_id":40,"status_id":1,"priority_id":2,"assigned_to_id":338,"start_date":"2017-11-19","description":"","custom_fields":[{"id":1,"name":"Subdivision","value":"Other"},{"id":4,"name":"Milepost","value":"2.3299"},{"id":17,"name":"Train ID","value":"311-18"},{"id":16,"name":"Locomotive ID","value":"4024"},{"id":130,"name":"Impact","value":""},{"id":150,"name":"Time of Event (Mountain Time)","value":"02:29:30"},{"id":151,"name":"Denver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1" t="str">
        <f t="shared" si="108"/>
        <v>start /low /b %USERPROFILE%\Documents\GitHub\eaglep3\Utilities\DownloadLogsFromS3.py --loco 4024 --day 2017-11-19</v>
      </c>
      <c r="AN205" s="150" t="str">
        <f t="shared" si="109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09:29:30"},{"id":29,"name":"Sharepoint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7" t="str">
        <f t="shared" si="110"/>
        <v>https://d0f6bd738d7f1b3e5a7ca70fe4ff75f0.us-east-1.aws.found.io/app/kibana#/discover/Steve-Slow-Train-Analysis-(2080s-and-2083s)?_g=(refreshInterval:(display:Off,pause:!f,section:0,value:0),time:(from:'2017-11-19T01:11:31-0700',mode:absolute,to:'2017-11-19T03:29:30-0700'))&amp;_a=(columns:!('Message%20ID',Summary),filters:!(),index:'emp_*',interval:auto,query:(query_string:(analyze_wildcard:!t,query:'%22rtdc.l.rtdc.4024%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738</v>
      </c>
      <c r="B206" s="7">
        <v>4005</v>
      </c>
      <c r="C206" s="21" t="s">
        <v>192</v>
      </c>
      <c r="D206" s="21" t="s">
        <v>1044</v>
      </c>
      <c r="E206" s="13">
        <v>43057.214571759258</v>
      </c>
      <c r="F206" s="13">
        <v>43057.220324074071</v>
      </c>
      <c r="G206" s="7">
        <v>127</v>
      </c>
      <c r="H206" s="21" t="s">
        <v>510</v>
      </c>
      <c r="I206" s="13">
        <v>43057.226863425924</v>
      </c>
      <c r="J206" s="7">
        <v>0</v>
      </c>
      <c r="K206" s="89" t="str">
        <f t="shared" si="167"/>
        <v>4005/4006</v>
      </c>
      <c r="L206" s="184" t="str">
        <f>VLOOKUP(A206,'Trips&amp;Operators'!$C$1:$G$99911,5,FALSE)</f>
        <v>WILLIAMS DONTE</v>
      </c>
      <c r="M206" s="6">
        <f t="shared" si="168"/>
        <v>6.5393518525524996E-3</v>
      </c>
      <c r="N206" s="7">
        <f t="shared" si="169"/>
        <v>9.4166666676755995</v>
      </c>
      <c r="O206" s="7"/>
      <c r="P206" s="7"/>
      <c r="Q206" s="22"/>
      <c r="R206" s="173"/>
      <c r="S206" s="220">
        <f t="shared" si="170"/>
        <v>1</v>
      </c>
      <c r="T206" s="173" t="str">
        <f t="shared" si="171"/>
        <v>Southbound</v>
      </c>
      <c r="U206" s="19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5" t="str">
        <f t="shared" si="178"/>
        <v>https://d0f6bd738d7f1b3e5a7ca70fe4ff75f0.us-east-1.aws.found.io/app/kibana#/discover/Steve-Slow-Train-Analysis-(2080s-and-2083s)?_g=(refreshInterval:(display:Off,pause:!f,section:0,value:0),time:(from:'2017-11-18T04:08:59-0700',mode:absolute,to:'2017-11-18T06:26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6" s="203" t="str">
        <f>IF(AA206&lt;VLOOKUP(AG206,Variables!$AC$3:$AD$8,2,FALSE),"Y","N")</f>
        <v>Y</v>
      </c>
      <c r="X206" s="203">
        <f t="shared" si="177"/>
        <v>1</v>
      </c>
      <c r="Y206" s="203">
        <f t="shared" si="172"/>
        <v>2.2991000000000001</v>
      </c>
      <c r="Z206" s="203">
        <f t="shared" si="173"/>
        <v>1.9599999999999999E-2</v>
      </c>
      <c r="AA206" s="203">
        <f t="shared" si="174"/>
        <v>2.2795000000000001</v>
      </c>
      <c r="AB206" s="54" t="e">
        <f>VLOOKUP(A206,Enforcements!$C$7:$K$9,8,0)</f>
        <v>#N/A</v>
      </c>
      <c r="AC206" s="51" t="e">
        <f>VLOOKUP(A206,Enforcements!$C$7:$E$9,3,0)</f>
        <v>#N/A</v>
      </c>
      <c r="AD206" s="178">
        <f t="shared" si="175"/>
        <v>312</v>
      </c>
      <c r="AE206" s="77" t="str">
        <f t="shared" si="179"/>
        <v>aws s3 cp s3://rtdc.mdm.uploadarchive.raw/RTDC4005/ "%USERPROFILE%\AppData\Local\Temp\OnboardLogs"\RTDC4005\2017-11-18 --exclude "*" --recursive --include "*20171118*" &amp; "%USERPROFILE%\Documents\GitHub\mrs-test-scripts\Headless Mode &amp; Sideloading\WalkAndUnGZ.bat" "%USERPROFILE%\AppData\Local\Temp\OnboardLogs"\RTDC4005\2017-11-18 &amp; aws s3 cp s3://rtdc.mdm.uploadarchive.raw/RTDC4005/ "%USERPROFILE%\AppData\Local\Temp\OnboardLogs"\RTDC4005\2017-11-19 --exclude "*" --recursive --include "*20171119*" &amp; "%USERPROFILE%\Documents\GitHub\mrs-test-scripts\Headless Mode &amp; Sideloading\WalkAndUnGZ.bat" "%USERPROFILE%\AppData\Local\Temp\OnboardLogs"\RTDC4005\2017-11-19</v>
      </c>
      <c r="AF206" s="74" t="str">
        <f t="shared" si="180"/>
        <v>"C:\Program Files (x86)\AstroGrep\AstroGrep.exe" /e /r /s /spath="%USERPROFILE%\AppData\Local\Temp\OnboardLogs" /stypes="app*4005*20171118*" /stext=" 12:.+((SYSTEM_STATE.+slice.+state.+changed )|(ment ac)|(multiple cpu faults)|(system.+state.+changed )|(\[timeout)|(PRM\|1\|D)|(kpr)|(kdp)|(train st.+moving)|(\|lc)|(penalty))"</v>
      </c>
      <c r="AG206" s="181" t="str">
        <f t="shared" si="176"/>
        <v>Other</v>
      </c>
      <c r="AH206" s="78" t="str">
        <f t="shared" si="106"/>
        <v>"%USERPROFILE%\Documents\GitHub\eaglep3\Utilities\RefineRTDCRunTimes.py" --tripid 312-18 --locoid 4005 --swversion DE.1.0.9.0 --startMP 300:22991 --initTime 2017-11-18T05:08:59 --startdatetime 2017-11-18T05:17:16 --delay 127 --endMP 204:196 --enddatetime 2017-11-18T05:26:41 --enforcementcount 0 &gt;&gt;%USERPROFILE%\Documents\GitHub\eaglep3-reporting\EC\2017-11-18-refined-times.txt</v>
      </c>
      <c r="AI206" s="96" t="str">
        <f t="shared" si="107"/>
        <v>echo {"issue":{"subject":"","project_id":79,"tracker_id":40,"status_id":1,"priority_id":2,"assigned_to_id":338,"start_date":"2017-11-18","description":"","custom_fields":[{"id":1,"name":"Subdivision","value":"Other"},{"id":4,"name":"Milepost","value":"0.0196"},{"id":17,"name":"Train ID","value":"312-18"},{"id":16,"name":"Locomotive ID","value":"4005"},{"id":130,"name":"Impact","value":""},{"id":150,"name":"Time of Event (Mountain Time)","value":"05:26:41"},{"id":151,"name":"Denver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1" t="str">
        <f t="shared" si="108"/>
        <v>start /low /b %USERPROFILE%\Documents\GitHub\eaglep3\Utilities\DownloadLogsFromS3.py --loco 4005 --day 2017-11-18</v>
      </c>
      <c r="AN206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12:26:41"},{"id":29,"name":"Sharepoint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7" t="str">
        <f t="shared" si="110"/>
        <v>https://d0f6bd738d7f1b3e5a7ca70fe4ff75f0.us-east-1.aws.found.io/app/kibana#/discover/Steve-Slow-Train-Analysis-(2080s-and-2083s)?_g=(refreshInterval:(display:Off,pause:!f,section:0,value:0),time:(from:'2017-11-18T04:08:59-0700',mode:absolute,to:'2017-11-18T06:26:41-0700'))&amp;_a=(columns:!('Message%20ID',Summary),filters:!(),index:'emp_*',interval:auto,query:(query_string:(analyze_wildcard:!t,query:'%22rtdc.l.rtdc.4005%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740</v>
      </c>
      <c r="B207" s="7">
        <v>4032</v>
      </c>
      <c r="C207" s="21" t="s">
        <v>192</v>
      </c>
      <c r="D207" s="21" t="s">
        <v>997</v>
      </c>
      <c r="E207" s="13">
        <v>43057.222037037034</v>
      </c>
      <c r="F207" s="13">
        <v>43057.227766203701</v>
      </c>
      <c r="G207" s="7">
        <v>91</v>
      </c>
      <c r="H207" s="21" t="s">
        <v>998</v>
      </c>
      <c r="I207" s="13">
        <v>43057.232754629629</v>
      </c>
      <c r="J207" s="7">
        <v>0</v>
      </c>
      <c r="K207" s="89" t="str">
        <f t="shared" si="167"/>
        <v>4031/4032</v>
      </c>
      <c r="L207" s="184" t="str">
        <f>VLOOKUP(A207,'Trips&amp;Operators'!$C$1:$G$99911,5,FALSE)</f>
        <v>LAMAR NEKESHA</v>
      </c>
      <c r="M207" s="6">
        <f t="shared" si="168"/>
        <v>4.9884259278769605E-3</v>
      </c>
      <c r="N207" s="7">
        <f t="shared" si="169"/>
        <v>7.1833333361428231</v>
      </c>
      <c r="O207" s="7"/>
      <c r="P207" s="7"/>
      <c r="Q207" s="22"/>
      <c r="R207" s="173"/>
      <c r="S207" s="220">
        <f t="shared" si="170"/>
        <v>0</v>
      </c>
      <c r="T207" s="173" t="str">
        <f t="shared" si="171"/>
        <v>NorthBound</v>
      </c>
      <c r="U207" s="19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215" t="str">
        <f t="shared" si="178"/>
        <v>https://d0f6bd738d7f1b3e5a7ca70fe4ff75f0.us-east-1.aws.found.io/app/kibana#/discover/Steve-Slow-Train-Analysis-(2080s-and-2083s)?_g=(refreshInterval:(display:Off,pause:!f,section:0,value:0),time:(from:'2017-11-18T04:19:44-0700',mode:absolute,to:'2017-11-18T06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7" s="203" t="str">
        <f>IF(AA207&lt;VLOOKUP(AG207,Variables!$AC$3:$AD$8,2,FALSE),"Y","N")</f>
        <v>Y</v>
      </c>
      <c r="X207" s="203">
        <f t="shared" si="177"/>
        <v>1589</v>
      </c>
      <c r="Y207" s="203">
        <f t="shared" si="172"/>
        <v>3.0011999999999999</v>
      </c>
      <c r="Z207" s="203">
        <f t="shared" si="173"/>
        <v>5.899</v>
      </c>
      <c r="AA207" s="203">
        <f t="shared" si="174"/>
        <v>2.8978000000000002</v>
      </c>
      <c r="AB207" s="54" t="e">
        <f>VLOOKUP(A207,Enforcements!$C$7:$K$9,8,0)</f>
        <v>#N/A</v>
      </c>
      <c r="AC207" s="51" t="e">
        <f>VLOOKUP(A207,Enforcements!$C$7:$E$9,3,0)</f>
        <v>#N/A</v>
      </c>
      <c r="AD207" s="178">
        <f t="shared" si="175"/>
        <v>1901</v>
      </c>
      <c r="AE207" s="77" t="str">
        <f t="shared" si="179"/>
        <v>aws s3 cp s3://rtdc.mdm.uploadarchive.raw/RTDC4032/ "%USERPROFILE%\AppData\Local\Temp\OnboardLogs"\RTDC4032\2017-11-18 --exclude "*" --recursive --include "*20171118*" &amp; "%USERPROFILE%\Documents\GitHub\mrs-test-scripts\Headless Mode &amp; Sideloading\WalkAndUnGZ.bat" "%USERPROFILE%\AppData\Local\Temp\OnboardLogs"\RTDC4032\2017-11-18 &amp; aws s3 cp s3://rtdc.mdm.uploadarchive.raw/RTDC4032/ "%USERPROFILE%\AppData\Local\Temp\OnboardLogs"\RTDC4032\2017-11-19 --exclude "*" --recursive --include "*20171119*" &amp; "%USERPROFILE%\Documents\GitHub\mrs-test-scripts\Headless Mode &amp; Sideloading\WalkAndUnGZ.bat" "%USERPROFILE%\AppData\Local\Temp\OnboardLogs"\RTDC4032\2017-11-19</v>
      </c>
      <c r="AF207" s="74" t="str">
        <f t="shared" si="180"/>
        <v>"C:\Program Files (x86)\AstroGrep\AstroGrep.exe" /e /r /s /spath="%USERPROFILE%\AppData\Local\Temp\OnboardLogs" /stypes="app*4032*20171118*" /stext=" 12:.+((SYSTEM_STATE.+slice.+state.+changed )|(ment ac)|(multiple cpu faults)|(system.+state.+changed )|(\[timeout)|(PRM\|1\|D)|(kpr)|(kdp)|(train st.+moving)|(\|lc)|(penalty))"</v>
      </c>
      <c r="AG207" s="181" t="str">
        <f t="shared" si="176"/>
        <v>Other</v>
      </c>
      <c r="AH207" s="78" t="str">
        <f t="shared" si="106"/>
        <v>"%USERPROFILE%\Documents\GitHub\eaglep3\Utilities\RefineRTDCRunTimes.py" --tripid 1901-18 --locoid 4032 --swversion DE.1.0.9.0 --startMP 300:30012 --initTime 2017-11-18T05:19:44 --startdatetime 2017-11-18T05:27:59 --delay 91 --endMP 300:58990 --enddatetime 2017-11-18T05:35:10 --enforcementcount 0 &gt;&gt;%USERPROFILE%\Documents\GitHub\eaglep3-reporting\EC\2017-11-18-refined-times.txt</v>
      </c>
      <c r="AI207" s="96" t="str">
        <f t="shared" si="107"/>
        <v>echo {"issue":{"subject":"","project_id":79,"tracker_id":40,"status_id":1,"priority_id":2,"assigned_to_id":338,"start_date":"2017-11-18","description":"","custom_fields":[{"id":1,"name":"Subdivision","value":"Other"},{"id":4,"name":"Milepost","value":"5.899"},{"id":17,"name":"Train ID","value":"1901-18"},{"id":16,"name":"Locomotive ID","value":"4032"},{"id":130,"name":"Impact","value":""},{"id":150,"name":"Time of Event (Mountain Time)","value":"05:35:10"},{"id":151,"name":"Denver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1" t="str">
        <f t="shared" si="108"/>
        <v>start /low /b %USERPROFILE%\Documents\GitHub\eaglep3\Utilities\DownloadLogsFromS3.py --loco 4032 --day 2017-11-18</v>
      </c>
      <c r="AN207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12:35:10"},{"id":29,"name":"Sharepoint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7" t="str">
        <f t="shared" si="110"/>
        <v>https://d0f6bd738d7f1b3e5a7ca70fe4ff75f0.us-east-1.aws.found.io/app/kibana#/discover/Steve-Slow-Train-Analysis-(2080s-and-2083s)?_g=(refreshInterval:(display:Off,pause:!f,section:0,value:0),time:(from:'2017-11-18T04:19:44-0700',mode:absolute,to:'2017-11-18T06:35:10-0700'))&amp;_a=(columns:!('Message%20ID',Summary),filters:!(),index:'emp_*',interval:auto,query:(query_string:(analyze_wildcard:!t,query:'%22rtdc.l.rtdc.4032%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894</v>
      </c>
      <c r="B208" s="7">
        <v>4053</v>
      </c>
      <c r="C208" s="21" t="s">
        <v>192</v>
      </c>
      <c r="D208" s="21" t="s">
        <v>570</v>
      </c>
      <c r="E208" s="13">
        <v>43057.976504629631</v>
      </c>
      <c r="F208" s="13">
        <v>43057.978460648148</v>
      </c>
      <c r="G208" s="7">
        <v>76</v>
      </c>
      <c r="H208" s="21" t="s">
        <v>999</v>
      </c>
      <c r="I208" s="13">
        <v>43057.990590277775</v>
      </c>
      <c r="J208" s="7">
        <v>0</v>
      </c>
      <c r="K208" s="89" t="str">
        <f t="shared" si="167"/>
        <v>4053/4054</v>
      </c>
      <c r="L208" s="184" t="str">
        <f>VLOOKUP(A208,'Trips&amp;Operators'!$C$1:$G$99911,5,FALSE)</f>
        <v>SMITH MICHAEL</v>
      </c>
      <c r="M208" s="6">
        <f t="shared" si="168"/>
        <v>1.2129629627452232E-2</v>
      </c>
      <c r="N208" s="7">
        <f t="shared" si="169"/>
        <v>17.466666663531214</v>
      </c>
      <c r="O208" s="7"/>
      <c r="P208" s="7"/>
      <c r="Q208" s="22"/>
      <c r="R208" s="173"/>
      <c r="S208" s="220">
        <f t="shared" si="170"/>
        <v>0</v>
      </c>
      <c r="T208" s="173" t="str">
        <f t="shared" si="171"/>
        <v>Southbound</v>
      </c>
      <c r="U208" s="19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215" t="str">
        <f t="shared" si="178"/>
        <v>https://d0f6bd738d7f1b3e5a7ca70fe4ff75f0.us-east-1.aws.found.io/app/kibana#/discover/Steve-Slow-Train-Analysis-(2080s-and-2083s)?_g=(refreshInterval:(display:Off,pause:!f,section:0,value:0),time:(from:'2017-11-18T22:26:10-0700',mode:absolute,to:'2017-11-19T00:46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8" s="203" t="str">
        <f>IF(AA208&lt;VLOOKUP(AG208,Variables!$AC$3:$AD$8,2,FALSE),"Y","N")</f>
        <v>Y</v>
      </c>
      <c r="X208" s="203">
        <f t="shared" si="177"/>
        <v>1</v>
      </c>
      <c r="Y208" s="203">
        <f t="shared" si="172"/>
        <v>5.8655999999999997</v>
      </c>
      <c r="Z208" s="203">
        <f t="shared" si="173"/>
        <v>2.8772000000000002</v>
      </c>
      <c r="AA208" s="203">
        <f t="shared" si="174"/>
        <v>2.9883999999999995</v>
      </c>
      <c r="AB208" s="54" t="e">
        <f>VLOOKUP(A208,Enforcements!$C$7:$K$9,8,0)</f>
        <v>#N/A</v>
      </c>
      <c r="AC208" s="51" t="e">
        <f>VLOOKUP(A208,Enforcements!$C$7:$E$9,3,0)</f>
        <v>#N/A</v>
      </c>
      <c r="AD208" s="178">
        <f t="shared" si="175"/>
        <v>1902</v>
      </c>
      <c r="AE208" s="77" t="str">
        <f t="shared" si="179"/>
        <v>aws s3 cp s3://rtdc.mdm.uploadarchive.raw/RTDC4053/ "%USERPROFILE%\AppData\Local\Temp\OnboardLogs"\RTDC4053\2017-11-18 --exclude "*" --recursive --include "*20171118*" &amp; "%USERPROFILE%\Documents\GitHub\mrs-test-scripts\Headless Mode &amp; Sideloading\WalkAndUnGZ.bat" "%USERPROFILE%\AppData\Local\Temp\OnboardLogs"\RTDC4053\2017-11-18 &amp; 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</v>
      </c>
      <c r="AF208" s="74" t="str">
        <f t="shared" si="180"/>
        <v>"C:\Program Files (x86)\AstroGrep\AstroGrep.exe" /e /r /s /spath="%USERPROFILE%\AppData\Local\Temp\OnboardLogs" /stypes="app*4053*20171119*" /stext=" 06:.+((SYSTEM_STATE.+slice.+state.+changed )|(ment ac)|(multiple cpu faults)|(system.+state.+changed )|(\[timeout)|(PRM\|1\|D)|(kpr)|(kdp)|(train st.+moving)|(\|lc)|(penalty))"</v>
      </c>
      <c r="AG208" s="181" t="str">
        <f t="shared" si="176"/>
        <v>Other</v>
      </c>
      <c r="AH208" s="78" t="str">
        <f t="shared" si="106"/>
        <v>"%USERPROFILE%\Documents\GitHub\eaglep3\Utilities\RefineRTDCRunTimes.py" --tripid 1902-18 --locoid 4053 --swversion DE.1.0.9.0 --startMP 300:58656 --initTime 2017-11-18T23:26:10 --startdatetime 2017-11-18T23:28:59 --delay 76 --endMP 300:28772 --enddatetime 2017-11-18T23:46:27 --enforcementcount 0 &gt;&gt;%USERPROFILE%\Documents\GitHub\eaglep3-reporting\EC\2017-11-18-refined-times.txt</v>
      </c>
      <c r="AI208" s="96" t="str">
        <f t="shared" si="107"/>
        <v>echo {"issue":{"subject":"","project_id":79,"tracker_id":40,"status_id":1,"priority_id":2,"assigned_to_id":338,"start_date":"2017-11-18","description":"","custom_fields":[{"id":1,"name":"Subdivision","value":"Other"},{"id":4,"name":"Milepost","value":"2.8772"},{"id":17,"name":"Train ID","value":"1902-18"},{"id":16,"name":"Locomotive ID","value":"4053"},{"id":130,"name":"Impact","value":""},{"id":150,"name":"Time of Event (Mountain Time)","value":"23:46:27"},{"id":151,"name":"Denver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1" t="str">
        <f t="shared" si="108"/>
        <v>start /low /b %USERPROFILE%\Documents\GitHub\eaglep3\Utilities\DownloadLogsFromS3.py --loco 4053 --day 2017-11-18</v>
      </c>
      <c r="AN208" s="150" t="str">
        <f t="shared" si="109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06:46:27"},{"id":29,"name":"Sharepoint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7" t="str">
        <f t="shared" si="110"/>
        <v>https://d0f6bd738d7f1b3e5a7ca70fe4ff75f0.us-east-1.aws.found.io/app/kibana#/discover/Steve-Slow-Train-Analysis-(2080s-and-2083s)?_g=(refreshInterval:(display:Off,pause:!f,section:0,value:0),time:(from:'2017-11-18T22:26:10-0700',mode:absolute,to:'2017-11-19T00:46:27-0700'))&amp;_a=(columns:!('Message%20ID',Summary),filters:!(),index:'emp_*',interval:auto,query:(query_string:(analyze_wildcard:!t,query:'%22rtdc.l.rtdc.4053%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716</v>
      </c>
      <c r="B209" s="7">
        <v>4002</v>
      </c>
      <c r="C209" s="21" t="s">
        <v>192</v>
      </c>
      <c r="D209" s="21" t="s">
        <v>910</v>
      </c>
      <c r="E209" s="13">
        <v>43057.127662037034</v>
      </c>
      <c r="F209" s="13">
        <v>43057.137337962966</v>
      </c>
      <c r="G209" s="7">
        <v>752</v>
      </c>
      <c r="H209" s="21" t="s">
        <v>1045</v>
      </c>
      <c r="I209" s="13">
        <v>43057.13857638889</v>
      </c>
      <c r="J209" s="7">
        <v>0</v>
      </c>
      <c r="K209" s="89" t="str">
        <f t="shared" si="167"/>
        <v>4001/4002</v>
      </c>
      <c r="L209" s="184" t="str">
        <f>VLOOKUP(A209,'Trips&amp;Operators'!$C$1:$G$99911,5,FALSE)</f>
        <v>DE LA ROSA ALEX</v>
      </c>
      <c r="M209" s="6">
        <f t="shared" si="168"/>
        <v>1.2384259243845008E-3</v>
      </c>
      <c r="N209" s="7">
        <f t="shared" si="169"/>
        <v>1.7833333311136812</v>
      </c>
      <c r="O209" s="7"/>
      <c r="P209" s="7"/>
      <c r="Q209" s="22"/>
      <c r="R209" s="173"/>
      <c r="S209" s="220">
        <f t="shared" si="170"/>
        <v>0</v>
      </c>
      <c r="T209" s="173" t="str">
        <f t="shared" si="171"/>
        <v>NorthBound</v>
      </c>
      <c r="U209" s="19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15" t="str">
        <f t="shared" si="178"/>
        <v>https://d0f6bd738d7f1b3e5a7ca70fe4ff75f0.us-east-1.aws.found.io/app/kibana#/discover/Steve-Slow-Train-Analysis-(2080s-and-2083s)?_g=(refreshInterval:(display:Off,pause:!f,section:0,value:0),time:(from:'2017-11-18T02:03:50-0700',mode:absolute,to:'2017-11-18T04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9" s="203" t="str">
        <f>IF(AA209&lt;VLOOKUP(AG209,Variables!$AC$3:$AD$8,2,FALSE),"Y","N")</f>
        <v>Y</v>
      </c>
      <c r="X209" s="203">
        <f t="shared" si="177"/>
        <v>-1851</v>
      </c>
      <c r="Y209" s="203">
        <f t="shared" si="172"/>
        <v>4.8000000000000001E-2</v>
      </c>
      <c r="Z209" s="203">
        <f t="shared" si="173"/>
        <v>0.3493</v>
      </c>
      <c r="AA209" s="203">
        <f t="shared" si="174"/>
        <v>0.30130000000000001</v>
      </c>
      <c r="AB209" s="54" t="e">
        <f>VLOOKUP(A209,Enforcements!$C$7:$K$9,8,0)</f>
        <v>#N/A</v>
      </c>
      <c r="AC209" s="51" t="e">
        <f>VLOOKUP(A209,Enforcements!$C$7:$E$9,3,0)</f>
        <v>#N/A</v>
      </c>
      <c r="AD209" s="178">
        <f t="shared" si="175"/>
        <v>51</v>
      </c>
      <c r="AE209" s="77" t="str">
        <f t="shared" si="179"/>
        <v>aws s3 cp s3://rtdc.mdm.uploadarchive.raw/RTDC4002/ "%USERPROFILE%\AppData\Local\Temp\OnboardLogs"\RTDC4002\2017-11-18 --exclude "*" --recursive --include "*20171118*" &amp; "%USERPROFILE%\Documents\GitHub\mrs-test-scripts\Headless Mode &amp; Sideloading\WalkAndUnGZ.bat" "%USERPROFILE%\AppData\Local\Temp\OnboardLogs"\RTDC4002\2017-11-18 &amp; aws s3 cp s3://rtdc.mdm.uploadarchive.raw/RTDC4002/ "%USERPROFILE%\AppData\Local\Temp\OnboardLogs"\RTDC4002\2017-11-19 --exclude "*" --recursive --include "*20171119*" &amp; "%USERPROFILE%\Documents\GitHub\mrs-test-scripts\Headless Mode &amp; Sideloading\WalkAndUnGZ.bat" "%USERPROFILE%\AppData\Local\Temp\OnboardLogs"\RTDC4002\2017-11-19</v>
      </c>
      <c r="AF209" s="74" t="str">
        <f t="shared" si="180"/>
        <v>"C:\Program Files (x86)\AstroGrep\AstroGrep.exe" /e /r /s /spath="%USERPROFILE%\AppData\Local\Temp\OnboardLogs" /stypes="app*4002*20171118*" /stext=" 10:.+((SYSTEM_STATE.+slice.+state.+changed )|(ment ac)|(multiple cpu faults)|(system.+state.+changed )|(\[timeout)|(PRM\|1\|D)|(kpr)|(kdp)|(train st.+moving)|(\|lc)|(penalty))"</v>
      </c>
      <c r="AG209" s="181" t="str">
        <f t="shared" si="176"/>
        <v>Shuttle/Test</v>
      </c>
      <c r="AH209" s="78" t="str">
        <f t="shared" si="106"/>
        <v>"%USERPROFILE%\Documents\GitHub\eaglep3\Utilities\RefineRTDCRunTimes.py" --tripid 51-18 --locoid 4002 --swversion DE.1.0.9.0 --startMP 204:480 --initTime 2017-11-18T03:03:50 --startdatetime 2017-11-18T03:17:46 --delay 752 --endMP 204:3493 --enddatetime 2017-11-18T03:19:33 --enforcementcount 0 &gt;&gt;%USERPROFILE%\Documents\GitHub\eaglep3-reporting\EC\2017-11-18-refined-times.txt</v>
      </c>
      <c r="AI209" s="96" t="str">
        <f t="shared" si="107"/>
        <v>echo {"issue":{"subject":"","project_id":79,"tracker_id":40,"status_id":1,"priority_id":2,"assigned_to_id":338,"start_date":"2017-11-18","description":"","custom_fields":[{"id":1,"name":"Subdivision","value":"Shuttle/Test"},{"id":4,"name":"Milepost","value":"0.3493"},{"id":17,"name":"Train ID","value":"51-18"},{"id":16,"name":"Locomotive ID","value":"4002"},{"id":130,"name":"Impact","value":""},{"id":150,"name":"Time of Event (Mountain Time)","value":"03:19:33"},{"id":151,"name":"Denver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1" t="str">
        <f t="shared" si="108"/>
        <v>start /low /b %USERPROFILE%\Documents\GitHub\eaglep3\Utilities\DownloadLogsFromS3.py --loco 4002 --day 2017-11-18</v>
      </c>
      <c r="AN209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10:19:33"},{"id":29,"name":"Sharepoint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7" t="str">
        <f t="shared" si="110"/>
        <v>https://d0f6bd738d7f1b3e5a7ca70fe4ff75f0.us-east-1.aws.found.io/app/kibana#/discover/Steve-Slow-Train-Analysis-(2080s-and-2083s)?_g=(refreshInterval:(display:Off,pause:!f,section:0,value:0),time:(from:'2017-11-18T02:03:50-0700',mode:absolute,to:'2017-11-18T04:19:33-0700'))&amp;_a=(columns:!('Message%20ID',Summary),filters:!(),index:'emp_*',interval:auto,query:(query_string:(analyze_wildcard:!t,query:'%22rtdc.l.rtdc.4002%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817</v>
      </c>
      <c r="B210" s="7">
        <v>4053</v>
      </c>
      <c r="C210" s="21" t="s">
        <v>192</v>
      </c>
      <c r="D210" s="21" t="s">
        <v>1046</v>
      </c>
      <c r="E210" s="13">
        <v>43057.574930555558</v>
      </c>
      <c r="F210" s="13">
        <v>43057.5778587963</v>
      </c>
      <c r="G210" s="7">
        <v>77</v>
      </c>
      <c r="H210" s="21" t="s">
        <v>1047</v>
      </c>
      <c r="I210" s="13">
        <v>43057.584189814814</v>
      </c>
      <c r="J210" s="7">
        <v>0</v>
      </c>
      <c r="K210" s="89" t="str">
        <f t="shared" si="167"/>
        <v>4053/4054</v>
      </c>
      <c r="L210" s="184" t="str">
        <f>VLOOKUP(A210,'Trips&amp;Operators'!$C$1:$G$99911,5,FALSE)</f>
        <v>GONZALEZ ARMANDO</v>
      </c>
      <c r="M210" s="6">
        <f t="shared" si="168"/>
        <v>6.3310185141745023E-3</v>
      </c>
      <c r="N210" s="7">
        <f t="shared" si="169"/>
        <v>9.1166666604112834</v>
      </c>
      <c r="O210" s="7"/>
      <c r="P210" s="7"/>
      <c r="Q210" s="22"/>
      <c r="R210" s="173"/>
      <c r="S210" s="220">
        <f t="shared" si="170"/>
        <v>1</v>
      </c>
      <c r="T210" s="173" t="str">
        <f t="shared" si="171"/>
        <v>Southbound</v>
      </c>
      <c r="U210" s="19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5" t="str">
        <f t="shared" si="178"/>
        <v>https://d0f6bd738d7f1b3e5a7ca70fe4ff75f0.us-east-1.aws.found.io/app/kibana#/discover/Steve-Slow-Train-Analysis-(2080s-and-2083s)?_g=(refreshInterval:(display:Off,pause:!f,section:0,value:0),time:(from:'2017-11-18T12:47:54-0700',mode:absolute,to:'2017-11-18T15:01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0" s="203" t="str">
        <f>IF(AA210&lt;VLOOKUP(AG210,Variables!$AC$3:$AD$8,2,FALSE),"Y","N")</f>
        <v>Y</v>
      </c>
      <c r="X210" s="203">
        <f t="shared" si="177"/>
        <v>11</v>
      </c>
      <c r="Y210" s="203">
        <f t="shared" si="172"/>
        <v>2.3502000000000001</v>
      </c>
      <c r="Z210" s="203">
        <f t="shared" si="173"/>
        <v>1.7299999999999999E-2</v>
      </c>
      <c r="AA210" s="203">
        <f t="shared" si="174"/>
        <v>2.3329</v>
      </c>
      <c r="AB210" s="54" t="e">
        <f>VLOOKUP(A210,Enforcements!$C$7:$K$9,8,0)</f>
        <v>#N/A</v>
      </c>
      <c r="AC210" s="51" t="e">
        <f>VLOOKUP(A210,Enforcements!$C$7:$E$9,3,0)</f>
        <v>#N/A</v>
      </c>
      <c r="AD210" s="178">
        <f t="shared" si="175"/>
        <v>62</v>
      </c>
      <c r="AE210" s="77" t="str">
        <f t="shared" si="179"/>
        <v>aws s3 cp s3://rtdc.mdm.uploadarchive.raw/RTDC4053/ "%USERPROFILE%\AppData\Local\Temp\OnboardLogs"\RTDC4053\2017-11-18 --exclude "*" --recursive --include "*20171118*" &amp; "%USERPROFILE%\Documents\GitHub\mrs-test-scripts\Headless Mode &amp; Sideloading\WalkAndUnGZ.bat" "%USERPROFILE%\AppData\Local\Temp\OnboardLogs"\RTDC4053\2017-11-18 &amp; 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</v>
      </c>
      <c r="AF210" s="74" t="str">
        <f t="shared" si="180"/>
        <v>"C:\Program Files (x86)\AstroGrep\AstroGrep.exe" /e /r /s /spath="%USERPROFILE%\AppData\Local\Temp\OnboardLogs" /stypes="app*4053*20171118*" /stext=" 21:.+((SYSTEM_STATE.+slice.+state.+changed )|(ment ac)|(multiple cpu faults)|(system.+state.+changed )|(\[timeout)|(PRM\|1\|D)|(kpr)|(kdp)|(train st.+moving)|(\|lc)|(penalty))"</v>
      </c>
      <c r="AG210" s="181" t="str">
        <f t="shared" si="176"/>
        <v>Shuttle/Test</v>
      </c>
      <c r="AH210" s="78" t="str">
        <f t="shared" si="106"/>
        <v>"%USERPROFILE%\Documents\GitHub\eaglep3\Utilities\RefineRTDCRunTimes.py" --tripid 62-18 --locoid 4053 --swversion DE.1.0.9.0 --startMP 300:23502 --initTime 2017-11-18T13:47:54 --startdatetime 2017-11-18T13:52:07 --delay 77 --endMP 204:173 --enddatetime 2017-11-18T14:01:14 --enforcementcount 0 &gt;&gt;%USERPROFILE%\Documents\GitHub\eaglep3-reporting\EC\2017-11-18-refined-times.txt</v>
      </c>
      <c r="AI210" s="96" t="str">
        <f t="shared" si="107"/>
        <v>echo {"issue":{"subject":"","project_id":79,"tracker_id":40,"status_id":1,"priority_id":2,"assigned_to_id":338,"start_date":"2017-11-18","description":"","custom_fields":[{"id":1,"name":"Subdivision","value":"Shuttle/Test"},{"id":4,"name":"Milepost","value":"0.0173"},{"id":17,"name":"Train ID","value":"62-18"},{"id":16,"name":"Locomotive ID","value":"4053"},{"id":130,"name":"Impact","value":""},{"id":150,"name":"Time of Event (Mountain Time)","value":"14:01:14"},{"id":151,"name":"Denver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1" t="str">
        <f t="shared" si="108"/>
        <v>start /low /b %USERPROFILE%\Documents\GitHub\eaglep3\Utilities\DownloadLogsFromS3.py --loco 4053 --day 2017-11-18</v>
      </c>
      <c r="AN210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21:01:14"},{"id":29,"name":"Sharepoint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7" t="str">
        <f t="shared" si="110"/>
        <v>https://d0f6bd738d7f1b3e5a7ca70fe4ff75f0.us-east-1.aws.found.io/app/kibana#/discover/Steve-Slow-Train-Analysis-(2080s-and-2083s)?_g=(refreshInterval:(display:Off,pause:!f,section:0,value:0),time:(from:'2017-11-18T12:47:54-0700',mode:absolute,to:'2017-11-18T15:01:14-0700'))&amp;_a=(columns:!('Message%20ID',Summary),filters:!(),index:'emp_*',interval:auto,query:(query_string:(analyze_wildcard:!t,query:'%22rtdc.l.rtdc.4053%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844</v>
      </c>
      <c r="B211" s="7">
        <v>4002</v>
      </c>
      <c r="C211" s="21" t="s">
        <v>192</v>
      </c>
      <c r="D211" s="21" t="s">
        <v>1048</v>
      </c>
      <c r="E211" s="13">
        <v>43057.683657407404</v>
      </c>
      <c r="F211" s="13">
        <v>43057.692233796297</v>
      </c>
      <c r="G211" s="7">
        <v>57</v>
      </c>
      <c r="H211" s="21" t="s">
        <v>568</v>
      </c>
      <c r="I211" s="13">
        <v>43057.698148148149</v>
      </c>
      <c r="J211" s="7">
        <v>0</v>
      </c>
      <c r="K211" s="89" t="str">
        <f t="shared" si="167"/>
        <v>4001/4002</v>
      </c>
      <c r="L211" s="184" t="str">
        <f>VLOOKUP(A211,'Trips&amp;Operators'!$C$1:$G$99911,5,FALSE)</f>
        <v>BIRENBAUM THOMAS</v>
      </c>
      <c r="M211" s="6">
        <f t="shared" si="168"/>
        <v>5.914351851970423E-3</v>
      </c>
      <c r="N211" s="7">
        <f t="shared" si="169"/>
        <v>8.5166666668374091</v>
      </c>
      <c r="O211" s="7"/>
      <c r="P211" s="7"/>
      <c r="Q211" s="22"/>
      <c r="R211" s="173"/>
      <c r="S211" s="220">
        <f t="shared" si="170"/>
        <v>1</v>
      </c>
      <c r="T211" s="173" t="str">
        <f t="shared" si="171"/>
        <v>NorthBound</v>
      </c>
      <c r="U211" s="19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5" t="str">
        <f t="shared" si="178"/>
        <v>https://d0f6bd738d7f1b3e5a7ca70fe4ff75f0.us-east-1.aws.found.io/app/kibana#/discover/Steve-Slow-Train-Analysis-(2080s-and-2083s)?_g=(refreshInterval:(display:Off,pause:!f,section:0,value:0),time:(from:'2017-11-18T15:24:28-0700',mode:absolute,to:'2017-11-18T17:45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1" s="203" t="str">
        <f>IF(AA211&lt;VLOOKUP(AG211,Variables!$AC$3:$AD$8,2,FALSE),"Y","N")</f>
        <v>Y</v>
      </c>
      <c r="X211" s="203">
        <f t="shared" si="177"/>
        <v>13</v>
      </c>
      <c r="Y211" s="203">
        <f t="shared" si="172"/>
        <v>0.1477</v>
      </c>
      <c r="Z211" s="203">
        <f t="shared" si="173"/>
        <v>2.3346</v>
      </c>
      <c r="AA211" s="203">
        <f t="shared" si="174"/>
        <v>2.1869000000000001</v>
      </c>
      <c r="AB211" s="54" t="e">
        <f>VLOOKUP(A211,Enforcements!$C$7:$K$9,8,0)</f>
        <v>#N/A</v>
      </c>
      <c r="AC211" s="51" t="e">
        <f>VLOOKUP(A211,Enforcements!$C$7:$E$9,3,0)</f>
        <v>#N/A</v>
      </c>
      <c r="AD211" s="178">
        <f t="shared" si="175"/>
        <v>75</v>
      </c>
      <c r="AE211" s="77" t="str">
        <f t="shared" si="179"/>
        <v>aws s3 cp s3://rtdc.mdm.uploadarchive.raw/RTDC4002/ "%USERPROFILE%\AppData\Local\Temp\OnboardLogs"\RTDC4002\2017-11-18 --exclude "*" --recursive --include "*20171118*" &amp; "%USERPROFILE%\Documents\GitHub\mrs-test-scripts\Headless Mode &amp; Sideloading\WalkAndUnGZ.bat" "%USERPROFILE%\AppData\Local\Temp\OnboardLogs"\RTDC4002\2017-11-18 &amp; aws s3 cp s3://rtdc.mdm.uploadarchive.raw/RTDC4002/ "%USERPROFILE%\AppData\Local\Temp\OnboardLogs"\RTDC4002\2017-11-19 --exclude "*" --recursive --include "*20171119*" &amp; "%USERPROFILE%\Documents\GitHub\mrs-test-scripts\Headless Mode &amp; Sideloading\WalkAndUnGZ.bat" "%USERPROFILE%\AppData\Local\Temp\OnboardLogs"\RTDC4002\2017-11-19</v>
      </c>
      <c r="AF211" s="74" t="str">
        <f t="shared" si="180"/>
        <v>"C:\Program Files (x86)\AstroGrep\AstroGrep.exe" /e /r /s /spath="%USERPROFILE%\AppData\Local\Temp\OnboardLogs" /stypes="app*4002*20171118*" /stext=" 23:.+((SYSTEM_STATE.+slice.+state.+changed )|(ment ac)|(multiple cpu faults)|(system.+state.+changed )|(\[timeout)|(PRM\|1\|D)|(kpr)|(kdp)|(train st.+moving)|(\|lc)|(penalty))"</v>
      </c>
      <c r="AG211" s="181" t="str">
        <f t="shared" si="176"/>
        <v>Shuttle/Test</v>
      </c>
      <c r="AH211" s="78" t="str">
        <f t="shared" si="106"/>
        <v>"%USERPROFILE%\Documents\GitHub\eaglep3\Utilities\RefineRTDCRunTimes.py" --tripid 75-18 --locoid 4002 --swversion DE.1.0.9.0 --startMP 204:1477 --initTime 2017-11-18T16:24:28 --startdatetime 2017-11-18T16:36:49 --delay 57 --endMP 300:23346 --enddatetime 2017-11-18T16:45:20 --enforcementcount 0 &gt;&gt;%USERPROFILE%\Documents\GitHub\eaglep3-reporting\EC\2017-11-18-refined-times.txt</v>
      </c>
      <c r="AI211" s="96" t="str">
        <f t="shared" si="107"/>
        <v>echo {"issue":{"subject":"","project_id":79,"tracker_id":40,"status_id":1,"priority_id":2,"assigned_to_id":338,"start_date":"2017-11-18","description":"","custom_fields":[{"id":1,"name":"Subdivision","value":"Shuttle/Test"},{"id":4,"name":"Milepost","value":"2.3346"},{"id":17,"name":"Train ID","value":"75-18"},{"id":16,"name":"Locomotive ID","value":"4002"},{"id":130,"name":"Impact","value":""},{"id":150,"name":"Time of Event (Mountain Time)","value":"16:45:20"},{"id":151,"name":"Denver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1" t="str">
        <f t="shared" si="108"/>
        <v>start /low /b %USERPROFILE%\Documents\GitHub\eaglep3\Utilities\DownloadLogsFromS3.py --loco 4002 --day 2017-11-18</v>
      </c>
      <c r="AN211" s="150" t="str">
        <f t="shared" si="10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23:45:20"},{"id":29,"name":"Sharepoint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7" t="str">
        <f t="shared" si="110"/>
        <v>https://d0f6bd738d7f1b3e5a7ca70fe4ff75f0.us-east-1.aws.found.io/app/kibana#/discover/Steve-Slow-Train-Analysis-(2080s-and-2083s)?_g=(refreshInterval:(display:Off,pause:!f,section:0,value:0),time:(from:'2017-11-18T15:24:28-0700',mode:absolute,to:'2017-11-18T17:45:20-0700'))&amp;_a=(columns:!('Message%20ID',Summary),filters:!(),index:'emp_*',interval:auto,query:(query_string:(analyze_wildcard:!t,query:'%22rtdc.l.rtdc.4002%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854</v>
      </c>
      <c r="B212" s="7">
        <v>4016</v>
      </c>
      <c r="C212" s="21" t="s">
        <v>192</v>
      </c>
      <c r="D212" s="21" t="s">
        <v>1029</v>
      </c>
      <c r="E212" s="13">
        <v>43057.721990740742</v>
      </c>
      <c r="F212" s="13">
        <v>43057.723078703704</v>
      </c>
      <c r="G212" s="7">
        <v>57</v>
      </c>
      <c r="H212" s="21" t="s">
        <v>1049</v>
      </c>
      <c r="I212" s="13">
        <v>43057.730023148149</v>
      </c>
      <c r="J212" s="7">
        <v>0</v>
      </c>
      <c r="K212" s="89" t="str">
        <f t="shared" si="167"/>
        <v>4015/4016</v>
      </c>
      <c r="L212" s="184" t="str">
        <f>VLOOKUP(A212,'Trips&amp;Operators'!$C$1:$G$99911,5,FALSE)</f>
        <v>DELGADO DIANAH</v>
      </c>
      <c r="M212" s="6">
        <f t="shared" si="168"/>
        <v>6.9444444452528842E-3</v>
      </c>
      <c r="N212" s="7">
        <f t="shared" si="169"/>
        <v>10.000000001164153</v>
      </c>
      <c r="O212" s="7"/>
      <c r="P212" s="7"/>
      <c r="Q212" s="22"/>
      <c r="R212" s="173"/>
      <c r="S212" s="220">
        <f t="shared" si="170"/>
        <v>1</v>
      </c>
      <c r="T212" s="173" t="str">
        <f t="shared" si="171"/>
        <v>NorthBound</v>
      </c>
      <c r="U212" s="19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5" t="str">
        <f t="shared" si="178"/>
        <v>https://d0f6bd738d7f1b3e5a7ca70fe4ff75f0.us-east-1.aws.found.io/app/kibana#/discover/Steve-Slow-Train-Analysis-(2080s-and-2083s)?_g=(refreshInterval:(display:Off,pause:!f,section:0,value:0),time:(from:'2017-11-18T16:19:40-0700',mode:absolute,to:'2017-11-18T18:31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2" s="203" t="str">
        <f>IF(AA212&lt;VLOOKUP(AG212,Variables!$AC$3:$AD$8,2,FALSE),"Y","N")</f>
        <v>Y</v>
      </c>
      <c r="X212" s="203">
        <f t="shared" si="177"/>
        <v>2</v>
      </c>
      <c r="Y212" s="203">
        <f t="shared" si="172"/>
        <v>0.11559999999999999</v>
      </c>
      <c r="Z212" s="203">
        <f t="shared" si="173"/>
        <v>2.3313999999999999</v>
      </c>
      <c r="AA212" s="203">
        <f t="shared" si="174"/>
        <v>2.2157999999999998</v>
      </c>
      <c r="AB212" s="54" t="e">
        <f>VLOOKUP(A212,Enforcements!$C$7:$K$9,8,0)</f>
        <v>#N/A</v>
      </c>
      <c r="AC212" s="51" t="e">
        <f>VLOOKUP(A212,Enforcements!$C$7:$E$9,3,0)</f>
        <v>#N/A</v>
      </c>
      <c r="AD212" s="178">
        <f t="shared" si="175"/>
        <v>77</v>
      </c>
      <c r="AE212" s="77" t="str">
        <f t="shared" si="179"/>
        <v>aws s3 cp s3://rtdc.mdm.uploadarchive.raw/RTDC4016/ "%USERPROFILE%\AppData\Local\Temp\OnboardLogs"\RTDC4016\2017-11-18 --exclude "*" --recursive --include "*20171118*" &amp; "%USERPROFILE%\Documents\GitHub\mrs-test-scripts\Headless Mode &amp; Sideloading\WalkAndUnGZ.bat" "%USERPROFILE%\AppData\Local\Temp\OnboardLogs"\RTDC4016\2017-11-18 &amp; aws s3 cp s3://rtdc.mdm.uploadarchive.raw/RTDC4016/ "%USERPROFILE%\AppData\Local\Temp\OnboardLogs"\RTDC4016\2017-11-19 --exclude "*" --recursive --include "*20171119*" &amp; "%USERPROFILE%\Documents\GitHub\mrs-test-scripts\Headless Mode &amp; Sideloading\WalkAndUnGZ.bat" "%USERPROFILE%\AppData\Local\Temp\OnboardLogs"\RTDC4016\2017-11-19</v>
      </c>
      <c r="AF212" s="74" t="str">
        <f t="shared" si="180"/>
        <v>"C:\Program Files (x86)\AstroGrep\AstroGrep.exe" /e /r /s /spath="%USERPROFILE%\AppData\Local\Temp\OnboardLogs" /stypes="app*4016*20171119*" /stext=" 00:.+((SYSTEM_STATE.+slice.+state.+changed )|(ment ac)|(multiple cpu faults)|(system.+state.+changed )|(\[timeout)|(PRM\|1\|D)|(kpr)|(kdp)|(train st.+moving)|(\|lc)|(penalty))"</v>
      </c>
      <c r="AG212" s="181" t="str">
        <f t="shared" si="176"/>
        <v>Shuttle/Test</v>
      </c>
      <c r="AH212" s="78" t="str">
        <f t="shared" si="106"/>
        <v>"%USERPROFILE%\Documents\GitHub\eaglep3\Utilities\RefineRTDCRunTimes.py" --tripid 77-18 --locoid 4016 --swversion DE.1.0.9.0 --startMP 204:1156 --initTime 2017-11-18T17:19:40 --startdatetime 2017-11-18T17:21:14 --delay 57 --endMP 300:23314 --enddatetime 2017-11-18T17:31:14 --enforcementcount 0 &gt;&gt;%USERPROFILE%\Documents\GitHub\eaglep3-reporting\EC\2017-11-18-refined-times.txt</v>
      </c>
      <c r="AI212" s="96" t="str">
        <f t="shared" si="107"/>
        <v>echo {"issue":{"subject":"","project_id":79,"tracker_id":40,"status_id":1,"priority_id":2,"assigned_to_id":338,"start_date":"2017-11-18","description":"","custom_fields":[{"id":1,"name":"Subdivision","value":"Shuttle/Test"},{"id":4,"name":"Milepost","value":"2.3314"},{"id":17,"name":"Train ID","value":"77-18"},{"id":16,"name":"Locomotive ID","value":"4016"},{"id":130,"name":"Impact","value":""},{"id":150,"name":"Time of Event (Mountain Time)","value":"17:31:14"},{"id":151,"name":"Denver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1" t="str">
        <f t="shared" si="108"/>
        <v>start /low /b %USERPROFILE%\Documents\GitHub\eaglep3\Utilities\DownloadLogsFromS3.py --loco 4016 --day 2017-11-18</v>
      </c>
      <c r="AN212" s="150" t="str">
        <f t="shared" si="109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00:31:14"},{"id":29,"name":"Sharepoint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7" t="str">
        <f t="shared" si="110"/>
        <v>https://d0f6bd738d7f1b3e5a7ca70fe4ff75f0.us-east-1.aws.found.io/app/kibana#/discover/Steve-Slow-Train-Analysis-(2080s-and-2083s)?_g=(refreshInterval:(display:Off,pause:!f,section:0,value:0),time:(from:'2017-11-18T16:19:40-0700',mode:absolute,to:'2017-11-18T18:31:14-0700'))&amp;_a=(columns:!('Message%20ID',Summary),filters:!(),index:'emp_*',interval:auto,query:(query_string:(analyze_wildcard:!t,query:'%22rtdc.l.rtdc.4016%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862</v>
      </c>
      <c r="B213" s="7">
        <v>4011</v>
      </c>
      <c r="C213" s="21" t="s">
        <v>192</v>
      </c>
      <c r="D213" s="21" t="s">
        <v>1050</v>
      </c>
      <c r="E213" s="13">
        <v>43057.735636574071</v>
      </c>
      <c r="F213" s="13">
        <v>43057.737673611111</v>
      </c>
      <c r="G213" s="7">
        <v>65</v>
      </c>
      <c r="H213" s="21" t="s">
        <v>1051</v>
      </c>
      <c r="I213" s="13">
        <v>43057.743819444448</v>
      </c>
      <c r="J213" s="7">
        <v>0</v>
      </c>
      <c r="K213" s="89" t="str">
        <f t="shared" si="167"/>
        <v>4011/4012</v>
      </c>
      <c r="L213" s="184" t="str">
        <f>VLOOKUP(A213,'Trips&amp;Operators'!$C$1:$G$99911,5,FALSE)</f>
        <v>GUNTHIER ERIC</v>
      </c>
      <c r="M213" s="6">
        <f t="shared" si="168"/>
        <v>6.1458333366317675E-3</v>
      </c>
      <c r="N213" s="7">
        <f t="shared" si="169"/>
        <v>8.8500000047497451</v>
      </c>
      <c r="O213" s="7"/>
      <c r="P213" s="7"/>
      <c r="Q213" s="22"/>
      <c r="R213" s="173"/>
      <c r="S213" s="220">
        <f t="shared" si="170"/>
        <v>1</v>
      </c>
      <c r="T213" s="173" t="str">
        <f t="shared" si="171"/>
        <v>Southbound</v>
      </c>
      <c r="U213" s="19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5" t="str">
        <f t="shared" si="178"/>
        <v>https://d0f6bd738d7f1b3e5a7ca70fe4ff75f0.us-east-1.aws.found.io/app/kibana#/discover/Steve-Slow-Train-Analysis-(2080s-and-2083s)?_g=(refreshInterval:(display:Off,pause:!f,section:0,value:0),time:(from:'2017-11-18T16:39:19-0700',mode:absolute,to:'2017-11-18T18:51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3" s="203" t="str">
        <f>IF(AA213&lt;VLOOKUP(AG213,Variables!$AC$3:$AD$8,2,FALSE),"Y","N")</f>
        <v>Y</v>
      </c>
      <c r="X213" s="203">
        <f t="shared" si="177"/>
        <v>11</v>
      </c>
      <c r="Y213" s="203">
        <f t="shared" si="172"/>
        <v>2.3650000000000002</v>
      </c>
      <c r="Z213" s="203">
        <f t="shared" si="173"/>
        <v>0.109</v>
      </c>
      <c r="AA213" s="203">
        <f t="shared" si="174"/>
        <v>2.2560000000000002</v>
      </c>
      <c r="AB213" s="54" t="e">
        <f>VLOOKUP(A213,Enforcements!$C$7:$K$9,8,0)</f>
        <v>#N/A</v>
      </c>
      <c r="AC213" s="51" t="e">
        <f>VLOOKUP(A213,Enforcements!$C$7:$E$9,3,0)</f>
        <v>#N/A</v>
      </c>
      <c r="AD213" s="178">
        <f t="shared" si="175"/>
        <v>88</v>
      </c>
      <c r="AE213" s="77" t="str">
        <f t="shared" si="179"/>
        <v>aws s3 cp s3://rtdc.mdm.uploadarchive.raw/RTDC4011/ "%USERPROFILE%\AppData\Local\Temp\OnboardLogs"\RTDC4011\2017-11-18 --exclude "*" --recursive --include "*20171118*" &amp; "%USERPROFILE%\Documents\GitHub\mrs-test-scripts\Headless Mode &amp; Sideloading\WalkAndUnGZ.bat" "%USERPROFILE%\AppData\Local\Temp\OnboardLogs"\RTDC4011\2017-11-18 &amp; aws s3 cp s3://rtdc.mdm.uploadarchive.raw/RTDC4011/ "%USERPROFILE%\AppData\Local\Temp\OnboardLogs"\RTDC4011\2017-11-19 --exclude "*" --recursive --include "*20171119*" &amp; "%USERPROFILE%\Documents\GitHub\mrs-test-scripts\Headless Mode &amp; Sideloading\WalkAndUnGZ.bat" "%USERPROFILE%\AppData\Local\Temp\OnboardLogs"\RTDC4011\2017-11-19</v>
      </c>
      <c r="AF213" s="74" t="str">
        <f t="shared" si="180"/>
        <v>"C:\Program Files (x86)\AstroGrep\AstroGrep.exe" /e /r /s /spath="%USERPROFILE%\AppData\Local\Temp\OnboardLogs" /stypes="app*4011*20171119*" /stext=" 00:.+((SYSTEM_STATE.+slice.+state.+changed )|(ment ac)|(multiple cpu faults)|(system.+state.+changed )|(\[timeout)|(PRM\|1\|D)|(kpr)|(kdp)|(train st.+moving)|(\|lc)|(penalty))"</v>
      </c>
      <c r="AG213" s="181" t="str">
        <f t="shared" si="176"/>
        <v>Shuttle/Test</v>
      </c>
      <c r="AH213" s="78" t="str">
        <f t="shared" si="106"/>
        <v>"%USERPROFILE%\Documents\GitHub\eaglep3\Utilities\RefineRTDCRunTimes.py" --tripid 88-18 --locoid 4011 --swversion DE.1.0.9.0 --startMP 300:23650 --initTime 2017-11-18T17:39:19 --startdatetime 2017-11-18T17:42:15 --delay 65 --endMP 204:1090 --enddatetime 2017-11-18T17:51:06 --enforcementcount 0 &gt;&gt;%USERPROFILE%\Documents\GitHub\eaglep3-reporting\EC\2017-11-18-refined-times.txt</v>
      </c>
      <c r="AI213" s="96" t="str">
        <f t="shared" si="107"/>
        <v>echo {"issue":{"subject":"","project_id":79,"tracker_id":40,"status_id":1,"priority_id":2,"assigned_to_id":338,"start_date":"2017-11-18","description":"","custom_fields":[{"id":1,"name":"Subdivision","value":"Shuttle/Test"},{"id":4,"name":"Milepost","value":"0.109"},{"id":17,"name":"Train ID","value":"88-18"},{"id":16,"name":"Locomotive ID","value":"4011"},{"id":130,"name":"Impact","value":""},{"id":150,"name":"Time of Event (Mountain Time)","value":"17:51:06"},{"id":151,"name":"Denver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1" t="str">
        <f t="shared" si="108"/>
        <v>start /low /b %USERPROFILE%\Documents\GitHub\eaglep3\Utilities\DownloadLogsFromS3.py --loco 4011 --day 2017-11-18</v>
      </c>
      <c r="AN213" s="150" t="str">
        <f t="shared" si="109"/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00:51:06"},{"id":29,"name":"Sharepoint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7" t="str">
        <f t="shared" si="110"/>
        <v>https://d0f6bd738d7f1b3e5a7ca70fe4ff75f0.us-east-1.aws.found.io/app/kibana#/discover/Steve-Slow-Train-Analysis-(2080s-and-2083s)?_g=(refreshInterval:(display:Off,pause:!f,section:0,value:0),time:(from:'2017-11-18T16:39:19-0700',mode:absolute,to:'2017-11-18T18:51:06-0700'))&amp;_a=(columns:!('Message%20ID',Summary),filters:!(),index:'emp_*',interval:auto,query:(query_string:(analyze_wildcard:!t,query:'%22rtdc.l.rtdc.4011%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M403"/>
      <c r="AO403"/>
    </row>
    <row r="404" spans="1:9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M413"/>
      <c r="AO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s="20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s="2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s="20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s="20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s="20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s="20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s="20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s="20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s="20" customForma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s="20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4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4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4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4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4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4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4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4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4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4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4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4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4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4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4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4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4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4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</sheetData>
  <autoFilter ref="A12:AG509">
    <sortState ref="A13:AG509">
      <sortCondition ref="AG13:AG213"/>
      <sortCondition ref="AD13:AD213"/>
    </sortState>
  </autoFilter>
  <sortState ref="A13:AN414">
    <sortCondition ref="AG13:AG414"/>
    <sortCondition ref="AD13:AD414"/>
  </sortState>
  <mergeCells count="1">
    <mergeCell ref="A11:P11"/>
  </mergeCells>
  <conditionalFormatting sqref="W11:W12 W515:X1048576 W13:X213">
    <cfRule type="cellIs" dxfId="10" priority="465" operator="equal">
      <formula>"Y"</formula>
    </cfRule>
  </conditionalFormatting>
  <conditionalFormatting sqref="X515:X1048576 X13:X213">
    <cfRule type="cellIs" dxfId="9" priority="448" operator="greaterThan">
      <formula>1</formula>
    </cfRule>
  </conditionalFormatting>
  <conditionalFormatting sqref="X515:X1048576 X12:X213">
    <cfRule type="cellIs" dxfId="8" priority="445" operator="equal">
      <formula>0</formula>
    </cfRule>
  </conditionalFormatting>
  <conditionalFormatting sqref="A13:S213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A13:S213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AK13:AK213</xm:sqref>
        </x14:dataValidation>
        <x14:dataValidation type="list" allowBlank="1" showInputMessage="1" showErrorMessage="1">
          <x14:formula1>
            <xm:f>'Redmine List Values'!$C$2:$C$15</xm:f>
          </x14:formula1>
          <xm:sqref>AL13:AL213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2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2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7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6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1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1">
        <f>COUNTIF($O$7:$O$176,"=Y")</f>
        <v>10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2">
        <f>COUNTA($O$7:$O$176)-O2</f>
        <v>16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25">
      <c r="A5" s="225" t="str">
        <f>"Eagle P3 Braking Events - "&amp;TEXT(Variables!$A$2,"YYYY-mm-dd")</f>
        <v>Eagle P3 Braking Events - 2017-11-18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25">
      <c r="A7" s="31">
        <v>43058.05840277778</v>
      </c>
      <c r="B7" s="30" t="s">
        <v>362</v>
      </c>
      <c r="C7" s="30" t="s">
        <v>700</v>
      </c>
      <c r="D7" s="30" t="s">
        <v>49</v>
      </c>
      <c r="E7" s="30" t="s">
        <v>183</v>
      </c>
      <c r="F7" s="42">
        <v>200</v>
      </c>
      <c r="G7" s="42">
        <v>319</v>
      </c>
      <c r="H7" s="42">
        <v>36005</v>
      </c>
      <c r="I7" s="42">
        <v>35319</v>
      </c>
      <c r="J7" s="30" t="s">
        <v>184</v>
      </c>
      <c r="K7" s="42">
        <v>33257</v>
      </c>
      <c r="L7" s="131" t="s">
        <v>51</v>
      </c>
      <c r="M7" s="132">
        <f t="shared" ref="M7:M32" si="0">CONVERT((I7-K7)/10000,"mi","ft")*IF(L7="Increasing Mileposts (1)",-1,1)</f>
        <v>1088.7360000000001</v>
      </c>
      <c r="N7" s="133" t="str">
        <f>VLOOKUP(C7,'Trips&amp;Operators'!$C$1:$G$99911,5,FALSE)</f>
        <v>ELBAUM MIKE</v>
      </c>
      <c r="O7" s="175" t="s">
        <v>178</v>
      </c>
      <c r="P7" s="134" t="s">
        <v>701</v>
      </c>
      <c r="Q7" s="30"/>
      <c r="R7" s="81" t="str">
        <f>VLOOKUP(C7,'Train Runs'!$A$13:$AE$10168,31,0)</f>
        <v>aws s3 cp s3://rtdc.mdm.uploadarchive.raw/RTDC4017/ "%USERPROFILE%\AppData\Local\Temp\OnboardLogs"\RTDC4017\2017-11-19 --exclude "*" --recursive --include "*20171119*" &amp; "%USERPROFILE%\Documents\GitHub\mrs-test-scripts\Headless Mode &amp; Sideloading\WalkAndUnGZ.bat" "%USERPROFILE%\AppData\Local\Temp\OnboardLogs"\RTDC4017\2017-11-19 &amp; aws s3 cp s3://rtdc.mdm.uploadarchive.raw/RTDC4017/ "%USERPROFILE%\AppData\Local\Temp\OnboardLogs"\RTDC4017\2017-11-20 --exclude "*" --recursive --include "*20171120*" &amp; "%USERPROFILE%\Documents\GitHub\mrs-test-scripts\Headless Mode &amp; Sideloading\WalkAndUnGZ.bat" "%USERPROFILE%\AppData\Local\Temp\OnboardLogs"\RTDC4017\2017-11-20</v>
      </c>
      <c r="S7" s="84" t="str">
        <f>VLOOKUP(C7,'Train Runs'!$A$13:$AE$10168,22,0)</f>
        <v>https://d0f6bd738d7f1b3e5a7ca70fe4ff75f0.us-east-1.aws.found.io/app/kibana#/discover/Steve-Slow-Train-Analysis-(2080s-and-2083s)?_g=(refreshInterval:(display:Off,pause:!f,section:0,value:0),time:(from:'2017-11-18T23:50:13-0700',mode:absolute,to:'2017-11-19T02:33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7" s="86" t="str">
        <f t="shared" ref="T7:T32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/stypes="*4017*201711190*" /stext=" 08:.+((SYSTEM_STATE.+slice.+state.+changed )|(ment ac)|(multiple cpu faults)|(system.+state.+changed )|(\[timeout)|(PRM\|1\|D)|(kpr)|(kdp)|(train st.+moving)|(\|lc)|(penalty))"</v>
      </c>
      <c r="U7" s="9" t="str">
        <f t="shared" ref="U7:U32" si="2">MID(B7,13,4)</f>
        <v>4017</v>
      </c>
      <c r="V7" s="31">
        <f t="shared" ref="V7:V32" si="3">A7-utc_offset/24</f>
        <v>43058.350069444445</v>
      </c>
      <c r="W7" s="45" t="str">
        <f t="shared" ref="W7:W32" si="4">DetSubdiv(C7)</f>
        <v>EC</v>
      </c>
      <c r="X7" s="22">
        <f t="shared" ref="X7:X32" si="5">VALUE(LEFT(C7,LEN(C7)-3))</f>
        <v>242</v>
      </c>
      <c r="Y7" s="96" t="str">
        <f t="shared" ref="Y7:Y3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Arrival","project_id":79,"tracker_id":40,"status_id":1,"priority_id":2,"assigned_to_id":338,"start_date":"2017-11-19","description":"","custom_fields":[{"id":1,"name":"Subdivision","value":"EC"},{"id":4,"name":"Milepost","value":"3.3257"},{"id":17,"name":"Train ID","value":"242-18"},{"id":16,"name":"Locomotive ID","value":"4017"},{"id":130,"name":"Impact","value":""},{"id":150,"name":"Time of Event (Mountain Time)","value":"01:24:06"},{"id":151,"name":"Denver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32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/c/Users/stu/AppData/Local/Temp/OnboardLogs/RTDC4017 --include="*4017*201711190*"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"%USERPROFILE%\AppData\Local\Temp\OnboardLogs"\RTDC4017\*4017*201711190* &gt;&gt; 2017-11-18-SliceDisagreementCheck.txt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4017 --day 2017-11-19</v>
      </c>
    </row>
    <row r="8" spans="1:32" s="1" customFormat="1" x14ac:dyDescent="0.25">
      <c r="A8" s="31">
        <v>43057.328958333332</v>
      </c>
      <c r="B8" s="30" t="s">
        <v>532</v>
      </c>
      <c r="C8" s="30" t="s">
        <v>675</v>
      </c>
      <c r="D8" s="30" t="s">
        <v>49</v>
      </c>
      <c r="E8" s="30" t="s">
        <v>183</v>
      </c>
      <c r="F8" s="42">
        <v>500</v>
      </c>
      <c r="G8" s="42">
        <v>567</v>
      </c>
      <c r="H8" s="42">
        <v>44402</v>
      </c>
      <c r="I8" s="42">
        <v>42086</v>
      </c>
      <c r="J8" s="30" t="s">
        <v>184</v>
      </c>
      <c r="K8" s="42">
        <v>42961</v>
      </c>
      <c r="L8" s="131" t="s">
        <v>51</v>
      </c>
      <c r="M8" s="132">
        <f t="shared" si="0"/>
        <v>-462</v>
      </c>
      <c r="N8" s="133" t="str">
        <f>VLOOKUP(C8,'Trips&amp;Operators'!$C$1:$G$99911,5,FALSE)</f>
        <v>BARRON PERLA</v>
      </c>
      <c r="O8" s="175" t="s">
        <v>178</v>
      </c>
      <c r="P8" s="134" t="s">
        <v>701</v>
      </c>
      <c r="Q8" s="30"/>
      <c r="R8" s="81" t="str">
        <f>VLOOKUP(C8,'Train Runs'!$A$13:$AE$10168,31,0)</f>
        <v>aws s3 cp s3://rtdc.mdm.uploadarchive.raw/RTDC4025/ "%USERPROFILE%\AppData\Local\Temp\OnboardLogs"\RTDC4025\2017-11-18 --exclude "*" --recursive --include "*20171118*" &amp; "%USERPROFILE%\Documents\GitHub\mrs-test-scripts\Headless Mode &amp; Sideloading\WalkAndUnGZ.bat" "%USERPROFILE%\AppData\Local\Temp\OnboardLogs"\RTDC4025\2017-11-18 &amp; aws s3 cp s3://rtdc.mdm.uploadarchive.raw/RTDC4025/ "%USERPROFILE%\AppData\Local\Temp\OnboardLogs"\RTDC4025\2017-11-19 --exclude "*" --recursive --include "*20171119*" &amp; "%USERPROFILE%\Documents\GitHub\mrs-test-scripts\Headless Mode &amp; Sideloading\WalkAndUnGZ.bat" "%USERPROFILE%\AppData\Local\Temp\OnboardLogs"\RTDC4025\2017-11-19</v>
      </c>
      <c r="S8" s="84" t="str">
        <f>VLOOKUP(C8,'Train Runs'!$A$13:$AE$10168,22,0)</f>
        <v>https://d0f6bd738d7f1b3e5a7ca70fe4ff75f0.us-east-1.aws.found.io/app/kibana#/discover/Steve-Slow-Train-Analysis-(2080s-and-2083s)?_g=(refreshInterval:(display:Off,pause:!f,section:0,value:0),time:(from:'2017-11-18T06:11:56-0700',mode:absolute,to:'2017-11-18T09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8" s="86" t="str">
        <f t="shared" si="1"/>
        <v>"C:\Program Files (x86)\AstroGrep\AstroGrep.exe" /e /r /s /spath="%USERPROFILE%\AppData\Local\Temp\OnboardLogs" /stypes="*4025*201711181*" /stext=" 14:.+((SYSTEM_STATE.+slice.+state.+changed )|(ment ac)|(multiple cpu faults)|(system.+state.+changed )|(\[timeout)|(PRM\|1\|D)|(kpr)|(kdp)|(train st.+moving)|(\|lc)|(penalty))"</v>
      </c>
      <c r="U8" s="9" t="str">
        <f t="shared" si="2"/>
        <v>4025</v>
      </c>
      <c r="V8" s="31">
        <f t="shared" si="3"/>
        <v>43057.620624999996</v>
      </c>
      <c r="W8" s="45" t="str">
        <f t="shared" si="4"/>
        <v>EC</v>
      </c>
      <c r="X8" s="22">
        <f t="shared" si="5"/>
        <v>124</v>
      </c>
      <c r="Y8" s="96" t="str">
        <f t="shared" si="6"/>
        <v>echo {"issue":{"subject":"Early Arrival","project_id":79,"tracker_id":40,"status_id":1,"priority_id":2,"assigned_to_id":338,"start_date":"2017-11-18","description":"","custom_fields":[{"id":1,"name":"Subdivision","value":"EC"},{"id":4,"name":"Milepost","value":"4.2961"},{"id":17,"name":"Train ID","value":"124-18"},{"id":16,"name":"Locomotive ID","value":"4025"},{"id":130,"name":"Impact","value":""},{"id":150,"name":"Time of Event (Mountain Time)","value":"07:53:42"},{"id":151,"name":"Denver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47"/>
      <c r="AB8" s="47"/>
      <c r="AC8" s="115" t="str">
        <f t="shared" si="7"/>
        <v>grep -hrE -A400 "Enforcement Action" /c/Users/stu/AppData/Local/Temp/OnboardLogs/RTDC4025 --include="*4025*201711181*"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"%USERPROFILE%\AppData\Local\Temp\OnboardLogs"\RTDC4025\*4025*201711181* &gt;&gt; 2017-11-18-SliceDisagreementCheck.txt</v>
      </c>
      <c r="AE8" s="144" t="str">
        <f t="shared" ref="AE8:AE32" si="9">"start /low /b "&amp;dls3logs&amp;" --loco "&amp;U8&amp;" --day "&amp;TEXT(V8,"YYYY-MM-DD")</f>
        <v>start /low /b %USERPROFILE%\Documents\GitHub\eaglep3\Utilities\DownloadLogsFromS3.py --loco 4025 --day 2017-11-18</v>
      </c>
    </row>
    <row r="9" spans="1:32" s="1" customFormat="1" x14ac:dyDescent="0.25">
      <c r="A9" s="31">
        <v>43057.796134259261</v>
      </c>
      <c r="B9" s="30" t="s">
        <v>516</v>
      </c>
      <c r="C9" s="30" t="s">
        <v>689</v>
      </c>
      <c r="D9" s="30" t="s">
        <v>49</v>
      </c>
      <c r="E9" s="30" t="s">
        <v>183</v>
      </c>
      <c r="F9" s="42">
        <v>0</v>
      </c>
      <c r="G9" s="42">
        <v>298</v>
      </c>
      <c r="H9" s="42">
        <v>58606</v>
      </c>
      <c r="I9" s="42">
        <v>57908</v>
      </c>
      <c r="J9" s="30" t="s">
        <v>184</v>
      </c>
      <c r="K9" s="42">
        <v>58301</v>
      </c>
      <c r="L9" s="131" t="s">
        <v>51</v>
      </c>
      <c r="M9" s="132">
        <f t="shared" si="0"/>
        <v>-207.50399999999999</v>
      </c>
      <c r="N9" s="133" t="str">
        <f>VLOOKUP(C9,'Trips&amp;Operators'!$C$1:$G$99911,5,FALSE)</f>
        <v>FORTUNATO FRANK</v>
      </c>
      <c r="O9" s="175" t="s">
        <v>178</v>
      </c>
      <c r="P9" s="134" t="s">
        <v>701</v>
      </c>
      <c r="Q9" s="30"/>
      <c r="R9" s="81" t="str">
        <f>VLOOKUP(C9,'Train Runs'!$A$13:$AE$10168,31,0)</f>
        <v>aws s3 cp s3://rtdc.mdm.uploadarchive.raw/RTDC4003/ "%USERPROFILE%\AppData\Local\Temp\OnboardLogs"\RTDC4003\2017-11-18 --exclude "*" --recursive --include "*20171118*" &amp; "%USERPROFILE%\Documents\GitHub\mrs-test-scripts\Headless Mode &amp; Sideloading\WalkAndUnGZ.bat" "%USERPROFILE%\AppData\Local\Temp\OnboardLogs"\RTDC4003\2017-11-18 &amp; aws s3 cp s3://rtdc.mdm.uploadarchive.raw/RTDC4003/ "%USERPROFILE%\AppData\Local\Temp\OnboardLogs"\RTDC4003\2017-11-19 --exclude "*" --recursive --include "*20171119*" &amp; "%USERPROFILE%\Documents\GitHub\mrs-test-scripts\Headless Mode &amp; Sideloading\WalkAndUnGZ.bat" "%USERPROFILE%\AppData\Local\Temp\OnboardLogs"\RTDC4003\2017-11-19</v>
      </c>
      <c r="S9" s="84" t="str">
        <f>VLOOKUP(C9,'Train Runs'!$A$13:$AE$10168,22,0)</f>
        <v>https://d0f6bd738d7f1b3e5a7ca70fe4ff75f0.us-east-1.aws.found.io/app/kibana#/discover/Steve-Slow-Train-Analysis-(2080s-and-2083s)?_g=(refreshInterval:(display:Off,pause:!f,section:0,value:0),time:(from:'2017-11-18T17:26:04-0700',mode:absolute,to:'2017-11-18T20:19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9" s="86" t="str">
        <f t="shared" si="1"/>
        <v>"C:\Program Files (x86)\AstroGrep\AstroGrep.exe" /e /r /s /spath="%USERPROFILE%\AppData\Local\Temp\OnboardLogs" /stypes="*4003*201711190*" /stext=" 02:.+((SYSTEM_STATE.+slice.+state.+changed )|(ment ac)|(multiple cpu faults)|(system.+state.+changed )|(\[timeout)|(PRM\|1\|D)|(kpr)|(kdp)|(train st.+moving)|(\|lc)|(penalty))"</v>
      </c>
      <c r="U9" s="9" t="str">
        <f t="shared" si="2"/>
        <v>4003</v>
      </c>
      <c r="V9" s="31">
        <f t="shared" si="3"/>
        <v>43058.087800925925</v>
      </c>
      <c r="W9" s="45" t="str">
        <f t="shared" si="4"/>
        <v>EC</v>
      </c>
      <c r="X9" s="22">
        <f t="shared" si="5"/>
        <v>214</v>
      </c>
      <c r="Y9" s="96" t="str">
        <f t="shared" si="6"/>
        <v>echo {"issue":{"subject":"Early Arrival","project_id":79,"tracker_id":40,"status_id":1,"priority_id":2,"assigned_to_id":338,"start_date":"2017-11-18","description":"","custom_fields":[{"id":1,"name":"Subdivision","value":"EC"},{"id":4,"name":"Milepost","value":"5.8301"},{"id":17,"name":"Train ID","value":"214-18"},{"id":16,"name":"Locomotive ID","value":"4003"},{"id":130,"name":"Impact","value":""},{"id":150,"name":"Time of Event (Mountain Time)","value":"19:06:26"},{"id":151,"name":"Denver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47"/>
      <c r="AB9" s="47"/>
      <c r="AC9" s="115" t="str">
        <f t="shared" si="7"/>
        <v>grep -hrE -A400 "Enforcement Action" /c/Users/stu/AppData/Local/Temp/OnboardLogs/RTDC4003 --include="*4003*201711190*"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"%USERPROFILE%\AppData\Local\Temp\OnboardLogs"\RTDC4003\*4003*201711190* &gt;&gt; 2017-11-18-SliceDisagreementCheck.txt</v>
      </c>
      <c r="AE9" s="144" t="str">
        <f t="shared" si="9"/>
        <v>start /low /b %USERPROFILE%\Documents\GitHub\eaglep3\Utilities\DownloadLogsFromS3.py --loco 4003 --day 2017-11-19</v>
      </c>
    </row>
    <row r="10" spans="1:32" x14ac:dyDescent="0.25">
      <c r="A10" s="31">
        <v>43057.890162037038</v>
      </c>
      <c r="B10" s="30" t="s">
        <v>362</v>
      </c>
      <c r="C10" s="30" t="s">
        <v>694</v>
      </c>
      <c r="D10" s="30" t="s">
        <v>49</v>
      </c>
      <c r="E10" s="30" t="s">
        <v>183</v>
      </c>
      <c r="F10" s="42">
        <v>320</v>
      </c>
      <c r="G10" s="42">
        <v>381</v>
      </c>
      <c r="H10" s="42">
        <v>58966</v>
      </c>
      <c r="I10" s="42">
        <v>57883</v>
      </c>
      <c r="J10" s="30" t="s">
        <v>184</v>
      </c>
      <c r="K10" s="42">
        <v>58301</v>
      </c>
      <c r="L10" s="131" t="s">
        <v>51</v>
      </c>
      <c r="M10" s="132">
        <f t="shared" si="0"/>
        <v>-220.70400000000001</v>
      </c>
      <c r="N10" s="133" t="str">
        <f>VLOOKUP(C10,'Trips&amp;Operators'!$C$1:$G$99911,5,FALSE)</f>
        <v>ELBAUM MIKE</v>
      </c>
      <c r="O10" s="175" t="s">
        <v>178</v>
      </c>
      <c r="P10" s="134" t="s">
        <v>701</v>
      </c>
      <c r="Q10" s="30"/>
      <c r="R10" s="81" t="str">
        <f>VLOOKUP(C10,'Train Runs'!$A$13:$AE$10168,31,0)</f>
        <v>aws s3 cp s3://rtdc.mdm.uploadarchive.raw/RTDC4017/ "%USERPROFILE%\AppData\Local\Temp\OnboardLogs"\RTDC4017\2017-11-18 --exclude "*" --recursive --include "*20171118*" &amp; "%USERPROFILE%\Documents\GitHub\mrs-test-scripts\Headless Mode &amp; Sideloading\WalkAndUnGZ.bat" "%USERPROFILE%\AppData\Local\Temp\OnboardLogs"\RTDC4017\2017-11-18 &amp; aws s3 cp s3://rtdc.mdm.uploadarchive.raw/RTDC4017/ "%USERPROFILE%\AppData\Local\Temp\OnboardLogs"\RTDC4017\2017-11-19 --exclude "*" --recursive --include "*20171119*" &amp; "%USERPROFILE%\Documents\GitHub\mrs-test-scripts\Headless Mode &amp; Sideloading\WalkAndUnGZ.bat" "%USERPROFILE%\AppData\Local\Temp\OnboardLogs"\RTDC4017\2017-11-19</v>
      </c>
      <c r="S10" s="84" t="str">
        <f>VLOOKUP(C10,'Train Runs'!$A$13:$AE$10168,22,0)</f>
        <v>https://d0f6bd738d7f1b3e5a7ca70fe4ff75f0.us-east-1.aws.found.io/app/kibana#/discover/Steve-Slow-Train-Analysis-(2080s-and-2083s)?_g=(refreshInterval:(display:Off,pause:!f,section:0,value:0),time:(from:'2017-11-18T19:37:47-0700',mode:absolute,to:'2017-11-18T22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0" s="86" t="str">
        <f t="shared" si="1"/>
        <v>"C:\Program Files (x86)\AstroGrep\AstroGrep.exe" /e /r /s /spath="%USERPROFILE%\AppData\Local\Temp\OnboardLogs" /stypes="*4017*201711190*" /stext=" 04:.+((SYSTEM_STATE.+slice.+state.+changed )|(ment ac)|(multiple cpu faults)|(system.+state.+changed )|(\[timeout)|(PRM\|1\|D)|(kpr)|(kdp)|(train st.+moving)|(\|lc)|(penalty))"</v>
      </c>
      <c r="U10" s="9" t="str">
        <f t="shared" si="2"/>
        <v>4017</v>
      </c>
      <c r="V10" s="31">
        <f t="shared" si="3"/>
        <v>43058.181828703702</v>
      </c>
      <c r="W10" s="45" t="str">
        <f t="shared" si="4"/>
        <v>EC</v>
      </c>
      <c r="X10" s="22">
        <f t="shared" si="5"/>
        <v>226</v>
      </c>
      <c r="Y10" s="96" t="str">
        <f t="shared" si="6"/>
        <v>echo {"issue":{"subject":"Early Arrival","project_id":79,"tracker_id":40,"status_id":1,"priority_id":2,"assigned_to_id":338,"start_date":"2017-11-18","description":"","custom_fields":[{"id":1,"name":"Subdivision","value":"EC"},{"id":4,"name":"Milepost","value":"5.8301"},{"id":17,"name":"Train ID","value":"226-18"},{"id":16,"name":"Locomotive ID","value":"4017"},{"id":130,"name":"Impact","value":""},{"id":150,"name":"Time of Event (Mountain Time)","value":"21:21:50"},{"id":151,"name":"Denver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47"/>
      <c r="AB10" s="47"/>
      <c r="AC10" s="115" t="str">
        <f t="shared" si="7"/>
        <v>grep -hrE -A400 "Enforcement Action" /c/Users/stu/AppData/Local/Temp/OnboardLogs/RTDC4017 --include="*4017*201711190*"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"%USERPROFILE%\AppData\Local\Temp\OnboardLogs"\RTDC4017\*4017*201711190* &gt;&gt; 2017-11-18-SliceDisagreementCheck.txt</v>
      </c>
      <c r="AE10" s="144" t="str">
        <f t="shared" si="9"/>
        <v>start /low /b %USERPROFILE%\Documents\GitHub\eaglep3\Utilities\DownloadLogsFromS3.py --loco 4017 --day 2017-11-19</v>
      </c>
      <c r="AF10" s="1"/>
    </row>
    <row r="11" spans="1:32" x14ac:dyDescent="0.25">
      <c r="A11" s="31">
        <v>43057.446296296293</v>
      </c>
      <c r="B11" s="30" t="s">
        <v>384</v>
      </c>
      <c r="C11" s="30" t="s">
        <v>679</v>
      </c>
      <c r="D11" s="30" t="s">
        <v>49</v>
      </c>
      <c r="E11" s="30" t="s">
        <v>183</v>
      </c>
      <c r="F11" s="42">
        <v>0</v>
      </c>
      <c r="G11" s="42">
        <v>487</v>
      </c>
      <c r="H11" s="42">
        <v>58147</v>
      </c>
      <c r="I11" s="42">
        <v>59435</v>
      </c>
      <c r="J11" s="30" t="s">
        <v>184</v>
      </c>
      <c r="K11" s="42">
        <v>58783</v>
      </c>
      <c r="L11" s="131" t="s">
        <v>50</v>
      </c>
      <c r="M11" s="132">
        <f t="shared" si="0"/>
        <v>-344.25599999999997</v>
      </c>
      <c r="N11" s="133" t="str">
        <f>VLOOKUP(C11,'Trips&amp;Operators'!$C$1:$G$99911,5,FALSE)</f>
        <v>MACDONALD THOMAS</v>
      </c>
      <c r="O11" s="175" t="s">
        <v>178</v>
      </c>
      <c r="P11" s="134" t="s">
        <v>701</v>
      </c>
      <c r="Q11" s="30"/>
      <c r="R11" s="81" t="str">
        <f>VLOOKUP(C11,'Train Runs'!$A$13:$AE$10168,31,0)</f>
        <v>aws s3 cp s3://rtdc.mdm.uploadarchive.raw/RTDC4022/ "%USERPROFILE%\AppData\Local\Temp\OnboardLogs"\RTDC4022\2017-11-18 --exclude "*" --recursive --include "*20171118*" &amp; "%USERPROFILE%\Documents\GitHub\mrs-test-scripts\Headless Mode &amp; Sideloading\WalkAndUnGZ.bat" "%USERPROFILE%\AppData\Local\Temp\OnboardLogs"\RTDC4022\2017-11-18 &amp; aws s3 cp s3://rtdc.mdm.uploadarchive.raw/RTDC4022/ "%USERPROFILE%\AppData\Local\Temp\OnboardLogs"\RTDC4022\2017-11-19 --exclude "*" --recursive --include "*20171119*" &amp; "%USERPROFILE%\Documents\GitHub\mrs-test-scripts\Headless Mode &amp; Sideloading\WalkAndUnGZ.bat" "%USERPROFILE%\AppData\Local\Temp\OnboardLogs"\RTDC4022\2017-11-19</v>
      </c>
      <c r="S11" s="84" t="str">
        <f>VLOOKUP(C11,'Train Runs'!$A$13:$AE$10168,22,0)</f>
        <v>https://d0f6bd738d7f1b3e5a7ca70fe4ff75f0.us-east-1.aws.found.io/app/kibana#/discover/Steve-Slow-Train-Analysis-(2080s-and-2083s)?_g=(refreshInterval:(display:Off,pause:!f,section:0,value:0),time:(from:'2017-11-18T09:26:34-0700',mode:absolute,to:'2017-11-18T12:08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1" s="86" t="str">
        <f t="shared" si="1"/>
        <v>"C:\Program Files (x86)\AstroGrep\AstroGrep.exe" /e /r /s /spath="%USERPROFILE%\AppData\Local\Temp\OnboardLogs" /stypes="*4022*201711181*" /stext=" 17:.+((SYSTEM_STATE.+slice.+state.+changed )|(ment ac)|(multiple cpu faults)|(system.+state.+changed )|(\[timeout)|(PRM\|1\|D)|(kpr)|(kdp)|(train st.+moving)|(\|lc)|(penalty))"</v>
      </c>
      <c r="U11" s="9" t="str">
        <f t="shared" si="2"/>
        <v>4022</v>
      </c>
      <c r="V11" s="31">
        <f t="shared" si="3"/>
        <v>43057.737962962958</v>
      </c>
      <c r="W11" s="45" t="str">
        <f t="shared" si="4"/>
        <v>EC</v>
      </c>
      <c r="X11" s="22">
        <f t="shared" si="5"/>
        <v>155</v>
      </c>
      <c r="Y11" s="96" t="str">
        <f t="shared" si="6"/>
        <v>echo {"issue":{"subject":"Early Arrival","project_id":79,"tracker_id":40,"status_id":1,"priority_id":2,"assigned_to_id":338,"start_date":"2017-11-18","description":"","custom_fields":[{"id":1,"name":"Subdivision","value":"EC"},{"id":4,"name":"Milepost","value":"5.8783"},{"id":17,"name":"Train ID","value":"155-18"},{"id":16,"name":"Locomotive ID","value":"4022"},{"id":130,"name":"Impact","value":""},{"id":150,"name":"Time of Event (Mountain Time)","value":"10:42:40"},{"id":151,"name":"Denver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47"/>
      <c r="AB11" s="47"/>
      <c r="AC11" s="115" t="str">
        <f t="shared" si="7"/>
        <v>grep -hrE -A400 "Enforcement Action" /c/Users/stu/AppData/Local/Temp/OnboardLogs/RTDC4022 --include="*4022*201711181*"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"%USERPROFILE%\AppData\Local\Temp\OnboardLogs"\RTDC4022\*4022*201711181* &gt;&gt; 2017-11-18-SliceDisagreementCheck.txt</v>
      </c>
      <c r="AE11" s="144" t="str">
        <f t="shared" si="9"/>
        <v>start /low /b %USERPROFILE%\Documents\GitHub\eaglep3\Utilities\DownloadLogsFromS3.py --loco 4022 --day 2017-11-18</v>
      </c>
      <c r="AF11" s="1"/>
    </row>
    <row r="12" spans="1:32" x14ac:dyDescent="0.25">
      <c r="A12" s="31">
        <v>43057.337384259263</v>
      </c>
      <c r="B12" s="30" t="s">
        <v>361</v>
      </c>
      <c r="C12" s="30" t="s">
        <v>676</v>
      </c>
      <c r="D12" s="30" t="s">
        <v>49</v>
      </c>
      <c r="E12" s="30" t="s">
        <v>183</v>
      </c>
      <c r="F12" s="42">
        <v>120</v>
      </c>
      <c r="G12" s="42">
        <v>170</v>
      </c>
      <c r="H12" s="42">
        <v>63979</v>
      </c>
      <c r="I12" s="42">
        <v>63554</v>
      </c>
      <c r="J12" s="30" t="s">
        <v>184</v>
      </c>
      <c r="K12" s="42">
        <v>63309</v>
      </c>
      <c r="L12" s="131" t="s">
        <v>51</v>
      </c>
      <c r="M12" s="132">
        <f t="shared" si="0"/>
        <v>129.36000000000001</v>
      </c>
      <c r="N12" s="133" t="str">
        <f>VLOOKUP(C12,'Trips&amp;Operators'!$C$1:$G$99911,5,FALSE)</f>
        <v>THOMPSON LESTER</v>
      </c>
      <c r="O12" s="175" t="s">
        <v>178</v>
      </c>
      <c r="P12" s="134" t="s">
        <v>701</v>
      </c>
      <c r="Q12" s="30"/>
      <c r="R12" s="81" t="str">
        <f>VLOOKUP(C12,'Train Runs'!$A$13:$AE$10168,31,0)</f>
        <v>aws s3 cp s3://rtdc.mdm.uploadarchive.raw/RTDC4007/ "%USERPROFILE%\AppData\Local\Temp\OnboardLogs"\RTDC4007\2017-11-18 --exclude "*" --recursive --include "*20171118*" &amp; "%USERPROFILE%\Documents\GitHub\mrs-test-scripts\Headless Mode &amp; Sideloading\WalkAndUnGZ.bat" "%USERPROFILE%\AppData\Local\Temp\OnboardLogs"\RTDC4007\2017-11-18 &amp; aws s3 cp s3://rtdc.mdm.uploadarchive.raw/RTDC4007/ "%USERPROFILE%\AppData\Local\Temp\OnboardLogs"\RTDC4007\2017-11-19 --exclude "*" --recursive --include "*20171119*" &amp; "%USERPROFILE%\Documents\GitHub\mrs-test-scripts\Headless Mode &amp; Sideloading\WalkAndUnGZ.bat" "%USERPROFILE%\AppData\Local\Temp\OnboardLogs"\RTDC4007\2017-11-19</v>
      </c>
      <c r="S12" s="84" t="str">
        <f>VLOOKUP(C12,'Train Runs'!$A$13:$AE$10168,22,0)</f>
        <v>https://d0f6bd738d7f1b3e5a7ca70fe4ff75f0.us-east-1.aws.found.io/app/kibana#/discover/Steve-Slow-Train-Analysis-(2080s-and-2083s)?_g=(refreshInterval:(display:Off,pause:!f,section:0,value:0),time:(from:'2017-11-18T06:38:22-0700',mode:absolute,to:'2017-11-18T09:21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2" s="86" t="str">
        <f t="shared" si="1"/>
        <v>"C:\Program Files (x86)\AstroGrep\AstroGrep.exe" /e /r /s /spath="%USERPROFILE%\AppData\Local\Temp\OnboardLogs" /stypes="*4007*201711181*" /stext=" 15:.+((SYSTEM_STATE.+slice.+state.+changed )|(ment ac)|(multiple cpu faults)|(system.+state.+changed )|(\[timeout)|(PRM\|1\|D)|(kpr)|(kdp)|(train st.+moving)|(\|lc)|(penalty))"</v>
      </c>
      <c r="U12" s="9" t="str">
        <f t="shared" si="2"/>
        <v>4007</v>
      </c>
      <c r="V12" s="31">
        <f t="shared" si="3"/>
        <v>43057.629050925927</v>
      </c>
      <c r="W12" s="45" t="str">
        <f t="shared" si="4"/>
        <v>EC</v>
      </c>
      <c r="X12" s="22">
        <f t="shared" si="5"/>
        <v>126</v>
      </c>
      <c r="Y12" s="96" t="str">
        <f t="shared" si="6"/>
        <v>echo {"issue":{"subject":"Early Arrival","project_id":79,"tracker_id":40,"status_id":1,"priority_id":2,"assigned_to_id":338,"start_date":"2017-11-18","description":"","custom_fields":[{"id":1,"name":"Subdivision","value":"EC"},{"id":4,"name":"Milepost","value":"6.3309"},{"id":17,"name":"Train ID","value":"126-18"},{"id":16,"name":"Locomotive ID","value":"4007"},{"id":130,"name":"Impact","value":""},{"id":150,"name":"Time of Event (Mountain Time)","value":"08:05:50"},{"id":151,"name":"Denver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47"/>
      <c r="AB12" s="47"/>
      <c r="AC12" s="115" t="str">
        <f t="shared" si="7"/>
        <v>grep -hrE -A400 "Enforcement Action" /c/Users/stu/AppData/Local/Temp/OnboardLogs/RTDC4007 --include="*4007*201711181*"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"%USERPROFILE%\AppData\Local\Temp\OnboardLogs"\RTDC4007\*4007*201711181* &gt;&gt; 2017-11-18-SliceDisagreementCheck.txt</v>
      </c>
      <c r="AE12" s="144" t="str">
        <f t="shared" si="9"/>
        <v>start /low /b %USERPROFILE%\Documents\GitHub\eaglep3\Utilities\DownloadLogsFromS3.py --loco 4007 --day 2017-11-18</v>
      </c>
      <c r="AF12" s="1"/>
    </row>
    <row r="13" spans="1:32" x14ac:dyDescent="0.25">
      <c r="A13" s="31">
        <v>43057.855000000003</v>
      </c>
      <c r="B13" s="30" t="s">
        <v>361</v>
      </c>
      <c r="C13" s="30" t="s">
        <v>693</v>
      </c>
      <c r="D13" s="30" t="s">
        <v>49</v>
      </c>
      <c r="E13" s="30" t="s">
        <v>190</v>
      </c>
      <c r="F13" s="42">
        <v>450</v>
      </c>
      <c r="G13" s="42">
        <v>503</v>
      </c>
      <c r="H13" s="42">
        <v>17290</v>
      </c>
      <c r="I13" s="42">
        <v>14162</v>
      </c>
      <c r="J13" s="30" t="s">
        <v>191</v>
      </c>
      <c r="K13" s="42">
        <v>15167</v>
      </c>
      <c r="L13" s="131" t="s">
        <v>51</v>
      </c>
      <c r="M13" s="132">
        <f t="shared" si="0"/>
        <v>-530.64</v>
      </c>
      <c r="N13" s="133" t="str">
        <f>VLOOKUP(C13,'Trips&amp;Operators'!$C$1:$G$99911,5,FALSE)</f>
        <v>ANDERS STEVEN</v>
      </c>
      <c r="O13" s="175" t="s">
        <v>178</v>
      </c>
      <c r="P13" s="134"/>
      <c r="Q13" s="30"/>
      <c r="R13" s="81" t="str">
        <f>VLOOKUP(C13,'Train Runs'!$A$13:$AE$10168,31,0)</f>
        <v>aws s3 cp s3://rtdc.mdm.uploadarchive.raw/RTDC4007/ "%USERPROFILE%\AppData\Local\Temp\OnboardLogs"\RTDC4007\2017-11-18 --exclude "*" --recursive --include "*20171118*" &amp; "%USERPROFILE%\Documents\GitHub\mrs-test-scripts\Headless Mode &amp; Sideloading\WalkAndUnGZ.bat" "%USERPROFILE%\AppData\Local\Temp\OnboardLogs"\RTDC4007\2017-11-18 &amp; aws s3 cp s3://rtdc.mdm.uploadarchive.raw/RTDC4007/ "%USERPROFILE%\AppData\Local\Temp\OnboardLogs"\RTDC4007\2017-11-19 --exclude "*" --recursive --include "*20171119*" &amp; "%USERPROFILE%\Documents\GitHub\mrs-test-scripts\Headless Mode &amp; Sideloading\WalkAndUnGZ.bat" "%USERPROFILE%\AppData\Local\Temp\OnboardLogs"\RTDC4007\2017-11-19</v>
      </c>
      <c r="S13" s="84" t="str">
        <f>VLOOKUP(C13,'Train Runs'!$A$13:$AE$10168,22,0)</f>
        <v>https://d0f6bd738d7f1b3e5a7ca70fe4ff75f0.us-east-1.aws.found.io/app/kibana#/discover/Steve-Slow-Train-Analysis-(2080s-and-2083s)?_g=(refreshInterval:(display:Off,pause:!f,section:0,value:0),time:(from:'2017-11-18T18:40:17-0700',mode:absolute,to:'2017-11-18T21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3" s="86" t="str">
        <f t="shared" si="1"/>
        <v>"C:\Program Files (x86)\AstroGrep\AstroGrep.exe" /e /r /s /spath="%USERPROFILE%\AppData\Local\Temp\OnboardLogs" /stypes="*4007*201711190*" /stext=" 03:.+((SYSTEM_STATE.+slice.+state.+changed )|(ment ac)|(multiple cpu faults)|(system.+state.+changed )|(\[timeout)|(PRM\|1\|D)|(kpr)|(kdp)|(train st.+moving)|(\|lc)|(penalty))"</v>
      </c>
      <c r="U13" s="9" t="str">
        <f t="shared" si="2"/>
        <v>4007</v>
      </c>
      <c r="V13" s="31">
        <f t="shared" si="3"/>
        <v>43058.146666666667</v>
      </c>
      <c r="W13" s="45" t="str">
        <f t="shared" si="4"/>
        <v>EC</v>
      </c>
      <c r="X13" s="22">
        <f t="shared" si="5"/>
        <v>222</v>
      </c>
      <c r="Y13" s="96" t="str">
        <f t="shared" si="6"/>
        <v>echo {"issue":{"subject":"","project_id":79,"tracker_id":40,"status_id":1,"priority_id":2,"assigned_to_id":338,"start_date":"2017-11-18","description":"","custom_fields":[{"id":1,"name":"Subdivision","value":"EC"},{"id":4,"name":"Milepost","value":"1.5167"},{"id":17,"name":"Train ID","value":"222-18"},{"id":16,"name":"Locomotive ID","value":"4007"},{"id":130,"name":"Impact","value":""},{"id":150,"name":"Time of Event (Mountain Time)","value":"20:31:12"},{"id":151,"name":"Denver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47"/>
      <c r="AB13" s="47"/>
      <c r="AC13" s="115" t="str">
        <f t="shared" si="7"/>
        <v>grep -hrE -A400 "Enforcement Action" /c/Users/stu/AppData/Local/Temp/OnboardLogs/RTDC4007 --include="*4007*201711190*"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"%USERPROFILE%\AppData\Local\Temp\OnboardLogs"\RTDC4007\*4007*201711190* &gt;&gt; 2017-11-18-SliceDisagreementCheck.txt</v>
      </c>
      <c r="AE13" s="144" t="str">
        <f t="shared" si="9"/>
        <v>start /low /b %USERPROFILE%\Documents\GitHub\eaglep3\Utilities\DownloadLogsFromS3.py --loco 4007 --day 2017-11-19</v>
      </c>
      <c r="AF13" s="1"/>
    </row>
    <row r="14" spans="1:32" x14ac:dyDescent="0.25">
      <c r="A14" s="31">
        <v>43057.810798611114</v>
      </c>
      <c r="B14" s="30" t="s">
        <v>671</v>
      </c>
      <c r="C14" s="30" t="s">
        <v>692</v>
      </c>
      <c r="D14" s="30" t="s">
        <v>49</v>
      </c>
      <c r="E14" s="30" t="s">
        <v>190</v>
      </c>
      <c r="F14" s="42">
        <v>300</v>
      </c>
      <c r="G14" s="42">
        <v>498</v>
      </c>
      <c r="H14" s="42">
        <v>24693</v>
      </c>
      <c r="I14" s="42">
        <v>23127</v>
      </c>
      <c r="J14" s="30" t="s">
        <v>191</v>
      </c>
      <c r="K14" s="42">
        <v>21848</v>
      </c>
      <c r="L14" s="131" t="s">
        <v>51</v>
      </c>
      <c r="M14" s="132">
        <f t="shared" si="0"/>
        <v>675.31200000000013</v>
      </c>
      <c r="N14" s="133" t="str">
        <f>VLOOKUP(C14,'Trips&amp;Operators'!$C$1:$G$99911,5,FALSE)</f>
        <v>HOLCOMB KAMDEN</v>
      </c>
      <c r="O14" s="175" t="s">
        <v>178</v>
      </c>
      <c r="P14" s="134"/>
      <c r="Q14" s="30"/>
      <c r="R14" s="81" t="str">
        <f>VLOOKUP(C14,'Train Runs'!$A$13:$AE$10168,31,0)</f>
        <v>aws s3 cp s3://rtdc.mdm.uploadarchive.raw/RTDC4005/ "%USERPROFILE%\AppData\Local\Temp\OnboardLogs"\RTDC4005\2017-11-18 --exclude "*" --recursive --include "*20171118*" &amp; "%USERPROFILE%\Documents\GitHub\mrs-test-scripts\Headless Mode &amp; Sideloading\WalkAndUnGZ.bat" "%USERPROFILE%\AppData\Local\Temp\OnboardLogs"\RTDC4005\2017-11-18 &amp; aws s3 cp s3://rtdc.mdm.uploadarchive.raw/RTDC4005/ "%USERPROFILE%\AppData\Local\Temp\OnboardLogs"\RTDC4005\2017-11-19 --exclude "*" --recursive --include "*20171119*" &amp; "%USERPROFILE%\Documents\GitHub\mrs-test-scripts\Headless Mode &amp; Sideloading\WalkAndUnGZ.bat" "%USERPROFILE%\AppData\Local\Temp\OnboardLogs"\RTDC4005\2017-11-19</v>
      </c>
      <c r="S14" s="84" t="str">
        <f>VLOOKUP(C14,'Train Runs'!$A$13:$AE$10168,22,0)</f>
        <v>https://d0f6bd738d7f1b3e5a7ca70fe4ff75f0.us-east-1.aws.found.io/app/kibana#/discover/Steve-Slow-Train-Analysis-(2080s-and-2083s)?_g=(refreshInterval:(display:Off,pause:!f,section:0,value:0),time:(from:'2017-11-18T17:51:29-0700',mode:absolute,to:'2017-11-18T20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4" s="86" t="str">
        <f t="shared" si="1"/>
        <v>"C:\Program Files (x86)\AstroGrep\AstroGrep.exe" /e /r /s /spath="%USERPROFILE%\AppData\Local\Temp\OnboardLogs" /stypes="*4005*201711190*" /stext=" 02:.+((SYSTEM_STATE.+slice.+state.+changed )|(ment ac)|(multiple cpu faults)|(system.+state.+changed )|(\[timeout)|(PRM\|1\|D)|(kpr)|(kdp)|(train st.+moving)|(\|lc)|(penalty))"</v>
      </c>
      <c r="U14" s="9" t="str">
        <f t="shared" si="2"/>
        <v>4005</v>
      </c>
      <c r="V14" s="31">
        <f t="shared" si="3"/>
        <v>43058.102465277778</v>
      </c>
      <c r="W14" s="45" t="str">
        <f t="shared" si="4"/>
        <v>EC</v>
      </c>
      <c r="X14" s="22">
        <f t="shared" si="5"/>
        <v>216</v>
      </c>
      <c r="Y14" s="96" t="str">
        <f t="shared" si="6"/>
        <v>echo {"issue":{"subject":"","project_id":79,"tracker_id":40,"status_id":1,"priority_id":2,"assigned_to_id":338,"start_date":"2017-11-18","description":"","custom_fields":[{"id":1,"name":"Subdivision","value":"EC"},{"id":4,"name":"Milepost","value":"2.1848"},{"id":17,"name":"Train ID","value":"216-18"},{"id":16,"name":"Locomotive ID","value":"4005"},{"id":130,"name":"Impact","value":""},{"id":150,"name":"Time of Event (Mountain Time)","value":"19:27:33"},{"id":151,"name":"Denver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47"/>
      <c r="AB14" s="47"/>
      <c r="AC14" s="115" t="str">
        <f t="shared" si="7"/>
        <v>grep -hrE -A400 "Enforcement Action" /c/Users/stu/AppData/Local/Temp/OnboardLogs/RTDC4005 --include="*4005*201711190*"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"%USERPROFILE%\AppData\Local\Temp\OnboardLogs"\RTDC4005\*4005*201711190* &gt;&gt; 2017-11-18-SliceDisagreementCheck.txt</v>
      </c>
      <c r="AE14" s="144" t="str">
        <f t="shared" si="9"/>
        <v>start /low /b %USERPROFILE%\Documents\GitHub\eaglep3\Utilities\DownloadLogsFromS3.py --loco 4005 --day 2017-11-19</v>
      </c>
      <c r="AF14" s="1"/>
    </row>
    <row r="15" spans="1:32" x14ac:dyDescent="0.25">
      <c r="A15" s="31">
        <v>43057.768738425926</v>
      </c>
      <c r="B15" s="30" t="s">
        <v>686</v>
      </c>
      <c r="C15" s="30" t="s">
        <v>687</v>
      </c>
      <c r="D15" s="30" t="s">
        <v>95</v>
      </c>
      <c r="E15" s="30" t="s">
        <v>190</v>
      </c>
      <c r="F15" s="42">
        <v>700</v>
      </c>
      <c r="G15" s="42">
        <v>750</v>
      </c>
      <c r="H15" s="42">
        <v>163806</v>
      </c>
      <c r="I15" s="42">
        <v>167228</v>
      </c>
      <c r="J15" s="30" t="s">
        <v>191</v>
      </c>
      <c r="K15" s="42">
        <v>161962</v>
      </c>
      <c r="L15" s="131" t="s">
        <v>50</v>
      </c>
      <c r="M15" s="132">
        <f t="shared" si="0"/>
        <v>-2780.4479999999999</v>
      </c>
      <c r="N15" s="133" t="str">
        <f>VLOOKUP(C15,'Trips&amp;Operators'!$C$1:$G$99911,5,FALSE)</f>
        <v>HOLCOMB KAMDEN</v>
      </c>
      <c r="O15" s="175" t="s">
        <v>178</v>
      </c>
      <c r="P15" s="134"/>
      <c r="Q15" s="30"/>
      <c r="R15" s="81" t="str">
        <f>VLOOKUP(C15,'Train Runs'!$A$13:$AE$10168,31,0)</f>
        <v>aws s3 cp s3://rtdc.mdm.uploadarchive.raw/RTDC4006/ "%USERPROFILE%\AppData\Local\Temp\OnboardLogs"\RTDC4006\2017-11-18 --exclude "*" --recursive --include "*20171118*" &amp; "%USERPROFILE%\Documents\GitHub\mrs-test-scripts\Headless Mode &amp; Sideloading\WalkAndUnGZ.bat" "%USERPROFILE%\AppData\Local\Temp\OnboardLogs"\RTDC4006\2017-11-18 &amp; aws s3 cp s3://rtdc.mdm.uploadarchive.raw/RTDC4006/ "%USERPROFILE%\AppData\Local\Temp\OnboardLogs"\RTDC4006\2017-11-19 --exclude "*" --recursive --include "*20171119*" &amp; "%USERPROFILE%\Documents\GitHub\mrs-test-scripts\Headless Mode &amp; Sideloading\WalkAndUnGZ.bat" "%USERPROFILE%\AppData\Local\Temp\OnboardLogs"\RTDC4006\2017-11-19</v>
      </c>
      <c r="S15" s="84" t="str">
        <f>VLOOKUP(C15,'Train Runs'!$A$13:$AE$10168,22,0)</f>
        <v>https://d0f6bd738d7f1b3e5a7ca70fe4ff75f0.us-east-1.aws.found.io/app/kibana#/discover/Steve-Slow-Train-Analysis-(2080s-and-2083s)?_g=(refreshInterval:(display:Off,pause:!f,section:0,value:0),time:(from:'2017-11-18T16:53:16-0700',mode:absolute,to:'2017-11-18T19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5" s="86" t="str">
        <f t="shared" si="1"/>
        <v>"C:\Program Files (x86)\AstroGrep\AstroGrep.exe" /e /r /s /spath="%USERPROFILE%\AppData\Local\Temp\OnboardLogs" /stypes="*4006*201711190*" /stext=" 01:.+((SYSTEM_STATE.+slice.+state.+changed )|(ment ac)|(multiple cpu faults)|(system.+state.+changed )|(\[timeout)|(PRM\|1\|D)|(kpr)|(kdp)|(train st.+moving)|(\|lc)|(penalty))"</v>
      </c>
      <c r="U15" s="9" t="str">
        <f t="shared" si="2"/>
        <v>4006</v>
      </c>
      <c r="V15" s="31">
        <f t="shared" si="3"/>
        <v>43058.06040509259</v>
      </c>
      <c r="W15" s="45" t="str">
        <f t="shared" si="4"/>
        <v>EC</v>
      </c>
      <c r="X15" s="22">
        <f t="shared" si="5"/>
        <v>215</v>
      </c>
      <c r="Y15" s="96" t="str">
        <f t="shared" si="6"/>
        <v>echo {"issue":{"subject":"","project_id":79,"tracker_id":40,"status_id":1,"priority_id":2,"assigned_to_id":338,"start_date":"2017-11-18","description":"","custom_fields":[{"id":1,"name":"Subdivision","value":"EC"},{"id":4,"name":"Milepost","value":"16.1962"},{"id":17,"name":"Train ID","value":"215-18"},{"id":16,"name":"Locomotive ID","value":"4006"},{"id":130,"name":"Impact","value":""},{"id":150,"name":"Time of Event (Mountain Time)","value":"18:26:59"},{"id":151,"name":"Denver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47"/>
      <c r="AB15" s="47"/>
      <c r="AC15" s="115" t="str">
        <f t="shared" si="7"/>
        <v>grep -hrE -A400 "Enforcement Action" /c/Users/stu/AppData/Local/Temp/OnboardLogs/RTDC4006 --include="*4006*201711190*"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"%USERPROFILE%\AppData\Local\Temp\OnboardLogs"\RTDC4006\*4006*201711190* &gt;&gt; 2017-11-18-SliceDisagreementCheck.txt</v>
      </c>
      <c r="AE15" s="144" t="str">
        <f t="shared" si="9"/>
        <v>start /low /b %USERPROFILE%\Documents\GitHub\eaglep3\Utilities\DownloadLogsFromS3.py --loco 4006 --day 2017-11-19</v>
      </c>
      <c r="AF15" s="1"/>
    </row>
    <row r="16" spans="1:32" x14ac:dyDescent="0.25">
      <c r="A16" s="31">
        <v>43057.461261574077</v>
      </c>
      <c r="B16" s="30" t="s">
        <v>384</v>
      </c>
      <c r="C16" s="30" t="s">
        <v>679</v>
      </c>
      <c r="D16" s="30" t="s">
        <v>49</v>
      </c>
      <c r="E16" s="30" t="s">
        <v>190</v>
      </c>
      <c r="F16" s="42">
        <v>350</v>
      </c>
      <c r="G16" s="42">
        <v>412</v>
      </c>
      <c r="H16" s="42">
        <v>223776</v>
      </c>
      <c r="I16" s="42">
        <v>224574</v>
      </c>
      <c r="J16" s="30" t="s">
        <v>191</v>
      </c>
      <c r="K16" s="42">
        <v>224581</v>
      </c>
      <c r="L16" s="131" t="s">
        <v>50</v>
      </c>
      <c r="M16" s="132">
        <f t="shared" si="0"/>
        <v>3.6960000000000002</v>
      </c>
      <c r="N16" s="133" t="str">
        <f>VLOOKUP(C16,'Trips&amp;Operators'!$C$1:$G$99911,5,FALSE)</f>
        <v>MACDONALD THOMAS</v>
      </c>
      <c r="O16" s="175" t="s">
        <v>178</v>
      </c>
      <c r="P16" s="134"/>
      <c r="Q16" s="30"/>
      <c r="R16" s="81" t="str">
        <f>VLOOKUP(C16,'Train Runs'!$A$13:$AE$10168,31,0)</f>
        <v>aws s3 cp s3://rtdc.mdm.uploadarchive.raw/RTDC4022/ "%USERPROFILE%\AppData\Local\Temp\OnboardLogs"\RTDC4022\2017-11-18 --exclude "*" --recursive --include "*20171118*" &amp; "%USERPROFILE%\Documents\GitHub\mrs-test-scripts\Headless Mode &amp; Sideloading\WalkAndUnGZ.bat" "%USERPROFILE%\AppData\Local\Temp\OnboardLogs"\RTDC4022\2017-11-18 &amp; aws s3 cp s3://rtdc.mdm.uploadarchive.raw/RTDC4022/ "%USERPROFILE%\AppData\Local\Temp\OnboardLogs"\RTDC4022\2017-11-19 --exclude "*" --recursive --include "*20171119*" &amp; "%USERPROFILE%\Documents\GitHub\mrs-test-scripts\Headless Mode &amp; Sideloading\WalkAndUnGZ.bat" "%USERPROFILE%\AppData\Local\Temp\OnboardLogs"\RTDC4022\2017-11-19</v>
      </c>
      <c r="S16" s="84" t="str">
        <f>VLOOKUP(C16,'Train Runs'!$A$13:$AE$10168,22,0)</f>
        <v>https://d0f6bd738d7f1b3e5a7ca70fe4ff75f0.us-east-1.aws.found.io/app/kibana#/discover/Steve-Slow-Train-Analysis-(2080s-and-2083s)?_g=(refreshInterval:(display:Off,pause:!f,section:0,value:0),time:(from:'2017-11-18T09:26:34-0700',mode:absolute,to:'2017-11-18T12:08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6" s="86" t="str">
        <f t="shared" si="1"/>
        <v>"C:\Program Files (x86)\AstroGrep\AstroGrep.exe" /e /r /s /spath="%USERPROFILE%\AppData\Local\Temp\OnboardLogs" /stypes="*4022*201711181*" /stext=" 18:.+((SYSTEM_STATE.+slice.+state.+changed )|(ment ac)|(multiple cpu faults)|(system.+state.+changed )|(\[timeout)|(PRM\|1\|D)|(kpr)|(kdp)|(train st.+moving)|(\|lc)|(penalty))"</v>
      </c>
      <c r="U16" s="9" t="str">
        <f t="shared" si="2"/>
        <v>4022</v>
      </c>
      <c r="V16" s="31">
        <f t="shared" si="3"/>
        <v>43057.752928240741</v>
      </c>
      <c r="W16" s="45" t="str">
        <f t="shared" si="4"/>
        <v>EC</v>
      </c>
      <c r="X16" s="22">
        <f t="shared" si="5"/>
        <v>155</v>
      </c>
      <c r="Y16" s="96" t="str">
        <f t="shared" si="6"/>
        <v>echo {"issue":{"subject":"","project_id":79,"tracker_id":40,"status_id":1,"priority_id":2,"assigned_to_id":338,"start_date":"2017-11-18","description":"","custom_fields":[{"id":1,"name":"Subdivision","value":"EC"},{"id":4,"name":"Milepost","value":"22.4581"},{"id":17,"name":"Train ID","value":"155-18"},{"id":16,"name":"Locomotive ID","value":"4022"},{"id":130,"name":"Impact","value":""},{"id":150,"name":"Time of Event (Mountain Time)","value":"11:04:13"},{"id":151,"name":"Denver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47"/>
      <c r="AB16" s="47"/>
      <c r="AC16" s="115" t="str">
        <f t="shared" si="7"/>
        <v>grep -hrE -A400 "Enforcement Action" /c/Users/stu/AppData/Local/Temp/OnboardLogs/RTDC4022 --include="*4022*201711181*"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"%USERPROFILE%\AppData\Local\Temp\OnboardLogs"\RTDC4022\*4022*201711181* &gt;&gt; 2017-11-18-SliceDisagreementCheck.txt</v>
      </c>
      <c r="AE16" s="144" t="str">
        <f t="shared" si="9"/>
        <v>start /low /b %USERPROFILE%\Documents\GitHub\eaglep3\Utilities\DownloadLogsFromS3.py --loco 4022 --day 2017-11-18</v>
      </c>
      <c r="AF16" s="1"/>
    </row>
    <row r="17" spans="1:32" x14ac:dyDescent="0.25">
      <c r="A17" s="31">
        <v>43057.39565972222</v>
      </c>
      <c r="B17" s="30" t="s">
        <v>361</v>
      </c>
      <c r="C17" s="30" t="s">
        <v>678</v>
      </c>
      <c r="D17" s="30" t="s">
        <v>95</v>
      </c>
      <c r="E17" s="30" t="s">
        <v>190</v>
      </c>
      <c r="F17" s="42">
        <v>350</v>
      </c>
      <c r="G17" s="42">
        <v>401</v>
      </c>
      <c r="H17" s="42">
        <v>224532</v>
      </c>
      <c r="I17" s="42">
        <v>222876</v>
      </c>
      <c r="J17" s="30" t="s">
        <v>191</v>
      </c>
      <c r="K17" s="42">
        <v>232107</v>
      </c>
      <c r="L17" s="131" t="s">
        <v>51</v>
      </c>
      <c r="M17" s="132">
        <f t="shared" si="0"/>
        <v>-4873.9679999999998</v>
      </c>
      <c r="N17" s="133" t="str">
        <f>VLOOKUP(C17,'Trips&amp;Operators'!$C$1:$G$99911,5,FALSE)</f>
        <v>THOMPSON LESTER</v>
      </c>
      <c r="O17" s="175" t="s">
        <v>178</v>
      </c>
      <c r="P17" s="134"/>
      <c r="Q17" s="30"/>
      <c r="R17" s="81" t="str">
        <f>VLOOKUP(C17,'Train Runs'!$A$13:$AE$10168,31,0)</f>
        <v>aws s3 cp s3://rtdc.mdm.uploadarchive.raw/RTDC4007/ "%USERPROFILE%\AppData\Local\Temp\OnboardLogs"\RTDC4007\2017-11-18 --exclude "*" --recursive --include "*20171118*" &amp; "%USERPROFILE%\Documents\GitHub\mrs-test-scripts\Headless Mode &amp; Sideloading\WalkAndUnGZ.bat" "%USERPROFILE%\AppData\Local\Temp\OnboardLogs"\RTDC4007\2017-11-18 &amp; aws s3 cp s3://rtdc.mdm.uploadarchive.raw/RTDC4007/ "%USERPROFILE%\AppData\Local\Temp\OnboardLogs"\RTDC4007\2017-11-19 --exclude "*" --recursive --include "*20171119*" &amp; "%USERPROFILE%\Documents\GitHub\mrs-test-scripts\Headless Mode &amp; Sideloading\WalkAndUnGZ.bat" "%USERPROFILE%\AppData\Local\Temp\OnboardLogs"\RTDC4007\2017-11-19</v>
      </c>
      <c r="S17" s="84" t="str">
        <f>VLOOKUP(C17,'Train Runs'!$A$13:$AE$10168,22,0)</f>
        <v>https://d0f6bd738d7f1b3e5a7ca70fe4ff75f0.us-east-1.aws.found.io/app/kibana#/discover/Steve-Slow-Train-Analysis-(2080s-and-2083s)?_g=(refreshInterval:(display:Off,pause:!f,section:0,value:0),time:(from:'2017-11-18T08:23:37-0700',mode:absolute,to:'2017-11-18T11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7" s="86" t="str">
        <f t="shared" si="1"/>
        <v>"C:\Program Files (x86)\AstroGrep\AstroGrep.exe" /e /r /s /spath="%USERPROFILE%\AppData\Local\Temp\OnboardLogs" /stypes="*4007*201711181*" /stext=" 16:.+((SYSTEM_STATE.+slice.+state.+changed )|(ment ac)|(multiple cpu faults)|(system.+state.+changed )|(\[timeout)|(PRM\|1\|D)|(kpr)|(kdp)|(train st.+moving)|(\|lc)|(penalty))"</v>
      </c>
      <c r="U17" s="9" t="str">
        <f t="shared" si="2"/>
        <v>4007</v>
      </c>
      <c r="V17" s="31">
        <f t="shared" si="3"/>
        <v>43057.687326388885</v>
      </c>
      <c r="W17" s="45" t="str">
        <f t="shared" si="4"/>
        <v>EC</v>
      </c>
      <c r="X17" s="22">
        <f t="shared" si="5"/>
        <v>140</v>
      </c>
      <c r="Y17" s="96" t="str">
        <f t="shared" si="6"/>
        <v>echo {"issue":{"subject":"","project_id":79,"tracker_id":40,"status_id":1,"priority_id":2,"assigned_to_id":338,"start_date":"2017-11-18","description":"","custom_fields":[{"id":1,"name":"Subdivision","value":"EC"},{"id":4,"name":"Milepost","value":"23.2107"},{"id":17,"name":"Train ID","value":"140-18"},{"id":16,"name":"Locomotive ID","value":"4007"},{"id":130,"name":"Impact","value":""},{"id":150,"name":"Time of Event (Mountain Time)","value":"09:29:45"},{"id":151,"name":"Denver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47"/>
      <c r="AB17" s="47"/>
      <c r="AC17" s="115" t="str">
        <f t="shared" si="7"/>
        <v>grep -hrE -A400 "Enforcement Action" /c/Users/stu/AppData/Local/Temp/OnboardLogs/RTDC4007 --include="*4007*201711181*"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"%USERPROFILE%\AppData\Local\Temp\OnboardLogs"\RTDC4007\*4007*201711181* &gt;&gt; 2017-11-18-SliceDisagreementCheck.txt</v>
      </c>
      <c r="AE17" s="144" t="str">
        <f t="shared" si="9"/>
        <v>start /low /b %USERPROFILE%\Documents\GitHub\eaglep3\Utilities\DownloadLogsFromS3.py --loco 4007 --day 2017-11-18</v>
      </c>
      <c r="AF17" s="1"/>
    </row>
    <row r="18" spans="1:32" x14ac:dyDescent="0.25">
      <c r="A18" s="31">
        <v>43057.762303240743</v>
      </c>
      <c r="B18" s="30" t="s">
        <v>532</v>
      </c>
      <c r="C18" s="30" t="s">
        <v>685</v>
      </c>
      <c r="D18" s="30" t="s">
        <v>49</v>
      </c>
      <c r="E18" s="30" t="s">
        <v>354</v>
      </c>
      <c r="F18" s="42">
        <v>0</v>
      </c>
      <c r="G18" s="42">
        <v>381</v>
      </c>
      <c r="H18" s="42">
        <v>82952</v>
      </c>
      <c r="I18" s="42">
        <v>82169</v>
      </c>
      <c r="J18" s="30" t="s">
        <v>355</v>
      </c>
      <c r="K18" s="42">
        <v>81751</v>
      </c>
      <c r="L18" s="131" t="s">
        <v>51</v>
      </c>
      <c r="M18" s="132">
        <f t="shared" si="0"/>
        <v>220.70400000000001</v>
      </c>
      <c r="N18" s="133" t="str">
        <f>VLOOKUP(C18,'Trips&amp;Operators'!$C$1:$G$99911,5,FALSE)</f>
        <v>GUZMAN DANNY</v>
      </c>
      <c r="O18" s="175" t="s">
        <v>348</v>
      </c>
      <c r="P18" s="134" t="s">
        <v>515</v>
      </c>
      <c r="Q18" s="30"/>
      <c r="R18" s="81" t="str">
        <f>VLOOKUP(C18,'Train Runs'!$A$13:$AE$10168,31,0)</f>
        <v>aws s3 cp s3://rtdc.mdm.uploadarchive.raw/RTDC4025/ "%USERPROFILE%\AppData\Local\Temp\OnboardLogs"\RTDC4025\2017-11-18 --exclude "*" --recursive --include "*20171118*" &amp; "%USERPROFILE%\Documents\GitHub\mrs-test-scripts\Headless Mode &amp; Sideloading\WalkAndUnGZ.bat" "%USERPROFILE%\AppData\Local\Temp\OnboardLogs"\RTDC4025\2017-11-18 &amp; aws s3 cp s3://rtdc.mdm.uploadarchive.raw/RTDC4025/ "%USERPROFILE%\AppData\Local\Temp\OnboardLogs"\RTDC4025\2017-11-19 --exclude "*" --recursive --include "*20171119*" &amp; "%USERPROFILE%\Documents\GitHub\mrs-test-scripts\Headless Mode &amp; Sideloading\WalkAndUnGZ.bat" "%USERPROFILE%\AppData\Local\Temp\OnboardLogs"\RTDC4025\2017-11-19</v>
      </c>
      <c r="S18" s="84" t="str">
        <f>VLOOKUP(C18,'Train Runs'!$A$13:$AE$10168,22,0)</f>
        <v>https://d0f6bd738d7f1b3e5a7ca70fe4ff75f0.us-east-1.aws.found.io/app/kibana#/discover/Steve-Slow-Train-Analysis-(2080s-and-2083s)?_g=(refreshInterval:(display:Off,pause:!f,section:0,value:0),time:(from:'2017-11-18T16:38:29-0700',mode:absolute,to:'2017-11-18T19:35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8" s="86" t="str">
        <f t="shared" si="1"/>
        <v>"C:\Program Files (x86)\AstroGrep\AstroGrep.exe" /e /r /s /spath="%USERPROFILE%\AppData\Local\Temp\OnboardLogs" /stypes="*4025*201711190*" /stext=" 01:.+((SYSTEM_STATE.+slice.+state.+changed )|(ment ac)|(multiple cpu faults)|(system.+state.+changed )|(\[timeout)|(PRM\|1\|D)|(kpr)|(kdp)|(train st.+moving)|(\|lc)|(penalty))"</v>
      </c>
      <c r="U18" s="9" t="str">
        <f t="shared" si="2"/>
        <v>4025</v>
      </c>
      <c r="V18" s="31">
        <f t="shared" si="3"/>
        <v>43058.053969907407</v>
      </c>
      <c r="W18" s="45" t="str">
        <f t="shared" si="4"/>
        <v>EC</v>
      </c>
      <c r="X18" s="22">
        <f t="shared" si="5"/>
        <v>208</v>
      </c>
      <c r="Y18" s="96" t="str">
        <f t="shared" si="6"/>
        <v>echo {"issue":{"subject":"Wi-MAX data drop","project_id":79,"tracker_id":40,"status_id":1,"priority_id":2,"assigned_to_id":338,"start_date":"2017-11-18","description":"","custom_fields":[{"id":1,"name":"Subdivision","value":"EC"},{"id":4,"name":"Milepost","value":"8.1751"},{"id":17,"name":"Train ID","value":"208-18"},{"id":16,"name":"Locomotive ID","value":"4025"},{"id":130,"name":"Impact","value":""},{"id":150,"name":"Time of Event (Mountain Time)","value":"18:17:43"},{"id":151,"name":"Denver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47"/>
      <c r="AB18" s="47"/>
      <c r="AC18" s="115" t="str">
        <f t="shared" si="7"/>
        <v>grep -hrE -A400 "Enforcement Action" /c/Users/stu/AppData/Local/Temp/OnboardLogs/RTDC4025 --include="*4025*201711190*"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"%USERPROFILE%\AppData\Local\Temp\OnboardLogs"\RTDC4025\*4025*201711190* &gt;&gt; 2017-11-18-SliceDisagreementCheck.txt</v>
      </c>
      <c r="AE18" s="144" t="str">
        <f t="shared" si="9"/>
        <v>start /low /b %USERPROFILE%\Documents\GitHub\eaglep3\Utilities\DownloadLogsFromS3.py --loco 4025 --day 2017-11-19</v>
      </c>
      <c r="AF18" s="1"/>
    </row>
    <row r="19" spans="1:32" x14ac:dyDescent="0.25">
      <c r="A19" s="31">
        <v>43057.933472222219</v>
      </c>
      <c r="B19" s="30" t="s">
        <v>360</v>
      </c>
      <c r="C19" s="30" t="s">
        <v>695</v>
      </c>
      <c r="D19" s="30" t="s">
        <v>49</v>
      </c>
      <c r="E19" s="30" t="s">
        <v>354</v>
      </c>
      <c r="F19" s="42">
        <v>0</v>
      </c>
      <c r="G19" s="42">
        <v>798</v>
      </c>
      <c r="H19" s="42">
        <v>144177</v>
      </c>
      <c r="I19" s="42">
        <v>148110</v>
      </c>
      <c r="J19" s="30" t="s">
        <v>355</v>
      </c>
      <c r="K19" s="42">
        <v>144300</v>
      </c>
      <c r="L19" s="131" t="s">
        <v>50</v>
      </c>
      <c r="M19" s="132">
        <f t="shared" si="0"/>
        <v>-2011.68</v>
      </c>
      <c r="N19" s="133" t="str">
        <f>VLOOKUP(C19,'Trips&amp;Operators'!$C$1:$G$99911,5,FALSE)</f>
        <v>ELBAUM MIKE</v>
      </c>
      <c r="O19" s="175" t="s">
        <v>348</v>
      </c>
      <c r="P19" s="134" t="s">
        <v>515</v>
      </c>
      <c r="Q19" s="30"/>
      <c r="R19" s="81" t="str">
        <f>VLOOKUP(C19,'Train Runs'!$A$13:$AE$10168,31,0)</f>
        <v>aws s3 cp s3://rtdc.mdm.uploadarchive.raw/RTDC4018/ "%USERPROFILE%\AppData\Local\Temp\OnboardLogs"\RTDC4018\2017-11-18 --exclude "*" --recursive --include "*20171118*" &amp; "%USERPROFILE%\Documents\GitHub\mrs-test-scripts\Headless Mode &amp; Sideloading\WalkAndUnGZ.bat" "%USERPROFILE%\AppData\Local\Temp\OnboardLogs"\RTDC4018\2017-11-18 &amp; aws s3 cp s3://rtdc.mdm.uploadarchive.raw/RTDC4018/ "%USERPROFILE%\AppData\Local\Temp\OnboardLogs"\RTDC4018\2017-11-19 --exclude "*" --recursive --include "*20171119*" &amp; "%USERPROFILE%\Documents\GitHub\mrs-test-scripts\Headless Mode &amp; Sideloading\WalkAndUnGZ.bat" "%USERPROFILE%\AppData\Local\Temp\OnboardLogs"\RTDC4018\2017-11-19</v>
      </c>
      <c r="S19" s="84" t="str">
        <f>VLOOKUP(C19,'Train Runs'!$A$13:$AE$10168,22,0)</f>
        <v>https://d0f6bd738d7f1b3e5a7ca70fe4ff75f0.us-east-1.aws.found.io/app/kibana#/discover/Steve-Slow-Train-Analysis-(2080s-and-2083s)?_g=(refreshInterval:(display:Off,pause:!f,section:0,value:0),time:(from:'2017-11-18T20:37:39-0700',mode:absolute,to:'2017-11-18T23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9" s="86" t="str">
        <f t="shared" si="1"/>
        <v>"C:\Program Files (x86)\AstroGrep\AstroGrep.exe" /e /r /s /spath="%USERPROFILE%\AppData\Local\Temp\OnboardLogs" /stypes="*4018*201711190*" /stext=" 05:.+((SYSTEM_STATE.+slice.+state.+changed )|(ment ac)|(multiple cpu faults)|(system.+state.+changed )|(\[timeout)|(PRM\|1\|D)|(kpr)|(kdp)|(train st.+moving)|(\|lc)|(penalty))"</v>
      </c>
      <c r="U19" s="9" t="str">
        <f t="shared" si="2"/>
        <v>4018</v>
      </c>
      <c r="V19" s="31">
        <f t="shared" si="3"/>
        <v>43058.225138888884</v>
      </c>
      <c r="W19" s="45" t="str">
        <f t="shared" si="4"/>
        <v>EC</v>
      </c>
      <c r="X19" s="22">
        <f t="shared" si="5"/>
        <v>233</v>
      </c>
      <c r="Y19" s="96" t="str">
        <f t="shared" si="6"/>
        <v>echo {"issue":{"subject":"Wi-MAX data drop","project_id":79,"tracker_id":40,"status_id":1,"priority_id":2,"assigned_to_id":338,"start_date":"2017-11-18","description":"","custom_fields":[{"id":1,"name":"Subdivision","value":"EC"},{"id":4,"name":"Milepost","value":"14.43"},{"id":17,"name":"Train ID","value":"233-18"},{"id":16,"name":"Locomotive ID","value":"4018"},{"id":130,"name":"Impact","value":""},{"id":150,"name":"Time of Event (Mountain Time)","value":"22:24:12"},{"id":151,"name":"Denver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47"/>
      <c r="AB19" s="47"/>
      <c r="AC19" s="115" t="str">
        <f t="shared" si="7"/>
        <v>grep -hrE -A400 "Enforcement Action" /c/Users/stu/AppData/Local/Temp/OnboardLogs/RTDC4018 --include="*4018*201711190*"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"%USERPROFILE%\AppData\Local\Temp\OnboardLogs"\RTDC4018\*4018*201711190* &gt;&gt; 2017-11-18-SliceDisagreementCheck.txt</v>
      </c>
      <c r="AE19" s="144" t="str">
        <f t="shared" si="9"/>
        <v>start /low /b %USERPROFILE%\Documents\GitHub\eaglep3\Utilities\DownloadLogsFromS3.py --loco 4018 --day 2017-11-19</v>
      </c>
      <c r="AF19" s="1"/>
    </row>
    <row r="20" spans="1:32" x14ac:dyDescent="0.25">
      <c r="A20" s="31">
        <v>43057.934062499997</v>
      </c>
      <c r="B20" s="30" t="s">
        <v>360</v>
      </c>
      <c r="C20" s="30" t="s">
        <v>695</v>
      </c>
      <c r="D20" s="30" t="s">
        <v>95</v>
      </c>
      <c r="E20" s="30" t="s">
        <v>354</v>
      </c>
      <c r="F20" s="42">
        <v>200</v>
      </c>
      <c r="G20" s="42">
        <v>250</v>
      </c>
      <c r="H20" s="42">
        <v>148556</v>
      </c>
      <c r="I20" s="42">
        <v>149284</v>
      </c>
      <c r="J20" s="30" t="s">
        <v>355</v>
      </c>
      <c r="K20" s="42">
        <v>144300</v>
      </c>
      <c r="L20" s="131" t="s">
        <v>50</v>
      </c>
      <c r="M20" s="132">
        <f t="shared" si="0"/>
        <v>-2631.5520000000001</v>
      </c>
      <c r="N20" s="133" t="str">
        <f>VLOOKUP(C20,'Trips&amp;Operators'!$C$1:$G$99911,5,FALSE)</f>
        <v>ELBAUM MIKE</v>
      </c>
      <c r="O20" s="175" t="s">
        <v>178</v>
      </c>
      <c r="P20" s="134" t="s">
        <v>1091</v>
      </c>
      <c r="Q20" s="30"/>
      <c r="R20" s="81" t="str">
        <f>VLOOKUP(C20,'Train Runs'!$A$13:$AE$10168,31,0)</f>
        <v>aws s3 cp s3://rtdc.mdm.uploadarchive.raw/RTDC4018/ "%USERPROFILE%\AppData\Local\Temp\OnboardLogs"\RTDC4018\2017-11-18 --exclude "*" --recursive --include "*20171118*" &amp; "%USERPROFILE%\Documents\GitHub\mrs-test-scripts\Headless Mode &amp; Sideloading\WalkAndUnGZ.bat" "%USERPROFILE%\AppData\Local\Temp\OnboardLogs"\RTDC4018\2017-11-18 &amp; aws s3 cp s3://rtdc.mdm.uploadarchive.raw/RTDC4018/ "%USERPROFILE%\AppData\Local\Temp\OnboardLogs"\RTDC4018\2017-11-19 --exclude "*" --recursive --include "*20171119*" &amp; "%USERPROFILE%\Documents\GitHub\mrs-test-scripts\Headless Mode &amp; Sideloading\WalkAndUnGZ.bat" "%USERPROFILE%\AppData\Local\Temp\OnboardLogs"\RTDC4018\2017-11-19</v>
      </c>
      <c r="S20" s="84" t="str">
        <f>VLOOKUP(C20,'Train Runs'!$A$13:$AE$10168,22,0)</f>
        <v>https://d0f6bd738d7f1b3e5a7ca70fe4ff75f0.us-east-1.aws.found.io/app/kibana#/discover/Steve-Slow-Train-Analysis-(2080s-and-2083s)?_g=(refreshInterval:(display:Off,pause:!f,section:0,value:0),time:(from:'2017-11-18T20:37:39-0700',mode:absolute,to:'2017-11-18T23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0" s="86" t="str">
        <f t="shared" si="1"/>
        <v>"C:\Program Files (x86)\AstroGrep\AstroGrep.exe" /e /r /s /spath="%USERPROFILE%\AppData\Local\Temp\OnboardLogs" /stypes="*4018*201711190*" /stext=" 05:.+((SYSTEM_STATE.+slice.+state.+changed )|(ment ac)|(multiple cpu faults)|(system.+state.+changed )|(\[timeout)|(PRM\|1\|D)|(kpr)|(kdp)|(train st.+moving)|(\|lc)|(penalty))"</v>
      </c>
      <c r="U20" s="9" t="str">
        <f t="shared" si="2"/>
        <v>4018</v>
      </c>
      <c r="V20" s="31">
        <f t="shared" si="3"/>
        <v>43058.225729166661</v>
      </c>
      <c r="W20" s="45" t="str">
        <f t="shared" si="4"/>
        <v>EC</v>
      </c>
      <c r="X20" s="22">
        <f t="shared" si="5"/>
        <v>233</v>
      </c>
      <c r="Y20" s="96" t="str">
        <f t="shared" si="6"/>
        <v>echo {"issue":{"subject":"Overspeed","project_id":79,"tracker_id":40,"status_id":1,"priority_id":2,"assigned_to_id":338,"start_date":"2017-11-18","description":"","custom_fields":[{"id":1,"name":"Subdivision","value":"EC"},{"id":4,"name":"Milepost","value":"14.43"},{"id":17,"name":"Train ID","value":"233-18"},{"id":16,"name":"Locomotive ID","value":"4018"},{"id":130,"name":"Impact","value":""},{"id":150,"name":"Time of Event (Mountain Time)","value":"22:25:03"},{"id":151,"name":"Denver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47"/>
      <c r="AB20" s="47"/>
      <c r="AC20" s="115" t="str">
        <f t="shared" si="7"/>
        <v>grep -hrE -A400 "Enforcement Action" /c/Users/stu/AppData/Local/Temp/OnboardLogs/RTDC4018 --include="*4018*201711190*"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"%USERPROFILE%\AppData\Local\Temp\OnboardLogs"\RTDC4018\*4018*201711190* &gt;&gt; 2017-11-18-SliceDisagreementCheck.txt</v>
      </c>
      <c r="AE20" s="144" t="str">
        <f t="shared" si="9"/>
        <v>start /low /b %USERPROFILE%\Documents\GitHub\eaglep3\Utilities\DownloadLogsFromS3.py --loco 4018 --day 2017-11-19</v>
      </c>
      <c r="AF20" s="1"/>
    </row>
    <row r="21" spans="1:32" x14ac:dyDescent="0.25">
      <c r="A21" s="31">
        <v>43057.21980324074</v>
      </c>
      <c r="B21" s="30" t="s">
        <v>533</v>
      </c>
      <c r="C21" s="30" t="s">
        <v>670</v>
      </c>
      <c r="D21" s="30" t="s">
        <v>49</v>
      </c>
      <c r="E21" s="30" t="s">
        <v>354</v>
      </c>
      <c r="F21" s="42">
        <v>0</v>
      </c>
      <c r="G21" s="42">
        <v>38</v>
      </c>
      <c r="H21" s="42">
        <v>154607</v>
      </c>
      <c r="I21" s="42">
        <v>154772</v>
      </c>
      <c r="J21" s="30" t="s">
        <v>355</v>
      </c>
      <c r="K21" s="42">
        <v>217106</v>
      </c>
      <c r="L21" s="131" t="s">
        <v>50</v>
      </c>
      <c r="M21" s="132">
        <f t="shared" si="0"/>
        <v>32912.351999999999</v>
      </c>
      <c r="N21" s="133" t="str">
        <f>VLOOKUP(C21,'Trips&amp;Operators'!$C$1:$G$99911,5,FALSE)</f>
        <v>BARRON PERLA</v>
      </c>
      <c r="O21" s="175" t="s">
        <v>348</v>
      </c>
      <c r="P21" s="134" t="s">
        <v>1071</v>
      </c>
      <c r="Q21" s="30"/>
      <c r="R21" s="81" t="str">
        <f>VLOOKUP(C21,'Train Runs'!$A$13:$AE$10168,31,0)</f>
        <v>aws s3 cp s3://rtdc.mdm.uploadarchive.raw/RTDC4026/ "%USERPROFILE%\AppData\Local\Temp\OnboardLogs"\RTDC4026\2017-11-18 --exclude "*" --recursive --include "*20171118*" &amp; "%USERPROFILE%\Documents\GitHub\mrs-test-scripts\Headless Mode &amp; Sideloading\WalkAndUnGZ.bat" "%USERPROFILE%\AppData\Local\Temp\OnboardLogs"\RTDC4026\2017-11-18 &amp; aws s3 cp s3://rtdc.mdm.uploadarchive.raw/RTDC4026/ "%USERPROFILE%\AppData\Local\Temp\OnboardLogs"\RTDC4026\2017-11-19 --exclude "*" --recursive --include "*20171119*" &amp; "%USERPROFILE%\Documents\GitHub\mrs-test-scripts\Headless Mode &amp; Sideloading\WalkAndUnGZ.bat" "%USERPROFILE%\AppData\Local\Temp\OnboardLogs"\RTDC4026\2017-11-19</v>
      </c>
      <c r="S21" s="84" t="str">
        <f>VLOOKUP(C21,'Train Runs'!$A$13:$AE$10168,22,0)</f>
        <v>https://d0f6bd738d7f1b3e5a7ca70fe4ff75f0.us-east-1.aws.found.io/app/kibana#/discover/Steve-Slow-Train-Analysis-(2080s-and-2083s)?_g=(refreshInterval:(display:Off,pause:!f,section:0,value:0),time:(from:'2017-11-18T03:42:26-0700',mode:absolute,to:'2017-11-18T06:14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1" s="86" t="str">
        <f t="shared" si="1"/>
        <v>"C:\Program Files (x86)\AstroGrep\AstroGrep.exe" /e /r /s /spath="%USERPROFILE%\AppData\Local\Temp\OnboardLogs" /stypes="*4026*201711181*" /stext=" 12:.+((SYSTEM_STATE.+slice.+state.+changed )|(ment ac)|(multiple cpu faults)|(system.+state.+changed )|(\[timeout)|(PRM\|1\|D)|(kpr)|(kdp)|(train st.+moving)|(\|lc)|(penalty))"</v>
      </c>
      <c r="U21" s="9" t="str">
        <f t="shared" si="2"/>
        <v>4026</v>
      </c>
      <c r="V21" s="31">
        <f t="shared" si="3"/>
        <v>43057.511469907404</v>
      </c>
      <c r="W21" s="45" t="str">
        <f t="shared" si="4"/>
        <v>EC</v>
      </c>
      <c r="X21" s="22">
        <f t="shared" si="5"/>
        <v>109</v>
      </c>
      <c r="Y21" s="96" t="str">
        <f t="shared" si="6"/>
        <v>echo {"issue":{"subject":"Minor onboard in-route failure caused signal status unknown","project_id":79,"tracker_id":40,"status_id":1,"priority_id":2,"assigned_to_id":338,"start_date":"2017-11-18","description":"","custom_fields":[{"id":1,"name":"Subdivision","value":"EC"},{"id":4,"name":"Milepost","value":"21.7106"},{"id":17,"name":"Train ID","value":"109-18"},{"id":16,"name":"Locomotive ID","value":"4026"},{"id":130,"name":"Impact","value":""},{"id":150,"name":"Time of Event (Mountain Time)","value":"05:16:31"},{"id":151,"name":"Denver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47"/>
      <c r="AB21" s="47"/>
      <c r="AC21" s="115" t="str">
        <f t="shared" si="7"/>
        <v>grep -hrE -A400 "Enforcement Action" /c/Users/stu/AppData/Local/Temp/OnboardLogs/RTDC4026 --include="*4026*201711181*"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"%USERPROFILE%\AppData\Local\Temp\OnboardLogs"\RTDC4026\*4026*201711181* &gt;&gt; 2017-11-18-SliceDisagreementCheck.txt</v>
      </c>
      <c r="AE21" s="144" t="str">
        <f t="shared" si="9"/>
        <v>start /low /b %USERPROFILE%\Documents\GitHub\eaglep3\Utilities\DownloadLogsFromS3.py --loco 4026 --day 2017-11-18</v>
      </c>
      <c r="AF21" s="1"/>
    </row>
    <row r="22" spans="1:32" x14ac:dyDescent="0.25">
      <c r="A22" s="31">
        <v>43057.289085648146</v>
      </c>
      <c r="B22" s="30" t="s">
        <v>671</v>
      </c>
      <c r="C22" s="30" t="s">
        <v>672</v>
      </c>
      <c r="D22" s="30" t="s">
        <v>49</v>
      </c>
      <c r="E22" s="30" t="s">
        <v>458</v>
      </c>
      <c r="F22" s="42">
        <v>0</v>
      </c>
      <c r="G22" s="42">
        <v>413</v>
      </c>
      <c r="H22" s="42">
        <v>129733</v>
      </c>
      <c r="I22" s="42">
        <v>128469</v>
      </c>
      <c r="J22" s="30" t="s">
        <v>459</v>
      </c>
      <c r="K22" s="42">
        <v>127587</v>
      </c>
      <c r="L22" s="131" t="s">
        <v>51</v>
      </c>
      <c r="M22" s="132">
        <f t="shared" si="0"/>
        <v>465.69600000000003</v>
      </c>
      <c r="N22" s="133" t="str">
        <f>VLOOKUP(C22,'Trips&amp;Operators'!$C$1:$G$99911,5,FALSE)</f>
        <v>WILLIAMS DONTE</v>
      </c>
      <c r="O22" s="175" t="s">
        <v>348</v>
      </c>
      <c r="P22" s="134" t="s">
        <v>515</v>
      </c>
      <c r="Q22" s="30"/>
      <c r="R22" s="81" t="str">
        <f>VLOOKUP(C22,'Train Runs'!$A$13:$AE$10168,31,0)</f>
        <v>aws s3 cp s3://rtdc.mdm.uploadarchive.raw/RTDC4005/ "%USERPROFILE%\AppData\Local\Temp\OnboardLogs"\RTDC4005\2017-11-18 --exclude "*" --recursive --include "*20171118*" &amp; "%USERPROFILE%\Documents\GitHub\mrs-test-scripts\Headless Mode &amp; Sideloading\WalkAndUnGZ.bat" "%USERPROFILE%\AppData\Local\Temp\OnboardLogs"\RTDC4005\2017-11-18 &amp; aws s3 cp s3://rtdc.mdm.uploadarchive.raw/RTDC4005/ "%USERPROFILE%\AppData\Local\Temp\OnboardLogs"\RTDC4005\2017-11-19 --exclude "*" --recursive --include "*20171119*" &amp; "%USERPROFILE%\Documents\GitHub\mrs-test-scripts\Headless Mode &amp; Sideloading\WalkAndUnGZ.bat" "%USERPROFILE%\AppData\Local\Temp\OnboardLogs"\RTDC4005\2017-11-19</v>
      </c>
      <c r="S22" s="84" t="str">
        <f>VLOOKUP(C22,'Train Runs'!$A$13:$AE$10168,22,0)</f>
        <v>https://d0f6bd738d7f1b3e5a7ca70fe4ff75f0.us-east-1.aws.found.io/app/kibana#/discover/Steve-Slow-Train-Analysis-(2080s-and-2083s)?_g=(refreshInterval:(display:Off,pause:!f,section:0,value:0),time:(from:'2017-11-18T05:34:57-0700',mode:absolute,to:'2017-11-18T08:22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2" s="86" t="str">
        <f t="shared" si="1"/>
        <v>"C:\Program Files (x86)\AstroGrep\AstroGrep.exe" /e /r /s /spath="%USERPROFILE%\AppData\Local\Temp\OnboardLogs" /stypes="*4005*201711181*" /stext=" 13:.+((SYSTEM_STATE.+slice.+state.+changed )|(ment ac)|(multiple cpu faults)|(system.+state.+changed )|(\[timeout)|(PRM\|1\|D)|(kpr)|(kdp)|(train st.+moving)|(\|lc)|(penalty))"</v>
      </c>
      <c r="U22" s="9" t="str">
        <f t="shared" si="2"/>
        <v>4005</v>
      </c>
      <c r="V22" s="31">
        <f t="shared" si="3"/>
        <v>43057.580752314811</v>
      </c>
      <c r="W22" s="45" t="str">
        <f t="shared" si="4"/>
        <v>EC</v>
      </c>
      <c r="X22" s="22">
        <f t="shared" si="5"/>
        <v>118</v>
      </c>
      <c r="Y22" s="96" t="str">
        <f t="shared" si="6"/>
        <v>echo {"issue":{"subject":"Wi-MAX data drop","project_id":79,"tracker_id":40,"status_id":1,"priority_id":2,"assigned_to_id":338,"start_date":"2017-11-18","description":"","custom_fields":[{"id":1,"name":"Subdivision","value":"EC"},{"id":4,"name":"Milepost","value":"12.7587"},{"id":17,"name":"Train ID","value":"118-18"},{"id":16,"name":"Locomotive ID","value":"4005"},{"id":130,"name":"Impact","value":""},{"id":150,"name":"Time of Event (Mountain Time)","value":"06:56:17"},{"id":151,"name":"Denver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47"/>
      <c r="AB22" s="47"/>
      <c r="AC22" s="115" t="str">
        <f t="shared" si="7"/>
        <v>grep -hrE -A400 "Enforcement Action" /c/Users/stu/AppData/Local/Temp/OnboardLogs/RTDC4005 --include="*4005*201711181*"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"%USERPROFILE%\AppData\Local\Temp\OnboardLogs"\RTDC4005\*4005*201711181* &gt;&gt; 2017-11-18-SliceDisagreementCheck.txt</v>
      </c>
      <c r="AE22" s="144" t="str">
        <f t="shared" si="9"/>
        <v>start /low /b %USERPROFILE%\Documents\GitHub\eaglep3\Utilities\DownloadLogsFromS3.py --loco 4005 --day 2017-11-18</v>
      </c>
      <c r="AF22" s="1"/>
    </row>
    <row r="23" spans="1:32" x14ac:dyDescent="0.25">
      <c r="A23" s="31">
        <v>43058.012499999997</v>
      </c>
      <c r="B23" s="30" t="s">
        <v>356</v>
      </c>
      <c r="C23" s="30" t="s">
        <v>697</v>
      </c>
      <c r="D23" s="30" t="s">
        <v>95</v>
      </c>
      <c r="E23" s="30" t="s">
        <v>698</v>
      </c>
      <c r="F23" s="42">
        <v>0</v>
      </c>
      <c r="G23" s="42">
        <v>14</v>
      </c>
      <c r="H23" s="42">
        <v>230369</v>
      </c>
      <c r="I23" s="42">
        <v>230381</v>
      </c>
      <c r="J23" s="30" t="s">
        <v>699</v>
      </c>
      <c r="K23" s="42">
        <v>190834</v>
      </c>
      <c r="L23" s="131" t="s">
        <v>50</v>
      </c>
      <c r="M23" s="132">
        <f t="shared" si="0"/>
        <v>-20880.815999999999</v>
      </c>
      <c r="N23" s="133" t="str">
        <f>VLOOKUP(C23,'Trips&amp;Operators'!$C$1:$G$99911,5,FALSE)</f>
        <v>ANDERS STEVEN</v>
      </c>
      <c r="O23" s="175" t="s">
        <v>178</v>
      </c>
      <c r="P23" s="134"/>
      <c r="Q23" s="30"/>
      <c r="R23" s="81" t="str">
        <f>VLOOKUP(C23,'Train Runs'!$A$13:$AE$10168,31,0)</f>
        <v>aws s3 cp s3://rtdc.mdm.uploadarchive.raw/RTDC4008/ "%USERPROFILE%\AppData\Local\Temp\OnboardLogs"\RTDC4008\2017-11-18 --exclude "*" --recursive --include "*20171118*" &amp; "%USERPROFILE%\Documents\GitHub\mrs-test-scripts\Headless Mode &amp; Sideloading\WalkAndUnGZ.bat" "%USERPROFILE%\AppData\Local\Temp\OnboardLogs"\RTDC4008\2017-11-18 &amp; aws s3 cp s3://rtdc.mdm.uploadarchive.raw/RTDC4008/ "%USERPROFILE%\AppData\Local\Temp\OnboardLogs"\RTDC4008\2017-11-19 --exclude "*" --recursive --include "*20171119*" &amp; "%USERPROFILE%\Documents\GitHub\mrs-test-scripts\Headless Mode &amp; Sideloading\WalkAndUnGZ.bat" "%USERPROFILE%\AppData\Local\Temp\OnboardLogs"\RTDC4008\2017-11-19</v>
      </c>
      <c r="S23" s="84" t="str">
        <f>VLOOKUP(C23,'Train Runs'!$A$13:$AE$10168,22,0)</f>
        <v>https://d0f6bd738d7f1b3e5a7ca70fe4ff75f0.us-east-1.aws.found.io/app/kibana#/discover/Steve-Slow-Train-Analysis-(2080s-and-2083s)?_g=(refreshInterval:(display:Off,pause:!f,section:0,value:0),time:(from:'2017-11-18T21:56:01-0700',mode:absolute,to:'2017-11-19T02:09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3" s="86" t="str">
        <f t="shared" si="1"/>
        <v>"C:\Program Files (x86)\AstroGrep\AstroGrep.exe" /e /r /s /spath="%USERPROFILE%\AppData\Local\Temp\OnboardLogs" /stypes="*4008*201711190*" /stext=" 07:.+((SYSTEM_STATE.+slice.+state.+changed )|(ment ac)|(multiple cpu faults)|(system.+state.+changed )|(\[timeout)|(PRM\|1\|D)|(kpr)|(kdp)|(train st.+moving)|(\|lc)|(penalty))"</v>
      </c>
      <c r="U23" s="9" t="str">
        <f t="shared" si="2"/>
        <v>4008</v>
      </c>
      <c r="V23" s="31">
        <f t="shared" si="3"/>
        <v>43058.304166666661</v>
      </c>
      <c r="W23" s="45" t="str">
        <f t="shared" si="4"/>
        <v>EC</v>
      </c>
      <c r="X23" s="22">
        <f t="shared" si="5"/>
        <v>237</v>
      </c>
      <c r="Y23" s="96" t="str">
        <f t="shared" si="6"/>
        <v>echo {"issue":{"subject":"","project_id":79,"tracker_id":40,"status_id":1,"priority_id":2,"assigned_to_id":338,"start_date":"2017-11-19","description":"","custom_fields":[{"id":1,"name":"Subdivision","value":"EC"},{"id":4,"name":"Milepost","value":"19.0834"},{"id":17,"name":"Train ID","value":"237-18"},{"id":16,"name":"Locomotive ID","value":"4008"},{"id":130,"name":"Impact","value":""},{"id":150,"name":"Time of Event (Mountain Time)","value":"00:18:00"},{"id":151,"name":"Denver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47"/>
      <c r="AB23" s="47"/>
      <c r="AC23" s="115" t="str">
        <f t="shared" si="7"/>
        <v>grep -hrE -A400 "Enforcement Action" /c/Users/stu/AppData/Local/Temp/OnboardLogs/RTDC4008 --include="*4008*201711190*"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"%USERPROFILE%\AppData\Local\Temp\OnboardLogs"\RTDC4008\*4008*201711190* &gt;&gt; 2017-11-18-SliceDisagreementCheck.txt</v>
      </c>
      <c r="AE23" s="144" t="str">
        <f t="shared" si="9"/>
        <v>start /low /b %USERPROFILE%\Documents\GitHub\eaglep3\Utilities\DownloadLogsFromS3.py --loco 4008 --day 2017-11-19</v>
      </c>
      <c r="AF23" s="1"/>
    </row>
    <row r="24" spans="1:32" x14ac:dyDescent="0.25">
      <c r="A24" s="31">
        <v>43058.014918981484</v>
      </c>
      <c r="B24" s="30" t="s">
        <v>356</v>
      </c>
      <c r="C24" s="30" t="s">
        <v>697</v>
      </c>
      <c r="D24" s="30" t="s">
        <v>95</v>
      </c>
      <c r="E24" s="30" t="s">
        <v>698</v>
      </c>
      <c r="F24" s="42">
        <v>0</v>
      </c>
      <c r="G24" s="42">
        <v>19</v>
      </c>
      <c r="H24" s="42">
        <v>230420</v>
      </c>
      <c r="I24" s="42">
        <v>230435</v>
      </c>
      <c r="J24" s="30" t="s">
        <v>699</v>
      </c>
      <c r="K24" s="42">
        <v>190834</v>
      </c>
      <c r="L24" s="131" t="s">
        <v>50</v>
      </c>
      <c r="M24" s="132">
        <f t="shared" si="0"/>
        <v>-20909.328000000001</v>
      </c>
      <c r="N24" s="133" t="str">
        <f>VLOOKUP(C24,'Trips&amp;Operators'!$C$1:$G$99911,5,FALSE)</f>
        <v>ANDERS STEVEN</v>
      </c>
      <c r="O24" s="175" t="s">
        <v>178</v>
      </c>
      <c r="P24" s="134"/>
      <c r="Q24" s="30"/>
      <c r="R24" s="81" t="str">
        <f>VLOOKUP(C24,'Train Runs'!$A$13:$AE$10168,31,0)</f>
        <v>aws s3 cp s3://rtdc.mdm.uploadarchive.raw/RTDC4008/ "%USERPROFILE%\AppData\Local\Temp\OnboardLogs"\RTDC4008\2017-11-18 --exclude "*" --recursive --include "*20171118*" &amp; "%USERPROFILE%\Documents\GitHub\mrs-test-scripts\Headless Mode &amp; Sideloading\WalkAndUnGZ.bat" "%USERPROFILE%\AppData\Local\Temp\OnboardLogs"\RTDC4008\2017-11-18 &amp; aws s3 cp s3://rtdc.mdm.uploadarchive.raw/RTDC4008/ "%USERPROFILE%\AppData\Local\Temp\OnboardLogs"\RTDC4008\2017-11-19 --exclude "*" --recursive --include "*20171119*" &amp; "%USERPROFILE%\Documents\GitHub\mrs-test-scripts\Headless Mode &amp; Sideloading\WalkAndUnGZ.bat" "%USERPROFILE%\AppData\Local\Temp\OnboardLogs"\RTDC4008\2017-11-19</v>
      </c>
      <c r="S24" s="84" t="str">
        <f>VLOOKUP(C24,'Train Runs'!$A$13:$AE$10168,22,0)</f>
        <v>https://d0f6bd738d7f1b3e5a7ca70fe4ff75f0.us-east-1.aws.found.io/app/kibana#/discover/Steve-Slow-Train-Analysis-(2080s-and-2083s)?_g=(refreshInterval:(display:Off,pause:!f,section:0,value:0),time:(from:'2017-11-18T21:56:01-0700',mode:absolute,to:'2017-11-19T02:09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4" s="86" t="str">
        <f t="shared" si="1"/>
        <v>"C:\Program Files (x86)\AstroGrep\AstroGrep.exe" /e /r /s /spath="%USERPROFILE%\AppData\Local\Temp\OnboardLogs" /stypes="*4008*201711190*" /stext=" 07:.+((SYSTEM_STATE.+slice.+state.+changed )|(ment ac)|(multiple cpu faults)|(system.+state.+changed )|(\[timeout)|(PRM\|1\|D)|(kpr)|(kdp)|(train st.+moving)|(\|lc)|(penalty))"</v>
      </c>
      <c r="U24" s="9" t="str">
        <f t="shared" si="2"/>
        <v>4008</v>
      </c>
      <c r="V24" s="31">
        <f t="shared" si="3"/>
        <v>43058.306585648148</v>
      </c>
      <c r="W24" s="45" t="str">
        <f t="shared" si="4"/>
        <v>EC</v>
      </c>
      <c r="X24" s="22">
        <f t="shared" si="5"/>
        <v>237</v>
      </c>
      <c r="Y24" s="96" t="str">
        <f t="shared" si="6"/>
        <v>echo {"issue":{"subject":"","project_id":79,"tracker_id":40,"status_id":1,"priority_id":2,"assigned_to_id":338,"start_date":"2017-11-19","description":"","custom_fields":[{"id":1,"name":"Subdivision","value":"EC"},{"id":4,"name":"Milepost","value":"19.0834"},{"id":17,"name":"Train ID","value":"237-18"},{"id":16,"name":"Locomotive ID","value":"4008"},{"id":130,"name":"Impact","value":""},{"id":150,"name":"Time of Event (Mountain Time)","value":"00:21:29"},{"id":151,"name":"Denver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47"/>
      <c r="AB24" s="47"/>
      <c r="AC24" s="115" t="str">
        <f t="shared" si="7"/>
        <v>grep -hrE -A400 "Enforcement Action" /c/Users/stu/AppData/Local/Temp/OnboardLogs/RTDC4008 --include="*4008*201711190*"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"%USERPROFILE%\AppData\Local\Temp\OnboardLogs"\RTDC4008\*4008*201711190* &gt;&gt; 2017-11-18-SliceDisagreementCheck.txt</v>
      </c>
      <c r="AE24" s="144" t="str">
        <f t="shared" si="9"/>
        <v>start /low /b %USERPROFILE%\Documents\GitHub\eaglep3\Utilities\DownloadLogsFromS3.py --loco 4008 --day 2017-11-19</v>
      </c>
      <c r="AF24" s="1"/>
    </row>
    <row r="25" spans="1:32" x14ac:dyDescent="0.25">
      <c r="A25" s="31">
        <v>43057.801342592589</v>
      </c>
      <c r="B25" s="30" t="s">
        <v>690</v>
      </c>
      <c r="C25" s="30" t="s">
        <v>691</v>
      </c>
      <c r="D25" s="30" t="s">
        <v>49</v>
      </c>
      <c r="E25" s="30" t="s">
        <v>183</v>
      </c>
      <c r="F25" s="42">
        <v>0</v>
      </c>
      <c r="G25" s="42">
        <v>244</v>
      </c>
      <c r="H25" s="42">
        <v>10577</v>
      </c>
      <c r="I25" s="42">
        <v>11125</v>
      </c>
      <c r="J25" s="30" t="s">
        <v>184</v>
      </c>
      <c r="K25" s="42">
        <v>10714</v>
      </c>
      <c r="L25" s="131" t="s">
        <v>50</v>
      </c>
      <c r="M25" s="132">
        <f t="shared" si="0"/>
        <v>-217.00800000000001</v>
      </c>
      <c r="N25" s="133" t="str">
        <f>VLOOKUP(C25,'Trips&amp;Operators'!$C$1:$G$99911,5,FALSE)</f>
        <v>SMITH MICHAEL</v>
      </c>
      <c r="O25" s="175" t="s">
        <v>178</v>
      </c>
      <c r="P25" s="134" t="s">
        <v>701</v>
      </c>
      <c r="Q25" s="30"/>
      <c r="R25" s="81" t="str">
        <f>VLOOKUP(C25,'Train Runs'!$A$13:$AE$10168,31,0)</f>
        <v>aws s3 cp s3://rtdc.mdm.uploadarchive.raw/RTDC4054/ "%USERPROFILE%\AppData\Local\Temp\OnboardLogs"\RTDC4054\2017-11-18 --exclude "*" --recursive --include "*20171118*" &amp; "%USERPROFILE%\Documents\GitHub\mrs-test-scripts\Headless Mode &amp; Sideloading\WalkAndUnGZ.bat" "%USERPROFILE%\AppData\Local\Temp\OnboardLogs"\RTDC4054\2017-11-18 &amp; 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</v>
      </c>
      <c r="S25" s="84" t="str">
        <f>VLOOKUP(C25,'Train Runs'!$A$13:$AE$10168,22,0)</f>
        <v>https://d0f6bd738d7f1b3e5a7ca70fe4ff75f0.us-east-1.aws.found.io/app/kibana#/discover/Steve-Slow-Train-Analysis-(2080s-and-2083s)?_g=(refreshInterval:(display:Off,pause:!f,section:0,value:0),time:(from:'2017-11-18T17:58:34-0700',mode:absolute,to:'2017-11-18T20:24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5" s="86" t="str">
        <f t="shared" si="1"/>
        <v>"C:\Program Files (x86)\AstroGrep\AstroGrep.exe" /e /r /s /spath="%USERPROFILE%\AppData\Local\Temp\OnboardLogs" /stypes="*4054*201711190*" /stext=" 02:.+((SYSTEM_STATE.+slice.+state.+changed )|(ment ac)|(multiple cpu faults)|(system.+state.+changed )|(\[timeout)|(PRM\|1\|D)|(kpr)|(kdp)|(train st.+moving)|(\|lc)|(penalty))"</v>
      </c>
      <c r="U25" s="9" t="str">
        <f t="shared" si="2"/>
        <v>4054</v>
      </c>
      <c r="V25" s="31">
        <f t="shared" si="3"/>
        <v>43058.093009259253</v>
      </c>
      <c r="W25" s="45" t="str">
        <f t="shared" si="4"/>
        <v>NW</v>
      </c>
      <c r="X25" s="22">
        <f t="shared" si="5"/>
        <v>1827</v>
      </c>
      <c r="Y25" s="96" t="str">
        <f t="shared" si="6"/>
        <v>echo {"issue":{"subject":"Early Arrival","project_id":79,"tracker_id":40,"status_id":1,"priority_id":2,"assigned_to_id":338,"start_date":"2017-11-18","description":"","custom_fields":[{"id":1,"name":"Subdivision","value":"NW"},{"id":4,"name":"Milepost","value":"1.0714"},{"id":17,"name":"Train ID","value":"1827-18"},{"id":16,"name":"Locomotive ID","value":"4054"},{"id":130,"name":"Impact","value":""},{"id":150,"name":"Time of Event (Mountain Time)","value":"19:13:56"},{"id":151,"name":"Denver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47"/>
      <c r="AB25" s="47"/>
      <c r="AC25" s="115" t="str">
        <f t="shared" si="7"/>
        <v>grep -hrE -A400 "Enforcement Action" /c/Users/stu/AppData/Local/Temp/OnboardLogs/RTDC4054 --include="*4054*201711190*"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"%USERPROFILE%\AppData\Local\Temp\OnboardLogs"\RTDC4054\*4054*201711190* &gt;&gt; 2017-11-18-SliceDisagreementCheck.txt</v>
      </c>
      <c r="AE25" s="144" t="str">
        <f t="shared" si="9"/>
        <v>start /low /b %USERPROFILE%\Documents\GitHub\eaglep3\Utilities\DownloadLogsFromS3.py --loco 4054 --day 2017-11-19</v>
      </c>
      <c r="AF25" s="1"/>
    </row>
    <row r="26" spans="1:32" x14ac:dyDescent="0.25">
      <c r="A26" s="31">
        <v>43057.382118055553</v>
      </c>
      <c r="B26" s="30" t="s">
        <v>673</v>
      </c>
      <c r="C26" s="30" t="s">
        <v>677</v>
      </c>
      <c r="D26" s="30" t="s">
        <v>95</v>
      </c>
      <c r="E26" s="30" t="s">
        <v>354</v>
      </c>
      <c r="F26" s="42">
        <v>0</v>
      </c>
      <c r="G26" s="42">
        <v>77</v>
      </c>
      <c r="H26" s="42">
        <v>1781</v>
      </c>
      <c r="I26" s="42">
        <v>1890</v>
      </c>
      <c r="J26" s="30" t="s">
        <v>355</v>
      </c>
      <c r="K26" s="42">
        <v>1725</v>
      </c>
      <c r="L26" s="131" t="s">
        <v>50</v>
      </c>
      <c r="M26" s="132">
        <f t="shared" si="0"/>
        <v>-87.12</v>
      </c>
      <c r="N26" s="133" t="str">
        <f>VLOOKUP(C26,'Trips&amp;Operators'!$C$1:$G$99911,5,FALSE)</f>
        <v>LAMAR NEKESHA</v>
      </c>
      <c r="O26" s="175" t="s">
        <v>348</v>
      </c>
      <c r="P26" s="134" t="s">
        <v>669</v>
      </c>
      <c r="Q26" s="30"/>
      <c r="R26" s="81" t="str">
        <f>VLOOKUP(C26,'Train Runs'!$A$13:$AE$10168,31,0)</f>
        <v>aws s3 cp s3://rtdc.mdm.uploadarchive.raw/RTDC4032/ "%USERPROFILE%\AppData\Local\Temp\OnboardLogs"\RTDC4032\2017-11-18 --exclude "*" --recursive --include "*20171118*" &amp; "%USERPROFILE%\Documents\GitHub\mrs-test-scripts\Headless Mode &amp; Sideloading\WalkAndUnGZ.bat" "%USERPROFILE%\AppData\Local\Temp\OnboardLogs"\RTDC4032\2017-11-18 &amp; aws s3 cp s3://rtdc.mdm.uploadarchive.raw/RTDC4032/ "%USERPROFILE%\AppData\Local\Temp\OnboardLogs"\RTDC4032\2017-11-19 --exclude "*" --recursive --include "*20171119*" &amp; "%USERPROFILE%\Documents\GitHub\mrs-test-scripts\Headless Mode &amp; Sideloading\WalkAndUnGZ.bat" "%USERPROFILE%\AppData\Local\Temp\OnboardLogs"\RTDC4032\2017-11-19</v>
      </c>
      <c r="S26" s="84" t="str">
        <f>VLOOKUP(C26,'Train Runs'!$A$13:$AE$10168,22,0)</f>
        <v>https://d0f6bd738d7f1b3e5a7ca70fe4ff75f0.us-east-1.aws.found.io/app/kibana#/discover/Steve-Slow-Train-Analysis-(2080s-and-2083s)?_g=(refreshInterval:(display:Off,pause:!f,section:0,value:0),time:(from:'2017-11-18T08:07:10-0700',mode:absolute,to:'2017-11-18T10:10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6" s="86" t="str">
        <f t="shared" si="1"/>
        <v>"C:\Program Files (x86)\AstroGrep\AstroGrep.exe" /e /r /s /spath="%USERPROFILE%\AppData\Local\Temp\OnboardLogs" /stypes="*4032*201711181*" /stext=" 16:.+((SYSTEM_STATE.+slice.+state.+changed )|(ment ac)|(multiple cpu faults)|(system.+state.+changed )|(\[timeout)|(PRM\|1\|D)|(kpr)|(kdp)|(train st.+moving)|(\|lc)|(penalty))"</v>
      </c>
      <c r="U26" s="9" t="str">
        <f t="shared" si="2"/>
        <v>4032</v>
      </c>
      <c r="V26" s="31">
        <f t="shared" si="3"/>
        <v>43057.673784722218</v>
      </c>
      <c r="W26" s="45" t="str">
        <f t="shared" si="4"/>
        <v>NW</v>
      </c>
      <c r="X26" s="22">
        <f t="shared" si="5"/>
        <v>1807</v>
      </c>
      <c r="Y26" s="96" t="str">
        <f t="shared" si="6"/>
        <v>echo {"issue":{"subject":"Poor GPS at DUS","project_id":79,"tracker_id":40,"status_id":1,"priority_id":2,"assigned_to_id":338,"start_date":"2017-11-18","description":"","custom_fields":[{"id":1,"name":"Subdivision","value":"NW"},{"id":4,"name":"Milepost","value":"0.1725"},{"id":17,"name":"Train ID","value":"1807-18"},{"id":16,"name":"Locomotive ID","value":"4032"},{"id":130,"name":"Impact","value":""},{"id":150,"name":"Time of Event (Mountain Time)","value":"09:10:15"},{"id":151,"name":"Denver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47"/>
      <c r="AB26" s="47"/>
      <c r="AC26" s="115" t="str">
        <f t="shared" si="7"/>
        <v>grep -hrE -A400 "Enforcement Action" /c/Users/stu/AppData/Local/Temp/OnboardLogs/RTDC4032 --include="*4032*201711181*"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"%USERPROFILE%\AppData\Local\Temp\OnboardLogs"\RTDC4032\*4032*201711181* &gt;&gt; 2017-11-18-SliceDisagreementCheck.txt</v>
      </c>
      <c r="AE26" s="144" t="str">
        <f t="shared" si="9"/>
        <v>start /low /b %USERPROFILE%\Documents\GitHub\eaglep3\Utilities\DownloadLogsFromS3.py --loco 4032 --day 2017-11-18</v>
      </c>
      <c r="AF26" s="1"/>
    </row>
    <row r="27" spans="1:32" x14ac:dyDescent="0.25">
      <c r="A27" s="31">
        <v>43057.382303240738</v>
      </c>
      <c r="B27" s="30" t="s">
        <v>673</v>
      </c>
      <c r="C27" s="30" t="s">
        <v>677</v>
      </c>
      <c r="D27" s="30" t="s">
        <v>95</v>
      </c>
      <c r="E27" s="30" t="s">
        <v>354</v>
      </c>
      <c r="F27" s="42">
        <v>0</v>
      </c>
      <c r="G27" s="42">
        <v>10</v>
      </c>
      <c r="H27" s="42">
        <v>1899</v>
      </c>
      <c r="I27" s="42">
        <v>1899</v>
      </c>
      <c r="J27" s="30" t="s">
        <v>355</v>
      </c>
      <c r="K27" s="42">
        <v>1725</v>
      </c>
      <c r="L27" s="131" t="s">
        <v>50</v>
      </c>
      <c r="M27" s="132">
        <f t="shared" si="0"/>
        <v>-91.872</v>
      </c>
      <c r="N27" s="133" t="str">
        <f>VLOOKUP(C27,'Trips&amp;Operators'!$C$1:$G$99911,5,FALSE)</f>
        <v>LAMAR NEKESHA</v>
      </c>
      <c r="O27" s="175" t="s">
        <v>348</v>
      </c>
      <c r="P27" s="134" t="s">
        <v>669</v>
      </c>
      <c r="Q27" s="30"/>
      <c r="R27" s="81" t="str">
        <f>VLOOKUP(C27,'Train Runs'!$A$13:$AE$10168,31,0)</f>
        <v>aws s3 cp s3://rtdc.mdm.uploadarchive.raw/RTDC4032/ "%USERPROFILE%\AppData\Local\Temp\OnboardLogs"\RTDC4032\2017-11-18 --exclude "*" --recursive --include "*20171118*" &amp; "%USERPROFILE%\Documents\GitHub\mrs-test-scripts\Headless Mode &amp; Sideloading\WalkAndUnGZ.bat" "%USERPROFILE%\AppData\Local\Temp\OnboardLogs"\RTDC4032\2017-11-18 &amp; aws s3 cp s3://rtdc.mdm.uploadarchive.raw/RTDC4032/ "%USERPROFILE%\AppData\Local\Temp\OnboardLogs"\RTDC4032\2017-11-19 --exclude "*" --recursive --include "*20171119*" &amp; "%USERPROFILE%\Documents\GitHub\mrs-test-scripts\Headless Mode &amp; Sideloading\WalkAndUnGZ.bat" "%USERPROFILE%\AppData\Local\Temp\OnboardLogs"\RTDC4032\2017-11-19</v>
      </c>
      <c r="S27" s="84" t="str">
        <f>VLOOKUP(C27,'Train Runs'!$A$13:$AE$10168,22,0)</f>
        <v>https://d0f6bd738d7f1b3e5a7ca70fe4ff75f0.us-east-1.aws.found.io/app/kibana#/discover/Steve-Slow-Train-Analysis-(2080s-and-2083s)?_g=(refreshInterval:(display:Off,pause:!f,section:0,value:0),time:(from:'2017-11-18T08:07:10-0700',mode:absolute,to:'2017-11-18T10:10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7" s="86" t="str">
        <f t="shared" si="1"/>
        <v>"C:\Program Files (x86)\AstroGrep\AstroGrep.exe" /e /r /s /spath="%USERPROFILE%\AppData\Local\Temp\OnboardLogs" /stypes="*4032*201711181*" /stext=" 16:.+((SYSTEM_STATE.+slice.+state.+changed )|(ment ac)|(multiple cpu faults)|(system.+state.+changed )|(\[timeout)|(PRM\|1\|D)|(kpr)|(kdp)|(train st.+moving)|(\|lc)|(penalty))"</v>
      </c>
      <c r="U27" s="9" t="str">
        <f t="shared" si="2"/>
        <v>4032</v>
      </c>
      <c r="V27" s="31">
        <f t="shared" si="3"/>
        <v>43057.673969907402</v>
      </c>
      <c r="W27" s="45" t="str">
        <f t="shared" si="4"/>
        <v>NW</v>
      </c>
      <c r="X27" s="22">
        <f t="shared" si="5"/>
        <v>1807</v>
      </c>
      <c r="Y27" s="96" t="str">
        <f t="shared" si="6"/>
        <v>echo {"issue":{"subject":"Poor GPS at DUS","project_id":79,"tracker_id":40,"status_id":1,"priority_id":2,"assigned_to_id":338,"start_date":"2017-11-18","description":"","custom_fields":[{"id":1,"name":"Subdivision","value":"NW"},{"id":4,"name":"Milepost","value":"0.1725"},{"id":17,"name":"Train ID","value":"1807-18"},{"id":16,"name":"Locomotive ID","value":"4032"},{"id":130,"name":"Impact","value":""},{"id":150,"name":"Time of Event (Mountain Time)","value":"09:10:31"},{"id":151,"name":"Denver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47"/>
      <c r="AB27" s="47"/>
      <c r="AC27" s="115" t="str">
        <f t="shared" si="7"/>
        <v>grep -hrE -A400 "Enforcement Action" /c/Users/stu/AppData/Local/Temp/OnboardLogs/RTDC4032 --include="*4032*201711181*"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"%USERPROFILE%\AppData\Local\Temp\OnboardLogs"\RTDC4032\*4032*201711181* &gt;&gt; 2017-11-18-SliceDisagreementCheck.txt</v>
      </c>
      <c r="AE27" s="144" t="str">
        <f t="shared" si="9"/>
        <v>start /low /b %USERPROFILE%\Documents\GitHub\eaglep3\Utilities\DownloadLogsFromS3.py --loco 4032 --day 2017-11-18</v>
      </c>
      <c r="AF27" s="1"/>
    </row>
    <row r="28" spans="1:32" x14ac:dyDescent="0.25">
      <c r="A28" s="31">
        <v>43057.453472222223</v>
      </c>
      <c r="B28" s="30" t="s">
        <v>680</v>
      </c>
      <c r="C28" s="30" t="s">
        <v>681</v>
      </c>
      <c r="D28" s="30" t="s">
        <v>49</v>
      </c>
      <c r="E28" s="30" t="s">
        <v>354</v>
      </c>
      <c r="F28" s="42">
        <v>0</v>
      </c>
      <c r="G28" s="42">
        <v>103</v>
      </c>
      <c r="H28" s="42">
        <v>4813</v>
      </c>
      <c r="I28" s="42">
        <v>4634</v>
      </c>
      <c r="J28" s="30" t="s">
        <v>355</v>
      </c>
      <c r="K28" s="42">
        <v>4798</v>
      </c>
      <c r="L28" s="131" t="s">
        <v>51</v>
      </c>
      <c r="M28" s="132">
        <f t="shared" si="0"/>
        <v>-86.592000000000013</v>
      </c>
      <c r="N28" s="133" t="str">
        <f>VLOOKUP(C28,'Trips&amp;Operators'!$C$1:$G$99911,5,FALSE)</f>
        <v>LAMAR NEKESHA</v>
      </c>
      <c r="O28" s="175" t="s">
        <v>348</v>
      </c>
      <c r="P28" s="134" t="s">
        <v>1090</v>
      </c>
      <c r="Q28" s="30"/>
      <c r="R28" s="81" t="str">
        <f>VLOOKUP(C28,'Train Runs'!$A$13:$AE$10168,31,0)</f>
        <v>aws s3 cp s3://rtdc.mdm.uploadarchive.raw/RTDC4031/ "%USERPROFILE%\AppData\Local\Temp\OnboardLogs"\RTDC4031\2017-11-18 --exclude "*" --recursive --include "*20171118*" &amp; "%USERPROFILE%\Documents\GitHub\mrs-test-scripts\Headless Mode &amp; Sideloading\WalkAndUnGZ.bat" "%USERPROFILE%\AppData\Local\Temp\OnboardLogs"\RTDC4031\2017-11-18 &amp; aws s3 cp s3://rtdc.mdm.uploadarchive.raw/RTDC4031/ "%USERPROFILE%\AppData\Local\Temp\OnboardLogs"\RTDC4031\2017-11-19 --exclude "*" --recursive --include "*20171119*" &amp; "%USERPROFILE%\Documents\GitHub\mrs-test-scripts\Headless Mode &amp; Sideloading\WalkAndUnGZ.bat" "%USERPROFILE%\AppData\Local\Temp\OnboardLogs"\RTDC4031\2017-11-19</v>
      </c>
      <c r="S28" s="84" t="str">
        <f>VLOOKUP(C28,'Train Runs'!$A$13:$AE$10168,22,0)</f>
        <v>https://d0f6bd738d7f1b3e5a7ca70fe4ff75f0.us-east-1.aws.found.io/app/kibana#/discover/Steve-Slow-Train-Analysis-(2080s-and-2083s)?_g=(refreshInterval:(display:Off,pause:!f,section:0,value:0),time:(from:'2017-11-18T09:26:03-0700',mode:absolute,to:'2017-11-18T11:53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8" s="86" t="str">
        <f t="shared" si="1"/>
        <v>"C:\Program Files (x86)\AstroGrep\AstroGrep.exe" /e /r /s /spath="%USERPROFILE%\AppData\Local\Temp\OnboardLogs" /stypes="*4031*201711181*" /stext=" 17:.+((SYSTEM_STATE.+slice.+state.+changed )|(ment ac)|(multiple cpu faults)|(system.+state.+changed )|(\[timeout)|(PRM\|1\|D)|(kpr)|(kdp)|(train st.+moving)|(\|lc)|(penalty))"</v>
      </c>
      <c r="U28" s="9" t="str">
        <f t="shared" si="2"/>
        <v>4031</v>
      </c>
      <c r="V28" s="31">
        <f t="shared" si="3"/>
        <v>43057.745138888888</v>
      </c>
      <c r="W28" s="45" t="str">
        <f t="shared" si="4"/>
        <v>NW</v>
      </c>
      <c r="X28" s="22">
        <f t="shared" si="5"/>
        <v>1810</v>
      </c>
      <c r="Y28" s="96" t="str">
        <f t="shared" si="6"/>
        <v>echo {"issue":{"subject":"Poor GPS at Wewatta","project_id":79,"tracker_id":40,"status_id":1,"priority_id":2,"assigned_to_id":338,"start_date":"2017-11-18","description":"","custom_fields":[{"id":1,"name":"Subdivision","value":"NW"},{"id":4,"name":"Milepost","value":"0.4798"},{"id":17,"name":"Train ID","value":"1810-18"},{"id":16,"name":"Locomotive ID","value":"4031"},{"id":130,"name":"Impact","value":""},{"id":150,"name":"Time of Event (Mountain Time)","value":"10:53:00"},{"id":151,"name":"Denver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8"/>
      <c r="AA28" s="47"/>
      <c r="AB28" s="47"/>
      <c r="AC28" s="115" t="str">
        <f t="shared" si="7"/>
        <v>grep -hrE -A400 "Enforcement Action" /c/Users/stu/AppData/Local/Temp/OnboardLogs/RTDC4031 --include="*4031*201711181*"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"%USERPROFILE%\AppData\Local\Temp\OnboardLogs"\RTDC4031\*4031*201711181* &gt;&gt; 2017-11-18-SliceDisagreementCheck.txt</v>
      </c>
      <c r="AE28" s="144" t="str">
        <f t="shared" si="9"/>
        <v>start /low /b %USERPROFILE%\Documents\GitHub\eaglep3\Utilities\DownloadLogsFromS3.py --loco 4031 --day 2017-11-18</v>
      </c>
      <c r="AF28" s="1"/>
    </row>
    <row r="29" spans="1:32" x14ac:dyDescent="0.25">
      <c r="A29" s="31">
        <v>43057.495254629626</v>
      </c>
      <c r="B29" s="30" t="s">
        <v>680</v>
      </c>
      <c r="C29" s="30" t="s">
        <v>682</v>
      </c>
      <c r="D29" s="30" t="s">
        <v>49</v>
      </c>
      <c r="E29" s="30" t="s">
        <v>354</v>
      </c>
      <c r="F29" s="42">
        <v>0</v>
      </c>
      <c r="G29" s="42">
        <v>87</v>
      </c>
      <c r="H29" s="42">
        <v>4838</v>
      </c>
      <c r="I29" s="42">
        <v>4703</v>
      </c>
      <c r="J29" s="30" t="s">
        <v>355</v>
      </c>
      <c r="K29" s="42">
        <v>4798</v>
      </c>
      <c r="L29" s="131" t="s">
        <v>51</v>
      </c>
      <c r="M29" s="132">
        <f t="shared" si="0"/>
        <v>-50.16</v>
      </c>
      <c r="N29" s="133" t="str">
        <f>VLOOKUP(C29,'Trips&amp;Operators'!$C$1:$G$99911,5,FALSE)</f>
        <v>LAMAR NEKESHA</v>
      </c>
      <c r="O29" s="175" t="s">
        <v>348</v>
      </c>
      <c r="P29" s="134" t="s">
        <v>1090</v>
      </c>
      <c r="Q29" s="30"/>
      <c r="R29" s="81" t="str">
        <f>VLOOKUP(C29,'Train Runs'!$A$13:$AE$10168,31,0)</f>
        <v>aws s3 cp s3://rtdc.mdm.uploadarchive.raw/RTDC4031/ "%USERPROFILE%\AppData\Local\Temp\OnboardLogs"\RTDC4031\2017-11-18 --exclude "*" --recursive --include "*20171118*" &amp; "%USERPROFILE%\Documents\GitHub\mrs-test-scripts\Headless Mode &amp; Sideloading\WalkAndUnGZ.bat" "%USERPROFILE%\AppData\Local\Temp\OnboardLogs"\RTDC4031\2017-11-18 &amp; aws s3 cp s3://rtdc.mdm.uploadarchive.raw/RTDC4031/ "%USERPROFILE%\AppData\Local\Temp\OnboardLogs"\RTDC4031\2017-11-19 --exclude "*" --recursive --include "*20171119*" &amp; "%USERPROFILE%\Documents\GitHub\mrs-test-scripts\Headless Mode &amp; Sideloading\WalkAndUnGZ.bat" "%USERPROFILE%\AppData\Local\Temp\OnboardLogs"\RTDC4031\2017-11-19</v>
      </c>
      <c r="S29" s="84" t="str">
        <f>VLOOKUP(C29,'Train Runs'!$A$13:$AE$10168,22,0)</f>
        <v>https://d0f6bd738d7f1b3e5a7ca70fe4ff75f0.us-east-1.aws.found.io/app/kibana#/discover/Steve-Slow-Train-Analysis-(2080s-and-2083s)?_g=(refreshInterval:(display:Off,pause:!f,section:0,value:0),time:(from:'2017-11-18T10:25:51-0700',mode:absolute,to:'2017-11-18T12:53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9" s="86" t="str">
        <f t="shared" si="1"/>
        <v>"C:\Program Files (x86)\AstroGrep\AstroGrep.exe" /e /r /s /spath="%USERPROFILE%\AppData\Local\Temp\OnboardLogs" /stypes="*4031*201711181*" /stext=" 18:.+((SYSTEM_STATE.+slice.+state.+changed )|(ment ac)|(multiple cpu faults)|(system.+state.+changed )|(\[timeout)|(PRM\|1\|D)|(kpr)|(kdp)|(train st.+moving)|(\|lc)|(penalty))"</v>
      </c>
      <c r="U29" s="9" t="str">
        <f t="shared" si="2"/>
        <v>4031</v>
      </c>
      <c r="V29" s="31">
        <f t="shared" si="3"/>
        <v>43057.786921296291</v>
      </c>
      <c r="W29" s="45" t="str">
        <f t="shared" si="4"/>
        <v>NW</v>
      </c>
      <c r="X29" s="22">
        <f t="shared" si="5"/>
        <v>1812</v>
      </c>
      <c r="Y29" s="96" t="str">
        <f t="shared" si="6"/>
        <v>echo {"issue":{"subject":"Poor GPS at Wewatta","project_id":79,"tracker_id":40,"status_id":1,"priority_id":2,"assigned_to_id":338,"start_date":"2017-11-18","description":"","custom_fields":[{"id":1,"name":"Subdivision","value":"NW"},{"id":4,"name":"Milepost","value":"0.4798"},{"id":17,"name":"Train ID","value":"1812-18"},{"id":16,"name":"Locomotive ID","value":"4031"},{"id":130,"name":"Impact","value":""},{"id":150,"name":"Time of Event (Mountain Time)","value":"11:53:10"},{"id":151,"name":"Denver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8"/>
      <c r="AA29" s="47"/>
      <c r="AB29" s="47"/>
      <c r="AC29" s="115" t="str">
        <f t="shared" si="7"/>
        <v>grep -hrE -A400 "Enforcement Action" /c/Users/stu/AppData/Local/Temp/OnboardLogs/RTDC4031 --include="*4031*201711181*"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"%USERPROFILE%\AppData\Local\Temp\OnboardLogs"\RTDC4031\*4031*201711181* &gt;&gt; 2017-11-18-SliceDisagreementCheck.txt</v>
      </c>
      <c r="AE29" s="144" t="str">
        <f t="shared" si="9"/>
        <v>start /low /b %USERPROFILE%\Documents\GitHub\eaglep3\Utilities\DownloadLogsFromS3.py --loco 4031 --day 2017-11-18</v>
      </c>
      <c r="AF29" s="1"/>
    </row>
    <row r="30" spans="1:32" x14ac:dyDescent="0.25">
      <c r="A30" s="31">
        <v>43057.703842592593</v>
      </c>
      <c r="B30" s="30" t="s">
        <v>683</v>
      </c>
      <c r="C30" s="30" t="s">
        <v>684</v>
      </c>
      <c r="D30" s="30" t="s">
        <v>49</v>
      </c>
      <c r="E30" s="30" t="s">
        <v>354</v>
      </c>
      <c r="F30" s="42">
        <v>0</v>
      </c>
      <c r="G30" s="42">
        <v>36</v>
      </c>
      <c r="H30" s="42">
        <v>4823</v>
      </c>
      <c r="I30" s="42">
        <v>4656</v>
      </c>
      <c r="J30" s="30" t="s">
        <v>355</v>
      </c>
      <c r="K30" s="42">
        <v>4798</v>
      </c>
      <c r="L30" s="131" t="s">
        <v>51</v>
      </c>
      <c r="M30" s="132">
        <f t="shared" si="0"/>
        <v>-74.975999999999999</v>
      </c>
      <c r="N30" s="133" t="str">
        <f>VLOOKUP(C30,'Trips&amp;Operators'!$C$1:$G$99911,5,FALSE)</f>
        <v>SMITH MICHAEL</v>
      </c>
      <c r="O30" s="175" t="s">
        <v>348</v>
      </c>
      <c r="P30" s="134" t="s">
        <v>1090</v>
      </c>
      <c r="Q30" s="30"/>
      <c r="R30" s="81" t="str">
        <f>VLOOKUP(C30,'Train Runs'!$A$13:$AE$10168,31,0)</f>
        <v>aws s3 cp s3://rtdc.mdm.uploadarchive.raw/RTDC4053/ "%USERPROFILE%\AppData\Local\Temp\OnboardLogs"\RTDC4053\2017-11-18 --exclude "*" --recursive --include "*20171118*" &amp; "%USERPROFILE%\Documents\GitHub\mrs-test-scripts\Headless Mode &amp; Sideloading\WalkAndUnGZ.bat" "%USERPROFILE%\AppData\Local\Temp\OnboardLogs"\RTDC4053\2017-11-18 &amp; 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</v>
      </c>
      <c r="S30" s="84" t="str">
        <f>VLOOKUP(C30,'Train Runs'!$A$13:$AE$10168,22,0)</f>
        <v>https://d0f6bd738d7f1b3e5a7ca70fe4ff75f0.us-east-1.aws.found.io/app/kibana#/discover/Steve-Slow-Train-Analysis-(2080s-and-2083s)?_g=(refreshInterval:(display:Off,pause:!f,section:0,value:0),time:(from:'2017-11-18T15:30:42-0700',mode:absolute,to:'2017-11-18T17:53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0" s="86" t="str">
        <f t="shared" si="1"/>
        <v>"C:\Program Files (x86)\AstroGrep\AstroGrep.exe" /e /r /s /spath="%USERPROFILE%\AppData\Local\Temp\OnboardLogs" /stypes="*4053*201711182*" /stext=" 23:.+((SYSTEM_STATE.+slice.+state.+changed )|(ment ac)|(multiple cpu faults)|(system.+state.+changed )|(\[timeout)|(PRM\|1\|D)|(kpr)|(kdp)|(train st.+moving)|(\|lc)|(penalty))"</v>
      </c>
      <c r="U30" s="9" t="str">
        <f t="shared" si="2"/>
        <v>4053</v>
      </c>
      <c r="V30" s="31">
        <f t="shared" si="3"/>
        <v>43057.995509259257</v>
      </c>
      <c r="W30" s="45" t="str">
        <f t="shared" si="4"/>
        <v>NW</v>
      </c>
      <c r="X30" s="22">
        <f t="shared" si="5"/>
        <v>1822</v>
      </c>
      <c r="Y30" s="96" t="str">
        <f t="shared" si="6"/>
        <v>echo {"issue":{"subject":"Poor GPS at Wewatta","project_id":79,"tracker_id":40,"status_id":1,"priority_id":2,"assigned_to_id":338,"start_date":"2017-11-18","description":"","custom_fields":[{"id":1,"name":"Subdivision","value":"NW"},{"id":4,"name":"Milepost","value":"0.4798"},{"id":17,"name":"Train ID","value":"1822-18"},{"id":16,"name":"Locomotive ID","value":"4053"},{"id":130,"name":"Impact","value":""},{"id":150,"name":"Time of Event (Mountain Time)","value":"16:53:32"},{"id":151,"name":"Denver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8"/>
      <c r="AA30" s="47"/>
      <c r="AB30" s="47"/>
      <c r="AC30" s="115" t="str">
        <f t="shared" si="7"/>
        <v>grep -hrE -A400 "Enforcement Action" /c/Users/stu/AppData/Local/Temp/OnboardLogs/RTDC4053 --include="*4053*201711182*"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"%USERPROFILE%\AppData\Local\Temp\OnboardLogs"\RTDC4053\*4053*201711182* &gt;&gt; 2017-11-18-SliceDisagreementCheck.txt</v>
      </c>
      <c r="AE30" s="144" t="str">
        <f t="shared" si="9"/>
        <v>start /low /b %USERPROFILE%\Documents\GitHub\eaglep3\Utilities\DownloadLogsFromS3.py --loco 4053 --day 2017-11-18</v>
      </c>
      <c r="AF30" s="1"/>
    </row>
    <row r="31" spans="1:32" x14ac:dyDescent="0.25">
      <c r="A31" s="31">
        <v>43057.953657407408</v>
      </c>
      <c r="B31" s="30" t="s">
        <v>683</v>
      </c>
      <c r="C31" s="30" t="s">
        <v>696</v>
      </c>
      <c r="D31" s="30" t="s">
        <v>49</v>
      </c>
      <c r="E31" s="30" t="s">
        <v>354</v>
      </c>
      <c r="F31" s="42">
        <v>0</v>
      </c>
      <c r="G31" s="42">
        <v>50</v>
      </c>
      <c r="H31" s="42">
        <v>4800</v>
      </c>
      <c r="I31" s="42">
        <v>4619</v>
      </c>
      <c r="J31" s="30" t="s">
        <v>355</v>
      </c>
      <c r="K31" s="42">
        <v>4798</v>
      </c>
      <c r="L31" s="131" t="s">
        <v>51</v>
      </c>
      <c r="M31" s="132">
        <f t="shared" si="0"/>
        <v>-94.512</v>
      </c>
      <c r="N31" s="133" t="str">
        <f>VLOOKUP(C31,'Trips&amp;Operators'!$C$1:$G$99911,5,FALSE)</f>
        <v>SMITH MICHAEL</v>
      </c>
      <c r="O31" s="175" t="s">
        <v>348</v>
      </c>
      <c r="P31" s="134" t="s">
        <v>1090</v>
      </c>
      <c r="Q31" s="30"/>
      <c r="R31" s="81" t="str">
        <f>VLOOKUP(C31,'Train Runs'!$A$13:$AE$10168,31,0)</f>
        <v>aws s3 cp s3://rtdc.mdm.uploadarchive.raw/RTDC4053/ "%USERPROFILE%\AppData\Local\Temp\OnboardLogs"\RTDC4053\2017-11-18 --exclude "*" --recursive --include "*20171118*" &amp; "%USERPROFILE%\Documents\GitHub\mrs-test-scripts\Headless Mode &amp; Sideloading\WalkAndUnGZ.bat" "%USERPROFILE%\AppData\Local\Temp\OnboardLogs"\RTDC4053\2017-11-18 &amp; 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</v>
      </c>
      <c r="S31" s="84" t="str">
        <f>VLOOKUP(C31,'Train Runs'!$A$13:$AE$10168,22,0)</f>
        <v>https://d0f6bd738d7f1b3e5a7ca70fe4ff75f0.us-east-1.aws.found.io/app/kibana#/discover/Steve-Slow-Train-Analysis-(2080s-and-2083s)?_g=(refreshInterval:(display:Off,pause:!f,section:0,value:0),time:(from:'2017-11-18T21:26:41-0700',mode:absolute,to:'2017-11-18T23:53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1" s="86" t="str">
        <f t="shared" si="1"/>
        <v>"C:\Program Files (x86)\AstroGrep\AstroGrep.exe" /e /r /s /spath="%USERPROFILE%\AppData\Local\Temp\OnboardLogs" /stypes="*4053*201711190*" /stext=" 05:.+((SYSTEM_STATE.+slice.+state.+changed )|(ment ac)|(multiple cpu faults)|(system.+state.+changed )|(\[timeout)|(PRM\|1\|D)|(kpr)|(kdp)|(train st.+moving)|(\|lc)|(penalty))"</v>
      </c>
      <c r="U31" s="9" t="str">
        <f t="shared" si="2"/>
        <v>4053</v>
      </c>
      <c r="V31" s="31">
        <f t="shared" si="3"/>
        <v>43058.245324074072</v>
      </c>
      <c r="W31" s="45" t="str">
        <f t="shared" si="4"/>
        <v>NW</v>
      </c>
      <c r="X31" s="22">
        <f t="shared" si="5"/>
        <v>1834</v>
      </c>
      <c r="Y31" s="96" t="str">
        <f t="shared" si="6"/>
        <v>echo {"issue":{"subject":"Poor GPS at Wewatta","project_id":79,"tracker_id":40,"status_id":1,"priority_id":2,"assigned_to_id":338,"start_date":"2017-11-18","description":"","custom_fields":[{"id":1,"name":"Subdivision","value":"NW"},{"id":4,"name":"Milepost","value":"0.4798"},{"id":17,"name":"Train ID","value":"1834-18"},{"id":16,"name":"Locomotive ID","value":"4053"},{"id":130,"name":"Impact","value":""},{"id":150,"name":"Time of Event (Mountain Time)","value":"22:53:16"},{"id":151,"name":"Denver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8"/>
      <c r="AA31" s="47"/>
      <c r="AB31" s="47"/>
      <c r="AC31" s="115" t="str">
        <f t="shared" si="7"/>
        <v>grep -hrE -A400 "Enforcement Action" /c/Users/stu/AppData/Local/Temp/OnboardLogs/RTDC4053 --include="*4053*201711190*"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"%USERPROFILE%\AppData\Local\Temp\OnboardLogs"\RTDC4053\*4053*201711190* &gt;&gt; 2017-11-18-SliceDisagreementCheck.txt</v>
      </c>
      <c r="AE31" s="144" t="str">
        <f t="shared" si="9"/>
        <v>start /low /b %USERPROFILE%\Documents\GitHub\eaglep3\Utilities\DownloadLogsFromS3.py --loco 4053 --day 2017-11-19</v>
      </c>
      <c r="AF31" s="1"/>
    </row>
    <row r="32" spans="1:32" x14ac:dyDescent="0.25">
      <c r="A32" s="31">
        <v>43057.780844907407</v>
      </c>
      <c r="B32" s="30" t="s">
        <v>533</v>
      </c>
      <c r="C32" s="30" t="s">
        <v>688</v>
      </c>
      <c r="D32" s="30" t="s">
        <v>49</v>
      </c>
      <c r="E32" s="30" t="s">
        <v>183</v>
      </c>
      <c r="F32" s="42">
        <v>0</v>
      </c>
      <c r="G32" s="42">
        <v>220</v>
      </c>
      <c r="H32" s="42">
        <v>10242</v>
      </c>
      <c r="I32" s="42">
        <v>10841</v>
      </c>
      <c r="J32" s="30" t="s">
        <v>184</v>
      </c>
      <c r="K32" s="42">
        <v>10716</v>
      </c>
      <c r="L32" s="131" t="s">
        <v>50</v>
      </c>
      <c r="M32" s="132">
        <f t="shared" si="0"/>
        <v>-66</v>
      </c>
      <c r="N32" s="133" t="str">
        <f>VLOOKUP(C32,'Trips&amp;Operators'!$C$1:$G$99911,5,FALSE)</f>
        <v>GUZMAN DANNY</v>
      </c>
      <c r="O32" s="175" t="s">
        <v>178</v>
      </c>
      <c r="P32" s="134"/>
      <c r="Q32" s="30"/>
      <c r="R32" s="81" t="str">
        <f>VLOOKUP(C32,'Train Runs'!$A$13:$AE$10168,31,0)</f>
        <v>aws s3 cp s3://rtdc.mdm.uploadarchive.raw/RTDC4026/ "%USERPROFILE%\AppData\Local\Temp\OnboardLogs"\RTDC4026\2017-11-18 --exclude "*" --recursive --include "*20171118*" &amp; "%USERPROFILE%\Documents\GitHub\mrs-test-scripts\Headless Mode &amp; Sideloading\WalkAndUnGZ.bat" "%USERPROFILE%\AppData\Local\Temp\OnboardLogs"\RTDC4026\2017-11-18 &amp; aws s3 cp s3://rtdc.mdm.uploadarchive.raw/RTDC4026/ "%USERPROFILE%\AppData\Local\Temp\OnboardLogs"\RTDC4026\2017-11-19 --exclude "*" --recursive --include "*20171119*" &amp; "%USERPROFILE%\Documents\GitHub\mrs-test-scripts\Headless Mode &amp; Sideloading\WalkAndUnGZ.bat" "%USERPROFILE%\AppData\Local\Temp\OnboardLogs"\RTDC4026\2017-11-19</v>
      </c>
      <c r="S32" s="84" t="str">
        <f>VLOOKUP(C32,'Train Runs'!$A$13:$AE$10168,22,0)</f>
        <v>https://d0f6bd738d7f1b3e5a7ca70fe4ff75f0.us-east-1.aws.found.io/app/kibana#/discover/Steve-Slow-Train-Analysis-(2080s-and-2083s)?_g=(refreshInterval:(display:Off,pause:!f,section:0,value:0),time:(from:'2017-11-18T17:39:09-0700',mode:absolute,to:'2017-11-18T19:44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2" s="86" t="str">
        <f t="shared" si="1"/>
        <v>"C:\Program Files (x86)\AstroGrep\AstroGrep.exe" /e /r /s /spath="%USERPROFILE%\AppData\Local\Temp\OnboardLogs" /stypes="*4026*201711190*" /stext=" 01:.+((SYSTEM_STATE.+slice.+state.+changed )|(ment ac)|(multiple cpu faults)|(system.+state.+changed )|(\[timeout)|(PRM\|1\|D)|(kpr)|(kdp)|(train st.+moving)|(\|lc)|(penalty))"</v>
      </c>
      <c r="U32" s="9" t="str">
        <f t="shared" si="2"/>
        <v>4026</v>
      </c>
      <c r="V32" s="31">
        <f t="shared" si="3"/>
        <v>43058.072511574072</v>
      </c>
      <c r="W32" s="45" t="str">
        <f t="shared" si="4"/>
        <v>Other</v>
      </c>
      <c r="X32" s="22">
        <f t="shared" si="5"/>
        <v>301</v>
      </c>
      <c r="Y32" s="96" t="str">
        <f t="shared" si="6"/>
        <v>echo {"issue":{"subject":"","project_id":79,"tracker_id":40,"status_id":1,"priority_id":2,"assigned_to_id":338,"start_date":"2017-11-18","description":"","custom_fields":[{"id":1,"name":"Subdivision","value":"Other"},{"id":4,"name":"Milepost","value":"1.0716"},{"id":17,"name":"Train ID","value":"301-18"},{"id":16,"name":"Locomotive ID","value":"4026"},{"id":130,"name":"Impact","value":""},{"id":150,"name":"Time of Event (Mountain Time)","value":"18:44:25"},{"id":151,"name":"Denver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8"/>
      <c r="AA32" s="47"/>
      <c r="AB32" s="47"/>
      <c r="AC32" s="115" t="str">
        <f t="shared" si="7"/>
        <v>grep -hrE -A400 "Enforcement Action" /c/Users/stu/AppData/Local/Temp/OnboardLogs/RTDC4026 --include="*4026*201711190*"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"%USERPROFILE%\AppData\Local\Temp\OnboardLogs"\RTDC4026\*4026*201711190* &gt;&gt; 2017-11-18-SliceDisagreementCheck.txt</v>
      </c>
      <c r="AE32" s="144" t="str">
        <f t="shared" si="9"/>
        <v>start /low /b %USERPROFILE%\Documents\GitHub\eaglep3\Utilities\DownloadLogsFromS3.py --loco 4026 --day 2017-11-19</v>
      </c>
      <c r="AF32" s="1"/>
    </row>
  </sheetData>
  <autoFilter ref="A6:AC13">
    <sortState ref="A7:AC32">
      <sortCondition ref="W7:W32"/>
      <sortCondition ref="E7:E32"/>
      <sortCondition ref="K7:K32"/>
      <sortCondition ref="F7:F32"/>
    </sortState>
  </autoFilter>
  <sortState ref="A7:AE12">
    <sortCondition ref="W7:W12"/>
    <sortCondition ref="E7:E12"/>
    <sortCondition ref="K7:K12"/>
    <sortCondition ref="C7:C12"/>
    <sortCondition ref="F7:F12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32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AA7:AA32</xm:sqref>
        </x14:dataValidation>
        <x14:dataValidation type="list" allowBlank="1" showInputMessage="1" showErrorMessage="1">
          <x14:formula1>
            <xm:f>'Redmine List Values'!$C$2:$C$15</xm:f>
          </x14:formula1>
          <xm:sqref>AB7:AB32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5" x14ac:dyDescent="0.25"/>
  <cols>
    <col min="1" max="1" width="8" style="195" customWidth="1"/>
    <col min="2" max="2" width="9.140625" style="2" customWidth="1"/>
    <col min="3" max="3" width="8" style="88" bestFit="1" customWidth="1"/>
    <col min="4" max="4" width="11.28515625" style="13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8" customWidth="1"/>
    <col min="10" max="10" width="9.140625" customWidth="1"/>
  </cols>
  <sheetData>
    <row r="1" spans="1:10" s="20" customFormat="1" x14ac:dyDescent="0.25">
      <c r="A1" s="195"/>
      <c r="B1" s="226" t="str">
        <f>"Trips that did not appear in PTC Data "&amp;TEXT(Variables!$A$2,"YYYY-mm-dd")</f>
        <v>Trips that did not appear in PTC Data 2017-11-18</v>
      </c>
      <c r="C1" s="226"/>
      <c r="D1" s="226"/>
      <c r="E1" s="226"/>
      <c r="F1" s="226"/>
      <c r="I1" s="188"/>
    </row>
    <row r="2" spans="1:10" s="23" customFormat="1" ht="45" x14ac:dyDescent="0.25">
      <c r="A2" s="223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25">
      <c r="A3" s="197">
        <v>238</v>
      </c>
      <c r="B3" s="42" t="str">
        <f>A3&amp;"-"&amp;IF(DAY(Variables!$A$2)&lt;10,0,"")&amp;DAY(Variables!$A$2)</f>
        <v>238-18</v>
      </c>
      <c r="C3" s="135"/>
      <c r="D3" s="224" t="e">
        <f>VLOOKUP(B3,'Trips&amp;Operators'!$C$1:$H$1072,6,FALSE)</f>
        <v>#N/A</v>
      </c>
      <c r="E3" s="30" t="s">
        <v>1072</v>
      </c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22238-18%22)),sort:!(Time.ISO8601,asc))</v>
      </c>
      <c r="J3" s="30" t="e">
        <f>VLOOKUP(B3,'Train Runs'!$A$13:$A$100165,1,FALSE)</f>
        <v>#N/A</v>
      </c>
    </row>
    <row r="4" spans="1:10" x14ac:dyDescent="0.25">
      <c r="A4" s="197"/>
      <c r="B4" s="42" t="str">
        <f>A4&amp;"-"&amp;IF(DAY(Variables!$A$2)&lt;10,0,"")&amp;DAY(Variables!$A$2)</f>
        <v>-18</v>
      </c>
      <c r="C4" s="135"/>
      <c r="D4" s="152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" s="30" t="e">
        <f>VLOOKUP(B4,'Train Runs'!$A$13:$A$100165,1,FALSE)</f>
        <v>#N/A</v>
      </c>
    </row>
    <row r="5" spans="1:10" x14ac:dyDescent="0.25">
      <c r="A5" s="197"/>
      <c r="B5" s="42" t="str">
        <f>A5&amp;"-"&amp;IF(DAY(Variables!$A$2)&lt;10,0,"")&amp;DAY(Variables!$A$2)</f>
        <v>-18</v>
      </c>
      <c r="C5" s="135"/>
      <c r="D5" s="152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" s="30" t="e">
        <f>VLOOKUP(B5,'Train Runs'!$A$13:$A$100165,1,FALSE)</f>
        <v>#N/A</v>
      </c>
    </row>
    <row r="6" spans="1:10" x14ac:dyDescent="0.25">
      <c r="A6" s="197"/>
      <c r="B6" s="42" t="str">
        <f>A6&amp;"-"&amp;IF(DAY(Variables!$A$2)&lt;10,0,"")&amp;DAY(Variables!$A$2)</f>
        <v>-18</v>
      </c>
      <c r="C6" s="135"/>
      <c r="D6" s="152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" s="30" t="e">
        <f>VLOOKUP(B6,'Train Runs'!$A$13:$A$100165,1,FALSE)</f>
        <v>#N/A</v>
      </c>
    </row>
    <row r="7" spans="1:10" x14ac:dyDescent="0.25">
      <c r="A7" s="197"/>
      <c r="B7" s="42" t="str">
        <f>A7&amp;"-"&amp;IF(DAY(Variables!$A$2)&lt;10,0,"")&amp;DAY(Variables!$A$2)</f>
        <v>-18</v>
      </c>
      <c r="C7" s="135"/>
      <c r="D7" s="152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" s="30" t="e">
        <f>VLOOKUP(B7,'Train Runs'!$A$13:$A$100165,1,FALSE)</f>
        <v>#N/A</v>
      </c>
    </row>
    <row r="8" spans="1:10" x14ac:dyDescent="0.25">
      <c r="A8" s="197"/>
      <c r="B8" s="42" t="str">
        <f>A8&amp;"-"&amp;IF(DAY(Variables!$A$2)&lt;10,0,"")&amp;DAY(Variables!$A$2)</f>
        <v>-18</v>
      </c>
      <c r="C8" s="135"/>
      <c r="D8" s="152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" s="30" t="e">
        <f>VLOOKUP(B8,'Train Runs'!$A$13:$A$100165,1,FALSE)</f>
        <v>#N/A</v>
      </c>
    </row>
    <row r="9" spans="1:10" x14ac:dyDescent="0.25">
      <c r="A9" s="197"/>
      <c r="B9" s="42" t="str">
        <f>A9&amp;"-"&amp;IF(DAY(Variables!$A$2)&lt;10,0,"")&amp;DAY(Variables!$A$2)</f>
        <v>-18</v>
      </c>
      <c r="C9" s="135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" s="30" t="e">
        <f>VLOOKUP(B9,'Train Runs'!$A$13:$A$100165,1,FALSE)</f>
        <v>#N/A</v>
      </c>
    </row>
    <row r="10" spans="1:10" x14ac:dyDescent="0.25">
      <c r="A10" s="197"/>
      <c r="B10" s="42" t="str">
        <f>A10&amp;"-"&amp;IF(DAY(Variables!$A$2)&lt;10,0,"")&amp;DAY(Variables!$A$2)</f>
        <v>-18</v>
      </c>
      <c r="C10" s="135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" s="30" t="e">
        <f>VLOOKUP(B10,'Train Runs'!$A$13:$A$100165,1,FALSE)</f>
        <v>#N/A</v>
      </c>
    </row>
    <row r="11" spans="1:10" x14ac:dyDescent="0.25">
      <c r="A11" s="197"/>
      <c r="B11" s="42" t="str">
        <f>A11&amp;"-"&amp;IF(DAY(Variables!$A$2)&lt;10,0,"")&amp;DAY(Variables!$A$2)</f>
        <v>-18</v>
      </c>
      <c r="C11" s="135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" s="30" t="e">
        <f>VLOOKUP(B11,'Train Runs'!$A$13:$A$100165,1,FALSE)</f>
        <v>#N/A</v>
      </c>
    </row>
    <row r="12" spans="1:10" x14ac:dyDescent="0.25">
      <c r="A12" s="197"/>
      <c r="B12" s="42" t="str">
        <f>A12&amp;"-"&amp;IF(DAY(Variables!$A$2)&lt;10,0,"")&amp;DAY(Variables!$A$2)</f>
        <v>-18</v>
      </c>
      <c r="C12" s="135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2" s="30" t="e">
        <f>VLOOKUP(B12,'Train Runs'!$A$13:$A$100165,1,FALSE)</f>
        <v>#N/A</v>
      </c>
    </row>
    <row r="13" spans="1:10" x14ac:dyDescent="0.25">
      <c r="A13" s="197"/>
      <c r="B13" s="42" t="str">
        <f>A13&amp;"-"&amp;IF(DAY(Variables!$A$2)&lt;10,0,"")&amp;DAY(Variables!$A$2)</f>
        <v>-18</v>
      </c>
      <c r="C13" s="135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3" s="30" t="e">
        <f>VLOOKUP(B13,'Train Runs'!$A$13:$A$100165,1,FALSE)</f>
        <v>#N/A</v>
      </c>
    </row>
    <row r="14" spans="1:10" x14ac:dyDescent="0.25">
      <c r="A14" s="197"/>
      <c r="B14" s="42" t="str">
        <f>A14&amp;"-"&amp;IF(DAY(Variables!$A$2)&lt;10,0,"")&amp;DAY(Variables!$A$2)</f>
        <v>-18</v>
      </c>
      <c r="C14" s="135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4" s="30" t="e">
        <f>VLOOKUP(B14,'Train Runs'!$A$13:$A$100165,1,FALSE)</f>
        <v>#N/A</v>
      </c>
    </row>
    <row r="15" spans="1:10" x14ac:dyDescent="0.25">
      <c r="A15" s="197"/>
      <c r="B15" s="42" t="str">
        <f>A15&amp;"-"&amp;IF(DAY(Variables!$A$2)&lt;10,0,"")&amp;DAY(Variables!$A$2)</f>
        <v>-18</v>
      </c>
      <c r="C15" s="135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5" s="30" t="e">
        <f>VLOOKUP(B15,'Train Runs'!$A$13:$A$100165,1,FALSE)</f>
        <v>#N/A</v>
      </c>
    </row>
    <row r="16" spans="1:10" x14ac:dyDescent="0.25">
      <c r="A16" s="197"/>
      <c r="B16" s="42" t="str">
        <f>A16&amp;"-"&amp;IF(DAY(Variables!$A$2)&lt;10,0,"")&amp;DAY(Variables!$A$2)</f>
        <v>-18</v>
      </c>
      <c r="C16" s="135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6" s="30" t="e">
        <f>VLOOKUP(B16,'Train Runs'!$A$13:$A$100165,1,FALSE)</f>
        <v>#N/A</v>
      </c>
    </row>
    <row r="17" spans="1:10" x14ac:dyDescent="0.25">
      <c r="A17" s="197"/>
      <c r="B17" s="42" t="str">
        <f>A17&amp;"-"&amp;IF(DAY(Variables!$A$2)&lt;10,0,"")&amp;DAY(Variables!$A$2)</f>
        <v>-18</v>
      </c>
      <c r="C17" s="135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7" s="30" t="e">
        <f>VLOOKUP(B17,'Train Runs'!$A$13:$A$100165,1,FALSE)</f>
        <v>#N/A</v>
      </c>
    </row>
    <row r="18" spans="1:10" x14ac:dyDescent="0.25">
      <c r="A18" s="197"/>
      <c r="B18" s="42" t="str">
        <f>A18&amp;"-"&amp;IF(DAY(Variables!$A$2)&lt;10,0,"")&amp;DAY(Variables!$A$2)</f>
        <v>-18</v>
      </c>
      <c r="C18" s="135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8" s="30" t="e">
        <f>VLOOKUP(B18,'Train Runs'!$A$13:$A$100165,1,FALSE)</f>
        <v>#N/A</v>
      </c>
    </row>
    <row r="19" spans="1:10" x14ac:dyDescent="0.25">
      <c r="A19" s="197"/>
      <c r="B19" s="42"/>
      <c r="C19" s="135"/>
      <c r="D19" s="152"/>
      <c r="E19" s="30"/>
      <c r="F19" s="21"/>
      <c r="G19" s="21"/>
      <c r="H19" s="29"/>
      <c r="I19" s="190"/>
      <c r="J19" s="30"/>
    </row>
    <row r="20" spans="1:10" x14ac:dyDescent="0.25">
      <c r="A20" s="197"/>
      <c r="B20" s="42"/>
      <c r="C20" s="135"/>
      <c r="D20" s="152"/>
      <c r="E20" s="30"/>
      <c r="F20" s="21"/>
      <c r="G20" s="21"/>
      <c r="H20" s="29"/>
      <c r="I20" s="190"/>
      <c r="J20" s="30"/>
    </row>
    <row r="21" spans="1:10" x14ac:dyDescent="0.25">
      <c r="A21" s="197"/>
      <c r="B21" s="42"/>
      <c r="C21" s="135"/>
      <c r="D21" s="152"/>
      <c r="E21" s="30"/>
      <c r="F21" s="21"/>
      <c r="G21" s="21"/>
      <c r="H21" s="29"/>
      <c r="I21" s="190"/>
      <c r="J21" s="30"/>
    </row>
    <row r="22" spans="1:10" x14ac:dyDescent="0.25">
      <c r="A22" s="197"/>
      <c r="B22" s="42"/>
      <c r="C22" s="135"/>
      <c r="D22" s="152"/>
      <c r="E22" s="30"/>
      <c r="F22" s="21"/>
      <c r="G22" s="21"/>
      <c r="H22" s="29"/>
      <c r="I22" s="190"/>
      <c r="J22" s="30"/>
    </row>
    <row r="23" spans="1:10" x14ac:dyDescent="0.25">
      <c r="A23" s="197"/>
      <c r="B23" s="42"/>
      <c r="C23" s="135"/>
      <c r="D23" s="152"/>
      <c r="E23" s="30"/>
      <c r="F23" s="21"/>
      <c r="G23" s="21"/>
      <c r="H23" s="29"/>
      <c r="I23" s="190"/>
      <c r="J23" s="30"/>
    </row>
    <row r="24" spans="1:10" x14ac:dyDescent="0.25">
      <c r="A24" s="197"/>
      <c r="B24" s="42"/>
      <c r="C24" s="135"/>
      <c r="D24" s="152"/>
      <c r="E24" s="30"/>
      <c r="F24" s="21"/>
      <c r="G24" s="21"/>
      <c r="H24" s="29"/>
      <c r="I24" s="190"/>
      <c r="J24" s="30"/>
    </row>
    <row r="25" spans="1:10" x14ac:dyDescent="0.25">
      <c r="A25" s="197"/>
      <c r="B25" s="42"/>
      <c r="C25" s="135"/>
      <c r="D25" s="152"/>
      <c r="E25" s="30"/>
      <c r="F25" s="21"/>
      <c r="G25" s="21"/>
      <c r="H25" s="29"/>
      <c r="I25" s="190"/>
      <c r="J25" s="30"/>
    </row>
    <row r="26" spans="1:10" x14ac:dyDescent="0.25">
      <c r="A26" s="197"/>
      <c r="B26" s="42"/>
      <c r="C26" s="135"/>
      <c r="D26" s="152"/>
      <c r="E26" s="30"/>
      <c r="F26" s="21"/>
      <c r="G26" s="21"/>
      <c r="H26" s="29"/>
      <c r="I26" s="190"/>
      <c r="J26" s="30"/>
    </row>
    <row r="27" spans="1:10" x14ac:dyDescent="0.25">
      <c r="A27" s="197"/>
      <c r="B27" s="42"/>
      <c r="C27" s="135"/>
      <c r="D27" s="152"/>
      <c r="E27" s="30"/>
      <c r="F27" s="21"/>
      <c r="G27" s="21"/>
      <c r="H27" s="29"/>
      <c r="I27" s="190"/>
      <c r="J27" s="30"/>
    </row>
    <row r="28" spans="1:10" x14ac:dyDescent="0.25">
      <c r="A28" s="197"/>
      <c r="B28" s="42"/>
      <c r="C28" s="135"/>
      <c r="D28" s="152"/>
      <c r="E28" s="30"/>
      <c r="F28" s="21"/>
      <c r="G28" s="21"/>
      <c r="H28" s="29"/>
      <c r="I28" s="190"/>
      <c r="J28" s="30"/>
    </row>
    <row r="29" spans="1:10" x14ac:dyDescent="0.25">
      <c r="A29" s="197"/>
      <c r="B29" s="42"/>
      <c r="C29" s="135"/>
      <c r="D29" s="152"/>
      <c r="E29" s="30"/>
      <c r="F29" s="21"/>
      <c r="G29" s="21"/>
      <c r="H29" s="29"/>
      <c r="I29" s="190"/>
      <c r="J29" s="30"/>
    </row>
    <row r="30" spans="1:10" x14ac:dyDescent="0.25">
      <c r="A30" s="197"/>
      <c r="B30" s="42"/>
      <c r="C30" s="135"/>
      <c r="D30" s="152"/>
      <c r="E30" s="30"/>
      <c r="F30" s="21"/>
      <c r="G30" s="21"/>
      <c r="H30" s="29"/>
      <c r="I30" s="190"/>
      <c r="J30" s="30"/>
    </row>
    <row r="31" spans="1:10" x14ac:dyDescent="0.25">
      <c r="A31" s="197"/>
      <c r="B31" s="42"/>
      <c r="C31" s="135"/>
      <c r="D31" s="152"/>
      <c r="E31" s="30"/>
      <c r="F31" s="21"/>
      <c r="G31" s="21"/>
      <c r="H31" s="29"/>
      <c r="I31" s="190"/>
      <c r="J31" s="30"/>
    </row>
    <row r="32" spans="1:10" x14ac:dyDescent="0.25">
      <c r="A32" s="197"/>
      <c r="B32" s="42"/>
      <c r="C32" s="135"/>
      <c r="D32" s="152"/>
      <c r="E32" s="30"/>
      <c r="F32" s="21"/>
      <c r="G32" s="21"/>
      <c r="H32" s="29"/>
      <c r="I32" s="190"/>
      <c r="J32" s="30"/>
    </row>
    <row r="33" spans="1:10" x14ac:dyDescent="0.25">
      <c r="A33" s="197"/>
      <c r="B33" s="42"/>
      <c r="C33" s="135"/>
      <c r="D33" s="152"/>
      <c r="E33" s="30"/>
      <c r="F33" s="21"/>
      <c r="G33" s="21"/>
      <c r="H33" s="29"/>
      <c r="I33" s="190"/>
      <c r="J33" s="30"/>
    </row>
    <row r="34" spans="1:10" x14ac:dyDescent="0.25">
      <c r="A34" s="197"/>
      <c r="B34" s="42"/>
      <c r="C34" s="135"/>
      <c r="D34" s="152"/>
      <c r="E34" s="30"/>
      <c r="F34" s="21"/>
      <c r="G34" s="21"/>
      <c r="H34" s="29"/>
      <c r="I34" s="190"/>
      <c r="J34" s="30"/>
    </row>
    <row r="35" spans="1:10" x14ac:dyDescent="0.25">
      <c r="A35" s="197"/>
      <c r="B35" s="42"/>
      <c r="C35" s="135"/>
      <c r="D35" s="152"/>
      <c r="E35" s="30"/>
      <c r="F35" s="21"/>
      <c r="G35" s="21"/>
      <c r="H35" s="29"/>
      <c r="I35" s="190"/>
      <c r="J35" s="30"/>
    </row>
    <row r="36" spans="1:10" x14ac:dyDescent="0.25">
      <c r="A36" s="197"/>
      <c r="B36" s="42"/>
      <c r="C36" s="135"/>
      <c r="D36" s="152"/>
      <c r="E36" s="30"/>
      <c r="F36" s="21"/>
      <c r="G36" s="21"/>
      <c r="H36" s="29"/>
      <c r="I36" s="190"/>
      <c r="J36" s="30"/>
    </row>
    <row r="37" spans="1:10" x14ac:dyDescent="0.25">
      <c r="A37" s="197"/>
      <c r="B37" s="42"/>
      <c r="C37" s="135"/>
      <c r="D37" s="152"/>
      <c r="E37" s="30"/>
      <c r="F37" s="21"/>
      <c r="G37" s="21"/>
      <c r="H37" s="29"/>
      <c r="I37" s="190"/>
      <c r="J37" s="30"/>
    </row>
    <row r="38" spans="1:10" x14ac:dyDescent="0.25">
      <c r="A38" s="197"/>
      <c r="B38" s="42"/>
      <c r="C38" s="135"/>
      <c r="D38" s="152"/>
      <c r="E38" s="30"/>
      <c r="F38" s="21"/>
      <c r="G38" s="21"/>
      <c r="H38" s="29"/>
      <c r="I38" s="190"/>
      <c r="J38" s="30"/>
    </row>
    <row r="39" spans="1:10" x14ac:dyDescent="0.25">
      <c r="A39" s="197"/>
      <c r="B39" s="42"/>
      <c r="C39" s="135"/>
      <c r="D39" s="152"/>
      <c r="E39" s="30"/>
      <c r="F39" s="21"/>
      <c r="G39" s="21"/>
      <c r="H39" s="29"/>
      <c r="I39" s="190"/>
      <c r="J39" s="30"/>
    </row>
    <row r="40" spans="1:10" x14ac:dyDescent="0.25">
      <c r="A40" s="197"/>
      <c r="B40" s="42"/>
      <c r="C40" s="135"/>
      <c r="D40" s="152"/>
      <c r="E40" s="30"/>
      <c r="F40" s="21"/>
      <c r="G40" s="21"/>
      <c r="H40" s="29"/>
      <c r="I40" s="190"/>
      <c r="J40" s="30"/>
    </row>
    <row r="41" spans="1:10" x14ac:dyDescent="0.25">
      <c r="A41" s="197"/>
      <c r="B41" s="42"/>
      <c r="C41" s="135"/>
      <c r="D41" s="152"/>
      <c r="E41" s="30"/>
      <c r="F41" s="21"/>
      <c r="G41" s="21"/>
      <c r="H41" s="29"/>
      <c r="I41" s="190"/>
      <c r="J41" s="30"/>
    </row>
    <row r="42" spans="1:10" x14ac:dyDescent="0.25">
      <c r="A42" s="197"/>
      <c r="B42" s="42"/>
      <c r="C42" s="135"/>
      <c r="D42" s="152"/>
      <c r="E42" s="30"/>
      <c r="F42" s="21"/>
      <c r="G42" s="21"/>
      <c r="H42" s="29"/>
      <c r="I42" s="190"/>
      <c r="J42" s="30"/>
    </row>
    <row r="43" spans="1:10" x14ac:dyDescent="0.25">
      <c r="A43" s="197"/>
      <c r="B43" s="42"/>
      <c r="C43" s="135"/>
      <c r="D43" s="152"/>
      <c r="E43" s="30"/>
      <c r="F43" s="21"/>
      <c r="G43" s="21"/>
      <c r="H43" s="29"/>
      <c r="I43" s="190"/>
      <c r="J43" s="30"/>
    </row>
    <row r="44" spans="1:10" x14ac:dyDescent="0.25">
      <c r="A44" s="197"/>
      <c r="B44" s="42"/>
      <c r="C44" s="135"/>
      <c r="D44" s="152"/>
      <c r="E44" s="30"/>
      <c r="F44" s="21"/>
      <c r="G44" s="21"/>
      <c r="H44" s="29"/>
      <c r="I44" s="190"/>
      <c r="J44" s="30"/>
    </row>
    <row r="45" spans="1:10" x14ac:dyDescent="0.25">
      <c r="A45" s="197"/>
      <c r="B45" s="42"/>
      <c r="C45" s="135"/>
      <c r="D45" s="152"/>
      <c r="E45" s="30"/>
      <c r="F45" s="21"/>
      <c r="G45" s="21"/>
      <c r="H45" s="29"/>
      <c r="I45" s="190"/>
      <c r="J45" s="30"/>
    </row>
    <row r="46" spans="1:10" x14ac:dyDescent="0.25">
      <c r="A46" s="197"/>
      <c r="B46" s="42"/>
      <c r="C46" s="135"/>
      <c r="D46" s="152"/>
      <c r="E46" s="30"/>
      <c r="F46" s="21"/>
      <c r="G46" s="21"/>
      <c r="H46" s="29"/>
      <c r="I46" s="190"/>
      <c r="J46" s="30"/>
    </row>
    <row r="47" spans="1:10" x14ac:dyDescent="0.25">
      <c r="A47" s="197"/>
      <c r="B47" s="42"/>
      <c r="C47" s="135"/>
      <c r="D47" s="152"/>
      <c r="E47" s="30"/>
      <c r="F47" s="21"/>
      <c r="G47" s="21"/>
      <c r="H47" s="29"/>
      <c r="I47" s="190"/>
      <c r="J47" s="30"/>
    </row>
    <row r="48" spans="1:10" x14ac:dyDescent="0.25">
      <c r="A48" s="197"/>
      <c r="B48" s="42"/>
      <c r="C48" s="135"/>
      <c r="D48" s="152"/>
      <c r="E48" s="30"/>
      <c r="F48" s="21"/>
      <c r="G48" s="21"/>
      <c r="H48" s="29"/>
      <c r="I48" s="190"/>
      <c r="J48" s="30"/>
    </row>
    <row r="49" spans="1:10" x14ac:dyDescent="0.25">
      <c r="A49" s="197"/>
      <c r="B49" s="42"/>
      <c r="C49" s="135"/>
      <c r="D49" s="152"/>
      <c r="E49" s="30"/>
      <c r="F49" s="21"/>
      <c r="G49" s="21"/>
      <c r="H49" s="29"/>
      <c r="I49" s="190"/>
      <c r="J49" s="30"/>
    </row>
    <row r="50" spans="1:10" x14ac:dyDescent="0.25">
      <c r="A50" s="197"/>
      <c r="B50" s="42"/>
      <c r="C50" s="135"/>
      <c r="D50" s="152"/>
      <c r="E50" s="30"/>
      <c r="F50" s="21"/>
      <c r="G50" s="21"/>
      <c r="H50" s="29"/>
      <c r="I50" s="190"/>
      <c r="J50" s="30"/>
    </row>
    <row r="51" spans="1:10" x14ac:dyDescent="0.25">
      <c r="A51" s="197"/>
      <c r="B51" s="42"/>
      <c r="C51" s="135"/>
      <c r="D51" s="152"/>
      <c r="E51" s="30"/>
      <c r="F51" s="21"/>
      <c r="G51" s="21"/>
      <c r="H51" s="29"/>
      <c r="I51" s="190"/>
      <c r="J51" s="30"/>
    </row>
    <row r="52" spans="1:10" x14ac:dyDescent="0.25">
      <c r="A52" s="197"/>
      <c r="B52" s="42"/>
      <c r="C52" s="135"/>
      <c r="D52" s="152"/>
      <c r="E52" s="30"/>
      <c r="F52" s="21"/>
      <c r="G52" s="21"/>
      <c r="H52" s="29"/>
      <c r="I52" s="190"/>
      <c r="J52" s="30"/>
    </row>
    <row r="53" spans="1:10" x14ac:dyDescent="0.25">
      <c r="A53" s="197"/>
      <c r="B53" s="42"/>
      <c r="C53" s="135"/>
      <c r="D53" s="152"/>
      <c r="E53" s="30"/>
      <c r="F53" s="21"/>
      <c r="G53" s="21"/>
      <c r="H53" s="29"/>
      <c r="I53" s="190"/>
      <c r="J53" s="30"/>
    </row>
    <row r="54" spans="1:10" x14ac:dyDescent="0.25">
      <c r="A54" s="197"/>
      <c r="B54" s="42"/>
      <c r="C54" s="135"/>
      <c r="D54" s="152"/>
      <c r="E54" s="30"/>
      <c r="F54" s="21"/>
      <c r="G54" s="21"/>
      <c r="H54" s="29"/>
      <c r="I54" s="190"/>
      <c r="J54" s="30"/>
    </row>
    <row r="55" spans="1:10" x14ac:dyDescent="0.25">
      <c r="A55" s="197"/>
      <c r="B55" s="42"/>
      <c r="C55" s="135"/>
      <c r="D55" s="152"/>
      <c r="E55" s="30"/>
      <c r="F55" s="21"/>
      <c r="G55" s="21"/>
      <c r="H55" s="29"/>
      <c r="I55" s="190"/>
      <c r="J55" s="30"/>
    </row>
    <row r="56" spans="1:10" x14ac:dyDescent="0.25">
      <c r="A56" s="197"/>
      <c r="B56" s="42"/>
      <c r="C56" s="135"/>
      <c r="D56" s="152"/>
      <c r="E56" s="30"/>
      <c r="F56" s="21"/>
      <c r="G56" s="21"/>
      <c r="H56" s="29"/>
      <c r="I56" s="190"/>
      <c r="J56" s="30"/>
    </row>
    <row r="57" spans="1:10" x14ac:dyDescent="0.25">
      <c r="A57" s="197"/>
      <c r="B57" s="42"/>
      <c r="C57" s="135"/>
      <c r="D57" s="152"/>
      <c r="E57" s="30"/>
      <c r="F57" s="21"/>
      <c r="G57" s="21"/>
      <c r="H57" s="29"/>
      <c r="I57" s="190"/>
      <c r="J57" s="30"/>
    </row>
    <row r="58" spans="1:10" x14ac:dyDescent="0.25">
      <c r="A58" s="197"/>
      <c r="B58" s="42"/>
      <c r="C58" s="135"/>
      <c r="D58" s="152"/>
      <c r="E58" s="30"/>
      <c r="F58" s="21"/>
      <c r="G58" s="21"/>
      <c r="H58" s="29"/>
      <c r="I58" s="190"/>
      <c r="J58" s="30"/>
    </row>
    <row r="59" spans="1:10" x14ac:dyDescent="0.25">
      <c r="A59" s="197"/>
      <c r="B59" s="42"/>
      <c r="C59" s="135"/>
      <c r="D59" s="152"/>
      <c r="E59" s="30"/>
      <c r="F59" s="21"/>
      <c r="G59" s="21"/>
      <c r="H59" s="29"/>
      <c r="I59" s="190"/>
      <c r="J59" s="30"/>
    </row>
    <row r="60" spans="1:10" x14ac:dyDescent="0.25">
      <c r="A60" s="197"/>
      <c r="B60" s="42"/>
      <c r="C60" s="135"/>
      <c r="D60" s="152"/>
      <c r="E60" s="30"/>
      <c r="F60" s="21"/>
      <c r="G60" s="21"/>
      <c r="H60" s="29"/>
      <c r="I60" s="190"/>
      <c r="J60" s="30"/>
    </row>
    <row r="61" spans="1:10" x14ac:dyDescent="0.25">
      <c r="A61" s="197"/>
      <c r="B61" s="42"/>
      <c r="C61" s="135"/>
      <c r="D61" s="152"/>
      <c r="E61" s="30"/>
      <c r="F61" s="21"/>
      <c r="G61" s="21"/>
      <c r="H61" s="29"/>
      <c r="I61" s="190"/>
      <c r="J61" s="30"/>
    </row>
    <row r="62" spans="1:10" x14ac:dyDescent="0.25">
      <c r="A62" s="197"/>
      <c r="B62" s="42"/>
      <c r="C62" s="135"/>
      <c r="D62" s="152"/>
      <c r="E62" s="30"/>
      <c r="F62" s="21"/>
      <c r="G62" s="21"/>
      <c r="H62" s="29"/>
      <c r="I62" s="190"/>
      <c r="J62" s="30"/>
    </row>
    <row r="63" spans="1:10" x14ac:dyDescent="0.25">
      <c r="A63" s="197"/>
      <c r="B63" s="42"/>
      <c r="C63" s="135"/>
      <c r="D63" s="152"/>
      <c r="E63" s="30"/>
      <c r="F63" s="21"/>
      <c r="G63" s="21"/>
      <c r="H63" s="29"/>
      <c r="I63" s="190"/>
      <c r="J63" s="30"/>
    </row>
    <row r="64" spans="1:10" x14ac:dyDescent="0.25">
      <c r="A64" s="197"/>
      <c r="B64" s="42"/>
      <c r="C64" s="135"/>
      <c r="D64" s="152"/>
      <c r="E64" s="30"/>
      <c r="F64" s="21"/>
      <c r="G64" s="21"/>
      <c r="H64" s="29"/>
      <c r="I64" s="190"/>
      <c r="J64" s="30"/>
    </row>
    <row r="65" spans="1:10" x14ac:dyDescent="0.25">
      <c r="A65" s="197"/>
      <c r="B65" s="42"/>
      <c r="C65" s="135"/>
      <c r="D65" s="152"/>
      <c r="E65" s="30"/>
      <c r="F65" s="21"/>
      <c r="G65" s="21"/>
      <c r="H65" s="29"/>
      <c r="I65" s="190"/>
      <c r="J65" s="30"/>
    </row>
    <row r="66" spans="1:10" x14ac:dyDescent="0.25">
      <c r="A66" s="197"/>
      <c r="B66" s="42"/>
      <c r="C66" s="135"/>
      <c r="D66" s="152"/>
      <c r="E66" s="30"/>
      <c r="F66" s="21"/>
      <c r="G66" s="21"/>
      <c r="H66" s="29"/>
      <c r="I66" s="190"/>
      <c r="J66" s="30"/>
    </row>
    <row r="67" spans="1:10" x14ac:dyDescent="0.25">
      <c r="A67" s="197"/>
      <c r="B67" s="42"/>
      <c r="C67" s="135"/>
      <c r="D67" s="152"/>
      <c r="E67" s="30"/>
      <c r="F67" s="21"/>
      <c r="G67" s="21"/>
      <c r="H67" s="29"/>
      <c r="I67" s="190"/>
      <c r="J67" s="30"/>
    </row>
    <row r="68" spans="1:10" x14ac:dyDescent="0.25">
      <c r="A68" s="197"/>
      <c r="B68" s="42"/>
      <c r="C68" s="135"/>
      <c r="D68" s="152"/>
      <c r="E68" s="30"/>
      <c r="F68" s="21"/>
      <c r="G68" s="21"/>
      <c r="H68" s="29"/>
      <c r="I68" s="190"/>
      <c r="J68" s="30"/>
    </row>
    <row r="69" spans="1:10" x14ac:dyDescent="0.25">
      <c r="A69" s="197"/>
      <c r="B69" s="42"/>
      <c r="C69" s="135"/>
      <c r="D69" s="152"/>
      <c r="E69" s="30"/>
      <c r="F69" s="21"/>
      <c r="G69" s="21"/>
      <c r="H69" s="29"/>
      <c r="I69" s="190"/>
      <c r="J69" s="30"/>
    </row>
    <row r="70" spans="1:10" x14ac:dyDescent="0.25">
      <c r="A70" s="197"/>
      <c r="B70" s="42"/>
      <c r="C70" s="135"/>
      <c r="D70" s="152"/>
      <c r="E70" s="30"/>
      <c r="F70" s="21"/>
      <c r="G70" s="21"/>
      <c r="H70" s="29"/>
      <c r="I70" s="190"/>
      <c r="J70" s="30"/>
    </row>
    <row r="71" spans="1:10" x14ac:dyDescent="0.25">
      <c r="A71" s="197"/>
      <c r="B71" s="42"/>
      <c r="C71" s="135"/>
      <c r="D71" s="152"/>
      <c r="E71" s="30"/>
      <c r="F71" s="21"/>
      <c r="G71" s="21"/>
      <c r="H71" s="29"/>
      <c r="I71" s="190"/>
      <c r="J71" s="30"/>
    </row>
    <row r="72" spans="1:10" x14ac:dyDescent="0.25">
      <c r="A72" s="197"/>
      <c r="B72" s="42"/>
      <c r="C72" s="135"/>
      <c r="D72" s="152"/>
      <c r="E72" s="30"/>
      <c r="F72" s="21"/>
      <c r="G72" s="21"/>
      <c r="H72" s="29"/>
      <c r="I72" s="190"/>
      <c r="J72" s="30"/>
    </row>
    <row r="73" spans="1:10" x14ac:dyDescent="0.25">
      <c r="A73" s="197"/>
      <c r="B73" s="42"/>
      <c r="C73" s="135"/>
      <c r="D73" s="152"/>
      <c r="E73" s="30"/>
      <c r="F73" s="21"/>
      <c r="G73" s="21"/>
      <c r="H73" s="29"/>
      <c r="I73" s="190"/>
      <c r="J73" s="30"/>
    </row>
    <row r="74" spans="1:10" x14ac:dyDescent="0.25">
      <c r="A74" s="197"/>
      <c r="B74" s="42"/>
      <c r="C74" s="135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1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95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95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43057.034571759257</v>
      </c>
      <c r="B2" s="20" t="s">
        <v>367</v>
      </c>
      <c r="C2" s="20" t="s">
        <v>702</v>
      </c>
      <c r="D2" s="195">
        <v>3320000</v>
      </c>
      <c r="E2" s="20" t="s">
        <v>363</v>
      </c>
      <c r="F2" s="20" t="s">
        <v>364</v>
      </c>
      <c r="G2" s="8" t="str">
        <f>E2&amp;" "&amp;F2</f>
        <v>NICHOLSON WESLEY</v>
      </c>
      <c r="H2" t="str">
        <f>MID(B2,13,4)</f>
        <v>4035</v>
      </c>
    </row>
    <row r="3" spans="1:8" x14ac:dyDescent="0.25">
      <c r="A3" s="8">
        <v>43057.039826388886</v>
      </c>
      <c r="B3" s="20" t="s">
        <v>446</v>
      </c>
      <c r="C3" s="20" t="s">
        <v>703</v>
      </c>
      <c r="D3" s="195">
        <v>3680000</v>
      </c>
      <c r="E3" s="20" t="s">
        <v>704</v>
      </c>
      <c r="F3" s="20" t="s">
        <v>705</v>
      </c>
      <c r="G3" s="8" t="str">
        <f t="shared" ref="G3:G66" si="0">E3&amp;" "&amp;F3</f>
        <v>HAMMOND JUSTYNN</v>
      </c>
      <c r="H3" s="20" t="str">
        <f t="shared" ref="H3:H66" si="1">MID(B3,13,4)</f>
        <v>4010</v>
      </c>
    </row>
    <row r="4" spans="1:8" x14ac:dyDescent="0.25">
      <c r="A4" s="8">
        <v>43057.047280092593</v>
      </c>
      <c r="B4" s="20" t="s">
        <v>572</v>
      </c>
      <c r="C4" s="20" t="s">
        <v>706</v>
      </c>
      <c r="D4" s="195">
        <v>3340000</v>
      </c>
      <c r="E4" s="20" t="s">
        <v>587</v>
      </c>
      <c r="F4" s="20" t="s">
        <v>588</v>
      </c>
      <c r="G4" s="8" t="str">
        <f t="shared" si="0"/>
        <v>ELBAUM MIKE</v>
      </c>
      <c r="H4" s="20" t="str">
        <f t="shared" si="1"/>
        <v>4041</v>
      </c>
    </row>
    <row r="5" spans="1:8" x14ac:dyDescent="0.25">
      <c r="A5" s="8">
        <v>43057.049861111111</v>
      </c>
      <c r="B5" s="20" t="s">
        <v>707</v>
      </c>
      <c r="C5" s="20" t="s">
        <v>708</v>
      </c>
      <c r="D5" s="195">
        <v>2600000</v>
      </c>
      <c r="E5" s="20" t="s">
        <v>501</v>
      </c>
      <c r="F5" s="20" t="s">
        <v>492</v>
      </c>
      <c r="G5" s="8" t="str">
        <f t="shared" si="0"/>
        <v>DAVIDSON DAVID</v>
      </c>
      <c r="H5" s="20" t="str">
        <f t="shared" si="1"/>
        <v>4020</v>
      </c>
    </row>
    <row r="6" spans="1:8" x14ac:dyDescent="0.25">
      <c r="A6" s="8">
        <v>43057.069861111115</v>
      </c>
      <c r="B6" s="20" t="s">
        <v>445</v>
      </c>
      <c r="C6" s="20" t="s">
        <v>709</v>
      </c>
      <c r="D6" s="195">
        <v>3310000</v>
      </c>
      <c r="E6" s="20" t="s">
        <v>521</v>
      </c>
      <c r="F6" s="20" t="s">
        <v>522</v>
      </c>
      <c r="G6" s="8" t="str">
        <f t="shared" si="0"/>
        <v>ANDERS STEVEN</v>
      </c>
      <c r="H6" s="20" t="str">
        <f t="shared" si="1"/>
        <v>4009</v>
      </c>
    </row>
    <row r="7" spans="1:8" x14ac:dyDescent="0.25">
      <c r="A7" s="8">
        <v>43057.070532407408</v>
      </c>
      <c r="B7" s="20" t="s">
        <v>366</v>
      </c>
      <c r="C7" s="20" t="s">
        <v>710</v>
      </c>
      <c r="D7" s="195">
        <v>3320000</v>
      </c>
      <c r="E7" s="20" t="s">
        <v>363</v>
      </c>
      <c r="F7" s="20" t="s">
        <v>364</v>
      </c>
      <c r="G7" s="8" t="str">
        <f t="shared" si="0"/>
        <v>NICHOLSON WESLEY</v>
      </c>
      <c r="H7" s="20" t="str">
        <f t="shared" si="1"/>
        <v>4036</v>
      </c>
    </row>
    <row r="8" spans="1:8" x14ac:dyDescent="0.25">
      <c r="A8" s="8">
        <v>43057.086678240739</v>
      </c>
      <c r="B8" s="20" t="s">
        <v>573</v>
      </c>
      <c r="C8" s="20" t="s">
        <v>711</v>
      </c>
      <c r="D8" s="195">
        <v>3340000</v>
      </c>
      <c r="E8" s="20" t="s">
        <v>587</v>
      </c>
      <c r="F8" s="20" t="s">
        <v>588</v>
      </c>
      <c r="G8" s="8" t="str">
        <f t="shared" si="0"/>
        <v>ELBAUM MIKE</v>
      </c>
      <c r="H8" s="20" t="str">
        <f t="shared" si="1"/>
        <v>4042</v>
      </c>
    </row>
    <row r="9" spans="1:8" ht="15.75" thickBot="1" x14ac:dyDescent="0.3">
      <c r="A9" s="24">
        <v>43057.109247685185</v>
      </c>
      <c r="B9" s="20" t="s">
        <v>446</v>
      </c>
      <c r="C9" s="20" t="s">
        <v>712</v>
      </c>
      <c r="D9" s="195">
        <v>3680000</v>
      </c>
      <c r="E9" s="20" t="s">
        <v>704</v>
      </c>
      <c r="F9" s="20" t="s">
        <v>705</v>
      </c>
      <c r="G9" s="8" t="str">
        <f t="shared" si="0"/>
        <v>HAMMOND JUSTYNN</v>
      </c>
      <c r="H9" s="20" t="str">
        <f t="shared" si="1"/>
        <v>4010</v>
      </c>
    </row>
    <row r="10" spans="1:8" x14ac:dyDescent="0.25">
      <c r="A10" s="8">
        <v>43057.116423611114</v>
      </c>
      <c r="B10" s="20" t="s">
        <v>579</v>
      </c>
      <c r="C10" s="20" t="s">
        <v>713</v>
      </c>
      <c r="D10" s="195">
        <v>3120000</v>
      </c>
      <c r="E10" s="20" t="s">
        <v>369</v>
      </c>
      <c r="F10" s="20" t="s">
        <v>714</v>
      </c>
      <c r="G10" s="8" t="str">
        <f t="shared" si="0"/>
        <v>THOMPSON LESTER</v>
      </c>
      <c r="H10" s="20" t="str">
        <f t="shared" si="1"/>
        <v>4001</v>
      </c>
    </row>
    <row r="11" spans="1:8" x14ac:dyDescent="0.25">
      <c r="A11" s="8">
        <v>43057.128321759257</v>
      </c>
      <c r="B11" s="20" t="s">
        <v>356</v>
      </c>
      <c r="C11" s="20" t="s">
        <v>715</v>
      </c>
      <c r="D11" s="195">
        <v>3120000</v>
      </c>
      <c r="E11" s="20" t="s">
        <v>369</v>
      </c>
      <c r="F11" s="20" t="s">
        <v>714</v>
      </c>
      <c r="G11" s="8" t="str">
        <f t="shared" si="0"/>
        <v>THOMPSON LESTER</v>
      </c>
      <c r="H11" s="20" t="str">
        <f t="shared" si="1"/>
        <v>4008</v>
      </c>
    </row>
    <row r="12" spans="1:8" x14ac:dyDescent="0.25">
      <c r="A12" s="8">
        <v>43057.134618055556</v>
      </c>
      <c r="B12" s="20" t="s">
        <v>576</v>
      </c>
      <c r="C12" s="20" t="s">
        <v>716</v>
      </c>
      <c r="D12" s="195">
        <v>1780000</v>
      </c>
      <c r="E12" s="20" t="s">
        <v>717</v>
      </c>
      <c r="F12" s="20" t="s">
        <v>718</v>
      </c>
      <c r="G12" s="8" t="str">
        <f t="shared" si="0"/>
        <v>DE LA ROSA ALEX</v>
      </c>
      <c r="H12" s="20" t="str">
        <f t="shared" si="1"/>
        <v>4002</v>
      </c>
    </row>
    <row r="13" spans="1:8" x14ac:dyDescent="0.25">
      <c r="A13" s="8">
        <v>43057.139803240738</v>
      </c>
      <c r="B13" s="20" t="s">
        <v>579</v>
      </c>
      <c r="C13" s="20" t="s">
        <v>719</v>
      </c>
      <c r="D13" s="195">
        <v>1780000</v>
      </c>
      <c r="E13" s="20" t="s">
        <v>717</v>
      </c>
      <c r="F13" s="20" t="s">
        <v>718</v>
      </c>
      <c r="G13" s="8" t="str">
        <f t="shared" si="0"/>
        <v>DE LA ROSA ALEX</v>
      </c>
      <c r="H13" s="20" t="str">
        <f t="shared" si="1"/>
        <v>4001</v>
      </c>
    </row>
    <row r="14" spans="1:8" x14ac:dyDescent="0.25">
      <c r="A14" s="8">
        <v>43057.140300925923</v>
      </c>
      <c r="B14" s="20" t="s">
        <v>516</v>
      </c>
      <c r="C14" s="20" t="s">
        <v>720</v>
      </c>
      <c r="D14" s="195">
        <v>2010000</v>
      </c>
      <c r="E14" s="20" t="s">
        <v>577</v>
      </c>
      <c r="F14" s="20" t="s">
        <v>578</v>
      </c>
      <c r="G14" s="8" t="str">
        <f t="shared" si="0"/>
        <v>MAELZER KURT</v>
      </c>
      <c r="H14" s="20" t="str">
        <f t="shared" si="1"/>
        <v>4003</v>
      </c>
    </row>
    <row r="15" spans="1:8" x14ac:dyDescent="0.25">
      <c r="A15" s="8">
        <v>43057.151354166665</v>
      </c>
      <c r="B15" s="20" t="s">
        <v>575</v>
      </c>
      <c r="C15" s="20" t="s">
        <v>721</v>
      </c>
      <c r="D15" s="195">
        <v>2010000</v>
      </c>
      <c r="E15" s="20" t="s">
        <v>577</v>
      </c>
      <c r="F15" s="20" t="s">
        <v>578</v>
      </c>
      <c r="G15" s="8" t="str">
        <f t="shared" si="0"/>
        <v>MAELZER KURT</v>
      </c>
      <c r="H15" s="20" t="str">
        <f t="shared" si="1"/>
        <v>4004</v>
      </c>
    </row>
    <row r="16" spans="1:8" x14ac:dyDescent="0.25">
      <c r="A16" s="8">
        <v>43057.153773148151</v>
      </c>
      <c r="B16" s="20" t="s">
        <v>362</v>
      </c>
      <c r="C16" s="20" t="s">
        <v>722</v>
      </c>
      <c r="D16" s="195">
        <v>1810000</v>
      </c>
      <c r="E16" s="20" t="s">
        <v>520</v>
      </c>
      <c r="F16" s="20" t="s">
        <v>395</v>
      </c>
      <c r="G16" s="8" t="str">
        <f t="shared" si="0"/>
        <v>NEWELL JAMES</v>
      </c>
      <c r="H16" s="20" t="str">
        <f t="shared" si="1"/>
        <v>4017</v>
      </c>
    </row>
    <row r="17" spans="1:8" x14ac:dyDescent="0.25">
      <c r="A17" s="8">
        <v>43057.164479166669</v>
      </c>
      <c r="B17" s="20" t="s">
        <v>360</v>
      </c>
      <c r="C17" s="20" t="s">
        <v>723</v>
      </c>
      <c r="D17" s="195">
        <v>1810000</v>
      </c>
      <c r="E17" s="20" t="s">
        <v>520</v>
      </c>
      <c r="F17" s="20" t="s">
        <v>395</v>
      </c>
      <c r="G17" s="8" t="str">
        <f t="shared" si="0"/>
        <v>NEWELL JAMES</v>
      </c>
      <c r="H17" s="20" t="str">
        <f t="shared" si="1"/>
        <v>4018</v>
      </c>
    </row>
    <row r="18" spans="1:8" x14ac:dyDescent="0.25">
      <c r="A18" s="8">
        <v>43057.173009259262</v>
      </c>
      <c r="B18" s="20" t="s">
        <v>361</v>
      </c>
      <c r="C18" s="20" t="s">
        <v>724</v>
      </c>
      <c r="D18" s="195">
        <v>3120000</v>
      </c>
      <c r="E18" s="20" t="s">
        <v>369</v>
      </c>
      <c r="F18" s="20" t="s">
        <v>714</v>
      </c>
      <c r="G18" s="8" t="str">
        <f t="shared" si="0"/>
        <v>THOMPSON LESTER</v>
      </c>
      <c r="H18" s="20" t="str">
        <f t="shared" si="1"/>
        <v>4007</v>
      </c>
    </row>
    <row r="19" spans="1:8" x14ac:dyDescent="0.25">
      <c r="A19" s="8">
        <v>43057.173831018517</v>
      </c>
      <c r="B19" s="20" t="s">
        <v>462</v>
      </c>
      <c r="C19" s="20" t="s">
        <v>725</v>
      </c>
      <c r="D19" s="195">
        <v>1100000</v>
      </c>
      <c r="E19" s="20" t="s">
        <v>534</v>
      </c>
      <c r="F19" s="20" t="s">
        <v>535</v>
      </c>
      <c r="G19" s="8" t="str">
        <f t="shared" si="0"/>
        <v>GEBRETEKLE DAGNEW</v>
      </c>
      <c r="H19" s="20" t="str">
        <f t="shared" si="1"/>
        <v>4023</v>
      </c>
    </row>
    <row r="20" spans="1:8" x14ac:dyDescent="0.25">
      <c r="A20" s="8">
        <v>43057.183993055558</v>
      </c>
      <c r="B20" s="20" t="s">
        <v>532</v>
      </c>
      <c r="C20" s="20" t="s">
        <v>726</v>
      </c>
      <c r="D20" s="195">
        <v>3510000</v>
      </c>
      <c r="E20" s="20" t="s">
        <v>727</v>
      </c>
      <c r="F20" s="20" t="s">
        <v>728</v>
      </c>
      <c r="G20" s="8" t="str">
        <f t="shared" si="0"/>
        <v>BARRON PERLA</v>
      </c>
      <c r="H20" s="20" t="str">
        <f t="shared" si="1"/>
        <v>4025</v>
      </c>
    </row>
    <row r="21" spans="1:8" x14ac:dyDescent="0.25">
      <c r="A21" s="8">
        <v>43057.184942129628</v>
      </c>
      <c r="B21" s="20" t="s">
        <v>461</v>
      </c>
      <c r="C21" s="20" t="s">
        <v>729</v>
      </c>
      <c r="D21" s="195">
        <v>1100000</v>
      </c>
      <c r="E21" s="20" t="s">
        <v>534</v>
      </c>
      <c r="F21" s="20" t="s">
        <v>535</v>
      </c>
      <c r="G21" s="8" t="str">
        <f t="shared" si="0"/>
        <v>GEBRETEKLE DAGNEW</v>
      </c>
      <c r="H21" s="20" t="str">
        <f t="shared" si="1"/>
        <v>4024</v>
      </c>
    </row>
    <row r="22" spans="1:8" x14ac:dyDescent="0.25">
      <c r="A22" s="26">
        <v>43057.187025462961</v>
      </c>
      <c r="B22" s="20" t="s">
        <v>516</v>
      </c>
      <c r="C22" s="20" t="s">
        <v>730</v>
      </c>
      <c r="D22" s="195">
        <v>2010000</v>
      </c>
      <c r="E22" s="20" t="s">
        <v>577</v>
      </c>
      <c r="F22" s="20" t="s">
        <v>578</v>
      </c>
      <c r="G22" s="8" t="str">
        <f t="shared" si="0"/>
        <v>MAELZER KURT</v>
      </c>
      <c r="H22" s="20" t="str">
        <f t="shared" si="1"/>
        <v>4003</v>
      </c>
    </row>
    <row r="23" spans="1:8" x14ac:dyDescent="0.25">
      <c r="A23" s="8">
        <v>43057.196932870371</v>
      </c>
      <c r="B23" s="20" t="s">
        <v>533</v>
      </c>
      <c r="C23" s="20" t="s">
        <v>670</v>
      </c>
      <c r="D23" s="195">
        <v>3510000</v>
      </c>
      <c r="E23" s="20" t="s">
        <v>727</v>
      </c>
      <c r="F23" s="20" t="s">
        <v>728</v>
      </c>
      <c r="G23" s="8" t="str">
        <f t="shared" si="0"/>
        <v>BARRON PERLA</v>
      </c>
      <c r="H23" s="20" t="str">
        <f t="shared" si="1"/>
        <v>4026</v>
      </c>
    </row>
    <row r="24" spans="1:8" x14ac:dyDescent="0.25">
      <c r="A24" s="8">
        <v>43057.200671296298</v>
      </c>
      <c r="B24" s="20" t="s">
        <v>731</v>
      </c>
      <c r="C24" s="20" t="s">
        <v>732</v>
      </c>
      <c r="D24" s="195">
        <v>2560000</v>
      </c>
      <c r="E24" s="20" t="s">
        <v>733</v>
      </c>
      <c r="F24" s="20" t="s">
        <v>734</v>
      </c>
      <c r="G24" s="8" t="str">
        <f t="shared" si="0"/>
        <v>MACDONALD THOMAS</v>
      </c>
      <c r="H24" s="20" t="str">
        <f t="shared" si="1"/>
        <v>4021</v>
      </c>
    </row>
    <row r="25" spans="1:8" x14ac:dyDescent="0.25">
      <c r="A25" s="8">
        <v>43057.204953703702</v>
      </c>
      <c r="B25" s="20" t="s">
        <v>362</v>
      </c>
      <c r="C25" s="20" t="s">
        <v>735</v>
      </c>
      <c r="D25" s="195">
        <v>1810000</v>
      </c>
      <c r="E25" s="20" t="s">
        <v>520</v>
      </c>
      <c r="F25" s="20" t="s">
        <v>395</v>
      </c>
      <c r="G25" s="8" t="str">
        <f t="shared" si="0"/>
        <v>NEWELL JAMES</v>
      </c>
      <c r="H25" s="20" t="str">
        <f t="shared" si="1"/>
        <v>4017</v>
      </c>
    </row>
    <row r="26" spans="1:8" x14ac:dyDescent="0.25">
      <c r="A26" s="8">
        <v>43057.206585648149</v>
      </c>
      <c r="B26" s="20" t="s">
        <v>356</v>
      </c>
      <c r="C26" s="20" t="s">
        <v>736</v>
      </c>
      <c r="D26" s="195">
        <v>3120000</v>
      </c>
      <c r="E26" s="20" t="s">
        <v>369</v>
      </c>
      <c r="F26" s="20" t="s">
        <v>714</v>
      </c>
      <c r="G26" s="8" t="str">
        <f t="shared" si="0"/>
        <v>THOMPSON LESTER</v>
      </c>
      <c r="H26" s="20" t="str">
        <f t="shared" si="1"/>
        <v>4008</v>
      </c>
    </row>
    <row r="27" spans="1:8" x14ac:dyDescent="0.25">
      <c r="A27" s="8">
        <v>43057.213275462964</v>
      </c>
      <c r="B27" s="20" t="s">
        <v>462</v>
      </c>
      <c r="C27" s="20" t="s">
        <v>737</v>
      </c>
      <c r="D27" s="195">
        <v>1100000</v>
      </c>
      <c r="E27" s="20" t="s">
        <v>534</v>
      </c>
      <c r="F27" s="20" t="s">
        <v>535</v>
      </c>
      <c r="G27" s="8" t="str">
        <f t="shared" si="0"/>
        <v>GEBRETEKLE DAGNEW</v>
      </c>
      <c r="H27" s="20" t="str">
        <f t="shared" si="1"/>
        <v>4023</v>
      </c>
    </row>
    <row r="28" spans="1:8" x14ac:dyDescent="0.25">
      <c r="A28" s="8">
        <v>43057.21570601852</v>
      </c>
      <c r="B28" s="20" t="s">
        <v>671</v>
      </c>
      <c r="C28" s="20" t="s">
        <v>738</v>
      </c>
      <c r="D28" s="195">
        <v>3040000</v>
      </c>
      <c r="E28" s="20" t="s">
        <v>368</v>
      </c>
      <c r="F28" s="20" t="s">
        <v>580</v>
      </c>
      <c r="G28" s="8" t="str">
        <f t="shared" si="0"/>
        <v>WILLIAMS DONTE</v>
      </c>
      <c r="H28" s="20" t="str">
        <f t="shared" si="1"/>
        <v>4005</v>
      </c>
    </row>
    <row r="29" spans="1:8" x14ac:dyDescent="0.25">
      <c r="A29" s="8">
        <v>43057.217939814815</v>
      </c>
      <c r="B29" s="20" t="s">
        <v>384</v>
      </c>
      <c r="C29" s="20" t="s">
        <v>739</v>
      </c>
      <c r="D29" s="195">
        <v>2560000</v>
      </c>
      <c r="E29" s="20" t="s">
        <v>733</v>
      </c>
      <c r="F29" s="20" t="s">
        <v>734</v>
      </c>
      <c r="G29" s="8" t="str">
        <f t="shared" si="0"/>
        <v>MACDONALD THOMAS</v>
      </c>
      <c r="H29" s="20" t="str">
        <f t="shared" si="1"/>
        <v>4022</v>
      </c>
    </row>
    <row r="30" spans="1:8" x14ac:dyDescent="0.25">
      <c r="A30" s="8">
        <v>43057.222685185188</v>
      </c>
      <c r="B30" s="20" t="s">
        <v>673</v>
      </c>
      <c r="C30" s="20" t="s">
        <v>740</v>
      </c>
      <c r="D30" s="195">
        <v>3090000</v>
      </c>
      <c r="E30" s="20" t="s">
        <v>741</v>
      </c>
      <c r="F30" s="20" t="s">
        <v>742</v>
      </c>
      <c r="G30" s="8" t="str">
        <f t="shared" si="0"/>
        <v>LAMAR NEKESHA</v>
      </c>
      <c r="H30" s="20" t="str">
        <f t="shared" si="1"/>
        <v>4032</v>
      </c>
    </row>
    <row r="31" spans="1:8" x14ac:dyDescent="0.25">
      <c r="A31" s="8">
        <v>43057.227372685185</v>
      </c>
      <c r="B31" s="20" t="s">
        <v>575</v>
      </c>
      <c r="C31" s="20" t="s">
        <v>743</v>
      </c>
      <c r="D31" s="195">
        <v>2010000</v>
      </c>
      <c r="E31" s="20" t="s">
        <v>577</v>
      </c>
      <c r="F31" s="20" t="s">
        <v>578</v>
      </c>
      <c r="G31" s="8" t="str">
        <f t="shared" si="0"/>
        <v>MAELZER KURT</v>
      </c>
      <c r="H31" s="20" t="str">
        <f t="shared" si="1"/>
        <v>4004</v>
      </c>
    </row>
    <row r="32" spans="1:8" x14ac:dyDescent="0.25">
      <c r="A32" s="8">
        <v>43057.229803240742</v>
      </c>
      <c r="B32" s="20" t="s">
        <v>532</v>
      </c>
      <c r="C32" s="20" t="s">
        <v>744</v>
      </c>
      <c r="D32" s="195">
        <v>3510000</v>
      </c>
      <c r="E32" s="20" t="s">
        <v>727</v>
      </c>
      <c r="F32" s="20" t="s">
        <v>728</v>
      </c>
      <c r="G32" s="8" t="str">
        <f t="shared" si="0"/>
        <v>BARRON PERLA</v>
      </c>
      <c r="H32" s="20" t="str">
        <f t="shared" si="1"/>
        <v>4025</v>
      </c>
    </row>
    <row r="33" spans="1:8" x14ac:dyDescent="0.25">
      <c r="A33" s="8">
        <v>43057.235381944447</v>
      </c>
      <c r="B33" s="20" t="s">
        <v>680</v>
      </c>
      <c r="C33" s="20" t="s">
        <v>745</v>
      </c>
      <c r="D33" s="195">
        <v>3090000</v>
      </c>
      <c r="E33" s="20" t="s">
        <v>741</v>
      </c>
      <c r="F33" s="20" t="s">
        <v>742</v>
      </c>
      <c r="G33" s="8" t="str">
        <f t="shared" si="0"/>
        <v>LAMAR NEKESHA</v>
      </c>
      <c r="H33" s="20" t="str">
        <f t="shared" si="1"/>
        <v>4031</v>
      </c>
    </row>
    <row r="34" spans="1:8" x14ac:dyDescent="0.25">
      <c r="A34" s="8">
        <v>43057.236145833333</v>
      </c>
      <c r="B34" s="20" t="s">
        <v>686</v>
      </c>
      <c r="C34" s="20" t="s">
        <v>746</v>
      </c>
      <c r="D34" s="195">
        <v>3040000</v>
      </c>
      <c r="E34" s="20" t="s">
        <v>368</v>
      </c>
      <c r="F34" s="20" t="s">
        <v>580</v>
      </c>
      <c r="G34" s="8" t="str">
        <f t="shared" si="0"/>
        <v>WILLIAMS DONTE</v>
      </c>
      <c r="H34" s="20" t="str">
        <f t="shared" si="1"/>
        <v>4006</v>
      </c>
    </row>
    <row r="35" spans="1:8" x14ac:dyDescent="0.25">
      <c r="A35" s="8">
        <v>43057.246423611112</v>
      </c>
      <c r="B35" s="20" t="s">
        <v>361</v>
      </c>
      <c r="C35" s="20" t="s">
        <v>747</v>
      </c>
      <c r="D35" s="195">
        <v>3120000</v>
      </c>
      <c r="E35" s="20" t="s">
        <v>369</v>
      </c>
      <c r="F35" s="20" t="s">
        <v>714</v>
      </c>
      <c r="G35" s="8" t="str">
        <f t="shared" si="0"/>
        <v>THOMPSON LESTER</v>
      </c>
      <c r="H35" s="20" t="str">
        <f t="shared" si="1"/>
        <v>4007</v>
      </c>
    </row>
    <row r="36" spans="1:8" x14ac:dyDescent="0.25">
      <c r="A36" s="8">
        <v>43057.246967592589</v>
      </c>
      <c r="B36" s="20" t="s">
        <v>360</v>
      </c>
      <c r="C36" s="20" t="s">
        <v>748</v>
      </c>
      <c r="D36" s="195">
        <v>1780000</v>
      </c>
      <c r="E36" s="20" t="s">
        <v>717</v>
      </c>
      <c r="F36" s="20" t="s">
        <v>718</v>
      </c>
      <c r="G36" s="8" t="str">
        <f t="shared" si="0"/>
        <v>DE LA ROSA ALEX</v>
      </c>
      <c r="H36" s="20" t="str">
        <f t="shared" si="1"/>
        <v>4018</v>
      </c>
    </row>
    <row r="37" spans="1:8" x14ac:dyDescent="0.25">
      <c r="A37" s="8">
        <v>43057.248344907406</v>
      </c>
      <c r="B37" s="20" t="s">
        <v>673</v>
      </c>
      <c r="C37" s="20" t="s">
        <v>749</v>
      </c>
      <c r="D37" s="195">
        <v>3090000</v>
      </c>
      <c r="E37" s="20" t="s">
        <v>741</v>
      </c>
      <c r="F37" s="20" t="s">
        <v>742</v>
      </c>
      <c r="G37" s="8" t="str">
        <f t="shared" si="0"/>
        <v>LAMAR NEKESHA</v>
      </c>
      <c r="H37" s="20" t="str">
        <f t="shared" si="1"/>
        <v>4032</v>
      </c>
    </row>
    <row r="38" spans="1:8" x14ac:dyDescent="0.25">
      <c r="A38" s="8">
        <v>43057.256041666667</v>
      </c>
      <c r="B38" s="20" t="s">
        <v>461</v>
      </c>
      <c r="C38" s="20" t="s">
        <v>750</v>
      </c>
      <c r="D38" s="195">
        <v>1100000</v>
      </c>
      <c r="E38" s="20" t="s">
        <v>534</v>
      </c>
      <c r="F38" s="20" t="s">
        <v>535</v>
      </c>
      <c r="G38" s="8" t="str">
        <f t="shared" si="0"/>
        <v>GEBRETEKLE DAGNEW</v>
      </c>
      <c r="H38" s="20" t="str">
        <f t="shared" si="1"/>
        <v>4024</v>
      </c>
    </row>
    <row r="39" spans="1:8" x14ac:dyDescent="0.25">
      <c r="A39" s="8">
        <v>43057.256840277776</v>
      </c>
      <c r="B39" s="20" t="s">
        <v>731</v>
      </c>
      <c r="C39" s="20" t="s">
        <v>751</v>
      </c>
      <c r="D39" s="195">
        <v>2560000</v>
      </c>
      <c r="E39" s="20" t="s">
        <v>733</v>
      </c>
      <c r="F39" s="20" t="s">
        <v>734</v>
      </c>
      <c r="G39" s="8" t="str">
        <f t="shared" si="0"/>
        <v>MACDONALD THOMAS</v>
      </c>
      <c r="H39" s="20" t="str">
        <f t="shared" si="1"/>
        <v>4021</v>
      </c>
    </row>
    <row r="40" spans="1:8" x14ac:dyDescent="0.25">
      <c r="A40" s="8">
        <v>43057.263437499998</v>
      </c>
      <c r="B40" s="25" t="s">
        <v>516</v>
      </c>
      <c r="C40" s="20" t="s">
        <v>752</v>
      </c>
      <c r="D40" s="195">
        <v>2010000</v>
      </c>
      <c r="E40" s="20" t="s">
        <v>577</v>
      </c>
      <c r="F40" s="20" t="s">
        <v>578</v>
      </c>
      <c r="G40" s="8" t="str">
        <f t="shared" si="0"/>
        <v>MAELZER KURT</v>
      </c>
      <c r="H40" s="20" t="str">
        <f t="shared" si="1"/>
        <v>4003</v>
      </c>
    </row>
    <row r="41" spans="1:8" x14ac:dyDescent="0.25">
      <c r="A41" s="8">
        <v>43057.269131944442</v>
      </c>
      <c r="B41" s="20" t="s">
        <v>680</v>
      </c>
      <c r="C41" s="20" t="s">
        <v>753</v>
      </c>
      <c r="D41" s="195">
        <v>3090000</v>
      </c>
      <c r="E41" s="20" t="s">
        <v>741</v>
      </c>
      <c r="F41" s="20" t="s">
        <v>742</v>
      </c>
      <c r="G41" s="8" t="str">
        <f t="shared" si="0"/>
        <v>LAMAR NEKESHA</v>
      </c>
      <c r="H41" s="20" t="str">
        <f t="shared" si="1"/>
        <v>4031</v>
      </c>
    </row>
    <row r="42" spans="1:8" x14ac:dyDescent="0.25">
      <c r="A42" s="8">
        <v>43057.270219907405</v>
      </c>
      <c r="B42" s="20" t="s">
        <v>533</v>
      </c>
      <c r="C42" s="20" t="s">
        <v>754</v>
      </c>
      <c r="D42" s="195">
        <v>3510000</v>
      </c>
      <c r="E42" s="20" t="s">
        <v>727</v>
      </c>
      <c r="F42" s="20" t="s">
        <v>728</v>
      </c>
      <c r="G42" s="8" t="str">
        <f t="shared" si="0"/>
        <v>BARRON PERLA</v>
      </c>
      <c r="H42" s="20" t="str">
        <f t="shared" si="1"/>
        <v>4026</v>
      </c>
    </row>
    <row r="43" spans="1:8" x14ac:dyDescent="0.25">
      <c r="A43" s="8">
        <v>43057.275254629632</v>
      </c>
      <c r="B43" s="20" t="s">
        <v>671</v>
      </c>
      <c r="C43" s="20" t="s">
        <v>672</v>
      </c>
      <c r="D43" s="195">
        <v>3040000</v>
      </c>
      <c r="E43" s="20" t="s">
        <v>368</v>
      </c>
      <c r="F43" s="20" t="s">
        <v>580</v>
      </c>
      <c r="G43" s="8" t="str">
        <f t="shared" si="0"/>
        <v>WILLIAMS DONTE</v>
      </c>
      <c r="H43" s="20" t="str">
        <f t="shared" si="1"/>
        <v>4005</v>
      </c>
    </row>
    <row r="44" spans="1:8" x14ac:dyDescent="0.25">
      <c r="A44" s="8">
        <v>43057.280243055553</v>
      </c>
      <c r="B44" s="20" t="s">
        <v>356</v>
      </c>
      <c r="C44" s="20" t="s">
        <v>755</v>
      </c>
      <c r="D44" s="195">
        <v>3120000</v>
      </c>
      <c r="E44" s="20" t="s">
        <v>369</v>
      </c>
      <c r="F44" s="20" t="s">
        <v>714</v>
      </c>
      <c r="G44" s="8" t="str">
        <f t="shared" si="0"/>
        <v>THOMPSON LESTER</v>
      </c>
      <c r="H44" s="20" t="str">
        <f t="shared" si="1"/>
        <v>4008</v>
      </c>
    </row>
    <row r="45" spans="1:8" x14ac:dyDescent="0.25">
      <c r="A45" s="8">
        <v>43057.283425925925</v>
      </c>
      <c r="B45" s="20" t="s">
        <v>362</v>
      </c>
      <c r="C45" s="20" t="s">
        <v>756</v>
      </c>
      <c r="D45" s="195">
        <v>1780000</v>
      </c>
      <c r="E45" s="20" t="s">
        <v>717</v>
      </c>
      <c r="F45" s="20" t="s">
        <v>718</v>
      </c>
      <c r="G45" s="8" t="str">
        <f t="shared" si="0"/>
        <v>DE LA ROSA ALEX</v>
      </c>
      <c r="H45" s="20" t="str">
        <f t="shared" si="1"/>
        <v>4017</v>
      </c>
    </row>
    <row r="46" spans="1:8" x14ac:dyDescent="0.25">
      <c r="A46" s="8">
        <v>43057.28765046296</v>
      </c>
      <c r="B46" s="20" t="s">
        <v>462</v>
      </c>
      <c r="C46" s="20" t="s">
        <v>757</v>
      </c>
      <c r="D46" s="195">
        <v>1100000</v>
      </c>
      <c r="E46" s="20" t="s">
        <v>534</v>
      </c>
      <c r="F46" s="20" t="s">
        <v>535</v>
      </c>
      <c r="G46" s="8" t="str">
        <f t="shared" si="0"/>
        <v>GEBRETEKLE DAGNEW</v>
      </c>
      <c r="H46" s="20" t="str">
        <f t="shared" si="1"/>
        <v>4023</v>
      </c>
    </row>
    <row r="47" spans="1:8" x14ac:dyDescent="0.25">
      <c r="A47" s="8">
        <v>43057.29</v>
      </c>
      <c r="B47" s="20" t="s">
        <v>673</v>
      </c>
      <c r="C47" s="20" t="s">
        <v>674</v>
      </c>
      <c r="D47" s="195">
        <v>3090000</v>
      </c>
      <c r="E47" s="20" t="s">
        <v>741</v>
      </c>
      <c r="F47" s="20" t="s">
        <v>742</v>
      </c>
      <c r="G47" s="8" t="str">
        <f t="shared" si="0"/>
        <v>LAMAR NEKESHA</v>
      </c>
      <c r="H47" s="20" t="str">
        <f t="shared" si="1"/>
        <v>4032</v>
      </c>
    </row>
    <row r="48" spans="1:8" x14ac:dyDescent="0.25">
      <c r="A48" s="8">
        <v>43057.291493055556</v>
      </c>
      <c r="B48" s="20" t="s">
        <v>384</v>
      </c>
      <c r="C48" s="20" t="s">
        <v>758</v>
      </c>
      <c r="D48" s="195">
        <v>2560000</v>
      </c>
      <c r="E48" s="20" t="s">
        <v>733</v>
      </c>
      <c r="F48" s="20" t="s">
        <v>734</v>
      </c>
      <c r="G48" s="8" t="str">
        <f t="shared" si="0"/>
        <v>MACDONALD THOMAS</v>
      </c>
      <c r="H48" s="20" t="str">
        <f t="shared" si="1"/>
        <v>4022</v>
      </c>
    </row>
    <row r="49" spans="1:8" x14ac:dyDescent="0.25">
      <c r="A49" s="8">
        <v>43057.298576388886</v>
      </c>
      <c r="B49" s="20" t="s">
        <v>575</v>
      </c>
      <c r="C49" s="20" t="s">
        <v>759</v>
      </c>
      <c r="D49" s="195">
        <v>2010000</v>
      </c>
      <c r="E49" s="20" t="s">
        <v>577</v>
      </c>
      <c r="F49" s="20" t="s">
        <v>578</v>
      </c>
      <c r="G49" s="8" t="str">
        <f t="shared" si="0"/>
        <v>MAELZER KURT</v>
      </c>
      <c r="H49" s="20" t="str">
        <f t="shared" si="1"/>
        <v>4004</v>
      </c>
    </row>
    <row r="50" spans="1:8" x14ac:dyDescent="0.25">
      <c r="A50" s="8">
        <v>43057.300520833334</v>
      </c>
      <c r="B50" s="20" t="s">
        <v>532</v>
      </c>
      <c r="C50" s="20" t="s">
        <v>675</v>
      </c>
      <c r="D50" s="195">
        <v>3510000</v>
      </c>
      <c r="E50" s="20" t="s">
        <v>727</v>
      </c>
      <c r="F50" s="20" t="s">
        <v>728</v>
      </c>
      <c r="G50" s="8" t="str">
        <f t="shared" si="0"/>
        <v>BARRON PERLA</v>
      </c>
      <c r="H50" s="20" t="str">
        <f t="shared" si="1"/>
        <v>4025</v>
      </c>
    </row>
    <row r="51" spans="1:8" x14ac:dyDescent="0.25">
      <c r="A51" s="8">
        <v>43057.309537037036</v>
      </c>
      <c r="B51" s="20" t="s">
        <v>686</v>
      </c>
      <c r="C51" s="20" t="s">
        <v>760</v>
      </c>
      <c r="D51" s="195">
        <v>3040000</v>
      </c>
      <c r="E51" s="20" t="s">
        <v>368</v>
      </c>
      <c r="F51" s="20" t="s">
        <v>580</v>
      </c>
      <c r="G51" s="8" t="str">
        <f t="shared" si="0"/>
        <v>WILLIAMS DONTE</v>
      </c>
      <c r="H51" s="20" t="str">
        <f t="shared" si="1"/>
        <v>4006</v>
      </c>
    </row>
    <row r="52" spans="1:8" x14ac:dyDescent="0.25">
      <c r="A52" s="8">
        <v>43057.311053240737</v>
      </c>
      <c r="B52" s="20" t="s">
        <v>680</v>
      </c>
      <c r="C52" s="20" t="s">
        <v>761</v>
      </c>
      <c r="D52" s="195">
        <v>3090000</v>
      </c>
      <c r="E52" s="20" t="s">
        <v>741</v>
      </c>
      <c r="F52" s="20" t="s">
        <v>742</v>
      </c>
      <c r="G52" s="8" t="str">
        <f t="shared" si="0"/>
        <v>LAMAR NEKESHA</v>
      </c>
      <c r="H52" s="20" t="str">
        <f t="shared" si="1"/>
        <v>4031</v>
      </c>
    </row>
    <row r="53" spans="1:8" x14ac:dyDescent="0.25">
      <c r="A53" s="8">
        <v>43057.317407407405</v>
      </c>
      <c r="B53" s="20" t="s">
        <v>360</v>
      </c>
      <c r="C53" s="20" t="s">
        <v>762</v>
      </c>
      <c r="D53" s="195">
        <v>1810000</v>
      </c>
      <c r="E53" s="20" t="s">
        <v>520</v>
      </c>
      <c r="F53" s="20" t="s">
        <v>395</v>
      </c>
      <c r="G53" s="8" t="str">
        <f t="shared" si="0"/>
        <v>NEWELL JAMES</v>
      </c>
      <c r="H53" s="20" t="str">
        <f t="shared" si="1"/>
        <v>4018</v>
      </c>
    </row>
    <row r="54" spans="1:8" x14ac:dyDescent="0.25">
      <c r="A54" s="8">
        <v>43057.318692129629</v>
      </c>
      <c r="B54" s="20" t="s">
        <v>361</v>
      </c>
      <c r="C54" s="20" t="s">
        <v>676</v>
      </c>
      <c r="D54" s="195">
        <v>3120000</v>
      </c>
      <c r="E54" s="20" t="s">
        <v>369</v>
      </c>
      <c r="F54" s="20" t="s">
        <v>714</v>
      </c>
      <c r="G54" s="8" t="str">
        <f t="shared" si="0"/>
        <v>THOMPSON LESTER</v>
      </c>
      <c r="H54" s="20" t="str">
        <f t="shared" si="1"/>
        <v>4007</v>
      </c>
    </row>
    <row r="55" spans="1:8" x14ac:dyDescent="0.25">
      <c r="A55" s="8">
        <v>43057.321944444448</v>
      </c>
      <c r="B55" s="20" t="s">
        <v>731</v>
      </c>
      <c r="C55" s="20" t="s">
        <v>763</v>
      </c>
      <c r="D55" s="195">
        <v>2560000</v>
      </c>
      <c r="E55" s="20" t="s">
        <v>733</v>
      </c>
      <c r="F55" s="20" t="s">
        <v>734</v>
      </c>
      <c r="G55" s="8" t="str">
        <f t="shared" si="0"/>
        <v>MACDONALD THOMAS</v>
      </c>
      <c r="H55" s="20" t="str">
        <f t="shared" si="1"/>
        <v>4021</v>
      </c>
    </row>
    <row r="56" spans="1:8" x14ac:dyDescent="0.25">
      <c r="A56" s="8">
        <v>43057.328321759262</v>
      </c>
      <c r="B56" s="20" t="s">
        <v>461</v>
      </c>
      <c r="C56" s="20" t="s">
        <v>764</v>
      </c>
      <c r="D56" s="195">
        <v>1100000</v>
      </c>
      <c r="E56" s="20" t="s">
        <v>534</v>
      </c>
      <c r="F56" s="20" t="s">
        <v>535</v>
      </c>
      <c r="G56" s="8" t="str">
        <f t="shared" si="0"/>
        <v>GEBRETEKLE DAGNEW</v>
      </c>
      <c r="H56" s="20" t="str">
        <f t="shared" si="1"/>
        <v>4024</v>
      </c>
    </row>
    <row r="57" spans="1:8" x14ac:dyDescent="0.25">
      <c r="A57" s="8">
        <v>43057.331365740742</v>
      </c>
      <c r="B57" s="20" t="s">
        <v>673</v>
      </c>
      <c r="C57" s="20" t="s">
        <v>765</v>
      </c>
      <c r="D57" s="195">
        <v>3090000</v>
      </c>
      <c r="E57" s="20" t="s">
        <v>741</v>
      </c>
      <c r="F57" s="20" t="s">
        <v>742</v>
      </c>
      <c r="G57" s="8" t="str">
        <f t="shared" si="0"/>
        <v>LAMAR NEKESHA</v>
      </c>
      <c r="H57" s="20" t="str">
        <f t="shared" si="1"/>
        <v>4032</v>
      </c>
    </row>
    <row r="58" spans="1:8" x14ac:dyDescent="0.25">
      <c r="A58" s="8">
        <v>43057.332048611112</v>
      </c>
      <c r="B58" s="20" t="s">
        <v>516</v>
      </c>
      <c r="C58" s="20" t="s">
        <v>766</v>
      </c>
      <c r="D58" s="195">
        <v>2010000</v>
      </c>
      <c r="E58" s="20" t="s">
        <v>577</v>
      </c>
      <c r="F58" s="20" t="s">
        <v>578</v>
      </c>
      <c r="G58" s="8" t="str">
        <f t="shared" si="0"/>
        <v>MAELZER KURT</v>
      </c>
      <c r="H58" s="20" t="str">
        <f t="shared" si="1"/>
        <v>4003</v>
      </c>
    </row>
    <row r="59" spans="1:8" x14ac:dyDescent="0.25">
      <c r="A59" s="8">
        <v>43057.340162037035</v>
      </c>
      <c r="B59" s="20" t="s">
        <v>533</v>
      </c>
      <c r="C59" s="20" t="s">
        <v>767</v>
      </c>
      <c r="D59" s="195">
        <v>3510000</v>
      </c>
      <c r="E59" s="20" t="s">
        <v>727</v>
      </c>
      <c r="F59" s="20" t="s">
        <v>728</v>
      </c>
      <c r="G59" s="8" t="str">
        <f t="shared" si="0"/>
        <v>BARRON PERLA</v>
      </c>
      <c r="H59" s="20" t="str">
        <f t="shared" si="1"/>
        <v>4026</v>
      </c>
    </row>
    <row r="60" spans="1:8" x14ac:dyDescent="0.25">
      <c r="A60" s="8">
        <v>43057.349131944444</v>
      </c>
      <c r="B60" s="20" t="s">
        <v>671</v>
      </c>
      <c r="C60" s="20" t="s">
        <v>768</v>
      </c>
      <c r="D60" s="195">
        <v>3040000</v>
      </c>
      <c r="E60" s="20" t="s">
        <v>368</v>
      </c>
      <c r="F60" s="20" t="s">
        <v>580</v>
      </c>
      <c r="G60" s="8" t="str">
        <f t="shared" si="0"/>
        <v>WILLIAMS DONTE</v>
      </c>
      <c r="H60" s="20" t="str">
        <f t="shared" si="1"/>
        <v>4005</v>
      </c>
    </row>
    <row r="61" spans="1:8" x14ac:dyDescent="0.25">
      <c r="A61" s="8">
        <v>43057.350868055553</v>
      </c>
      <c r="B61" s="20" t="s">
        <v>680</v>
      </c>
      <c r="C61" s="20" t="s">
        <v>769</v>
      </c>
      <c r="D61" s="195">
        <v>3090000</v>
      </c>
      <c r="E61" s="20" t="s">
        <v>741</v>
      </c>
      <c r="F61" s="20" t="s">
        <v>742</v>
      </c>
      <c r="G61" s="8" t="str">
        <f t="shared" si="0"/>
        <v>LAMAR NEKESHA</v>
      </c>
      <c r="H61" s="20" t="str">
        <f t="shared" si="1"/>
        <v>4031</v>
      </c>
    </row>
    <row r="62" spans="1:8" x14ac:dyDescent="0.25">
      <c r="A62" s="8">
        <v>43057.353356481479</v>
      </c>
      <c r="B62" s="20" t="s">
        <v>356</v>
      </c>
      <c r="C62" s="20" t="s">
        <v>770</v>
      </c>
      <c r="D62" s="195">
        <v>3120000</v>
      </c>
      <c r="E62" s="20" t="s">
        <v>369</v>
      </c>
      <c r="F62" s="20" t="s">
        <v>714</v>
      </c>
      <c r="G62" s="8" t="str">
        <f t="shared" si="0"/>
        <v>THOMPSON LESTER</v>
      </c>
      <c r="H62" s="20" t="str">
        <f t="shared" si="1"/>
        <v>4008</v>
      </c>
    </row>
    <row r="63" spans="1:8" x14ac:dyDescent="0.25">
      <c r="A63" s="8">
        <v>43057.356446759259</v>
      </c>
      <c r="B63" s="20" t="s">
        <v>362</v>
      </c>
      <c r="C63" s="20" t="s">
        <v>771</v>
      </c>
      <c r="D63" s="195">
        <v>1810000</v>
      </c>
      <c r="E63" s="20" t="s">
        <v>520</v>
      </c>
      <c r="F63" s="20" t="s">
        <v>395</v>
      </c>
      <c r="G63" s="8" t="str">
        <f t="shared" si="0"/>
        <v>NEWELL JAMES</v>
      </c>
      <c r="H63" s="20" t="str">
        <f t="shared" si="1"/>
        <v>4017</v>
      </c>
    </row>
    <row r="64" spans="1:8" x14ac:dyDescent="0.25">
      <c r="A64" s="26">
        <v>43057.360439814816</v>
      </c>
      <c r="B64" s="20" t="s">
        <v>462</v>
      </c>
      <c r="C64" s="20" t="s">
        <v>772</v>
      </c>
      <c r="D64" s="195">
        <v>1100000</v>
      </c>
      <c r="E64" s="20" t="s">
        <v>534</v>
      </c>
      <c r="F64" s="20" t="s">
        <v>535</v>
      </c>
      <c r="G64" s="8" t="str">
        <f t="shared" si="0"/>
        <v>GEBRETEKLE DAGNEW</v>
      </c>
      <c r="H64" s="20" t="str">
        <f t="shared" si="1"/>
        <v>4023</v>
      </c>
    </row>
    <row r="65" spans="1:8" x14ac:dyDescent="0.25">
      <c r="A65" s="8">
        <v>43057.363865740743</v>
      </c>
      <c r="B65" s="20" t="s">
        <v>384</v>
      </c>
      <c r="C65" s="20" t="s">
        <v>773</v>
      </c>
      <c r="D65" s="195">
        <v>2560000</v>
      </c>
      <c r="E65" s="20" t="s">
        <v>733</v>
      </c>
      <c r="F65" s="20" t="s">
        <v>734</v>
      </c>
      <c r="G65" s="8" t="str">
        <f t="shared" si="0"/>
        <v>MACDONALD THOMAS</v>
      </c>
      <c r="H65" s="20" t="str">
        <f t="shared" si="1"/>
        <v>4022</v>
      </c>
    </row>
    <row r="66" spans="1:8" x14ac:dyDescent="0.25">
      <c r="A66" s="8">
        <v>43057.37023148148</v>
      </c>
      <c r="B66" s="20" t="s">
        <v>532</v>
      </c>
      <c r="C66" s="20" t="s">
        <v>774</v>
      </c>
      <c r="D66" s="195">
        <v>3510000</v>
      </c>
      <c r="E66" s="20" t="s">
        <v>727</v>
      </c>
      <c r="F66" s="20" t="s">
        <v>728</v>
      </c>
      <c r="G66" s="8" t="str">
        <f t="shared" si="0"/>
        <v>BARRON PERLA</v>
      </c>
      <c r="H66" s="20" t="str">
        <f t="shared" si="1"/>
        <v>4025</v>
      </c>
    </row>
    <row r="67" spans="1:8" x14ac:dyDescent="0.25">
      <c r="A67" s="8">
        <v>43057.370405092595</v>
      </c>
      <c r="B67" s="20" t="s">
        <v>575</v>
      </c>
      <c r="C67" s="20" t="s">
        <v>775</v>
      </c>
      <c r="D67" s="195">
        <v>2010000</v>
      </c>
      <c r="E67" s="20" t="s">
        <v>577</v>
      </c>
      <c r="F67" s="20" t="s">
        <v>578</v>
      </c>
      <c r="G67" s="8" t="str">
        <f t="shared" ref="G67:G130" si="2">E67&amp;" "&amp;F67</f>
        <v>MAELZER KURT</v>
      </c>
      <c r="H67" s="20" t="str">
        <f t="shared" ref="H67:H130" si="3">MID(B67,13,4)</f>
        <v>4004</v>
      </c>
    </row>
    <row r="68" spans="1:8" x14ac:dyDescent="0.25">
      <c r="A68" s="8">
        <v>43057.380439814813</v>
      </c>
      <c r="B68" s="20" t="s">
        <v>673</v>
      </c>
      <c r="C68" s="20" t="s">
        <v>677</v>
      </c>
      <c r="D68" s="195">
        <v>3090000</v>
      </c>
      <c r="E68" s="20" t="s">
        <v>741</v>
      </c>
      <c r="F68" s="20" t="s">
        <v>742</v>
      </c>
      <c r="G68" s="8" t="str">
        <f t="shared" si="2"/>
        <v>LAMAR NEKESHA</v>
      </c>
      <c r="H68" s="20" t="str">
        <f t="shared" si="3"/>
        <v>4032</v>
      </c>
    </row>
    <row r="69" spans="1:8" x14ac:dyDescent="0.25">
      <c r="A69" s="8">
        <v>43057.38082175926</v>
      </c>
      <c r="B69" s="20" t="s">
        <v>686</v>
      </c>
      <c r="C69" s="20" t="s">
        <v>776</v>
      </c>
      <c r="D69" s="195">
        <v>3040000</v>
      </c>
      <c r="E69" s="20" t="s">
        <v>368</v>
      </c>
      <c r="F69" s="20" t="s">
        <v>580</v>
      </c>
      <c r="G69" s="8" t="str">
        <f t="shared" si="2"/>
        <v>WILLIAMS DONTE</v>
      </c>
      <c r="H69" s="20" t="str">
        <f t="shared" si="3"/>
        <v>4006</v>
      </c>
    </row>
    <row r="70" spans="1:8" x14ac:dyDescent="0.25">
      <c r="A70" s="8">
        <v>43057.389907407407</v>
      </c>
      <c r="B70" s="20" t="s">
        <v>360</v>
      </c>
      <c r="C70" s="20" t="s">
        <v>777</v>
      </c>
      <c r="D70" s="195">
        <v>1810000</v>
      </c>
      <c r="E70" s="20" t="s">
        <v>520</v>
      </c>
      <c r="F70" s="20" t="s">
        <v>395</v>
      </c>
      <c r="G70" s="8" t="str">
        <f t="shared" si="2"/>
        <v>NEWELL JAMES</v>
      </c>
      <c r="H70" s="20" t="str">
        <f t="shared" si="3"/>
        <v>4018</v>
      </c>
    </row>
    <row r="71" spans="1:8" x14ac:dyDescent="0.25">
      <c r="A71" s="8">
        <v>43057.391724537039</v>
      </c>
      <c r="B71" s="20" t="s">
        <v>361</v>
      </c>
      <c r="C71" s="20" t="s">
        <v>678</v>
      </c>
      <c r="D71" s="195">
        <v>3120000</v>
      </c>
      <c r="E71" s="20" t="s">
        <v>369</v>
      </c>
      <c r="F71" s="20" t="s">
        <v>714</v>
      </c>
      <c r="G71" s="8" t="str">
        <f t="shared" si="2"/>
        <v>THOMPSON LESTER</v>
      </c>
      <c r="H71" s="20" t="str">
        <f t="shared" si="3"/>
        <v>4007</v>
      </c>
    </row>
    <row r="72" spans="1:8" x14ac:dyDescent="0.25">
      <c r="A72" s="8">
        <v>43057.394375000003</v>
      </c>
      <c r="B72" s="20" t="s">
        <v>680</v>
      </c>
      <c r="C72" s="20" t="s">
        <v>778</v>
      </c>
      <c r="D72" s="195">
        <v>3090000</v>
      </c>
      <c r="E72" s="20" t="s">
        <v>741</v>
      </c>
      <c r="F72" s="20" t="s">
        <v>742</v>
      </c>
      <c r="G72" s="8" t="str">
        <f t="shared" si="2"/>
        <v>LAMAR NEKESHA</v>
      </c>
      <c r="H72" s="20" t="str">
        <f t="shared" si="3"/>
        <v>4031</v>
      </c>
    </row>
    <row r="73" spans="1:8" x14ac:dyDescent="0.25">
      <c r="A73" s="8">
        <v>43057.40179398148</v>
      </c>
      <c r="B73" s="20" t="s">
        <v>461</v>
      </c>
      <c r="C73" s="20" t="s">
        <v>779</v>
      </c>
      <c r="D73" s="195">
        <v>1100000</v>
      </c>
      <c r="E73" s="20" t="s">
        <v>534</v>
      </c>
      <c r="F73" s="20" t="s">
        <v>535</v>
      </c>
      <c r="G73" s="8" t="str">
        <f t="shared" si="2"/>
        <v>GEBRETEKLE DAGNEW</v>
      </c>
      <c r="H73" s="20" t="str">
        <f t="shared" si="3"/>
        <v>4024</v>
      </c>
    </row>
    <row r="74" spans="1:8" x14ac:dyDescent="0.25">
      <c r="A74" s="8">
        <v>43057.403275462966</v>
      </c>
      <c r="B74" s="20" t="s">
        <v>731</v>
      </c>
      <c r="C74" s="20" t="s">
        <v>780</v>
      </c>
      <c r="D74" s="195">
        <v>2560000</v>
      </c>
      <c r="E74" s="20" t="s">
        <v>733</v>
      </c>
      <c r="F74" s="20" t="s">
        <v>734</v>
      </c>
      <c r="G74" s="8" t="str">
        <f t="shared" si="2"/>
        <v>MACDONALD THOMAS</v>
      </c>
      <c r="H74" s="20" t="str">
        <f t="shared" si="3"/>
        <v>4021</v>
      </c>
    </row>
    <row r="75" spans="1:8" x14ac:dyDescent="0.25">
      <c r="A75" s="8">
        <v>43057.412534722222</v>
      </c>
      <c r="B75" s="20" t="s">
        <v>533</v>
      </c>
      <c r="C75" s="20" t="s">
        <v>781</v>
      </c>
      <c r="D75" s="195">
        <v>3510000</v>
      </c>
      <c r="E75" s="20" t="s">
        <v>727</v>
      </c>
      <c r="F75" s="20" t="s">
        <v>728</v>
      </c>
      <c r="G75" s="8" t="str">
        <f t="shared" si="2"/>
        <v>BARRON PERLA</v>
      </c>
      <c r="H75" s="20" t="str">
        <f t="shared" si="3"/>
        <v>4026</v>
      </c>
    </row>
    <row r="76" spans="1:8" x14ac:dyDescent="0.25">
      <c r="A76" s="8">
        <v>43057.413171296299</v>
      </c>
      <c r="B76" s="20" t="s">
        <v>516</v>
      </c>
      <c r="C76" s="20" t="s">
        <v>782</v>
      </c>
      <c r="D76" s="195">
        <v>2010000</v>
      </c>
      <c r="E76" s="20" t="s">
        <v>577</v>
      </c>
      <c r="F76" s="20" t="s">
        <v>578</v>
      </c>
      <c r="G76" s="8" t="str">
        <f t="shared" si="2"/>
        <v>MAELZER KURT</v>
      </c>
      <c r="H76" s="20" t="str">
        <f t="shared" si="3"/>
        <v>4003</v>
      </c>
    </row>
    <row r="77" spans="1:8" x14ac:dyDescent="0.25">
      <c r="A77" s="8">
        <v>43057.421064814815</v>
      </c>
      <c r="B77" s="20" t="s">
        <v>673</v>
      </c>
      <c r="C77" s="20" t="s">
        <v>783</v>
      </c>
      <c r="D77" s="195">
        <v>3090000</v>
      </c>
      <c r="E77" s="20" t="s">
        <v>741</v>
      </c>
      <c r="F77" s="20" t="s">
        <v>742</v>
      </c>
      <c r="G77" s="8" t="str">
        <f t="shared" si="2"/>
        <v>LAMAR NEKESHA</v>
      </c>
      <c r="H77" s="20" t="str">
        <f t="shared" si="3"/>
        <v>4032</v>
      </c>
    </row>
    <row r="78" spans="1:8" x14ac:dyDescent="0.25">
      <c r="A78" s="8">
        <v>43057.422129629631</v>
      </c>
      <c r="B78" s="20" t="s">
        <v>671</v>
      </c>
      <c r="C78" s="20" t="s">
        <v>784</v>
      </c>
      <c r="D78" s="195">
        <v>3040000</v>
      </c>
      <c r="E78" s="20" t="s">
        <v>368</v>
      </c>
      <c r="F78" s="20" t="s">
        <v>580</v>
      </c>
      <c r="G78" s="8" t="str">
        <f t="shared" si="2"/>
        <v>WILLIAMS DONTE</v>
      </c>
      <c r="H78" s="20" t="str">
        <f t="shared" si="3"/>
        <v>4005</v>
      </c>
    </row>
    <row r="79" spans="1:8" x14ac:dyDescent="0.25">
      <c r="A79" s="8">
        <v>43057.422407407408</v>
      </c>
      <c r="B79" s="20" t="s">
        <v>362</v>
      </c>
      <c r="C79" s="20" t="s">
        <v>785</v>
      </c>
      <c r="D79" s="195">
        <v>1810000</v>
      </c>
      <c r="E79" s="20" t="s">
        <v>520</v>
      </c>
      <c r="F79" s="20" t="s">
        <v>395</v>
      </c>
      <c r="G79" s="8" t="str">
        <f t="shared" si="2"/>
        <v>NEWELL JAMES</v>
      </c>
      <c r="H79" s="20" t="str">
        <f t="shared" si="3"/>
        <v>4017</v>
      </c>
    </row>
    <row r="80" spans="1:8" x14ac:dyDescent="0.25">
      <c r="A80" s="8">
        <v>43057.424108796295</v>
      </c>
      <c r="B80" s="20" t="s">
        <v>356</v>
      </c>
      <c r="C80" s="20" t="s">
        <v>786</v>
      </c>
      <c r="D80" s="195">
        <v>2550000</v>
      </c>
      <c r="E80" s="20" t="s">
        <v>581</v>
      </c>
      <c r="F80" s="20" t="s">
        <v>582</v>
      </c>
      <c r="G80" s="8" t="str">
        <f t="shared" si="2"/>
        <v>BADERTSCHER DIANE</v>
      </c>
      <c r="H80" s="20" t="str">
        <f t="shared" si="3"/>
        <v>4008</v>
      </c>
    </row>
    <row r="81" spans="1:8" x14ac:dyDescent="0.25">
      <c r="A81" s="8">
        <v>43057.432384259257</v>
      </c>
      <c r="B81" s="20" t="s">
        <v>462</v>
      </c>
      <c r="C81" s="20" t="s">
        <v>787</v>
      </c>
      <c r="D81" s="195">
        <v>1100000</v>
      </c>
      <c r="E81" s="20" t="s">
        <v>534</v>
      </c>
      <c r="F81" s="20" t="s">
        <v>535</v>
      </c>
      <c r="G81" s="8" t="str">
        <f t="shared" si="2"/>
        <v>GEBRETEKLE DAGNEW</v>
      </c>
      <c r="H81" s="20" t="str">
        <f t="shared" si="3"/>
        <v>4023</v>
      </c>
    </row>
    <row r="82" spans="1:8" x14ac:dyDescent="0.25">
      <c r="A82" s="8">
        <v>43057.435162037036</v>
      </c>
      <c r="B82" s="20" t="s">
        <v>680</v>
      </c>
      <c r="C82" s="20" t="s">
        <v>681</v>
      </c>
      <c r="D82" s="195">
        <v>3090000</v>
      </c>
      <c r="E82" s="20" t="s">
        <v>741</v>
      </c>
      <c r="F82" s="20" t="s">
        <v>742</v>
      </c>
      <c r="G82" s="8" t="str">
        <f t="shared" si="2"/>
        <v>LAMAR NEKESHA</v>
      </c>
      <c r="H82" s="20" t="str">
        <f t="shared" si="3"/>
        <v>4031</v>
      </c>
    </row>
    <row r="83" spans="1:8" x14ac:dyDescent="0.25">
      <c r="A83" s="8">
        <v>43057.435590277775</v>
      </c>
      <c r="B83" s="20" t="s">
        <v>384</v>
      </c>
      <c r="C83" s="20" t="s">
        <v>679</v>
      </c>
      <c r="D83" s="195">
        <v>2560000</v>
      </c>
      <c r="E83" s="20" t="s">
        <v>733</v>
      </c>
      <c r="F83" s="20" t="s">
        <v>734</v>
      </c>
      <c r="G83" s="8" t="str">
        <f t="shared" si="2"/>
        <v>MACDONALD THOMAS</v>
      </c>
      <c r="H83" s="20" t="str">
        <f t="shared" si="3"/>
        <v>4022</v>
      </c>
    </row>
    <row r="84" spans="1:8" x14ac:dyDescent="0.25">
      <c r="A84" s="8">
        <v>43057.444016203706</v>
      </c>
      <c r="B84" s="20" t="s">
        <v>575</v>
      </c>
      <c r="C84" s="20" t="s">
        <v>788</v>
      </c>
      <c r="D84" s="195">
        <v>2040000</v>
      </c>
      <c r="E84" s="20" t="s">
        <v>396</v>
      </c>
      <c r="F84" s="20" t="s">
        <v>397</v>
      </c>
      <c r="G84" s="8" t="str">
        <f t="shared" si="2"/>
        <v>MOSES BRADLEY</v>
      </c>
      <c r="H84" s="20" t="str">
        <f t="shared" si="3"/>
        <v>4004</v>
      </c>
    </row>
    <row r="85" spans="1:8" x14ac:dyDescent="0.25">
      <c r="A85" s="8">
        <v>43057.444525462961</v>
      </c>
      <c r="B85" s="20" t="s">
        <v>532</v>
      </c>
      <c r="C85" s="20" t="s">
        <v>789</v>
      </c>
      <c r="D85" s="195">
        <v>3510000</v>
      </c>
      <c r="E85" s="20" t="s">
        <v>727</v>
      </c>
      <c r="F85" s="20" t="s">
        <v>728</v>
      </c>
      <c r="G85" s="8" t="str">
        <f t="shared" si="2"/>
        <v>BARRON PERLA</v>
      </c>
      <c r="H85" s="20" t="str">
        <f t="shared" si="3"/>
        <v>4025</v>
      </c>
    </row>
    <row r="86" spans="1:8" x14ac:dyDescent="0.25">
      <c r="A86" s="8">
        <v>43057.445208333331</v>
      </c>
      <c r="B86" s="20" t="s">
        <v>532</v>
      </c>
      <c r="C86" s="20" t="s">
        <v>789</v>
      </c>
      <c r="D86" s="195">
        <v>3510000</v>
      </c>
      <c r="E86" s="20" t="s">
        <v>727</v>
      </c>
      <c r="F86" s="20" t="s">
        <v>728</v>
      </c>
      <c r="G86" s="8" t="str">
        <f t="shared" si="2"/>
        <v>BARRON PERLA</v>
      </c>
      <c r="H86" s="20" t="str">
        <f t="shared" si="3"/>
        <v>4025</v>
      </c>
    </row>
    <row r="87" spans="1:8" x14ac:dyDescent="0.25">
      <c r="A87" s="8">
        <v>43057.456307870372</v>
      </c>
      <c r="B87" s="20" t="s">
        <v>686</v>
      </c>
      <c r="C87" s="20" t="s">
        <v>790</v>
      </c>
      <c r="D87" s="195">
        <v>3040000</v>
      </c>
      <c r="E87" s="20" t="s">
        <v>368</v>
      </c>
      <c r="F87" s="20" t="s">
        <v>580</v>
      </c>
      <c r="G87" s="8" t="str">
        <f t="shared" si="2"/>
        <v>WILLIAMS DONTE</v>
      </c>
      <c r="H87" s="20" t="str">
        <f t="shared" si="3"/>
        <v>4006</v>
      </c>
    </row>
    <row r="88" spans="1:8" x14ac:dyDescent="0.25">
      <c r="A88" s="8">
        <v>43057.463414351849</v>
      </c>
      <c r="B88" s="20" t="s">
        <v>673</v>
      </c>
      <c r="C88" s="20" t="s">
        <v>791</v>
      </c>
      <c r="D88" s="195">
        <v>3090000</v>
      </c>
      <c r="E88" s="20" t="s">
        <v>741</v>
      </c>
      <c r="F88" s="20" t="s">
        <v>742</v>
      </c>
      <c r="G88" s="8" t="str">
        <f t="shared" si="2"/>
        <v>LAMAR NEKESHA</v>
      </c>
      <c r="H88" s="20" t="str">
        <f t="shared" si="3"/>
        <v>4032</v>
      </c>
    </row>
    <row r="89" spans="1:8" x14ac:dyDescent="0.25">
      <c r="A89" s="8">
        <v>43057.464131944442</v>
      </c>
      <c r="B89" s="20" t="s">
        <v>361</v>
      </c>
      <c r="C89" s="20" t="s">
        <v>792</v>
      </c>
      <c r="D89" s="195">
        <v>2550000</v>
      </c>
      <c r="E89" s="20" t="s">
        <v>581</v>
      </c>
      <c r="F89" s="20" t="s">
        <v>582</v>
      </c>
      <c r="G89" s="8" t="str">
        <f t="shared" si="2"/>
        <v>BADERTSCHER DIANE</v>
      </c>
      <c r="H89" s="20" t="str">
        <f t="shared" si="3"/>
        <v>4007</v>
      </c>
    </row>
    <row r="90" spans="1:8" x14ac:dyDescent="0.25">
      <c r="A90" s="8">
        <v>43057.466562499998</v>
      </c>
      <c r="B90" s="20" t="s">
        <v>360</v>
      </c>
      <c r="C90" s="20" t="s">
        <v>793</v>
      </c>
      <c r="D90" s="195">
        <v>920000</v>
      </c>
      <c r="E90" s="20" t="s">
        <v>794</v>
      </c>
      <c r="F90" s="20" t="s">
        <v>352</v>
      </c>
      <c r="G90" s="8" t="str">
        <f t="shared" si="2"/>
        <v>DAVIS MICHAEL</v>
      </c>
      <c r="H90" s="20" t="str">
        <f t="shared" si="3"/>
        <v>4018</v>
      </c>
    </row>
    <row r="91" spans="1:8" x14ac:dyDescent="0.25">
      <c r="A91" s="8">
        <v>43057.476504629631</v>
      </c>
      <c r="B91" s="20" t="s">
        <v>731</v>
      </c>
      <c r="C91" s="20" t="s">
        <v>795</v>
      </c>
      <c r="D91" s="195">
        <v>2560000</v>
      </c>
      <c r="E91" s="20" t="s">
        <v>733</v>
      </c>
      <c r="F91" s="20" t="s">
        <v>734</v>
      </c>
      <c r="G91" s="8" t="str">
        <f t="shared" si="2"/>
        <v>MACDONALD THOMAS</v>
      </c>
      <c r="H91" s="20" t="str">
        <f t="shared" si="3"/>
        <v>4021</v>
      </c>
    </row>
    <row r="92" spans="1:8" x14ac:dyDescent="0.25">
      <c r="A92" s="8">
        <v>43057.476666666669</v>
      </c>
      <c r="B92" s="20" t="s">
        <v>680</v>
      </c>
      <c r="C92" s="20" t="s">
        <v>682</v>
      </c>
      <c r="D92" s="195">
        <v>3090000</v>
      </c>
      <c r="E92" s="20" t="s">
        <v>741</v>
      </c>
      <c r="F92" s="20" t="s">
        <v>742</v>
      </c>
      <c r="G92" s="8" t="str">
        <f t="shared" si="2"/>
        <v>LAMAR NEKESHA</v>
      </c>
      <c r="H92" s="20" t="str">
        <f t="shared" si="3"/>
        <v>4031</v>
      </c>
    </row>
    <row r="93" spans="1:8" x14ac:dyDescent="0.25">
      <c r="A93" s="8">
        <v>43057.477129629631</v>
      </c>
      <c r="B93" s="20" t="s">
        <v>461</v>
      </c>
      <c r="C93" s="20" t="s">
        <v>796</v>
      </c>
      <c r="D93" s="195">
        <v>2630000</v>
      </c>
      <c r="E93" s="20" t="s">
        <v>372</v>
      </c>
      <c r="F93" s="20" t="s">
        <v>373</v>
      </c>
      <c r="G93" s="8" t="str">
        <f t="shared" si="2"/>
        <v>SAFIEF AEIMEN</v>
      </c>
      <c r="H93" s="20" t="str">
        <f t="shared" si="3"/>
        <v>4024</v>
      </c>
    </row>
    <row r="94" spans="1:8" x14ac:dyDescent="0.25">
      <c r="A94" s="8">
        <v>43057.484548611108</v>
      </c>
      <c r="B94" s="20" t="s">
        <v>516</v>
      </c>
      <c r="C94" s="20" t="s">
        <v>797</v>
      </c>
      <c r="D94" s="195">
        <v>2040000</v>
      </c>
      <c r="E94" s="20" t="s">
        <v>396</v>
      </c>
      <c r="F94" s="20" t="s">
        <v>397</v>
      </c>
      <c r="G94" s="8" t="str">
        <f t="shared" si="2"/>
        <v>MOSES BRADLEY</v>
      </c>
      <c r="H94" s="20" t="str">
        <f t="shared" si="3"/>
        <v>4003</v>
      </c>
    </row>
    <row r="95" spans="1:8" x14ac:dyDescent="0.25">
      <c r="A95" s="8">
        <v>43057.485358796293</v>
      </c>
      <c r="B95" s="20" t="s">
        <v>533</v>
      </c>
      <c r="C95" s="20" t="s">
        <v>798</v>
      </c>
      <c r="D95" s="195">
        <v>2970000</v>
      </c>
      <c r="E95" s="20" t="s">
        <v>374</v>
      </c>
      <c r="F95" s="20" t="s">
        <v>375</v>
      </c>
      <c r="G95" s="8" t="str">
        <f t="shared" si="2"/>
        <v>GUZMAN DANNY</v>
      </c>
      <c r="H95" s="20" t="str">
        <f t="shared" si="3"/>
        <v>4026</v>
      </c>
    </row>
    <row r="96" spans="1:8" x14ac:dyDescent="0.25">
      <c r="A96" s="8">
        <v>43057.491944444446</v>
      </c>
      <c r="B96" s="20" t="s">
        <v>671</v>
      </c>
      <c r="C96" s="20" t="s">
        <v>799</v>
      </c>
      <c r="D96" s="195">
        <v>3040000</v>
      </c>
      <c r="E96" s="20" t="s">
        <v>368</v>
      </c>
      <c r="F96" s="20" t="s">
        <v>580</v>
      </c>
      <c r="G96" s="8" t="str">
        <f t="shared" si="2"/>
        <v>WILLIAMS DONTE</v>
      </c>
      <c r="H96" s="20" t="str">
        <f t="shared" si="3"/>
        <v>4005</v>
      </c>
    </row>
    <row r="97" spans="1:8" x14ac:dyDescent="0.25">
      <c r="A97" s="8">
        <v>43057.496805555558</v>
      </c>
      <c r="B97" s="20" t="s">
        <v>356</v>
      </c>
      <c r="C97" s="20" t="s">
        <v>800</v>
      </c>
      <c r="D97" s="195">
        <v>2550000</v>
      </c>
      <c r="E97" s="20" t="s">
        <v>581</v>
      </c>
      <c r="F97" s="20" t="s">
        <v>582</v>
      </c>
      <c r="G97" s="8" t="str">
        <f t="shared" si="2"/>
        <v>BADERTSCHER DIANE</v>
      </c>
      <c r="H97" s="20" t="str">
        <f t="shared" si="3"/>
        <v>4008</v>
      </c>
    </row>
    <row r="98" spans="1:8" x14ac:dyDescent="0.25">
      <c r="A98" s="8">
        <v>43057.504513888889</v>
      </c>
      <c r="B98" s="20" t="s">
        <v>362</v>
      </c>
      <c r="C98" s="20" t="s">
        <v>801</v>
      </c>
      <c r="D98" s="195">
        <v>920000</v>
      </c>
      <c r="E98" s="20" t="s">
        <v>794</v>
      </c>
      <c r="F98" s="20" t="s">
        <v>352</v>
      </c>
      <c r="G98" s="8" t="str">
        <f t="shared" si="2"/>
        <v>DAVIS MICHAEL</v>
      </c>
      <c r="H98" s="20" t="str">
        <f t="shared" si="3"/>
        <v>4017</v>
      </c>
    </row>
    <row r="99" spans="1:8" x14ac:dyDescent="0.25">
      <c r="A99" s="8">
        <v>43057.506990740738</v>
      </c>
      <c r="B99" s="20" t="s">
        <v>384</v>
      </c>
      <c r="C99" s="20" t="s">
        <v>802</v>
      </c>
      <c r="D99" s="195">
        <v>2350000</v>
      </c>
      <c r="E99" s="20" t="s">
        <v>537</v>
      </c>
      <c r="F99" s="20" t="s">
        <v>538</v>
      </c>
      <c r="G99" s="8" t="str">
        <f t="shared" si="2"/>
        <v>BERLING GARY</v>
      </c>
      <c r="H99" s="20" t="str">
        <f t="shared" si="3"/>
        <v>4022</v>
      </c>
    </row>
    <row r="100" spans="1:8" x14ac:dyDescent="0.25">
      <c r="A100" s="8">
        <v>43057.507627314815</v>
      </c>
      <c r="B100" s="20" t="s">
        <v>462</v>
      </c>
      <c r="C100" s="20" t="s">
        <v>803</v>
      </c>
      <c r="D100" s="195">
        <v>2630000</v>
      </c>
      <c r="E100" s="20" t="s">
        <v>372</v>
      </c>
      <c r="F100" s="20" t="s">
        <v>373</v>
      </c>
      <c r="G100" s="8" t="str">
        <f t="shared" si="2"/>
        <v>SAFIEF AEIMEN</v>
      </c>
      <c r="H100" s="20" t="str">
        <f t="shared" si="3"/>
        <v>4023</v>
      </c>
    </row>
    <row r="101" spans="1:8" x14ac:dyDescent="0.25">
      <c r="A101" s="8">
        <v>43057.515833333331</v>
      </c>
      <c r="B101" s="20" t="s">
        <v>532</v>
      </c>
      <c r="C101" s="20" t="s">
        <v>804</v>
      </c>
      <c r="D101" s="195">
        <v>2970000</v>
      </c>
      <c r="E101" s="20" t="s">
        <v>374</v>
      </c>
      <c r="F101" s="20" t="s">
        <v>375</v>
      </c>
      <c r="G101" s="8" t="str">
        <f t="shared" si="2"/>
        <v>GUZMAN DANNY</v>
      </c>
      <c r="H101" s="20" t="str">
        <f t="shared" si="3"/>
        <v>4025</v>
      </c>
    </row>
    <row r="102" spans="1:8" x14ac:dyDescent="0.25">
      <c r="A102" s="8">
        <v>43057.518622685187</v>
      </c>
      <c r="B102" s="20" t="s">
        <v>575</v>
      </c>
      <c r="C102" s="20" t="s">
        <v>805</v>
      </c>
      <c r="D102" s="195">
        <v>2040000</v>
      </c>
      <c r="E102" s="20" t="s">
        <v>396</v>
      </c>
      <c r="F102" s="20" t="s">
        <v>397</v>
      </c>
      <c r="G102" s="8" t="str">
        <f t="shared" si="2"/>
        <v>MOSES BRADLEY</v>
      </c>
      <c r="H102" s="20" t="str">
        <f t="shared" si="3"/>
        <v>4004</v>
      </c>
    </row>
    <row r="103" spans="1:8" x14ac:dyDescent="0.25">
      <c r="A103" s="8">
        <v>43057.521319444444</v>
      </c>
      <c r="B103" s="20" t="s">
        <v>680</v>
      </c>
      <c r="C103" s="20" t="s">
        <v>806</v>
      </c>
      <c r="D103" s="195">
        <v>3090000</v>
      </c>
      <c r="E103" s="20" t="s">
        <v>741</v>
      </c>
      <c r="F103" s="20" t="s">
        <v>742</v>
      </c>
      <c r="G103" s="8" t="str">
        <f t="shared" si="2"/>
        <v>LAMAR NEKESHA</v>
      </c>
      <c r="H103" s="20" t="str">
        <f t="shared" si="3"/>
        <v>4031</v>
      </c>
    </row>
    <row r="104" spans="1:8" x14ac:dyDescent="0.25">
      <c r="A104" s="8">
        <v>43057.528067129628</v>
      </c>
      <c r="B104" s="20" t="s">
        <v>686</v>
      </c>
      <c r="C104" s="20" t="s">
        <v>807</v>
      </c>
      <c r="D104" s="195">
        <v>2420000</v>
      </c>
      <c r="E104" s="20" t="s">
        <v>539</v>
      </c>
      <c r="F104" s="20" t="s">
        <v>540</v>
      </c>
      <c r="G104" s="8" t="str">
        <f t="shared" si="2"/>
        <v>HOLCOMB KAMDEN</v>
      </c>
      <c r="H104" s="20" t="str">
        <f t="shared" si="3"/>
        <v>4006</v>
      </c>
    </row>
    <row r="105" spans="1:8" x14ac:dyDescent="0.25">
      <c r="A105" s="8">
        <v>43057.535671296297</v>
      </c>
      <c r="B105" s="20" t="s">
        <v>361</v>
      </c>
      <c r="C105" s="20" t="s">
        <v>808</v>
      </c>
      <c r="D105" s="195">
        <v>2550000</v>
      </c>
      <c r="E105" s="20" t="s">
        <v>581</v>
      </c>
      <c r="F105" s="20" t="s">
        <v>582</v>
      </c>
      <c r="G105" s="8" t="str">
        <f t="shared" si="2"/>
        <v>BADERTSCHER DIANE</v>
      </c>
      <c r="H105" s="20" t="str">
        <f t="shared" si="3"/>
        <v>4007</v>
      </c>
    </row>
    <row r="106" spans="1:8" x14ac:dyDescent="0.25">
      <c r="A106" s="8">
        <v>43057.537222222221</v>
      </c>
      <c r="B106" s="20" t="s">
        <v>361</v>
      </c>
      <c r="C106" s="20" t="s">
        <v>808</v>
      </c>
      <c r="D106" s="195">
        <v>2550000</v>
      </c>
      <c r="E106" s="20" t="s">
        <v>581</v>
      </c>
      <c r="F106" s="20" t="s">
        <v>582</v>
      </c>
      <c r="G106" s="8" t="str">
        <f t="shared" si="2"/>
        <v>BADERTSCHER DIANE</v>
      </c>
      <c r="H106" s="20" t="str">
        <f t="shared" si="3"/>
        <v>4007</v>
      </c>
    </row>
    <row r="107" spans="1:8" x14ac:dyDescent="0.25">
      <c r="A107" s="8">
        <v>43057.541018518517</v>
      </c>
      <c r="B107" s="20" t="s">
        <v>360</v>
      </c>
      <c r="C107" s="20" t="s">
        <v>809</v>
      </c>
      <c r="D107" s="195">
        <v>920000</v>
      </c>
      <c r="E107" s="20" t="s">
        <v>794</v>
      </c>
      <c r="F107" s="20" t="s">
        <v>352</v>
      </c>
      <c r="G107" s="8" t="str">
        <f t="shared" si="2"/>
        <v>DAVIS MICHAEL</v>
      </c>
      <c r="H107" s="20" t="str">
        <f t="shared" si="3"/>
        <v>4018</v>
      </c>
    </row>
    <row r="108" spans="1:8" x14ac:dyDescent="0.25">
      <c r="A108" s="8">
        <v>43057.54546296296</v>
      </c>
      <c r="B108" s="20" t="s">
        <v>731</v>
      </c>
      <c r="C108" s="20" t="s">
        <v>810</v>
      </c>
      <c r="D108" s="195">
        <v>2350000</v>
      </c>
      <c r="E108" s="20" t="s">
        <v>537</v>
      </c>
      <c r="F108" s="20" t="s">
        <v>538</v>
      </c>
      <c r="G108" s="8" t="str">
        <f t="shared" si="2"/>
        <v>BERLING GARY</v>
      </c>
      <c r="H108" s="20" t="str">
        <f t="shared" si="3"/>
        <v>4021</v>
      </c>
    </row>
    <row r="109" spans="1:8" x14ac:dyDescent="0.25">
      <c r="A109" s="8">
        <v>43057.549479166664</v>
      </c>
      <c r="B109" s="20" t="s">
        <v>461</v>
      </c>
      <c r="C109" s="20" t="s">
        <v>811</v>
      </c>
      <c r="D109" s="195">
        <v>2630000</v>
      </c>
      <c r="E109" s="20" t="s">
        <v>372</v>
      </c>
      <c r="F109" s="20" t="s">
        <v>373</v>
      </c>
      <c r="G109" s="8" t="str">
        <f t="shared" si="2"/>
        <v>SAFIEF AEIMEN</v>
      </c>
      <c r="H109" s="20" t="str">
        <f t="shared" si="3"/>
        <v>4024</v>
      </c>
    </row>
    <row r="110" spans="1:8" x14ac:dyDescent="0.25">
      <c r="A110" s="8">
        <v>43057.557662037034</v>
      </c>
      <c r="B110" s="20" t="s">
        <v>533</v>
      </c>
      <c r="C110" s="20" t="s">
        <v>812</v>
      </c>
      <c r="D110" s="195">
        <v>2970000</v>
      </c>
      <c r="E110" s="20" t="s">
        <v>374</v>
      </c>
      <c r="F110" s="20" t="s">
        <v>375</v>
      </c>
      <c r="G110" s="8" t="str">
        <f t="shared" si="2"/>
        <v>GUZMAN DANNY</v>
      </c>
      <c r="H110" s="20" t="str">
        <f t="shared" si="3"/>
        <v>4026</v>
      </c>
    </row>
    <row r="111" spans="1:8" x14ac:dyDescent="0.25">
      <c r="A111" s="8">
        <v>43057.558113425926</v>
      </c>
      <c r="B111" s="20" t="s">
        <v>516</v>
      </c>
      <c r="C111" s="20" t="s">
        <v>813</v>
      </c>
      <c r="D111" s="195">
        <v>2040000</v>
      </c>
      <c r="E111" s="20" t="s">
        <v>396</v>
      </c>
      <c r="F111" s="20" t="s">
        <v>397</v>
      </c>
      <c r="G111" s="8" t="str">
        <f t="shared" si="2"/>
        <v>MOSES BRADLEY</v>
      </c>
      <c r="H111" s="20" t="str">
        <f t="shared" si="3"/>
        <v>4003</v>
      </c>
    </row>
    <row r="112" spans="1:8" x14ac:dyDescent="0.25">
      <c r="A112" s="8">
        <v>43057.559490740743</v>
      </c>
      <c r="B112" s="20" t="s">
        <v>680</v>
      </c>
      <c r="C112" s="20" t="s">
        <v>814</v>
      </c>
      <c r="D112" s="195">
        <v>3090000</v>
      </c>
      <c r="E112" s="20" t="s">
        <v>741</v>
      </c>
      <c r="F112" s="20" t="s">
        <v>742</v>
      </c>
      <c r="G112" s="8" t="str">
        <f t="shared" si="2"/>
        <v>LAMAR NEKESHA</v>
      </c>
      <c r="H112" s="20" t="str">
        <f t="shared" si="3"/>
        <v>4031</v>
      </c>
    </row>
    <row r="113" spans="1:8" x14ac:dyDescent="0.25">
      <c r="A113" s="8">
        <v>43057.568402777775</v>
      </c>
      <c r="B113" s="20" t="s">
        <v>671</v>
      </c>
      <c r="C113" s="20" t="s">
        <v>815</v>
      </c>
      <c r="D113" s="195">
        <v>2420000</v>
      </c>
      <c r="E113" s="20" t="s">
        <v>539</v>
      </c>
      <c r="F113" s="20" t="s">
        <v>540</v>
      </c>
      <c r="G113" s="8" t="str">
        <f t="shared" si="2"/>
        <v>HOLCOMB KAMDEN</v>
      </c>
      <c r="H113" s="20" t="str">
        <f t="shared" si="3"/>
        <v>4005</v>
      </c>
    </row>
    <row r="114" spans="1:8" x14ac:dyDescent="0.25">
      <c r="A114" s="8">
        <v>43057.569108796299</v>
      </c>
      <c r="B114" s="20" t="s">
        <v>356</v>
      </c>
      <c r="C114" s="20" t="s">
        <v>816</v>
      </c>
      <c r="D114" s="195">
        <v>2550000</v>
      </c>
      <c r="E114" s="20" t="s">
        <v>581</v>
      </c>
      <c r="F114" s="20" t="s">
        <v>582</v>
      </c>
      <c r="G114" s="8" t="str">
        <f t="shared" si="2"/>
        <v>BADERTSCHER DIANE</v>
      </c>
      <c r="H114" s="20" t="str">
        <f t="shared" si="3"/>
        <v>4008</v>
      </c>
    </row>
    <row r="115" spans="1:8" x14ac:dyDescent="0.25">
      <c r="A115" s="8">
        <v>43057.575532407405</v>
      </c>
      <c r="B115" s="20" t="s">
        <v>683</v>
      </c>
      <c r="C115" s="20" t="s">
        <v>817</v>
      </c>
      <c r="D115" s="195">
        <v>3330000</v>
      </c>
      <c r="E115" s="20" t="s">
        <v>583</v>
      </c>
      <c r="F115" s="20" t="s">
        <v>584</v>
      </c>
      <c r="G115" s="8" t="str">
        <f t="shared" si="2"/>
        <v>GONZALEZ ARMANDO</v>
      </c>
      <c r="H115" s="20" t="str">
        <f t="shared" si="3"/>
        <v>4053</v>
      </c>
    </row>
    <row r="116" spans="1:8" x14ac:dyDescent="0.25">
      <c r="A116" s="8">
        <v>43057.578715277778</v>
      </c>
      <c r="B116" s="20" t="s">
        <v>462</v>
      </c>
      <c r="C116" s="20" t="s">
        <v>818</v>
      </c>
      <c r="D116" s="195">
        <v>2630000</v>
      </c>
      <c r="E116" s="20" t="s">
        <v>372</v>
      </c>
      <c r="F116" s="20" t="s">
        <v>373</v>
      </c>
      <c r="G116" s="8" t="str">
        <f t="shared" si="2"/>
        <v>SAFIEF AEIMEN</v>
      </c>
      <c r="H116" s="20" t="str">
        <f t="shared" si="3"/>
        <v>4023</v>
      </c>
    </row>
    <row r="117" spans="1:8" x14ac:dyDescent="0.25">
      <c r="A117" s="8">
        <v>43057.578935185185</v>
      </c>
      <c r="B117" s="20" t="s">
        <v>384</v>
      </c>
      <c r="C117" s="20" t="s">
        <v>819</v>
      </c>
      <c r="D117" s="195">
        <v>2350000</v>
      </c>
      <c r="E117" s="20" t="s">
        <v>537</v>
      </c>
      <c r="F117" s="20" t="s">
        <v>538</v>
      </c>
      <c r="G117" s="8" t="str">
        <f t="shared" si="2"/>
        <v>BERLING GARY</v>
      </c>
      <c r="H117" s="20" t="str">
        <f t="shared" si="3"/>
        <v>4022</v>
      </c>
    </row>
    <row r="118" spans="1:8" x14ac:dyDescent="0.25">
      <c r="A118" s="8">
        <v>43057.579594907409</v>
      </c>
      <c r="B118" s="20" t="s">
        <v>362</v>
      </c>
      <c r="C118" s="20" t="s">
        <v>820</v>
      </c>
      <c r="D118" s="195">
        <v>920000</v>
      </c>
      <c r="E118" s="20" t="s">
        <v>794</v>
      </c>
      <c r="F118" s="20" t="s">
        <v>352</v>
      </c>
      <c r="G118" s="8" t="str">
        <f t="shared" si="2"/>
        <v>DAVIS MICHAEL</v>
      </c>
      <c r="H118" s="20" t="str">
        <f t="shared" si="3"/>
        <v>4017</v>
      </c>
    </row>
    <row r="119" spans="1:8" x14ac:dyDescent="0.25">
      <c r="A119" s="8">
        <v>43057.589016203703</v>
      </c>
      <c r="B119" s="20" t="s">
        <v>690</v>
      </c>
      <c r="C119" s="20" t="s">
        <v>821</v>
      </c>
      <c r="D119" s="195">
        <v>2230000</v>
      </c>
      <c r="E119" s="20" t="s">
        <v>393</v>
      </c>
      <c r="F119" s="20" t="s">
        <v>352</v>
      </c>
      <c r="G119" s="8" t="str">
        <f t="shared" si="2"/>
        <v>SMITH MICHAEL</v>
      </c>
      <c r="H119" s="20" t="str">
        <f t="shared" si="3"/>
        <v>4054</v>
      </c>
    </row>
    <row r="120" spans="1:8" x14ac:dyDescent="0.25">
      <c r="A120" s="8">
        <v>43057.592731481483</v>
      </c>
      <c r="B120" s="20" t="s">
        <v>575</v>
      </c>
      <c r="C120" s="20" t="s">
        <v>822</v>
      </c>
      <c r="D120" s="195">
        <v>2040000</v>
      </c>
      <c r="E120" s="20" t="s">
        <v>396</v>
      </c>
      <c r="F120" s="20" t="s">
        <v>397</v>
      </c>
      <c r="G120" s="8" t="str">
        <f t="shared" si="2"/>
        <v>MOSES BRADLEY</v>
      </c>
      <c r="H120" s="20" t="str">
        <f t="shared" si="3"/>
        <v>4004</v>
      </c>
    </row>
    <row r="121" spans="1:8" x14ac:dyDescent="0.25">
      <c r="A121" s="8">
        <v>43057.599317129629</v>
      </c>
      <c r="B121" s="20" t="s">
        <v>532</v>
      </c>
      <c r="C121" s="20" t="s">
        <v>823</v>
      </c>
      <c r="D121" s="195">
        <v>2970000</v>
      </c>
      <c r="E121" s="20" t="s">
        <v>374</v>
      </c>
      <c r="F121" s="20" t="s">
        <v>375</v>
      </c>
      <c r="G121" s="8" t="str">
        <f t="shared" si="2"/>
        <v>GUZMAN DANNY</v>
      </c>
      <c r="H121" s="20" t="str">
        <f t="shared" si="3"/>
        <v>4025</v>
      </c>
    </row>
    <row r="122" spans="1:8" x14ac:dyDescent="0.25">
      <c r="A122" s="8">
        <v>43057.601307870369</v>
      </c>
      <c r="B122" s="25" t="s">
        <v>686</v>
      </c>
      <c r="C122" s="20" t="s">
        <v>824</v>
      </c>
      <c r="D122" s="195">
        <v>2420000</v>
      </c>
      <c r="E122" s="20" t="s">
        <v>539</v>
      </c>
      <c r="F122" s="20" t="s">
        <v>540</v>
      </c>
      <c r="G122" s="8" t="str">
        <f t="shared" si="2"/>
        <v>HOLCOMB KAMDEN</v>
      </c>
      <c r="H122" s="20" t="str">
        <f t="shared" si="3"/>
        <v>4006</v>
      </c>
    </row>
    <row r="123" spans="1:8" x14ac:dyDescent="0.25">
      <c r="A123" s="8">
        <v>43057.603194444448</v>
      </c>
      <c r="B123" s="20" t="s">
        <v>683</v>
      </c>
      <c r="C123" s="20" t="s">
        <v>825</v>
      </c>
      <c r="D123" s="195">
        <v>2230000</v>
      </c>
      <c r="E123" s="20" t="s">
        <v>393</v>
      </c>
      <c r="F123" s="20" t="s">
        <v>352</v>
      </c>
      <c r="G123" s="8" t="str">
        <f t="shared" si="2"/>
        <v>SMITH MICHAEL</v>
      </c>
      <c r="H123" s="20" t="str">
        <f t="shared" si="3"/>
        <v>4053</v>
      </c>
    </row>
    <row r="124" spans="1:8" x14ac:dyDescent="0.25">
      <c r="A124" s="8">
        <v>43057.609236111108</v>
      </c>
      <c r="B124" s="20" t="s">
        <v>361</v>
      </c>
      <c r="C124" s="20" t="s">
        <v>826</v>
      </c>
      <c r="D124" s="195">
        <v>2550000</v>
      </c>
      <c r="E124" s="20" t="s">
        <v>581</v>
      </c>
      <c r="F124" s="20" t="s">
        <v>582</v>
      </c>
      <c r="G124" s="8" t="str">
        <f t="shared" si="2"/>
        <v>BADERTSCHER DIANE</v>
      </c>
      <c r="H124" s="20" t="str">
        <f t="shared" si="3"/>
        <v>4007</v>
      </c>
    </row>
    <row r="125" spans="1:8" x14ac:dyDescent="0.25">
      <c r="A125" s="8">
        <v>43057.614178240743</v>
      </c>
      <c r="B125" s="20" t="s">
        <v>360</v>
      </c>
      <c r="C125" s="20" t="s">
        <v>827</v>
      </c>
      <c r="D125" s="195">
        <v>920000</v>
      </c>
      <c r="E125" s="20" t="s">
        <v>794</v>
      </c>
      <c r="F125" s="20" t="s">
        <v>352</v>
      </c>
      <c r="G125" s="8" t="str">
        <f t="shared" si="2"/>
        <v>DAVIS MICHAEL</v>
      </c>
      <c r="H125" s="20" t="str">
        <f t="shared" si="3"/>
        <v>4018</v>
      </c>
    </row>
    <row r="126" spans="1:8" x14ac:dyDescent="0.25">
      <c r="A126" s="8">
        <v>43057.619444444441</v>
      </c>
      <c r="B126" s="20" t="s">
        <v>731</v>
      </c>
      <c r="C126" s="20" t="s">
        <v>828</v>
      </c>
      <c r="D126" s="195">
        <v>2350000</v>
      </c>
      <c r="E126" s="20" t="s">
        <v>537</v>
      </c>
      <c r="F126" s="20" t="s">
        <v>538</v>
      </c>
      <c r="G126" s="8" t="str">
        <f t="shared" si="2"/>
        <v>BERLING GARY</v>
      </c>
      <c r="H126" s="20" t="str">
        <f t="shared" si="3"/>
        <v>4021</v>
      </c>
    </row>
    <row r="127" spans="1:8" x14ac:dyDescent="0.25">
      <c r="A127" s="8">
        <v>43057.622430555559</v>
      </c>
      <c r="B127" s="20" t="s">
        <v>461</v>
      </c>
      <c r="C127" s="20" t="s">
        <v>829</v>
      </c>
      <c r="D127" s="195">
        <v>2630000</v>
      </c>
      <c r="E127" s="20" t="s">
        <v>372</v>
      </c>
      <c r="F127" s="20" t="s">
        <v>373</v>
      </c>
      <c r="G127" s="8" t="str">
        <f t="shared" si="2"/>
        <v>SAFIEF AEIMEN</v>
      </c>
      <c r="H127" s="20" t="str">
        <f t="shared" si="3"/>
        <v>4024</v>
      </c>
    </row>
    <row r="128" spans="1:8" x14ac:dyDescent="0.25">
      <c r="A128" s="8">
        <v>43057.62537037037</v>
      </c>
      <c r="B128" s="20" t="s">
        <v>690</v>
      </c>
      <c r="C128" s="20" t="s">
        <v>830</v>
      </c>
      <c r="D128" s="195">
        <v>2230000</v>
      </c>
      <c r="E128" s="20" t="s">
        <v>393</v>
      </c>
      <c r="F128" s="20" t="s">
        <v>352</v>
      </c>
      <c r="G128" s="8" t="str">
        <f t="shared" si="2"/>
        <v>SMITH MICHAEL</v>
      </c>
      <c r="H128" s="20" t="str">
        <f t="shared" si="3"/>
        <v>4054</v>
      </c>
    </row>
    <row r="129" spans="1:8" x14ac:dyDescent="0.25">
      <c r="A129" s="8">
        <v>43057.630844907406</v>
      </c>
      <c r="B129" s="20" t="s">
        <v>516</v>
      </c>
      <c r="C129" s="20" t="s">
        <v>831</v>
      </c>
      <c r="D129" s="195">
        <v>2040000</v>
      </c>
      <c r="E129" s="20" t="s">
        <v>396</v>
      </c>
      <c r="F129" s="20" t="s">
        <v>397</v>
      </c>
      <c r="G129" s="8" t="str">
        <f t="shared" si="2"/>
        <v>MOSES BRADLEY</v>
      </c>
      <c r="H129" s="20" t="str">
        <f t="shared" si="3"/>
        <v>4003</v>
      </c>
    </row>
    <row r="130" spans="1:8" x14ac:dyDescent="0.25">
      <c r="A130" s="8">
        <v>43057.632719907408</v>
      </c>
      <c r="B130" s="20" t="s">
        <v>533</v>
      </c>
      <c r="C130" s="20" t="s">
        <v>832</v>
      </c>
      <c r="D130" s="195">
        <v>2970000</v>
      </c>
      <c r="E130" s="20" t="s">
        <v>374</v>
      </c>
      <c r="F130" s="20" t="s">
        <v>375</v>
      </c>
      <c r="G130" s="8" t="str">
        <f t="shared" si="2"/>
        <v>GUZMAN DANNY</v>
      </c>
      <c r="H130" s="20" t="str">
        <f t="shared" si="3"/>
        <v>4026</v>
      </c>
    </row>
    <row r="131" spans="1:8" x14ac:dyDescent="0.25">
      <c r="A131" s="8">
        <v>43057.641956018517</v>
      </c>
      <c r="B131" s="20" t="s">
        <v>356</v>
      </c>
      <c r="C131" s="20" t="s">
        <v>833</v>
      </c>
      <c r="D131" s="195">
        <v>2550000</v>
      </c>
      <c r="E131" s="20" t="s">
        <v>581</v>
      </c>
      <c r="F131" s="20" t="s">
        <v>582</v>
      </c>
      <c r="G131" s="8" t="str">
        <f t="shared" ref="G131:G194" si="4">E131&amp;" "&amp;F131</f>
        <v>BADERTSCHER DIANE</v>
      </c>
      <c r="H131" s="20" t="str">
        <f t="shared" ref="H131:H194" si="5">MID(B131,13,4)</f>
        <v>4008</v>
      </c>
    </row>
    <row r="132" spans="1:8" x14ac:dyDescent="0.25">
      <c r="A132" s="8">
        <v>43057.642337962963</v>
      </c>
      <c r="B132" s="20" t="s">
        <v>671</v>
      </c>
      <c r="C132" s="20" t="s">
        <v>834</v>
      </c>
      <c r="D132" s="195">
        <v>2420000</v>
      </c>
      <c r="E132" s="20" t="s">
        <v>539</v>
      </c>
      <c r="F132" s="20" t="s">
        <v>540</v>
      </c>
      <c r="G132" s="8" t="str">
        <f t="shared" si="4"/>
        <v>HOLCOMB KAMDEN</v>
      </c>
      <c r="H132" s="20" t="str">
        <f t="shared" si="5"/>
        <v>4005</v>
      </c>
    </row>
    <row r="133" spans="1:8" x14ac:dyDescent="0.25">
      <c r="A133" s="8">
        <v>43057.644004629627</v>
      </c>
      <c r="B133" s="20" t="s">
        <v>683</v>
      </c>
      <c r="C133" s="20" t="s">
        <v>835</v>
      </c>
      <c r="D133" s="195">
        <v>2230000</v>
      </c>
      <c r="E133" s="20" t="s">
        <v>393</v>
      </c>
      <c r="F133" s="20" t="s">
        <v>352</v>
      </c>
      <c r="G133" s="8" t="str">
        <f t="shared" si="4"/>
        <v>SMITH MICHAEL</v>
      </c>
      <c r="H133" s="20" t="str">
        <f t="shared" si="5"/>
        <v>4053</v>
      </c>
    </row>
    <row r="134" spans="1:8" x14ac:dyDescent="0.25">
      <c r="A134" s="8">
        <v>43057.652280092596</v>
      </c>
      <c r="B134" s="20" t="s">
        <v>462</v>
      </c>
      <c r="C134" s="20" t="s">
        <v>836</v>
      </c>
      <c r="D134" s="195">
        <v>2630000</v>
      </c>
      <c r="E134" s="20" t="s">
        <v>372</v>
      </c>
      <c r="F134" s="20" t="s">
        <v>373</v>
      </c>
      <c r="G134" s="8" t="str">
        <f t="shared" si="4"/>
        <v>SAFIEF AEIMEN</v>
      </c>
      <c r="H134" s="20" t="str">
        <f t="shared" si="5"/>
        <v>4023</v>
      </c>
    </row>
    <row r="135" spans="1:8" x14ac:dyDescent="0.25">
      <c r="A135" s="8">
        <v>43057.65253472222</v>
      </c>
      <c r="B135" s="20" t="s">
        <v>362</v>
      </c>
      <c r="C135" s="20" t="s">
        <v>837</v>
      </c>
      <c r="D135" s="195">
        <v>920000</v>
      </c>
      <c r="E135" s="20" t="s">
        <v>794</v>
      </c>
      <c r="F135" s="20" t="s">
        <v>352</v>
      </c>
      <c r="G135" s="8" t="str">
        <f t="shared" si="4"/>
        <v>DAVIS MICHAEL</v>
      </c>
      <c r="H135" s="20" t="str">
        <f t="shared" si="5"/>
        <v>4017</v>
      </c>
    </row>
    <row r="136" spans="1:8" x14ac:dyDescent="0.25">
      <c r="A136" s="8">
        <v>43057.654143518521</v>
      </c>
      <c r="B136" s="20" t="s">
        <v>384</v>
      </c>
      <c r="C136" s="20" t="s">
        <v>838</v>
      </c>
      <c r="D136" s="195">
        <v>2350000</v>
      </c>
      <c r="E136" s="20" t="s">
        <v>537</v>
      </c>
      <c r="F136" s="20" t="s">
        <v>538</v>
      </c>
      <c r="G136" s="8" t="str">
        <f t="shared" si="4"/>
        <v>BERLING GARY</v>
      </c>
      <c r="H136" s="20" t="str">
        <f t="shared" si="5"/>
        <v>4022</v>
      </c>
    </row>
    <row r="137" spans="1:8" x14ac:dyDescent="0.25">
      <c r="A137" s="8">
        <v>43057.663969907408</v>
      </c>
      <c r="B137" s="20" t="s">
        <v>575</v>
      </c>
      <c r="C137" s="20" t="s">
        <v>839</v>
      </c>
      <c r="D137" s="195">
        <v>2040000</v>
      </c>
      <c r="E137" s="20" t="s">
        <v>396</v>
      </c>
      <c r="F137" s="20" t="s">
        <v>397</v>
      </c>
      <c r="G137" s="8" t="str">
        <f t="shared" si="4"/>
        <v>MOSES BRADLEY</v>
      </c>
      <c r="H137" s="20" t="str">
        <f t="shared" si="5"/>
        <v>4004</v>
      </c>
    </row>
    <row r="138" spans="1:8" x14ac:dyDescent="0.25">
      <c r="A138" s="8">
        <v>43057.668067129627</v>
      </c>
      <c r="B138" s="20" t="s">
        <v>690</v>
      </c>
      <c r="C138" s="20" t="s">
        <v>840</v>
      </c>
      <c r="D138" s="195">
        <v>2230000</v>
      </c>
      <c r="E138" s="20" t="s">
        <v>393</v>
      </c>
      <c r="F138" s="20" t="s">
        <v>352</v>
      </c>
      <c r="G138" s="8" t="str">
        <f t="shared" si="4"/>
        <v>SMITH MICHAEL</v>
      </c>
      <c r="H138" s="20" t="str">
        <f t="shared" si="5"/>
        <v>4054</v>
      </c>
    </row>
    <row r="139" spans="1:8" x14ac:dyDescent="0.25">
      <c r="A139" s="8">
        <v>43057.672349537039</v>
      </c>
      <c r="B139" s="20" t="s">
        <v>532</v>
      </c>
      <c r="C139" s="20" t="s">
        <v>841</v>
      </c>
      <c r="D139" s="195">
        <v>2970000</v>
      </c>
      <c r="E139" s="20" t="s">
        <v>374</v>
      </c>
      <c r="F139" s="20" t="s">
        <v>375</v>
      </c>
      <c r="G139" s="8" t="str">
        <f t="shared" si="4"/>
        <v>GUZMAN DANNY</v>
      </c>
      <c r="H139" s="20" t="str">
        <f t="shared" si="5"/>
        <v>4025</v>
      </c>
    </row>
    <row r="140" spans="1:8" x14ac:dyDescent="0.25">
      <c r="A140" s="8">
        <v>43057.673101851855</v>
      </c>
      <c r="B140" s="20" t="s">
        <v>686</v>
      </c>
      <c r="C140" s="20" t="s">
        <v>842</v>
      </c>
      <c r="D140" s="195">
        <v>2420000</v>
      </c>
      <c r="E140" s="20" t="s">
        <v>539</v>
      </c>
      <c r="F140" s="20" t="s">
        <v>540</v>
      </c>
      <c r="G140" s="8" t="str">
        <f t="shared" si="4"/>
        <v>HOLCOMB KAMDEN</v>
      </c>
      <c r="H140" s="20" t="str">
        <f t="shared" si="5"/>
        <v>4006</v>
      </c>
    </row>
    <row r="141" spans="1:8" x14ac:dyDescent="0.25">
      <c r="A141" s="8">
        <v>43057.680937500001</v>
      </c>
      <c r="B141" s="20" t="s">
        <v>361</v>
      </c>
      <c r="C141" s="20" t="s">
        <v>843</v>
      </c>
      <c r="D141" s="195">
        <v>2550000</v>
      </c>
      <c r="E141" s="20" t="s">
        <v>581</v>
      </c>
      <c r="F141" s="20" t="s">
        <v>582</v>
      </c>
      <c r="G141" s="8" t="str">
        <f t="shared" si="4"/>
        <v>BADERTSCHER DIANE</v>
      </c>
      <c r="H141" s="20" t="str">
        <f t="shared" si="5"/>
        <v>4007</v>
      </c>
    </row>
    <row r="142" spans="1:8" x14ac:dyDescent="0.25">
      <c r="A142" s="8">
        <v>43057.682812500003</v>
      </c>
      <c r="B142" s="20" t="s">
        <v>361</v>
      </c>
      <c r="C142" s="20" t="s">
        <v>843</v>
      </c>
      <c r="D142" s="195">
        <v>2550000</v>
      </c>
      <c r="E142" s="20" t="s">
        <v>581</v>
      </c>
      <c r="F142" s="20" t="s">
        <v>582</v>
      </c>
      <c r="G142" s="8" t="str">
        <f t="shared" si="4"/>
        <v>BADERTSCHER DIANE</v>
      </c>
      <c r="H142" s="20" t="str">
        <f t="shared" si="5"/>
        <v>4007</v>
      </c>
    </row>
    <row r="143" spans="1:8" x14ac:dyDescent="0.25">
      <c r="A143" s="8">
        <v>43057.684108796297</v>
      </c>
      <c r="B143" s="20" t="s">
        <v>576</v>
      </c>
      <c r="C143" s="20" t="s">
        <v>844</v>
      </c>
      <c r="D143" s="195">
        <v>3030000</v>
      </c>
      <c r="E143" s="20" t="s">
        <v>845</v>
      </c>
      <c r="F143" s="20" t="s">
        <v>734</v>
      </c>
      <c r="G143" s="8" t="str">
        <f t="shared" si="4"/>
        <v>BIRENBAUM THOMAS</v>
      </c>
      <c r="H143" s="20" t="str">
        <f t="shared" si="5"/>
        <v>4002</v>
      </c>
    </row>
    <row r="144" spans="1:8" x14ac:dyDescent="0.25">
      <c r="A144" s="8">
        <v>43057.68582175926</v>
      </c>
      <c r="B144" s="20" t="s">
        <v>360</v>
      </c>
      <c r="C144" s="20" t="s">
        <v>846</v>
      </c>
      <c r="D144" s="195">
        <v>920000</v>
      </c>
      <c r="E144" s="20" t="s">
        <v>794</v>
      </c>
      <c r="F144" s="20" t="s">
        <v>352</v>
      </c>
      <c r="G144" s="8" t="str">
        <f t="shared" si="4"/>
        <v>DAVIS MICHAEL</v>
      </c>
      <c r="H144" s="20" t="str">
        <f t="shared" si="5"/>
        <v>4018</v>
      </c>
    </row>
    <row r="145" spans="1:8" x14ac:dyDescent="0.25">
      <c r="A145" s="8">
        <v>43057.688611111109</v>
      </c>
      <c r="B145" s="20" t="s">
        <v>683</v>
      </c>
      <c r="C145" s="20" t="s">
        <v>684</v>
      </c>
      <c r="D145" s="195">
        <v>2230000</v>
      </c>
      <c r="E145" s="20" t="s">
        <v>393</v>
      </c>
      <c r="F145" s="20" t="s">
        <v>352</v>
      </c>
      <c r="G145" s="8" t="str">
        <f t="shared" si="4"/>
        <v>SMITH MICHAEL</v>
      </c>
      <c r="H145" s="20" t="str">
        <f t="shared" si="5"/>
        <v>4053</v>
      </c>
    </row>
    <row r="146" spans="1:8" x14ac:dyDescent="0.25">
      <c r="A146" s="8">
        <v>43057.689212962963</v>
      </c>
      <c r="B146" s="20" t="s">
        <v>731</v>
      </c>
      <c r="C146" s="20" t="s">
        <v>847</v>
      </c>
      <c r="D146" s="195">
        <v>2350000</v>
      </c>
      <c r="E146" s="20" t="s">
        <v>537</v>
      </c>
      <c r="F146" s="20" t="s">
        <v>538</v>
      </c>
      <c r="G146" s="8" t="str">
        <f t="shared" si="4"/>
        <v>BERLING GARY</v>
      </c>
      <c r="H146" s="20" t="str">
        <f t="shared" si="5"/>
        <v>4021</v>
      </c>
    </row>
    <row r="147" spans="1:8" x14ac:dyDescent="0.25">
      <c r="A147" s="8">
        <v>43057.6955787037</v>
      </c>
      <c r="B147" s="20" t="s">
        <v>461</v>
      </c>
      <c r="C147" s="20" t="s">
        <v>848</v>
      </c>
      <c r="D147" s="195">
        <v>2630000</v>
      </c>
      <c r="E147" s="20" t="s">
        <v>372</v>
      </c>
      <c r="F147" s="20" t="s">
        <v>373</v>
      </c>
      <c r="G147" s="8" t="str">
        <f t="shared" si="4"/>
        <v>SAFIEF AEIMEN</v>
      </c>
      <c r="H147" s="20" t="str">
        <f t="shared" si="5"/>
        <v>4024</v>
      </c>
    </row>
    <row r="148" spans="1:8" x14ac:dyDescent="0.25">
      <c r="A148" s="8">
        <v>43057.704293981478</v>
      </c>
      <c r="B148" s="20" t="s">
        <v>533</v>
      </c>
      <c r="C148" s="20" t="s">
        <v>849</v>
      </c>
      <c r="D148" s="195">
        <v>2970000</v>
      </c>
      <c r="E148" s="20" t="s">
        <v>374</v>
      </c>
      <c r="F148" s="20" t="s">
        <v>375</v>
      </c>
      <c r="G148" s="8" t="str">
        <f t="shared" si="4"/>
        <v>GUZMAN DANNY</v>
      </c>
      <c r="H148" s="20" t="str">
        <f t="shared" si="5"/>
        <v>4026</v>
      </c>
    </row>
    <row r="149" spans="1:8" x14ac:dyDescent="0.25">
      <c r="A149" s="8">
        <v>43057.704502314817</v>
      </c>
      <c r="B149" s="20" t="s">
        <v>516</v>
      </c>
      <c r="C149" s="20" t="s">
        <v>850</v>
      </c>
      <c r="D149" s="195">
        <v>2040000</v>
      </c>
      <c r="E149" s="20" t="s">
        <v>396</v>
      </c>
      <c r="F149" s="20" t="s">
        <v>397</v>
      </c>
      <c r="G149" s="8" t="str">
        <f t="shared" si="4"/>
        <v>MOSES BRADLEY</v>
      </c>
      <c r="H149" s="20" t="str">
        <f t="shared" si="5"/>
        <v>4003</v>
      </c>
    </row>
    <row r="150" spans="1:8" x14ac:dyDescent="0.25">
      <c r="A150" s="8">
        <v>43057.710821759261</v>
      </c>
      <c r="B150" s="20" t="s">
        <v>690</v>
      </c>
      <c r="C150" s="20" t="s">
        <v>851</v>
      </c>
      <c r="D150" s="195">
        <v>2230000</v>
      </c>
      <c r="E150" s="20" t="s">
        <v>393</v>
      </c>
      <c r="F150" s="20" t="s">
        <v>352</v>
      </c>
      <c r="G150" s="8" t="str">
        <f t="shared" si="4"/>
        <v>SMITH MICHAEL</v>
      </c>
      <c r="H150" s="20" t="str">
        <f t="shared" si="5"/>
        <v>4054</v>
      </c>
    </row>
    <row r="151" spans="1:8" x14ac:dyDescent="0.25">
      <c r="A151" s="8">
        <v>43057.714837962965</v>
      </c>
      <c r="B151" s="20" t="s">
        <v>671</v>
      </c>
      <c r="C151" s="20" t="s">
        <v>852</v>
      </c>
      <c r="D151" s="195">
        <v>2420000</v>
      </c>
      <c r="E151" s="20" t="s">
        <v>539</v>
      </c>
      <c r="F151" s="20" t="s">
        <v>540</v>
      </c>
      <c r="G151" s="8" t="str">
        <f t="shared" si="4"/>
        <v>HOLCOMB KAMDEN</v>
      </c>
      <c r="H151" s="20" t="str">
        <f t="shared" si="5"/>
        <v>4005</v>
      </c>
    </row>
    <row r="152" spans="1:8" x14ac:dyDescent="0.25">
      <c r="A152" s="8">
        <v>43057.71502314815</v>
      </c>
      <c r="B152" s="20" t="s">
        <v>356</v>
      </c>
      <c r="C152" s="20" t="s">
        <v>853</v>
      </c>
      <c r="D152" s="195">
        <v>2550000</v>
      </c>
      <c r="E152" s="20" t="s">
        <v>581</v>
      </c>
      <c r="F152" s="20" t="s">
        <v>582</v>
      </c>
      <c r="G152" s="8" t="str">
        <f t="shared" si="4"/>
        <v>BADERTSCHER DIANE</v>
      </c>
      <c r="H152" s="20" t="str">
        <f t="shared" si="5"/>
        <v>4008</v>
      </c>
    </row>
    <row r="153" spans="1:8" x14ac:dyDescent="0.25">
      <c r="A153" s="8">
        <v>43057.722418981481</v>
      </c>
      <c r="B153" s="20" t="s">
        <v>536</v>
      </c>
      <c r="C153" s="20" t="s">
        <v>854</v>
      </c>
      <c r="D153" s="195">
        <v>2370000</v>
      </c>
      <c r="E153" s="20" t="s">
        <v>855</v>
      </c>
      <c r="F153" s="20" t="s">
        <v>856</v>
      </c>
      <c r="G153" s="8" t="str">
        <f t="shared" si="4"/>
        <v>DELGADO DIANAH</v>
      </c>
      <c r="H153" s="20" t="str">
        <f t="shared" si="5"/>
        <v>4016</v>
      </c>
    </row>
    <row r="154" spans="1:8" x14ac:dyDescent="0.25">
      <c r="A154" s="8">
        <v>43057.723807870374</v>
      </c>
      <c r="B154" s="20" t="s">
        <v>362</v>
      </c>
      <c r="C154" s="20" t="s">
        <v>857</v>
      </c>
      <c r="D154" s="195">
        <v>920000</v>
      </c>
      <c r="E154" s="20" t="s">
        <v>794</v>
      </c>
      <c r="F154" s="20" t="s">
        <v>352</v>
      </c>
      <c r="G154" s="8" t="str">
        <f t="shared" si="4"/>
        <v>DAVIS MICHAEL</v>
      </c>
      <c r="H154" s="20" t="str">
        <f t="shared" si="5"/>
        <v>4017</v>
      </c>
    </row>
    <row r="155" spans="1:8" x14ac:dyDescent="0.25">
      <c r="A155" s="8">
        <v>43057.724664351852</v>
      </c>
      <c r="B155" s="20" t="s">
        <v>384</v>
      </c>
      <c r="C155" s="20" t="s">
        <v>858</v>
      </c>
      <c r="D155" s="195">
        <v>2350000</v>
      </c>
      <c r="E155" s="20" t="s">
        <v>537</v>
      </c>
      <c r="F155" s="20" t="s">
        <v>538</v>
      </c>
      <c r="G155" s="8" t="str">
        <f t="shared" si="4"/>
        <v>BERLING GARY</v>
      </c>
      <c r="H155" s="20" t="str">
        <f t="shared" si="5"/>
        <v>4022</v>
      </c>
    </row>
    <row r="156" spans="1:8" x14ac:dyDescent="0.25">
      <c r="A156" s="8">
        <v>43057.725057870368</v>
      </c>
      <c r="B156" s="20" t="s">
        <v>462</v>
      </c>
      <c r="C156" s="20" t="s">
        <v>859</v>
      </c>
      <c r="D156" s="195">
        <v>2630000</v>
      </c>
      <c r="E156" s="20" t="s">
        <v>372</v>
      </c>
      <c r="F156" s="20" t="s">
        <v>373</v>
      </c>
      <c r="G156" s="8" t="str">
        <f t="shared" si="4"/>
        <v>SAFIEF AEIMEN</v>
      </c>
      <c r="H156" s="20" t="str">
        <f t="shared" si="5"/>
        <v>4023</v>
      </c>
    </row>
    <row r="157" spans="1:8" x14ac:dyDescent="0.25">
      <c r="A157" s="8">
        <v>43057.726145833331</v>
      </c>
      <c r="B157" s="20" t="s">
        <v>683</v>
      </c>
      <c r="C157" s="20" t="s">
        <v>860</v>
      </c>
      <c r="D157" s="195">
        <v>2230000</v>
      </c>
      <c r="E157" s="20" t="s">
        <v>393</v>
      </c>
      <c r="F157" s="20" t="s">
        <v>352</v>
      </c>
      <c r="G157" s="8" t="str">
        <f t="shared" si="4"/>
        <v>SMITH MICHAEL</v>
      </c>
      <c r="H157" s="20" t="str">
        <f t="shared" si="5"/>
        <v>4053</v>
      </c>
    </row>
    <row r="158" spans="1:8" x14ac:dyDescent="0.25">
      <c r="A158" s="8">
        <v>43057.734594907408</v>
      </c>
      <c r="B158" s="20" t="s">
        <v>575</v>
      </c>
      <c r="C158" s="20" t="s">
        <v>861</v>
      </c>
      <c r="D158" s="195">
        <v>3000000</v>
      </c>
      <c r="E158" s="20" t="s">
        <v>518</v>
      </c>
      <c r="F158" s="20" t="s">
        <v>519</v>
      </c>
      <c r="G158" s="8" t="str">
        <f t="shared" si="4"/>
        <v>FORTUNATO FRANK</v>
      </c>
      <c r="H158" s="20" t="str">
        <f t="shared" si="5"/>
        <v>4004</v>
      </c>
    </row>
    <row r="159" spans="1:8" x14ac:dyDescent="0.25">
      <c r="A159" s="8">
        <v>43057.735462962963</v>
      </c>
      <c r="B159" s="20" t="s">
        <v>532</v>
      </c>
      <c r="C159" s="20" t="s">
        <v>685</v>
      </c>
      <c r="D159" s="195">
        <v>2970000</v>
      </c>
      <c r="E159" s="20" t="s">
        <v>374</v>
      </c>
      <c r="F159" s="20" t="s">
        <v>375</v>
      </c>
      <c r="G159" s="8" t="str">
        <f t="shared" si="4"/>
        <v>GUZMAN DANNY</v>
      </c>
      <c r="H159" s="20" t="str">
        <f t="shared" si="5"/>
        <v>4025</v>
      </c>
    </row>
    <row r="160" spans="1:8" x14ac:dyDescent="0.25">
      <c r="A160" s="8">
        <v>43057.736145833333</v>
      </c>
      <c r="B160" s="20" t="s">
        <v>371</v>
      </c>
      <c r="C160" s="20" t="s">
        <v>862</v>
      </c>
      <c r="D160" s="195">
        <v>3500000</v>
      </c>
      <c r="E160" s="20" t="s">
        <v>376</v>
      </c>
      <c r="F160" s="20" t="s">
        <v>377</v>
      </c>
      <c r="G160" s="8" t="str">
        <f t="shared" si="4"/>
        <v>GUNTHIER ERIC</v>
      </c>
      <c r="H160" s="20" t="str">
        <f t="shared" si="5"/>
        <v>4011</v>
      </c>
    </row>
    <row r="161" spans="1:8" x14ac:dyDescent="0.25">
      <c r="A161" s="8">
        <v>43057.745798611111</v>
      </c>
      <c r="B161" s="20" t="s">
        <v>686</v>
      </c>
      <c r="C161" s="20" t="s">
        <v>687</v>
      </c>
      <c r="D161" s="195">
        <v>2420000</v>
      </c>
      <c r="E161" s="20" t="s">
        <v>539</v>
      </c>
      <c r="F161" s="20" t="s">
        <v>540</v>
      </c>
      <c r="G161" s="8" t="str">
        <f t="shared" si="4"/>
        <v>HOLCOMB KAMDEN</v>
      </c>
      <c r="H161" s="20" t="str">
        <f t="shared" si="5"/>
        <v>4006</v>
      </c>
    </row>
    <row r="162" spans="1:8" x14ac:dyDescent="0.25">
      <c r="A162" s="8">
        <v>43057.75209490741</v>
      </c>
      <c r="B162" s="20" t="s">
        <v>690</v>
      </c>
      <c r="C162" s="20" t="s">
        <v>863</v>
      </c>
      <c r="D162" s="195">
        <v>2230000</v>
      </c>
      <c r="E162" s="20" t="s">
        <v>393</v>
      </c>
      <c r="F162" s="20" t="s">
        <v>352</v>
      </c>
      <c r="G162" s="8" t="str">
        <f t="shared" si="4"/>
        <v>SMITH MICHAEL</v>
      </c>
      <c r="H162" s="20" t="str">
        <f t="shared" si="5"/>
        <v>4054</v>
      </c>
    </row>
    <row r="163" spans="1:8" x14ac:dyDescent="0.25">
      <c r="A163" s="8">
        <v>43057.754930555559</v>
      </c>
      <c r="B163" s="20" t="s">
        <v>361</v>
      </c>
      <c r="C163" s="20" t="s">
        <v>864</v>
      </c>
      <c r="D163" s="195">
        <v>2550000</v>
      </c>
      <c r="E163" s="20" t="s">
        <v>581</v>
      </c>
      <c r="F163" s="20" t="s">
        <v>582</v>
      </c>
      <c r="G163" s="8" t="str">
        <f t="shared" si="4"/>
        <v>BADERTSCHER DIANE</v>
      </c>
      <c r="H163" s="20" t="str">
        <f t="shared" si="5"/>
        <v>4007</v>
      </c>
    </row>
    <row r="164" spans="1:8" x14ac:dyDescent="0.25">
      <c r="A164" s="8">
        <v>43057.757905092592</v>
      </c>
      <c r="B164" s="20" t="s">
        <v>360</v>
      </c>
      <c r="C164" s="20" t="s">
        <v>865</v>
      </c>
      <c r="D164" s="195">
        <v>3340000</v>
      </c>
      <c r="E164" s="20" t="s">
        <v>587</v>
      </c>
      <c r="F164" s="20" t="s">
        <v>588</v>
      </c>
      <c r="G164" s="8" t="str">
        <f t="shared" si="4"/>
        <v>ELBAUM MIKE</v>
      </c>
      <c r="H164" s="20" t="str">
        <f t="shared" si="5"/>
        <v>4018</v>
      </c>
    </row>
    <row r="165" spans="1:8" x14ac:dyDescent="0.25">
      <c r="A165" s="8">
        <v>43057.766296296293</v>
      </c>
      <c r="B165" s="20" t="s">
        <v>731</v>
      </c>
      <c r="C165" s="20" t="s">
        <v>866</v>
      </c>
      <c r="D165" s="195">
        <v>2350000</v>
      </c>
      <c r="E165" s="20" t="s">
        <v>537</v>
      </c>
      <c r="F165" s="20" t="s">
        <v>538</v>
      </c>
      <c r="G165" s="8" t="str">
        <f t="shared" si="4"/>
        <v>BERLING GARY</v>
      </c>
      <c r="H165" s="20" t="str">
        <f t="shared" si="5"/>
        <v>4021</v>
      </c>
    </row>
    <row r="166" spans="1:8" x14ac:dyDescent="0.25">
      <c r="A166" s="8">
        <v>43057.766689814816</v>
      </c>
      <c r="B166" s="20" t="s">
        <v>461</v>
      </c>
      <c r="C166" s="20" t="s">
        <v>867</v>
      </c>
      <c r="D166" s="195">
        <v>3130000</v>
      </c>
      <c r="E166" s="20" t="s">
        <v>585</v>
      </c>
      <c r="F166" s="20" t="s">
        <v>586</v>
      </c>
      <c r="G166" s="8" t="str">
        <f t="shared" si="4"/>
        <v>ZEWDU DEREJE</v>
      </c>
      <c r="H166" s="20" t="str">
        <f t="shared" si="5"/>
        <v>4024</v>
      </c>
    </row>
    <row r="167" spans="1:8" x14ac:dyDescent="0.25">
      <c r="A167" s="8">
        <v>43057.768078703702</v>
      </c>
      <c r="B167" s="20" t="s">
        <v>683</v>
      </c>
      <c r="C167" s="20" t="s">
        <v>868</v>
      </c>
      <c r="D167" s="195">
        <v>2230000</v>
      </c>
      <c r="E167" s="20" t="s">
        <v>393</v>
      </c>
      <c r="F167" s="20" t="s">
        <v>352</v>
      </c>
      <c r="G167" s="8" t="str">
        <f t="shared" si="4"/>
        <v>SMITH MICHAEL</v>
      </c>
      <c r="H167" s="20" t="str">
        <f t="shared" si="5"/>
        <v>4053</v>
      </c>
    </row>
    <row r="168" spans="1:8" x14ac:dyDescent="0.25">
      <c r="A168" s="8">
        <v>43057.768946759257</v>
      </c>
      <c r="B168" s="20" t="s">
        <v>516</v>
      </c>
      <c r="C168" s="20" t="s">
        <v>689</v>
      </c>
      <c r="D168" s="195">
        <v>3000000</v>
      </c>
      <c r="E168" s="20" t="s">
        <v>518</v>
      </c>
      <c r="F168" s="20" t="s">
        <v>519</v>
      </c>
      <c r="G168" s="8" t="str">
        <f t="shared" si="4"/>
        <v>FORTUNATO FRANK</v>
      </c>
      <c r="H168" s="20" t="str">
        <f t="shared" si="5"/>
        <v>4003</v>
      </c>
    </row>
    <row r="169" spans="1:8" x14ac:dyDescent="0.25">
      <c r="A169" s="8">
        <v>43057.777569444443</v>
      </c>
      <c r="B169" s="20" t="s">
        <v>533</v>
      </c>
      <c r="C169" s="20" t="s">
        <v>688</v>
      </c>
      <c r="D169" s="195">
        <v>2970000</v>
      </c>
      <c r="E169" s="20" t="s">
        <v>374</v>
      </c>
      <c r="F169" s="20" t="s">
        <v>375</v>
      </c>
      <c r="G169" s="8" t="str">
        <f t="shared" si="4"/>
        <v>GUZMAN DANNY</v>
      </c>
      <c r="H169" s="20" t="str">
        <f t="shared" si="5"/>
        <v>4026</v>
      </c>
    </row>
    <row r="170" spans="1:8" x14ac:dyDescent="0.25">
      <c r="A170" s="8">
        <v>43057.786111111112</v>
      </c>
      <c r="B170" s="20" t="s">
        <v>671</v>
      </c>
      <c r="C170" s="20" t="s">
        <v>692</v>
      </c>
      <c r="D170" s="195">
        <v>2420000</v>
      </c>
      <c r="E170" s="20" t="s">
        <v>539</v>
      </c>
      <c r="F170" s="20" t="s">
        <v>540</v>
      </c>
      <c r="G170" s="8" t="str">
        <f t="shared" si="4"/>
        <v>HOLCOMB KAMDEN</v>
      </c>
      <c r="H170" s="20" t="str">
        <f t="shared" si="5"/>
        <v>4005</v>
      </c>
    </row>
    <row r="171" spans="1:8" x14ac:dyDescent="0.25">
      <c r="A171" s="8">
        <v>43057.78701388889</v>
      </c>
      <c r="B171" s="20" t="s">
        <v>362</v>
      </c>
      <c r="C171" s="20" t="s">
        <v>869</v>
      </c>
      <c r="D171" s="195">
        <v>3340000</v>
      </c>
      <c r="E171" s="20" t="s">
        <v>587</v>
      </c>
      <c r="F171" s="20" t="s">
        <v>588</v>
      </c>
      <c r="G171" s="8" t="str">
        <f t="shared" si="4"/>
        <v>ELBAUM MIKE</v>
      </c>
      <c r="H171" s="20" t="str">
        <f t="shared" si="5"/>
        <v>4017</v>
      </c>
    </row>
    <row r="172" spans="1:8" x14ac:dyDescent="0.25">
      <c r="A172" s="8">
        <v>43057.788449074076</v>
      </c>
      <c r="B172" s="20" t="s">
        <v>356</v>
      </c>
      <c r="C172" s="20" t="s">
        <v>870</v>
      </c>
      <c r="D172" s="195">
        <v>3310000</v>
      </c>
      <c r="E172" s="20" t="s">
        <v>521</v>
      </c>
      <c r="F172" s="20" t="s">
        <v>522</v>
      </c>
      <c r="G172" s="8" t="str">
        <f t="shared" si="4"/>
        <v>ANDERS STEVEN</v>
      </c>
      <c r="H172" s="20" t="str">
        <f t="shared" si="5"/>
        <v>4008</v>
      </c>
    </row>
    <row r="173" spans="1:8" x14ac:dyDescent="0.25">
      <c r="A173" s="8">
        <v>43057.791238425925</v>
      </c>
      <c r="B173" s="20" t="s">
        <v>690</v>
      </c>
      <c r="C173" s="20" t="s">
        <v>691</v>
      </c>
      <c r="D173" s="195">
        <v>2230000</v>
      </c>
      <c r="E173" s="20" t="s">
        <v>393</v>
      </c>
      <c r="F173" s="20" t="s">
        <v>352</v>
      </c>
      <c r="G173" s="8" t="str">
        <f t="shared" si="4"/>
        <v>SMITH MICHAEL</v>
      </c>
      <c r="H173" s="20" t="str">
        <f t="shared" si="5"/>
        <v>4054</v>
      </c>
    </row>
    <row r="174" spans="1:8" x14ac:dyDescent="0.25">
      <c r="A174" s="8">
        <v>43057.798379629632</v>
      </c>
      <c r="B174" s="20" t="s">
        <v>384</v>
      </c>
      <c r="C174" s="20" t="s">
        <v>871</v>
      </c>
      <c r="D174" s="195">
        <v>2350000</v>
      </c>
      <c r="E174" s="20" t="s">
        <v>537</v>
      </c>
      <c r="F174" s="20" t="s">
        <v>538</v>
      </c>
      <c r="G174" s="8" t="str">
        <f t="shared" si="4"/>
        <v>BERLING GARY</v>
      </c>
      <c r="H174" s="20" t="str">
        <f t="shared" si="5"/>
        <v>4022</v>
      </c>
    </row>
    <row r="175" spans="1:8" x14ac:dyDescent="0.25">
      <c r="A175" s="8">
        <v>43057.806643518517</v>
      </c>
      <c r="B175" s="20" t="s">
        <v>462</v>
      </c>
      <c r="C175" s="20" t="s">
        <v>872</v>
      </c>
      <c r="D175" s="195">
        <v>3130000</v>
      </c>
      <c r="E175" s="20" t="s">
        <v>585</v>
      </c>
      <c r="F175" s="20" t="s">
        <v>586</v>
      </c>
      <c r="G175" s="8" t="str">
        <f t="shared" si="4"/>
        <v>ZEWDU DEREJE</v>
      </c>
      <c r="H175" s="20" t="str">
        <f t="shared" si="5"/>
        <v>4023</v>
      </c>
    </row>
    <row r="176" spans="1:8" x14ac:dyDescent="0.25">
      <c r="A176" s="8">
        <v>43057.809317129628</v>
      </c>
      <c r="B176" s="20" t="s">
        <v>575</v>
      </c>
      <c r="C176" s="20" t="s">
        <v>873</v>
      </c>
      <c r="D176" s="195">
        <v>3000000</v>
      </c>
      <c r="E176" s="20" t="s">
        <v>518</v>
      </c>
      <c r="F176" s="20" t="s">
        <v>519</v>
      </c>
      <c r="G176" s="8" t="str">
        <f t="shared" si="4"/>
        <v>FORTUNATO FRANK</v>
      </c>
      <c r="H176" s="20" t="str">
        <f t="shared" si="5"/>
        <v>4004</v>
      </c>
    </row>
    <row r="177" spans="1:8" x14ac:dyDescent="0.25">
      <c r="A177" s="8">
        <v>43057.811030092591</v>
      </c>
      <c r="B177" s="20" t="s">
        <v>683</v>
      </c>
      <c r="C177" s="20" t="s">
        <v>874</v>
      </c>
      <c r="D177" s="195">
        <v>2230000</v>
      </c>
      <c r="E177" s="20" t="s">
        <v>393</v>
      </c>
      <c r="F177" s="20" t="s">
        <v>352</v>
      </c>
      <c r="G177" s="8" t="str">
        <f t="shared" si="4"/>
        <v>SMITH MICHAEL</v>
      </c>
      <c r="H177" s="20" t="str">
        <f t="shared" si="5"/>
        <v>4053</v>
      </c>
    </row>
    <row r="178" spans="1:8" x14ac:dyDescent="0.25">
      <c r="A178" s="8">
        <v>43057.818912037037</v>
      </c>
      <c r="B178" s="20" t="s">
        <v>686</v>
      </c>
      <c r="C178" s="20" t="s">
        <v>875</v>
      </c>
      <c r="D178" s="195">
        <v>2420000</v>
      </c>
      <c r="E178" s="20" t="s">
        <v>539</v>
      </c>
      <c r="F178" s="20" t="s">
        <v>540</v>
      </c>
      <c r="G178" s="8" t="str">
        <f t="shared" si="4"/>
        <v>HOLCOMB KAMDEN</v>
      </c>
      <c r="H178" s="20" t="str">
        <f t="shared" si="5"/>
        <v>4006</v>
      </c>
    </row>
    <row r="179" spans="1:8" x14ac:dyDescent="0.25">
      <c r="A179" s="8">
        <v>43057.820127314815</v>
      </c>
      <c r="B179" s="20" t="s">
        <v>361</v>
      </c>
      <c r="C179" s="20" t="s">
        <v>693</v>
      </c>
      <c r="D179" s="195">
        <v>3310000</v>
      </c>
      <c r="E179" s="20" t="s">
        <v>521</v>
      </c>
      <c r="F179" s="20" t="s">
        <v>522</v>
      </c>
      <c r="G179" s="8" t="str">
        <f t="shared" si="4"/>
        <v>ANDERS STEVEN</v>
      </c>
      <c r="H179" s="20" t="str">
        <f t="shared" si="5"/>
        <v>4007</v>
      </c>
    </row>
    <row r="180" spans="1:8" x14ac:dyDescent="0.25">
      <c r="A180" s="8">
        <v>43057.826412037037</v>
      </c>
      <c r="B180" s="20" t="s">
        <v>360</v>
      </c>
      <c r="C180" s="20" t="s">
        <v>876</v>
      </c>
      <c r="D180" s="195">
        <v>3340000</v>
      </c>
      <c r="E180" s="20" t="s">
        <v>587</v>
      </c>
      <c r="F180" s="20" t="s">
        <v>588</v>
      </c>
      <c r="G180" s="8" t="str">
        <f t="shared" si="4"/>
        <v>ELBAUM MIKE</v>
      </c>
      <c r="H180" s="20" t="str">
        <f t="shared" si="5"/>
        <v>4018</v>
      </c>
    </row>
    <row r="181" spans="1:8" x14ac:dyDescent="0.25">
      <c r="A181" s="8">
        <v>43057.834490740737</v>
      </c>
      <c r="B181" s="20" t="s">
        <v>690</v>
      </c>
      <c r="C181" s="20" t="s">
        <v>877</v>
      </c>
      <c r="D181" s="195">
        <v>2230000</v>
      </c>
      <c r="E181" s="20" t="s">
        <v>393</v>
      </c>
      <c r="F181" s="20" t="s">
        <v>352</v>
      </c>
      <c r="G181" s="8" t="str">
        <f t="shared" si="4"/>
        <v>SMITH MICHAEL</v>
      </c>
      <c r="H181" s="20" t="str">
        <f t="shared" si="5"/>
        <v>4054</v>
      </c>
    </row>
    <row r="182" spans="1:8" x14ac:dyDescent="0.25">
      <c r="A182" s="8">
        <v>43057.839409722219</v>
      </c>
      <c r="B182" s="20" t="s">
        <v>516</v>
      </c>
      <c r="C182" s="20" t="s">
        <v>878</v>
      </c>
      <c r="D182" s="195">
        <v>3000000</v>
      </c>
      <c r="E182" s="20" t="s">
        <v>518</v>
      </c>
      <c r="F182" s="20" t="s">
        <v>519</v>
      </c>
      <c r="G182" s="8" t="str">
        <f t="shared" si="4"/>
        <v>FORTUNATO FRANK</v>
      </c>
      <c r="H182" s="20" t="str">
        <f t="shared" si="5"/>
        <v>4003</v>
      </c>
    </row>
    <row r="183" spans="1:8" x14ac:dyDescent="0.25">
      <c r="A183" s="8">
        <v>43057.840567129628</v>
      </c>
      <c r="B183" s="20" t="s">
        <v>461</v>
      </c>
      <c r="C183" s="20" t="s">
        <v>879</v>
      </c>
      <c r="D183" s="195">
        <v>3320000</v>
      </c>
      <c r="E183" s="20" t="s">
        <v>363</v>
      </c>
      <c r="F183" s="20" t="s">
        <v>364</v>
      </c>
      <c r="G183" s="8" t="str">
        <f t="shared" si="4"/>
        <v>NICHOLSON WESLEY</v>
      </c>
      <c r="H183" s="20" t="str">
        <f t="shared" si="5"/>
        <v>4024</v>
      </c>
    </row>
    <row r="184" spans="1:8" x14ac:dyDescent="0.25">
      <c r="A184" s="8">
        <v>43057.85119212963</v>
      </c>
      <c r="B184" s="20" t="s">
        <v>683</v>
      </c>
      <c r="C184" s="20" t="s">
        <v>880</v>
      </c>
      <c r="D184" s="195">
        <v>2230000</v>
      </c>
      <c r="E184" s="20" t="s">
        <v>393</v>
      </c>
      <c r="F184" s="20" t="s">
        <v>352</v>
      </c>
      <c r="G184" s="8" t="str">
        <f t="shared" si="4"/>
        <v>SMITH MICHAEL</v>
      </c>
      <c r="H184" s="20" t="str">
        <f t="shared" si="5"/>
        <v>4053</v>
      </c>
    </row>
    <row r="185" spans="1:8" x14ac:dyDescent="0.25">
      <c r="A185" s="8">
        <v>43057.859918981485</v>
      </c>
      <c r="B185" s="20" t="s">
        <v>362</v>
      </c>
      <c r="C185" s="20" t="s">
        <v>694</v>
      </c>
      <c r="D185" s="195">
        <v>3340000</v>
      </c>
      <c r="E185" s="20" t="s">
        <v>587</v>
      </c>
      <c r="F185" s="20" t="s">
        <v>588</v>
      </c>
      <c r="G185" s="8" t="str">
        <f t="shared" si="4"/>
        <v>ELBAUM MIKE</v>
      </c>
      <c r="H185" s="20" t="str">
        <f t="shared" si="5"/>
        <v>4017</v>
      </c>
    </row>
    <row r="186" spans="1:8" x14ac:dyDescent="0.25">
      <c r="A186" s="8">
        <v>43057.870682870373</v>
      </c>
      <c r="B186" s="20" t="s">
        <v>356</v>
      </c>
      <c r="C186" s="20" t="s">
        <v>881</v>
      </c>
      <c r="D186" s="195">
        <v>3130000</v>
      </c>
      <c r="E186" s="20" t="s">
        <v>585</v>
      </c>
      <c r="F186" s="20" t="s">
        <v>586</v>
      </c>
      <c r="G186" s="8" t="str">
        <f t="shared" si="4"/>
        <v>ZEWDU DEREJE</v>
      </c>
      <c r="H186" s="20" t="str">
        <f t="shared" si="5"/>
        <v>4008</v>
      </c>
    </row>
    <row r="187" spans="1:8" x14ac:dyDescent="0.25">
      <c r="A187" s="8">
        <v>43057.875011574077</v>
      </c>
      <c r="B187" s="20" t="s">
        <v>690</v>
      </c>
      <c r="C187" s="20" t="s">
        <v>882</v>
      </c>
      <c r="D187" s="195">
        <v>2230000</v>
      </c>
      <c r="E187" s="20" t="s">
        <v>393</v>
      </c>
      <c r="F187" s="20" t="s">
        <v>352</v>
      </c>
      <c r="G187" s="8" t="str">
        <f t="shared" si="4"/>
        <v>SMITH MICHAEL</v>
      </c>
      <c r="H187" s="20" t="str">
        <f t="shared" si="5"/>
        <v>4054</v>
      </c>
    </row>
    <row r="188" spans="1:8" x14ac:dyDescent="0.25">
      <c r="A188" s="8">
        <v>43057.880057870374</v>
      </c>
      <c r="B188" s="20" t="s">
        <v>575</v>
      </c>
      <c r="C188" s="20" t="s">
        <v>883</v>
      </c>
      <c r="D188" s="195">
        <v>3000000</v>
      </c>
      <c r="E188" s="20" t="s">
        <v>518</v>
      </c>
      <c r="F188" s="20" t="s">
        <v>519</v>
      </c>
      <c r="G188" s="8" t="str">
        <f t="shared" si="4"/>
        <v>FORTUNATO FRANK</v>
      </c>
      <c r="H188" s="20" t="str">
        <f t="shared" si="5"/>
        <v>4004</v>
      </c>
    </row>
    <row r="189" spans="1:8" x14ac:dyDescent="0.25">
      <c r="A189" s="8">
        <v>43057.885231481479</v>
      </c>
      <c r="B189" s="20" t="s">
        <v>462</v>
      </c>
      <c r="C189" s="20" t="s">
        <v>884</v>
      </c>
      <c r="D189" s="195">
        <v>3320000</v>
      </c>
      <c r="E189" s="20" t="s">
        <v>363</v>
      </c>
      <c r="F189" s="20" t="s">
        <v>364</v>
      </c>
      <c r="G189" s="8" t="str">
        <f t="shared" si="4"/>
        <v>NICHOLSON WESLEY</v>
      </c>
      <c r="H189" s="20" t="str">
        <f t="shared" si="5"/>
        <v>4023</v>
      </c>
    </row>
    <row r="190" spans="1:8" x14ac:dyDescent="0.25">
      <c r="A190" s="8">
        <v>43057.894155092596</v>
      </c>
      <c r="B190" s="20" t="s">
        <v>683</v>
      </c>
      <c r="C190" s="20" t="s">
        <v>885</v>
      </c>
      <c r="D190" s="195">
        <v>2230000</v>
      </c>
      <c r="E190" s="20" t="s">
        <v>393</v>
      </c>
      <c r="F190" s="20" t="s">
        <v>352</v>
      </c>
      <c r="G190" s="8" t="str">
        <f t="shared" si="4"/>
        <v>SMITH MICHAEL</v>
      </c>
      <c r="H190" s="20" t="str">
        <f t="shared" si="5"/>
        <v>4053</v>
      </c>
    </row>
    <row r="191" spans="1:8" x14ac:dyDescent="0.25">
      <c r="A191" s="8">
        <v>43057.901574074072</v>
      </c>
      <c r="B191" s="20" t="s">
        <v>360</v>
      </c>
      <c r="C191" s="20" t="s">
        <v>695</v>
      </c>
      <c r="D191" s="195">
        <v>3340000</v>
      </c>
      <c r="E191" s="20" t="s">
        <v>587</v>
      </c>
      <c r="F191" s="20" t="s">
        <v>588</v>
      </c>
      <c r="G191" s="8" t="str">
        <f t="shared" si="4"/>
        <v>ELBAUM MIKE</v>
      </c>
      <c r="H191" s="20" t="str">
        <f t="shared" si="5"/>
        <v>4018</v>
      </c>
    </row>
    <row r="192" spans="1:8" x14ac:dyDescent="0.25">
      <c r="A192" s="8">
        <v>43057.913090277776</v>
      </c>
      <c r="B192" s="20" t="s">
        <v>361</v>
      </c>
      <c r="C192" s="20" t="s">
        <v>886</v>
      </c>
      <c r="D192" s="195">
        <v>3130000</v>
      </c>
      <c r="E192" s="20" t="s">
        <v>585</v>
      </c>
      <c r="F192" s="20" t="s">
        <v>586</v>
      </c>
      <c r="G192" s="8" t="str">
        <f t="shared" si="4"/>
        <v>ZEWDU DEREJE</v>
      </c>
      <c r="H192" s="20" t="str">
        <f t="shared" si="5"/>
        <v>4007</v>
      </c>
    </row>
    <row r="193" spans="1:8" x14ac:dyDescent="0.25">
      <c r="A193" s="8">
        <v>43057.91715277778</v>
      </c>
      <c r="B193" s="20" t="s">
        <v>690</v>
      </c>
      <c r="C193" s="20" t="s">
        <v>887</v>
      </c>
      <c r="D193" s="195">
        <v>2230000</v>
      </c>
      <c r="E193" s="20" t="s">
        <v>393</v>
      </c>
      <c r="F193" s="20" t="s">
        <v>352</v>
      </c>
      <c r="G193" s="8" t="str">
        <f t="shared" si="4"/>
        <v>SMITH MICHAEL</v>
      </c>
      <c r="H193" s="20" t="str">
        <f t="shared" si="5"/>
        <v>4054</v>
      </c>
    </row>
    <row r="194" spans="1:8" x14ac:dyDescent="0.25">
      <c r="A194" s="8">
        <v>43057.922800925924</v>
      </c>
      <c r="B194" s="20" t="s">
        <v>516</v>
      </c>
      <c r="C194" s="20" t="s">
        <v>888</v>
      </c>
      <c r="D194" s="195">
        <v>3000000</v>
      </c>
      <c r="E194" s="20" t="s">
        <v>518</v>
      </c>
      <c r="F194" s="20" t="s">
        <v>519</v>
      </c>
      <c r="G194" s="8" t="str">
        <f t="shared" si="4"/>
        <v>FORTUNATO FRANK</v>
      </c>
      <c r="H194" s="20" t="str">
        <f t="shared" si="5"/>
        <v>4003</v>
      </c>
    </row>
    <row r="195" spans="1:8" x14ac:dyDescent="0.25">
      <c r="A195" s="8">
        <v>43057.933587962965</v>
      </c>
      <c r="B195" s="20" t="s">
        <v>461</v>
      </c>
      <c r="C195" s="20" t="s">
        <v>889</v>
      </c>
      <c r="D195" s="195">
        <v>3320000</v>
      </c>
      <c r="E195" s="20" t="s">
        <v>363</v>
      </c>
      <c r="F195" s="20" t="s">
        <v>364</v>
      </c>
      <c r="G195" s="8" t="str">
        <f t="shared" ref="G195:G258" si="6">E195&amp;" "&amp;F195</f>
        <v>NICHOLSON WESLEY</v>
      </c>
      <c r="H195" s="20" t="str">
        <f t="shared" ref="H195:H258" si="7">MID(B195,13,4)</f>
        <v>4024</v>
      </c>
    </row>
    <row r="196" spans="1:8" x14ac:dyDescent="0.25">
      <c r="A196" s="8">
        <v>43057.935810185183</v>
      </c>
      <c r="B196" s="20" t="s">
        <v>683</v>
      </c>
      <c r="C196" s="20" t="s">
        <v>696</v>
      </c>
      <c r="D196" s="195">
        <v>2230000</v>
      </c>
      <c r="E196" s="20" t="s">
        <v>393</v>
      </c>
      <c r="F196" s="20" t="s">
        <v>352</v>
      </c>
      <c r="G196" s="8" t="str">
        <f t="shared" si="6"/>
        <v>SMITH MICHAEL</v>
      </c>
      <c r="H196" s="20" t="str">
        <f t="shared" si="7"/>
        <v>4053</v>
      </c>
    </row>
    <row r="197" spans="1:8" x14ac:dyDescent="0.25">
      <c r="A197" s="8">
        <v>43057.946180555555</v>
      </c>
      <c r="B197" s="20" t="s">
        <v>362</v>
      </c>
      <c r="C197" s="20" t="s">
        <v>890</v>
      </c>
      <c r="D197" s="195">
        <v>3340000</v>
      </c>
      <c r="E197" s="20" t="s">
        <v>587</v>
      </c>
      <c r="F197" s="20" t="s">
        <v>588</v>
      </c>
      <c r="G197" s="8" t="str">
        <f t="shared" si="6"/>
        <v>ELBAUM MIKE</v>
      </c>
      <c r="H197" s="20" t="str">
        <f t="shared" si="7"/>
        <v>4017</v>
      </c>
    </row>
    <row r="198" spans="1:8" x14ac:dyDescent="0.25">
      <c r="A198" s="8">
        <v>43057.957141203704</v>
      </c>
      <c r="B198" s="20" t="s">
        <v>356</v>
      </c>
      <c r="C198" s="20" t="s">
        <v>697</v>
      </c>
      <c r="D198" s="195">
        <v>3310000</v>
      </c>
      <c r="E198" s="20" t="s">
        <v>521</v>
      </c>
      <c r="F198" s="20" t="s">
        <v>522</v>
      </c>
      <c r="G198" s="8" t="str">
        <f t="shared" si="6"/>
        <v>ANDERS STEVEN</v>
      </c>
      <c r="H198" s="20" t="str">
        <f t="shared" si="7"/>
        <v>4008</v>
      </c>
    </row>
    <row r="199" spans="1:8" x14ac:dyDescent="0.25">
      <c r="A199" s="8">
        <v>43057.95815972222</v>
      </c>
      <c r="B199" s="20" t="s">
        <v>690</v>
      </c>
      <c r="C199" s="20" t="s">
        <v>891</v>
      </c>
      <c r="D199" s="195">
        <v>2230000</v>
      </c>
      <c r="E199" s="20" t="s">
        <v>393</v>
      </c>
      <c r="F199" s="20" t="s">
        <v>352</v>
      </c>
      <c r="G199" s="8" t="str">
        <f t="shared" si="6"/>
        <v>SMITH MICHAEL</v>
      </c>
      <c r="H199" s="20" t="str">
        <f t="shared" si="7"/>
        <v>4054</v>
      </c>
    </row>
    <row r="200" spans="1:8" x14ac:dyDescent="0.25">
      <c r="A200" s="8">
        <v>43057.963564814818</v>
      </c>
      <c r="B200" s="20" t="s">
        <v>575</v>
      </c>
      <c r="C200" s="20" t="s">
        <v>892</v>
      </c>
      <c r="D200" s="195">
        <v>3000000</v>
      </c>
      <c r="E200" s="20" t="s">
        <v>518</v>
      </c>
      <c r="F200" s="20" t="s">
        <v>519</v>
      </c>
      <c r="G200" s="8" t="str">
        <f t="shared" si="6"/>
        <v>FORTUNATO FRANK</v>
      </c>
      <c r="H200" s="20" t="str">
        <f t="shared" si="7"/>
        <v>4004</v>
      </c>
    </row>
    <row r="201" spans="1:8" x14ac:dyDescent="0.25">
      <c r="A201" s="8">
        <v>43057.974814814814</v>
      </c>
      <c r="B201" s="20" t="s">
        <v>462</v>
      </c>
      <c r="C201" s="20" t="s">
        <v>893</v>
      </c>
      <c r="D201" s="195">
        <v>3320000</v>
      </c>
      <c r="E201" s="20" t="s">
        <v>363</v>
      </c>
      <c r="F201" s="20" t="s">
        <v>364</v>
      </c>
      <c r="G201" s="8" t="str">
        <f t="shared" si="6"/>
        <v>NICHOLSON WESLEY</v>
      </c>
      <c r="H201" s="20" t="str">
        <f t="shared" si="7"/>
        <v>4023</v>
      </c>
    </row>
    <row r="202" spans="1:8" x14ac:dyDescent="0.25">
      <c r="A202" s="26">
        <v>43057.977060185185</v>
      </c>
      <c r="B202" s="20" t="s">
        <v>683</v>
      </c>
      <c r="C202" s="20" t="s">
        <v>894</v>
      </c>
      <c r="D202" s="195">
        <v>2230000</v>
      </c>
      <c r="E202" s="20" t="s">
        <v>393</v>
      </c>
      <c r="F202" s="20" t="s">
        <v>352</v>
      </c>
      <c r="G202" s="8" t="str">
        <f t="shared" si="6"/>
        <v>SMITH MICHAEL</v>
      </c>
      <c r="H202" s="20" t="str">
        <f t="shared" si="7"/>
        <v>4053</v>
      </c>
    </row>
    <row r="203" spans="1:8" x14ac:dyDescent="0.25">
      <c r="A203" s="8">
        <v>43057.987557870372</v>
      </c>
      <c r="B203" s="20" t="s">
        <v>360</v>
      </c>
      <c r="C203" s="20" t="s">
        <v>895</v>
      </c>
      <c r="D203" s="195">
        <v>3340000</v>
      </c>
      <c r="E203" s="20" t="s">
        <v>587</v>
      </c>
      <c r="F203" s="20" t="s">
        <v>588</v>
      </c>
      <c r="G203" s="8" t="str">
        <f t="shared" si="6"/>
        <v>ELBAUM MIKE</v>
      </c>
      <c r="H203" s="20" t="str">
        <f t="shared" si="7"/>
        <v>4018</v>
      </c>
    </row>
    <row r="204" spans="1:8" x14ac:dyDescent="0.25">
      <c r="A204" s="8">
        <v>43058.008969907409</v>
      </c>
      <c r="B204" s="20" t="s">
        <v>461</v>
      </c>
      <c r="C204" s="20" t="s">
        <v>896</v>
      </c>
      <c r="D204" s="195">
        <v>3320000</v>
      </c>
      <c r="E204" s="20" t="s">
        <v>363</v>
      </c>
      <c r="F204" s="20" t="s">
        <v>364</v>
      </c>
      <c r="G204" s="8" t="str">
        <f t="shared" si="6"/>
        <v>NICHOLSON WESLEY</v>
      </c>
      <c r="H204" s="20" t="str">
        <f t="shared" si="7"/>
        <v>4024</v>
      </c>
    </row>
    <row r="205" spans="1:8" x14ac:dyDescent="0.25">
      <c r="A205" s="8">
        <v>43058.019328703704</v>
      </c>
      <c r="B205" s="20" t="s">
        <v>516</v>
      </c>
      <c r="C205" s="20" t="s">
        <v>897</v>
      </c>
      <c r="D205" s="195">
        <v>3000000</v>
      </c>
      <c r="E205" s="20" t="s">
        <v>518</v>
      </c>
      <c r="F205" s="20" t="s">
        <v>519</v>
      </c>
      <c r="G205" s="8" t="str">
        <f t="shared" si="6"/>
        <v>FORTUNATO FRANK</v>
      </c>
      <c r="H205" s="20" t="str">
        <f t="shared" si="7"/>
        <v>4003</v>
      </c>
    </row>
    <row r="206" spans="1:8" x14ac:dyDescent="0.25">
      <c r="A206" s="8">
        <v>43058.023506944446</v>
      </c>
      <c r="B206" s="20" t="s">
        <v>370</v>
      </c>
      <c r="C206" s="20" t="s">
        <v>898</v>
      </c>
      <c r="D206" s="195">
        <v>3500000</v>
      </c>
      <c r="E206" s="20" t="s">
        <v>376</v>
      </c>
      <c r="F206" s="20" t="s">
        <v>377</v>
      </c>
      <c r="G206" s="8" t="str">
        <f t="shared" si="6"/>
        <v>GUNTHIER ERIC</v>
      </c>
      <c r="H206" s="20" t="str">
        <f t="shared" si="7"/>
        <v>4012</v>
      </c>
    </row>
    <row r="207" spans="1:8" x14ac:dyDescent="0.25">
      <c r="A207" s="8">
        <v>43058.024108796293</v>
      </c>
      <c r="B207" s="20" t="s">
        <v>370</v>
      </c>
      <c r="C207" s="20" t="s">
        <v>898</v>
      </c>
      <c r="D207" s="195">
        <v>3500000</v>
      </c>
      <c r="E207" s="20" t="s">
        <v>376</v>
      </c>
      <c r="F207" s="20" t="s">
        <v>377</v>
      </c>
      <c r="G207" s="8" t="str">
        <f t="shared" si="6"/>
        <v>GUNTHIER ERIC</v>
      </c>
      <c r="H207" s="20" t="str">
        <f t="shared" si="7"/>
        <v>4012</v>
      </c>
    </row>
    <row r="208" spans="1:8" x14ac:dyDescent="0.25">
      <c r="A208" s="8">
        <v>43058.025011574071</v>
      </c>
      <c r="B208" s="20" t="s">
        <v>370</v>
      </c>
      <c r="C208" s="20" t="s">
        <v>898</v>
      </c>
      <c r="D208" s="195">
        <v>3500000</v>
      </c>
      <c r="E208" s="20" t="s">
        <v>376</v>
      </c>
      <c r="F208" s="20" t="s">
        <v>377</v>
      </c>
      <c r="G208" s="8" t="str">
        <f t="shared" si="6"/>
        <v>GUNTHIER ERIC</v>
      </c>
      <c r="H208" s="20" t="str">
        <f t="shared" si="7"/>
        <v>4012</v>
      </c>
    </row>
    <row r="209" spans="1:8" x14ac:dyDescent="0.25">
      <c r="A209" s="8">
        <v>43058.02685185185</v>
      </c>
      <c r="B209" s="20" t="s">
        <v>370</v>
      </c>
      <c r="C209" s="20" t="s">
        <v>898</v>
      </c>
      <c r="D209" s="195">
        <v>3500000</v>
      </c>
      <c r="E209" s="20" t="s">
        <v>376</v>
      </c>
      <c r="F209" s="20" t="s">
        <v>377</v>
      </c>
      <c r="G209" s="8" t="str">
        <f t="shared" si="6"/>
        <v>GUNTHIER ERIC</v>
      </c>
      <c r="H209" s="20" t="str">
        <f t="shared" si="7"/>
        <v>4012</v>
      </c>
    </row>
    <row r="210" spans="1:8" x14ac:dyDescent="0.25">
      <c r="A210" s="8">
        <v>43058.035324074073</v>
      </c>
      <c r="B210" s="20" t="s">
        <v>362</v>
      </c>
      <c r="C210" s="20" t="s">
        <v>700</v>
      </c>
      <c r="D210" s="195">
        <v>3340000</v>
      </c>
      <c r="E210" s="20" t="s">
        <v>587</v>
      </c>
      <c r="F210" s="20" t="s">
        <v>588</v>
      </c>
      <c r="G210" s="8" t="str">
        <f t="shared" si="6"/>
        <v>ELBAUM MIKE</v>
      </c>
      <c r="H210" s="20" t="str">
        <f t="shared" si="7"/>
        <v>4017</v>
      </c>
    </row>
    <row r="211" spans="1:8" x14ac:dyDescent="0.25">
      <c r="A211" s="8">
        <v>43058.04760416667</v>
      </c>
      <c r="B211" s="20" t="s">
        <v>575</v>
      </c>
      <c r="C211" s="20" t="s">
        <v>899</v>
      </c>
      <c r="D211" s="195">
        <v>3000000</v>
      </c>
      <c r="E211" s="20" t="s">
        <v>518</v>
      </c>
      <c r="F211" s="20" t="s">
        <v>519</v>
      </c>
      <c r="G211" s="8" t="str">
        <f t="shared" si="6"/>
        <v>FORTUNATO FRANK</v>
      </c>
      <c r="H211" s="20" t="str">
        <f t="shared" si="7"/>
        <v>4004</v>
      </c>
    </row>
    <row r="212" spans="1:8" x14ac:dyDescent="0.25">
      <c r="A212" s="8">
        <v>43058.057106481479</v>
      </c>
      <c r="B212" s="20" t="s">
        <v>462</v>
      </c>
      <c r="C212" s="20" t="s">
        <v>900</v>
      </c>
      <c r="D212" s="195">
        <v>3320000</v>
      </c>
      <c r="E212" s="20" t="s">
        <v>363</v>
      </c>
      <c r="F212" s="20" t="s">
        <v>364</v>
      </c>
      <c r="G212" s="8" t="str">
        <f t="shared" si="6"/>
        <v>NICHOLSON WESLEY</v>
      </c>
      <c r="H212" s="20" t="str">
        <f t="shared" si="7"/>
        <v>4023</v>
      </c>
    </row>
    <row r="213" spans="1:8" x14ac:dyDescent="0.25">
      <c r="A213" s="8">
        <v>43058.066145833334</v>
      </c>
      <c r="B213" s="20" t="s">
        <v>360</v>
      </c>
      <c r="C213" s="20" t="s">
        <v>901</v>
      </c>
      <c r="D213" s="195">
        <v>3340000</v>
      </c>
      <c r="E213" s="20" t="s">
        <v>587</v>
      </c>
      <c r="F213" s="20" t="s">
        <v>588</v>
      </c>
      <c r="G213" s="8" t="str">
        <f t="shared" si="6"/>
        <v>ELBAUM MIKE</v>
      </c>
      <c r="H213" s="20" t="str">
        <f t="shared" si="7"/>
        <v>4018</v>
      </c>
    </row>
    <row r="214" spans="1:8" x14ac:dyDescent="0.25">
      <c r="A214" s="8">
        <v>43058.084803240738</v>
      </c>
      <c r="B214" s="20" t="s">
        <v>371</v>
      </c>
      <c r="C214" s="20" t="s">
        <v>902</v>
      </c>
      <c r="D214" s="195">
        <v>3500000</v>
      </c>
      <c r="E214" s="20" t="s">
        <v>376</v>
      </c>
      <c r="F214" s="20" t="s">
        <v>377</v>
      </c>
      <c r="G214" s="8" t="str">
        <f t="shared" si="6"/>
        <v>GUNTHIER ERIC</v>
      </c>
      <c r="H214" s="20" t="str">
        <f t="shared" si="7"/>
        <v>4011</v>
      </c>
    </row>
    <row r="215" spans="1:8" x14ac:dyDescent="0.25">
      <c r="A215" s="8">
        <v>43058.092164351852</v>
      </c>
      <c r="B215" s="20" t="s">
        <v>461</v>
      </c>
      <c r="C215" s="20" t="s">
        <v>903</v>
      </c>
      <c r="D215" s="195">
        <v>3320000</v>
      </c>
      <c r="E215" s="20" t="s">
        <v>363</v>
      </c>
      <c r="F215" s="20" t="s">
        <v>364</v>
      </c>
      <c r="G215" s="8" t="str">
        <f t="shared" si="6"/>
        <v>NICHOLSON WESLEY</v>
      </c>
      <c r="H215" s="20" t="str">
        <f t="shared" si="7"/>
        <v>4024</v>
      </c>
    </row>
    <row r="216" spans="1:8" x14ac:dyDescent="0.25">
      <c r="A216" s="8">
        <v>43058.09820601852</v>
      </c>
      <c r="B216" s="20" t="s">
        <v>371</v>
      </c>
      <c r="C216" s="20" t="s">
        <v>902</v>
      </c>
      <c r="D216" s="195">
        <v>3500000</v>
      </c>
      <c r="E216" s="20" t="s">
        <v>376</v>
      </c>
      <c r="F216" s="20" t="s">
        <v>377</v>
      </c>
      <c r="G216" s="8" t="str">
        <f t="shared" si="6"/>
        <v>GUNTHIER ERIC</v>
      </c>
      <c r="H216" s="20" t="str">
        <f t="shared" si="7"/>
        <v>4011</v>
      </c>
    </row>
    <row r="217" spans="1:8" x14ac:dyDescent="0.25">
      <c r="A217" s="8">
        <v>43055.894699074073</v>
      </c>
      <c r="B217" s="20" t="s">
        <v>572</v>
      </c>
      <c r="C217" s="20" t="s">
        <v>589</v>
      </c>
      <c r="D217" s="195">
        <v>3220000</v>
      </c>
      <c r="E217" s="20" t="s">
        <v>378</v>
      </c>
      <c r="F217" s="20" t="s">
        <v>379</v>
      </c>
      <c r="G217" s="8" t="str">
        <f t="shared" si="6"/>
        <v>RESPASS AARON</v>
      </c>
      <c r="H217" s="20" t="str">
        <f t="shared" si="7"/>
        <v>4041</v>
      </c>
    </row>
    <row r="218" spans="1:8" x14ac:dyDescent="0.25">
      <c r="A218" s="8">
        <v>43055.901898148149</v>
      </c>
      <c r="B218" s="20" t="s">
        <v>575</v>
      </c>
      <c r="C218" s="20" t="s">
        <v>590</v>
      </c>
      <c r="D218" s="195">
        <v>3340000</v>
      </c>
      <c r="E218" s="20" t="s">
        <v>587</v>
      </c>
      <c r="F218" s="20" t="s">
        <v>588</v>
      </c>
      <c r="G218" s="8" t="str">
        <f t="shared" si="6"/>
        <v>ELBAUM MIKE</v>
      </c>
      <c r="H218" s="20" t="str">
        <f t="shared" si="7"/>
        <v>4004</v>
      </c>
    </row>
    <row r="219" spans="1:8" x14ac:dyDescent="0.25">
      <c r="A219" s="8">
        <v>43055.911643518521</v>
      </c>
      <c r="B219" s="20" t="s">
        <v>579</v>
      </c>
      <c r="C219" s="20" t="s">
        <v>591</v>
      </c>
      <c r="D219" s="195">
        <v>3310000</v>
      </c>
      <c r="E219" s="20" t="s">
        <v>521</v>
      </c>
      <c r="F219" s="20" t="s">
        <v>522</v>
      </c>
      <c r="G219" s="8" t="str">
        <f t="shared" si="6"/>
        <v>ANDERS STEVEN</v>
      </c>
      <c r="H219" s="20" t="str">
        <f t="shared" si="7"/>
        <v>4001</v>
      </c>
    </row>
    <row r="220" spans="1:8" x14ac:dyDescent="0.25">
      <c r="A220" s="8">
        <v>43055.919907407406</v>
      </c>
      <c r="B220" s="20" t="s">
        <v>573</v>
      </c>
      <c r="C220" s="20" t="s">
        <v>592</v>
      </c>
      <c r="D220" s="195">
        <v>3220000</v>
      </c>
      <c r="E220" s="20" t="s">
        <v>378</v>
      </c>
      <c r="F220" s="20" t="s">
        <v>379</v>
      </c>
      <c r="G220" s="8" t="str">
        <f t="shared" si="6"/>
        <v>RESPASS AARON</v>
      </c>
      <c r="H220" s="20" t="str">
        <f t="shared" si="7"/>
        <v>4042</v>
      </c>
    </row>
    <row r="221" spans="1:8" x14ac:dyDescent="0.25">
      <c r="A221" s="8">
        <v>43055.922129629631</v>
      </c>
      <c r="B221" s="20" t="s">
        <v>573</v>
      </c>
      <c r="C221" s="20" t="s">
        <v>592</v>
      </c>
      <c r="D221" s="195">
        <v>3220000</v>
      </c>
      <c r="E221" s="20" t="s">
        <v>378</v>
      </c>
      <c r="F221" s="20" t="s">
        <v>379</v>
      </c>
      <c r="G221" s="8" t="str">
        <f t="shared" si="6"/>
        <v>RESPASS AARON</v>
      </c>
      <c r="H221" s="20" t="str">
        <f t="shared" si="7"/>
        <v>4042</v>
      </c>
    </row>
    <row r="222" spans="1:8" x14ac:dyDescent="0.25">
      <c r="A222" s="8">
        <v>43055.931793981479</v>
      </c>
      <c r="B222" s="20" t="s">
        <v>360</v>
      </c>
      <c r="C222" s="20" t="s">
        <v>593</v>
      </c>
      <c r="D222" s="195">
        <v>3320000</v>
      </c>
      <c r="E222" s="20" t="s">
        <v>363</v>
      </c>
      <c r="F222" s="20" t="s">
        <v>364</v>
      </c>
      <c r="G222" s="8" t="str">
        <f t="shared" si="6"/>
        <v>NICHOLSON WESLEY</v>
      </c>
      <c r="H222" s="20" t="str">
        <f t="shared" si="7"/>
        <v>4018</v>
      </c>
    </row>
    <row r="223" spans="1:8" x14ac:dyDescent="0.25">
      <c r="A223" s="8">
        <v>43055.93309027778</v>
      </c>
      <c r="B223" s="20" t="s">
        <v>361</v>
      </c>
      <c r="C223" s="20" t="s">
        <v>594</v>
      </c>
      <c r="D223" s="195">
        <v>890000</v>
      </c>
      <c r="E223" s="20" t="s">
        <v>344</v>
      </c>
      <c r="F223" s="20" t="s">
        <v>345</v>
      </c>
      <c r="G223" s="8" t="str">
        <f t="shared" si="6"/>
        <v>LOZA FIDEL</v>
      </c>
      <c r="H223" s="20" t="str">
        <f t="shared" si="7"/>
        <v>4007</v>
      </c>
    </row>
    <row r="224" spans="1:8" x14ac:dyDescent="0.25">
      <c r="A224" s="8">
        <v>43055.935254629629</v>
      </c>
      <c r="B224" t="s">
        <v>572</v>
      </c>
      <c r="C224" t="s">
        <v>574</v>
      </c>
      <c r="D224" s="195">
        <v>3220000</v>
      </c>
      <c r="E224" t="s">
        <v>378</v>
      </c>
      <c r="F224" s="20" t="s">
        <v>379</v>
      </c>
      <c r="G224" s="8" t="str">
        <f t="shared" si="6"/>
        <v>RESPASS AARON</v>
      </c>
      <c r="H224" s="20" t="str">
        <f t="shared" si="7"/>
        <v>4041</v>
      </c>
    </row>
    <row r="225" spans="1:8" x14ac:dyDescent="0.25">
      <c r="A225" s="8">
        <v>43055.942662037036</v>
      </c>
      <c r="B225" t="s">
        <v>516</v>
      </c>
      <c r="C225" t="s">
        <v>595</v>
      </c>
      <c r="D225" s="195">
        <v>3340000</v>
      </c>
      <c r="E225" t="s">
        <v>587</v>
      </c>
      <c r="F225" s="20" t="s">
        <v>588</v>
      </c>
      <c r="G225" s="8" t="str">
        <f t="shared" si="6"/>
        <v>ELBAUM MIKE</v>
      </c>
      <c r="H225" s="20" t="str">
        <f t="shared" si="7"/>
        <v>4003</v>
      </c>
    </row>
    <row r="226" spans="1:8" x14ac:dyDescent="0.25">
      <c r="A226" s="8">
        <v>43055.947094907409</v>
      </c>
      <c r="B226" t="s">
        <v>576</v>
      </c>
      <c r="C226" t="s">
        <v>596</v>
      </c>
      <c r="D226" s="195">
        <v>3310000</v>
      </c>
      <c r="E226" t="s">
        <v>521</v>
      </c>
      <c r="F226" s="20" t="s">
        <v>522</v>
      </c>
      <c r="G226" s="8" t="str">
        <f t="shared" si="6"/>
        <v>ANDERS STEVEN</v>
      </c>
      <c r="H226" s="20" t="str">
        <f t="shared" si="7"/>
        <v>4002</v>
      </c>
    </row>
    <row r="227" spans="1:8" x14ac:dyDescent="0.25">
      <c r="A227" s="8">
        <v>43055.961400462962</v>
      </c>
      <c r="B227" t="s">
        <v>573</v>
      </c>
      <c r="C227" t="s">
        <v>597</v>
      </c>
      <c r="D227" s="195">
        <v>3220000</v>
      </c>
      <c r="E227" t="s">
        <v>378</v>
      </c>
      <c r="F227" s="20" t="s">
        <v>379</v>
      </c>
      <c r="G227" s="8" t="str">
        <f t="shared" si="6"/>
        <v>RESPASS AARON</v>
      </c>
      <c r="H227" s="20" t="str">
        <f t="shared" si="7"/>
        <v>4042</v>
      </c>
    </row>
    <row r="228" spans="1:8" x14ac:dyDescent="0.25">
      <c r="A228" s="8">
        <v>43055.963067129633</v>
      </c>
      <c r="B228" t="s">
        <v>356</v>
      </c>
      <c r="C228" t="s">
        <v>598</v>
      </c>
      <c r="D228" s="195">
        <v>890000</v>
      </c>
      <c r="E228" t="s">
        <v>344</v>
      </c>
      <c r="F228" s="20" t="s">
        <v>345</v>
      </c>
      <c r="G228" s="8" t="str">
        <f t="shared" si="6"/>
        <v>LOZA FIDEL</v>
      </c>
      <c r="H228" s="20" t="str">
        <f t="shared" si="7"/>
        <v>4008</v>
      </c>
    </row>
    <row r="229" spans="1:8" x14ac:dyDescent="0.25">
      <c r="A229" s="8">
        <v>43055.967511574076</v>
      </c>
      <c r="B229" t="s">
        <v>362</v>
      </c>
      <c r="C229" t="s">
        <v>599</v>
      </c>
      <c r="D229" s="195">
        <v>3320000</v>
      </c>
      <c r="E229" t="s">
        <v>363</v>
      </c>
      <c r="F229" s="20" t="s">
        <v>364</v>
      </c>
      <c r="G229" s="8" t="str">
        <f t="shared" si="6"/>
        <v>NICHOLSON WESLEY</v>
      </c>
      <c r="H229" s="20" t="str">
        <f t="shared" si="7"/>
        <v>4017</v>
      </c>
    </row>
    <row r="230" spans="1:8" x14ac:dyDescent="0.25">
      <c r="A230" s="8">
        <v>43055.976134259261</v>
      </c>
      <c r="B230" t="s">
        <v>572</v>
      </c>
      <c r="C230" t="s">
        <v>600</v>
      </c>
      <c r="D230" s="195">
        <v>3220000</v>
      </c>
      <c r="E230" t="s">
        <v>378</v>
      </c>
      <c r="F230" s="20" t="s">
        <v>379</v>
      </c>
      <c r="G230" s="8" t="str">
        <f t="shared" si="6"/>
        <v>RESPASS AARON</v>
      </c>
      <c r="H230" s="20" t="str">
        <f t="shared" si="7"/>
        <v>4041</v>
      </c>
    </row>
    <row r="231" spans="1:8" x14ac:dyDescent="0.25">
      <c r="A231" s="8">
        <v>43055.984780092593</v>
      </c>
      <c r="B231" t="s">
        <v>575</v>
      </c>
      <c r="C231" t="s">
        <v>601</v>
      </c>
      <c r="D231" s="195">
        <v>3340000</v>
      </c>
      <c r="E231" t="s">
        <v>587</v>
      </c>
      <c r="F231" s="20" t="s">
        <v>588</v>
      </c>
      <c r="G231" s="8" t="str">
        <f t="shared" si="6"/>
        <v>ELBAUM MIKE</v>
      </c>
      <c r="H231" s="20" t="str">
        <f t="shared" si="7"/>
        <v>4004</v>
      </c>
    </row>
    <row r="232" spans="1:8" x14ac:dyDescent="0.25">
      <c r="A232" s="8">
        <v>43055.995671296296</v>
      </c>
      <c r="B232" t="s">
        <v>579</v>
      </c>
      <c r="C232" t="s">
        <v>602</v>
      </c>
      <c r="D232" s="195">
        <v>3310000</v>
      </c>
      <c r="E232" t="s">
        <v>521</v>
      </c>
      <c r="F232" s="20" t="s">
        <v>522</v>
      </c>
      <c r="G232" s="8" t="str">
        <f t="shared" si="6"/>
        <v>ANDERS STEVEN</v>
      </c>
      <c r="H232" s="20" t="str">
        <f t="shared" si="7"/>
        <v>4001</v>
      </c>
    </row>
    <row r="233" spans="1:8" x14ac:dyDescent="0.25">
      <c r="A233" s="8">
        <v>43056.009398148148</v>
      </c>
      <c r="B233" t="s">
        <v>360</v>
      </c>
      <c r="C233" t="s">
        <v>603</v>
      </c>
      <c r="D233" s="195">
        <v>3320000</v>
      </c>
      <c r="E233" t="s">
        <v>363</v>
      </c>
      <c r="F233" s="20" t="s">
        <v>364</v>
      </c>
      <c r="G233" s="8" t="str">
        <f t="shared" si="6"/>
        <v>NICHOLSON WESLEY</v>
      </c>
      <c r="H233" s="20" t="str">
        <f t="shared" si="7"/>
        <v>4018</v>
      </c>
    </row>
    <row r="234" spans="1:8" x14ac:dyDescent="0.25">
      <c r="A234" s="8">
        <v>43056.016655092593</v>
      </c>
      <c r="B234" t="s">
        <v>361</v>
      </c>
      <c r="C234" t="s">
        <v>604</v>
      </c>
      <c r="D234" s="195">
        <v>890000</v>
      </c>
      <c r="E234" t="s">
        <v>344</v>
      </c>
      <c r="F234" s="20" t="s">
        <v>345</v>
      </c>
      <c r="G234" s="8" t="str">
        <f t="shared" si="6"/>
        <v>LOZA FIDEL</v>
      </c>
      <c r="H234" s="20" t="str">
        <f t="shared" si="7"/>
        <v>4007</v>
      </c>
    </row>
    <row r="235" spans="1:8" x14ac:dyDescent="0.25">
      <c r="A235" s="8">
        <v>43056.025925925926</v>
      </c>
      <c r="B235" t="s">
        <v>516</v>
      </c>
      <c r="C235" t="s">
        <v>605</v>
      </c>
      <c r="D235" s="195">
        <v>3340000</v>
      </c>
      <c r="E235" t="s">
        <v>587</v>
      </c>
      <c r="F235" s="20" t="s">
        <v>588</v>
      </c>
      <c r="G235" s="8" t="str">
        <f t="shared" si="6"/>
        <v>ELBAUM MIKE</v>
      </c>
      <c r="H235" s="20" t="str">
        <f t="shared" si="7"/>
        <v>4003</v>
      </c>
    </row>
    <row r="236" spans="1:8" x14ac:dyDescent="0.25">
      <c r="A236" s="8">
        <v>43056.027453703704</v>
      </c>
      <c r="B236" t="s">
        <v>576</v>
      </c>
      <c r="C236" t="s">
        <v>606</v>
      </c>
      <c r="D236" s="195">
        <v>3310000</v>
      </c>
      <c r="E236" t="s">
        <v>521</v>
      </c>
      <c r="F236" s="20" t="s">
        <v>522</v>
      </c>
      <c r="G236" s="8" t="str">
        <f t="shared" si="6"/>
        <v>ANDERS STEVEN</v>
      </c>
      <c r="H236" s="20" t="str">
        <f t="shared" si="7"/>
        <v>4002</v>
      </c>
    </row>
    <row r="237" spans="1:8" x14ac:dyDescent="0.25">
      <c r="A237" s="8">
        <v>43056.04855324074</v>
      </c>
      <c r="B237" t="s">
        <v>356</v>
      </c>
      <c r="C237" t="s">
        <v>607</v>
      </c>
      <c r="D237" s="195">
        <v>890000</v>
      </c>
      <c r="E237" t="s">
        <v>344</v>
      </c>
      <c r="F237" s="20" t="s">
        <v>345</v>
      </c>
      <c r="G237" s="8" t="str">
        <f t="shared" si="6"/>
        <v>LOZA FIDEL</v>
      </c>
      <c r="H237" s="20" t="str">
        <f t="shared" si="7"/>
        <v>4008</v>
      </c>
    </row>
    <row r="238" spans="1:8" x14ac:dyDescent="0.25">
      <c r="A238" s="8">
        <v>43056.053668981483</v>
      </c>
      <c r="B238" t="s">
        <v>362</v>
      </c>
      <c r="C238" t="s">
        <v>608</v>
      </c>
      <c r="D238" s="195">
        <v>3320000</v>
      </c>
      <c r="E238" t="s">
        <v>363</v>
      </c>
      <c r="F238" s="20" t="s">
        <v>364</v>
      </c>
      <c r="G238" s="8" t="str">
        <f t="shared" si="6"/>
        <v>NICHOLSON WESLEY</v>
      </c>
      <c r="H238" s="20" t="str">
        <f t="shared" si="7"/>
        <v>4017</v>
      </c>
    </row>
    <row r="239" spans="1:8" x14ac:dyDescent="0.25">
      <c r="A239" s="8">
        <v>43056.066157407404</v>
      </c>
      <c r="B239" t="s">
        <v>575</v>
      </c>
      <c r="C239" t="s">
        <v>609</v>
      </c>
      <c r="D239" s="195">
        <v>3340000</v>
      </c>
      <c r="E239" t="s">
        <v>587</v>
      </c>
      <c r="F239" s="20" t="s">
        <v>588</v>
      </c>
      <c r="G239" s="8" t="str">
        <f t="shared" si="6"/>
        <v>ELBAUM MIKE</v>
      </c>
      <c r="H239" s="20" t="str">
        <f t="shared" si="7"/>
        <v>4004</v>
      </c>
    </row>
    <row r="240" spans="1:8" x14ac:dyDescent="0.25">
      <c r="A240" s="8">
        <v>43056.091493055559</v>
      </c>
      <c r="B240" t="s">
        <v>360</v>
      </c>
      <c r="C240" t="s">
        <v>610</v>
      </c>
      <c r="D240" s="195">
        <v>3320000</v>
      </c>
      <c r="E240" t="s">
        <v>363</v>
      </c>
      <c r="F240" s="20" t="s">
        <v>364</v>
      </c>
      <c r="G240" s="8" t="str">
        <f t="shared" si="6"/>
        <v>NICHOLSON WESLEY</v>
      </c>
      <c r="H240" s="20" t="str">
        <f t="shared" si="7"/>
        <v>4018</v>
      </c>
    </row>
    <row r="241" spans="1:8" x14ac:dyDescent="0.25">
      <c r="A241" s="8">
        <v>43056.112928240742</v>
      </c>
      <c r="B241" t="s">
        <v>445</v>
      </c>
      <c r="C241" t="s">
        <v>611</v>
      </c>
      <c r="D241" s="195">
        <v>1830000</v>
      </c>
      <c r="E241" t="s">
        <v>346</v>
      </c>
      <c r="F241" s="20" t="s">
        <v>347</v>
      </c>
      <c r="G241" s="8" t="str">
        <f t="shared" si="6"/>
        <v>YORK EDGAR</v>
      </c>
      <c r="H241" s="20" t="str">
        <f t="shared" si="7"/>
        <v>4009</v>
      </c>
    </row>
    <row r="242" spans="1:8" x14ac:dyDescent="0.25">
      <c r="A242" s="8">
        <v>43055.029606481483</v>
      </c>
      <c r="B242" t="s">
        <v>502</v>
      </c>
      <c r="C242" t="s">
        <v>541</v>
      </c>
      <c r="D242" s="195">
        <v>3320000</v>
      </c>
      <c r="E242" t="s">
        <v>363</v>
      </c>
      <c r="F242" s="20" t="s">
        <v>364</v>
      </c>
      <c r="G242" s="8" t="str">
        <f t="shared" si="6"/>
        <v>NICHOLSON WESLEY</v>
      </c>
      <c r="H242" s="20" t="str">
        <f t="shared" si="7"/>
        <v>4014</v>
      </c>
    </row>
    <row r="243" spans="1:8" x14ac:dyDescent="0.25">
      <c r="A243" s="8">
        <v>43055.037569444445</v>
      </c>
      <c r="B243" t="s">
        <v>386</v>
      </c>
      <c r="C243" t="s">
        <v>542</v>
      </c>
      <c r="D243" s="195">
        <v>890000</v>
      </c>
      <c r="E243" t="s">
        <v>344</v>
      </c>
      <c r="F243" s="20" t="s">
        <v>345</v>
      </c>
      <c r="G243" s="8" t="str">
        <f t="shared" si="6"/>
        <v>LOZA FIDEL</v>
      </c>
      <c r="H243" s="20" t="str">
        <f t="shared" si="7"/>
        <v>4029</v>
      </c>
    </row>
    <row r="244" spans="1:8" x14ac:dyDescent="0.25">
      <c r="A244" s="8">
        <v>43055.046736111108</v>
      </c>
      <c r="B244" t="s">
        <v>500</v>
      </c>
      <c r="C244" t="s">
        <v>543</v>
      </c>
      <c r="D244" s="195">
        <v>3220000</v>
      </c>
      <c r="E244" t="s">
        <v>378</v>
      </c>
      <c r="F244" s="20" t="s">
        <v>379</v>
      </c>
      <c r="G244" s="8" t="str">
        <f t="shared" si="6"/>
        <v>RESPASS AARON</v>
      </c>
      <c r="H244" s="20" t="str">
        <f t="shared" si="7"/>
        <v>4040</v>
      </c>
    </row>
    <row r="245" spans="1:8" x14ac:dyDescent="0.25">
      <c r="A245" s="8">
        <v>43055.050555555557</v>
      </c>
      <c r="B245" t="s">
        <v>503</v>
      </c>
      <c r="C245" t="s">
        <v>544</v>
      </c>
      <c r="D245" s="195">
        <v>3310000</v>
      </c>
      <c r="E245" t="s">
        <v>521</v>
      </c>
      <c r="F245" s="20" t="s">
        <v>522</v>
      </c>
      <c r="G245" s="8" t="str">
        <f t="shared" si="6"/>
        <v>ANDERS STEVEN</v>
      </c>
      <c r="H245" s="20" t="str">
        <f t="shared" si="7"/>
        <v>4065</v>
      </c>
    </row>
    <row r="246" spans="1:8" x14ac:dyDescent="0.25">
      <c r="A246" s="8">
        <v>43055.089861111112</v>
      </c>
      <c r="B246" t="s">
        <v>517</v>
      </c>
      <c r="C246" t="s">
        <v>545</v>
      </c>
      <c r="D246" s="195">
        <v>3310000</v>
      </c>
      <c r="E246" t="s">
        <v>521</v>
      </c>
      <c r="F246" s="20" t="s">
        <v>522</v>
      </c>
      <c r="G246" s="8" t="str">
        <f t="shared" si="6"/>
        <v>ANDERS STEVEN</v>
      </c>
      <c r="H246" s="20" t="str">
        <f t="shared" si="7"/>
        <v>4066</v>
      </c>
    </row>
    <row r="247" spans="1:8" x14ac:dyDescent="0.25">
      <c r="A247" s="8">
        <v>43055.090868055559</v>
      </c>
      <c r="B247" t="s">
        <v>517</v>
      </c>
      <c r="C247" t="s">
        <v>545</v>
      </c>
      <c r="D247" s="195">
        <v>3310000</v>
      </c>
      <c r="E247" t="s">
        <v>521</v>
      </c>
      <c r="F247" s="20" t="s">
        <v>522</v>
      </c>
      <c r="G247" s="8" t="str">
        <f t="shared" si="6"/>
        <v>ANDERS STEVEN</v>
      </c>
      <c r="H247" s="20" t="str">
        <f t="shared" si="7"/>
        <v>4066</v>
      </c>
    </row>
    <row r="248" spans="1:8" x14ac:dyDescent="0.25">
      <c r="A248" s="8">
        <v>43055.114317129628</v>
      </c>
      <c r="B248" t="s">
        <v>516</v>
      </c>
      <c r="C248" t="s">
        <v>546</v>
      </c>
      <c r="D248" s="195">
        <v>1830000</v>
      </c>
      <c r="E248" t="s">
        <v>346</v>
      </c>
      <c r="F248" s="20" t="s">
        <v>347</v>
      </c>
      <c r="G248" s="8" t="str">
        <f t="shared" si="6"/>
        <v>YORK EDGAR</v>
      </c>
      <c r="H248" s="20" t="str">
        <f t="shared" si="7"/>
        <v>4003</v>
      </c>
    </row>
    <row r="249" spans="1:8" x14ac:dyDescent="0.25">
      <c r="A249" s="8">
        <v>43047.950833333336</v>
      </c>
      <c r="B249" t="s">
        <v>446</v>
      </c>
      <c r="C249" t="s">
        <v>467</v>
      </c>
      <c r="D249" s="195">
        <v>3320000</v>
      </c>
      <c r="E249" t="s">
        <v>363</v>
      </c>
      <c r="F249" s="20" t="s">
        <v>364</v>
      </c>
      <c r="G249" s="8" t="str">
        <f t="shared" si="6"/>
        <v>NICHOLSON WESLEY</v>
      </c>
      <c r="H249" s="20" t="str">
        <f t="shared" si="7"/>
        <v>4010</v>
      </c>
    </row>
    <row r="250" spans="1:8" x14ac:dyDescent="0.25">
      <c r="A250" s="8">
        <v>43047.952499999999</v>
      </c>
      <c r="B250" t="s">
        <v>464</v>
      </c>
      <c r="C250" t="s">
        <v>468</v>
      </c>
      <c r="D250" s="195">
        <v>890000</v>
      </c>
      <c r="E250" t="s">
        <v>344</v>
      </c>
      <c r="F250" s="20" t="s">
        <v>345</v>
      </c>
      <c r="G250" s="8" t="str">
        <f t="shared" si="6"/>
        <v>LOZA FIDEL</v>
      </c>
      <c r="H250" s="20" t="str">
        <f t="shared" si="7"/>
        <v>4051</v>
      </c>
    </row>
    <row r="251" spans="1:8" x14ac:dyDescent="0.25">
      <c r="A251" s="8">
        <v>43047.962326388886</v>
      </c>
      <c r="B251" t="s">
        <v>461</v>
      </c>
      <c r="C251" t="s">
        <v>469</v>
      </c>
      <c r="D251" s="195">
        <v>2000000</v>
      </c>
      <c r="E251" t="s">
        <v>394</v>
      </c>
      <c r="F251" s="20" t="s">
        <v>395</v>
      </c>
      <c r="G251" s="8" t="str">
        <f t="shared" si="6"/>
        <v>STAMBAUGH JAMES</v>
      </c>
      <c r="H251" s="20" t="str">
        <f t="shared" si="7"/>
        <v>4024</v>
      </c>
    </row>
    <row r="252" spans="1:8" x14ac:dyDescent="0.25">
      <c r="A252" s="8">
        <v>43047.972604166665</v>
      </c>
      <c r="B252" t="s">
        <v>450</v>
      </c>
      <c r="C252" t="s">
        <v>470</v>
      </c>
      <c r="D252" s="195">
        <v>2540000</v>
      </c>
      <c r="E252" t="s">
        <v>471</v>
      </c>
      <c r="F252" s="20" t="s">
        <v>472</v>
      </c>
      <c r="G252" s="8" t="str">
        <f t="shared" si="6"/>
        <v>MCREYNOLDS KYLE</v>
      </c>
      <c r="H252" s="20" t="str">
        <f t="shared" si="7"/>
        <v>4050</v>
      </c>
    </row>
    <row r="253" spans="1:8" x14ac:dyDescent="0.25">
      <c r="A253" s="8">
        <v>43047.974976851852</v>
      </c>
      <c r="B253" t="s">
        <v>390</v>
      </c>
      <c r="C253" t="s">
        <v>473</v>
      </c>
      <c r="D253" s="195">
        <v>3700000</v>
      </c>
      <c r="E253" t="s">
        <v>451</v>
      </c>
      <c r="F253" s="20" t="s">
        <v>369</v>
      </c>
      <c r="G253" s="8" t="str">
        <f t="shared" si="6"/>
        <v>AUSTIN THOMPSON</v>
      </c>
      <c r="H253" s="20" t="str">
        <f t="shared" si="7"/>
        <v>4059</v>
      </c>
    </row>
    <row r="254" spans="1:8" x14ac:dyDescent="0.25">
      <c r="A254" s="8">
        <v>43047.975590277776</v>
      </c>
      <c r="B254" t="s">
        <v>462</v>
      </c>
      <c r="C254" t="s">
        <v>474</v>
      </c>
      <c r="D254" s="195">
        <v>2000000</v>
      </c>
      <c r="E254" t="s">
        <v>394</v>
      </c>
      <c r="F254" s="20" t="s">
        <v>395</v>
      </c>
      <c r="G254" s="8" t="str">
        <f t="shared" si="6"/>
        <v>STAMBAUGH JAMES</v>
      </c>
      <c r="H254" s="20" t="str">
        <f t="shared" si="7"/>
        <v>4023</v>
      </c>
    </row>
    <row r="255" spans="1:8" x14ac:dyDescent="0.25">
      <c r="A255" s="8">
        <v>43047.989583333336</v>
      </c>
      <c r="B255" t="s">
        <v>460</v>
      </c>
      <c r="C255" t="s">
        <v>475</v>
      </c>
      <c r="D255" s="195">
        <v>890000</v>
      </c>
      <c r="E255" t="s">
        <v>344</v>
      </c>
      <c r="F255" s="20" t="s">
        <v>345</v>
      </c>
      <c r="G255" s="8" t="str">
        <f t="shared" si="6"/>
        <v>LOZA FIDEL</v>
      </c>
      <c r="H255" s="20" t="str">
        <f t="shared" si="7"/>
        <v>4052</v>
      </c>
    </row>
    <row r="256" spans="1:8" x14ac:dyDescent="0.25">
      <c r="A256" s="8">
        <v>43047.994467592594</v>
      </c>
      <c r="B256" t="s">
        <v>445</v>
      </c>
      <c r="C256" t="s">
        <v>476</v>
      </c>
      <c r="D256" s="195">
        <v>3320000</v>
      </c>
      <c r="E256" t="s">
        <v>363</v>
      </c>
      <c r="F256" s="20" t="s">
        <v>364</v>
      </c>
      <c r="G256" s="8" t="str">
        <f t="shared" si="6"/>
        <v>NICHOLSON WESLEY</v>
      </c>
      <c r="H256" s="20" t="str">
        <f t="shared" si="7"/>
        <v>4009</v>
      </c>
    </row>
    <row r="257" spans="1:8" x14ac:dyDescent="0.25">
      <c r="A257" s="8">
        <v>43048.013437499998</v>
      </c>
      <c r="B257" t="s">
        <v>449</v>
      </c>
      <c r="C257" t="s">
        <v>477</v>
      </c>
      <c r="D257" s="195">
        <v>2540000</v>
      </c>
      <c r="E257" t="s">
        <v>471</v>
      </c>
      <c r="F257" s="20" t="s">
        <v>472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357</v>
      </c>
      <c r="C258" t="s">
        <v>463</v>
      </c>
      <c r="D258" s="195">
        <v>3700000</v>
      </c>
      <c r="E258" t="s">
        <v>451</v>
      </c>
      <c r="F258" s="20" t="s">
        <v>369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446</v>
      </c>
      <c r="C259" t="s">
        <v>478</v>
      </c>
      <c r="D259" s="195">
        <v>3320000</v>
      </c>
      <c r="E259" t="s">
        <v>363</v>
      </c>
      <c r="F259" s="20" t="s">
        <v>364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464</v>
      </c>
      <c r="C260" t="s">
        <v>479</v>
      </c>
      <c r="D260" s="195">
        <v>890000</v>
      </c>
      <c r="E260" t="s">
        <v>344</v>
      </c>
      <c r="F260" s="20" t="s">
        <v>345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450</v>
      </c>
      <c r="C261" t="s">
        <v>480</v>
      </c>
      <c r="D261" s="195">
        <v>2440000</v>
      </c>
      <c r="E261" t="s">
        <v>465</v>
      </c>
      <c r="F261" s="20" t="s">
        <v>466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390</v>
      </c>
      <c r="C262" t="s">
        <v>481</v>
      </c>
      <c r="D262" s="195">
        <v>3700000</v>
      </c>
      <c r="E262" t="s">
        <v>451</v>
      </c>
      <c r="F262" s="20" t="s">
        <v>369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460</v>
      </c>
      <c r="C263" t="s">
        <v>482</v>
      </c>
      <c r="D263" s="195">
        <v>890000</v>
      </c>
      <c r="E263" t="s">
        <v>344</v>
      </c>
      <c r="F263" s="20" t="s">
        <v>345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357</v>
      </c>
      <c r="C264" t="s">
        <v>483</v>
      </c>
      <c r="D264" s="195">
        <v>3700000</v>
      </c>
      <c r="E264" t="s">
        <v>451</v>
      </c>
      <c r="F264" s="20" t="s">
        <v>369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386</v>
      </c>
      <c r="C265" t="s">
        <v>398</v>
      </c>
      <c r="D265" s="195">
        <v>3670000</v>
      </c>
      <c r="E265" t="s">
        <v>382</v>
      </c>
      <c r="F265" s="20" t="s">
        <v>368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360</v>
      </c>
      <c r="C266" t="s">
        <v>399</v>
      </c>
      <c r="D266" s="195">
        <v>2000000</v>
      </c>
      <c r="E266" t="s">
        <v>394</v>
      </c>
      <c r="F266" s="20" t="s">
        <v>395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384</v>
      </c>
      <c r="C267" t="s">
        <v>400</v>
      </c>
      <c r="D267" s="195">
        <v>1300000</v>
      </c>
      <c r="E267" t="s">
        <v>358</v>
      </c>
      <c r="F267" s="20" t="s">
        <v>359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390</v>
      </c>
      <c r="C268" t="s">
        <v>401</v>
      </c>
      <c r="D268" s="195">
        <v>2230000</v>
      </c>
      <c r="E268" t="s">
        <v>393</v>
      </c>
      <c r="F268" s="20" t="s">
        <v>352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362</v>
      </c>
      <c r="C269" t="s">
        <v>402</v>
      </c>
      <c r="D269" s="195">
        <v>2000000</v>
      </c>
      <c r="E269" t="s">
        <v>394</v>
      </c>
      <c r="F269" s="20" t="s">
        <v>395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356</v>
      </c>
      <c r="C270" t="s">
        <v>403</v>
      </c>
      <c r="D270" s="195">
        <v>3500000</v>
      </c>
      <c r="E270" t="s">
        <v>376</v>
      </c>
      <c r="F270" s="20" t="s">
        <v>377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371</v>
      </c>
      <c r="C271" t="s">
        <v>404</v>
      </c>
      <c r="D271" s="195">
        <v>3320000</v>
      </c>
      <c r="E271" t="s">
        <v>363</v>
      </c>
      <c r="F271" s="20" t="s">
        <v>364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383</v>
      </c>
      <c r="C272" t="s">
        <v>405</v>
      </c>
      <c r="D272" s="195">
        <v>2610000</v>
      </c>
      <c r="E272" t="s">
        <v>380</v>
      </c>
      <c r="F272" s="20" t="s">
        <v>381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391</v>
      </c>
      <c r="C273" t="s">
        <v>406</v>
      </c>
      <c r="D273" s="195">
        <v>2630000</v>
      </c>
      <c r="E273" t="s">
        <v>372</v>
      </c>
      <c r="F273" s="20" t="s">
        <v>373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392</v>
      </c>
      <c r="C274" t="s">
        <v>407</v>
      </c>
      <c r="D274" s="195">
        <v>3670000</v>
      </c>
      <c r="E274" t="s">
        <v>382</v>
      </c>
      <c r="F274" s="20" t="s">
        <v>368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367</v>
      </c>
      <c r="C275" t="s">
        <v>408</v>
      </c>
      <c r="D275" s="195">
        <v>2040000</v>
      </c>
      <c r="E275" t="s">
        <v>396</v>
      </c>
      <c r="F275" s="20" t="s">
        <v>397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385</v>
      </c>
      <c r="C276" t="s">
        <v>409</v>
      </c>
      <c r="D276" s="195">
        <v>2610000</v>
      </c>
      <c r="E276" t="s">
        <v>380</v>
      </c>
      <c r="F276" s="20" t="s">
        <v>381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357</v>
      </c>
      <c r="C277" t="s">
        <v>410</v>
      </c>
      <c r="D277" s="195">
        <v>2230000</v>
      </c>
      <c r="E277" t="s">
        <v>393</v>
      </c>
      <c r="F277" s="20" t="s">
        <v>352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361</v>
      </c>
      <c r="C278" t="s">
        <v>411</v>
      </c>
      <c r="D278" s="195">
        <v>3500000</v>
      </c>
      <c r="E278" t="s">
        <v>376</v>
      </c>
      <c r="F278" s="20" t="s">
        <v>377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383</v>
      </c>
      <c r="C279" t="s">
        <v>412</v>
      </c>
      <c r="D279" s="195">
        <v>2970000</v>
      </c>
      <c r="E279" t="s">
        <v>374</v>
      </c>
      <c r="F279" s="20" t="s">
        <v>375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370</v>
      </c>
      <c r="C280" t="s">
        <v>413</v>
      </c>
      <c r="D280" s="195">
        <v>3320000</v>
      </c>
      <c r="E280" t="s">
        <v>363</v>
      </c>
      <c r="F280" s="20" t="s">
        <v>364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386</v>
      </c>
      <c r="C281" t="s">
        <v>387</v>
      </c>
      <c r="D281" s="195">
        <v>3670000</v>
      </c>
      <c r="E281" t="s">
        <v>382</v>
      </c>
      <c r="F281" s="20" t="s">
        <v>368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385</v>
      </c>
      <c r="C282" t="s">
        <v>414</v>
      </c>
      <c r="D282" s="195">
        <v>2970000</v>
      </c>
      <c r="E282" t="s">
        <v>374</v>
      </c>
      <c r="F282" s="20" t="s">
        <v>375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366</v>
      </c>
      <c r="C283" t="s">
        <v>415</v>
      </c>
      <c r="D283" s="195">
        <v>2040000</v>
      </c>
      <c r="E283" t="s">
        <v>396</v>
      </c>
      <c r="F283" s="20" t="s">
        <v>397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356</v>
      </c>
      <c r="C284" t="s">
        <v>416</v>
      </c>
      <c r="D284" s="195">
        <v>3500000</v>
      </c>
      <c r="E284" t="s">
        <v>376</v>
      </c>
      <c r="F284" s="20" t="s">
        <v>377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371</v>
      </c>
      <c r="C285" t="s">
        <v>417</v>
      </c>
      <c r="D285" s="195">
        <v>3320000</v>
      </c>
      <c r="E285" t="s">
        <v>363</v>
      </c>
      <c r="F285" s="20" t="s">
        <v>364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383</v>
      </c>
      <c r="C286" t="s">
        <v>418</v>
      </c>
      <c r="D286" s="195">
        <v>2000000</v>
      </c>
      <c r="E286" t="s">
        <v>394</v>
      </c>
      <c r="F286" s="20" t="s">
        <v>395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383</v>
      </c>
      <c r="C287" t="s">
        <v>418</v>
      </c>
      <c r="D287" s="195">
        <v>2000000</v>
      </c>
      <c r="E287" t="s">
        <v>394</v>
      </c>
      <c r="F287" s="20" t="s">
        <v>395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392</v>
      </c>
      <c r="C288" t="s">
        <v>419</v>
      </c>
      <c r="D288" s="195">
        <v>3670000</v>
      </c>
      <c r="E288" t="s">
        <v>382</v>
      </c>
      <c r="F288" s="20" t="s">
        <v>368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367</v>
      </c>
      <c r="C289" t="s">
        <v>420</v>
      </c>
      <c r="D289" s="195">
        <v>2040000</v>
      </c>
      <c r="E289" t="s">
        <v>396</v>
      </c>
      <c r="F289" s="20" t="s">
        <v>397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385</v>
      </c>
      <c r="C290" t="s">
        <v>421</v>
      </c>
      <c r="D290" s="195">
        <v>2000000</v>
      </c>
      <c r="E290" t="s">
        <v>394</v>
      </c>
      <c r="F290" s="20" t="s">
        <v>395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370</v>
      </c>
      <c r="C291" t="s">
        <v>422</v>
      </c>
      <c r="D291" s="195">
        <v>3320000</v>
      </c>
      <c r="E291" t="s">
        <v>363</v>
      </c>
      <c r="F291" s="20" t="s">
        <v>364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361</v>
      </c>
      <c r="C292" t="s">
        <v>423</v>
      </c>
      <c r="D292" s="195">
        <v>3500000</v>
      </c>
      <c r="E292" t="s">
        <v>376</v>
      </c>
      <c r="F292" s="20" t="s">
        <v>377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383</v>
      </c>
      <c r="C293" t="s">
        <v>424</v>
      </c>
      <c r="D293" s="195">
        <v>3220000</v>
      </c>
      <c r="E293" t="s">
        <v>378</v>
      </c>
      <c r="F293" s="20" t="s">
        <v>379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386</v>
      </c>
      <c r="C294" t="s">
        <v>388</v>
      </c>
      <c r="D294" s="195">
        <v>3670000</v>
      </c>
      <c r="E294" t="s">
        <v>382</v>
      </c>
      <c r="F294" s="20" t="s">
        <v>368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366</v>
      </c>
      <c r="C295" t="s">
        <v>425</v>
      </c>
      <c r="D295" s="195">
        <v>2040000</v>
      </c>
      <c r="E295" t="s">
        <v>396</v>
      </c>
      <c r="F295" s="20" t="s">
        <v>397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385</v>
      </c>
      <c r="C296" t="s">
        <v>426</v>
      </c>
      <c r="D296" s="195">
        <v>3220000</v>
      </c>
      <c r="E296" t="s">
        <v>378</v>
      </c>
      <c r="F296" s="20" t="s">
        <v>379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356</v>
      </c>
      <c r="C297" t="s">
        <v>427</v>
      </c>
      <c r="D297" s="195">
        <v>3500000</v>
      </c>
      <c r="E297" t="s">
        <v>376</v>
      </c>
      <c r="F297" s="20" t="s">
        <v>377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371</v>
      </c>
      <c r="C298" t="s">
        <v>428</v>
      </c>
      <c r="D298" s="195">
        <v>3320000</v>
      </c>
      <c r="E298" t="s">
        <v>363</v>
      </c>
      <c r="F298" s="20" t="s">
        <v>364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383</v>
      </c>
      <c r="C299" t="s">
        <v>429</v>
      </c>
      <c r="D299" s="195">
        <v>2000000</v>
      </c>
      <c r="E299" t="s">
        <v>394</v>
      </c>
      <c r="F299" s="20" t="s">
        <v>395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392</v>
      </c>
      <c r="C300" t="s">
        <v>430</v>
      </c>
      <c r="D300" s="195">
        <v>3670000</v>
      </c>
      <c r="E300" t="s">
        <v>382</v>
      </c>
      <c r="F300" s="20" t="s">
        <v>368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367</v>
      </c>
      <c r="C301" t="s">
        <v>431</v>
      </c>
      <c r="D301" s="195">
        <v>2040000</v>
      </c>
      <c r="E301" t="s">
        <v>396</v>
      </c>
      <c r="F301" s="20" t="s">
        <v>397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385</v>
      </c>
      <c r="C302" t="s">
        <v>432</v>
      </c>
      <c r="D302" s="195">
        <v>2000000</v>
      </c>
      <c r="E302" t="s">
        <v>394</v>
      </c>
      <c r="F302" s="20" t="s">
        <v>395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361</v>
      </c>
      <c r="C303" t="s">
        <v>389</v>
      </c>
      <c r="D303" s="195">
        <v>3500000</v>
      </c>
      <c r="E303" t="s">
        <v>376</v>
      </c>
      <c r="F303" s="20" t="s">
        <v>377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370</v>
      </c>
      <c r="C304" t="s">
        <v>433</v>
      </c>
      <c r="D304" s="195">
        <v>3320000</v>
      </c>
      <c r="E304" t="s">
        <v>363</v>
      </c>
      <c r="F304" s="20" t="s">
        <v>364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386</v>
      </c>
      <c r="C305" t="s">
        <v>434</v>
      </c>
      <c r="D305" s="195">
        <v>3670000</v>
      </c>
      <c r="E305" t="s">
        <v>382</v>
      </c>
      <c r="F305" s="20" t="s">
        <v>368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366</v>
      </c>
      <c r="C306" t="s">
        <v>435</v>
      </c>
      <c r="D306" s="195">
        <v>2040000</v>
      </c>
      <c r="E306" t="s">
        <v>396</v>
      </c>
      <c r="F306" s="20" t="s">
        <v>397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356</v>
      </c>
      <c r="C307" t="s">
        <v>436</v>
      </c>
      <c r="D307" s="195">
        <v>3500000</v>
      </c>
      <c r="E307" t="s">
        <v>376</v>
      </c>
      <c r="F307" s="20" t="s">
        <v>377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371</v>
      </c>
      <c r="C308" t="s">
        <v>437</v>
      </c>
      <c r="D308" s="195">
        <v>3320000</v>
      </c>
      <c r="E308" t="s">
        <v>363</v>
      </c>
      <c r="F308" s="20" t="s">
        <v>364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392</v>
      </c>
      <c r="C309" t="s">
        <v>438</v>
      </c>
      <c r="D309" s="195">
        <v>3670000</v>
      </c>
      <c r="E309" t="s">
        <v>382</v>
      </c>
      <c r="F309" s="20" t="s">
        <v>368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367</v>
      </c>
      <c r="C310" t="s">
        <v>439</v>
      </c>
      <c r="D310" s="195">
        <v>2040000</v>
      </c>
      <c r="E310" t="s">
        <v>396</v>
      </c>
      <c r="F310" s="20" t="s">
        <v>397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370</v>
      </c>
      <c r="C311" t="s">
        <v>440</v>
      </c>
      <c r="D311" s="195">
        <v>3320000</v>
      </c>
      <c r="E311" t="s">
        <v>363</v>
      </c>
      <c r="F311" s="20" t="s">
        <v>364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366</v>
      </c>
      <c r="C312" t="s">
        <v>441</v>
      </c>
      <c r="D312" s="195">
        <v>2040000</v>
      </c>
      <c r="E312" t="s">
        <v>396</v>
      </c>
      <c r="F312" s="20" t="s">
        <v>397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351</v>
      </c>
      <c r="C313" t="s">
        <v>365</v>
      </c>
      <c r="D313" s="195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T29"/>
    </sheetView>
  </sheetViews>
  <sheetFormatPr defaultColWidth="9.140625" defaultRowHeight="15" x14ac:dyDescent="0.25"/>
  <cols>
    <col min="1" max="1" width="22.5703125" style="140" customWidth="1"/>
    <col min="2" max="2" width="8.42578125" style="140" bestFit="1" customWidth="1"/>
    <col min="3" max="3" width="12.5703125" style="140" bestFit="1" customWidth="1"/>
    <col min="4" max="4" width="18.5703125" style="130" bestFit="1" customWidth="1"/>
    <col min="5" max="5" width="9.85546875" style="140" bestFit="1" customWidth="1"/>
    <col min="6" max="6" width="9" style="140" bestFit="1" customWidth="1"/>
    <col min="7" max="7" width="8.85546875" style="140" bestFit="1" customWidth="1"/>
    <col min="8" max="8" width="14" style="140" bestFit="1" customWidth="1"/>
    <col min="9" max="9" width="21.140625" style="140" bestFit="1" customWidth="1"/>
    <col min="10" max="10" width="8.7109375" style="140" bestFit="1" customWidth="1"/>
    <col min="11" max="11" width="11.28515625" style="140" bestFit="1" customWidth="1"/>
    <col min="12" max="12" width="11" style="140" bestFit="1" customWidth="1"/>
    <col min="13" max="13" width="11.28515625" style="140" bestFit="1" customWidth="1"/>
    <col min="14" max="14" width="13.7109375" style="140" bestFit="1" customWidth="1"/>
    <col min="15" max="15" width="14.85546875" style="140" bestFit="1" customWidth="1"/>
    <col min="16" max="16" width="16.7109375" style="140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7" t="s">
        <v>156</v>
      </c>
      <c r="B1" s="217" t="s">
        <v>159</v>
      </c>
      <c r="C1" s="217" t="s">
        <v>152</v>
      </c>
      <c r="D1" s="136" t="s">
        <v>164</v>
      </c>
      <c r="E1" s="217" t="s">
        <v>153</v>
      </c>
      <c r="F1" s="217" t="s">
        <v>151</v>
      </c>
      <c r="G1" s="217" t="s">
        <v>149</v>
      </c>
      <c r="H1" s="217" t="s">
        <v>904</v>
      </c>
      <c r="I1" s="217" t="s">
        <v>162</v>
      </c>
      <c r="J1" s="217" t="s">
        <v>163</v>
      </c>
      <c r="K1" s="217" t="s">
        <v>447</v>
      </c>
      <c r="L1" s="217" t="s">
        <v>157</v>
      </c>
      <c r="M1" s="217" t="s">
        <v>155</v>
      </c>
      <c r="N1" s="217" t="s">
        <v>150</v>
      </c>
      <c r="O1" s="217" t="s">
        <v>160</v>
      </c>
      <c r="P1" s="217" t="s">
        <v>334</v>
      </c>
      <c r="Q1" s="217" t="s">
        <v>154</v>
      </c>
      <c r="R1" s="217" t="s">
        <v>161</v>
      </c>
      <c r="S1" s="217" t="s">
        <v>335</v>
      </c>
      <c r="T1" s="217" t="s">
        <v>158</v>
      </c>
    </row>
    <row r="2" spans="1:20" x14ac:dyDescent="0.25">
      <c r="A2" s="195">
        <v>33.619999999999997</v>
      </c>
      <c r="B2" s="195">
        <v>0.21</v>
      </c>
      <c r="C2" s="195">
        <v>19.2</v>
      </c>
      <c r="D2" s="8">
        <v>43057</v>
      </c>
      <c r="E2" s="195">
        <v>0.46</v>
      </c>
      <c r="F2" s="195" t="s">
        <v>486</v>
      </c>
      <c r="G2" s="195">
        <v>275.95</v>
      </c>
      <c r="H2" s="195"/>
      <c r="I2" s="195">
        <v>8.0000000000000004E-4</v>
      </c>
      <c r="J2" s="195">
        <v>0.08</v>
      </c>
      <c r="K2" s="195" t="s">
        <v>448</v>
      </c>
      <c r="L2" s="195">
        <v>1011.25</v>
      </c>
      <c r="M2" s="195" t="s">
        <v>485</v>
      </c>
      <c r="N2" s="195">
        <v>38.15</v>
      </c>
      <c r="O2" s="195">
        <v>1510988400</v>
      </c>
      <c r="P2" s="195">
        <v>0</v>
      </c>
      <c r="Q2" s="195">
        <v>3.52</v>
      </c>
      <c r="R2" s="195">
        <v>298</v>
      </c>
      <c r="S2" s="195">
        <v>16.12</v>
      </c>
      <c r="T2" s="195">
        <v>5.91</v>
      </c>
    </row>
    <row r="3" spans="1:20" x14ac:dyDescent="0.25">
      <c r="A3" s="195">
        <v>30.61</v>
      </c>
      <c r="B3" s="195">
        <v>0.17</v>
      </c>
      <c r="C3" s="195">
        <v>16.11</v>
      </c>
      <c r="D3" s="8">
        <v>43057.041666666664</v>
      </c>
      <c r="E3" s="195">
        <v>0.43</v>
      </c>
      <c r="F3" s="195" t="s">
        <v>486</v>
      </c>
      <c r="G3" s="195">
        <v>279.88</v>
      </c>
      <c r="H3" s="195"/>
      <c r="I3" s="195">
        <v>5.0000000000000001E-4</v>
      </c>
      <c r="J3" s="195">
        <v>0.05</v>
      </c>
      <c r="K3" s="195" t="s">
        <v>448</v>
      </c>
      <c r="L3" s="195">
        <v>1013.48</v>
      </c>
      <c r="M3" s="195" t="s">
        <v>485</v>
      </c>
      <c r="N3" s="195">
        <v>36.29</v>
      </c>
      <c r="O3" s="195">
        <v>1510992000</v>
      </c>
      <c r="P3" s="195">
        <v>0</v>
      </c>
      <c r="Q3" s="195">
        <v>3.52</v>
      </c>
      <c r="R3" s="195">
        <v>299</v>
      </c>
      <c r="S3" s="195">
        <v>16.899999999999999</v>
      </c>
      <c r="T3" s="195">
        <v>7.1</v>
      </c>
    </row>
    <row r="4" spans="1:20" x14ac:dyDescent="0.25">
      <c r="A4" s="195">
        <v>27.99</v>
      </c>
      <c r="B4" s="195">
        <v>0.41</v>
      </c>
      <c r="C4" s="195">
        <v>20.239999999999998</v>
      </c>
      <c r="D4" s="8">
        <v>43057.083333333336</v>
      </c>
      <c r="E4" s="195">
        <v>0.57999999999999996</v>
      </c>
      <c r="F4" s="195" t="s">
        <v>905</v>
      </c>
      <c r="G4" s="195">
        <v>282.57</v>
      </c>
      <c r="H4" s="195">
        <v>0</v>
      </c>
      <c r="I4" s="195">
        <v>2.9999999999999997E-4</v>
      </c>
      <c r="J4" s="195">
        <v>0.06</v>
      </c>
      <c r="K4" s="195" t="s">
        <v>906</v>
      </c>
      <c r="L4" s="195">
        <v>1016.44</v>
      </c>
      <c r="M4" s="195" t="s">
        <v>484</v>
      </c>
      <c r="N4" s="195">
        <v>33.369999999999997</v>
      </c>
      <c r="O4" s="195">
        <v>1510995600</v>
      </c>
      <c r="P4" s="195">
        <v>0</v>
      </c>
      <c r="Q4" s="195">
        <v>3.29</v>
      </c>
      <c r="R4" s="195">
        <v>344</v>
      </c>
      <c r="S4" s="195">
        <v>16.16</v>
      </c>
      <c r="T4" s="195">
        <v>5.83</v>
      </c>
    </row>
    <row r="5" spans="1:20" x14ac:dyDescent="0.25">
      <c r="A5" s="195">
        <v>27.99</v>
      </c>
      <c r="B5" s="195">
        <v>0.22</v>
      </c>
      <c r="C5" s="195">
        <v>21.42</v>
      </c>
      <c r="D5" s="8">
        <v>43057.125</v>
      </c>
      <c r="E5" s="195">
        <v>0.65</v>
      </c>
      <c r="F5" s="195" t="s">
        <v>486</v>
      </c>
      <c r="G5" s="195">
        <v>282.68</v>
      </c>
      <c r="H5" s="195">
        <v>0</v>
      </c>
      <c r="I5" s="195">
        <v>1E-4</v>
      </c>
      <c r="J5" s="195">
        <v>0.02</v>
      </c>
      <c r="K5" s="195" t="s">
        <v>906</v>
      </c>
      <c r="L5" s="195">
        <v>1019.84</v>
      </c>
      <c r="M5" s="195" t="s">
        <v>485</v>
      </c>
      <c r="N5" s="195">
        <v>31.69</v>
      </c>
      <c r="O5" s="195">
        <v>1510999200</v>
      </c>
      <c r="P5" s="195">
        <v>0</v>
      </c>
      <c r="Q5" s="195">
        <v>3.52</v>
      </c>
      <c r="R5" s="195">
        <v>341</v>
      </c>
      <c r="S5" s="195">
        <v>9.34</v>
      </c>
      <c r="T5" s="195">
        <v>3.77</v>
      </c>
    </row>
    <row r="6" spans="1:20" x14ac:dyDescent="0.25">
      <c r="A6" s="195">
        <v>30.23</v>
      </c>
      <c r="B6" s="195">
        <v>0.09</v>
      </c>
      <c r="C6" s="195">
        <v>20.059999999999999</v>
      </c>
      <c r="D6" s="8">
        <v>43057.166666666664</v>
      </c>
      <c r="E6" s="195">
        <v>0.65</v>
      </c>
      <c r="F6" s="195" t="s">
        <v>486</v>
      </c>
      <c r="G6" s="195">
        <v>281.26</v>
      </c>
      <c r="H6" s="195"/>
      <c r="I6" s="195">
        <v>0</v>
      </c>
      <c r="J6" s="195">
        <v>0</v>
      </c>
      <c r="K6" s="195"/>
      <c r="L6" s="195">
        <v>1019.9</v>
      </c>
      <c r="M6" s="195" t="s">
        <v>485</v>
      </c>
      <c r="N6" s="195">
        <v>30.23</v>
      </c>
      <c r="O6" s="195">
        <v>1511002800</v>
      </c>
      <c r="P6" s="195">
        <v>0</v>
      </c>
      <c r="Q6" s="195">
        <v>3.52</v>
      </c>
      <c r="R6" s="195">
        <v>308</v>
      </c>
      <c r="S6" s="195">
        <v>5.05</v>
      </c>
      <c r="T6" s="195">
        <v>1.72</v>
      </c>
    </row>
    <row r="7" spans="1:20" x14ac:dyDescent="0.25">
      <c r="A7" s="195">
        <v>29.67</v>
      </c>
      <c r="B7" s="195">
        <v>0.13</v>
      </c>
      <c r="C7" s="195">
        <v>17.09</v>
      </c>
      <c r="D7" s="8">
        <v>43057.208333333336</v>
      </c>
      <c r="E7" s="195">
        <v>0.59</v>
      </c>
      <c r="F7" s="195" t="s">
        <v>486</v>
      </c>
      <c r="G7" s="195">
        <v>271.67</v>
      </c>
      <c r="H7" s="195"/>
      <c r="I7" s="195">
        <v>0</v>
      </c>
      <c r="J7" s="195">
        <v>0</v>
      </c>
      <c r="K7" s="195"/>
      <c r="L7" s="195">
        <v>1021.75</v>
      </c>
      <c r="M7" s="195" t="s">
        <v>485</v>
      </c>
      <c r="N7" s="195">
        <v>29.67</v>
      </c>
      <c r="O7" s="195">
        <v>1511006400</v>
      </c>
      <c r="P7" s="195">
        <v>0</v>
      </c>
      <c r="Q7" s="195">
        <v>3.52</v>
      </c>
      <c r="R7" s="195">
        <v>271</v>
      </c>
      <c r="S7" s="195">
        <v>6.81</v>
      </c>
      <c r="T7" s="195">
        <v>2.29</v>
      </c>
    </row>
    <row r="8" spans="1:20" x14ac:dyDescent="0.25">
      <c r="A8" s="195">
        <v>30.02</v>
      </c>
      <c r="B8" s="195">
        <v>0.04</v>
      </c>
      <c r="C8" s="195">
        <v>14.11</v>
      </c>
      <c r="D8" s="8">
        <v>43057.25</v>
      </c>
      <c r="E8" s="195">
        <v>0.51</v>
      </c>
      <c r="F8" s="195" t="s">
        <v>486</v>
      </c>
      <c r="G8" s="195">
        <v>269.33</v>
      </c>
      <c r="H8" s="195"/>
      <c r="I8" s="195">
        <v>0</v>
      </c>
      <c r="J8" s="195">
        <v>0</v>
      </c>
      <c r="K8" s="195"/>
      <c r="L8" s="195">
        <v>1023.3</v>
      </c>
      <c r="M8" s="195" t="s">
        <v>485</v>
      </c>
      <c r="N8" s="195">
        <v>30.02</v>
      </c>
      <c r="O8" s="195">
        <v>1511010000</v>
      </c>
      <c r="P8" s="195">
        <v>0</v>
      </c>
      <c r="Q8" s="195">
        <v>3.95</v>
      </c>
      <c r="R8" s="195">
        <v>263</v>
      </c>
      <c r="S8" s="195">
        <v>6.92</v>
      </c>
      <c r="T8" s="195">
        <v>2.61</v>
      </c>
    </row>
    <row r="9" spans="1:20" x14ac:dyDescent="0.25">
      <c r="A9" s="195">
        <v>29.54</v>
      </c>
      <c r="B9" s="195">
        <v>0.04</v>
      </c>
      <c r="C9" s="195">
        <v>12.31</v>
      </c>
      <c r="D9" s="8">
        <v>43057.291666666664</v>
      </c>
      <c r="E9" s="195">
        <v>0.48</v>
      </c>
      <c r="F9" s="195" t="s">
        <v>547</v>
      </c>
      <c r="G9" s="195">
        <v>267.35000000000002</v>
      </c>
      <c r="H9" s="195"/>
      <c r="I9" s="195">
        <v>0</v>
      </c>
      <c r="J9" s="195">
        <v>0</v>
      </c>
      <c r="K9" s="195"/>
      <c r="L9" s="195">
        <v>1024.67</v>
      </c>
      <c r="M9" s="195" t="s">
        <v>485</v>
      </c>
      <c r="N9" s="195">
        <v>29.54</v>
      </c>
      <c r="O9" s="195">
        <v>1511013600</v>
      </c>
      <c r="P9" s="195">
        <v>0</v>
      </c>
      <c r="Q9" s="195">
        <v>4.79</v>
      </c>
      <c r="R9" s="195">
        <v>259</v>
      </c>
      <c r="S9" s="195">
        <v>5.26</v>
      </c>
      <c r="T9" s="195">
        <v>2.0299999999999998</v>
      </c>
    </row>
    <row r="10" spans="1:20" x14ac:dyDescent="0.25">
      <c r="A10" s="195">
        <v>31.82</v>
      </c>
      <c r="B10" s="195">
        <v>0.04</v>
      </c>
      <c r="C10" s="195">
        <v>12.45</v>
      </c>
      <c r="D10" s="8">
        <v>43057.333333333336</v>
      </c>
      <c r="E10" s="195">
        <v>0.44</v>
      </c>
      <c r="F10" s="195" t="s">
        <v>547</v>
      </c>
      <c r="G10" s="195">
        <v>265.85000000000002</v>
      </c>
      <c r="H10" s="195"/>
      <c r="I10" s="195">
        <v>0</v>
      </c>
      <c r="J10" s="195">
        <v>0</v>
      </c>
      <c r="K10" s="195"/>
      <c r="L10" s="195">
        <v>1025.3699999999999</v>
      </c>
      <c r="M10" s="195" t="s">
        <v>485</v>
      </c>
      <c r="N10" s="195">
        <v>31.82</v>
      </c>
      <c r="O10" s="195">
        <v>1511017200</v>
      </c>
      <c r="P10" s="195">
        <v>1</v>
      </c>
      <c r="Q10" s="195">
        <v>4.79</v>
      </c>
      <c r="R10" s="195">
        <v>241</v>
      </c>
      <c r="S10" s="195">
        <v>4.7300000000000004</v>
      </c>
      <c r="T10" s="195">
        <v>1.1200000000000001</v>
      </c>
    </row>
    <row r="11" spans="1:20" x14ac:dyDescent="0.25">
      <c r="A11" s="195">
        <v>35.79</v>
      </c>
      <c r="B11" s="195">
        <v>0.04</v>
      </c>
      <c r="C11" s="195">
        <v>12.55</v>
      </c>
      <c r="D11" s="8">
        <v>43057.375</v>
      </c>
      <c r="E11" s="195">
        <v>0.38</v>
      </c>
      <c r="F11" s="195" t="s">
        <v>547</v>
      </c>
      <c r="G11" s="195">
        <v>264.85000000000002</v>
      </c>
      <c r="H11" s="195"/>
      <c r="I11" s="195">
        <v>1E-4</v>
      </c>
      <c r="J11" s="195">
        <v>0.01</v>
      </c>
      <c r="K11" s="195" t="s">
        <v>448</v>
      </c>
      <c r="L11" s="195">
        <v>1025.31</v>
      </c>
      <c r="M11" s="195" t="s">
        <v>485</v>
      </c>
      <c r="N11" s="195">
        <v>35.79</v>
      </c>
      <c r="O11" s="195">
        <v>1511020800</v>
      </c>
      <c r="P11" s="195">
        <v>1</v>
      </c>
      <c r="Q11" s="195">
        <v>4.16</v>
      </c>
      <c r="R11" s="195">
        <v>184</v>
      </c>
      <c r="S11" s="195">
        <v>5.21</v>
      </c>
      <c r="T11" s="195">
        <v>0.9</v>
      </c>
    </row>
    <row r="12" spans="1:20" x14ac:dyDescent="0.25">
      <c r="A12" s="195">
        <v>38.79</v>
      </c>
      <c r="B12" s="195">
        <v>0.04</v>
      </c>
      <c r="C12" s="195">
        <v>12.83</v>
      </c>
      <c r="D12" s="8">
        <v>43057.416666666664</v>
      </c>
      <c r="E12" s="195">
        <v>0.34</v>
      </c>
      <c r="F12" s="195" t="s">
        <v>547</v>
      </c>
      <c r="G12" s="195">
        <v>264.08999999999997</v>
      </c>
      <c r="H12" s="195"/>
      <c r="I12" s="195">
        <v>2.9999999999999997E-4</v>
      </c>
      <c r="J12" s="195">
        <v>0.03</v>
      </c>
      <c r="K12" s="195" t="s">
        <v>448</v>
      </c>
      <c r="L12" s="195">
        <v>1024.68</v>
      </c>
      <c r="M12" s="195" t="s">
        <v>485</v>
      </c>
      <c r="N12" s="195">
        <v>38.79</v>
      </c>
      <c r="O12" s="195">
        <v>1511024400</v>
      </c>
      <c r="P12" s="195">
        <v>2</v>
      </c>
      <c r="Q12" s="195">
        <v>4.16</v>
      </c>
      <c r="R12" s="195">
        <v>162</v>
      </c>
      <c r="S12" s="195">
        <v>8.42</v>
      </c>
      <c r="T12" s="195">
        <v>2.25</v>
      </c>
    </row>
    <row r="13" spans="1:20" x14ac:dyDescent="0.25">
      <c r="A13" s="195">
        <v>39.659999999999997</v>
      </c>
      <c r="B13" s="195">
        <v>0.02</v>
      </c>
      <c r="C13" s="195">
        <v>12.94</v>
      </c>
      <c r="D13" s="8">
        <v>43057.458333333336</v>
      </c>
      <c r="E13" s="195">
        <v>0.31</v>
      </c>
      <c r="F13" s="195" t="s">
        <v>547</v>
      </c>
      <c r="G13" s="195">
        <v>260.27</v>
      </c>
      <c r="H13" s="195"/>
      <c r="I13" s="195">
        <v>6.9999999999999999E-4</v>
      </c>
      <c r="J13" s="195">
        <v>0.04</v>
      </c>
      <c r="K13" s="195" t="s">
        <v>448</v>
      </c>
      <c r="L13" s="195">
        <v>1024.2</v>
      </c>
      <c r="M13" s="195" t="s">
        <v>485</v>
      </c>
      <c r="N13" s="195">
        <v>41.4</v>
      </c>
      <c r="O13" s="195">
        <v>1511028000</v>
      </c>
      <c r="P13" s="195">
        <v>3</v>
      </c>
      <c r="Q13" s="195">
        <v>4.16</v>
      </c>
      <c r="R13" s="195">
        <v>166</v>
      </c>
      <c r="S13" s="195">
        <v>9.69</v>
      </c>
      <c r="T13" s="195">
        <v>3.26</v>
      </c>
    </row>
    <row r="14" spans="1:20" x14ac:dyDescent="0.25">
      <c r="A14" s="195">
        <v>42.08</v>
      </c>
      <c r="B14" s="195">
        <v>7.0000000000000007E-2</v>
      </c>
      <c r="C14" s="195">
        <v>12.82</v>
      </c>
      <c r="D14" s="8">
        <v>43057.5</v>
      </c>
      <c r="E14" s="195">
        <v>0.28000000000000003</v>
      </c>
      <c r="F14" s="195" t="s">
        <v>547</v>
      </c>
      <c r="G14" s="195">
        <v>260.14999999999998</v>
      </c>
      <c r="H14" s="195"/>
      <c r="I14" s="195">
        <v>8.9999999999999998E-4</v>
      </c>
      <c r="J14" s="195">
        <v>0.04</v>
      </c>
      <c r="K14" s="195" t="s">
        <v>448</v>
      </c>
      <c r="L14" s="195">
        <v>1023.12</v>
      </c>
      <c r="M14" s="195" t="s">
        <v>485</v>
      </c>
      <c r="N14" s="195">
        <v>43.58</v>
      </c>
      <c r="O14" s="195">
        <v>1511031600</v>
      </c>
      <c r="P14" s="195">
        <v>3</v>
      </c>
      <c r="Q14" s="195">
        <v>4.16</v>
      </c>
      <c r="R14" s="195">
        <v>170</v>
      </c>
      <c r="S14" s="195">
        <v>10.01</v>
      </c>
      <c r="T14" s="195">
        <v>3.32</v>
      </c>
    </row>
    <row r="15" spans="1:20" x14ac:dyDescent="0.25">
      <c r="A15" s="195">
        <v>45.93</v>
      </c>
      <c r="B15" s="195">
        <v>0.04</v>
      </c>
      <c r="C15" s="195">
        <v>13.18</v>
      </c>
      <c r="D15" s="8">
        <v>43057.541666666664</v>
      </c>
      <c r="E15" s="195">
        <v>0.26</v>
      </c>
      <c r="F15" s="195" t="s">
        <v>547</v>
      </c>
      <c r="G15" s="195">
        <v>260.52999999999997</v>
      </c>
      <c r="H15" s="195"/>
      <c r="I15" s="195">
        <v>6.9999999999999999E-4</v>
      </c>
      <c r="J15" s="195">
        <v>0.04</v>
      </c>
      <c r="K15" s="195" t="s">
        <v>448</v>
      </c>
      <c r="L15" s="195">
        <v>1022.04</v>
      </c>
      <c r="M15" s="195" t="s">
        <v>485</v>
      </c>
      <c r="N15" s="195">
        <v>45.93</v>
      </c>
      <c r="O15" s="195">
        <v>1511035200</v>
      </c>
      <c r="P15" s="195">
        <v>2</v>
      </c>
      <c r="Q15" s="195">
        <v>4.16</v>
      </c>
      <c r="R15" s="195">
        <v>182</v>
      </c>
      <c r="S15" s="195">
        <v>9.34</v>
      </c>
      <c r="T15" s="195">
        <v>2.9</v>
      </c>
    </row>
    <row r="16" spans="1:20" x14ac:dyDescent="0.25">
      <c r="A16" s="195">
        <v>47.91</v>
      </c>
      <c r="B16" s="195">
        <v>0.02</v>
      </c>
      <c r="C16" s="195">
        <v>13.17</v>
      </c>
      <c r="D16" s="8">
        <v>43057.583333333336</v>
      </c>
      <c r="E16" s="195">
        <v>0.24</v>
      </c>
      <c r="F16" s="195" t="s">
        <v>547</v>
      </c>
      <c r="G16" s="195">
        <v>260.66000000000003</v>
      </c>
      <c r="H16" s="195"/>
      <c r="I16" s="195">
        <v>5.9999999999999995E-4</v>
      </c>
      <c r="J16" s="195">
        <v>0.03</v>
      </c>
      <c r="K16" s="195" t="s">
        <v>448</v>
      </c>
      <c r="L16" s="195">
        <v>1021.77</v>
      </c>
      <c r="M16" s="195" t="s">
        <v>485</v>
      </c>
      <c r="N16" s="195">
        <v>47.91</v>
      </c>
      <c r="O16" s="195">
        <v>1511038800</v>
      </c>
      <c r="P16" s="195">
        <v>2</v>
      </c>
      <c r="Q16" s="195">
        <v>4.79</v>
      </c>
      <c r="R16" s="195">
        <v>193</v>
      </c>
      <c r="S16" s="195">
        <v>7.64</v>
      </c>
      <c r="T16" s="195">
        <v>1.59</v>
      </c>
    </row>
    <row r="17" spans="1:20" x14ac:dyDescent="0.25">
      <c r="A17" s="195">
        <v>48.78</v>
      </c>
      <c r="B17" s="195">
        <v>0.04</v>
      </c>
      <c r="C17" s="195">
        <v>11.98</v>
      </c>
      <c r="D17" s="8">
        <v>43057.625</v>
      </c>
      <c r="E17" s="195">
        <v>0.22</v>
      </c>
      <c r="F17" s="195" t="s">
        <v>547</v>
      </c>
      <c r="G17" s="195">
        <v>259.89999999999998</v>
      </c>
      <c r="H17" s="195"/>
      <c r="I17" s="195">
        <v>2.9999999999999997E-4</v>
      </c>
      <c r="J17" s="195">
        <v>0.03</v>
      </c>
      <c r="K17" s="195" t="s">
        <v>448</v>
      </c>
      <c r="L17" s="195">
        <v>1021.78</v>
      </c>
      <c r="M17" s="195" t="s">
        <v>485</v>
      </c>
      <c r="N17" s="195">
        <v>48.78</v>
      </c>
      <c r="O17" s="195">
        <v>1511042400</v>
      </c>
      <c r="P17" s="195">
        <v>1</v>
      </c>
      <c r="Q17" s="195">
        <v>4.79</v>
      </c>
      <c r="R17" s="195">
        <v>249</v>
      </c>
      <c r="S17" s="195">
        <v>9.2200000000000006</v>
      </c>
      <c r="T17" s="195">
        <v>2.14</v>
      </c>
    </row>
    <row r="18" spans="1:20" x14ac:dyDescent="0.25">
      <c r="A18" s="195">
        <v>47.31</v>
      </c>
      <c r="B18" s="195">
        <v>0</v>
      </c>
      <c r="C18" s="195">
        <v>11.13</v>
      </c>
      <c r="D18" s="8">
        <v>43057.666666666664</v>
      </c>
      <c r="E18" s="195">
        <v>0.23</v>
      </c>
      <c r="F18" s="195" t="s">
        <v>547</v>
      </c>
      <c r="G18" s="195">
        <v>258.74</v>
      </c>
      <c r="H18" s="195"/>
      <c r="I18" s="195">
        <v>1E-4</v>
      </c>
      <c r="J18" s="195">
        <v>0.02</v>
      </c>
      <c r="K18" s="195" t="s">
        <v>448</v>
      </c>
      <c r="L18" s="195">
        <v>1022.2</v>
      </c>
      <c r="M18" s="195" t="s">
        <v>485</v>
      </c>
      <c r="N18" s="195">
        <v>47.31</v>
      </c>
      <c r="O18" s="195">
        <v>1511046000</v>
      </c>
      <c r="P18" s="195">
        <v>1</v>
      </c>
      <c r="Q18" s="195">
        <v>4.63</v>
      </c>
      <c r="R18" s="195">
        <v>294</v>
      </c>
      <c r="S18" s="195">
        <v>9.67</v>
      </c>
      <c r="T18" s="195">
        <v>2.5299999999999998</v>
      </c>
    </row>
    <row r="19" spans="1:20" x14ac:dyDescent="0.25">
      <c r="A19" s="195">
        <v>43.41</v>
      </c>
      <c r="B19" s="195">
        <v>0.03</v>
      </c>
      <c r="C19" s="195">
        <v>10.46</v>
      </c>
      <c r="D19" s="8">
        <v>43057.708333333336</v>
      </c>
      <c r="E19" s="195">
        <v>0.26</v>
      </c>
      <c r="F19" s="195" t="s">
        <v>486</v>
      </c>
      <c r="G19" s="195">
        <v>256.42</v>
      </c>
      <c r="H19" s="195"/>
      <c r="I19" s="195">
        <v>0</v>
      </c>
      <c r="J19" s="195">
        <v>0</v>
      </c>
      <c r="K19" s="195"/>
      <c r="L19" s="195">
        <v>1023.54</v>
      </c>
      <c r="M19" s="195" t="s">
        <v>485</v>
      </c>
      <c r="N19" s="195">
        <v>43.41</v>
      </c>
      <c r="O19" s="195">
        <v>1511049600</v>
      </c>
      <c r="P19" s="195">
        <v>0</v>
      </c>
      <c r="Q19" s="195">
        <v>4.79</v>
      </c>
      <c r="R19" s="195">
        <v>281</v>
      </c>
      <c r="S19" s="195">
        <v>8.9</v>
      </c>
      <c r="T19" s="195">
        <v>2.8</v>
      </c>
    </row>
    <row r="20" spans="1:20" x14ac:dyDescent="0.25">
      <c r="A20" s="195">
        <v>40.76</v>
      </c>
      <c r="B20" s="195">
        <v>0.05</v>
      </c>
      <c r="C20" s="195">
        <v>12.16</v>
      </c>
      <c r="D20" s="8">
        <v>43057.75</v>
      </c>
      <c r="E20" s="195">
        <v>0.31</v>
      </c>
      <c r="F20" s="195" t="s">
        <v>486</v>
      </c>
      <c r="G20" s="195">
        <v>256.16000000000003</v>
      </c>
      <c r="H20" s="195"/>
      <c r="I20" s="195">
        <v>0</v>
      </c>
      <c r="J20" s="195">
        <v>0</v>
      </c>
      <c r="K20" s="195"/>
      <c r="L20" s="195">
        <v>1024.2</v>
      </c>
      <c r="M20" s="195" t="s">
        <v>485</v>
      </c>
      <c r="N20" s="195">
        <v>40.76</v>
      </c>
      <c r="O20" s="195">
        <v>1511053200</v>
      </c>
      <c r="P20" s="195">
        <v>0</v>
      </c>
      <c r="Q20" s="195">
        <v>4.59</v>
      </c>
      <c r="R20" s="195">
        <v>270</v>
      </c>
      <c r="S20" s="195">
        <v>5.88</v>
      </c>
      <c r="T20" s="195">
        <v>1.6</v>
      </c>
    </row>
    <row r="21" spans="1:20" x14ac:dyDescent="0.25">
      <c r="A21" s="195">
        <v>37.24</v>
      </c>
      <c r="B21" s="195">
        <v>0.03</v>
      </c>
      <c r="C21" s="195">
        <v>18.62</v>
      </c>
      <c r="D21" s="8">
        <v>43057.791666666664</v>
      </c>
      <c r="E21" s="195">
        <v>0.46</v>
      </c>
      <c r="F21" s="195" t="s">
        <v>486</v>
      </c>
      <c r="G21" s="195">
        <v>256.55</v>
      </c>
      <c r="H21" s="195"/>
      <c r="I21" s="195">
        <v>0</v>
      </c>
      <c r="J21" s="195">
        <v>0</v>
      </c>
      <c r="K21" s="195"/>
      <c r="L21" s="195">
        <v>1024.8599999999999</v>
      </c>
      <c r="M21" s="195" t="s">
        <v>485</v>
      </c>
      <c r="N21" s="195">
        <v>37.24</v>
      </c>
      <c r="O21" s="195">
        <v>1511056800</v>
      </c>
      <c r="P21" s="195">
        <v>0</v>
      </c>
      <c r="Q21" s="195">
        <v>4.37</v>
      </c>
      <c r="R21" s="195">
        <v>201</v>
      </c>
      <c r="S21" s="195">
        <v>4.37</v>
      </c>
      <c r="T21" s="195">
        <v>0.93</v>
      </c>
    </row>
    <row r="22" spans="1:20" x14ac:dyDescent="0.25">
      <c r="A22" s="195">
        <v>35.06</v>
      </c>
      <c r="B22" s="195">
        <v>0</v>
      </c>
      <c r="C22" s="195">
        <v>19.309999999999999</v>
      </c>
      <c r="D22" s="8">
        <v>43057.833333333336</v>
      </c>
      <c r="E22" s="195">
        <v>0.52</v>
      </c>
      <c r="F22" s="195" t="s">
        <v>486</v>
      </c>
      <c r="G22" s="195">
        <v>256.68</v>
      </c>
      <c r="H22" s="195"/>
      <c r="I22" s="195">
        <v>0</v>
      </c>
      <c r="J22" s="195">
        <v>0</v>
      </c>
      <c r="K22" s="195"/>
      <c r="L22" s="195">
        <v>1026.5</v>
      </c>
      <c r="M22" s="195" t="s">
        <v>485</v>
      </c>
      <c r="N22" s="195">
        <v>35.06</v>
      </c>
      <c r="O22" s="195">
        <v>1511060400</v>
      </c>
      <c r="P22" s="195">
        <v>0</v>
      </c>
      <c r="Q22" s="195">
        <v>4.32</v>
      </c>
      <c r="R22" s="195">
        <v>200</v>
      </c>
      <c r="S22" s="195">
        <v>3.5</v>
      </c>
      <c r="T22" s="195">
        <v>0.35</v>
      </c>
    </row>
    <row r="23" spans="1:20" x14ac:dyDescent="0.25">
      <c r="A23" s="195">
        <v>33.06</v>
      </c>
      <c r="B23" s="195">
        <v>0.01</v>
      </c>
      <c r="C23" s="195">
        <v>19.350000000000001</v>
      </c>
      <c r="D23" s="8">
        <v>43057.875</v>
      </c>
      <c r="E23" s="195">
        <v>0.56999999999999995</v>
      </c>
      <c r="F23" s="195" t="s">
        <v>486</v>
      </c>
      <c r="G23" s="195">
        <v>256.55</v>
      </c>
      <c r="H23" s="195"/>
      <c r="I23" s="195">
        <v>0</v>
      </c>
      <c r="J23" s="195">
        <v>0</v>
      </c>
      <c r="K23" s="195"/>
      <c r="L23" s="195">
        <v>1025.24</v>
      </c>
      <c r="M23" s="195" t="s">
        <v>485</v>
      </c>
      <c r="N23" s="195">
        <v>33.06</v>
      </c>
      <c r="O23" s="195">
        <v>1511064000</v>
      </c>
      <c r="P23" s="195">
        <v>0</v>
      </c>
      <c r="Q23" s="195">
        <v>4.8</v>
      </c>
      <c r="R23" s="195">
        <v>195</v>
      </c>
      <c r="S23" s="195">
        <v>2.68</v>
      </c>
      <c r="T23" s="195">
        <v>0.67</v>
      </c>
    </row>
    <row r="24" spans="1:20" x14ac:dyDescent="0.25">
      <c r="A24" s="195">
        <v>31.49</v>
      </c>
      <c r="B24" s="195">
        <v>0</v>
      </c>
      <c r="C24" s="195">
        <v>19.25</v>
      </c>
      <c r="D24" s="8">
        <v>43057.916666666664</v>
      </c>
      <c r="E24" s="195">
        <v>0.6</v>
      </c>
      <c r="F24" s="195" t="s">
        <v>486</v>
      </c>
      <c r="G24" s="195">
        <v>256.04000000000002</v>
      </c>
      <c r="H24" s="195"/>
      <c r="I24" s="195">
        <v>0</v>
      </c>
      <c r="J24" s="195">
        <v>0</v>
      </c>
      <c r="K24" s="195"/>
      <c r="L24" s="195">
        <v>1025.5</v>
      </c>
      <c r="M24" s="195" t="s">
        <v>485</v>
      </c>
      <c r="N24" s="195">
        <v>31.49</v>
      </c>
      <c r="O24" s="195">
        <v>1511067600</v>
      </c>
      <c r="P24" s="195">
        <v>0</v>
      </c>
      <c r="Q24" s="195">
        <v>2.98</v>
      </c>
      <c r="R24" s="195">
        <v>194</v>
      </c>
      <c r="S24" s="195">
        <v>2.6</v>
      </c>
      <c r="T24" s="195">
        <v>0.66</v>
      </c>
    </row>
    <row r="25" spans="1:20" x14ac:dyDescent="0.25">
      <c r="A25" s="195">
        <v>30.37</v>
      </c>
      <c r="B25" s="195">
        <v>0.02</v>
      </c>
      <c r="C25" s="195">
        <v>18.84</v>
      </c>
      <c r="D25" s="8">
        <v>43057.958333333336</v>
      </c>
      <c r="E25" s="195">
        <v>0.62</v>
      </c>
      <c r="F25" s="195" t="s">
        <v>486</v>
      </c>
      <c r="G25" s="195">
        <v>255.52</v>
      </c>
      <c r="H25" s="195"/>
      <c r="I25" s="195">
        <v>0</v>
      </c>
      <c r="J25" s="195">
        <v>0</v>
      </c>
      <c r="K25" s="195"/>
      <c r="L25" s="195">
        <v>1024.7</v>
      </c>
      <c r="M25" s="195" t="s">
        <v>485</v>
      </c>
      <c r="N25" s="195">
        <v>30.37</v>
      </c>
      <c r="O25" s="195">
        <v>1511071200</v>
      </c>
      <c r="P25" s="195">
        <v>0</v>
      </c>
      <c r="Q25" s="195">
        <v>3.12</v>
      </c>
      <c r="R25" s="195">
        <v>185</v>
      </c>
      <c r="S25" s="195">
        <v>3.48</v>
      </c>
      <c r="T25" s="195">
        <v>1.1100000000000001</v>
      </c>
    </row>
    <row r="26" spans="1:20" x14ac:dyDescent="0.25">
      <c r="A26" s="195">
        <v>29.61</v>
      </c>
      <c r="B26" s="195">
        <v>0.02</v>
      </c>
      <c r="C26" s="195">
        <v>18.05</v>
      </c>
      <c r="D26" s="8">
        <v>43058</v>
      </c>
      <c r="E26" s="195">
        <v>0.62</v>
      </c>
      <c r="F26" s="195" t="s">
        <v>486</v>
      </c>
      <c r="G26" s="195">
        <v>254.86</v>
      </c>
      <c r="H26" s="195"/>
      <c r="I26" s="195">
        <v>0</v>
      </c>
      <c r="J26" s="195">
        <v>0</v>
      </c>
      <c r="K26" s="195"/>
      <c r="L26" s="195">
        <v>1024.3</v>
      </c>
      <c r="M26" s="195" t="s">
        <v>485</v>
      </c>
      <c r="N26" s="195">
        <v>29.61</v>
      </c>
      <c r="O26" s="195">
        <v>1511074800</v>
      </c>
      <c r="P26" s="195">
        <v>0</v>
      </c>
      <c r="Q26" s="195">
        <v>2.75</v>
      </c>
      <c r="R26" s="195">
        <v>183</v>
      </c>
      <c r="S26" s="195">
        <v>2.88</v>
      </c>
      <c r="T26" s="195">
        <v>0.88</v>
      </c>
    </row>
    <row r="27" spans="1:20" x14ac:dyDescent="0.25">
      <c r="A27" s="195">
        <v>28.8</v>
      </c>
      <c r="B27" s="195">
        <v>0.02</v>
      </c>
      <c r="C27" s="195">
        <v>17.53</v>
      </c>
      <c r="D27" s="8">
        <v>43058.041666666664</v>
      </c>
      <c r="E27" s="195">
        <v>0.62</v>
      </c>
      <c r="F27" s="195" t="s">
        <v>486</v>
      </c>
      <c r="G27" s="195">
        <v>253.94</v>
      </c>
      <c r="H27" s="195"/>
      <c r="I27" s="195">
        <v>0</v>
      </c>
      <c r="J27" s="195">
        <v>0</v>
      </c>
      <c r="K27" s="195"/>
      <c r="L27" s="195">
        <v>1024.1300000000001</v>
      </c>
      <c r="M27" s="195" t="s">
        <v>485</v>
      </c>
      <c r="N27" s="195">
        <v>28.8</v>
      </c>
      <c r="O27" s="195">
        <v>1511078400</v>
      </c>
      <c r="P27" s="195">
        <v>0</v>
      </c>
      <c r="Q27" s="195">
        <v>3.4</v>
      </c>
      <c r="R27" s="195">
        <v>176</v>
      </c>
      <c r="S27" s="195">
        <v>3.15</v>
      </c>
      <c r="T27" s="195">
        <v>0.73</v>
      </c>
    </row>
    <row r="28" spans="1:20" x14ac:dyDescent="0.25">
      <c r="A28" s="195">
        <v>27.88</v>
      </c>
      <c r="B28" s="195">
        <v>0.03</v>
      </c>
      <c r="C28" s="195">
        <v>17.13</v>
      </c>
      <c r="D28" s="8">
        <v>43058.083333333336</v>
      </c>
      <c r="E28" s="195">
        <v>0.64</v>
      </c>
      <c r="F28" s="195" t="s">
        <v>486</v>
      </c>
      <c r="G28" s="195">
        <v>253.28</v>
      </c>
      <c r="H28" s="195"/>
      <c r="I28" s="195">
        <v>0</v>
      </c>
      <c r="J28" s="195">
        <v>0</v>
      </c>
      <c r="K28" s="195"/>
      <c r="L28" s="195">
        <v>1025.21</v>
      </c>
      <c r="M28" s="195" t="s">
        <v>485</v>
      </c>
      <c r="N28" s="195">
        <v>27.88</v>
      </c>
      <c r="O28" s="195">
        <v>1511082000</v>
      </c>
      <c r="P28" s="195">
        <v>0</v>
      </c>
      <c r="Q28" s="195">
        <v>2.72</v>
      </c>
      <c r="R28" s="195">
        <v>217</v>
      </c>
      <c r="S28" s="195">
        <v>2.62</v>
      </c>
      <c r="T28" s="195">
        <v>0.54</v>
      </c>
    </row>
    <row r="29" spans="1:20" x14ac:dyDescent="0.25">
      <c r="A29" s="195">
        <v>27.36</v>
      </c>
      <c r="B29" s="195">
        <v>0.02</v>
      </c>
      <c r="C29" s="195">
        <v>15.77</v>
      </c>
      <c r="D29" s="8">
        <v>43058.125</v>
      </c>
      <c r="E29" s="195">
        <v>0.61</v>
      </c>
      <c r="F29" s="195" t="s">
        <v>486</v>
      </c>
      <c r="G29" s="195">
        <v>252.62</v>
      </c>
      <c r="H29" s="195"/>
      <c r="I29" s="195">
        <v>0</v>
      </c>
      <c r="J29" s="195">
        <v>0</v>
      </c>
      <c r="K29" s="195"/>
      <c r="L29" s="195">
        <v>1025.5</v>
      </c>
      <c r="M29" s="195" t="s">
        <v>485</v>
      </c>
      <c r="N29" s="195">
        <v>27.36</v>
      </c>
      <c r="O29" s="195">
        <v>1511085600</v>
      </c>
      <c r="P29" s="195">
        <v>0</v>
      </c>
      <c r="Q29" s="195">
        <v>4.66</v>
      </c>
      <c r="R29" s="195">
        <v>203</v>
      </c>
      <c r="S29" s="195">
        <v>3.56</v>
      </c>
      <c r="T29" s="195">
        <v>1.78</v>
      </c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0" t="s">
        <v>179</v>
      </c>
    </row>
    <row r="33" spans="1:1" x14ac:dyDescent="0.25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9" bestFit="1" customWidth="1"/>
    <col min="11" max="11" width="15.28515625" style="139" hidden="1" customWidth="1"/>
    <col min="12" max="12" width="13.5703125" style="139" hidden="1" customWidth="1"/>
    <col min="13" max="13" width="9" style="153" bestFit="1" customWidth="1"/>
    <col min="14" max="17" width="9.140625" style="139"/>
    <col min="20" max="24" width="9.140625" style="153"/>
    <col min="29" max="29" width="12.42578125" customWidth="1"/>
    <col min="30" max="30" width="9.140625" style="167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.75" thickBot="1" x14ac:dyDescent="0.3">
      <c r="A2" s="12">
        <v>43057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25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25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25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25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25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25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25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25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25">
      <c r="C17" s="137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25">
      <c r="C18" t="s">
        <v>1052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25">
      <c r="C19" t="s">
        <v>1053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25">
      <c r="C20" t="s">
        <v>1054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25">
      <c r="C21" t="s">
        <v>1055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25">
      <c r="C22" t="s">
        <v>1056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25">
      <c r="C23" t="s">
        <v>1057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25">
      <c r="C24" t="s">
        <v>1058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25">
      <c r="C25" t="s">
        <v>1059</v>
      </c>
      <c r="J25" s="139" t="s">
        <v>144</v>
      </c>
      <c r="M25" s="153" t="b">
        <v>1</v>
      </c>
    </row>
    <row r="26" spans="3:24" x14ac:dyDescent="0.25">
      <c r="C26" t="s">
        <v>1060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%USERPROFILE%\Documents\GitHub\eaglep3-reporting\EC\2017-11-18-refined-times.txt</v>
      </c>
    </row>
    <row r="27" spans="3:24" x14ac:dyDescent="0.25">
      <c r="C27" t="s">
        <v>1061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%USERPROFILE%\Documents\GitHub\eaglep3-reporting\EC\2017-11-18-Enforcements.txt</v>
      </c>
    </row>
    <row r="28" spans="3:24" x14ac:dyDescent="0.25">
      <c r="C28" t="s">
        <v>1062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%USERPROFILE%\Documents\GitHub\eaglep3-reporting\EC\2017-11-18-Runs-refined.txt</v>
      </c>
    </row>
    <row r="29" spans="3:24" x14ac:dyDescent="0.25">
      <c r="C29" t="s">
        <v>1063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%USERPROFILE%\Documents\GitHub\eaglep3-reporting\EC\2017-11-18-Trips.txt</v>
      </c>
    </row>
    <row r="30" spans="3:24" x14ac:dyDescent="0.25">
      <c r="C30" t="s">
        <v>1064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%USERPROFILE%\Documents\GitHub\eaglep3-reporting\EC\2017-11-18-Weather.txt</v>
      </c>
    </row>
    <row r="31" spans="3:24" x14ac:dyDescent="0.25">
      <c r="C31" t="s">
        <v>1065</v>
      </c>
      <c r="J31" s="139" t="s">
        <v>188</v>
      </c>
      <c r="M31" s="153" t="s">
        <v>189</v>
      </c>
    </row>
    <row r="32" spans="3:24" x14ac:dyDescent="0.25">
      <c r="C32" t="s">
        <v>1066</v>
      </c>
    </row>
    <row r="33" spans="3:3" x14ac:dyDescent="0.25">
      <c r="C33" t="s">
        <v>1067</v>
      </c>
    </row>
    <row r="34" spans="3:3" x14ac:dyDescent="0.25">
      <c r="C34" t="s">
        <v>1068</v>
      </c>
    </row>
    <row r="35" spans="3:3" x14ac:dyDescent="0.25">
      <c r="C35" t="s">
        <v>1069</v>
      </c>
    </row>
    <row r="36" spans="3:3" x14ac:dyDescent="0.25">
      <c r="C36" t="s">
        <v>1070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7" bestFit="1" customWidth="1"/>
    <col min="9" max="10" width="9.140625" style="187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353</v>
      </c>
      <c r="J1" s="167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25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25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25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227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228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229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237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238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239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247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248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249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257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258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259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267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268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269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277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278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279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287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288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289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297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298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299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307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308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309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317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318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319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2017-11-20T16:37:06Z</dcterms:modified>
</cp:coreProperties>
</file>