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8" i="9" l="1"/>
  <c r="C88" i="9" s="1"/>
  <c r="B89" i="9"/>
  <c r="C89" i="9"/>
  <c r="B90" i="9"/>
  <c r="C90" i="9" s="1"/>
  <c r="B91" i="9"/>
  <c r="C91" i="9"/>
  <c r="B92" i="9"/>
  <c r="C92" i="9" s="1"/>
  <c r="B93" i="9"/>
  <c r="C93" i="9"/>
  <c r="B94" i="9"/>
  <c r="C94" i="9" s="1"/>
  <c r="B95" i="9"/>
  <c r="C95" i="9"/>
  <c r="B96" i="9"/>
  <c r="C96" i="9" s="1"/>
  <c r="B97" i="9"/>
  <c r="C97" i="9"/>
  <c r="B98" i="9"/>
  <c r="C98" i="9" s="1"/>
  <c r="B99" i="9"/>
  <c r="C99" i="9"/>
  <c r="P127" i="1"/>
  <c r="P129" i="1"/>
  <c r="X130" i="1"/>
  <c r="X131" i="1"/>
  <c r="X132" i="1"/>
  <c r="X83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A21" i="1" s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X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X23" i="1" s="1"/>
  <c r="AE23" i="1"/>
  <c r="AF23" i="1"/>
  <c r="AH23" i="1"/>
  <c r="K24" i="1"/>
  <c r="L24" i="1"/>
  <c r="M24" i="1"/>
  <c r="N24" i="1" s="1"/>
  <c r="V24" i="1"/>
  <c r="Y24" i="1"/>
  <c r="Z24" i="1"/>
  <c r="AI24" i="1" s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G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X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R19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K35" i="1"/>
  <c r="L35" i="1"/>
  <c r="M35" i="1"/>
  <c r="N35" i="1" s="1"/>
  <c r="V35" i="1"/>
  <c r="Y35" i="1"/>
  <c r="Z35" i="1"/>
  <c r="AI35" i="1" s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A37" i="1" s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R20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R25" i="3" s="1"/>
  <c r="AF41" i="1"/>
  <c r="AH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K43" i="1"/>
  <c r="L43" i="1"/>
  <c r="M43" i="1"/>
  <c r="N43" i="1" s="1"/>
  <c r="V43" i="1"/>
  <c r="Y43" i="1"/>
  <c r="Z43" i="1"/>
  <c r="AI43" i="1" s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R12" i="3" s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A50" i="1" s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S7" i="3" s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X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/>
  <c r="V82" i="1"/>
  <c r="Y82" i="1"/>
  <c r="Z82" i="1"/>
  <c r="AB82" i="1"/>
  <c r="AC82" i="1"/>
  <c r="AD82" i="1"/>
  <c r="X82" i="1" s="1"/>
  <c r="AE82" i="1"/>
  <c r="AF82" i="1"/>
  <c r="AH82" i="1"/>
  <c r="K83" i="1"/>
  <c r="L83" i="1"/>
  <c r="M83" i="1"/>
  <c r="N83" i="1" s="1"/>
  <c r="V83" i="1"/>
  <c r="S26" i="3" s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T92" i="1"/>
  <c r="V92" i="1"/>
  <c r="X92" i="1"/>
  <c r="Y92" i="1"/>
  <c r="Z92" i="1"/>
  <c r="AA92" i="1" s="1"/>
  <c r="W92" i="1" s="1"/>
  <c r="AB92" i="1"/>
  <c r="AC92" i="1"/>
  <c r="AD92" i="1"/>
  <c r="AG92" i="1" s="1"/>
  <c r="AE92" i="1"/>
  <c r="R22" i="3" s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G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T104" i="1"/>
  <c r="V104" i="1"/>
  <c r="Y104" i="1"/>
  <c r="Z104" i="1"/>
  <c r="AA104" i="1" s="1"/>
  <c r="W104" i="1" s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G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S8" i="3" s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V127" i="1"/>
  <c r="Y127" i="1"/>
  <c r="Z127" i="1"/>
  <c r="AB127" i="1"/>
  <c r="AC127" i="1"/>
  <c r="AD127" i="1"/>
  <c r="X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V129" i="1"/>
  <c r="Y129" i="1"/>
  <c r="Z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6" i="1"/>
  <c r="L146" i="1"/>
  <c r="M146" i="1"/>
  <c r="N146" i="1" s="1"/>
  <c r="V146" i="1"/>
  <c r="S18" i="3" s="1"/>
  <c r="Y146" i="1"/>
  <c r="Z146" i="1"/>
  <c r="AB146" i="1"/>
  <c r="AC146" i="1"/>
  <c r="AD146" i="1"/>
  <c r="X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/>
  <c r="V156" i="1"/>
  <c r="Y156" i="1"/>
  <c r="Z156" i="1"/>
  <c r="AB156" i="1"/>
  <c r="AC156" i="1"/>
  <c r="AD156" i="1"/>
  <c r="AG156" i="1" s="1"/>
  <c r="AE156" i="1"/>
  <c r="AF156" i="1"/>
  <c r="AH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K208" i="1"/>
  <c r="L208" i="1"/>
  <c r="M208" i="1"/>
  <c r="N208" i="1" s="1"/>
  <c r="V208" i="1"/>
  <c r="Y208" i="1"/>
  <c r="Z208" i="1"/>
  <c r="AA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AE211" i="1"/>
  <c r="R41" i="3" s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K223" i="1"/>
  <c r="L223" i="1"/>
  <c r="M223" i="1"/>
  <c r="N223" i="1" s="1"/>
  <c r="V223" i="1"/>
  <c r="S42" i="3" s="1"/>
  <c r="Y223" i="1"/>
  <c r="Z223" i="1"/>
  <c r="AB223" i="1"/>
  <c r="AC223" i="1"/>
  <c r="AD223" i="1"/>
  <c r="AE223" i="1"/>
  <c r="R42" i="3" s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K157" i="1"/>
  <c r="L157" i="1"/>
  <c r="M157" i="1"/>
  <c r="N157" i="1" s="1"/>
  <c r="V157" i="1"/>
  <c r="S31" i="3" s="1"/>
  <c r="Y157" i="1"/>
  <c r="Z157" i="1"/>
  <c r="AB157" i="1"/>
  <c r="AC157" i="1"/>
  <c r="AD157" i="1"/>
  <c r="AE157" i="1"/>
  <c r="AF157" i="1"/>
  <c r="AH173" i="1"/>
  <c r="K158" i="1"/>
  <c r="L158" i="1"/>
  <c r="M158" i="1"/>
  <c r="N158" i="1" s="1"/>
  <c r="V158" i="1"/>
  <c r="S34" i="3" s="1"/>
  <c r="Y158" i="1"/>
  <c r="Z158" i="1"/>
  <c r="AB158" i="1"/>
  <c r="AC158" i="1"/>
  <c r="AD158" i="1"/>
  <c r="T158" i="1" s="1"/>
  <c r="AE158" i="1"/>
  <c r="R34" i="3" s="1"/>
  <c r="AF158" i="1"/>
  <c r="AH174" i="1"/>
  <c r="K159" i="1"/>
  <c r="L159" i="1"/>
  <c r="M159" i="1"/>
  <c r="N159" i="1" s="1"/>
  <c r="V159" i="1"/>
  <c r="S32" i="3" s="1"/>
  <c r="Y159" i="1"/>
  <c r="Z159" i="1"/>
  <c r="AB159" i="1"/>
  <c r="AC159" i="1"/>
  <c r="AD159" i="1"/>
  <c r="AG159" i="1" s="1"/>
  <c r="AE159" i="1"/>
  <c r="AF159" i="1"/>
  <c r="AH175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7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7" i="1"/>
  <c r="K162" i="1"/>
  <c r="L162" i="1"/>
  <c r="M162" i="1"/>
  <c r="N162" i="1" s="1"/>
  <c r="V162" i="1"/>
  <c r="S35" i="3" s="1"/>
  <c r="Y162" i="1"/>
  <c r="Z162" i="1"/>
  <c r="AB162" i="1"/>
  <c r="AC162" i="1"/>
  <c r="AD162" i="1"/>
  <c r="T162" i="1" s="1"/>
  <c r="AE162" i="1"/>
  <c r="R36" i="3" s="1"/>
  <c r="AF162" i="1"/>
  <c r="AH178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7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1" i="1"/>
  <c r="K166" i="1"/>
  <c r="L166" i="1"/>
  <c r="M166" i="1"/>
  <c r="N166" i="1" s="1"/>
  <c r="V166" i="1"/>
  <c r="S38" i="3" s="1"/>
  <c r="Y166" i="1"/>
  <c r="Z166" i="1"/>
  <c r="AB166" i="1"/>
  <c r="AC166" i="1"/>
  <c r="AD166" i="1"/>
  <c r="T166" i="1" s="1"/>
  <c r="AE166" i="1"/>
  <c r="R38" i="3" s="1"/>
  <c r="AF166" i="1"/>
  <c r="AH18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4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7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188" i="1"/>
  <c r="K173" i="1"/>
  <c r="L173" i="1"/>
  <c r="M173" i="1"/>
  <c r="N173" i="1"/>
  <c r="V173" i="1"/>
  <c r="Y173" i="1"/>
  <c r="Z173" i="1"/>
  <c r="AB173" i="1"/>
  <c r="AC173" i="1"/>
  <c r="AD173" i="1"/>
  <c r="AG173" i="1" s="1"/>
  <c r="AE173" i="1"/>
  <c r="AF173" i="1"/>
  <c r="AH18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0" i="1"/>
  <c r="K175" i="1"/>
  <c r="L175" i="1"/>
  <c r="M175" i="1"/>
  <c r="N175" i="1" s="1"/>
  <c r="V175" i="1"/>
  <c r="Y175" i="1"/>
  <c r="Z175" i="1"/>
  <c r="AA175" i="1" s="1"/>
  <c r="W175" i="1" s="1"/>
  <c r="AB175" i="1"/>
  <c r="AC175" i="1"/>
  <c r="AD175" i="1"/>
  <c r="AG175" i="1" s="1"/>
  <c r="AE175" i="1"/>
  <c r="AF175" i="1"/>
  <c r="AH191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192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3" i="1"/>
  <c r="K178" i="1"/>
  <c r="L178" i="1"/>
  <c r="M178" i="1"/>
  <c r="N178" i="1" s="1"/>
  <c r="V178" i="1"/>
  <c r="S39" i="3" s="1"/>
  <c r="Y178" i="1"/>
  <c r="Z178" i="1"/>
  <c r="AB178" i="1"/>
  <c r="AC178" i="1"/>
  <c r="AD178" i="1"/>
  <c r="AE178" i="1"/>
  <c r="AF178" i="1"/>
  <c r="AH19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96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9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9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9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0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1" i="1"/>
  <c r="K186" i="1"/>
  <c r="L186" i="1"/>
  <c r="M186" i="1"/>
  <c r="N186" i="1" s="1"/>
  <c r="V186" i="1"/>
  <c r="S40" i="3" s="1"/>
  <c r="Y186" i="1"/>
  <c r="Z186" i="1"/>
  <c r="AB186" i="1"/>
  <c r="AC186" i="1"/>
  <c r="AD186" i="1"/>
  <c r="T186" i="1" s="1"/>
  <c r="AE186" i="1"/>
  <c r="AF186" i="1"/>
  <c r="AH20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3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04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6" i="1"/>
  <c r="K191" i="1"/>
  <c r="L191" i="1"/>
  <c r="M191" i="1"/>
  <c r="N191" i="1" s="1"/>
  <c r="V191" i="1"/>
  <c r="S29" i="3" s="1"/>
  <c r="Y191" i="1"/>
  <c r="Z191" i="1"/>
  <c r="AB191" i="1"/>
  <c r="AC191" i="1"/>
  <c r="AD191" i="1"/>
  <c r="T191" i="1" s="1"/>
  <c r="AE191" i="1"/>
  <c r="R29" i="3" s="1"/>
  <c r="AF191" i="1"/>
  <c r="AH20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8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09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0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1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2" i="1"/>
  <c r="K197" i="1"/>
  <c r="L197" i="1"/>
  <c r="M197" i="1"/>
  <c r="N197" i="1"/>
  <c r="V197" i="1"/>
  <c r="Y197" i="1"/>
  <c r="Z197" i="1"/>
  <c r="AB197" i="1"/>
  <c r="AC197" i="1"/>
  <c r="AD197" i="1"/>
  <c r="AG197" i="1" s="1"/>
  <c r="AE197" i="1"/>
  <c r="AF197" i="1"/>
  <c r="AH213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4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R30" i="3" s="1"/>
  <c r="AF199" i="1"/>
  <c r="AH215" i="1"/>
  <c r="K200" i="1"/>
  <c r="L200" i="1"/>
  <c r="M200" i="1"/>
  <c r="N200" i="1" s="1"/>
  <c r="V200" i="1"/>
  <c r="Y200" i="1"/>
  <c r="Z200" i="1"/>
  <c r="AB200" i="1"/>
  <c r="AC200" i="1"/>
  <c r="AD200" i="1"/>
  <c r="X200" i="1" s="1"/>
  <c r="AE200" i="1"/>
  <c r="AF200" i="1"/>
  <c r="AH216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7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18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1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0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21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2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3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4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25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6" i="1"/>
  <c r="M17" i="3"/>
  <c r="R17" i="3"/>
  <c r="S17" i="3"/>
  <c r="U17" i="3"/>
  <c r="T17" i="3" s="1"/>
  <c r="V17" i="3"/>
  <c r="W17" i="3"/>
  <c r="X17" i="3"/>
  <c r="M31" i="3"/>
  <c r="R31" i="3"/>
  <c r="U31" i="3"/>
  <c r="T31" i="3" s="1"/>
  <c r="V31" i="3"/>
  <c r="W31" i="3"/>
  <c r="X31" i="3"/>
  <c r="M34" i="3"/>
  <c r="U34" i="3"/>
  <c r="T34" i="3" s="1"/>
  <c r="V34" i="3"/>
  <c r="W34" i="3"/>
  <c r="X34" i="3"/>
  <c r="M32" i="3"/>
  <c r="R32" i="3"/>
  <c r="U32" i="3"/>
  <c r="T32" i="3" s="1"/>
  <c r="V32" i="3"/>
  <c r="W32" i="3"/>
  <c r="X32" i="3"/>
  <c r="M19" i="3"/>
  <c r="S19" i="3"/>
  <c r="U19" i="3"/>
  <c r="T19" i="3" s="1"/>
  <c r="V19" i="3"/>
  <c r="W19" i="3"/>
  <c r="X19" i="3"/>
  <c r="M35" i="3"/>
  <c r="U35" i="3"/>
  <c r="T35" i="3" s="1"/>
  <c r="V35" i="3"/>
  <c r="W35" i="3"/>
  <c r="X35" i="3"/>
  <c r="M36" i="3"/>
  <c r="U36" i="3"/>
  <c r="T36" i="3" s="1"/>
  <c r="V36" i="3"/>
  <c r="W36" i="3"/>
  <c r="X36" i="3"/>
  <c r="M10" i="3"/>
  <c r="R10" i="3"/>
  <c r="S10" i="3"/>
  <c r="U10" i="3"/>
  <c r="T10" i="3" s="1"/>
  <c r="V10" i="3"/>
  <c r="W10" i="3"/>
  <c r="X10" i="3"/>
  <c r="M33" i="3"/>
  <c r="R33" i="3"/>
  <c r="S33" i="3"/>
  <c r="U33" i="3"/>
  <c r="T33" i="3" s="1"/>
  <c r="V33" i="3"/>
  <c r="W33" i="3"/>
  <c r="X33" i="3"/>
  <c r="M25" i="3"/>
  <c r="S25" i="3"/>
  <c r="U25" i="3"/>
  <c r="T25" i="3" s="1"/>
  <c r="V25" i="3"/>
  <c r="W25" i="3"/>
  <c r="X25" i="3"/>
  <c r="M20" i="3"/>
  <c r="S20" i="3"/>
  <c r="U20" i="3"/>
  <c r="T20" i="3" s="1"/>
  <c r="V20" i="3"/>
  <c r="W20" i="3"/>
  <c r="X20" i="3"/>
  <c r="M37" i="3"/>
  <c r="U37" i="3"/>
  <c r="T37" i="3" s="1"/>
  <c r="V37" i="3"/>
  <c r="W37" i="3"/>
  <c r="X37" i="3"/>
  <c r="M38" i="3"/>
  <c r="U38" i="3"/>
  <c r="T38" i="3" s="1"/>
  <c r="V38" i="3"/>
  <c r="W38" i="3"/>
  <c r="X38" i="3"/>
  <c r="M12" i="3"/>
  <c r="S12" i="3"/>
  <c r="U12" i="3"/>
  <c r="T12" i="3" s="1"/>
  <c r="V12" i="3"/>
  <c r="W12" i="3"/>
  <c r="X12" i="3"/>
  <c r="M13" i="3"/>
  <c r="R13" i="3"/>
  <c r="S13" i="3"/>
  <c r="U13" i="3"/>
  <c r="T13" i="3" s="1"/>
  <c r="V13" i="3"/>
  <c r="W13" i="3"/>
  <c r="X13" i="3"/>
  <c r="M9" i="3"/>
  <c r="R9" i="3"/>
  <c r="S9" i="3"/>
  <c r="U9" i="3"/>
  <c r="T9" i="3" s="1"/>
  <c r="V9" i="3"/>
  <c r="W9" i="3"/>
  <c r="X9" i="3"/>
  <c r="M11" i="3"/>
  <c r="R11" i="3"/>
  <c r="S11" i="3"/>
  <c r="U11" i="3"/>
  <c r="T11" i="3" s="1"/>
  <c r="V11" i="3"/>
  <c r="W11" i="3"/>
  <c r="X11" i="3"/>
  <c r="M7" i="3"/>
  <c r="R7" i="3"/>
  <c r="U7" i="3"/>
  <c r="T7" i="3" s="1"/>
  <c r="V7" i="3"/>
  <c r="W7" i="3"/>
  <c r="X7" i="3"/>
  <c r="M16" i="3"/>
  <c r="R16" i="3"/>
  <c r="S16" i="3"/>
  <c r="U16" i="3"/>
  <c r="T16" i="3" s="1"/>
  <c r="V16" i="3"/>
  <c r="W16" i="3"/>
  <c r="X16" i="3"/>
  <c r="M21" i="3"/>
  <c r="R21" i="3"/>
  <c r="S21" i="3"/>
  <c r="U21" i="3"/>
  <c r="T21" i="3" s="1"/>
  <c r="V21" i="3"/>
  <c r="W21" i="3"/>
  <c r="X21" i="3"/>
  <c r="M26" i="3"/>
  <c r="R26" i="3"/>
  <c r="U26" i="3"/>
  <c r="T26" i="3" s="1"/>
  <c r="V26" i="3"/>
  <c r="W26" i="3"/>
  <c r="X26" i="3"/>
  <c r="M39" i="3"/>
  <c r="R39" i="3"/>
  <c r="U39" i="3"/>
  <c r="T39" i="3" s="1"/>
  <c r="V39" i="3"/>
  <c r="W39" i="3"/>
  <c r="X39" i="3"/>
  <c r="M22" i="3"/>
  <c r="S22" i="3"/>
  <c r="U22" i="3"/>
  <c r="T22" i="3" s="1"/>
  <c r="V22" i="3"/>
  <c r="W22" i="3"/>
  <c r="X22" i="3"/>
  <c r="M27" i="3"/>
  <c r="R27" i="3"/>
  <c r="S27" i="3"/>
  <c r="U27" i="3"/>
  <c r="T27" i="3" s="1"/>
  <c r="V27" i="3"/>
  <c r="W27" i="3"/>
  <c r="X27" i="3"/>
  <c r="AD27" i="3"/>
  <c r="M40" i="3"/>
  <c r="R40" i="3"/>
  <c r="U40" i="3"/>
  <c r="T40" i="3" s="1"/>
  <c r="V40" i="3"/>
  <c r="W40" i="3"/>
  <c r="X40" i="3"/>
  <c r="M42" i="3"/>
  <c r="U42" i="3"/>
  <c r="T42" i="3" s="1"/>
  <c r="V42" i="3"/>
  <c r="W42" i="3"/>
  <c r="X42" i="3"/>
  <c r="M8" i="3"/>
  <c r="R8" i="3"/>
  <c r="U8" i="3"/>
  <c r="T8" i="3" s="1"/>
  <c r="V8" i="3"/>
  <c r="W8" i="3"/>
  <c r="X8" i="3"/>
  <c r="M29" i="3"/>
  <c r="U29" i="3"/>
  <c r="T29" i="3" s="1"/>
  <c r="V29" i="3"/>
  <c r="W29" i="3"/>
  <c r="X29" i="3"/>
  <c r="AD29" i="3"/>
  <c r="M14" i="3"/>
  <c r="R14" i="3"/>
  <c r="S14" i="3"/>
  <c r="U14" i="3"/>
  <c r="T14" i="3" s="1"/>
  <c r="V14" i="3"/>
  <c r="W14" i="3"/>
  <c r="X14" i="3"/>
  <c r="M23" i="3"/>
  <c r="R23" i="3"/>
  <c r="S23" i="3"/>
  <c r="U23" i="3"/>
  <c r="T23" i="3" s="1"/>
  <c r="V23" i="3"/>
  <c r="W23" i="3"/>
  <c r="X23" i="3"/>
  <c r="AD23" i="3"/>
  <c r="M28" i="3"/>
  <c r="R28" i="3"/>
  <c r="S28" i="3"/>
  <c r="U28" i="3"/>
  <c r="T28" i="3" s="1"/>
  <c r="V28" i="3"/>
  <c r="W28" i="3"/>
  <c r="X28" i="3"/>
  <c r="M30" i="3"/>
  <c r="S30" i="3"/>
  <c r="U30" i="3"/>
  <c r="T30" i="3" s="1"/>
  <c r="V30" i="3"/>
  <c r="W30" i="3"/>
  <c r="X30" i="3"/>
  <c r="M15" i="3"/>
  <c r="R15" i="3"/>
  <c r="S15" i="3"/>
  <c r="U15" i="3"/>
  <c r="T15" i="3" s="1"/>
  <c r="V15" i="3"/>
  <c r="W15" i="3"/>
  <c r="X15" i="3"/>
  <c r="M18" i="3"/>
  <c r="R18" i="3"/>
  <c r="U18" i="3"/>
  <c r="T18" i="3" s="1"/>
  <c r="V18" i="3"/>
  <c r="W18" i="3"/>
  <c r="X18" i="3"/>
  <c r="M24" i="3"/>
  <c r="R24" i="3"/>
  <c r="S24" i="3"/>
  <c r="U24" i="3"/>
  <c r="T24" i="3" s="1"/>
  <c r="V24" i="3"/>
  <c r="W24" i="3"/>
  <c r="X24" i="3"/>
  <c r="M41" i="3"/>
  <c r="S41" i="3"/>
  <c r="U41" i="3"/>
  <c r="T41" i="3" s="1"/>
  <c r="V41" i="3"/>
  <c r="W41" i="3"/>
  <c r="X41" i="3"/>
  <c r="AA27" i="1" l="1"/>
  <c r="AD14" i="3"/>
  <c r="AG166" i="1"/>
  <c r="R37" i="3"/>
  <c r="R35" i="3"/>
  <c r="Y17" i="3"/>
  <c r="AA202" i="1"/>
  <c r="T107" i="1"/>
  <c r="U107" i="1" s="1"/>
  <c r="S107" i="1" s="1"/>
  <c r="T53" i="1"/>
  <c r="X81" i="1"/>
  <c r="X77" i="1"/>
  <c r="AD25" i="3"/>
  <c r="AA182" i="1"/>
  <c r="AA181" i="1"/>
  <c r="AA180" i="1"/>
  <c r="T175" i="1"/>
  <c r="U175" i="1" s="1"/>
  <c r="S175" i="1" s="1"/>
  <c r="AA166" i="1"/>
  <c r="AI148" i="1"/>
  <c r="AI120" i="1"/>
  <c r="AA119" i="1"/>
  <c r="AA116" i="1"/>
  <c r="W116" i="1" s="1"/>
  <c r="AA115" i="1"/>
  <c r="X104" i="1"/>
  <c r="AA101" i="1"/>
  <c r="AA55" i="1"/>
  <c r="AA54" i="1"/>
  <c r="AA53" i="1"/>
  <c r="X80" i="1"/>
  <c r="X76" i="1"/>
  <c r="X79" i="1"/>
  <c r="X75" i="1"/>
  <c r="S37" i="3"/>
  <c r="AG179" i="1"/>
  <c r="X179" i="1"/>
  <c r="S36" i="3"/>
  <c r="T65" i="1"/>
  <c r="U65" i="1" s="1"/>
  <c r="S65" i="1" s="1"/>
  <c r="AD33" i="3"/>
  <c r="AI69" i="1"/>
  <c r="X33" i="1"/>
  <c r="AG72" i="1"/>
  <c r="AI72" i="1" s="1"/>
  <c r="AG15" i="1"/>
  <c r="X35" i="1"/>
  <c r="X30" i="1"/>
  <c r="AA212" i="1"/>
  <c r="AI134" i="1"/>
  <c r="X124" i="1"/>
  <c r="AA81" i="1"/>
  <c r="AA74" i="1"/>
  <c r="AA73" i="1"/>
  <c r="W73" i="1" s="1"/>
  <c r="AA72" i="1"/>
  <c r="AG186" i="1"/>
  <c r="T142" i="1"/>
  <c r="U142" i="1" s="1"/>
  <c r="S142" i="1" s="1"/>
  <c r="T61" i="1"/>
  <c r="X53" i="1"/>
  <c r="AA47" i="1"/>
  <c r="W47" i="1" s="1"/>
  <c r="AG37" i="1"/>
  <c r="X24" i="1"/>
  <c r="AD8" i="3"/>
  <c r="AD42" i="3"/>
  <c r="AD40" i="3"/>
  <c r="AD22" i="3"/>
  <c r="AD12" i="3"/>
  <c r="AD38" i="3"/>
  <c r="AD37" i="3"/>
  <c r="AG222" i="1"/>
  <c r="X220" i="1"/>
  <c r="AA196" i="1"/>
  <c r="AA190" i="1"/>
  <c r="AA189" i="1"/>
  <c r="AA188" i="1"/>
  <c r="AA223" i="1"/>
  <c r="AA216" i="1"/>
  <c r="AA151" i="1"/>
  <c r="AA144" i="1"/>
  <c r="AA143" i="1"/>
  <c r="AI129" i="1"/>
  <c r="AA129" i="1"/>
  <c r="AA124" i="1"/>
  <c r="W124" i="1" s="1"/>
  <c r="AG123" i="1"/>
  <c r="U123" i="1" s="1"/>
  <c r="S123" i="1" s="1"/>
  <c r="AA120" i="1"/>
  <c r="W120" i="1" s="1"/>
  <c r="AG79" i="1"/>
  <c r="X73" i="1"/>
  <c r="AA63" i="1"/>
  <c r="AA62" i="1"/>
  <c r="AA61" i="1"/>
  <c r="AI39" i="1"/>
  <c r="AG21" i="1"/>
  <c r="AI21" i="1" s="1"/>
  <c r="AD39" i="3"/>
  <c r="Y34" i="3"/>
  <c r="AA192" i="1"/>
  <c r="AG190" i="1"/>
  <c r="W190" i="1" s="1"/>
  <c r="AG182" i="1"/>
  <c r="W182" i="1" s="1"/>
  <c r="X176" i="1"/>
  <c r="T172" i="1"/>
  <c r="AA214" i="1"/>
  <c r="AG208" i="1"/>
  <c r="AI208" i="1" s="1"/>
  <c r="AA206" i="1"/>
  <c r="AA154" i="1"/>
  <c r="W154" i="1" s="1"/>
  <c r="AG139" i="1"/>
  <c r="AI139" i="1" s="1"/>
  <c r="AA134" i="1"/>
  <c r="AA125" i="1"/>
  <c r="AI116" i="1"/>
  <c r="AI113" i="1"/>
  <c r="AG101" i="1"/>
  <c r="AG95" i="1"/>
  <c r="T91" i="1"/>
  <c r="X88" i="1"/>
  <c r="AG83" i="1"/>
  <c r="AA76" i="1"/>
  <c r="AA59" i="1"/>
  <c r="AA58" i="1"/>
  <c r="AA57" i="1"/>
  <c r="AA35" i="1"/>
  <c r="W35" i="1" s="1"/>
  <c r="AA31" i="1"/>
  <c r="AA28" i="1"/>
  <c r="W28" i="1" s="1"/>
  <c r="X20" i="1"/>
  <c r="AA19" i="1"/>
  <c r="AA18" i="1"/>
  <c r="X192" i="1"/>
  <c r="X184" i="1"/>
  <c r="AG164" i="1"/>
  <c r="W208" i="1"/>
  <c r="AA135" i="1"/>
  <c r="AI124" i="1"/>
  <c r="X120" i="1"/>
  <c r="AG99" i="1"/>
  <c r="U99" i="1" s="1"/>
  <c r="S99" i="1" s="1"/>
  <c r="AA97" i="1"/>
  <c r="AA89" i="1"/>
  <c r="AA88" i="1"/>
  <c r="W88" i="1" s="1"/>
  <c r="T88" i="1"/>
  <c r="U88" i="1" s="1"/>
  <c r="S88" i="1" s="1"/>
  <c r="AA85" i="1"/>
  <c r="AG81" i="1"/>
  <c r="AI81" i="1" s="1"/>
  <c r="AA69" i="1"/>
  <c r="W69" i="1" s="1"/>
  <c r="AA65" i="1"/>
  <c r="AG30" i="1"/>
  <c r="AG19" i="1"/>
  <c r="AD26" i="3"/>
  <c r="AA226" i="1"/>
  <c r="W226" i="1" s="1"/>
  <c r="AD24" i="3"/>
  <c r="AD18" i="3"/>
  <c r="AD15" i="3"/>
  <c r="AD7" i="3"/>
  <c r="AD11" i="3"/>
  <c r="Y35" i="3"/>
  <c r="Y31" i="3"/>
  <c r="AG226" i="1"/>
  <c r="U226" i="1" s="1"/>
  <c r="S226" i="1" s="1"/>
  <c r="X226" i="1"/>
  <c r="AI169" i="1"/>
  <c r="AG167" i="1"/>
  <c r="X167" i="1"/>
  <c r="AG162" i="1"/>
  <c r="U162" i="1" s="1"/>
  <c r="AA159" i="1"/>
  <c r="T210" i="1"/>
  <c r="AG149" i="1"/>
  <c r="AI149" i="1" s="1"/>
  <c r="T111" i="1"/>
  <c r="U105" i="1"/>
  <c r="S105" i="1" s="1"/>
  <c r="T57" i="1"/>
  <c r="AA44" i="1"/>
  <c r="T42" i="1"/>
  <c r="AA39" i="1"/>
  <c r="W39" i="1" s="1"/>
  <c r="AA38" i="1"/>
  <c r="AG33" i="1"/>
  <c r="U33" i="1" s="1"/>
  <c r="S33" i="1" s="1"/>
  <c r="U26" i="1"/>
  <c r="AA222" i="1"/>
  <c r="AA221" i="1"/>
  <c r="AA220" i="1"/>
  <c r="W220" i="1" s="1"/>
  <c r="T219" i="1"/>
  <c r="AG202" i="1"/>
  <c r="W202" i="1" s="1"/>
  <c r="X199" i="1"/>
  <c r="AG196" i="1"/>
  <c r="AI196" i="1" s="1"/>
  <c r="AA194" i="1"/>
  <c r="AA193" i="1"/>
  <c r="AG171" i="1"/>
  <c r="X171" i="1"/>
  <c r="T170" i="1"/>
  <c r="AG170" i="1"/>
  <c r="AG211" i="1"/>
  <c r="T211" i="1"/>
  <c r="U211" i="1" s="1"/>
  <c r="S211" i="1" s="1"/>
  <c r="AA219" i="1"/>
  <c r="AA184" i="1"/>
  <c r="AA178" i="1"/>
  <c r="W178" i="1" s="1"/>
  <c r="AA177" i="1"/>
  <c r="AG172" i="1"/>
  <c r="AA201" i="1"/>
  <c r="AA200" i="1"/>
  <c r="AA199" i="1"/>
  <c r="T199" i="1"/>
  <c r="AG194" i="1"/>
  <c r="T178" i="1"/>
  <c r="U178" i="1" s="1"/>
  <c r="S178" i="1" s="1"/>
  <c r="AG178" i="1"/>
  <c r="T157" i="1"/>
  <c r="AG157" i="1"/>
  <c r="AA170" i="1"/>
  <c r="AA169" i="1"/>
  <c r="W169" i="1" s="1"/>
  <c r="T159" i="1"/>
  <c r="W134" i="1"/>
  <c r="AI77" i="1"/>
  <c r="T76" i="1"/>
  <c r="U76" i="1" s="1"/>
  <c r="S76" i="1" s="1"/>
  <c r="X65" i="1"/>
  <c r="T64" i="1"/>
  <c r="U64" i="1" s="1"/>
  <c r="S64" i="1" s="1"/>
  <c r="X61" i="1"/>
  <c r="T60" i="1"/>
  <c r="U60" i="1" s="1"/>
  <c r="S60" i="1" s="1"/>
  <c r="X57" i="1"/>
  <c r="T56" i="1"/>
  <c r="U56" i="1" s="1"/>
  <c r="S56" i="1" s="1"/>
  <c r="T52" i="1"/>
  <c r="U52" i="1" s="1"/>
  <c r="S52" i="1" s="1"/>
  <c r="AA46" i="1"/>
  <c r="AA43" i="1"/>
  <c r="AA30" i="1"/>
  <c r="W30" i="1" s="1"/>
  <c r="AA29" i="1"/>
  <c r="AA17" i="1"/>
  <c r="AI224" i="1"/>
  <c r="AA224" i="1"/>
  <c r="AA213" i="1"/>
  <c r="W213" i="1" s="1"/>
  <c r="AG206" i="1"/>
  <c r="U206" i="1" s="1"/>
  <c r="AA204" i="1"/>
  <c r="AA149" i="1"/>
  <c r="AA148" i="1"/>
  <c r="W148" i="1" s="1"/>
  <c r="X134" i="1"/>
  <c r="AA133" i="1"/>
  <c r="T127" i="1"/>
  <c r="X119" i="1"/>
  <c r="AA118" i="1"/>
  <c r="AG115" i="1"/>
  <c r="AI115" i="1" s="1"/>
  <c r="AA113" i="1"/>
  <c r="X108" i="1"/>
  <c r="AA100" i="1"/>
  <c r="W100" i="1" s="1"/>
  <c r="T100" i="1"/>
  <c r="AG97" i="1"/>
  <c r="U97" i="1" s="1"/>
  <c r="S97" i="1" s="1"/>
  <c r="X96" i="1"/>
  <c r="AA93" i="1"/>
  <c r="W93" i="1" s="1"/>
  <c r="AG89" i="1"/>
  <c r="W89" i="1" s="1"/>
  <c r="AG87" i="1"/>
  <c r="AA84" i="1"/>
  <c r="W84" i="1" s="1"/>
  <c r="T84" i="1"/>
  <c r="AA80" i="1"/>
  <c r="W80" i="1" s="1"/>
  <c r="T80" i="1"/>
  <c r="X72" i="1"/>
  <c r="AA71" i="1"/>
  <c r="AA68" i="1"/>
  <c r="W68" i="1" s="1"/>
  <c r="AI47" i="1"/>
  <c r="T34" i="1"/>
  <c r="AA24" i="1"/>
  <c r="W24" i="1" s="1"/>
  <c r="U210" i="1"/>
  <c r="AI105" i="1"/>
  <c r="AI28" i="1"/>
  <c r="X187" i="1"/>
  <c r="AA186" i="1"/>
  <c r="AA185" i="1"/>
  <c r="X180" i="1"/>
  <c r="AI173" i="1"/>
  <c r="X168" i="1"/>
  <c r="AI165" i="1"/>
  <c r="AA160" i="1"/>
  <c r="W160" i="1" s="1"/>
  <c r="AA157" i="1"/>
  <c r="W157" i="1" s="1"/>
  <c r="AA211" i="1"/>
  <c r="W211" i="1" s="1"/>
  <c r="X207" i="1"/>
  <c r="AG204" i="1"/>
  <c r="AA155" i="1"/>
  <c r="W155" i="1" s="1"/>
  <c r="AA153" i="1"/>
  <c r="AA147" i="1"/>
  <c r="AG143" i="1"/>
  <c r="AI143" i="1" s="1"/>
  <c r="AA141" i="1"/>
  <c r="AA139" i="1"/>
  <c r="AI135" i="1"/>
  <c r="AG133" i="1"/>
  <c r="AI133" i="1" s="1"/>
  <c r="AA131" i="1"/>
  <c r="W131" i="1" s="1"/>
  <c r="AG127" i="1"/>
  <c r="U127" i="1" s="1"/>
  <c r="AA126" i="1"/>
  <c r="T119" i="1"/>
  <c r="AI117" i="1"/>
  <c r="AA117" i="1"/>
  <c r="AI111" i="1"/>
  <c r="AA111" i="1"/>
  <c r="W111" i="1" s="1"/>
  <c r="AA110" i="1"/>
  <c r="AA109" i="1"/>
  <c r="AA108" i="1"/>
  <c r="W108" i="1" s="1"/>
  <c r="T108" i="1"/>
  <c r="U108" i="1" s="1"/>
  <c r="S108" i="1" s="1"/>
  <c r="AA105" i="1"/>
  <c r="W105" i="1" s="1"/>
  <c r="AG103" i="1"/>
  <c r="X100" i="1"/>
  <c r="AA96" i="1"/>
  <c r="W96" i="1" s="1"/>
  <c r="T96" i="1"/>
  <c r="AG85" i="1"/>
  <c r="AI85" i="1" s="1"/>
  <c r="X84" i="1"/>
  <c r="AA77" i="1"/>
  <c r="W77" i="1" s="1"/>
  <c r="AG71" i="1"/>
  <c r="X71" i="1"/>
  <c r="AA70" i="1"/>
  <c r="T69" i="1"/>
  <c r="U69" i="1" s="1"/>
  <c r="S69" i="1" s="1"/>
  <c r="AG42" i="1"/>
  <c r="AA40" i="1"/>
  <c r="AG34" i="1"/>
  <c r="AI220" i="1"/>
  <c r="W129" i="1"/>
  <c r="W222" i="1"/>
  <c r="T220" i="1"/>
  <c r="U220" i="1" s="1"/>
  <c r="S220" i="1" s="1"/>
  <c r="X219" i="1"/>
  <c r="AA218" i="1"/>
  <c r="AA217" i="1"/>
  <c r="W217" i="1" s="1"/>
  <c r="X203" i="1"/>
  <c r="AG198" i="1"/>
  <c r="U198" i="1" s="1"/>
  <c r="S198" i="1" s="1"/>
  <c r="X196" i="1"/>
  <c r="AA195" i="1"/>
  <c r="W195" i="1" s="1"/>
  <c r="T195" i="1"/>
  <c r="AG192" i="1"/>
  <c r="W192" i="1" s="1"/>
  <c r="AG191" i="1"/>
  <c r="X191" i="1"/>
  <c r="AA187" i="1"/>
  <c r="T187" i="1"/>
  <c r="AG184" i="1"/>
  <c r="AG183" i="1"/>
  <c r="X183" i="1"/>
  <c r="AA179" i="1"/>
  <c r="W179" i="1" s="1"/>
  <c r="AG176" i="1"/>
  <c r="X175" i="1"/>
  <c r="U170" i="1"/>
  <c r="AA167" i="1"/>
  <c r="W167" i="1" s="1"/>
  <c r="X164" i="1"/>
  <c r="AA162" i="1"/>
  <c r="W162" i="1" s="1"/>
  <c r="AA161" i="1"/>
  <c r="T224" i="1"/>
  <c r="U224" i="1" s="1"/>
  <c r="S224" i="1" s="1"/>
  <c r="X215" i="1"/>
  <c r="AG214" i="1"/>
  <c r="U214" i="1" s="1"/>
  <c r="AG212" i="1"/>
  <c r="AI212" i="1" s="1"/>
  <c r="AA210" i="1"/>
  <c r="W210" i="1" s="1"/>
  <c r="AA209" i="1"/>
  <c r="AA207" i="1"/>
  <c r="W207" i="1" s="1"/>
  <c r="T207" i="1"/>
  <c r="AI157" i="1"/>
  <c r="T155" i="1"/>
  <c r="U155" i="1" s="1"/>
  <c r="S155" i="1" s="1"/>
  <c r="T151" i="1"/>
  <c r="U151" i="1" s="1"/>
  <c r="S151" i="1" s="1"/>
  <c r="AG147" i="1"/>
  <c r="W147" i="1" s="1"/>
  <c r="U143" i="1"/>
  <c r="S143" i="1" s="1"/>
  <c r="T138" i="1"/>
  <c r="U138" i="1" s="1"/>
  <c r="T124" i="1"/>
  <c r="AG122" i="1"/>
  <c r="U122" i="1" s="1"/>
  <c r="S122" i="1" s="1"/>
  <c r="AG119" i="1"/>
  <c r="W119" i="1" s="1"/>
  <c r="T200" i="1"/>
  <c r="T188" i="1"/>
  <c r="T180" i="1"/>
  <c r="AA174" i="1"/>
  <c r="AA173" i="1"/>
  <c r="AA172" i="1"/>
  <c r="W172" i="1" s="1"/>
  <c r="AA163" i="1"/>
  <c r="T163" i="1"/>
  <c r="W159" i="1"/>
  <c r="AA158" i="1"/>
  <c r="AA225" i="1"/>
  <c r="W225" i="1" s="1"/>
  <c r="T225" i="1"/>
  <c r="X211" i="1"/>
  <c r="W206" i="1"/>
  <c r="AA205" i="1"/>
  <c r="W205" i="1" s="1"/>
  <c r="AA156" i="1"/>
  <c r="T156" i="1"/>
  <c r="AA152" i="1"/>
  <c r="T152" i="1"/>
  <c r="X143" i="1"/>
  <c r="AA140" i="1"/>
  <c r="AA127" i="1"/>
  <c r="W127" i="1" s="1"/>
  <c r="AG126" i="1"/>
  <c r="AI126" i="1" s="1"/>
  <c r="X126" i="1"/>
  <c r="X123" i="1"/>
  <c r="AA123" i="1"/>
  <c r="U115" i="1"/>
  <c r="S115" i="1" s="1"/>
  <c r="T109" i="1"/>
  <c r="AG109" i="1"/>
  <c r="AI109" i="1" s="1"/>
  <c r="AG218" i="1"/>
  <c r="U218" i="1" s="1"/>
  <c r="AA203" i="1"/>
  <c r="W203" i="1" s="1"/>
  <c r="T203" i="1"/>
  <c r="AG200" i="1"/>
  <c r="AA198" i="1"/>
  <c r="AA197" i="1"/>
  <c r="W197" i="1" s="1"/>
  <c r="X195" i="1"/>
  <c r="AA191" i="1"/>
  <c r="W191" i="1" s="1"/>
  <c r="AG188" i="1"/>
  <c r="W188" i="1" s="1"/>
  <c r="AG187" i="1"/>
  <c r="U187" i="1" s="1"/>
  <c r="S187" i="1" s="1"/>
  <c r="AA183" i="1"/>
  <c r="AG180" i="1"/>
  <c r="W176" i="1"/>
  <c r="AA168" i="1"/>
  <c r="AA215" i="1"/>
  <c r="W215" i="1" s="1"/>
  <c r="T215" i="1"/>
  <c r="W151" i="1"/>
  <c r="AA150" i="1"/>
  <c r="W150" i="1" s="1"/>
  <c r="T148" i="1"/>
  <c r="U139" i="1"/>
  <c r="S139" i="1" s="1"/>
  <c r="AA136" i="1"/>
  <c r="AA130" i="1"/>
  <c r="AA128" i="1"/>
  <c r="AA122" i="1"/>
  <c r="AA121" i="1"/>
  <c r="AI97" i="1"/>
  <c r="U93" i="1"/>
  <c r="S93" i="1" s="1"/>
  <c r="AI93" i="1"/>
  <c r="AI68" i="1"/>
  <c r="W194" i="1"/>
  <c r="W186" i="1"/>
  <c r="AG174" i="1"/>
  <c r="AA171" i="1"/>
  <c r="W171" i="1" s="1"/>
  <c r="AG168" i="1"/>
  <c r="AI168" i="1" s="1"/>
  <c r="W166" i="1"/>
  <c r="AA165" i="1"/>
  <c r="AA164" i="1"/>
  <c r="W164" i="1" s="1"/>
  <c r="AG163" i="1"/>
  <c r="AI163" i="1" s="1"/>
  <c r="X225" i="1"/>
  <c r="AG216" i="1"/>
  <c r="AI216" i="1" s="1"/>
  <c r="X156" i="1"/>
  <c r="AG153" i="1"/>
  <c r="AI153" i="1" s="1"/>
  <c r="X152" i="1"/>
  <c r="X139" i="1"/>
  <c r="X122" i="1"/>
  <c r="W117" i="1"/>
  <c r="W113" i="1"/>
  <c r="AG112" i="1"/>
  <c r="T112" i="1"/>
  <c r="X112" i="1"/>
  <c r="X118" i="1"/>
  <c r="AA107" i="1"/>
  <c r="W107" i="1" s="1"/>
  <c r="AA106" i="1"/>
  <c r="AA99" i="1"/>
  <c r="AA98" i="1"/>
  <c r="AA91" i="1"/>
  <c r="W91" i="1" s="1"/>
  <c r="AA90" i="1"/>
  <c r="W90" i="1" s="1"/>
  <c r="AA83" i="1"/>
  <c r="W83" i="1" s="1"/>
  <c r="AA82" i="1"/>
  <c r="AI73" i="1"/>
  <c r="AG70" i="1"/>
  <c r="W70" i="1" s="1"/>
  <c r="AA66" i="1"/>
  <c r="W66" i="1" s="1"/>
  <c r="AG62" i="1"/>
  <c r="W62" i="1" s="1"/>
  <c r="AA60" i="1"/>
  <c r="W60" i="1" s="1"/>
  <c r="AG54" i="1"/>
  <c r="AA52" i="1"/>
  <c r="W52" i="1" s="1"/>
  <c r="AG49" i="1"/>
  <c r="X49" i="1"/>
  <c r="AG46" i="1"/>
  <c r="AA42" i="1"/>
  <c r="W42" i="1" s="1"/>
  <c r="AG41" i="1"/>
  <c r="U41" i="1" s="1"/>
  <c r="X39" i="1"/>
  <c r="AG38" i="1"/>
  <c r="U38" i="1" s="1"/>
  <c r="X38" i="1"/>
  <c r="T35" i="1"/>
  <c r="U35" i="1" s="1"/>
  <c r="S35" i="1" s="1"/>
  <c r="AA32" i="1"/>
  <c r="T31" i="1"/>
  <c r="X28" i="1"/>
  <c r="AG27" i="1"/>
  <c r="U27" i="1" s="1"/>
  <c r="X27" i="1"/>
  <c r="AA23" i="1"/>
  <c r="T23" i="1"/>
  <c r="AA22" i="1"/>
  <c r="AA20" i="1"/>
  <c r="T20" i="1"/>
  <c r="AG17" i="1"/>
  <c r="W17" i="1" s="1"/>
  <c r="AG16" i="1"/>
  <c r="X16" i="1"/>
  <c r="U83" i="1"/>
  <c r="S83" i="1" s="1"/>
  <c r="W76" i="1"/>
  <c r="T68" i="1"/>
  <c r="U68" i="1" s="1"/>
  <c r="S68" i="1" s="1"/>
  <c r="X43" i="1"/>
  <c r="U42" i="1"/>
  <c r="U30" i="1"/>
  <c r="AA26" i="1"/>
  <c r="W26" i="1" s="1"/>
  <c r="T24" i="1"/>
  <c r="U24" i="1" s="1"/>
  <c r="S24" i="1" s="1"/>
  <c r="X17" i="1"/>
  <c r="AA14" i="1"/>
  <c r="X114" i="1"/>
  <c r="AA112" i="1"/>
  <c r="AA103" i="1"/>
  <c r="W103" i="1" s="1"/>
  <c r="AA102" i="1"/>
  <c r="AA95" i="1"/>
  <c r="W95" i="1" s="1"/>
  <c r="AA94" i="1"/>
  <c r="AA87" i="1"/>
  <c r="W87" i="1" s="1"/>
  <c r="AA86" i="1"/>
  <c r="AA79" i="1"/>
  <c r="W79" i="1" s="1"/>
  <c r="AA78" i="1"/>
  <c r="AA64" i="1"/>
  <c r="W64" i="1" s="1"/>
  <c r="AG58" i="1"/>
  <c r="AA56" i="1"/>
  <c r="W56" i="1" s="1"/>
  <c r="AG50" i="1"/>
  <c r="AA49" i="1"/>
  <c r="AA48" i="1"/>
  <c r="W48" i="1" s="1"/>
  <c r="AA41" i="1"/>
  <c r="T39" i="1"/>
  <c r="U39" i="1" s="1"/>
  <c r="S39" i="1" s="1"/>
  <c r="AA34" i="1"/>
  <c r="W34" i="1" s="1"/>
  <c r="AG31" i="1"/>
  <c r="W31" i="1" s="1"/>
  <c r="T28" i="1"/>
  <c r="AA25" i="1"/>
  <c r="AG23" i="1"/>
  <c r="X21" i="1"/>
  <c r="AG20" i="1"/>
  <c r="AA16" i="1"/>
  <c r="U15" i="1"/>
  <c r="U87" i="1"/>
  <c r="U79" i="1"/>
  <c r="T43" i="1"/>
  <c r="AI205" i="1"/>
  <c r="AI197" i="1"/>
  <c r="AI189" i="1"/>
  <c r="U219" i="1"/>
  <c r="S219" i="1" s="1"/>
  <c r="AI217" i="1"/>
  <c r="W221" i="1"/>
  <c r="AI219" i="1"/>
  <c r="U203" i="1"/>
  <c r="S203" i="1" s="1"/>
  <c r="U202" i="1"/>
  <c r="S202" i="1" s="1"/>
  <c r="W199" i="1"/>
  <c r="AI213" i="1"/>
  <c r="W193" i="1"/>
  <c r="W185" i="1"/>
  <c r="U182" i="1"/>
  <c r="S182" i="1" s="1"/>
  <c r="W177" i="1"/>
  <c r="U174" i="1"/>
  <c r="S174" i="1" s="1"/>
  <c r="AI185" i="1"/>
  <c r="W165" i="1"/>
  <c r="AI225" i="1"/>
  <c r="AI215" i="1"/>
  <c r="U199" i="1"/>
  <c r="S199" i="1" s="1"/>
  <c r="AI201" i="1"/>
  <c r="AI193" i="1"/>
  <c r="AI181" i="1"/>
  <c r="AI209" i="1"/>
  <c r="U222" i="1"/>
  <c r="S222" i="1" s="1"/>
  <c r="W219" i="1"/>
  <c r="AI221" i="1"/>
  <c r="W201" i="1"/>
  <c r="AI211" i="1"/>
  <c r="U195" i="1"/>
  <c r="S195" i="1" s="1"/>
  <c r="U194" i="1"/>
  <c r="S194" i="1" s="1"/>
  <c r="W189" i="1"/>
  <c r="U186" i="1"/>
  <c r="S186" i="1" s="1"/>
  <c r="W181" i="1"/>
  <c r="W173" i="1"/>
  <c r="U166" i="1"/>
  <c r="S166" i="1" s="1"/>
  <c r="X221" i="1"/>
  <c r="T221" i="1"/>
  <c r="U221" i="1" s="1"/>
  <c r="S221" i="1" s="1"/>
  <c r="AI222" i="1"/>
  <c r="S218" i="1"/>
  <c r="X217" i="1"/>
  <c r="T217" i="1"/>
  <c r="U217" i="1" s="1"/>
  <c r="S217" i="1" s="1"/>
  <c r="AI218" i="1"/>
  <c r="X201" i="1"/>
  <c r="T201" i="1"/>
  <c r="U201" i="1" s="1"/>
  <c r="S201" i="1" s="1"/>
  <c r="AI214" i="1"/>
  <c r="X197" i="1"/>
  <c r="T197" i="1"/>
  <c r="U197" i="1" s="1"/>
  <c r="S197" i="1" s="1"/>
  <c r="AI210" i="1"/>
  <c r="X193" i="1"/>
  <c r="T193" i="1"/>
  <c r="U193" i="1" s="1"/>
  <c r="S193" i="1" s="1"/>
  <c r="AI206" i="1"/>
  <c r="X189" i="1"/>
  <c r="T189" i="1"/>
  <c r="U189" i="1" s="1"/>
  <c r="S189" i="1" s="1"/>
  <c r="AI202" i="1"/>
  <c r="X185" i="1"/>
  <c r="T185" i="1"/>
  <c r="U185" i="1" s="1"/>
  <c r="S185" i="1" s="1"/>
  <c r="X181" i="1"/>
  <c r="T181" i="1"/>
  <c r="U181" i="1" s="1"/>
  <c r="S181" i="1" s="1"/>
  <c r="AI194" i="1"/>
  <c r="X177" i="1"/>
  <c r="T177" i="1"/>
  <c r="U177" i="1" s="1"/>
  <c r="S177" i="1" s="1"/>
  <c r="AI190" i="1"/>
  <c r="X173" i="1"/>
  <c r="T173" i="1"/>
  <c r="U173" i="1" s="1"/>
  <c r="S173" i="1" s="1"/>
  <c r="U172" i="1"/>
  <c r="S172" i="1" s="1"/>
  <c r="AI186" i="1"/>
  <c r="S170" i="1"/>
  <c r="X169" i="1"/>
  <c r="T169" i="1"/>
  <c r="U169" i="1" s="1"/>
  <c r="S169" i="1" s="1"/>
  <c r="U168" i="1"/>
  <c r="S168" i="1" s="1"/>
  <c r="AI182" i="1"/>
  <c r="X165" i="1"/>
  <c r="T165" i="1"/>
  <c r="U165" i="1" s="1"/>
  <c r="S165" i="1" s="1"/>
  <c r="U164" i="1"/>
  <c r="S164" i="1" s="1"/>
  <c r="AI178" i="1"/>
  <c r="S162" i="1"/>
  <c r="AI175" i="1"/>
  <c r="AI171" i="1"/>
  <c r="AI156" i="1"/>
  <c r="U156" i="1"/>
  <c r="S156" i="1" s="1"/>
  <c r="AI152" i="1"/>
  <c r="U152" i="1"/>
  <c r="S152" i="1" s="1"/>
  <c r="U191" i="1"/>
  <c r="S191" i="1" s="1"/>
  <c r="U183" i="1"/>
  <c r="S183" i="1" s="1"/>
  <c r="U179" i="1"/>
  <c r="S179" i="1" s="1"/>
  <c r="U171" i="1"/>
  <c r="S171" i="1" s="1"/>
  <c r="U167" i="1"/>
  <c r="S167" i="1" s="1"/>
  <c r="U163" i="1"/>
  <c r="S163" i="1" s="1"/>
  <c r="X160" i="1"/>
  <c r="U159" i="1"/>
  <c r="S159" i="1" s="1"/>
  <c r="AG223" i="1"/>
  <c r="AI223" i="1" s="1"/>
  <c r="X224" i="1"/>
  <c r="T223" i="1"/>
  <c r="X223" i="1"/>
  <c r="U216" i="1"/>
  <c r="S216" i="1" s="1"/>
  <c r="U215" i="1"/>
  <c r="S215" i="1" s="1"/>
  <c r="AI154" i="1"/>
  <c r="AI150" i="1"/>
  <c r="T161" i="1"/>
  <c r="X161" i="1"/>
  <c r="AG158" i="1"/>
  <c r="W158" i="1" s="1"/>
  <c r="X159" i="1"/>
  <c r="AI166" i="1"/>
  <c r="U212" i="1"/>
  <c r="S212" i="1" s="1"/>
  <c r="AI164" i="1"/>
  <c r="W209" i="1"/>
  <c r="X222" i="1"/>
  <c r="X218" i="1"/>
  <c r="X202" i="1"/>
  <c r="X198" i="1"/>
  <c r="X194" i="1"/>
  <c r="AI207" i="1"/>
  <c r="X190" i="1"/>
  <c r="AI203" i="1"/>
  <c r="X186" i="1"/>
  <c r="AI199" i="1"/>
  <c r="X182" i="1"/>
  <c r="AI195" i="1"/>
  <c r="X178" i="1"/>
  <c r="AI191" i="1"/>
  <c r="X174" i="1"/>
  <c r="X170" i="1"/>
  <c r="AI183" i="1"/>
  <c r="X166" i="1"/>
  <c r="AI179" i="1"/>
  <c r="X162" i="1"/>
  <c r="AG161" i="1"/>
  <c r="T160" i="1"/>
  <c r="U160" i="1" s="1"/>
  <c r="S160" i="1" s="1"/>
  <c r="X158" i="1"/>
  <c r="AI172" i="1"/>
  <c r="U225" i="1"/>
  <c r="S225" i="1" s="1"/>
  <c r="W224" i="1"/>
  <c r="AI162" i="1"/>
  <c r="U208" i="1"/>
  <c r="S208" i="1" s="1"/>
  <c r="AI160" i="1"/>
  <c r="U207" i="1"/>
  <c r="S207" i="1" s="1"/>
  <c r="W156" i="1"/>
  <c r="W152" i="1"/>
  <c r="AI141" i="1"/>
  <c r="AI167" i="1"/>
  <c r="S214" i="1"/>
  <c r="X213" i="1"/>
  <c r="T213" i="1"/>
  <c r="U213" i="1" s="1"/>
  <c r="S213" i="1" s="1"/>
  <c r="S210" i="1"/>
  <c r="X209" i="1"/>
  <c r="T209" i="1"/>
  <c r="U209" i="1" s="1"/>
  <c r="S209" i="1" s="1"/>
  <c r="AI159" i="1"/>
  <c r="S206" i="1"/>
  <c r="X205" i="1"/>
  <c r="T205" i="1"/>
  <c r="U205" i="1" s="1"/>
  <c r="S205" i="1" s="1"/>
  <c r="AI155" i="1"/>
  <c r="X154" i="1"/>
  <c r="T154" i="1"/>
  <c r="U154" i="1" s="1"/>
  <c r="S154" i="1" s="1"/>
  <c r="AI151" i="1"/>
  <c r="X150" i="1"/>
  <c r="T150" i="1"/>
  <c r="U150" i="1" s="1"/>
  <c r="S150" i="1" s="1"/>
  <c r="U147" i="1"/>
  <c r="S147" i="1" s="1"/>
  <c r="T145" i="1"/>
  <c r="X145" i="1"/>
  <c r="AI142" i="1"/>
  <c r="X142" i="1"/>
  <c r="T135" i="1"/>
  <c r="U135" i="1" s="1"/>
  <c r="S135" i="1" s="1"/>
  <c r="X135" i="1"/>
  <c r="X133" i="1"/>
  <c r="AI131" i="1"/>
  <c r="AG128" i="1"/>
  <c r="X128" i="1"/>
  <c r="T128" i="1"/>
  <c r="X157" i="1"/>
  <c r="X216" i="1"/>
  <c r="X212" i="1"/>
  <c r="X208" i="1"/>
  <c r="X204" i="1"/>
  <c r="X153" i="1"/>
  <c r="X149" i="1"/>
  <c r="X148" i="1"/>
  <c r="X147" i="1"/>
  <c r="AA146" i="1"/>
  <c r="AG145" i="1"/>
  <c r="AA138" i="1"/>
  <c r="W138" i="1" s="1"/>
  <c r="AA137" i="1"/>
  <c r="T136" i="1"/>
  <c r="AG136" i="1"/>
  <c r="X136" i="1"/>
  <c r="AI147" i="1"/>
  <c r="T146" i="1"/>
  <c r="AA142" i="1"/>
  <c r="W142" i="1" s="1"/>
  <c r="W141" i="1"/>
  <c r="AG140" i="1"/>
  <c r="T140" i="1"/>
  <c r="X140" i="1"/>
  <c r="T137" i="1"/>
  <c r="X137" i="1"/>
  <c r="AA132" i="1"/>
  <c r="X214" i="1"/>
  <c r="X210" i="1"/>
  <c r="X206" i="1"/>
  <c r="X155" i="1"/>
  <c r="X151" i="1"/>
  <c r="U148" i="1"/>
  <c r="S148" i="1" s="1"/>
  <c r="AG146" i="1"/>
  <c r="AA145" i="1"/>
  <c r="AG144" i="1"/>
  <c r="T144" i="1"/>
  <c r="X144" i="1"/>
  <c r="T141" i="1"/>
  <c r="U141" i="1" s="1"/>
  <c r="S141" i="1" s="1"/>
  <c r="X141" i="1"/>
  <c r="S138" i="1"/>
  <c r="AI138" i="1"/>
  <c r="X138" i="1"/>
  <c r="AG137" i="1"/>
  <c r="W135" i="1"/>
  <c r="AG132" i="1"/>
  <c r="AG130" i="1"/>
  <c r="T130" i="1"/>
  <c r="T134" i="1"/>
  <c r="U134" i="1" s="1"/>
  <c r="S134" i="1" s="1"/>
  <c r="T131" i="1"/>
  <c r="U131" i="1" s="1"/>
  <c r="S131" i="1" s="1"/>
  <c r="AI127" i="1"/>
  <c r="S127" i="1"/>
  <c r="U124" i="1"/>
  <c r="S124" i="1" s="1"/>
  <c r="AI122" i="1"/>
  <c r="T120" i="1"/>
  <c r="U120" i="1" s="1"/>
  <c r="S120" i="1" s="1"/>
  <c r="T117" i="1"/>
  <c r="U117" i="1" s="1"/>
  <c r="S117" i="1" s="1"/>
  <c r="X117" i="1"/>
  <c r="X116" i="1"/>
  <c r="X115" i="1"/>
  <c r="AA114" i="1"/>
  <c r="U111" i="1"/>
  <c r="T106" i="1"/>
  <c r="X106" i="1"/>
  <c r="AG106" i="1"/>
  <c r="W106" i="1" s="1"/>
  <c r="X107" i="1"/>
  <c r="U103" i="1"/>
  <c r="S103" i="1" s="1"/>
  <c r="T102" i="1"/>
  <c r="X102" i="1"/>
  <c r="AG102" i="1"/>
  <c r="X103" i="1"/>
  <c r="T98" i="1"/>
  <c r="X98" i="1"/>
  <c r="AG98" i="1"/>
  <c r="W98" i="1" s="1"/>
  <c r="X99" i="1"/>
  <c r="U95" i="1"/>
  <c r="S95" i="1" s="1"/>
  <c r="T94" i="1"/>
  <c r="X94" i="1"/>
  <c r="AG94" i="1"/>
  <c r="W94" i="1" s="1"/>
  <c r="X95" i="1"/>
  <c r="U91" i="1"/>
  <c r="S91" i="1" s="1"/>
  <c r="T90" i="1"/>
  <c r="X90" i="1"/>
  <c r="AG90" i="1"/>
  <c r="X91" i="1"/>
  <c r="T86" i="1"/>
  <c r="X86" i="1"/>
  <c r="AG86" i="1"/>
  <c r="X87" i="1"/>
  <c r="U85" i="1"/>
  <c r="S85" i="1" s="1"/>
  <c r="T82" i="1"/>
  <c r="AG82" i="1"/>
  <c r="W82" i="1" s="1"/>
  <c r="U81" i="1"/>
  <c r="S81" i="1" s="1"/>
  <c r="T78" i="1"/>
  <c r="AG78" i="1"/>
  <c r="T74" i="1"/>
  <c r="X74" i="1"/>
  <c r="AG74" i="1"/>
  <c r="X67" i="1"/>
  <c r="AG67" i="1"/>
  <c r="X68" i="1"/>
  <c r="T63" i="1"/>
  <c r="X63" i="1"/>
  <c r="AG63" i="1"/>
  <c r="X64" i="1"/>
  <c r="T55" i="1"/>
  <c r="X55" i="1"/>
  <c r="AG55" i="1"/>
  <c r="W55" i="1" s="1"/>
  <c r="X56" i="1"/>
  <c r="AI44" i="1"/>
  <c r="W44" i="1"/>
  <c r="T121" i="1"/>
  <c r="X121" i="1"/>
  <c r="T114" i="1"/>
  <c r="AG110" i="1"/>
  <c r="W110" i="1" s="1"/>
  <c r="X111" i="1"/>
  <c r="AI66" i="1"/>
  <c r="AI19" i="1"/>
  <c r="U19" i="1"/>
  <c r="S19" i="1" s="1"/>
  <c r="T125" i="1"/>
  <c r="X125" i="1"/>
  <c r="AG121" i="1"/>
  <c r="T118" i="1"/>
  <c r="AG114" i="1"/>
  <c r="S111" i="1"/>
  <c r="X110" i="1"/>
  <c r="AI108" i="1"/>
  <c r="AI104" i="1"/>
  <c r="U104" i="1"/>
  <c r="S104" i="1" s="1"/>
  <c r="AI100" i="1"/>
  <c r="U100" i="1"/>
  <c r="S100" i="1" s="1"/>
  <c r="AI96" i="1"/>
  <c r="U96" i="1"/>
  <c r="S96" i="1" s="1"/>
  <c r="AI92" i="1"/>
  <c r="U92" i="1"/>
  <c r="S92" i="1" s="1"/>
  <c r="AI88" i="1"/>
  <c r="AI84" i="1"/>
  <c r="U84" i="1"/>
  <c r="S84" i="1" s="1"/>
  <c r="AI80" i="1"/>
  <c r="U80" i="1"/>
  <c r="S80" i="1" s="1"/>
  <c r="T59" i="1"/>
  <c r="X59" i="1"/>
  <c r="AG59" i="1"/>
  <c r="W59" i="1" s="1"/>
  <c r="X60" i="1"/>
  <c r="T51" i="1"/>
  <c r="X51" i="1"/>
  <c r="AG51" i="1"/>
  <c r="W51" i="1" s="1"/>
  <c r="X52" i="1"/>
  <c r="T36" i="1"/>
  <c r="X36" i="1"/>
  <c r="AG36" i="1"/>
  <c r="W36" i="1" s="1"/>
  <c r="U28" i="1"/>
  <c r="S28" i="1" s="1"/>
  <c r="T129" i="1"/>
  <c r="U129" i="1" s="1"/>
  <c r="S129" i="1" s="1"/>
  <c r="X129" i="1"/>
  <c r="W126" i="1"/>
  <c r="AG125" i="1"/>
  <c r="AG118" i="1"/>
  <c r="T116" i="1"/>
  <c r="U116" i="1" s="1"/>
  <c r="S116" i="1" s="1"/>
  <c r="T113" i="1"/>
  <c r="U113" i="1" s="1"/>
  <c r="S113" i="1" s="1"/>
  <c r="X113" i="1"/>
  <c r="AI112" i="1"/>
  <c r="U112" i="1"/>
  <c r="S112" i="1" s="1"/>
  <c r="AI107" i="1"/>
  <c r="AI103" i="1"/>
  <c r="AI95" i="1"/>
  <c r="AI91" i="1"/>
  <c r="S87" i="1"/>
  <c r="AI87" i="1"/>
  <c r="AI83" i="1"/>
  <c r="S79" i="1"/>
  <c r="AI79" i="1"/>
  <c r="AI76" i="1"/>
  <c r="U71" i="1"/>
  <c r="S71" i="1" s="1"/>
  <c r="AI48" i="1"/>
  <c r="U43" i="1"/>
  <c r="S43" i="1" s="1"/>
  <c r="X109" i="1"/>
  <c r="X105" i="1"/>
  <c r="X101" i="1"/>
  <c r="X97" i="1"/>
  <c r="X93" i="1"/>
  <c r="X89" i="1"/>
  <c r="X85" i="1"/>
  <c r="AG75" i="1"/>
  <c r="T73" i="1"/>
  <c r="U73" i="1" s="1"/>
  <c r="S73" i="1" s="1"/>
  <c r="T70" i="1"/>
  <c r="X70" i="1"/>
  <c r="X69" i="1"/>
  <c r="AA67" i="1"/>
  <c r="AI64" i="1"/>
  <c r="AI60" i="1"/>
  <c r="AI56" i="1"/>
  <c r="AI52" i="1"/>
  <c r="W43" i="1"/>
  <c r="T18" i="1"/>
  <c r="X18" i="1"/>
  <c r="AG18" i="1"/>
  <c r="T77" i="1"/>
  <c r="U77" i="1" s="1"/>
  <c r="S77" i="1" s="1"/>
  <c r="AA75" i="1"/>
  <c r="W65" i="1"/>
  <c r="W61" i="1"/>
  <c r="W57" i="1"/>
  <c r="W53" i="1"/>
  <c r="AI37" i="1"/>
  <c r="U37" i="1"/>
  <c r="S37" i="1" s="1"/>
  <c r="AI71" i="1"/>
  <c r="T66" i="1"/>
  <c r="U66" i="1" s="1"/>
  <c r="S66" i="1" s="1"/>
  <c r="X66" i="1"/>
  <c r="AI65" i="1"/>
  <c r="AI61" i="1"/>
  <c r="U61" i="1"/>
  <c r="S61" i="1" s="1"/>
  <c r="AI57" i="1"/>
  <c r="U57" i="1"/>
  <c r="S57" i="1" s="1"/>
  <c r="AI53" i="1"/>
  <c r="U53" i="1"/>
  <c r="S53" i="1" s="1"/>
  <c r="U49" i="1"/>
  <c r="S49" i="1" s="1"/>
  <c r="X45" i="1"/>
  <c r="AG45" i="1"/>
  <c r="X46" i="1"/>
  <c r="X62" i="1"/>
  <c r="X58" i="1"/>
  <c r="X54" i="1"/>
  <c r="X50" i="1"/>
  <c r="T48" i="1"/>
  <c r="U48" i="1" s="1"/>
  <c r="S48" i="1" s="1"/>
  <c r="X48" i="1"/>
  <c r="X47" i="1"/>
  <c r="AA45" i="1"/>
  <c r="S41" i="1"/>
  <c r="AI41" i="1"/>
  <c r="T40" i="1"/>
  <c r="X40" i="1"/>
  <c r="AG40" i="1"/>
  <c r="W40" i="1" s="1"/>
  <c r="AA33" i="1"/>
  <c r="S26" i="1"/>
  <c r="AI26" i="1"/>
  <c r="T25" i="1"/>
  <c r="AG25" i="1"/>
  <c r="T22" i="1"/>
  <c r="AG22" i="1"/>
  <c r="W22" i="1" s="1"/>
  <c r="AA15" i="1"/>
  <c r="W15" i="1" s="1"/>
  <c r="AI33" i="1"/>
  <c r="T32" i="1"/>
  <c r="AG32" i="1"/>
  <c r="W32" i="1" s="1"/>
  <c r="S15" i="1"/>
  <c r="AI15" i="1"/>
  <c r="T14" i="1"/>
  <c r="AG14" i="1"/>
  <c r="AI49" i="1"/>
  <c r="T47" i="1"/>
  <c r="U47" i="1" s="1"/>
  <c r="S47" i="1" s="1"/>
  <c r="T44" i="1"/>
  <c r="U44" i="1" s="1"/>
  <c r="S44" i="1" s="1"/>
  <c r="X44" i="1"/>
  <c r="W37" i="1"/>
  <c r="U34" i="1"/>
  <c r="S34" i="1" s="1"/>
  <c r="S30" i="1"/>
  <c r="AI30" i="1"/>
  <c r="T29" i="1"/>
  <c r="X29" i="1"/>
  <c r="AG29" i="1"/>
  <c r="W19" i="1"/>
  <c r="U16" i="1"/>
  <c r="S16" i="1" s="1"/>
  <c r="AI42" i="1"/>
  <c r="S42" i="1"/>
  <c r="X41" i="1"/>
  <c r="S38" i="1"/>
  <c r="X37" i="1"/>
  <c r="AI34" i="1"/>
  <c r="AI31" i="1"/>
  <c r="AI27" i="1"/>
  <c r="S27" i="1"/>
  <c r="X26" i="1"/>
  <c r="AI23" i="1"/>
  <c r="AI20" i="1"/>
  <c r="X19" i="1"/>
  <c r="AI16" i="1"/>
  <c r="X15" i="1"/>
  <c r="AD32" i="3"/>
  <c r="Y18" i="3"/>
  <c r="AD30" i="3"/>
  <c r="Y23" i="3"/>
  <c r="Y42" i="3"/>
  <c r="Y39" i="3"/>
  <c r="AD21" i="3"/>
  <c r="Y7" i="3"/>
  <c r="AD9" i="3"/>
  <c r="Y12" i="3"/>
  <c r="Y25" i="3"/>
  <c r="AD36" i="3"/>
  <c r="Y19" i="3"/>
  <c r="AD34" i="3"/>
  <c r="Y15" i="3"/>
  <c r="AD28" i="3"/>
  <c r="Y14" i="3"/>
  <c r="Y40" i="3"/>
  <c r="Y26" i="3"/>
  <c r="AD16" i="3"/>
  <c r="Y11" i="3"/>
  <c r="AD13" i="3"/>
  <c r="Y38" i="3"/>
  <c r="AD20" i="3"/>
  <c r="Y33" i="3"/>
  <c r="AD35" i="3"/>
  <c r="AD31" i="3"/>
  <c r="AD19" i="3"/>
  <c r="AD17" i="3"/>
  <c r="Y41" i="3"/>
  <c r="Y29" i="3"/>
  <c r="Y27" i="3"/>
  <c r="Y21" i="3"/>
  <c r="Y9" i="3"/>
  <c r="Y37" i="3"/>
  <c r="Y10" i="3"/>
  <c r="Y32" i="3"/>
  <c r="AD10" i="3"/>
  <c r="Y30" i="3"/>
  <c r="Y24" i="3"/>
  <c r="Y28" i="3"/>
  <c r="Y8" i="3"/>
  <c r="Y22" i="3"/>
  <c r="Y16" i="3"/>
  <c r="Y13" i="3"/>
  <c r="Y20" i="3"/>
  <c r="Y36" i="3"/>
  <c r="AC41" i="3"/>
  <c r="AC24" i="3"/>
  <c r="AC18" i="3"/>
  <c r="AC15" i="3"/>
  <c r="AC30" i="3"/>
  <c r="AC28" i="3"/>
  <c r="AC23" i="3"/>
  <c r="AC14" i="3"/>
  <c r="AC29" i="3"/>
  <c r="AC8" i="3"/>
  <c r="AC42" i="3"/>
  <c r="AC40" i="3"/>
  <c r="AC27" i="3"/>
  <c r="AC22" i="3"/>
  <c r="AC39" i="3"/>
  <c r="AC26" i="3"/>
  <c r="AC21" i="3"/>
  <c r="AC16" i="3"/>
  <c r="AC7" i="3"/>
  <c r="AC11" i="3"/>
  <c r="AC9" i="3"/>
  <c r="AC13" i="3"/>
  <c r="AC12" i="3"/>
  <c r="AC38" i="3"/>
  <c r="AC37" i="3"/>
  <c r="AC20" i="3"/>
  <c r="AC25" i="3"/>
  <c r="AC33" i="3"/>
  <c r="AC10" i="3"/>
  <c r="AC36" i="3"/>
  <c r="AC35" i="3"/>
  <c r="AC19" i="3"/>
  <c r="AC32" i="3"/>
  <c r="AC34" i="3"/>
  <c r="AC31" i="3"/>
  <c r="AC17" i="3"/>
  <c r="M43" i="3"/>
  <c r="R43" i="3"/>
  <c r="S43" i="3"/>
  <c r="U43" i="3"/>
  <c r="V43" i="3"/>
  <c r="W43" i="3"/>
  <c r="X43" i="3"/>
  <c r="AC43" i="3"/>
  <c r="AI38" i="1" l="1"/>
  <c r="U31" i="1"/>
  <c r="S31" i="1" s="1"/>
  <c r="U70" i="1"/>
  <c r="S70" i="1" s="1"/>
  <c r="AI99" i="1"/>
  <c r="AI70" i="1"/>
  <c r="U126" i="1"/>
  <c r="S126" i="1" s="1"/>
  <c r="U190" i="1"/>
  <c r="S190" i="1" s="1"/>
  <c r="U133" i="1"/>
  <c r="S133" i="1" s="1"/>
  <c r="W123" i="1"/>
  <c r="W14" i="1"/>
  <c r="W33" i="1"/>
  <c r="AI123" i="1"/>
  <c r="W74" i="1"/>
  <c r="U149" i="1"/>
  <c r="S149" i="1" s="1"/>
  <c r="U153" i="1"/>
  <c r="S153" i="1" s="1"/>
  <c r="AI187" i="1"/>
  <c r="AI198" i="1"/>
  <c r="AI226" i="1"/>
  <c r="U21" i="1"/>
  <c r="S21" i="1" s="1"/>
  <c r="U72" i="1"/>
  <c r="S72" i="1" s="1"/>
  <c r="U196" i="1"/>
  <c r="S196" i="1" s="1"/>
  <c r="W200" i="1"/>
  <c r="W139" i="1"/>
  <c r="W72" i="1"/>
  <c r="W102" i="1"/>
  <c r="W99" i="1"/>
  <c r="W149" i="1"/>
  <c r="W198" i="1"/>
  <c r="W214" i="1"/>
  <c r="W183" i="1"/>
  <c r="W49" i="1"/>
  <c r="U157" i="1"/>
  <c r="S157" i="1" s="1"/>
  <c r="W21" i="1"/>
  <c r="W81" i="1"/>
  <c r="U20" i="1"/>
  <c r="S20" i="1" s="1"/>
  <c r="W170" i="1"/>
  <c r="W137" i="1"/>
  <c r="W41" i="1"/>
  <c r="W112" i="1"/>
  <c r="U101" i="1"/>
  <c r="S101" i="1" s="1"/>
  <c r="AI101" i="1"/>
  <c r="W145" i="1"/>
  <c r="W38" i="1"/>
  <c r="W212" i="1"/>
  <c r="W101" i="1"/>
  <c r="W97" i="1"/>
  <c r="W143" i="1"/>
  <c r="W85" i="1"/>
  <c r="U89" i="1"/>
  <c r="S89" i="1" s="1"/>
  <c r="AI89" i="1"/>
  <c r="W133" i="1"/>
  <c r="W204" i="1"/>
  <c r="U23" i="1"/>
  <c r="S23" i="1" s="1"/>
  <c r="U204" i="1"/>
  <c r="S204" i="1" s="1"/>
  <c r="AI204" i="1"/>
  <c r="W71" i="1"/>
  <c r="W115" i="1"/>
  <c r="W196" i="1"/>
  <c r="W67" i="1"/>
  <c r="W146" i="1"/>
  <c r="AI158" i="1"/>
  <c r="U50" i="1"/>
  <c r="S50" i="1" s="1"/>
  <c r="AI50" i="1"/>
  <c r="W20" i="1"/>
  <c r="U46" i="1"/>
  <c r="S46" i="1" s="1"/>
  <c r="AI46" i="1"/>
  <c r="U54" i="1"/>
  <c r="S54" i="1" s="1"/>
  <c r="AI54" i="1"/>
  <c r="W122" i="1"/>
  <c r="W153" i="1"/>
  <c r="U109" i="1"/>
  <c r="S109" i="1" s="1"/>
  <c r="W174" i="1"/>
  <c r="W50" i="1"/>
  <c r="W168" i="1"/>
  <c r="W163" i="1"/>
  <c r="U119" i="1"/>
  <c r="S119" i="1" s="1"/>
  <c r="AI119" i="1"/>
  <c r="U176" i="1"/>
  <c r="S176" i="1" s="1"/>
  <c r="AI176" i="1"/>
  <c r="U184" i="1"/>
  <c r="S184" i="1" s="1"/>
  <c r="AI184" i="1"/>
  <c r="W218" i="1"/>
  <c r="W161" i="1"/>
  <c r="AI161" i="1"/>
  <c r="W27" i="1"/>
  <c r="W16" i="1"/>
  <c r="U58" i="1"/>
  <c r="S58" i="1" s="1"/>
  <c r="AI58" i="1"/>
  <c r="U17" i="1"/>
  <c r="S17" i="1" s="1"/>
  <c r="AI17" i="1"/>
  <c r="U62" i="1"/>
  <c r="S62" i="1" s="1"/>
  <c r="AI62" i="1"/>
  <c r="W54" i="1"/>
  <c r="U188" i="1"/>
  <c r="S188" i="1" s="1"/>
  <c r="AI188" i="1"/>
  <c r="W46" i="1"/>
  <c r="U192" i="1"/>
  <c r="S192" i="1" s="1"/>
  <c r="AI192" i="1"/>
  <c r="W216" i="1"/>
  <c r="W132" i="1"/>
  <c r="W23" i="1"/>
  <c r="W58" i="1"/>
  <c r="U180" i="1"/>
  <c r="S180" i="1" s="1"/>
  <c r="AI180" i="1"/>
  <c r="U200" i="1"/>
  <c r="S200" i="1" s="1"/>
  <c r="AI200" i="1"/>
  <c r="W109" i="1"/>
  <c r="W187" i="1"/>
  <c r="W180" i="1"/>
  <c r="W184" i="1"/>
  <c r="AI25" i="1"/>
  <c r="U25" i="1"/>
  <c r="S25" i="1" s="1"/>
  <c r="AI45" i="1"/>
  <c r="U45" i="1"/>
  <c r="S45" i="1" s="1"/>
  <c r="AI22" i="1"/>
  <c r="U22" i="1"/>
  <c r="S22" i="1" s="1"/>
  <c r="W45" i="1"/>
  <c r="AI75" i="1"/>
  <c r="U75" i="1"/>
  <c r="S75" i="1" s="1"/>
  <c r="U125" i="1"/>
  <c r="S125" i="1" s="1"/>
  <c r="AI125" i="1"/>
  <c r="U86" i="1"/>
  <c r="S86" i="1" s="1"/>
  <c r="AI86" i="1"/>
  <c r="U90" i="1"/>
  <c r="S90" i="1" s="1"/>
  <c r="AI90" i="1"/>
  <c r="U106" i="1"/>
  <c r="S106" i="1" s="1"/>
  <c r="AI106" i="1"/>
  <c r="W125" i="1"/>
  <c r="U130" i="1"/>
  <c r="S130" i="1" s="1"/>
  <c r="AI130" i="1"/>
  <c r="U140" i="1"/>
  <c r="S140" i="1" s="1"/>
  <c r="AI140" i="1"/>
  <c r="AI136" i="1"/>
  <c r="U136" i="1"/>
  <c r="S136" i="1" s="1"/>
  <c r="AI145" i="1"/>
  <c r="U145" i="1"/>
  <c r="S145" i="1" s="1"/>
  <c r="U128" i="1"/>
  <c r="S128" i="1" s="1"/>
  <c r="AI128" i="1"/>
  <c r="W130" i="1"/>
  <c r="AI29" i="1"/>
  <c r="U29" i="1"/>
  <c r="S29" i="1" s="1"/>
  <c r="AI32" i="1"/>
  <c r="U32" i="1"/>
  <c r="S32" i="1" s="1"/>
  <c r="AI18" i="1"/>
  <c r="U18" i="1"/>
  <c r="S18" i="1" s="1"/>
  <c r="AI14" i="1"/>
  <c r="U14" i="1"/>
  <c r="S14" i="1" s="1"/>
  <c r="W86" i="1"/>
  <c r="AI118" i="1"/>
  <c r="U118" i="1"/>
  <c r="S118" i="1" s="1"/>
  <c r="U121" i="1"/>
  <c r="S121" i="1" s="1"/>
  <c r="AI121" i="1"/>
  <c r="W118" i="1"/>
  <c r="AI74" i="1"/>
  <c r="U74" i="1"/>
  <c r="S74" i="1" s="1"/>
  <c r="U94" i="1"/>
  <c r="S94" i="1" s="1"/>
  <c r="AI94" i="1"/>
  <c r="W128" i="1"/>
  <c r="AI132" i="1"/>
  <c r="U132" i="1"/>
  <c r="S132" i="1" s="1"/>
  <c r="AI137" i="1"/>
  <c r="U137" i="1"/>
  <c r="S137" i="1" s="1"/>
  <c r="U144" i="1"/>
  <c r="S144" i="1" s="1"/>
  <c r="AI144" i="1"/>
  <c r="W121" i="1"/>
  <c r="W140" i="1"/>
  <c r="W144" i="1"/>
  <c r="W136" i="1"/>
  <c r="AI114" i="1"/>
  <c r="U114" i="1"/>
  <c r="S114" i="1" s="1"/>
  <c r="U110" i="1"/>
  <c r="S110" i="1" s="1"/>
  <c r="AI110" i="1"/>
  <c r="U55" i="1"/>
  <c r="S55" i="1" s="1"/>
  <c r="AI55" i="1"/>
  <c r="U63" i="1"/>
  <c r="S63" i="1" s="1"/>
  <c r="AI63" i="1"/>
  <c r="AI67" i="1"/>
  <c r="U67" i="1"/>
  <c r="S67" i="1" s="1"/>
  <c r="U78" i="1"/>
  <c r="S78" i="1" s="1"/>
  <c r="AI78" i="1"/>
  <c r="U98" i="1"/>
  <c r="S98" i="1" s="1"/>
  <c r="AI98" i="1"/>
  <c r="U161" i="1"/>
  <c r="S161" i="1" s="1"/>
  <c r="AI177" i="1"/>
  <c r="U158" i="1"/>
  <c r="S158" i="1" s="1"/>
  <c r="AI174" i="1"/>
  <c r="W25" i="1"/>
  <c r="W29" i="1"/>
  <c r="W18" i="1"/>
  <c r="AI40" i="1"/>
  <c r="U40" i="1"/>
  <c r="S40" i="1" s="1"/>
  <c r="W75" i="1"/>
  <c r="W63" i="1"/>
  <c r="W78" i="1"/>
  <c r="AI36" i="1"/>
  <c r="U36" i="1"/>
  <c r="S36" i="1" s="1"/>
  <c r="U51" i="1"/>
  <c r="S51" i="1" s="1"/>
  <c r="AI51" i="1"/>
  <c r="U59" i="1"/>
  <c r="S59" i="1" s="1"/>
  <c r="AI59" i="1"/>
  <c r="U82" i="1"/>
  <c r="S82" i="1" s="1"/>
  <c r="AI82" i="1"/>
  <c r="U102" i="1"/>
  <c r="S102" i="1" s="1"/>
  <c r="AI102" i="1"/>
  <c r="W114" i="1"/>
  <c r="AI146" i="1"/>
  <c r="U146" i="1"/>
  <c r="S146" i="1" s="1"/>
  <c r="U223" i="1"/>
  <c r="S223" i="1" s="1"/>
  <c r="AI170" i="1"/>
  <c r="W223" i="1"/>
  <c r="T43" i="3"/>
  <c r="AD41" i="3"/>
  <c r="Y43" i="3"/>
  <c r="M28" i="5" l="1"/>
  <c r="AD43" i="3" l="1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86" i="9" l="1"/>
  <c r="B87" i="9"/>
  <c r="C87" i="9" l="1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B81" i="9"/>
  <c r="B82" i="9"/>
  <c r="B83" i="9"/>
  <c r="B84" i="9"/>
  <c r="B85" i="9"/>
  <c r="C86" i="9" s="1"/>
  <c r="C83" i="9" l="1"/>
  <c r="C85" i="9"/>
  <c r="C84" i="9"/>
  <c r="C82" i="9"/>
  <c r="B53" i="9" l="1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C78" i="9" s="1"/>
  <c r="B79" i="9"/>
  <c r="B80" i="9"/>
  <c r="C74" i="9" l="1"/>
  <c r="C70" i="9"/>
  <c r="C66" i="9"/>
  <c r="C62" i="9"/>
  <c r="C76" i="9"/>
  <c r="C72" i="9"/>
  <c r="C68" i="9"/>
  <c r="C64" i="9"/>
  <c r="C60" i="9"/>
  <c r="C56" i="9"/>
  <c r="C58" i="9"/>
  <c r="C80" i="9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17" i="3" s="1"/>
  <c r="G23" i="4"/>
  <c r="G24" i="4"/>
  <c r="N31" i="3" s="1"/>
  <c r="G25" i="4"/>
  <c r="G26" i="4"/>
  <c r="G27" i="4"/>
  <c r="G28" i="4"/>
  <c r="G29" i="4"/>
  <c r="G30" i="4"/>
  <c r="G31" i="4"/>
  <c r="N34" i="3" s="1"/>
  <c r="G32" i="4"/>
  <c r="G33" i="4"/>
  <c r="G34" i="4"/>
  <c r="G35" i="4"/>
  <c r="G36" i="4"/>
  <c r="G37" i="4"/>
  <c r="N32" i="3" s="1"/>
  <c r="G38" i="4"/>
  <c r="G39" i="4"/>
  <c r="G40" i="4"/>
  <c r="G41" i="4"/>
  <c r="G42" i="4"/>
  <c r="N10" i="3" s="1"/>
  <c r="G43" i="4"/>
  <c r="G44" i="4"/>
  <c r="G45" i="4"/>
  <c r="G46" i="4"/>
  <c r="N19" i="3" s="1"/>
  <c r="G47" i="4"/>
  <c r="G48" i="4"/>
  <c r="N33" i="3" s="1"/>
  <c r="G49" i="4"/>
  <c r="G50" i="4"/>
  <c r="G51" i="4"/>
  <c r="G52" i="4"/>
  <c r="N25" i="3" s="1"/>
  <c r="G53" i="4"/>
  <c r="G54" i="4"/>
  <c r="N20" i="3" s="1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N12" i="3" s="1"/>
  <c r="G72" i="4"/>
  <c r="G73" i="4"/>
  <c r="G74" i="4"/>
  <c r="G75" i="4"/>
  <c r="G76" i="4"/>
  <c r="G77" i="4"/>
  <c r="N13" i="3" s="1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N7" i="3" s="1"/>
  <c r="G101" i="4"/>
  <c r="G102" i="4"/>
  <c r="G103" i="4"/>
  <c r="G104" i="4"/>
  <c r="G105" i="4"/>
  <c r="G106" i="4"/>
  <c r="G107" i="4"/>
  <c r="N26" i="3" s="1"/>
  <c r="G108" i="4"/>
  <c r="G109" i="4"/>
  <c r="G110" i="4"/>
  <c r="G111" i="4"/>
  <c r="G112" i="4"/>
  <c r="G113" i="4"/>
  <c r="G114" i="4"/>
  <c r="N39" i="3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N22" i="3" s="1"/>
  <c r="G127" i="4"/>
  <c r="G128" i="4"/>
  <c r="G129" i="4"/>
  <c r="G130" i="4"/>
  <c r="G131" i="4"/>
  <c r="G132" i="4"/>
  <c r="G133" i="4"/>
  <c r="G134" i="4"/>
  <c r="G135" i="4"/>
  <c r="G136" i="4"/>
  <c r="N27" i="3" s="1"/>
  <c r="G137" i="4"/>
  <c r="G138" i="4"/>
  <c r="G139" i="4"/>
  <c r="G140" i="4"/>
  <c r="G141" i="4"/>
  <c r="G142" i="4"/>
  <c r="G143" i="4"/>
  <c r="G144" i="4"/>
  <c r="G145" i="4"/>
  <c r="G146" i="4"/>
  <c r="G147" i="4"/>
  <c r="N40" i="3" s="1"/>
  <c r="G148" i="4"/>
  <c r="G149" i="4"/>
  <c r="G150" i="4"/>
  <c r="G151" i="4"/>
  <c r="G152" i="4"/>
  <c r="G153" i="4"/>
  <c r="G154" i="4"/>
  <c r="G155" i="4"/>
  <c r="G156" i="4"/>
  <c r="G157" i="4"/>
  <c r="N42" i="3" s="1"/>
  <c r="G158" i="4"/>
  <c r="G159" i="4"/>
  <c r="G160" i="4"/>
  <c r="G161" i="4"/>
  <c r="G162" i="4"/>
  <c r="G163" i="4"/>
  <c r="G164" i="4"/>
  <c r="N8" i="3" s="1"/>
  <c r="G165" i="4"/>
  <c r="G166" i="4"/>
  <c r="G167" i="4"/>
  <c r="G168" i="4"/>
  <c r="G169" i="4"/>
  <c r="G170" i="4"/>
  <c r="N29" i="3" s="1"/>
  <c r="G171" i="4"/>
  <c r="N14" i="3" s="1"/>
  <c r="G172" i="4"/>
  <c r="G173" i="4"/>
  <c r="G174" i="4"/>
  <c r="G175" i="4"/>
  <c r="G176" i="4"/>
  <c r="G177" i="4"/>
  <c r="G178" i="4"/>
  <c r="G179" i="4"/>
  <c r="N23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N28" i="3" s="1"/>
  <c r="G198" i="4"/>
  <c r="G199" i="4"/>
  <c r="G200" i="4"/>
  <c r="G201" i="4"/>
  <c r="N30" i="3" s="1"/>
  <c r="G202" i="4"/>
  <c r="G203" i="4"/>
  <c r="N15" i="3" s="1"/>
  <c r="G204" i="4"/>
  <c r="G205" i="4"/>
  <c r="G206" i="4"/>
  <c r="G207" i="4"/>
  <c r="G208" i="4"/>
  <c r="G209" i="4"/>
  <c r="G210" i="4"/>
  <c r="G211" i="4"/>
  <c r="G212" i="4"/>
  <c r="G213" i="4"/>
  <c r="G214" i="4"/>
  <c r="N18" i="3" s="1"/>
  <c r="G215" i="4"/>
  <c r="G216" i="4"/>
  <c r="G217" i="4"/>
  <c r="N24" i="3" s="1"/>
  <c r="G218" i="4"/>
  <c r="G219" i="4"/>
  <c r="G220" i="4"/>
  <c r="G221" i="4"/>
  <c r="G222" i="4"/>
  <c r="N41" i="3" s="1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8" i="3" l="1"/>
  <c r="N37" i="3"/>
  <c r="N9" i="3"/>
  <c r="N11" i="3"/>
  <c r="N35" i="3"/>
  <c r="N36" i="3"/>
  <c r="N43" i="3"/>
  <c r="N16" i="3"/>
  <c r="N21" i="3"/>
  <c r="H6" i="6"/>
  <c r="H4" i="6"/>
  <c r="H5" i="6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<sst xmlns="http://schemas.openxmlformats.org/spreadsheetml/2006/main" count="2601" uniqueCount="926">
  <si>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</si>
  <si>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</si>
  <si>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</si>
  <si>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</si>
  <si>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</si>
  <si>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</si>
  <si>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</si>
  <si>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</si>
  <si>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</si>
  <si>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</si>
  <si>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</si>
  <si>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</si>
  <si>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</si>
  <si>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</si>
  <si>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</si>
  <si>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</si>
  <si>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</si>
  <si>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</si>
  <si>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</si>
  <si>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</si>
  <si>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</si>
  <si>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</si>
  <si>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</si>
  <si>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</si>
  <si>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</si>
  <si>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</si>
  <si>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</si>
  <si>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</si>
  <si>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</si>
  <si>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</si>
  <si>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</si>
  <si>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</si>
  <si>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</si>
  <si>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</si>
  <si>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</si>
  <si>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</si>
  <si>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</si>
  <si>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</si>
  <si>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</si>
  <si>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</si>
  <si>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</si>
  <si>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</si>
  <si>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</si>
  <si>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</si>
  <si>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</si>
  <si>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</si>
  <si>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</si>
  <si>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</si>
  <si>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</si>
  <si>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</si>
  <si>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</si>
  <si>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</si>
  <si>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</si>
  <si>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</si>
  <si>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</si>
  <si>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</si>
  <si>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</si>
  <si>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</si>
  <si>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</si>
  <si>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</si>
  <si>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</si>
  <si>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</si>
  <si>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</si>
  <si>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</si>
  <si>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</si>
  <si>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</si>
  <si>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</si>
  <si>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</si>
  <si>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</si>
  <si>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</si>
  <si>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</si>
  <si>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</si>
  <si>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</si>
  <si>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</si>
  <si>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</si>
  <si>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</si>
  <si>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</si>
  <si>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</si>
  <si>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</si>
  <si>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</si>
  <si>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</si>
  <si>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</si>
  <si>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</si>
  <si>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</si>
  <si>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</si>
  <si>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</si>
  <si>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</si>
  <si>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</si>
  <si>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</si>
  <si>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</si>
  <si>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</si>
  <si>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</si>
  <si>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</si>
  <si>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</si>
  <si>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</si>
  <si>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</si>
  <si>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</si>
  <si>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</si>
  <si>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</si>
  <si>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</si>
  <si>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</si>
  <si>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</si>
  <si>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</si>
  <si>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</si>
  <si>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</si>
  <si>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</si>
  <si>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</si>
  <si>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</si>
  <si>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</si>
  <si>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</si>
  <si>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</si>
  <si>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</si>
  <si>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</si>
  <si>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</si>
  <si>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</si>
  <si>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</si>
  <si>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</si>
  <si>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</si>
  <si>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</si>
  <si>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</si>
  <si>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</si>
  <si>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</si>
  <si>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</si>
  <si>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</si>
  <si>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</si>
  <si>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</si>
  <si>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</si>
  <si>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</si>
  <si>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</si>
  <si>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</si>
  <si>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</si>
  <si>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</si>
  <si>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</si>
  <si>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</si>
  <si>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</si>
  <si>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</si>
  <si>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</si>
  <si>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</si>
  <si>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</si>
  <si>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</si>
  <si>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</si>
  <si>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</si>
  <si>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</si>
  <si>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</si>
  <si>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</si>
  <si>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</si>
  <si>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</si>
  <si>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</si>
  <si>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</si>
  <si>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</si>
  <si>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</si>
  <si>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</si>
  <si>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</si>
  <si>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</si>
  <si>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</si>
  <si>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</si>
  <si>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</si>
  <si>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</si>
  <si>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</si>
  <si>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</si>
  <si>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</si>
  <si>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</si>
  <si>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</si>
  <si>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</si>
  <si>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</si>
  <si>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</si>
  <si>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</si>
  <si>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</si>
  <si>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</si>
  <si>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</si>
  <si>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</si>
  <si>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</si>
  <si>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</si>
  <si>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</si>
  <si>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</si>
  <si>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</si>
  <si>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</si>
  <si>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</si>
  <si>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</si>
  <si>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</si>
  <si>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</si>
  <si>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</si>
  <si>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</si>
  <si>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</si>
  <si>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</si>
  <si>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</si>
  <si>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</si>
  <si>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</si>
  <si>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</si>
  <si>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</si>
  <si>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</si>
  <si>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</si>
  <si>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</si>
  <si>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</si>
  <si>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</si>
  <si>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</si>
  <si>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</si>
  <si>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</si>
  <si>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</si>
  <si>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</si>
  <si>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</si>
  <si>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</si>
  <si>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</si>
  <si>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</si>
  <si>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</si>
  <si>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</si>
  <si>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</si>
  <si>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</si>
  <si>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</si>
  <si>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</si>
  <si>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</si>
  <si>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</si>
  <si>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</si>
  <si>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</si>
  <si>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</si>
  <si>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</si>
  <si>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</si>
  <si>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</si>
  <si>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</si>
  <si>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</si>
  <si>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</si>
  <si>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</si>
  <si>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</si>
  <si>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</si>
  <si>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</si>
  <si>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</si>
  <si>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</si>
  <si>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</si>
  <si>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</si>
  <si>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</si>
  <si>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</si>
  <si>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rtdc.l.rtdc.4042:itc</t>
  </si>
  <si>
    <t>DAVIDSON</t>
  </si>
  <si>
    <t>204:145</t>
  </si>
  <si>
    <t>rtdc.l.rtdc.4032:itc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</si>
  <si>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</si>
  <si>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</si>
  <si>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</si>
  <si>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</si>
  <si>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</si>
  <si>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</si>
  <si>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</si>
  <si>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</si>
  <si>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</si>
  <si>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</si>
  <si>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</si>
  <si>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</si>
  <si>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</si>
  <si>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JOHN</t>
  </si>
  <si>
    <t>DAVID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</si>
  <si>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</si>
  <si>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</si>
  <si>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</si>
  <si>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</si>
  <si>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</si>
  <si>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</si>
  <si>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</si>
  <si>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</si>
  <si>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</si>
  <si>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</si>
  <si>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</si>
  <si>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</si>
  <si>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</si>
  <si>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DAVIS</t>
  </si>
  <si>
    <t>204:467</t>
  </si>
  <si>
    <t>204:232977</t>
  </si>
  <si>
    <t>204:161</t>
  </si>
  <si>
    <t>204:160</t>
  </si>
  <si>
    <t>204:462</t>
  </si>
  <si>
    <t>204:232993</t>
  </si>
  <si>
    <t>rtdc.l.rtdc.4013:itc</t>
  </si>
  <si>
    <t>rtdc.l.rtdc.4004:itc</t>
  </si>
  <si>
    <t>rtdc.l.rtdc.4003:itc</t>
  </si>
  <si>
    <t>204:138</t>
  </si>
  <si>
    <t>204:477</t>
  </si>
  <si>
    <t>204:233289</t>
  </si>
  <si>
    <t>204:233000</t>
  </si>
  <si>
    <t>204:232986</t>
  </si>
  <si>
    <t>204:440</t>
  </si>
  <si>
    <t>204:233299</t>
  </si>
  <si>
    <t>204:233298</t>
  </si>
  <si>
    <t>SMITH</t>
  </si>
  <si>
    <t>NEWELL</t>
  </si>
  <si>
    <t>204:449</t>
  </si>
  <si>
    <t>204:442</t>
  </si>
  <si>
    <t>204:233295</t>
  </si>
  <si>
    <t>204:233308</t>
  </si>
  <si>
    <t>204:232973</t>
  </si>
  <si>
    <t>204:232978</t>
  </si>
  <si>
    <t>rtdc.l.rtdc.4028:itc</t>
  </si>
  <si>
    <t>rtdc.l.rtdc.4027:itc</t>
  </si>
  <si>
    <t>rtdc.l.rtdc.4044:itc</t>
  </si>
  <si>
    <t>rtdc.l.rtdc.4031:itc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</si>
  <si>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</si>
  <si>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</si>
  <si>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</si>
  <si>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</si>
  <si>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</si>
  <si>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</si>
  <si>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</si>
  <si>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</si>
  <si>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</si>
  <si>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</si>
  <si>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</si>
  <si>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</si>
  <si>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</si>
  <si>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</si>
  <si>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</si>
  <si>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</si>
  <si>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204:232984</t>
  </si>
  <si>
    <t>204:473</t>
  </si>
  <si>
    <t>204:233301</t>
  </si>
  <si>
    <t>204:233297</t>
  </si>
  <si>
    <t>YANG</t>
  </si>
  <si>
    <t>JAN</t>
  </si>
  <si>
    <t>204:233312</t>
  </si>
  <si>
    <t>204:233293</t>
  </si>
  <si>
    <t>204:233300</t>
  </si>
  <si>
    <t>204:152</t>
  </si>
  <si>
    <t>204:232967</t>
  </si>
  <si>
    <t>204:232969</t>
  </si>
  <si>
    <t>204:232980</t>
  </si>
  <si>
    <t>204:232983</t>
  </si>
  <si>
    <t>204:232982</t>
  </si>
  <si>
    <t>204:165</t>
  </si>
  <si>
    <t>HILLS</t>
  </si>
  <si>
    <t>DUSTIN</t>
  </si>
  <si>
    <t>BROWN</t>
  </si>
  <si>
    <t>JACOB</t>
  </si>
  <si>
    <t>rtdc.l.rtdc.4029:itc</t>
  </si>
  <si>
    <t>204:233319</t>
  </si>
  <si>
    <t>204:158</t>
  </si>
  <si>
    <t>204:475</t>
  </si>
  <si>
    <t>204:232966</t>
  </si>
  <si>
    <t>204:232998</t>
  </si>
  <si>
    <t>204:233304</t>
  </si>
  <si>
    <t>204:233303</t>
  </si>
  <si>
    <t>204:232987</t>
  </si>
  <si>
    <t>204:141</t>
  </si>
  <si>
    <t>204:233307</t>
  </si>
  <si>
    <t>204:233272</t>
  </si>
  <si>
    <t>300:58935</t>
  </si>
  <si>
    <t>300:58617</t>
  </si>
  <si>
    <t>Cancelled</t>
  </si>
  <si>
    <t>rtdc.l.rtdc.4025:itc</t>
  </si>
  <si>
    <t>rtdc.l.rtdc.4026:itc</t>
  </si>
  <si>
    <t>242-23</t>
  </si>
  <si>
    <t>WENDY</t>
  </si>
  <si>
    <t>ROBINSON</t>
  </si>
  <si>
    <t>KADDIBA</t>
  </si>
  <si>
    <t>SHOOK</t>
  </si>
  <si>
    <t>SAFIEF</t>
  </si>
  <si>
    <t>AEIMEN</t>
  </si>
  <si>
    <t>STEWART</t>
  </si>
  <si>
    <t>rtdc.l.rtdc.4054:itc</t>
  </si>
  <si>
    <t>rtdc.l.rtdc.4053:itc</t>
  </si>
  <si>
    <t>KILLION</t>
  </si>
  <si>
    <t>245-23</t>
  </si>
  <si>
    <t>244-23</t>
  </si>
  <si>
    <t>309-23</t>
  </si>
  <si>
    <t>311-23</t>
  </si>
  <si>
    <t>246-23</t>
  </si>
  <si>
    <t>313-23</t>
  </si>
  <si>
    <t>315-23</t>
  </si>
  <si>
    <t>Clear</t>
  </si>
  <si>
    <t>clear-night</t>
  </si>
  <si>
    <t>204:752</t>
  </si>
  <si>
    <t>204:480</t>
  </si>
  <si>
    <t>204:232971</t>
  </si>
  <si>
    <t>204:233315</t>
  </si>
  <si>
    <t>204:457</t>
  </si>
  <si>
    <t>204:233291</t>
  </si>
  <si>
    <t>204:232976</t>
  </si>
  <si>
    <t>204:156</t>
  </si>
  <si>
    <t>204:233317</t>
  </si>
  <si>
    <t>204:233305</t>
  </si>
  <si>
    <t>300:23295</t>
  </si>
  <si>
    <t>300:23306</t>
  </si>
  <si>
    <t>300:23304</t>
  </si>
  <si>
    <t>300:58931</t>
  </si>
  <si>
    <t>rtdc.l.rtdc.4017:itc</t>
  </si>
  <si>
    <t>rtdc.l.rtdc.4030:itc</t>
  </si>
  <si>
    <t>rtdc.l.rtdc.4018:itc</t>
  </si>
  <si>
    <t>BRANDNER</t>
  </si>
  <si>
    <t>MELINDA</t>
  </si>
  <si>
    <t>ADANE</t>
  </si>
  <si>
    <t>ELSHADAY</t>
  </si>
  <si>
    <t>ROMERO</t>
  </si>
  <si>
    <t>CHAD</t>
  </si>
  <si>
    <t>CRAYTON</t>
  </si>
  <si>
    <t>QUNTRELL</t>
  </si>
  <si>
    <t>311-25</t>
  </si>
  <si>
    <t>244-25</t>
  </si>
  <si>
    <t>302-26</t>
  </si>
  <si>
    <t>204:130</t>
  </si>
  <si>
    <t>204:708</t>
  </si>
  <si>
    <t>204:232988</t>
  </si>
  <si>
    <t>204:444</t>
  </si>
  <si>
    <t>204:232989</t>
  </si>
  <si>
    <t>204:233006</t>
  </si>
  <si>
    <t>204:232996</t>
  </si>
  <si>
    <t>204:172</t>
  </si>
  <si>
    <t>204:233302</t>
  </si>
  <si>
    <t>204:232985</t>
  </si>
  <si>
    <t>300:58621</t>
  </si>
  <si>
    <t>300:58615</t>
  </si>
  <si>
    <t>300:58944</t>
  </si>
  <si>
    <t>204:743</t>
  </si>
  <si>
    <t>300:58611</t>
  </si>
  <si>
    <t>300:58939</t>
  </si>
  <si>
    <t>300:58638</t>
  </si>
  <si>
    <t>204:232974</t>
  </si>
  <si>
    <t>204:233306</t>
  </si>
  <si>
    <t>204:233010</t>
  </si>
  <si>
    <t>300:23148</t>
  </si>
  <si>
    <t>300:23314</t>
  </si>
  <si>
    <t>901-26</t>
  </si>
  <si>
    <t>106-26</t>
  </si>
  <si>
    <t>800-26</t>
  </si>
  <si>
    <t>801-26</t>
  </si>
  <si>
    <t>802-26</t>
  </si>
  <si>
    <t>120-26</t>
  </si>
  <si>
    <t>SWITCH UNKNOWN</t>
  </si>
  <si>
    <t>Track device (7)</t>
  </si>
  <si>
    <t>805-26</t>
  </si>
  <si>
    <t>118-26</t>
  </si>
  <si>
    <t>806-26</t>
  </si>
  <si>
    <t>129-26</t>
  </si>
  <si>
    <t>126-26</t>
  </si>
  <si>
    <t>809-26</t>
  </si>
  <si>
    <t>136-26</t>
  </si>
  <si>
    <t>147-26</t>
  </si>
  <si>
    <t>159-26</t>
  </si>
  <si>
    <t>165-26</t>
  </si>
  <si>
    <t>EQUIPMENT RESTRICTION</t>
  </si>
  <si>
    <t>162-26</t>
  </si>
  <si>
    <t>171-26</t>
  </si>
  <si>
    <t>821-26</t>
  </si>
  <si>
    <t>180-26</t>
  </si>
  <si>
    <t>193-26</t>
  </si>
  <si>
    <t>829-26</t>
  </si>
  <si>
    <t>50-26</t>
  </si>
  <si>
    <t>209-26</t>
  </si>
  <si>
    <t>rtdc.l.rtdc.4001:itc</t>
  </si>
  <si>
    <t>834-26</t>
  </si>
  <si>
    <t>208-26</t>
  </si>
  <si>
    <t>212-26</t>
  </si>
  <si>
    <t>225-26</t>
  </si>
  <si>
    <t>842-26</t>
  </si>
  <si>
    <t>229-26</t>
  </si>
  <si>
    <t>234-26</t>
  </si>
  <si>
    <t>236-26</t>
  </si>
  <si>
    <t>309-26</t>
  </si>
  <si>
    <t>101-26</t>
  </si>
  <si>
    <t>304-26</t>
  </si>
  <si>
    <t>MAGEE</t>
  </si>
  <si>
    <t>KENYA</t>
  </si>
  <si>
    <t>103-26</t>
  </si>
  <si>
    <t>306-26</t>
  </si>
  <si>
    <t>STARKS</t>
  </si>
  <si>
    <t>ANGELINA</t>
  </si>
  <si>
    <t>102-26</t>
  </si>
  <si>
    <t>105-26</t>
  </si>
  <si>
    <t>308-26</t>
  </si>
  <si>
    <t>DUNCAN</t>
  </si>
  <si>
    <t>SHEILA</t>
  </si>
  <si>
    <t>310-26</t>
  </si>
  <si>
    <t>104-26</t>
  </si>
  <si>
    <t>107-26</t>
  </si>
  <si>
    <t>109-26</t>
  </si>
  <si>
    <t>111-26</t>
  </si>
  <si>
    <t>113-26</t>
  </si>
  <si>
    <t>108-26</t>
  </si>
  <si>
    <t>110-26</t>
  </si>
  <si>
    <t>115-26</t>
  </si>
  <si>
    <t>117-26</t>
  </si>
  <si>
    <t>112-26</t>
  </si>
  <si>
    <t>119-26</t>
  </si>
  <si>
    <t>902-26</t>
  </si>
  <si>
    <t>COMELLA</t>
  </si>
  <si>
    <t>JUSTIN</t>
  </si>
  <si>
    <t>114-26</t>
  </si>
  <si>
    <t>121-26</t>
  </si>
  <si>
    <t>803-26</t>
  </si>
  <si>
    <t>116-26</t>
  </si>
  <si>
    <t>123-26</t>
  </si>
  <si>
    <t>125-26</t>
  </si>
  <si>
    <t>804-26</t>
  </si>
  <si>
    <t>127-26</t>
  </si>
  <si>
    <t>122-26</t>
  </si>
  <si>
    <t>124-26</t>
  </si>
  <si>
    <t>807-26</t>
  </si>
  <si>
    <t>131-26</t>
  </si>
  <si>
    <t>808-26</t>
  </si>
  <si>
    <t>133-26</t>
  </si>
  <si>
    <t>128-26</t>
  </si>
  <si>
    <t>135-26</t>
  </si>
  <si>
    <t>130-26</t>
  </si>
  <si>
    <t>810-26</t>
  </si>
  <si>
    <t>137-26</t>
  </si>
  <si>
    <t>132-26</t>
  </si>
  <si>
    <t>811-26</t>
  </si>
  <si>
    <t>139-26</t>
  </si>
  <si>
    <t>903-26</t>
  </si>
  <si>
    <t>134-26</t>
  </si>
  <si>
    <t>812-26</t>
  </si>
  <si>
    <t>141-26</t>
  </si>
  <si>
    <t>143-26</t>
  </si>
  <si>
    <t>138-26</t>
  </si>
  <si>
    <t>140-26</t>
  </si>
  <si>
    <t>145-26</t>
  </si>
  <si>
    <t>813-26</t>
  </si>
  <si>
    <t>142-26</t>
  </si>
  <si>
    <t>814-26</t>
  </si>
  <si>
    <t>149-26</t>
  </si>
  <si>
    <t>144-26</t>
  </si>
  <si>
    <t>151-26</t>
  </si>
  <si>
    <t>146-26</t>
  </si>
  <si>
    <t>153-26</t>
  </si>
  <si>
    <t>815-26</t>
  </si>
  <si>
    <t>148-26</t>
  </si>
  <si>
    <t>155-26</t>
  </si>
  <si>
    <t>150-26</t>
  </si>
  <si>
    <t>816-26</t>
  </si>
  <si>
    <t>157-26</t>
  </si>
  <si>
    <t>152-26</t>
  </si>
  <si>
    <t>154-26</t>
  </si>
  <si>
    <t>161-26</t>
  </si>
  <si>
    <t>817-26</t>
  </si>
  <si>
    <t>156-26</t>
  </si>
  <si>
    <t>163-26</t>
  </si>
  <si>
    <t>CLARK</t>
  </si>
  <si>
    <t>KATHLEEN</t>
  </si>
  <si>
    <t>158-26</t>
  </si>
  <si>
    <t>818-26</t>
  </si>
  <si>
    <t>167-26</t>
  </si>
  <si>
    <t>160-26</t>
  </si>
  <si>
    <t>169-26</t>
  </si>
  <si>
    <t>SIMMONS</t>
  </si>
  <si>
    <t>SHYHESHA</t>
  </si>
  <si>
    <t>819-26</t>
  </si>
  <si>
    <t>164-26</t>
  </si>
  <si>
    <t>166-26</t>
  </si>
  <si>
    <t>820-26</t>
  </si>
  <si>
    <t>173-26</t>
  </si>
  <si>
    <t>168-26</t>
  </si>
  <si>
    <t>175-26</t>
  </si>
  <si>
    <t>170-26</t>
  </si>
  <si>
    <t>177-26</t>
  </si>
  <si>
    <t>172-26</t>
  </si>
  <si>
    <t>179-26</t>
  </si>
  <si>
    <t>822-26</t>
  </si>
  <si>
    <t>174-26</t>
  </si>
  <si>
    <t>181-26</t>
  </si>
  <si>
    <t>176-26</t>
  </si>
  <si>
    <t>183-26</t>
  </si>
  <si>
    <t>823-26</t>
  </si>
  <si>
    <t>178-26</t>
  </si>
  <si>
    <t>185-26</t>
  </si>
  <si>
    <t>187-26</t>
  </si>
  <si>
    <t>182-26</t>
  </si>
  <si>
    <t>824-26</t>
  </si>
  <si>
    <t>189-26</t>
  </si>
  <si>
    <t>184-26</t>
  </si>
  <si>
    <t>191-26</t>
  </si>
  <si>
    <t>825-26</t>
  </si>
  <si>
    <t>186-26</t>
  </si>
  <si>
    <t>904-26</t>
  </si>
  <si>
    <t>188-26</t>
  </si>
  <si>
    <t>195-26</t>
  </si>
  <si>
    <t>827-26</t>
  </si>
  <si>
    <t>190-26</t>
  </si>
  <si>
    <t>826-26</t>
  </si>
  <si>
    <t>197-26</t>
  </si>
  <si>
    <t>192-26</t>
  </si>
  <si>
    <t>194-26</t>
  </si>
  <si>
    <t>199-26</t>
  </si>
  <si>
    <t>828-26</t>
  </si>
  <si>
    <t>201-26</t>
  </si>
  <si>
    <t>196-26</t>
  </si>
  <si>
    <t>831-26</t>
  </si>
  <si>
    <t>198-26</t>
  </si>
  <si>
    <t>203-26</t>
  </si>
  <si>
    <t>830-26</t>
  </si>
  <si>
    <t>205-26</t>
  </si>
  <si>
    <t>200-26</t>
  </si>
  <si>
    <t>207-26</t>
  </si>
  <si>
    <t>833-26</t>
  </si>
  <si>
    <t>89-26</t>
  </si>
  <si>
    <t>832-26</t>
  </si>
  <si>
    <t>202-26</t>
  </si>
  <si>
    <t>204-26</t>
  </si>
  <si>
    <t>211-26</t>
  </si>
  <si>
    <t>835-26</t>
  </si>
  <si>
    <t>206-26</t>
  </si>
  <si>
    <t>51-26</t>
  </si>
  <si>
    <t>LEVERE</t>
  </si>
  <si>
    <t>CRAIG</t>
  </si>
  <si>
    <t>213-26</t>
  </si>
  <si>
    <t>215-26</t>
  </si>
  <si>
    <t>837-26</t>
  </si>
  <si>
    <t>52-26</t>
  </si>
  <si>
    <t>836-26</t>
  </si>
  <si>
    <t>210-26</t>
  </si>
  <si>
    <t>217-26</t>
  </si>
  <si>
    <t>839-26</t>
  </si>
  <si>
    <t>219-26</t>
  </si>
  <si>
    <t>SIMONEAUX</t>
  </si>
  <si>
    <t>TERA</t>
  </si>
  <si>
    <t>214-26</t>
  </si>
  <si>
    <t>838-26</t>
  </si>
  <si>
    <t>303-26</t>
  </si>
  <si>
    <t>216-26</t>
  </si>
  <si>
    <t>221-26</t>
  </si>
  <si>
    <t>841-26</t>
  </si>
  <si>
    <t>906-26</t>
  </si>
  <si>
    <t>218-26</t>
  </si>
  <si>
    <t>305-26</t>
  </si>
  <si>
    <t>220-26</t>
  </si>
  <si>
    <t>223-26</t>
  </si>
  <si>
    <t>DIANE</t>
  </si>
  <si>
    <t>840-26</t>
  </si>
  <si>
    <t>307-26</t>
  </si>
  <si>
    <t>222-26</t>
  </si>
  <si>
    <t>843-26</t>
  </si>
  <si>
    <t>224-26</t>
  </si>
  <si>
    <t>227-26</t>
  </si>
  <si>
    <t>226-26</t>
  </si>
  <si>
    <t>845-26</t>
  </si>
  <si>
    <t>231-26</t>
  </si>
  <si>
    <t>228-26</t>
  </si>
  <si>
    <t>844-26</t>
  </si>
  <si>
    <t>233-26</t>
  </si>
  <si>
    <t>230-26</t>
  </si>
  <si>
    <t>847-26</t>
  </si>
  <si>
    <t>232-26</t>
  </si>
  <si>
    <t>235-26</t>
  </si>
  <si>
    <t>908-26</t>
  </si>
  <si>
    <t>237-26</t>
  </si>
  <si>
    <t>239-26</t>
  </si>
  <si>
    <t>238-26</t>
  </si>
  <si>
    <t>241-26</t>
  </si>
  <si>
    <t>240-26</t>
  </si>
  <si>
    <t>243-26</t>
  </si>
  <si>
    <t>242-26</t>
  </si>
  <si>
    <t>311-26</t>
  </si>
  <si>
    <t>244-26</t>
  </si>
  <si>
    <t>313-26</t>
  </si>
  <si>
    <t>315-26</t>
  </si>
  <si>
    <t>clear-day</t>
  </si>
  <si>
    <t>204:739</t>
  </si>
  <si>
    <t>204:233434</t>
  </si>
  <si>
    <t>204:232653</t>
  </si>
  <si>
    <t>204:765</t>
  </si>
  <si>
    <t>204:233344</t>
  </si>
  <si>
    <t>204:232715</t>
  </si>
  <si>
    <t>204:686</t>
  </si>
  <si>
    <t>204:232658</t>
  </si>
  <si>
    <t>204:488</t>
  </si>
  <si>
    <t>204:233351</t>
  </si>
  <si>
    <t>204:233019</t>
  </si>
  <si>
    <t>204:167</t>
  </si>
  <si>
    <t>204:446</t>
  </si>
  <si>
    <t>204:763</t>
  </si>
  <si>
    <t>204:482</t>
  </si>
  <si>
    <t>204:233316</t>
  </si>
  <si>
    <t>204:232617</t>
  </si>
  <si>
    <t>204:233003</t>
  </si>
  <si>
    <t>204:466</t>
  </si>
  <si>
    <t>204:232975</t>
  </si>
  <si>
    <t>204:233017</t>
  </si>
  <si>
    <t>204:233325</t>
  </si>
  <si>
    <t>204:233284</t>
  </si>
  <si>
    <t>204:232963</t>
  </si>
  <si>
    <t>204:469</t>
  </si>
  <si>
    <t>204:125</t>
  </si>
  <si>
    <t>204:233334</t>
  </si>
  <si>
    <t>204:438</t>
  </si>
  <si>
    <t>204:232953</t>
  </si>
  <si>
    <t>204:198</t>
  </si>
  <si>
    <t>204:233270</t>
  </si>
  <si>
    <t>204:498</t>
  </si>
  <si>
    <t>204:192</t>
  </si>
  <si>
    <t>204:232979</t>
  </si>
  <si>
    <t>204:497</t>
  </si>
  <si>
    <t>204:233229</t>
  </si>
  <si>
    <t>204:232902</t>
  </si>
  <si>
    <t>204:233268</t>
  </si>
  <si>
    <t>204:233320</t>
  </si>
  <si>
    <t>204:233276</t>
  </si>
  <si>
    <t>204:232962</t>
  </si>
  <si>
    <t>204:233281</t>
  </si>
  <si>
    <t>204:486</t>
  </si>
  <si>
    <t>204:228109</t>
  </si>
  <si>
    <t>204:37182</t>
  </si>
  <si>
    <t>204:232960</t>
  </si>
  <si>
    <t>204:233393</t>
  </si>
  <si>
    <t>204:233074</t>
  </si>
  <si>
    <t>204:233278</t>
  </si>
  <si>
    <t>204:232964</t>
  </si>
  <si>
    <t>204:233355</t>
  </si>
  <si>
    <t>204:169</t>
  </si>
  <si>
    <t>204:232968</t>
  </si>
  <si>
    <t>204:291</t>
  </si>
  <si>
    <t>204:233028</t>
  </si>
  <si>
    <t>300:19336</t>
  </si>
  <si>
    <t>300:25122</t>
  </si>
  <si>
    <t>300:23310</t>
  </si>
  <si>
    <t>300:23362</t>
  </si>
  <si>
    <t>300:22837</t>
  </si>
  <si>
    <t>300:22771</t>
  </si>
  <si>
    <t>204:136</t>
  </si>
  <si>
    <t>204:597</t>
  </si>
  <si>
    <t>300:22801</t>
  </si>
  <si>
    <t>300:23170</t>
  </si>
  <si>
    <t>300:23514</t>
  </si>
  <si>
    <t>204:904</t>
  </si>
  <si>
    <t>204:1222</t>
  </si>
  <si>
    <t>300:24068</t>
  </si>
  <si>
    <t>300:22000</t>
  </si>
  <si>
    <t>204:923</t>
  </si>
  <si>
    <t>300:58713</t>
  </si>
  <si>
    <t>204:617</t>
  </si>
  <si>
    <t>204:901</t>
  </si>
  <si>
    <t>300:59018</t>
  </si>
  <si>
    <t>300:58704</t>
  </si>
  <si>
    <t>204:635</t>
  </si>
  <si>
    <t>204:960</t>
  </si>
  <si>
    <t>300:58929</t>
  </si>
  <si>
    <t>300:58609</t>
  </si>
  <si>
    <t>204:680</t>
  </si>
  <si>
    <t>204:902</t>
  </si>
  <si>
    <t>300:59016</t>
  </si>
  <si>
    <t>300:58698</t>
  </si>
  <si>
    <t>204:629</t>
  </si>
  <si>
    <t>204:967</t>
  </si>
  <si>
    <t>204:664</t>
  </si>
  <si>
    <t>300:58707</t>
  </si>
  <si>
    <t>204:626</t>
  </si>
  <si>
    <t>204:964</t>
  </si>
  <si>
    <t>300:58946</t>
  </si>
  <si>
    <t>204:685</t>
  </si>
  <si>
    <t>204:971</t>
  </si>
  <si>
    <t>300:58922</t>
  </si>
  <si>
    <t>300:58600</t>
  </si>
  <si>
    <t>204:698</t>
  </si>
  <si>
    <t>300:58926</t>
  </si>
  <si>
    <t>300:58606</t>
  </si>
  <si>
    <t>204:657</t>
  </si>
  <si>
    <t>204:958</t>
  </si>
  <si>
    <t>300:58914</t>
  </si>
  <si>
    <t>204:678</t>
  </si>
  <si>
    <t>204:969</t>
  </si>
  <si>
    <t>300:58628</t>
  </si>
  <si>
    <t>204:671</t>
  </si>
  <si>
    <t>300:58912</t>
  </si>
  <si>
    <t>300:58598</t>
  </si>
  <si>
    <t>204:661</t>
  </si>
  <si>
    <t>204:939</t>
  </si>
  <si>
    <t>300:58976</t>
  </si>
  <si>
    <t>300:58662</t>
  </si>
  <si>
    <t>204:712</t>
  </si>
  <si>
    <t>204:1002</t>
  </si>
  <si>
    <t>204:703</t>
  </si>
  <si>
    <t>204:946</t>
  </si>
  <si>
    <t>300:58928</t>
  </si>
  <si>
    <t>204:668</t>
  </si>
  <si>
    <t>204:983</t>
  </si>
  <si>
    <t>300:58596</t>
  </si>
  <si>
    <t>300:58920</t>
  </si>
  <si>
    <t>204:670</t>
  </si>
  <si>
    <t>204:941</t>
  </si>
  <si>
    <t>300:58592</t>
  </si>
  <si>
    <t>204:666</t>
  </si>
  <si>
    <t>204:985</t>
  </si>
  <si>
    <t>204:955</t>
  </si>
  <si>
    <t>300:58632</t>
  </si>
  <si>
    <t>204:689</t>
  </si>
  <si>
    <t>204:1007</t>
  </si>
  <si>
    <t>300:58958</t>
  </si>
  <si>
    <t>300:58645</t>
  </si>
  <si>
    <t>204:965</t>
  </si>
  <si>
    <t>300:58594</t>
  </si>
  <si>
    <t>204:673</t>
  </si>
  <si>
    <t>204:979</t>
  </si>
  <si>
    <t>204:950</t>
  </si>
  <si>
    <t>300:58905</t>
  </si>
  <si>
    <t>204:1486</t>
  </si>
  <si>
    <t>300:30424</t>
  </si>
  <si>
    <t>300:58073</t>
  </si>
  <si>
    <t>300:23459</t>
  </si>
  <si>
    <t>204:656</t>
  </si>
  <si>
    <t>204:915</t>
  </si>
  <si>
    <t>300:25455</t>
  </si>
  <si>
    <t>300:23161</t>
  </si>
  <si>
    <t>204:652</t>
  </si>
  <si>
    <t>300:28774</t>
  </si>
  <si>
    <t>300:58589</t>
  </si>
  <si>
    <t>300:21761</t>
  </si>
  <si>
    <t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t>
  </si>
  <si>
    <t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t>
  </si>
  <si>
    <t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t>
  </si>
  <si>
    <t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t>
  </si>
  <si>
    <t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t>
  </si>
  <si>
    <t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t>
  </si>
  <si>
    <t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t>
  </si>
  <si>
    <t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t>
  </si>
  <si>
    <t>aws s3 cp s3://rtdc.mdm.uploadarchive.raw/RTDC4015/ "%USERPROFILE%\AppData\Local\Temp\OnboardLogs"\RTDC4015\2016-12-26 --exclude "*" --recursive --include "*20161226*" &amp; "%USERPROFILE%\Documents\GitHub\mrs-test-scripts\Headless Mode &amp; Sideloading\WalkAndUnGZ.bat" "%USERPROFILE%\AppData\Local\Temp\OnboardLogs"\RTDC4015\2016-12-26 &amp; aws s3 cp s3://rtdc.mdm.uploadarchive.raw/RTDC4015/ "%USERPROFILE%\AppData\Local\Temp\OnboardLogs"\RTDC4015\2016-12-27 --exclude "*" --recursive --include "*20161227*" &amp; "%USERPROFILE%\Documents\GitHub\mrs-test-scripts\Headless Mode &amp; Sideloading\WalkAndUnGZ.bat" "%USERPROFILE%\AppData\Local\Temp\OnboardLogs"\RTDC4015\2016-12-27</t>
  </si>
  <si>
    <t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t>
  </si>
  <si>
    <t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t>
  </si>
  <si>
    <t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t>
  </si>
  <si>
    <t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t>
  </si>
  <si>
    <t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t>
  </si>
  <si>
    <t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t>
  </si>
  <si>
    <t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t>
  </si>
  <si>
    <t>Onboard in-route failure</t>
  </si>
  <si>
    <t>Stop &amp; barricade test (consider this completed?)</t>
  </si>
  <si>
    <t>Overspeed</t>
  </si>
  <si>
    <t>Early arrival</t>
  </si>
  <si>
    <t>Early arrival (41st)</t>
  </si>
  <si>
    <t>Poor GPS under I-25</t>
  </si>
  <si>
    <t>Pena 4S STOP</t>
  </si>
  <si>
    <t>Wi-MAX data drop</t>
  </si>
  <si>
    <t>http://stevetu21.github.io/eaglep3/load_kml.html?kml=http://rtdc.gmaps-snips.s3.amazonaws.com/6dd85c51-1d52-4ad8-a48a-373ba452cb9e.kml</t>
  </si>
  <si>
    <t>SYS :2016/12/26 10:23:22.107:ENFORCEMENT:Reactive Enforcement Action:  Target Number: 0000600B  Target Speed:   0.0  Current Speed:  14.9</t>
  </si>
  <si>
    <t>SYS :2016/12/26 12:13:12.127:ENFORCEMENT:Reactive Enforcement Action:  Target Number: 00001015  Target Speed:   0.0  Current Speed:   0.3</t>
  </si>
  <si>
    <t>SYS :2016/12/26 12:13:12.771:ENFORCEMENT:Reactive Enforcement Action:  Target Number: 00001015  Target Speed:   0.0  Current Speed:   0.3</t>
  </si>
  <si>
    <t>SYS :2016/12/26 12:13:13.006:ENFORCEMENT:Reactive Enforcement Action:  Target Number: 00001015  Target Speed:   0.0  Current Speed:   0.3</t>
  </si>
  <si>
    <t>SYS :2016/12/26 12:22:15.377:ENFORCEMENT:Predictive Enforcement Action:  Target Number: 00006060  Target Speed:   0.0  Current Speed:  68.4</t>
  </si>
  <si>
    <t>SYS :2016/12/26 12:22:15.490:ENFORCEMENT:Predictive Enforcement Action:  Target Number: 00006060  Target Speed:   0.0  Current Speed:  68.4</t>
  </si>
  <si>
    <t>SYS :2016/12/26 12:22:16.162:ENFORCEMENT:Predictive Enforcement Action:  Target Number: 00006059  Target Speed:   0.0  Current Speed:  68.9</t>
  </si>
  <si>
    <t>SYS :2016/12/26 12:26:16.107:ENFORCEMENT:Predictive Enforcement Action:  Target Number: 00006317  Target Speed:   0.0  Current Speed:   8.7</t>
  </si>
  <si>
    <t>SYS :2016/12/26 12:26:17.013:ENFORCEMENT:Predictive Enforcement Action:  Target Number: 0000636A  Target Speed:   0.0  Current Speed:   9.1</t>
  </si>
  <si>
    <t>SYS :2016/12/26 12:26:17.297:ENFORCEMENT:Predictive Enforcement Action:  Target Number: 0000636C  Target Speed:   0.0  Current Speed:   9.1</t>
  </si>
  <si>
    <t>SYS :2016/12/26 13:05:41.769:ENFORCEMENT:Reactive Enforcement Action:  Target Number: 00001018  Target Speed:   0.0  Current Speed:   0.6</t>
  </si>
  <si>
    <t>SYS :2016/12/26 13:05:42.005:ENFORCEMENT:Reactive Enforcement Action:  Target Number: 00001018  Target Speed:   0.0  Current Speed:   0.6</t>
  </si>
  <si>
    <t>SYS :2016/12/26 13:05:43.126:ENFORCEMENT:Reactive Enforcement Action:  Target Number: 00001019  Target Speed:   0.0  Current Speed:   0.7</t>
  </si>
  <si>
    <t>SYS :2016/12/26 13:26:49.312:ENFORCEMENT:Predictive Enforcement Action:  Target Number: 00001022  Target Speed:   0.0  Current Speed:   1.9</t>
  </si>
  <si>
    <t>SYS :2016/12/26 13:26:50.010:ENFORCEMENT:Predictive Enforcement Action:  Target Number: 00001022  Target Speed:   0.0  Current Speed:   2.0</t>
  </si>
  <si>
    <t>SYS :2016/12/26 13:26:50.102:ENFORCEMENT:Predictive Enforcement Action:  Target Number: 00001022  Target Speed:   0.0  Current Speed:   2.0</t>
  </si>
  <si>
    <t>SYS :2016/12/26 14:02:03.624:ENFORCEMENT:Reactive Enforcement Action:  Target Number: 00004008  Target Speed:   0.0  Current Speed:  57.8</t>
  </si>
  <si>
    <t>SYS :2016/12/26 14:02:04.039:ENFORCEMENT:Reactive Enforcement Action:  Target Number: 00004008  Target Speed:   0.0  Current Speed:  58.2</t>
  </si>
  <si>
    <t>SYS :2016/12/26 14:02:04.571:ENFORCEMENT:Reactive Enforcement Action:  Target Number: 00004008  Target Speed:   0.0  Current Speed:  58.4</t>
  </si>
  <si>
    <t>SYS :2016/12/26 14:05:32.769:ENFORCEMENT:Predictive Enforcement Action:  Target Number: 0000101D  Target Speed:   0.0  Current Speed:   2.2</t>
  </si>
  <si>
    <t>SYS :2016/12/26 14:05:33.127:ENFORCEMENT:Predictive Enforcement Action:  Target Number: 0000101D  Target Speed:   0.0  Current Speed:   2.2</t>
  </si>
  <si>
    <t>SYS :2016/12/26 14:06:11.770:ENFORCEMENT:Predictive Enforcement Action:  Target Number: 0000101D  Target Speed:   0.0  Current Speed:   0.4</t>
  </si>
  <si>
    <t>SYS :2016/12/26 14:06:12.003:ENFORCEMENT:Predictive Enforcement Action:  Target Number: 0000101D  Target Speed:   0.0  Current Speed:   0.6</t>
  </si>
  <si>
    <t>SYS :2016/12/26 14:06:12.122:ENFORCEMENT:Predictive Enforcement Action:  Target Number: 0000101D  Target Speed:   0.0  Current Speed:   0.4</t>
  </si>
  <si>
    <t>SYS :2016/12/26 14:13:42.450:ENFORCEMENT:Reactive Enforcement Action:  Target Number: 0001702F  Target Speed:   0.0  Current Speed:  17.2</t>
  </si>
  <si>
    <t>SYS :2016/12/26 14:13:42.824:ENFORCEMENT:Reactive Enforcement Action:  Target Number: 00017031  Target Speed:   0.0  Current Speed:  17.2</t>
  </si>
  <si>
    <t>SYS :2016/12/26 14:13:42.921:ENFORCEMENT:Reactive Enforcement Action:  Target Number: 00017031  Target Speed:   0.0  Current Speed:  16.6</t>
  </si>
  <si>
    <t>SYS :2016/12/26 14:26:28.007:ENFORCEMENT:Predictive Enforcement Action:  Target Number: 00001026  Target Speed:   0.0  Current Speed:   1.6</t>
  </si>
  <si>
    <t>SYS :2016/12/26 14:26:28.305:ENFORCEMENT:Predictive Enforcement Action:  Target Number: 00001026  Target Speed:   0.0  Current Speed:   1.6</t>
  </si>
  <si>
    <t>SYS :2016/12/26 14:26:29.098:ENFORCEMENT:Predictive Enforcement Action:  Target Number: 00001026  Target Speed:   0.0  Current Speed:   1.6</t>
  </si>
  <si>
    <t>SYS :2016/12/26 14:50:09.632:ENFORCEMENT:Predictive Enforcement Action:  Target Number: 0000101E  Target Speed:   0.0  Current Speed:  14.8</t>
  </si>
  <si>
    <t>SYS :2016/12/26 14:50:09.920:ENFORCEMENT:Predictive Enforcement Action:  Target Number: 0000101E  Target Speed:   0.0  Current Speed:  14.8</t>
  </si>
  <si>
    <t>SYS :2016/12/26 15:03:02.191:ENFORCEMENT:Predictive Enforcement Action:  Target Number: 0000A002  Target Speed:  10.0  Current Speed:  45.8</t>
  </si>
  <si>
    <t>SYS :2016/12/26 15:03:02.200:ENFORCEMENT:Predictive Enforcement Action:  Target Number: 0000A002  Target Speed:  10.0  Current Speed:  46.5</t>
  </si>
  <si>
    <t>SYS :2016/12/26 15:03:03.054:ENFORCEMENT:Predictive Enforcement Action:  Target Number: 0000A002  Target Speed:  10.0  Current Speed:  44.9</t>
  </si>
  <si>
    <t>SYS :2016/12/26 15:05:37.777:ENFORCEMENT:Reactive Enforcement Action:  Target Number: 00001020  Target Speed:   0.0  Current Speed:   0.5</t>
  </si>
  <si>
    <t>SYS :2016/12/26 15:05:38.008:ENFORCEMENT:Reactive Enforcement Action:  Target Number: 0000101F  Target Speed:   0.0  Current Speed:   0.5</t>
  </si>
  <si>
    <t>SYS :2016/12/26 15:05:38.130:ENFORCEMENT:Reactive Enforcement Action:  Target Number: 0000101F  Target Speed:   0.0  Current Speed:   0.4</t>
  </si>
  <si>
    <t>SYS :2016/12/26 15:06:02.771:ENFORCEMENT:Reactive Enforcement Action:  Target Number: 00001020  Target Speed:   0.0  Current Speed:   0.5</t>
  </si>
  <si>
    <t>SYS :2016/12/26 15:06:03.003:ENFORCEMENT:Reactive Enforcement Action:  Target Number: 0000101F  Target Speed:   0.0  Current Speed:   0.5</t>
  </si>
  <si>
    <t>SYS :2016/12/26 15:06:03.121:ENFORCEMENT:Reactive Enforcement Action:  Target Number: 0000101F  Target Speed:   0.0  Current Speed:   0.5</t>
  </si>
  <si>
    <t>SYS :2016/12/26 16:26:53.040:ENFORCEMENT:Predictive Enforcement Action:  Target Number: 00017047  Target Speed:   0.0  Current Speed:  22.4</t>
  </si>
  <si>
    <t>SYS :2016/12/26 16:26:53.325:ENFORCEMENT:Predictive Enforcement Action:  Target Number: 00017047  Target Speed:   0.0  Current Speed:  22.4</t>
  </si>
  <si>
    <t>SYS :2016/12/26 16:26:53.993:ENFORCEMENT:Predictive Enforcement Action:  Target Number: 00017047  Target Speed:   0.0  Current Speed:  22.2</t>
  </si>
  <si>
    <t>SYS :2016/12/26 16:31:24.434:ENFORCEMENT:Reactive Enforcement Action:  Target Number: 0001008D  Target Speed:  15.0  Current Speed:  20.4</t>
  </si>
  <si>
    <t>SYS :2016/12/26 16:31:24.746:ENFORCEMENT:Reactive Enforcement Action:  Target Number: 0001008E  Target Speed:  15.0  Current Speed:  20.4</t>
  </si>
  <si>
    <t>SYS :2016/12/26 16:31:25.520:ENFORCEMENT:Reactive Enforcement Action:  Target Number: 0001008F  Target Speed:  15.0  Current Speed:  20.4</t>
  </si>
  <si>
    <t>SYS :2016/12/26 16:37:32.026:ENFORCEMENT:Predictive Enforcement Action:  Target Number: 0000100A  Target Speed:   0.0  Current Speed:   4.6</t>
  </si>
  <si>
    <t>SYS :2016/12/26 16:50:05.726:ENFORCEMENT:Predictive Enforcement Action:  Target Number: 00001008  Target Speed:   0.0  Current Speed:  12.7</t>
  </si>
  <si>
    <t>SYS :2016/12/26 18:06:46.737:ENFORCEMENT:Reactive Enforcement Action:  Target Number: 00017044  Target Speed:   0.0  Current Speed:  20.2</t>
  </si>
  <si>
    <t>SYS :2016/12/26 18:06:46.952:ENFORCEMENT:Predictive Enforcement Action:  Target Number: 00017044  Target Speed:   0.0  Current Speed:  20.2</t>
  </si>
  <si>
    <t>SYS :2016/12/26 18:06:47.013:ENFORCEMENT:Reactive Enforcement Action:  Target Number: 00017044  Target Speed:   0.0  Current Speed:  20.2</t>
  </si>
  <si>
    <t>SYS :2016/12/26 18:09:08.741:ENFORCEMENT:Predictive Enforcement Action:  Target Number: 00017046  Target Speed:  35.0  Current Speed:  40.1</t>
  </si>
  <si>
    <t>SYS :2016/12/26 18:09:08.958:ENFORCEMENT:Predictive Enforcement Action:  Target Number: 00017046  Target Speed:  35.0  Current Speed:  40.1</t>
  </si>
  <si>
    <t>SYS :2016/12/26 18:09:08.990:ENFORCEMENT:Predictive Enforcement Action:  Target Number: 00017046  Target Speed:  35.0  Current Speed:  40.1</t>
  </si>
  <si>
    <t>SYS :2016/12/26 19:09:07.329:ENFORCEMENT:Reactive Enforcement Action:  Target Number: 0000F011  Target Speed:  79.0  Current Speed:  84.5</t>
  </si>
  <si>
    <t>SYS :2016/12/26 19:09:07.338:ENFORCEMENT:Reactive Enforcement Action:  Target Number: 000100B6  Target Speed:  79.0  Current Speed:  84.5</t>
  </si>
  <si>
    <t>SYS :2016/12/26 19:09:08.515:ENFORCEMENT:Reactive Enforcement Action:  Target Number: 0000F011  Target Speed:  79.0  Current Speed:  84.5</t>
  </si>
  <si>
    <t>SYS :2016/12/26 19:09:08.524:ENFORCEMENT:Reactive Enforcement Action:  Target Number: 000100B3  Target Speed:  79.0  Current Speed:  84.5</t>
  </si>
  <si>
    <t>SYS :2016/12/26 19:09:08.602:ENFORCEMENT:Reactive Enforcement Action:  Target Number: 0000F011  Target Speed:  79.0  Current Speed:  84.5</t>
  </si>
  <si>
    <t>SYS :2016/12/26 19:09:08.611:ENFORCEMENT:Reactive Enforcement Action:  Target Number: 000100B6  Target Speed:  79.0  Current Speed:  84.5</t>
  </si>
  <si>
    <t>SYS :2016/12/26 19:12:28.034:ENFORCEMENT:Reactive Enforcement Action:  Target Number: 0001007C  Target Speed:  35.0  Current Speed:  40.0</t>
  </si>
  <si>
    <t>SYS :2016/12/26 19:12:28.532:ENFORCEMENT:Reactive Enforcement Action:  Target Number: 0001007C  Target Speed:  35.0  Current Speed:  40.0</t>
  </si>
  <si>
    <t>SYS :2016/12/26 19:12:28.631:ENFORCEMENT:Reactive Enforcement Action:  Target Number: 0001007C  Target Speed:  35.0  Current Speed:  40.0</t>
  </si>
  <si>
    <t>SYS :2016/12/26 20:06:01.630:ENFORCEMENT:Predictive Enforcement Action:  Target Number: 00001025  Target Speed:   0.0  Current Speed:   8.6</t>
  </si>
  <si>
    <t>SYS :2016/12/26 20:06:01.920:ENFORCEMENT:Predictive Enforcement Action:  Target Number: 00001025  Target Speed:   0.0  Current Speed:   8.6</t>
  </si>
  <si>
    <t>SYS :2016/12/26 20:06:01.950:ENFORCEMENT:Predictive Enforcement Action:  Target Number: 00001025  Target Speed:   0.0  Current Speed:   8.6</t>
  </si>
  <si>
    <t>SYS :2016/12/26 20:33:32.744:ENFORCEMENT:Predictive Enforcement Action:  Target Number: 00001017  Target Speed:   0.0  Current Speed:  14.1</t>
  </si>
  <si>
    <t>SYS :2016/12/26 20:34:28.130:ENFORCEMENT:Predictive Enforcement Action:  Target Number: 00001016  Target Speed:   0.0  Current Speed:   3.2</t>
  </si>
  <si>
    <t>SYS :2016/12/26 20:34:28.196:ENFORCEMENT:Predictive Enforcement Action:  Target Number: 00001017  Target Speed:   0.0  Current Speed:   3.5</t>
  </si>
  <si>
    <t>SYS :2016/12/26 22:03:54.999:ENFORCEMENT:Predictive Enforcement Action:  Target Number: 00001012  Target Speed:   0.0  Current Speed:  10.4</t>
  </si>
  <si>
    <t>SYS :2016/12/26 22:03:55.099:ENFORCEMENT:Predictive Enforcement Action:  Target Number: 00001012  Target Speed:   0.0  Current Speed:  10.4</t>
  </si>
  <si>
    <t>SYS :2016/12/26 22:03:55.478:ENFORCEMENT:Predictive Enforcement Action:  Target Number: 00001012  Target Speed:   0.0  Current Speed:  10.4</t>
  </si>
  <si>
    <t>SYS :2016/12/26 22:50:53.315:ENFORCEMENT:Predictive Enforcement Action:  Target Number: 00001011  Target Speed:   0.0  Current Speed:   7.3</t>
  </si>
  <si>
    <t>SYS :2016/12/26 22:50:53.494:ENFORCEMENT:Predictive Enforcement Action:  Target Number: 00001011  Target Speed:   0.0  Current Speed:   7.3</t>
  </si>
  <si>
    <t>SYS :2016/12/26 22:50:53.588:ENFORCEMENT:Predictive Enforcement Action:  Target Number: 00001011  Target Speed:   0.0  Current Speed:   7.3</t>
  </si>
  <si>
    <t>SYS :2016/12/26 23:33:49.193:ENFORCEMENT:Predictive Enforcement Action:  Target Number: 0000101F  Target Speed:   0.0  Current Speed:   5.2</t>
  </si>
  <si>
    <t>SYS :2016/12/26 23:33:49.735:ENFORCEMENT:Predictive Enforcement Action:  Target Number: 0000101F  Target Speed:   0.0  Current Speed:   4.9</t>
  </si>
  <si>
    <t>SYS :2016/12/27 00:38:44.165:ENFORCEMENT:Reactive Enforcement Action:  Target Number: 0000F023  Target Speed:  79.0  Current Speed:  84.5</t>
  </si>
  <si>
    <t>SYS :2016/12/27 00:38:44.545:ENFORCEMENT:Reactive Enforcement Action:  Target Number: 0000F023  Target Speed:  79.0  Current Speed:  84.5</t>
  </si>
  <si>
    <t>SYS :2016/12/27 00:38:44.767:ENFORCEMENT:Reactive Enforcement Action:  Target Number: 0000F022  Target Speed:  79.0  Current Speed:  84.5</t>
  </si>
  <si>
    <t>SYS :2016/12/27 00:50:27.399:ENFORCEMENT:Predictive Enforcement Action:  Target Number: 00017019  Target Speed:  32.0  Current Speed:  46.8</t>
  </si>
  <si>
    <t>SYS :2016/12/27 00:50:27.621:ENFORCEMENT:Predictive Enforcement Action:  Target Number: 00017019  Target Speed:  32.0  Current Speed:  47.0</t>
  </si>
  <si>
    <t>SYS :2016/12/27 00:50:28.345:ENFORCEMENT:Predictive Enforcement Action:  Target Number: 00017019  Target Speed:  32.0  Current Speed:  47.0</t>
  </si>
  <si>
    <t>SYS :2016/12/27 01:34:22.005:ENFORCEMENT:Predictive Enforcement Action:  Target Number: 0001013A  Target Speed:  15.0  Current Speed:  23.4</t>
  </si>
  <si>
    <t>SYS :2016/12/27 01:34:22.107:ENFORCEMENT:Predictive Enforcement Action:  Target Number: 0001013B  Target Speed:  15.0  Current Speed:  23.5</t>
  </si>
  <si>
    <t>SYS :2016/12/27 01:34:22.487:ENFORCEMENT:Predictive Enforcement Action:  Target Number: 0001013B  Target Speed:  15.0  Current Speed:  23.4</t>
  </si>
  <si>
    <t>SYS :2016/12/27 02:06:35.860:ENFORCEMENT:Predictive Enforcement Action:  Target Number: 0000101A  Target Speed:   0.0  Current Speed:   3.9</t>
  </si>
  <si>
    <t>SYS :2016/12/27 02:06:36.160:ENFORCEMENT:Predictive Enforcement Action:  Target Number: 0000101A  Target Speed:   0.0  Current Speed:   3.9</t>
  </si>
  <si>
    <t>SYS :2016/12/27 02:06:36.337:ENFORCEMENT:Predictive Enforcement Action:  Target Number: 0000101A  Target Speed:   0.0  Current Speed:   3.9</t>
  </si>
  <si>
    <t>SYS :2016/12/27 03:35:23.630:ENFORCEMENT:Predictive Enforcement Action:  Target Number: 00001007  Target Speed:   0.0  Current Speed:   3.4</t>
  </si>
  <si>
    <t>SYS :2016/12/27 03:35:24.511:ENFORCEMENT:Predictive Enforcement Action:  Target Number: 00001007  Target Speed:   0.0  Current Speed:   3.4</t>
  </si>
  <si>
    <t>SYS :2016/12/27 03:51:26.343:ENFORCEMENT:Predictive Enforcement Action:  Target Number: 0001016D  Target Speed:  20.0  Current Speed:  25.8</t>
  </si>
  <si>
    <t>SYS :2016/12/27 03:51:26.381:ENFORCEMENT:Predictive Enforcement Action:  Target Number: 0001016D  Target Speed:  20.0  Current Speed:  25.8</t>
  </si>
  <si>
    <t>SYS :2016/12/27 03:51:26.614:ENFORCEMENT:Predictive Enforcement Action:  Target Number: 00010166  Target Speed:  20.0  Current Speed:  26.0</t>
  </si>
  <si>
    <t>SYS :2016/12/27 04:03:52.545:ENFORCEMENT:Predictive Enforcement Action:  Target Number: 0001019D  Target Speed:  40.0  Current Speed:  52.7</t>
  </si>
  <si>
    <t>SYS :2016/12/27 04:03:52.729:ENFORCEMENT:Predictive Enforcement Action:  Target Number: 0001019C  Target Speed:  40.0  Current Speed:  52.7</t>
  </si>
  <si>
    <t>SYS :2016/12/27 06:00:56.622:ENFORCEMENT:Predictive Enforcement Action:  Target Number: 000062BD  Target Speed:   0.0  Current Speed:  52.9</t>
  </si>
  <si>
    <t>SYS :2016/12/27 06:00:57.037:ENFORCEMENT:Predictive Enforcement Action:  Target Number: 000062BE  Target Speed:   0.0  Current Speed:  52.4</t>
  </si>
  <si>
    <t>Banner without braking</t>
  </si>
  <si>
    <t>Cut out before DIA platform due to TRACK WARRANT enforcement and ATC zero code</t>
  </si>
  <si>
    <t>Wi-MAX data drop led to unhealthy crossings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</si>
</sst>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8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42730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42730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COUNTIFS($N$13:$N$9358,"&gt;0",$AG$13:$AG$9358,I1)</f>
        <v>142</v>
      </c>
      <c r="K5" s="44"/>
      <c r="L5" s="44"/>
      <c r="M5" s="45">
        <f>AVERAGEIFS($N$13:$N$9358,$AG$13:$AG$9358,I1)</f>
        <v>38.25105633789142</v>
      </c>
      <c r="N5" s="43">
        <f t="array" ref="N5">MIN(IF($AG$13:$AG$9358=I1,IF(ISNUMBER($N$13:$N$9358),IF($N$13:$N$9358&gt;0,$N$13:$N$9358))))</f>
        <v>33.150000006426126</v>
      </c>
      <c r="O5" s="3">
        <f t="array" ref="O5">MAX(IF($AG$13:$AG$9358=I1,IF(ISNUMBER($N$13:$N$9358),IF($N$13:$N$9358&gt;0,$N$13:$N$9358))))</f>
        <v>45.266666666138917</v>
      </c>
      <c r="P5" s="2"/>
      <c r="R5" s="80" t="s">
        <v>17</v>
      </c>
      <c r="S5" s="55">
        <f>COUNTIFS($N$13:$N$9358,"&gt;0",$AG$13:$AG$9358,R1)</f>
        <v>47</v>
      </c>
      <c r="T5" s="44"/>
      <c r="U5" s="168"/>
      <c r="V5" s="45">
        <f>AVERAGEIFS($N$13:$N$9358,$AG$13:$AG$9358,R1)</f>
        <v>15.405673759028394</v>
      </c>
      <c r="W5" s="43">
        <f t="array" ref="W5">MIN(IF($AG$13:$AG$9358=R1,IF(ISNUMBER($N$13:$N$9358),IF($N$13:$N$9358&gt;0,$N$13:$N$9358))))</f>
        <v>12.499999998835847</v>
      </c>
      <c r="X5" s="173">
        <f t="array" ref="X5">MAX(IF($AG$13:$AG$9358=R1,IF(ISNUMBER($N$13:$N$9358),IF($N$13:$N$9358&gt;0,$N$13:$N$9358))))</f>
        <v>19.199999993434176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COUNT($O$13:$O$138)</f>
        <v>0</v>
      </c>
      <c r="K6" s="44"/>
      <c r="L6" s="44"/>
      <c r="M6" s="45">
        <f>IFERROR(AVERAGE($O$13:$O$138),0)</f>
        <v>0</v>
      </c>
      <c r="N6" s="43">
        <f>MIN($O$13:$O$138)</f>
        <v>0</v>
      </c>
      <c r="O6" s="3">
        <f>MAX($O$13:$O$138)</f>
        <v>0</v>
      </c>
      <c r="P6" s="2"/>
      <c r="R6" s="81" t="s">
        <v>43</v>
      </c>
      <c r="S6" s="55">
        <f>COUNT($O$13:$O$138)</f>
        <v>0</v>
      </c>
      <c r="T6" s="44"/>
      <c r="U6" s="168"/>
      <c r="V6" s="45">
        <f>IFERROR(AVERAGE($O$13:$O$138),0)</f>
        <v>0</v>
      </c>
      <c r="W6" s="43">
        <f>MIN($O$13:$O$138)</f>
        <v>0</v>
      </c>
      <c r="X6" s="173">
        <f>MAX($O$13:$O$138)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COUNTIFS($P$13:$P$9358,"&gt;0",$AG$13:$AG$9358,I1)</f>
        <v>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COUNTIFS($P$13:$P$9358,"&gt;0",$AG$13:$AG$9358,R1)</f>
        <v>0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142</v>
      </c>
      <c r="K8" s="44"/>
      <c r="L8" s="44"/>
      <c r="M8" s="45">
        <f>M5</f>
        <v>38.25105633789142</v>
      </c>
      <c r="N8" s="43">
        <f>N5</f>
        <v>33.150000006426126</v>
      </c>
      <c r="O8" s="3">
        <f>O5</f>
        <v>45.266666666138917</v>
      </c>
      <c r="P8" s="2"/>
      <c r="R8" s="80" t="s">
        <v>16</v>
      </c>
      <c r="S8" s="55">
        <f>S5</f>
        <v>47</v>
      </c>
      <c r="T8" s="44"/>
      <c r="U8" s="168"/>
      <c r="V8" s="45">
        <f>V5</f>
        <v>15.405673759028394</v>
      </c>
      <c r="W8" s="43">
        <f>W5</f>
        <v>12.499999998835847</v>
      </c>
      <c r="X8" s="173">
        <f>X5</f>
        <v>19.199999993434176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0.98611111111111116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- 2016-12-26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AVERAGE(S13:S99)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453</v>
      </c>
      <c r="B13" s="7">
        <v>4044</v>
      </c>
      <c r="C13" s="22" t="s">
        <v>205</v>
      </c>
      <c r="D13" s="22" t="s">
        <v>650</v>
      </c>
      <c r="E13" s="13">
        <v>42730.13003472222</v>
      </c>
      <c r="F13" s="13">
        <v>42730.135717592595</v>
      </c>
      <c r="G13" s="7">
        <v>1</v>
      </c>
      <c r="H13" s="22" t="s">
        <v>651</v>
      </c>
      <c r="I13" s="13">
        <v>42730.161689814813</v>
      </c>
      <c r="J13" s="7">
        <v>0</v>
      </c>
      <c r="K13" s="109" t="str">
        <f t="shared" ref="K13:K76" si="0">IF(ISEVEN(B13),(B13-1)&amp;"/"&amp;B13,B13&amp;"/"&amp;(B13+1))</f>
        <v>4043/4044</v>
      </c>
      <c r="L13" s="22" t="str">
        <f>VLOOKUP(A13,'Trips&amp;Operators'!$C$1:$G$99999,5,FALSE)</f>
        <v>OUN ZACK</v>
      </c>
      <c r="M13" s="6">
        <f t="shared" ref="M13:M76" si="1">I13-F13</f>
        <v>2.5972222218115348E-2</v>
      </c>
      <c r="N13" s="7">
        <f t="shared" ref="N13:N44" si="2">24*60*SUM($M13:$M13)</f>
        <v>37.399999994086102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https://search-rtdc-monitor-bjffxe2xuh6vdkpspy63sjmuny.us-east-1.es.amazonaws.com/_plugin/kibana/#/discover/Steve-Slow-Train-Analysis-(2080s-and-2083s)?_g=(refreshInterval:(display:Off,section:0,value:0),time:(from:'2016-12-26 02:07:15-700',mode:absolute,to:'2016-12-26 04:52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" s="52" t="str">
        <f t="shared" ref="W13:W76" si="6">IF(AA13&lt;IF(AG13="EC",23,5.65),"Y","N")</f>
        <v>N</v>
      </c>
      <c r="X13" s="177" t="e">
        <f t="shared" ref="X13:X21" si="7">VALUE(LEFT(AD13,4))-VALUE(LEFT(AD12,4))</f>
        <v>#VALUE!</v>
      </c>
      <c r="Y13" s="67">
        <f t="shared" ref="Y13:Y76" si="8">RIGHT(D13,LEN(D13)-4)/10000</f>
        <v>7.3899999999999993E-2</v>
      </c>
      <c r="Z13" s="67">
        <f t="shared" ref="Z13:Z76" si="9">RIGHT(H13,LEN(H13)-4)/10000</f>
        <v>23.343399999999999</v>
      </c>
      <c r="AA13" s="67">
        <f t="shared" ref="AA13:AA76" si="10">ABS(Z13-Y13)</f>
        <v>23.269500000000001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1">IF(LEN(A13)=6,"0"&amp;A13,A13)</f>
        <v>0101-26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/stypes="app*4044*20161226*"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4044 --swversion DE.1.0.8.0 --startMP 204:739 --initTime 2016-12-26T03:07:15 --startdatetime 2016-12-26T03:15:26 --delay 1 --endMP 204:233434 --enddatetime 2016-12-26T03:52:50 --enforcementcount 0 &gt;&gt;C:\Users\stu\Documents\GitHub\eaglep3-reporting\EC\2016-12-26-refined-times.txt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{"issue":{"subject":"","project_id":79,"tracker_id":40,"status_id":1,"priority_id":2,"assigned_to_id":23,"start_date":"2016-12-26","description":"","custom_fields":[{"id":1,"name":"Subdivision","value":"EC"},{"id":4,"name":"Milepost","value":"23.3434"},{"id":17,"name":"Train ID","value":"101-26"},{"id":16,"name":"Locomotive ID","value":"4044"},{"id":130,"name":"Impact","value":""},{"id":150,"name":"Time of Event (Mountain Time)","value":"03:52:50"},{"id":151,"name":"Denver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461</v>
      </c>
      <c r="B14" s="7">
        <v>4030</v>
      </c>
      <c r="C14" s="22" t="s">
        <v>205</v>
      </c>
      <c r="D14" s="22" t="s">
        <v>652</v>
      </c>
      <c r="E14" s="13">
        <v>42730.170057870368</v>
      </c>
      <c r="F14" s="13">
        <v>42730.174513888887</v>
      </c>
      <c r="G14" s="7">
        <v>1</v>
      </c>
      <c r="H14" s="22" t="s">
        <v>273</v>
      </c>
      <c r="I14" s="13">
        <v>42730.202557870369</v>
      </c>
      <c r="J14" s="7">
        <v>0</v>
      </c>
      <c r="K14" s="109" t="str">
        <f t="shared" si="0"/>
        <v>4029/4030</v>
      </c>
      <c r="L14" s="22" t="str">
        <f>VLOOKUP(A14,'Trips&amp;Operators'!$C$1:$G$99999,5,FALSE)</f>
        <v>OUN ZACK</v>
      </c>
      <c r="M14" s="6">
        <f t="shared" si="1"/>
        <v>2.8043981481459923E-2</v>
      </c>
      <c r="N14" s="7">
        <f t="shared" si="2"/>
        <v>40.383333333302289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03:04:53-700',mode:absolute,to:'2016-12-26 05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23.2653</v>
      </c>
      <c r="Z14" s="67">
        <f t="shared" si="9"/>
        <v>1.38E-2</v>
      </c>
      <c r="AA14" s="67">
        <f t="shared" si="10"/>
        <v>23.2515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0102-26</v>
      </c>
      <c r="AE14" s="91" t="str">
        <f t="shared" si="12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14" s="88" t="str">
        <f t="shared" si="13"/>
        <v>"C:\Program Files (x86)\AstroGrep\AstroGrep.exe" /spath="%USERPROFILE%\AppData\Local\Temp\OnboardLogs" /stypes="app*4030*20161226*"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5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4030 --swversion DE.1.0.8.0 --startMP 204:232653 --initTime 2016-12-26T04:04:53 --startdatetime 2016-12-26T04:11:18 --delay 1 --endMP 204:138 --enddatetime 2016-12-26T04:51:41 --enforcementcount 0 &gt;&gt;C:\Users\stu\Documents\GitHub\eaglep3-reporting\EC\2016-12-26-refined-times.txt</v>
      </c>
      <c r="AI14" s="119" t="str">
        <f t="shared" ref="AI14:AI75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{"issue":{"subject":"","project_id":79,"tracker_id":40,"status_id":1,"priority_id":2,"assigned_to_id":23,"start_date":"2016-12-26","description":"","custom_fields":[{"id":1,"name":"Subdivision","value":"EC"},{"id":4,"name":"Milepost","value":"0.0138"},{"id":17,"name":"Train ID","value":"102-26"},{"id":16,"name":"Locomotive ID","value":"4030"},{"id":130,"name":"Impact","value":""},{"id":150,"name":"Time of Event (Mountain Time)","value":"04:51:41"},{"id":151,"name":"Denver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457</v>
      </c>
      <c r="B15" s="7">
        <v>4031</v>
      </c>
      <c r="C15" s="22" t="s">
        <v>205</v>
      </c>
      <c r="D15" s="22" t="s">
        <v>653</v>
      </c>
      <c r="E15" s="13">
        <v>42730.15116898148</v>
      </c>
      <c r="F15" s="13">
        <v>42730.1565162037</v>
      </c>
      <c r="G15" s="7">
        <v>1</v>
      </c>
      <c r="H15" s="22" t="s">
        <v>654</v>
      </c>
      <c r="I15" s="13">
        <v>42730.181145833332</v>
      </c>
      <c r="J15" s="7">
        <v>0</v>
      </c>
      <c r="K15" s="109" t="str">
        <f t="shared" si="0"/>
        <v>4031/4032</v>
      </c>
      <c r="L15" s="22" t="str">
        <f>VLOOKUP(A15,'Trips&amp;Operators'!$C$1:$G$99999,5,FALSE)</f>
        <v>MAGEE KENYA</v>
      </c>
      <c r="M15" s="6">
        <f t="shared" si="1"/>
        <v>2.4629629631817807E-2</v>
      </c>
      <c r="N15" s="7">
        <f t="shared" si="2"/>
        <v>35.466666669817641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02:37:41-700',mode:absolute,to:'2016-12-26 05:20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7.6499999999999999E-2</v>
      </c>
      <c r="Z15" s="67">
        <f t="shared" si="9"/>
        <v>23.334399999999999</v>
      </c>
      <c r="AA15" s="67">
        <f t="shared" si="10"/>
        <v>23.257899999999999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0103-26</v>
      </c>
      <c r="AE15" s="91" t="str">
        <f t="shared" si="12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15" s="88" t="str">
        <f t="shared" si="13"/>
        <v>"C:\Program Files (x86)\AstroGrep\AstroGrep.exe" /spath="%USERPROFILE%\AppData\Local\Temp\OnboardLogs" /stypes="app*4031*20161226*"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103-26 --locoid 4031 --swversion DE.1.0.8.0 --startMP 204:765 --initTime 2016-12-26T03:37:41 --startdatetime 2016-12-26T03:45:23 --delay 1 --endMP 204:233344 --enddatetime 2016-12-26T04:20:51 --enforcementcount 0 &gt;&gt;C:\Users\stu\Documents\GitHub\eaglep3-reporting\EC\2016-12-26-refined-times.txt</v>
      </c>
      <c r="AI15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{"issue":{"subject":"","project_id":79,"tracker_id":40,"status_id":1,"priority_id":2,"assigned_to_id":23,"start_date":"2016-12-26","description":"","custom_fields":[{"id":1,"name":"Subdivision","value":"EC"},{"id":4,"name":"Milepost","value":"23.3344"},{"id":17,"name":"Train ID","value":"103-26"},{"id":16,"name":"Locomotive ID","value":"4031"},{"id":130,"name":"Impact","value":""},{"id":150,"name":"Time of Event (Mountain Time)","value":"04:20:51"},{"id":151,"name":"Denver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467</v>
      </c>
      <c r="B16" s="7">
        <v>4028</v>
      </c>
      <c r="C16" s="22" t="s">
        <v>205</v>
      </c>
      <c r="D16" s="22" t="s">
        <v>655</v>
      </c>
      <c r="E16" s="13">
        <v>42730.185347222221</v>
      </c>
      <c r="F16" s="13">
        <v>42730.195335648146</v>
      </c>
      <c r="G16" s="7">
        <v>3</v>
      </c>
      <c r="H16" s="22" t="s">
        <v>224</v>
      </c>
      <c r="I16" s="13">
        <v>42730.223680555559</v>
      </c>
      <c r="J16" s="7">
        <v>0</v>
      </c>
      <c r="K16" s="109" t="str">
        <f t="shared" si="0"/>
        <v>4027/4028</v>
      </c>
      <c r="L16" s="22" t="str">
        <f>VLOOKUP(A16,'Trips&amp;Operators'!$C$1:$G$99999,5,FALSE)</f>
        <v>MAGEE KENYA</v>
      </c>
      <c r="M16" s="6">
        <f t="shared" si="1"/>
        <v>2.8344907412247267E-2</v>
      </c>
      <c r="N16" s="7">
        <f t="shared" si="2"/>
        <v>40.816666673636064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03:26:54-700',mode:absolute,to:'2016-12-26 06:22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23.2715</v>
      </c>
      <c r="Z16" s="67">
        <f t="shared" si="9"/>
        <v>1.54E-2</v>
      </c>
      <c r="AA16" s="67">
        <f t="shared" si="10"/>
        <v>23.2561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1"/>
        <v>0104-26</v>
      </c>
      <c r="AE16" s="91" t="str">
        <f t="shared" si="12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16" s="88" t="str">
        <f t="shared" si="13"/>
        <v>"C:\Program Files (x86)\AstroGrep\AstroGrep.exe" /spath="%USERPROFILE%\AppData\Local\Temp\OnboardLogs" /stypes="app*4028*20161226*"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104-26 --locoid 4028 --swversion DE.1.0.8.0 --startMP 204:232715 --initTime 2016-12-26T04:26:54 --startdatetime 2016-12-26T04:41:17 --delay 3 --endMP 204:154 --enddatetime 2016-12-26T05:22:06 --enforcementcount 0 &gt;&gt;C:\Users\stu\Documents\GitHub\eaglep3-reporting\EC\2016-12-26-refined-times.txt</v>
      </c>
      <c r="AI16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{"issue":{"subject":"","project_id":79,"tracker_id":40,"status_id":1,"priority_id":2,"assigned_to_id":23,"start_date":"2016-12-26","description":"","custom_fields":[{"id":1,"name":"Subdivision","value":"EC"},{"id":4,"name":"Milepost","value":"0.0154"},{"id":17,"name":"Train ID","value":"104-26"},{"id":16,"name":"Locomotive ID","value":"4028"},{"id":130,"name":"Impact","value":""},{"id":150,"name":"Time of Event (Mountain Time)","value":"05:22:06"},{"id":151,"name":"Denver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462</v>
      </c>
      <c r="B17" s="7">
        <v>4025</v>
      </c>
      <c r="C17" s="22" t="s">
        <v>205</v>
      </c>
      <c r="D17" s="22" t="s">
        <v>656</v>
      </c>
      <c r="E17" s="13">
        <v>42730.17423611111</v>
      </c>
      <c r="F17" s="13">
        <v>42730.177673611113</v>
      </c>
      <c r="G17" s="7">
        <v>1</v>
      </c>
      <c r="H17" s="22" t="s">
        <v>374</v>
      </c>
      <c r="I17" s="13">
        <v>42730.2031712963</v>
      </c>
      <c r="J17" s="7">
        <v>0</v>
      </c>
      <c r="K17" s="109" t="str">
        <f t="shared" si="0"/>
        <v>4025/4026</v>
      </c>
      <c r="L17" s="22" t="str">
        <f>VLOOKUP(A17,'Trips&amp;Operators'!$C$1:$G$99999,5,FALSE)</f>
        <v>STARKS ANGELINA</v>
      </c>
      <c r="M17" s="6">
        <f t="shared" si="1"/>
        <v>2.5497685186564922E-2</v>
      </c>
      <c r="N17" s="7">
        <f t="shared" si="2"/>
        <v>36.716666668653488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03:10:54-700',mode:absolute,to:'2016-12-26 05:52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6.8599999999999994E-2</v>
      </c>
      <c r="Z17" s="67">
        <f t="shared" si="9"/>
        <v>23.331700000000001</v>
      </c>
      <c r="AA17" s="67">
        <f t="shared" si="10"/>
        <v>23.263100000000001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0105-26</v>
      </c>
      <c r="AE17" s="91" t="str">
        <f t="shared" si="12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17" s="88" t="str">
        <f t="shared" si="13"/>
        <v>"C:\Program Files (x86)\AstroGrep\AstroGrep.exe" /spath="%USERPROFILE%\AppData\Local\Temp\OnboardLogs" /stypes="app*4025*20161226*"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105-26 --locoid 4025 --swversion DE.1.0.8.0 --startMP 204:686 --initTime 2016-12-26T04:10:54 --startdatetime 2016-12-26T04:15:51 --delay 1 --endMP 204:233317 --enddatetime 2016-12-26T04:52:34 --enforcementcount 0 &gt;&gt;C:\Users\stu\Documents\GitHub\eaglep3-reporting\EC\2016-12-26-refined-times.txt</v>
      </c>
      <c r="AI17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{"issue":{"subject":"","project_id":79,"tracker_id":40,"status_id":1,"priority_id":2,"assigned_to_id":23,"start_date":"2016-12-26","description":"","custom_fields":[{"id":1,"name":"Subdivision","value":"EC"},{"id":4,"name":"Milepost","value":"23.3317"},{"id":17,"name":"Train ID","value":"105-26"},{"id":16,"name":"Locomotive ID","value":"4025"},{"id":130,"name":"Impact","value":""},{"id":150,"name":"Time of Event (Mountain Time)","value":"04:52:34"},{"id":151,"name":"Denver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417</v>
      </c>
      <c r="B18" s="7">
        <v>4015</v>
      </c>
      <c r="C18" s="22" t="s">
        <v>205</v>
      </c>
      <c r="D18" s="22" t="s">
        <v>657</v>
      </c>
      <c r="E18" s="13">
        <v>42730.213819444441</v>
      </c>
      <c r="F18" s="13">
        <v>42730.216180555559</v>
      </c>
      <c r="G18" s="7">
        <v>1</v>
      </c>
      <c r="H18" s="22" t="s">
        <v>373</v>
      </c>
      <c r="I18" s="13">
        <v>42730.245995370373</v>
      </c>
      <c r="J18" s="7">
        <v>0</v>
      </c>
      <c r="K18" s="109" t="str">
        <f t="shared" si="0"/>
        <v>4015/4016</v>
      </c>
      <c r="L18" s="22" t="str">
        <f>VLOOKUP(A18,'Trips&amp;Operators'!$C$1:$G$99999,5,FALSE)</f>
        <v>STARKS ANGELINA</v>
      </c>
      <c r="M18" s="6">
        <f t="shared" si="1"/>
        <v>2.9814814814017154E-2</v>
      </c>
      <c r="N18" s="7">
        <f t="shared" si="2"/>
        <v>42.933333332184702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04:07:54-700',mode:absolute,to:'2016-12-26 06:54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23.265799999999999</v>
      </c>
      <c r="Z18" s="67">
        <f t="shared" si="9"/>
        <v>1.5599999999999999E-2</v>
      </c>
      <c r="AA18" s="67">
        <f t="shared" si="10"/>
        <v>23.2502</v>
      </c>
      <c r="AB18" s="64" t="str">
        <f>VLOOKUP(A18,Enforcements!$C$7:$K$19,8,0)</f>
        <v>Signal based authority (5)</v>
      </c>
      <c r="AC18" s="60" t="str">
        <f>VLOOKUP(A18,Enforcements!$C$7:$E$19,3,0)</f>
        <v>SIGNAL</v>
      </c>
      <c r="AD18" s="61" t="str">
        <f t="shared" si="11"/>
        <v>0106-26</v>
      </c>
      <c r="AE18" s="91" t="str">
        <f t="shared" si="12"/>
        <v>aws s3 cp s3://rtdc.mdm.uploadarchive.raw/RTDC4015/ "%USERPROFILE%\AppData\Local\Temp\OnboardLogs"\RTDC4015\2016-12-26 --exclude "*" --recursive --include "*20161226*" &amp; "%USERPROFILE%\Documents\GitHub\mrs-test-scripts\Headless Mode &amp; Sideloading\WalkAndUnGZ.bat" "%USERPROFILE%\AppData\Local\Temp\OnboardLogs"\RTDC4015\2016-12-26 &amp; aws s3 cp s3://rtdc.mdm.uploadarchive.raw/RTDC4015/ "%USERPROFILE%\AppData\Local\Temp\OnboardLogs"\RTDC4015\2016-12-27 --exclude "*" --recursive --include "*20161227*" &amp; "%USERPROFILE%\Documents\GitHub\mrs-test-scripts\Headless Mode &amp; Sideloading\WalkAndUnGZ.bat" "%USERPROFILE%\AppData\Local\Temp\OnboardLogs"\RTDC4015\2016-12-27</v>
      </c>
      <c r="AF18" s="88" t="str">
        <f t="shared" si="13"/>
        <v>"C:\Program Files (x86)\AstroGrep\AstroGrep.exe" /spath="%USERPROFILE%\AppData\Local\Temp\OnboardLogs" /stypes="app*4015*20161226*"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106-26 --locoid 4015 --swversion DE.1.0.8.0 --startMP 204:232658 --initTime 2016-12-26T05:07:54 --startdatetime 2016-12-26T05:11:18 --delay 1 --endMP 204:156 --enddatetime 2016-12-26T05:54:14 --enforcementcount 0 &gt;&gt;C:\Users\stu\Documents\GitHub\eaglep3-reporting\EC\2016-12-26-refined-times.txt</v>
      </c>
      <c r="AI18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{"issue":{"subject":"","project_id":79,"tracker_id":40,"status_id":1,"priority_id":2,"assigned_to_id":23,"start_date":"2016-12-26","description":"","custom_fields":[{"id":1,"name":"Subdivision","value":"EC"},{"id":4,"name":"Milepost","value":"0.0156"},{"id":17,"name":"Train ID","value":"106-26"},{"id":16,"name":"Locomotive ID","value":"4015"},{"id":130,"name":"Impact","value":""},{"id":150,"name":"Time of Event (Mountain Time)","value":"05:54:14"},{"id":151,"name":"Denver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468</v>
      </c>
      <c r="B19" s="7">
        <v>4046</v>
      </c>
      <c r="C19" s="22" t="s">
        <v>205</v>
      </c>
      <c r="D19" s="22" t="s">
        <v>658</v>
      </c>
      <c r="E19" s="13">
        <v>42730.185543981483</v>
      </c>
      <c r="F19" s="13">
        <v>42730.18787037037</v>
      </c>
      <c r="G19" s="7">
        <v>1</v>
      </c>
      <c r="H19" s="22" t="s">
        <v>339</v>
      </c>
      <c r="I19" s="13">
        <v>42730.215266203704</v>
      </c>
      <c r="J19" s="7">
        <v>0</v>
      </c>
      <c r="K19" s="109" t="str">
        <f t="shared" si="0"/>
        <v>4045/4046</v>
      </c>
      <c r="L19" s="22" t="str">
        <f>VLOOKUP(A19,'Trips&amp;Operators'!$C$1:$G$99999,5,FALSE)</f>
        <v>DUNCAN SHEILA</v>
      </c>
      <c r="M19" s="6">
        <f t="shared" si="1"/>
        <v>2.7395833334594499E-2</v>
      </c>
      <c r="N19" s="7">
        <f t="shared" si="2"/>
        <v>39.450000001816079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03:27:11-700',mode:absolute,to:'2016-12-26 06:09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4.8800000000000003E-2</v>
      </c>
      <c r="Z19" s="67">
        <f t="shared" si="9"/>
        <v>23.3307</v>
      </c>
      <c r="AA19" s="67">
        <f t="shared" si="10"/>
        <v>23.2819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0107-26</v>
      </c>
      <c r="AE19" s="91" t="str">
        <f t="shared" si="12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19" s="88" t="str">
        <f t="shared" si="13"/>
        <v>"C:\Program Files (x86)\AstroGrep\AstroGrep.exe" /spath="%USERPROFILE%\AppData\Local\Temp\OnboardLogs" /stypes="app*4046*20161226*"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107-26 --locoid 4046 --swversion DE.1.0.8.0 --startMP 204:488 --initTime 2016-12-26T04:27:11 --startdatetime 2016-12-26T04:30:32 --delay 1 --endMP 204:233307 --enddatetime 2016-12-26T05:09:59 --enforcementcount 0 &gt;&gt;C:\Users\stu\Documents\GitHub\eaglep3-reporting\EC\2016-12-26-refined-times.txt</v>
      </c>
      <c r="AI19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{"issue":{"subject":"","project_id":79,"tracker_id":40,"status_id":1,"priority_id":2,"assigned_to_id":23,"start_date":"2016-12-26","description":"","custom_fields":[{"id":1,"name":"Subdivision","value":"EC"},{"id":4,"name":"Milepost","value":"23.3307"},{"id":17,"name":"Train ID","value":"107-26"},{"id":16,"name":"Locomotive ID","value":"4046"},{"id":130,"name":"Impact","value":""},{"id":150,"name":"Time of Event (Mountain Time)","value":"05:09:59"},{"id":151,"name":"Denver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472</v>
      </c>
      <c r="B20" s="7">
        <v>4045</v>
      </c>
      <c r="C20" s="22" t="s">
        <v>205</v>
      </c>
      <c r="D20" s="22" t="s">
        <v>277</v>
      </c>
      <c r="E20" s="13">
        <v>42730.223055555558</v>
      </c>
      <c r="F20" s="13">
        <v>42730.226793981485</v>
      </c>
      <c r="G20" s="7">
        <v>1</v>
      </c>
      <c r="H20" s="22" t="s">
        <v>243</v>
      </c>
      <c r="I20" s="13">
        <v>42730.255104166667</v>
      </c>
      <c r="J20" s="7">
        <v>0</v>
      </c>
      <c r="K20" s="109" t="str">
        <f t="shared" si="0"/>
        <v>4045/4046</v>
      </c>
      <c r="L20" s="22" t="str">
        <f>VLOOKUP(A20,'Trips&amp;Operators'!$C$1:$G$99999,5,FALSE)</f>
        <v>DUNCAN SHEILA</v>
      </c>
      <c r="M20" s="6">
        <f t="shared" si="1"/>
        <v>2.8310185181908309E-2</v>
      </c>
      <c r="N20" s="7">
        <f t="shared" si="2"/>
        <v>40.766666661947966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04:21:12-700',mode:absolute,to:'2016-12-26 07:07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23.2986</v>
      </c>
      <c r="Z20" s="67">
        <f t="shared" si="9"/>
        <v>1.6299999999999999E-2</v>
      </c>
      <c r="AA20" s="67">
        <f t="shared" si="10"/>
        <v>23.282299999999999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0108-26</v>
      </c>
      <c r="AE20" s="91" t="str">
        <f t="shared" si="12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20" s="88" t="str">
        <f t="shared" si="13"/>
        <v>"C:\Program Files (x86)\AstroGrep\AstroGrep.exe" /spath="%USERPROFILE%\AppData\Local\Temp\OnboardLogs" /stypes="app*4045*20161226*"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108-26 --locoid 4045 --swversion DE.1.0.8.0 --startMP 204:232986 --initTime 2016-12-26T05:21:12 --startdatetime 2016-12-26T05:26:35 --delay 1 --endMP 204:163 --enddatetime 2016-12-26T06:07:21 --enforcementcount 0 &gt;&gt;C:\Users\stu\Documents\GitHub\eaglep3-reporting\EC\2016-12-26-refined-times.txt</v>
      </c>
      <c r="AI20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{"issue":{"subject":"","project_id":79,"tracker_id":40,"status_id":1,"priority_id":2,"assigned_to_id":23,"start_date":"2016-12-26","description":"","custom_fields":[{"id":1,"name":"Subdivision","value":"EC"},{"id":4,"name":"Milepost","value":"0.0163"},{"id":17,"name":"Train ID","value":"108-26"},{"id":16,"name":"Locomotive ID","value":"4045"},{"id":130,"name":"Impact","value":""},{"id":150,"name":"Time of Event (Mountain Time)","value":"06:07:21"},{"id":151,"name":"Denver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469</v>
      </c>
      <c r="B21" s="7">
        <v>4051</v>
      </c>
      <c r="C21" s="22" t="s">
        <v>205</v>
      </c>
      <c r="D21" s="22" t="s">
        <v>241</v>
      </c>
      <c r="E21" s="13">
        <v>42730.194097222222</v>
      </c>
      <c r="F21" s="13">
        <v>42730.23709490741</v>
      </c>
      <c r="G21" s="7">
        <v>1</v>
      </c>
      <c r="H21" s="22" t="s">
        <v>659</v>
      </c>
      <c r="I21" s="13">
        <v>42730.265717592592</v>
      </c>
      <c r="J21" s="7">
        <v>0</v>
      </c>
      <c r="K21" s="109" t="str">
        <f t="shared" si="0"/>
        <v>4051/4052</v>
      </c>
      <c r="L21" s="22" t="str">
        <f>VLOOKUP(A21,'Trips&amp;Operators'!$C$1:$G$99999,5,FALSE)</f>
        <v>SHOOK JOHN</v>
      </c>
      <c r="M21" s="6">
        <f t="shared" si="1"/>
        <v>2.8622685182199348E-2</v>
      </c>
      <c r="N21" s="7">
        <f t="shared" si="2"/>
        <v>41.216666662367061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03:39:30-700',mode:absolute,to:'2016-12-26 07:22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4.58E-2</v>
      </c>
      <c r="Z21" s="67">
        <f t="shared" si="9"/>
        <v>23.335100000000001</v>
      </c>
      <c r="AA21" s="67">
        <f t="shared" si="10"/>
        <v>23.289300000000001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0109-26</v>
      </c>
      <c r="AE21" s="91" t="str">
        <f t="shared" si="12"/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21" s="88" t="str">
        <f t="shared" si="13"/>
        <v>"C:\Program Files (x86)\AstroGrep\AstroGrep.exe" /spath="%USERPROFILE%\AppData\Local\Temp\OnboardLogs" /stypes="app*4051*20161226*" /stext=" 13:.+((SYSTEM_STATE.+slice.+state.+changed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109-26 --locoid 4051 --swversion DE.1.0.8.0 --startMP 204:458 --initTime 2016-12-26T04:39:30 --startdatetime 2016-12-26T05:41:25 --delay 1 --endMP 204:233351 --enddatetime 2016-12-26T06:22:38 --enforcementcount 0 &gt;&gt;C:\Users\stu\Documents\GitHub\eaglep3-reporting\EC\2016-12-26-refined-times.txt</v>
      </c>
      <c r="AI21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{"issue":{"subject":"","project_id":79,"tracker_id":40,"status_id":1,"priority_id":2,"assigned_to_id":23,"start_date":"2016-12-26","description":"","custom_fields":[{"id":1,"name":"Subdivision","value":"EC"},{"id":4,"name":"Milepost","value":"23.3351"},{"id":17,"name":"Train ID","value":"109-26"},{"id":16,"name":"Locomotive ID","value":"4051"},{"id":130,"name":"Impact","value":""},{"id":150,"name":"Time of Event (Mountain Time)","value":"06:22:38"},{"id":151,"name":"Denver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473</v>
      </c>
      <c r="B22" s="7">
        <v>4052</v>
      </c>
      <c r="C22" s="22" t="s">
        <v>205</v>
      </c>
      <c r="D22" s="22" t="s">
        <v>660</v>
      </c>
      <c r="E22" s="13">
        <v>42730.226238425923</v>
      </c>
      <c r="F22" s="13">
        <v>42730.23709490741</v>
      </c>
      <c r="G22" s="7">
        <v>1</v>
      </c>
      <c r="H22" s="22" t="s">
        <v>192</v>
      </c>
      <c r="I22" s="13">
        <v>42730.265717592592</v>
      </c>
      <c r="J22" s="7">
        <v>0</v>
      </c>
      <c r="K22" s="109" t="str">
        <f t="shared" si="0"/>
        <v>4051/4052</v>
      </c>
      <c r="L22" s="22" t="str">
        <f>VLOOKUP(A22,'Trips&amp;Operators'!$C$1:$G$99999,5,FALSE)</f>
        <v>SHOOK JOHN</v>
      </c>
      <c r="M22" s="6">
        <f t="shared" si="1"/>
        <v>2.8622685182199348E-2</v>
      </c>
      <c r="N22" s="7">
        <f t="shared" si="2"/>
        <v>41.216666662367061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04:25:47-700',mode:absolute,to:'2016-12-26 07:22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" s="52" t="str">
        <f t="shared" si="6"/>
        <v>N</v>
      </c>
      <c r="X22" s="177">
        <f t="shared" ref="X22:X25" si="19">VALUE(LEFT(AD22,4))-VALUE(LEFT(AD21,4))</f>
        <v>1</v>
      </c>
      <c r="Y22" s="67">
        <f t="shared" si="8"/>
        <v>23.3019</v>
      </c>
      <c r="Z22" s="67">
        <f t="shared" si="9"/>
        <v>1.43E-2</v>
      </c>
      <c r="AA22" s="67">
        <f t="shared" si="10"/>
        <v>23.287600000000001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0110-26</v>
      </c>
      <c r="AE22" s="91" t="str">
        <f t="shared" si="12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22" s="88" t="str">
        <f t="shared" si="13"/>
        <v>"C:\Program Files (x86)\AstroGrep\AstroGrep.exe" /spath="%USERPROFILE%\AppData\Local\Temp\OnboardLogs" /stypes="app*4052*20161226*"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110-26 --locoid 4052 --swversion DE.1.0.8.0 --startMP 204:233019 --initTime 2016-12-26T05:25:47 --startdatetime 2016-12-26T05:41:25 --delay 1 --endMP 204:143 --enddatetime 2016-12-26T06:22:38 --enforcementcount 0 &gt;&gt;C:\Users\stu\Documents\GitHub\eaglep3-reporting\EC\2016-12-26-refined-times.txt</v>
      </c>
      <c r="AI22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{"issue":{"subject":"","project_id":79,"tracker_id":40,"status_id":1,"priority_id":2,"assigned_to_id":23,"start_date":"2016-12-26","description":"","custom_fields":[{"id":1,"name":"Subdivision","value":"EC"},{"id":4,"name":"Milepost","value":"0.0143"},{"id":17,"name":"Train ID","value":"110-26"},{"id":16,"name":"Locomotive ID","value":"4052"},{"id":130,"name":"Impact","value":""},{"id":150,"name":"Time of Event (Mountain Time)","value":"06:22:38"},{"id":151,"name":"Denver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470</v>
      </c>
      <c r="B23" s="7">
        <v>4044</v>
      </c>
      <c r="C23" s="22" t="s">
        <v>205</v>
      </c>
      <c r="D23" s="22" t="s">
        <v>407</v>
      </c>
      <c r="E23" s="13">
        <v>42730.208402777775</v>
      </c>
      <c r="F23" s="13">
        <v>42730.21</v>
      </c>
      <c r="G23" s="7">
        <v>1</v>
      </c>
      <c r="H23" s="22" t="s">
        <v>312</v>
      </c>
      <c r="I23" s="13">
        <v>42730.233020833337</v>
      </c>
      <c r="J23" s="7">
        <v>0</v>
      </c>
      <c r="K23" s="109" t="str">
        <f t="shared" si="0"/>
        <v>4043/4044</v>
      </c>
      <c r="L23" s="22" t="str">
        <f>VLOOKUP(A23,'Trips&amp;Operators'!$C$1:$G$99999,5,FALSE)</f>
        <v>YANG JAN</v>
      </c>
      <c r="M23" s="6">
        <f t="shared" si="1"/>
        <v>2.3020833337795921E-2</v>
      </c>
      <c r="N23" s="7">
        <f t="shared" si="2"/>
        <v>33.150000006426126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04:00:06-700',mode:absolute,to:'2016-12-26 06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" s="52" t="str">
        <f t="shared" si="6"/>
        <v>N</v>
      </c>
      <c r="X23" s="177">
        <f t="shared" si="19"/>
        <v>1</v>
      </c>
      <c r="Y23" s="67">
        <f t="shared" si="8"/>
        <v>7.4300000000000005E-2</v>
      </c>
      <c r="Z23" s="67">
        <f t="shared" si="9"/>
        <v>23.329699999999999</v>
      </c>
      <c r="AA23" s="67">
        <f t="shared" si="10"/>
        <v>23.255399999999998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0111-26</v>
      </c>
      <c r="AE23" s="91" t="str">
        <f t="shared" si="12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23" s="88" t="str">
        <f t="shared" si="13"/>
        <v>"C:\Program Files (x86)\AstroGrep\AstroGrep.exe" /spath="%USERPROFILE%\AppData\Local\Temp\OnboardLogs" /stypes="app*4044*20161226*"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111-26 --locoid 4044 --swversion DE.1.0.8.0 --startMP 204:743 --initTime 2016-12-26T05:00:06 --startdatetime 2016-12-26T05:02:24 --delay 1 --endMP 204:233297 --enddatetime 2016-12-26T05:35:33 --enforcementcount 0 &gt;&gt;C:\Users\stu\Documents\GitHub\eaglep3-reporting\EC\2016-12-26-refined-times.txt</v>
      </c>
      <c r="AI23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ID","value":"111-26"},{"id":16,"name":"Locomotive ID","value":"4044"},{"id":130,"name":"Impact","value":""},{"id":150,"name":"Time of Event (Mountain Time)","value":"05:35:33"},{"id":151,"name":"Denver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476</v>
      </c>
      <c r="B24" s="7">
        <v>4043</v>
      </c>
      <c r="C24" s="22" t="s">
        <v>205</v>
      </c>
      <c r="D24" s="22" t="s">
        <v>309</v>
      </c>
      <c r="E24" s="13">
        <v>42730.234722222223</v>
      </c>
      <c r="F24" s="13">
        <v>42730.24759259259</v>
      </c>
      <c r="G24" s="7">
        <v>1</v>
      </c>
      <c r="H24" s="22" t="s">
        <v>661</v>
      </c>
      <c r="I24" s="13">
        <v>42730.273460648146</v>
      </c>
      <c r="J24" s="7">
        <v>0</v>
      </c>
      <c r="K24" s="109" t="str">
        <f t="shared" si="0"/>
        <v>4043/4044</v>
      </c>
      <c r="L24" s="22" t="str">
        <f>VLOOKUP(A24,'Trips&amp;Operators'!$C$1:$G$99999,5,FALSE)</f>
        <v>YANG JAN</v>
      </c>
      <c r="M24" s="6">
        <f t="shared" si="1"/>
        <v>2.5868055556202307E-2</v>
      </c>
      <c r="N24" s="7">
        <f t="shared" si="2"/>
        <v>37.250000000931323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04:38:00-700',mode:absolute,to:'2016-12-26 07:33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4" s="52" t="str">
        <f t="shared" si="6"/>
        <v>N</v>
      </c>
      <c r="X24" s="177">
        <f t="shared" si="19"/>
        <v>1</v>
      </c>
      <c r="Y24" s="67">
        <f t="shared" si="8"/>
        <v>23.298400000000001</v>
      </c>
      <c r="Z24" s="67">
        <f t="shared" si="9"/>
        <v>1.67E-2</v>
      </c>
      <c r="AA24" s="67">
        <f t="shared" si="10"/>
        <v>23.281700000000001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0112-26</v>
      </c>
      <c r="AE24" s="91" t="str">
        <f t="shared" si="12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24" s="88" t="str">
        <f t="shared" si="13"/>
        <v>"C:\Program Files (x86)\AstroGrep\AstroGrep.exe" /spath="%USERPROFILE%\AppData\Local\Temp\OnboardLogs" /stypes="app*4043*20161226*"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112-26 --locoid 4043 --swversion DE.1.0.8.0 --startMP 204:232984 --initTime 2016-12-26T05:38:00 --startdatetime 2016-12-26T05:56:32 --delay 1 --endMP 204:167 --enddatetime 2016-12-26T06:33:47 --enforcementcount 0 &gt;&gt;C:\Users\stu\Documents\GitHub\eaglep3-reporting\EC\2016-12-26-refined-times.txt</v>
      </c>
      <c r="AI24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{"issue":{"subject":"","project_id":79,"tracker_id":40,"status_id":1,"priority_id":2,"assigned_to_id":23,"start_date":"2016-12-26","description":"","custom_fields":[{"id":1,"name":"Subdivision","value":"EC"},{"id":4,"name":"Milepost","value":"0.0167"},{"id":17,"name":"Train ID","value":"112-26"},{"id":16,"name":"Locomotive ID","value":"4043"},{"id":130,"name":"Impact","value":""},{"id":150,"name":"Time of Event (Mountain Time)","value":"06:33:47"},{"id":151,"name":"Denver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471</v>
      </c>
      <c r="B25" s="7">
        <v>4029</v>
      </c>
      <c r="C25" s="22" t="s">
        <v>205</v>
      </c>
      <c r="D25" s="22" t="s">
        <v>662</v>
      </c>
      <c r="E25" s="13">
        <v>42730.215081018519</v>
      </c>
      <c r="F25" s="13">
        <v>42730.219340277778</v>
      </c>
      <c r="G25" s="7">
        <v>1</v>
      </c>
      <c r="H25" s="22" t="s">
        <v>285</v>
      </c>
      <c r="I25" s="13">
        <v>42730.245150462964</v>
      </c>
      <c r="J25" s="7">
        <v>0</v>
      </c>
      <c r="K25" s="109" t="str">
        <f t="shared" si="0"/>
        <v>4029/4030</v>
      </c>
      <c r="L25" s="22" t="str">
        <f>VLOOKUP(A25,'Trips&amp;Operators'!$C$1:$G$99999,5,FALSE)</f>
        <v>OUN ZACK</v>
      </c>
      <c r="M25" s="6">
        <f t="shared" si="1"/>
        <v>2.5810185186855961E-2</v>
      </c>
      <c r="N25" s="7">
        <f t="shared" si="2"/>
        <v>37.166666669072583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04:09:43-700',mode:absolute,to:'2016-12-26 06:53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52" t="str">
        <f t="shared" si="6"/>
        <v>N</v>
      </c>
      <c r="X25" s="177">
        <f t="shared" si="19"/>
        <v>1</v>
      </c>
      <c r="Y25" s="67">
        <f t="shared" si="8"/>
        <v>4.4600000000000001E-2</v>
      </c>
      <c r="Z25" s="67">
        <f t="shared" si="9"/>
        <v>23.329499999999999</v>
      </c>
      <c r="AA25" s="67">
        <f t="shared" si="10"/>
        <v>23.2849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0113-26</v>
      </c>
      <c r="AE25" s="91" t="str">
        <f t="shared" si="12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25" s="88" t="str">
        <f t="shared" si="13"/>
        <v>"C:\Program Files (x86)\AstroGrep\AstroGrep.exe" /spath="%USERPROFILE%\AppData\Local\Temp\OnboardLogs" /stypes="app*4029*20161226*"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113-26 --locoid 4029 --swversion DE.1.0.8.0 --startMP 204:446 --initTime 2016-12-26T05:09:43 --startdatetime 2016-12-26T05:15:51 --delay 1 --endMP 204:233295 --enddatetime 2016-12-26T05:53:01 --enforcementcount 0 &gt;&gt;C:\Users\stu\Documents\GitHub\eaglep3-reporting\EC\2016-12-26-refined-times.txt</v>
      </c>
      <c r="AI25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{"issue":{"subject":"","project_id":79,"tracker_id":40,"status_id":1,"priority_id":2,"assigned_to_id":23,"start_date":"2016-12-26","description":"","custom_fields":[{"id":1,"name":"Subdivision","value":"EC"},{"id":4,"name":"Milepost","value":"23.3295"},{"id":17,"name":"Train ID","value":"113-26"},{"id":16,"name":"Locomotive ID","value":"4029"},{"id":130,"name":"Impact","value":""},{"id":150,"name":"Time of Event (Mountain Time)","value":"05:53:01"},{"id":151,"name":"Denver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481</v>
      </c>
      <c r="B26" s="7">
        <v>4030</v>
      </c>
      <c r="C26" s="22" t="s">
        <v>205</v>
      </c>
      <c r="D26" s="22" t="s">
        <v>269</v>
      </c>
      <c r="E26" s="13">
        <v>42730.252974537034</v>
      </c>
      <c r="F26" s="13">
        <v>42730.257928240739</v>
      </c>
      <c r="G26" s="7">
        <v>1</v>
      </c>
      <c r="H26" s="22" t="s">
        <v>191</v>
      </c>
      <c r="I26" s="13">
        <v>42730.285694444443</v>
      </c>
      <c r="J26" s="7">
        <v>0</v>
      </c>
      <c r="K26" s="109" t="str">
        <f t="shared" si="0"/>
        <v>4029/4030</v>
      </c>
      <c r="L26" s="22" t="str">
        <f>VLOOKUP(A26,'Trips&amp;Operators'!$C$1:$G$99999,5,FALSE)</f>
        <v>OUN ZACK</v>
      </c>
      <c r="M26" s="6">
        <f t="shared" si="1"/>
        <v>2.7766203704231884E-2</v>
      </c>
      <c r="N26" s="7">
        <f t="shared" si="2"/>
        <v>39.983333334093913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05:04:17-700',mode:absolute,to:'2016-12-26 07:51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52" t="str">
        <f t="shared" si="6"/>
        <v>N</v>
      </c>
      <c r="X26" s="177">
        <f>VALUE(LEFT(AD26,4))-VALUE(LEFT(AD25,4))</f>
        <v>1</v>
      </c>
      <c r="Y26" s="67">
        <f t="shared" si="8"/>
        <v>23.299299999999999</v>
      </c>
      <c r="Z26" s="67">
        <f t="shared" si="9"/>
        <v>1.49E-2</v>
      </c>
      <c r="AA26" s="67">
        <f t="shared" si="10"/>
        <v>23.284399999999998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0114-26</v>
      </c>
      <c r="AE26" s="91" t="str">
        <f t="shared" si="12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26" s="88" t="str">
        <f t="shared" si="13"/>
        <v>"C:\Program Files (x86)\AstroGrep\AstroGrep.exe" /spath="%USERPROFILE%\AppData\Local\Temp\OnboardLogs" /stypes="app*4030*20161226*"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114-26 --locoid 4030 --swversion DE.1.0.8.0 --startMP 204:232993 --initTime 2016-12-26T06:04:17 --startdatetime 2016-12-26T06:11:25 --delay 1 --endMP 204:149 --enddatetime 2016-12-26T06:51:24 --enforcementcount 0 &gt;&gt;C:\Users\stu\Documents\GitHub\eaglep3-reporting\EC\2016-12-26-refined-times.txt</v>
      </c>
      <c r="AI26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{"issue":{"subject":"","project_id":79,"tracker_id":40,"status_id":1,"priority_id":2,"assigned_to_id":23,"start_date":"2016-12-26","description":"","custom_fields":[{"id":1,"name":"Subdivision","value":"EC"},{"id":4,"name":"Milepost","value":"0.0149"},{"id":17,"name":"Train ID","value":"114-26"},{"id":16,"name":"Locomotive ID","value":"4030"},{"id":130,"name":"Impact","value":""},{"id":150,"name":"Time of Event (Mountain Time)","value":"06:51:24"},{"id":151,"name":"Denver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474</v>
      </c>
      <c r="B27" s="7">
        <v>4031</v>
      </c>
      <c r="C27" s="22" t="s">
        <v>205</v>
      </c>
      <c r="D27" s="22" t="s">
        <v>366</v>
      </c>
      <c r="E27" s="13">
        <v>42730.226678240739</v>
      </c>
      <c r="F27" s="13">
        <v>42730.229456018518</v>
      </c>
      <c r="G27" s="7">
        <v>1</v>
      </c>
      <c r="H27" s="22" t="s">
        <v>279</v>
      </c>
      <c r="I27" s="13">
        <v>42730.254583333335</v>
      </c>
      <c r="J27" s="7">
        <v>0</v>
      </c>
      <c r="K27" s="109" t="str">
        <f t="shared" si="0"/>
        <v>4031/4032</v>
      </c>
      <c r="L27" s="22" t="str">
        <f>VLOOKUP(A27,'Trips&amp;Operators'!$C$1:$G$99999,5,FALSE)</f>
        <v>ROBINSON KADDIBA</v>
      </c>
      <c r="M27" s="6">
        <f t="shared" si="1"/>
        <v>2.5127314816927537E-2</v>
      </c>
      <c r="N27" s="7">
        <f t="shared" si="2"/>
        <v>36.183333336375654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04:26:25-700',mode:absolute,to:'2016-12-26 07:06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7" s="52" t="str">
        <f t="shared" si="6"/>
        <v>N</v>
      </c>
      <c r="X27" s="177">
        <f>VALUE(LEFT(AD27,4))-VALUE(LEFT(AD26,4))</f>
        <v>1</v>
      </c>
      <c r="Y27" s="67">
        <f t="shared" si="8"/>
        <v>7.5200000000000003E-2</v>
      </c>
      <c r="Z27" s="67">
        <f t="shared" si="9"/>
        <v>23.329899999999999</v>
      </c>
      <c r="AA27" s="67">
        <f t="shared" si="10"/>
        <v>23.2547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0115-26</v>
      </c>
      <c r="AE27" s="91" t="str">
        <f t="shared" si="12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27" s="88" t="str">
        <f t="shared" si="13"/>
        <v>"C:\Program Files (x86)\AstroGrep\AstroGrep.exe" /spath="%USERPROFILE%\AppData\Local\Temp\OnboardLogs" /stypes="app*4031*20161226*"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115-26 --locoid 4031 --swversion DE.1.0.8.0 --startMP 204:752 --initTime 2016-12-26T05:26:25 --startdatetime 2016-12-26T05:30:25 --delay 1 --endMP 204:233299 --enddatetime 2016-12-26T06:06:36 --enforcementcount 0 &gt;&gt;C:\Users\stu\Documents\GitHub\eaglep3-reporting\EC\2016-12-26-refined-times.txt</v>
      </c>
      <c r="AI27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{"issue":{"subject":"","project_id":79,"tracker_id":40,"status_id":1,"priority_id":2,"assigned_to_id":23,"start_date":"2016-12-26","description":"","custom_fields":[{"id":1,"name":"Subdivision","value":"EC"},{"id":4,"name":"Milepost","value":"23.3299"},{"id":17,"name":"Train ID","value":"115-26"},{"id":16,"name":"Locomotive ID","value":"4031"},{"id":130,"name":"Impact","value":""},{"id":150,"name":"Time of Event (Mountain Time)","value":"06:06:36"},{"id":151,"name":"Denver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484</v>
      </c>
      <c r="B28" s="7">
        <v>4032</v>
      </c>
      <c r="C28" s="22" t="s">
        <v>205</v>
      </c>
      <c r="D28" s="22" t="s">
        <v>320</v>
      </c>
      <c r="E28" s="13">
        <v>42730.26290509259</v>
      </c>
      <c r="F28" s="13">
        <v>42730.268229166664</v>
      </c>
      <c r="G28" s="7">
        <v>1</v>
      </c>
      <c r="H28" s="22" t="s">
        <v>191</v>
      </c>
      <c r="I28" s="13">
        <v>42730.298437500001</v>
      </c>
      <c r="J28" s="7">
        <v>0</v>
      </c>
      <c r="K28" s="109" t="str">
        <f t="shared" si="0"/>
        <v>4031/4032</v>
      </c>
      <c r="L28" s="22" t="str">
        <f>VLOOKUP(A28,'Trips&amp;Operators'!$C$1:$G$99999,5,FALSE)</f>
        <v>ROBINSON KADDIBA</v>
      </c>
      <c r="M28" s="6">
        <f t="shared" si="1"/>
        <v>3.0208333337213844E-2</v>
      </c>
      <c r="N28" s="7">
        <f t="shared" si="2"/>
        <v>43.500000005587935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05:18:35-700',mode:absolute,to:'2016-12-26 08:09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8" s="52" t="str">
        <f t="shared" si="6"/>
        <v>N</v>
      </c>
      <c r="X28" s="177">
        <f>VALUE(LEFT(AD28,4))-VALUE(LEFT(AD27,4))</f>
        <v>1</v>
      </c>
      <c r="Y28" s="67">
        <f t="shared" si="8"/>
        <v>23.296900000000001</v>
      </c>
      <c r="Z28" s="67">
        <f t="shared" si="9"/>
        <v>1.49E-2</v>
      </c>
      <c r="AA28" s="67">
        <f t="shared" si="10"/>
        <v>23.282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0116-26</v>
      </c>
      <c r="AE28" s="91" t="str">
        <f t="shared" si="12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28" s="88" t="str">
        <f t="shared" si="13"/>
        <v>"C:\Program Files (x86)\AstroGrep\AstroGrep.exe" /spath="%USERPROFILE%\AppData\Local\Temp\OnboardLogs" /stypes="app*4032*20161226*"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116-26 --locoid 4032 --swversion DE.1.0.8.0 --startMP 204:232969 --initTime 2016-12-26T06:18:35 --startdatetime 2016-12-26T06:26:15 --delay 1 --endMP 204:149 --enddatetime 2016-12-26T07:09:45 --enforcementcount 0 &gt;&gt;C:\Users\stu\Documents\GitHub\eaglep3-reporting\EC\2016-12-26-refined-times.txt</v>
      </c>
      <c r="AI28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{"issue":{"subject":"","project_id":79,"tracker_id":40,"status_id":1,"priority_id":2,"assigned_to_id":23,"start_date":"2016-12-26","description":"","custom_fields":[{"id":1,"name":"Subdivision","value":"EC"},{"id":4,"name":"Milepost","value":"0.0149"},{"id":17,"name":"Train ID","value":"116-26"},{"id":16,"name":"Locomotive ID","value":"4032"},{"id":130,"name":"Impact","value":""},{"id":150,"name":"Time of Event (Mountain Time)","value":"07:09:45"},{"id":151,"name":"Denver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475</v>
      </c>
      <c r="B29" s="7">
        <v>4027</v>
      </c>
      <c r="C29" s="22" t="s">
        <v>205</v>
      </c>
      <c r="D29" s="22" t="s">
        <v>228</v>
      </c>
      <c r="E29" s="13">
        <v>42730.226631944446</v>
      </c>
      <c r="F29" s="13">
        <v>42730.239861111113</v>
      </c>
      <c r="G29" s="7">
        <v>1</v>
      </c>
      <c r="H29" s="22" t="s">
        <v>374</v>
      </c>
      <c r="I29" s="13">
        <v>42730.264768518522</v>
      </c>
      <c r="J29" s="7">
        <v>0</v>
      </c>
      <c r="K29" s="109" t="str">
        <f t="shared" si="0"/>
        <v>4027/4028</v>
      </c>
      <c r="L29" s="22" t="str">
        <f>VLOOKUP(A29,'Trips&amp;Operators'!$C$1:$G$99999,5,FALSE)</f>
        <v>MAGEE KENYA</v>
      </c>
      <c r="M29" s="6">
        <f t="shared" si="1"/>
        <v>2.4907407409045845E-2</v>
      </c>
      <c r="N29" s="7">
        <f t="shared" si="2"/>
        <v>35.866666669026017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04:26:21-700',mode:absolute,to:'2016-12-26 07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9" s="52" t="str">
        <f t="shared" si="6"/>
        <v>N</v>
      </c>
      <c r="X29" s="177">
        <f>VALUE(LEFT(AD29,4))-VALUE(LEFT(AD28,4))</f>
        <v>1</v>
      </c>
      <c r="Y29" s="67">
        <f t="shared" si="8"/>
        <v>4.5499999999999999E-2</v>
      </c>
      <c r="Z29" s="67">
        <f t="shared" si="9"/>
        <v>23.331700000000001</v>
      </c>
      <c r="AA29" s="67">
        <f t="shared" si="10"/>
        <v>23.286200000000001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0117-26</v>
      </c>
      <c r="AE29" s="91" t="str">
        <f t="shared" si="12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29" s="88" t="str">
        <f t="shared" si="13"/>
        <v>"C:\Program Files (x86)\AstroGrep\AstroGrep.exe" /spath="%USERPROFILE%\AppData\Local\Temp\OnboardLogs" /stypes="app*4027*20161226*"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117-26 --locoid 4027 --swversion DE.1.0.8.0 --startMP 204:455 --initTime 2016-12-26T05:26:21 --startdatetime 2016-12-26T05:45:24 --delay 1 --endMP 204:233317 --enddatetime 2016-12-26T06:21:16 --enforcementcount 0 &gt;&gt;C:\Users\stu\Documents\GitHub\eaglep3-reporting\EC\2016-12-26-refined-times.txt</v>
      </c>
      <c r="AI29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{"issue":{"subject":"","project_id":79,"tracker_id":40,"status_id":1,"priority_id":2,"assigned_to_id":23,"start_date":"2016-12-26","description":"","custom_fields":[{"id":1,"name":"Subdivision","value":"EC"},{"id":4,"name":"Milepost","value":"23.3317"},{"id":17,"name":"Train ID","value":"117-26"},{"id":16,"name":"Locomotive ID","value":"4027"},{"id":130,"name":"Impact","value":""},{"id":150,"name":"Time of Event (Mountain Time)","value":"06:21:16"},{"id":151,"name":"Denver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425</v>
      </c>
      <c r="B30" s="7">
        <v>4028</v>
      </c>
      <c r="C30" s="22" t="s">
        <v>205</v>
      </c>
      <c r="D30" s="22" t="s">
        <v>400</v>
      </c>
      <c r="E30" s="13">
        <v>42730.274282407408</v>
      </c>
      <c r="F30" s="13">
        <v>42730.278958333336</v>
      </c>
      <c r="G30" s="7">
        <v>1</v>
      </c>
      <c r="H30" s="22" t="s">
        <v>318</v>
      </c>
      <c r="I30" s="13">
        <v>42730.306516203702</v>
      </c>
      <c r="J30" s="7">
        <v>0</v>
      </c>
      <c r="K30" s="109" t="str">
        <f t="shared" si="0"/>
        <v>4027/4028</v>
      </c>
      <c r="L30" s="22" t="str">
        <f>VLOOKUP(A30,'Trips&amp;Operators'!$C$1:$G$99999,5,FALSE)</f>
        <v>MAGEE KENYA</v>
      </c>
      <c r="M30" s="6">
        <f t="shared" si="1"/>
        <v>2.7557870365853887E-2</v>
      </c>
      <c r="N30" s="7">
        <f t="shared" si="2"/>
        <v>39.683333326829597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05:34:58-700',mode:absolute,to:'2016-12-26 08:21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0" s="52" t="str">
        <f t="shared" si="6"/>
        <v>N</v>
      </c>
      <c r="X30" s="177">
        <f t="shared" ref="X30:X35" si="20">VALUE(LEFT(AD30,4))-VALUE(LEFT(AD29,4))</f>
        <v>1</v>
      </c>
      <c r="Y30" s="67">
        <f t="shared" si="8"/>
        <v>23.299600000000002</v>
      </c>
      <c r="Z30" s="67">
        <f t="shared" si="9"/>
        <v>1.52E-2</v>
      </c>
      <c r="AA30" s="67">
        <f t="shared" si="10"/>
        <v>23.284400000000002</v>
      </c>
      <c r="AB30" s="64" t="str">
        <f>VLOOKUP(A30,Enforcements!$C$7:$K$19,8,0)</f>
        <v>Bulletin (2)</v>
      </c>
      <c r="AC30" s="60" t="str">
        <f>VLOOKUP(A30,Enforcements!$C$7:$E$19,3,0)</f>
        <v>GRADE CROSSING</v>
      </c>
      <c r="AD30" s="61" t="str">
        <f t="shared" si="11"/>
        <v>0118-26</v>
      </c>
      <c r="AE30" s="91" t="str">
        <f t="shared" si="12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30" s="88" t="str">
        <f t="shared" si="13"/>
        <v>"C:\Program Files (x86)\AstroGrep\AstroGrep.exe" /spath="%USERPROFILE%\AppData\Local\Temp\OnboardLogs" /stypes="app*4028*20161226*"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118-26 --locoid 4028 --swversion DE.1.0.8.0 --startMP 204:232996 --initTime 2016-12-26T06:34:58 --startdatetime 2016-12-26T06:41:42 --delay 1 --endMP 204:152 --enddatetime 2016-12-26T07:21:23 --enforcementcount 0 &gt;&gt;C:\Users\stu\Documents\GitHub\eaglep3-reporting\EC\2016-12-26-refined-times.txt</v>
      </c>
      <c r="AI30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ID","value":"118-26"},{"id":16,"name":"Locomotive ID","value":"4028"},{"id":130,"name":"Impact","value":""},{"id":150,"name":"Time of Event (Mountain Time)","value":"07:21:23"},{"id":151,"name":"Denver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477</v>
      </c>
      <c r="B31" s="7">
        <v>4025</v>
      </c>
      <c r="C31" s="22" t="s">
        <v>205</v>
      </c>
      <c r="D31" s="22" t="s">
        <v>663</v>
      </c>
      <c r="E31" s="13">
        <v>42730.25439814815</v>
      </c>
      <c r="F31" s="13">
        <v>42730.255624999998</v>
      </c>
      <c r="G31" s="7">
        <v>1</v>
      </c>
      <c r="H31" s="22" t="s">
        <v>336</v>
      </c>
      <c r="I31" s="13">
        <v>42730.281909722224</v>
      </c>
      <c r="J31" s="7">
        <v>0</v>
      </c>
      <c r="K31" s="109" t="str">
        <f t="shared" si="0"/>
        <v>4025/4026</v>
      </c>
      <c r="L31" s="22" t="str">
        <f>VLOOKUP(A31,'Trips&amp;Operators'!$C$1:$G$99999,5,FALSE)</f>
        <v>STARKS ANGELINA</v>
      </c>
      <c r="M31" s="6">
        <f t="shared" si="1"/>
        <v>2.6284722225682344E-2</v>
      </c>
      <c r="N31" s="7">
        <f t="shared" si="2"/>
        <v>37.850000004982576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05:06:20-700',mode:absolute,to:'2016-12-26 07:45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1" s="52" t="str">
        <f t="shared" si="6"/>
        <v>N</v>
      </c>
      <c r="X31" s="177">
        <f t="shared" si="20"/>
        <v>1</v>
      </c>
      <c r="Y31" s="67">
        <f t="shared" si="8"/>
        <v>7.6300000000000007E-2</v>
      </c>
      <c r="Z31" s="67">
        <f t="shared" si="9"/>
        <v>23.330300000000001</v>
      </c>
      <c r="AA31" s="67">
        <f t="shared" si="10"/>
        <v>23.254000000000001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0119-26</v>
      </c>
      <c r="AE31" s="91" t="str">
        <f t="shared" si="12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31" s="88" t="str">
        <f t="shared" si="13"/>
        <v>"C:\Program Files (x86)\AstroGrep\AstroGrep.exe" /spath="%USERPROFILE%\AppData\Local\Temp\OnboardLogs" /stypes="app*4025*20161226*"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119-26 --locoid 4025 --swversion DE.1.0.8.0 --startMP 204:763 --initTime 2016-12-26T06:06:20 --startdatetime 2016-12-26T06:08:06 --delay 1 --endMP 204:233303 --enddatetime 2016-12-26T06:45:57 --enforcementcount 0 &gt;&gt;C:\Users\stu\Documents\GitHub\eaglep3-reporting\EC\2016-12-26-refined-times.txt</v>
      </c>
      <c r="AI31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{"issue":{"subject":"","project_id":79,"tracker_id":40,"status_id":1,"priority_id":2,"assigned_to_id":23,"start_date":"2016-12-26","description":"","custom_fields":[{"id":1,"name":"Subdivision","value":"EC"},{"id":4,"name":"Milepost","value":"23.3303"},{"id":17,"name":"Train ID","value":"119-26"},{"id":16,"name":"Locomotive ID","value":"4025"},{"id":130,"name":"Impact","value":""},{"id":150,"name":"Time of Event (Mountain Time)","value":"06:45:57"},{"id":151,"name":"Denver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421</v>
      </c>
      <c r="B32" s="7">
        <v>4026</v>
      </c>
      <c r="C32" s="22" t="s">
        <v>205</v>
      </c>
      <c r="D32" s="22" t="s">
        <v>287</v>
      </c>
      <c r="E32" s="13">
        <v>42730.286712962959</v>
      </c>
      <c r="F32" s="13">
        <v>42730.289050925923</v>
      </c>
      <c r="G32" s="7">
        <v>1</v>
      </c>
      <c r="H32" s="22" t="s">
        <v>267</v>
      </c>
      <c r="I32" s="13">
        <v>42730.316863425927</v>
      </c>
      <c r="J32" s="7">
        <v>0</v>
      </c>
      <c r="K32" s="109" t="str">
        <f t="shared" si="0"/>
        <v>4025/4026</v>
      </c>
      <c r="L32" s="22" t="str">
        <f>VLOOKUP(A32,'Trips&amp;Operators'!$C$1:$G$99999,5,FALSE)</f>
        <v>STARKS ANGELINA</v>
      </c>
      <c r="M32" s="6">
        <f t="shared" si="1"/>
        <v>2.7812500004074536E-2</v>
      </c>
      <c r="N32" s="7">
        <f t="shared" si="2"/>
        <v>40.050000005867332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05:52:52-700',mode:absolute,to:'2016-12-26 08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2" s="52" t="str">
        <f t="shared" si="6"/>
        <v>N</v>
      </c>
      <c r="X32" s="177">
        <f t="shared" si="20"/>
        <v>1</v>
      </c>
      <c r="Y32" s="67">
        <f t="shared" si="8"/>
        <v>23.2973</v>
      </c>
      <c r="Z32" s="67">
        <f t="shared" si="9"/>
        <v>1.6E-2</v>
      </c>
      <c r="AA32" s="67">
        <f t="shared" si="10"/>
        <v>23.281300000000002</v>
      </c>
      <c r="AB32" s="64" t="str">
        <f>VLOOKUP(A32,Enforcements!$C$7:$K$19,8,0)</f>
        <v>Track device (7)</v>
      </c>
      <c r="AC32" s="60" t="str">
        <f>VLOOKUP(A32,Enforcements!$C$7:$E$19,3,0)</f>
        <v>SWITCH UNKNOWN</v>
      </c>
      <c r="AD32" s="61" t="str">
        <f t="shared" si="11"/>
        <v>0120-26</v>
      </c>
      <c r="AE32" s="91" t="str">
        <f t="shared" si="12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32" s="88" t="str">
        <f t="shared" si="13"/>
        <v>"C:\Program Files (x86)\AstroGrep\AstroGrep.exe" /spath="%USERPROFILE%\AppData\Local\Temp\OnboardLogs" /stypes="app*4026*20161226*"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120-26 --locoid 4026 --swversion DE.1.0.8.0 --startMP 204:232973 --initTime 2016-12-26T06:52:52 --startdatetime 2016-12-26T06:56:14 --delay 1 --endMP 204:160 --enddatetime 2016-12-26T07:36:17 --enforcementcount 0 &gt;&gt;C:\Users\stu\Documents\GitHub\eaglep3-reporting\EC\2016-12-26-refined-times.txt</v>
      </c>
      <c r="AI32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{"issue":{"subject":"","project_id":79,"tracker_id":40,"status_id":1,"priority_id":2,"assigned_to_id":23,"start_date":"2016-12-26","description":"","custom_fields":[{"id":1,"name":"Subdivision","value":"EC"},{"id":4,"name":"Milepost","value":"0.016"},{"id":17,"name":"Train ID","value":"120-26"},{"id":16,"name":"Locomotive ID","value":"4026"},{"id":130,"name":"Impact","value":""},{"id":150,"name":"Time of Event (Mountain Time)","value":"07:36:17"},{"id":151,"name":"Denver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482</v>
      </c>
      <c r="B33" s="7">
        <v>4046</v>
      </c>
      <c r="C33" s="22" t="s">
        <v>205</v>
      </c>
      <c r="D33" s="22" t="s">
        <v>664</v>
      </c>
      <c r="E33" s="13">
        <v>42730.257662037038</v>
      </c>
      <c r="F33" s="13">
        <v>42730.260821759257</v>
      </c>
      <c r="G33" s="7">
        <v>1</v>
      </c>
      <c r="H33" s="22" t="s">
        <v>312</v>
      </c>
      <c r="I33" s="13">
        <v>42730.292256944442</v>
      </c>
      <c r="J33" s="7">
        <v>0</v>
      </c>
      <c r="K33" s="109" t="str">
        <f t="shared" si="0"/>
        <v>4045/4046</v>
      </c>
      <c r="L33" s="22" t="str">
        <f>VLOOKUP(A33,'Trips&amp;Operators'!$C$1:$G$99999,5,FALSE)</f>
        <v>DUNCAN SHEILA</v>
      </c>
      <c r="M33" s="6">
        <f t="shared" si="1"/>
        <v>3.1435185184818693E-2</v>
      </c>
      <c r="N33" s="7">
        <f t="shared" si="2"/>
        <v>45.266666666138917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05:11:02-700',mode:absolute,to:'2016-12-26 08:00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3" s="52" t="str">
        <f t="shared" si="6"/>
        <v>N</v>
      </c>
      <c r="X33" s="177">
        <f t="shared" si="20"/>
        <v>1</v>
      </c>
      <c r="Y33" s="67">
        <f t="shared" si="8"/>
        <v>4.82E-2</v>
      </c>
      <c r="Z33" s="67">
        <f t="shared" si="9"/>
        <v>23.329699999999999</v>
      </c>
      <c r="AA33" s="67">
        <f t="shared" si="10"/>
        <v>23.281499999999998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0121-26</v>
      </c>
      <c r="AE33" s="91" t="str">
        <f t="shared" si="12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33" s="88" t="str">
        <f t="shared" si="13"/>
        <v>"C:\Program Files (x86)\AstroGrep\AstroGrep.exe" /spath="%USERPROFILE%\AppData\Local\Temp\OnboardLogs" /stypes="app*4046*20161226*"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121-26 --locoid 4046 --swversion DE.1.0.8.0 --startMP 204:482 --initTime 2016-12-26T06:11:02 --startdatetime 2016-12-26T06:15:35 --delay 1 --endMP 204:233297 --enddatetime 2016-12-26T07:00:51 --enforcementcount 0 &gt;&gt;C:\Users\stu\Documents\GitHub\eaglep3-reporting\EC\2016-12-26-refined-times.txt</v>
      </c>
      <c r="AI33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ID","value":"121-26"},{"id":16,"name":"Locomotive ID","value":"4046"},{"id":130,"name":"Impact","value":""},{"id":150,"name":"Time of Event (Mountain Time)","value":"07:00:51"},{"id":151,"name":"Denver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489</v>
      </c>
      <c r="B34" s="7">
        <v>4045</v>
      </c>
      <c r="C34" s="22" t="s">
        <v>205</v>
      </c>
      <c r="D34" s="22" t="s">
        <v>398</v>
      </c>
      <c r="E34" s="13">
        <v>42730.296805555554</v>
      </c>
      <c r="F34" s="13">
        <v>42730.300208333334</v>
      </c>
      <c r="G34" s="7">
        <v>3</v>
      </c>
      <c r="H34" s="22" t="s">
        <v>318</v>
      </c>
      <c r="I34" s="13">
        <v>42730.326909722222</v>
      </c>
      <c r="J34" s="7">
        <v>0</v>
      </c>
      <c r="K34" s="109" t="str">
        <f t="shared" si="0"/>
        <v>4045/4046</v>
      </c>
      <c r="L34" s="22" t="str">
        <f>VLOOKUP(A34,'Trips&amp;Operators'!$C$1:$G$99999,5,FALSE)</f>
        <v>DUNCAN SHEILA</v>
      </c>
      <c r="M34" s="6">
        <f t="shared" si="1"/>
        <v>2.6701388887886424E-2</v>
      </c>
      <c r="N34" s="7">
        <f t="shared" si="2"/>
        <v>38.44999999855645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06:07:24-700',mode:absolute,to:'2016-12-26 08:50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4" s="52" t="str">
        <f t="shared" si="6"/>
        <v>N</v>
      </c>
      <c r="X34" s="177">
        <f t="shared" si="20"/>
        <v>1</v>
      </c>
      <c r="Y34" s="67">
        <f t="shared" si="8"/>
        <v>23.2989</v>
      </c>
      <c r="Z34" s="67">
        <f t="shared" si="9"/>
        <v>1.52E-2</v>
      </c>
      <c r="AA34" s="67">
        <f t="shared" si="10"/>
        <v>23.2837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0122-26</v>
      </c>
      <c r="AE34" s="91" t="str">
        <f t="shared" si="12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34" s="88" t="str">
        <f t="shared" si="13"/>
        <v>"C:\Program Files (x86)\AstroGrep\AstroGrep.exe" /spath="%USERPROFILE%\AppData\Local\Temp\OnboardLogs" /stypes="app*4045*20161226*"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122-26 --locoid 4045 --swversion DE.1.0.8.0 --startMP 204:232989 --initTime 2016-12-26T07:07:24 --startdatetime 2016-12-26T07:12:18 --delay 3 --endMP 204:152 --enddatetime 2016-12-26T07:50:45 --enforcementcount 0 &gt;&gt;C:\Users\stu\Documents\GitHub\eaglep3-reporting\EC\2016-12-26-refined-times.txt</v>
      </c>
      <c r="AI34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ID","value":"122-26"},{"id":16,"name":"Locomotive ID","value":"4045"},{"id":130,"name":"Impact","value":""},{"id":150,"name":"Time of Event (Mountain Time)","value":"07:50:45"},{"id":151,"name":"Denver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485</v>
      </c>
      <c r="B35" s="7">
        <v>4051</v>
      </c>
      <c r="C35" s="22" t="s">
        <v>205</v>
      </c>
      <c r="D35" s="22" t="s">
        <v>268</v>
      </c>
      <c r="E35" s="13">
        <v>42730.267314814817</v>
      </c>
      <c r="F35" s="13">
        <v>42730.271111111113</v>
      </c>
      <c r="G35" s="7">
        <v>1</v>
      </c>
      <c r="H35" s="22" t="s">
        <v>665</v>
      </c>
      <c r="I35" s="13">
        <v>42730.296493055554</v>
      </c>
      <c r="J35" s="7">
        <v>0</v>
      </c>
      <c r="K35" s="109" t="str">
        <f t="shared" si="0"/>
        <v>4051/4052</v>
      </c>
      <c r="L35" s="22" t="str">
        <f>VLOOKUP(A35,'Trips&amp;Operators'!$C$1:$G$99999,5,FALSE)</f>
        <v>SHOOK JOHN</v>
      </c>
      <c r="M35" s="6">
        <f t="shared" si="1"/>
        <v>2.5381944440596271E-2</v>
      </c>
      <c r="N35" s="7">
        <f t="shared" si="2"/>
        <v>36.549999994458631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05:24:56-700',mode:absolute,to:'2016-12-26 08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35" s="52" t="str">
        <f t="shared" si="6"/>
        <v>N</v>
      </c>
      <c r="X35" s="177">
        <f t="shared" si="20"/>
        <v>1</v>
      </c>
      <c r="Y35" s="67">
        <f t="shared" si="8"/>
        <v>4.6199999999999998E-2</v>
      </c>
      <c r="Z35" s="67">
        <f t="shared" si="9"/>
        <v>23.331600000000002</v>
      </c>
      <c r="AA35" s="67">
        <f t="shared" si="10"/>
        <v>23.285400000000003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0123-26</v>
      </c>
      <c r="AE35" s="91" t="str">
        <f t="shared" si="12"/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35" s="88" t="str">
        <f t="shared" si="13"/>
        <v>"C:\Program Files (x86)\AstroGrep\AstroGrep.exe" /spath="%USERPROFILE%\AppData\Local\Temp\OnboardLogs" /stypes="app*4051*20161226*"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123-26 --locoid 4051 --swversion DE.1.0.8.0 --startMP 204:462 --initTime 2016-12-26T06:24:56 --startdatetime 2016-12-26T06:30:24 --delay 1 --endMP 204:233316 --enddatetime 2016-12-26T07:06:57 --enforcementcount 0 &gt;&gt;C:\Users\stu\Documents\GitHub\eaglep3-reporting\EC\2016-12-26-refined-times.txt</v>
      </c>
      <c r="AI35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{"issue":{"subject":"","project_id":79,"tracker_id":40,"status_id":1,"priority_id":2,"assigned_to_id":23,"start_date":"2016-12-26","description":"","custom_fields":[{"id":1,"name":"Subdivision","value":"EC"},{"id":4,"name":"Milepost","value":"23.3316"},{"id":17,"name":"Train ID","value":"123-26"},{"id":16,"name":"Locomotive ID","value":"4051"},{"id":130,"name":"Impact","value":""},{"id":150,"name":"Time of Event (Mountain Time)","value":"07:06:57"},{"id":151,"name":"Denver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490</v>
      </c>
      <c r="B36" s="7">
        <v>4052</v>
      </c>
      <c r="C36" s="22" t="s">
        <v>205</v>
      </c>
      <c r="D36" s="22" t="s">
        <v>276</v>
      </c>
      <c r="E36" s="13">
        <v>42730.298321759263</v>
      </c>
      <c r="F36" s="13">
        <v>42730.309918981482</v>
      </c>
      <c r="G36" s="7">
        <v>1</v>
      </c>
      <c r="H36" s="22" t="s">
        <v>224</v>
      </c>
      <c r="I36" s="13">
        <v>42730.336736111109</v>
      </c>
      <c r="J36" s="7">
        <v>0</v>
      </c>
      <c r="K36" s="109" t="str">
        <f t="shared" si="0"/>
        <v>4051/4052</v>
      </c>
      <c r="L36" s="22" t="str">
        <f>VLOOKUP(A36,'Trips&amp;Operators'!$C$1:$G$99999,5,FALSE)</f>
        <v>SHOOK JOHN</v>
      </c>
      <c r="M36" s="6">
        <f t="shared" si="1"/>
        <v>2.6817129626579117E-2</v>
      </c>
      <c r="N36" s="7">
        <f t="shared" si="2"/>
        <v>38.616666662273929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06:09:35-700',mode:absolute,to:'2016-12-26 09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36" s="52" t="str">
        <f t="shared" si="6"/>
        <v>N</v>
      </c>
      <c r="X36" s="177">
        <f t="shared" ref="X36:X74" si="21">VALUE(LEFT(AD36,4))-VALUE(LEFT(AD35,4))</f>
        <v>1</v>
      </c>
      <c r="Y36" s="67">
        <f t="shared" si="8"/>
        <v>23.3</v>
      </c>
      <c r="Z36" s="67">
        <f t="shared" si="9"/>
        <v>1.54E-2</v>
      </c>
      <c r="AA36" s="67">
        <f t="shared" si="10"/>
        <v>23.284600000000001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0124-26</v>
      </c>
      <c r="AE36" s="91" t="str">
        <f t="shared" si="12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36" s="88" t="str">
        <f t="shared" si="13"/>
        <v>"C:\Program Files (x86)\AstroGrep\AstroGrep.exe" /spath="%USERPROFILE%\AppData\Local\Temp\OnboardLogs" /stypes="app*4052*20161226*"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124-26 --locoid 4052 --swversion DE.1.0.8.0 --startMP 204:233000 --initTime 2016-12-26T07:09:35 --startdatetime 2016-12-26T07:26:17 --delay 1 --endMP 204:154 --enddatetime 2016-12-26T08:04:54 --enforcementcount 0 &gt;&gt;C:\Users\stu\Documents\GitHub\eaglep3-reporting\EC\2016-12-26-refined-times.txt</v>
      </c>
      <c r="AI36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{"issue":{"subject":"","project_id":79,"tracker_id":40,"status_id":1,"priority_id":2,"assigned_to_id":23,"start_date":"2016-12-26","description":"","custom_fields":[{"id":1,"name":"Subdivision","value":"EC"},{"id":4,"name":"Milepost","value":"0.0154"},{"id":17,"name":"Train ID","value":"124-26"},{"id":16,"name":"Locomotive ID","value":"4052"},{"id":130,"name":"Impact","value":""},{"id":150,"name":"Time of Event (Mountain Time)","value":"08:04:54"},{"id":151,"name":"Denver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486</v>
      </c>
      <c r="B37" s="7">
        <v>4044</v>
      </c>
      <c r="C37" s="22" t="s">
        <v>205</v>
      </c>
      <c r="D37" s="22" t="s">
        <v>241</v>
      </c>
      <c r="E37" s="13">
        <v>42730.274675925924</v>
      </c>
      <c r="F37" s="13">
        <v>42730.28162037037</v>
      </c>
      <c r="G37" s="7">
        <v>1</v>
      </c>
      <c r="H37" s="22" t="s">
        <v>317</v>
      </c>
      <c r="I37" s="13">
        <v>42730.305532407408</v>
      </c>
      <c r="J37" s="7">
        <v>0</v>
      </c>
      <c r="K37" s="109" t="str">
        <f t="shared" si="0"/>
        <v>4043/4044</v>
      </c>
      <c r="L37" s="22" t="str">
        <f>VLOOKUP(A37,'Trips&amp;Operators'!$C$1:$G$99999,5,FALSE)</f>
        <v>YANG JAN</v>
      </c>
      <c r="M37" s="6">
        <f t="shared" si="1"/>
        <v>2.3912037038826384E-2</v>
      </c>
      <c r="N37" s="7">
        <f t="shared" si="2"/>
        <v>34.433333335909992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05:35:32-700',mode:absolute,to:'2016-12-26 08:19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7" s="52" t="str">
        <f t="shared" si="6"/>
        <v>N</v>
      </c>
      <c r="X37" s="177">
        <f t="shared" si="21"/>
        <v>1</v>
      </c>
      <c r="Y37" s="67">
        <f t="shared" si="8"/>
        <v>4.58E-2</v>
      </c>
      <c r="Z37" s="67">
        <f t="shared" si="9"/>
        <v>23.33</v>
      </c>
      <c r="AA37" s="67">
        <f t="shared" si="10"/>
        <v>23.284199999999998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0125-26</v>
      </c>
      <c r="AE37" s="91" t="str">
        <f t="shared" si="12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37" s="88" t="str">
        <f t="shared" si="13"/>
        <v>"C:\Program Files (x86)\AstroGrep\AstroGrep.exe" /spath="%USERPROFILE%\AppData\Local\Temp\OnboardLogs" /stypes="app*4044*20161226*"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125-26 --locoid 4044 --swversion DE.1.0.8.0 --startMP 204:458 --initTime 2016-12-26T06:35:32 --startdatetime 2016-12-26T06:45:32 --delay 1 --endMP 204:233300 --enddatetime 2016-12-26T07:19:58 --enforcementcount 0 &gt;&gt;C:\Users\stu\Documents\GitHub\eaglep3-reporting\EC\2016-12-26-refined-times.txt</v>
      </c>
      <c r="AI37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{"issue":{"subject":"","project_id":79,"tracker_id":40,"status_id":1,"priority_id":2,"assigned_to_id":23,"start_date":"2016-12-26","description":"","custom_fields":[{"id":1,"name":"Subdivision","value":"EC"},{"id":4,"name":"Milepost","value":"23.33"},{"id":17,"name":"Train ID","value":"125-26"},{"id":16,"name":"Locomotive ID","value":"4044"},{"id":130,"name":"Impact","value":""},{"id":150,"name":"Time of Event (Mountain Time)","value":"07:19:58"},{"id":151,"name":"Denver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428</v>
      </c>
      <c r="B38" s="7">
        <v>4043</v>
      </c>
      <c r="C38" s="22" t="s">
        <v>205</v>
      </c>
      <c r="D38" s="22" t="s">
        <v>400</v>
      </c>
      <c r="E38" s="13">
        <v>42730.307546296295</v>
      </c>
      <c r="F38" s="13">
        <v>42730.320520833331</v>
      </c>
      <c r="G38" s="7">
        <v>1</v>
      </c>
      <c r="H38" s="22" t="s">
        <v>224</v>
      </c>
      <c r="I38" s="13">
        <v>42730.347627314812</v>
      </c>
      <c r="J38" s="7">
        <v>0</v>
      </c>
      <c r="K38" s="109" t="str">
        <f t="shared" si="0"/>
        <v>4043/4044</v>
      </c>
      <c r="L38" s="22" t="str">
        <f>VLOOKUP(A38,'Trips&amp;Operators'!$C$1:$G$99999,5,FALSE)</f>
        <v>YANG JAN</v>
      </c>
      <c r="M38" s="6">
        <f t="shared" si="1"/>
        <v>2.7106481480586808E-2</v>
      </c>
      <c r="N38" s="7">
        <f t="shared" si="2"/>
        <v>39.033333332045004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06:22:52-700',mode:absolute,to:'2016-12-26 09:20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8" s="52" t="str">
        <f t="shared" si="6"/>
        <v>N</v>
      </c>
      <c r="X38" s="177">
        <f t="shared" si="21"/>
        <v>1</v>
      </c>
      <c r="Y38" s="67">
        <f t="shared" si="8"/>
        <v>23.299600000000002</v>
      </c>
      <c r="Z38" s="67">
        <f t="shared" si="9"/>
        <v>1.54E-2</v>
      </c>
      <c r="AA38" s="67">
        <f t="shared" si="10"/>
        <v>23.284200000000002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0126-26</v>
      </c>
      <c r="AE38" s="91" t="str">
        <f t="shared" si="12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38" s="88" t="str">
        <f t="shared" si="13"/>
        <v>"C:\Program Files (x86)\AstroGrep\AstroGrep.exe" /spath="%USERPROFILE%\AppData\Local\Temp\OnboardLogs" /stypes="app*4043*20161226*"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126-26 --locoid 4043 --swversion DE.1.0.8.0 --startMP 204:232996 --initTime 2016-12-26T07:22:52 --startdatetime 2016-12-26T07:41:33 --delay 1 --endMP 204:154 --enddatetime 2016-12-26T08:20:35 --enforcementcount 0 &gt;&gt;C:\Users\stu\Documents\GitHub\eaglep3-reporting\EC\2016-12-26-refined-times.txt</v>
      </c>
      <c r="AI38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{"issue":{"subject":"","project_id":79,"tracker_id":40,"status_id":1,"priority_id":2,"assigned_to_id":23,"start_date":"2016-12-26","description":"","custom_fields":[{"id":1,"name":"Subdivision","value":"EC"},{"id":4,"name":"Milepost","value":"0.0154"},{"id":17,"name":"Train ID","value":"126-26"},{"id":16,"name":"Locomotive ID","value":"4043"},{"id":130,"name":"Impact","value":""},{"id":150,"name":"Time of Event (Mountain Time)","value":"08:20:35"},{"id":151,"name":"Denver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488</v>
      </c>
      <c r="B39" s="7">
        <v>4029</v>
      </c>
      <c r="C39" s="22" t="s">
        <v>205</v>
      </c>
      <c r="D39" s="22" t="s">
        <v>228</v>
      </c>
      <c r="E39" s="13">
        <v>42730.287002314813</v>
      </c>
      <c r="F39" s="13">
        <v>42730.291886574072</v>
      </c>
      <c r="G39" s="7">
        <v>1</v>
      </c>
      <c r="H39" s="22" t="s">
        <v>315</v>
      </c>
      <c r="I39" s="13">
        <v>42730.317141203705</v>
      </c>
      <c r="J39" s="7">
        <v>0</v>
      </c>
      <c r="K39" s="109" t="str">
        <f t="shared" si="0"/>
        <v>4029/4030</v>
      </c>
      <c r="L39" s="22" t="str">
        <f>VLOOKUP(A39,'Trips&amp;Operators'!$C$1:$G$99999,5,FALSE)</f>
        <v>OUN ZACK</v>
      </c>
      <c r="M39" s="6">
        <f t="shared" si="1"/>
        <v>2.5254629632399883E-2</v>
      </c>
      <c r="N39" s="7">
        <f t="shared" si="2"/>
        <v>36.366666670655832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05:53:17-700',mode:absolute,to:'2016-12-26 08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9" s="52" t="str">
        <f t="shared" si="6"/>
        <v>N</v>
      </c>
      <c r="X39" s="177">
        <f t="shared" si="21"/>
        <v>1</v>
      </c>
      <c r="Y39" s="67">
        <f t="shared" si="8"/>
        <v>4.5499999999999999E-2</v>
      </c>
      <c r="Z39" s="67">
        <f t="shared" si="9"/>
        <v>23.331199999999999</v>
      </c>
      <c r="AA39" s="67">
        <f t="shared" si="10"/>
        <v>23.285699999999999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0127-26</v>
      </c>
      <c r="AE39" s="91" t="str">
        <f t="shared" si="12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39" s="88" t="str">
        <f t="shared" si="13"/>
        <v>"C:\Program Files (x86)\AstroGrep\AstroGrep.exe" /spath="%USERPROFILE%\AppData\Local\Temp\OnboardLogs" /stypes="app*4029*20161226*"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127-26 --locoid 4029 --swversion DE.1.0.8.0 --startMP 204:455 --initTime 2016-12-26T06:53:17 --startdatetime 2016-12-26T07:00:19 --delay 1 --endMP 204:233312 --enddatetime 2016-12-26T07:36:41 --enforcementcount 0 &gt;&gt;C:\Users\stu\Documents\GitHub\eaglep3-reporting\EC\2016-12-26-refined-times.txt</v>
      </c>
      <c r="AI39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{"issue":{"subject":"","project_id":79,"tracker_id":40,"status_id":1,"priority_id":2,"assigned_to_id":23,"start_date":"2016-12-26","description":"","custom_fields":[{"id":1,"name":"Subdivision","value":"EC"},{"id":4,"name":"Milepost","value":"23.3312"},{"id":17,"name":"Train ID","value":"127-26"},{"id":16,"name":"Locomotive ID","value":"4029"},{"id":130,"name":"Impact","value":""},{"id":150,"name":"Time of Event (Mountain Time)","value":"07:36:41"},{"id":151,"name":"Denver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495</v>
      </c>
      <c r="B40" s="7">
        <v>4030</v>
      </c>
      <c r="C40" s="22" t="s">
        <v>205</v>
      </c>
      <c r="D40" s="22" t="s">
        <v>309</v>
      </c>
      <c r="E40" s="13">
        <v>42730.325069444443</v>
      </c>
      <c r="F40" s="13">
        <v>42730.330787037034</v>
      </c>
      <c r="G40" s="7">
        <v>1</v>
      </c>
      <c r="H40" s="22" t="s">
        <v>318</v>
      </c>
      <c r="I40" s="13">
        <v>42730.358680555553</v>
      </c>
      <c r="J40" s="7">
        <v>0</v>
      </c>
      <c r="K40" s="109" t="str">
        <f t="shared" si="0"/>
        <v>4029/4030</v>
      </c>
      <c r="L40" s="22" t="str">
        <f>VLOOKUP(A40,'Trips&amp;Operators'!$C$1:$G$99999,5,FALSE)</f>
        <v>OUN ZACK</v>
      </c>
      <c r="M40" s="6">
        <f t="shared" si="1"/>
        <v>2.789351851970423E-2</v>
      </c>
      <c r="N40" s="7">
        <f t="shared" si="2"/>
        <v>40.166666668374091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06:48:06-700',mode:absolute,to:'2016-12-26 09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0" s="52" t="str">
        <f t="shared" si="6"/>
        <v>N</v>
      </c>
      <c r="X40" s="177">
        <f t="shared" si="21"/>
        <v>1</v>
      </c>
      <c r="Y40" s="67">
        <f t="shared" si="8"/>
        <v>23.298400000000001</v>
      </c>
      <c r="Z40" s="67">
        <f t="shared" si="9"/>
        <v>1.52E-2</v>
      </c>
      <c r="AA40" s="67">
        <f t="shared" si="10"/>
        <v>23.283200000000001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1"/>
        <v>0128-26</v>
      </c>
      <c r="AE40" s="91" t="str">
        <f t="shared" si="12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40" s="88" t="str">
        <f t="shared" si="13"/>
        <v>"C:\Program Files (x86)\AstroGrep\AstroGrep.exe" /spath="%USERPROFILE%\AppData\Local\Temp\OnboardLogs" /stypes="app*4030*20161226*"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128-26 --locoid 4030 --swversion DE.1.0.8.0 --startMP 204:232984 --initTime 2016-12-26T07:48:06 --startdatetime 2016-12-26T07:56:20 --delay 1 --endMP 204:152 --enddatetime 2016-12-26T08:36:30 --enforcementcount 0 &gt;&gt;C:\Users\stu\Documents\GitHub\eaglep3-reporting\EC\2016-12-26-refined-times.txt</v>
      </c>
      <c r="AI40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ID","value":"128-26"},{"id":16,"name":"Locomotive ID","value":"4030"},{"id":130,"name":"Impact","value":""},{"id":150,"name":"Time of Event (Mountain Time)","value":"08:36:30"},{"id":151,"name":"Denver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427</v>
      </c>
      <c r="B41" s="7">
        <v>4031</v>
      </c>
      <c r="C41" s="22" t="s">
        <v>205</v>
      </c>
      <c r="D41" s="22" t="s">
        <v>264</v>
      </c>
      <c r="E41" s="13">
        <v>42730.299502314818</v>
      </c>
      <c r="F41" s="13">
        <v>42730.302233796298</v>
      </c>
      <c r="G41" s="7">
        <v>2</v>
      </c>
      <c r="H41" s="22" t="s">
        <v>666</v>
      </c>
      <c r="I41" s="13">
        <v>42730.326620370368</v>
      </c>
      <c r="J41" s="7">
        <v>0</v>
      </c>
      <c r="K41" s="109" t="str">
        <f t="shared" si="0"/>
        <v>4031/4032</v>
      </c>
      <c r="L41" s="22" t="str">
        <f>VLOOKUP(A41,'Trips&amp;Operators'!$C$1:$G$99999,5,FALSE)</f>
        <v>ROBINSON KADDIBA</v>
      </c>
      <c r="M41" s="6">
        <f t="shared" si="1"/>
        <v>2.438657407037681E-2</v>
      </c>
      <c r="N41" s="7">
        <f t="shared" si="2"/>
        <v>35.116666661342606</v>
      </c>
      <c r="O41" s="7"/>
      <c r="P41" s="7"/>
      <c r="Q41" s="23"/>
      <c r="R41" s="23" t="s">
        <v>924</v>
      </c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06:11:17-700',mode:absolute,to:'2016-12-26 08:50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1" s="52" t="str">
        <f t="shared" si="6"/>
        <v>N</v>
      </c>
      <c r="X41" s="177">
        <f t="shared" si="21"/>
        <v>1</v>
      </c>
      <c r="Y41" s="67">
        <f t="shared" si="8"/>
        <v>4.6699999999999998E-2</v>
      </c>
      <c r="Z41" s="67">
        <f t="shared" si="9"/>
        <v>23.261700000000001</v>
      </c>
      <c r="AA41" s="67">
        <f t="shared" si="10"/>
        <v>23.215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0129-26</v>
      </c>
      <c r="AE41" s="91" t="str">
        <f t="shared" si="12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41" s="88" t="str">
        <f t="shared" si="13"/>
        <v>"C:\Program Files (x86)\AstroGrep\AstroGrep.exe" /spath="%USERPROFILE%\AppData\Local\Temp\OnboardLogs" /stypes="app*4031*20161226*"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129-26 --locoid 4031 --swversion DE.1.0.8.0 --startMP 204:467 --initTime 2016-12-26T07:11:17 --startdatetime 2016-12-26T07:15:13 --delay 2 --endMP 204:232617 --enddatetime 2016-12-26T07:50:20 --enforcementcount 0 &gt;&gt;C:\Users\stu\Documents\GitHub\eaglep3-reporting\EC\2016-12-26-refined-times.txt</v>
      </c>
      <c r="AI41" s="119" t="str">
        <f t="shared" si="18"/>
        <v>echo {"issue":{"subject":"Cut out before DIA platform due to TRACK WARRANT enforcement and ATC zero code","project_id":79,"tracker_id":40,"status_id":1,"priority_id":2,"assigned_to_id":23,"start_date":"2016-12-26","description":"","custom_fields":[{"id":1,"name":"Subdivision","value":"EC"},{"id":4,"name":"Milepost","value":"23.2617"},{"id":17,"name":"Train ID","value":"129-26"},{"id":16,"name":"Locomotive ID","value":"4031"},{"id":130,"name":"Impact","value":""},{"id":150,"name":"Time of Event (Mountain Time)","value":"07:50:20"},{"id":151,"name":"Denver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497</v>
      </c>
      <c r="B42" s="7">
        <v>4032</v>
      </c>
      <c r="C42" s="22" t="s">
        <v>205</v>
      </c>
      <c r="D42" s="22" t="s">
        <v>399</v>
      </c>
      <c r="E42" s="13">
        <v>42730.334722222222</v>
      </c>
      <c r="F42" s="13">
        <v>42730.341134259259</v>
      </c>
      <c r="G42" s="7">
        <v>1</v>
      </c>
      <c r="H42" s="22" t="s">
        <v>191</v>
      </c>
      <c r="I42" s="13">
        <v>42730.368495370371</v>
      </c>
      <c r="J42" s="7">
        <v>0</v>
      </c>
      <c r="K42" s="109" t="str">
        <f t="shared" si="0"/>
        <v>4031/4032</v>
      </c>
      <c r="L42" s="22" t="str">
        <f>VLOOKUP(A42,'Trips&amp;Operators'!$C$1:$G$99999,5,FALSE)</f>
        <v>ROBINSON KADDIBA</v>
      </c>
      <c r="M42" s="6">
        <f t="shared" si="1"/>
        <v>2.73611111115315E-2</v>
      </c>
      <c r="N42" s="7">
        <f t="shared" si="2"/>
        <v>39.40000000060536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07:02:00-700',mode:absolute,to:'2016-12-26 09:50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2" s="52" t="str">
        <f t="shared" si="6"/>
        <v>N</v>
      </c>
      <c r="X42" s="177">
        <f t="shared" si="21"/>
        <v>1</v>
      </c>
      <c r="Y42" s="67">
        <f t="shared" si="8"/>
        <v>23.300599999999999</v>
      </c>
      <c r="Z42" s="67">
        <f t="shared" si="9"/>
        <v>1.49E-2</v>
      </c>
      <c r="AA42" s="67">
        <f t="shared" si="10"/>
        <v>23.285699999999999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0130-26</v>
      </c>
      <c r="AE42" s="91" t="str">
        <f t="shared" si="12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42" s="88" t="str">
        <f t="shared" si="13"/>
        <v>"C:\Program Files (x86)\AstroGrep\AstroGrep.exe" /spath="%USERPROFILE%\AppData\Local\Temp\OnboardLogs" /stypes="app*4032*20161226*"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130-26 --locoid 4032 --swversion DE.1.0.8.0 --startMP 204:233006 --initTime 2016-12-26T08:02:00 --startdatetime 2016-12-26T08:11:14 --delay 1 --endMP 204:149 --enddatetime 2016-12-26T08:50:38 --enforcementcount 0 &gt;&gt;C:\Users\stu\Documents\GitHub\eaglep3-reporting\EC\2016-12-26-refined-times.txt</v>
      </c>
      <c r="AI42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{"issue":{"subject":"","project_id":79,"tracker_id":40,"status_id":1,"priority_id":2,"assigned_to_id":23,"start_date":"2016-12-26","description":"","custom_fields":[{"id":1,"name":"Subdivision","value":"EC"},{"id":4,"name":"Milepost","value":"0.0149"},{"id":17,"name":"Train ID","value":"130-26"},{"id":16,"name":"Locomotive ID","value":"4032"},{"id":130,"name":"Impact","value":""},{"id":150,"name":"Time of Event (Mountain Time)","value":"08:50:38"},{"id":151,"name":"Denver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492</v>
      </c>
      <c r="B43" s="7">
        <v>4027</v>
      </c>
      <c r="C43" s="22" t="s">
        <v>205</v>
      </c>
      <c r="D43" s="22" t="s">
        <v>193</v>
      </c>
      <c r="E43" s="13">
        <v>42730.308599537035</v>
      </c>
      <c r="F43" s="13">
        <v>42730.312858796293</v>
      </c>
      <c r="G43" s="7">
        <v>1</v>
      </c>
      <c r="H43" s="22" t="s">
        <v>339</v>
      </c>
      <c r="I43" s="13">
        <v>42730.337430555555</v>
      </c>
      <c r="J43" s="7">
        <v>0</v>
      </c>
      <c r="K43" s="109" t="str">
        <f t="shared" si="0"/>
        <v>4027/4028</v>
      </c>
      <c r="L43" s="22" t="str">
        <f>VLOOKUP(A43,'Trips&amp;Operators'!$C$1:$G$99999,5,FALSE)</f>
        <v>MAGEE KENYA</v>
      </c>
      <c r="M43" s="6">
        <f t="shared" si="1"/>
        <v>2.457175926247146E-2</v>
      </c>
      <c r="N43" s="7">
        <f t="shared" si="2"/>
        <v>35.383333337958902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06:24:23-700',mode:absolute,to:'2016-12-26 09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3" s="52" t="str">
        <f t="shared" si="6"/>
        <v>N</v>
      </c>
      <c r="X43" s="177">
        <f t="shared" si="21"/>
        <v>1</v>
      </c>
      <c r="Y43" s="67">
        <f t="shared" si="8"/>
        <v>4.4699999999999997E-2</v>
      </c>
      <c r="Z43" s="67">
        <f t="shared" si="9"/>
        <v>23.3307</v>
      </c>
      <c r="AA43" s="67">
        <f t="shared" si="10"/>
        <v>23.286000000000001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0131-26</v>
      </c>
      <c r="AE43" s="91" t="str">
        <f t="shared" si="12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43" s="88" t="str">
        <f t="shared" si="13"/>
        <v>"C:\Program Files (x86)\AstroGrep\AstroGrep.exe" /spath="%USERPROFILE%\AppData\Local\Temp\OnboardLogs" /stypes="app*4027*20161226*"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131-26 --locoid 4027 --swversion DE.1.0.8.0 --startMP 204:447 --initTime 2016-12-26T07:24:23 --startdatetime 2016-12-26T07:30:31 --delay 1 --endMP 204:233307 --enddatetime 2016-12-26T08:05:54 --enforcementcount 0 &gt;&gt;C:\Users\stu\Documents\GitHub\eaglep3-reporting\EC\2016-12-26-refined-times.txt</v>
      </c>
      <c r="AI43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{"issue":{"subject":"","project_id":79,"tracker_id":40,"status_id":1,"priority_id":2,"assigned_to_id":23,"start_date":"2016-12-26","description":"","custom_fields":[{"id":1,"name":"Subdivision","value":"EC"},{"id":4,"name":"Milepost","value":"23.3307"},{"id":17,"name":"Train ID","value":"131-26"},{"id":16,"name":"Locomotive ID","value":"4027"},{"id":130,"name":"Impact","value":""},{"id":150,"name":"Time of Event (Mountain Time)","value":"08:05:54"},{"id":151,"name":"Denver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500</v>
      </c>
      <c r="B44" s="7">
        <v>4028</v>
      </c>
      <c r="C44" s="22" t="s">
        <v>205</v>
      </c>
      <c r="D44" s="22" t="s">
        <v>667</v>
      </c>
      <c r="E44" s="13">
        <v>42730.345891203702</v>
      </c>
      <c r="F44" s="13">
        <v>42730.351574074077</v>
      </c>
      <c r="G44" s="7">
        <v>1</v>
      </c>
      <c r="H44" s="22" t="s">
        <v>373</v>
      </c>
      <c r="I44" s="13">
        <v>42730.379618055558</v>
      </c>
      <c r="J44" s="7">
        <v>0</v>
      </c>
      <c r="K44" s="109" t="str">
        <f t="shared" si="0"/>
        <v>4027/4028</v>
      </c>
      <c r="L44" s="22" t="str">
        <f>VLOOKUP(A44,'Trips&amp;Operators'!$C$1:$G$99999,5,FALSE)</f>
        <v>MAGEE KENYA</v>
      </c>
      <c r="M44" s="6">
        <f t="shared" si="1"/>
        <v>2.8043981481459923E-2</v>
      </c>
      <c r="N44" s="7">
        <f t="shared" si="2"/>
        <v>40.383333333302289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07:18:05-700',mode:absolute,to:'2016-12-26 10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4" s="52" t="str">
        <f t="shared" si="6"/>
        <v>N</v>
      </c>
      <c r="X44" s="177">
        <f t="shared" si="21"/>
        <v>1</v>
      </c>
      <c r="Y44" s="67">
        <f t="shared" si="8"/>
        <v>23.3003</v>
      </c>
      <c r="Z44" s="67">
        <f t="shared" si="9"/>
        <v>1.5599999999999999E-2</v>
      </c>
      <c r="AA44" s="67">
        <f t="shared" si="10"/>
        <v>23.284700000000001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0132-26</v>
      </c>
      <c r="AE44" s="91" t="str">
        <f t="shared" si="12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44" s="88" t="str">
        <f t="shared" si="13"/>
        <v>"C:\Program Files (x86)\AstroGrep\AstroGrep.exe" /spath="%USERPROFILE%\AppData\Local\Temp\OnboardLogs" /stypes="app*4028*20161226*"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132-26 --locoid 4028 --swversion DE.1.0.8.0 --startMP 204:233003 --initTime 2016-12-26T08:18:05 --startdatetime 2016-12-26T08:26:16 --delay 1 --endMP 204:156 --enddatetime 2016-12-26T09:06:39 --enforcementcount 0 &gt;&gt;C:\Users\stu\Documents\GitHub\eaglep3-reporting\EC\2016-12-26-refined-times.txt</v>
      </c>
      <c r="AI44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{"issue":{"subject":"","project_id":79,"tracker_id":40,"status_id":1,"priority_id":2,"assigned_to_id":23,"start_date":"2016-12-26","description":"","custom_fields":[{"id":1,"name":"Subdivision","value":"EC"},{"id":4,"name":"Milepost","value":"0.0156"},{"id":17,"name":"Train ID","value":"132-26"},{"id":16,"name":"Locomotive ID","value":"4028"},{"id":130,"name":"Impact","value":""},{"id":150,"name":"Time of Event (Mountain Time)","value":"09:06:39"},{"id":151,"name":"Denver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494</v>
      </c>
      <c r="B45" s="7">
        <v>4025</v>
      </c>
      <c r="C45" s="22" t="s">
        <v>205</v>
      </c>
      <c r="D45" s="22" t="s">
        <v>254</v>
      </c>
      <c r="E45" s="13">
        <v>42730.319212962961</v>
      </c>
      <c r="F45" s="13">
        <v>42730.323321759257</v>
      </c>
      <c r="G45" s="7">
        <v>1</v>
      </c>
      <c r="H45" s="22" t="s">
        <v>330</v>
      </c>
      <c r="I45" s="13">
        <v>42730.347141203703</v>
      </c>
      <c r="J45" s="7">
        <v>0</v>
      </c>
      <c r="K45" s="109" t="str">
        <f t="shared" si="0"/>
        <v>4025/4026</v>
      </c>
      <c r="L45" s="22" t="str">
        <f>VLOOKUP(A45,'Trips&amp;Operators'!$C$1:$G$99999,5,FALSE)</f>
        <v>STARKS ANGELINA</v>
      </c>
      <c r="M45" s="6">
        <f t="shared" si="1"/>
        <v>2.3819444446417037E-2</v>
      </c>
      <c r="N45" s="7">
        <f t="shared" ref="N45:N76" si="22">24*60*SUM($M45:$M45)</f>
        <v>34.300000002840534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06:39:40-700',mode:absolute,to:'2016-12-26 09:19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5" s="52" t="str">
        <f t="shared" si="6"/>
        <v>N</v>
      </c>
      <c r="X45" s="177">
        <f t="shared" si="21"/>
        <v>1</v>
      </c>
      <c r="Y45" s="67">
        <f t="shared" si="8"/>
        <v>4.53E-2</v>
      </c>
      <c r="Z45" s="67">
        <f t="shared" si="9"/>
        <v>23.331900000000001</v>
      </c>
      <c r="AA45" s="67">
        <f t="shared" si="10"/>
        <v>23.2866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0133-26</v>
      </c>
      <c r="AE45" s="91" t="str">
        <f t="shared" si="12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45" s="88" t="str">
        <f t="shared" si="13"/>
        <v>"C:\Program Files (x86)\AstroGrep\AstroGrep.exe" /spath="%USERPROFILE%\AppData\Local\Temp\OnboardLogs" /stypes="app*4025*20161226*"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133-26 --locoid 4025 --swversion DE.1.0.8.0 --startMP 204:453 --initTime 2016-12-26T07:39:40 --startdatetime 2016-12-26T07:45:35 --delay 1 --endMP 204:233319 --enddatetime 2016-12-26T08:19:53 --enforcementcount 0 &gt;&gt;C:\Users\stu\Documents\GitHub\eaglep3-reporting\EC\2016-12-26-refined-times.txt</v>
      </c>
      <c r="AI45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{"issue":{"subject":"","project_id":79,"tracker_id":40,"status_id":1,"priority_id":2,"assigned_to_id":23,"start_date":"2016-12-26","description":"","custom_fields":[{"id":1,"name":"Subdivision","value":"EC"},{"id":4,"name":"Milepost","value":"23.3319"},{"id":17,"name":"Train ID","value":"133-26"},{"id":16,"name":"Locomotive ID","value":"4025"},{"id":130,"name":"Impact","value":""},{"id":150,"name":"Time of Event (Mountain Time)","value":"08:19:53"},{"id":151,"name":"Denver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504</v>
      </c>
      <c r="B46" s="7">
        <v>4026</v>
      </c>
      <c r="C46" s="22" t="s">
        <v>205</v>
      </c>
      <c r="D46" s="22" t="s">
        <v>337</v>
      </c>
      <c r="E46" s="13">
        <v>42730.358680555553</v>
      </c>
      <c r="F46" s="13">
        <v>42730.362118055556</v>
      </c>
      <c r="G46" s="7">
        <v>1</v>
      </c>
      <c r="H46" s="22" t="s">
        <v>318</v>
      </c>
      <c r="I46" s="13">
        <v>42730.389351851853</v>
      </c>
      <c r="J46" s="7">
        <v>0</v>
      </c>
      <c r="K46" s="109" t="str">
        <f t="shared" si="0"/>
        <v>4025/4026</v>
      </c>
      <c r="L46" s="22" t="str">
        <f>VLOOKUP(A46,'Trips&amp;Operators'!$C$1:$G$99999,5,FALSE)</f>
        <v>STARKS ANGELINA</v>
      </c>
      <c r="M46" s="6">
        <f t="shared" si="1"/>
        <v>2.7233796296059154E-2</v>
      </c>
      <c r="N46" s="7">
        <f t="shared" si="22"/>
        <v>39.216666666325182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07:36:30-700',mode:absolute,to:'2016-12-26 10:20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6" s="52" t="str">
        <f t="shared" si="6"/>
        <v>N</v>
      </c>
      <c r="X46" s="177">
        <f t="shared" si="21"/>
        <v>1</v>
      </c>
      <c r="Y46" s="67">
        <f t="shared" si="8"/>
        <v>23.2987</v>
      </c>
      <c r="Z46" s="67">
        <f t="shared" si="9"/>
        <v>1.52E-2</v>
      </c>
      <c r="AA46" s="67">
        <f t="shared" si="10"/>
        <v>23.2835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0134-26</v>
      </c>
      <c r="AE46" s="91" t="str">
        <f t="shared" si="12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46" s="88" t="str">
        <f t="shared" si="13"/>
        <v>"C:\Program Files (x86)\AstroGrep\AstroGrep.exe" /spath="%USERPROFILE%\AppData\Local\Temp\OnboardLogs" /stypes="app*4026*20161226*"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134-26 --locoid 4026 --swversion DE.1.0.8.0 --startMP 204:232987 --initTime 2016-12-26T08:36:30 --startdatetime 2016-12-26T08:41:27 --delay 1 --endMP 204:152 --enddatetime 2016-12-26T09:20:40 --enforcementcount 0 &gt;&gt;C:\Users\stu\Documents\GitHub\eaglep3-reporting\EC\2016-12-26-refined-times.txt</v>
      </c>
      <c r="AI46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ID","value":"134-26"},{"id":16,"name":"Locomotive ID","value":"4026"},{"id":130,"name":"Impact","value":""},{"id":150,"name":"Time of Event (Mountain Time)","value":"09:20:40"},{"id":151,"name":"Denver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496</v>
      </c>
      <c r="B47" s="7">
        <v>4046</v>
      </c>
      <c r="C47" s="22" t="s">
        <v>205</v>
      </c>
      <c r="D47" s="22" t="s">
        <v>668</v>
      </c>
      <c r="E47" s="13">
        <v>42730.33</v>
      </c>
      <c r="F47" s="13">
        <v>42730.33353009259</v>
      </c>
      <c r="G47" s="7">
        <v>1</v>
      </c>
      <c r="H47" s="22" t="s">
        <v>312</v>
      </c>
      <c r="I47" s="13">
        <v>42730.3596875</v>
      </c>
      <c r="J47" s="7">
        <v>0</v>
      </c>
      <c r="K47" s="109" t="str">
        <f t="shared" si="0"/>
        <v>4045/4046</v>
      </c>
      <c r="L47" s="22" t="str">
        <f>VLOOKUP(A47,'Trips&amp;Operators'!$C$1:$G$99999,5,FALSE)</f>
        <v>DUNCAN SHEILA</v>
      </c>
      <c r="M47" s="6">
        <f t="shared" si="1"/>
        <v>2.6157407410209998E-2</v>
      </c>
      <c r="N47" s="7">
        <f t="shared" si="22"/>
        <v>37.666666670702398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06:55:12-700',mode:absolute,to:'2016-12-26 09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7" s="52" t="str">
        <f t="shared" si="6"/>
        <v>N</v>
      </c>
      <c r="X47" s="177">
        <f t="shared" si="21"/>
        <v>1</v>
      </c>
      <c r="Y47" s="67">
        <f t="shared" si="8"/>
        <v>4.6600000000000003E-2</v>
      </c>
      <c r="Z47" s="67">
        <f t="shared" si="9"/>
        <v>23.329699999999999</v>
      </c>
      <c r="AA47" s="67">
        <f t="shared" si="10"/>
        <v>23.283099999999997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0135-26</v>
      </c>
      <c r="AE47" s="91" t="str">
        <f t="shared" si="12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47" s="88" t="str">
        <f t="shared" si="13"/>
        <v>"C:\Program Files (x86)\AstroGrep\AstroGrep.exe" /spath="%USERPROFILE%\AppData\Local\Temp\OnboardLogs" /stypes="app*4046*20161226*"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135-26 --locoid 4046 --swversion DE.1.0.8.0 --startMP 204:466 --initTime 2016-12-26T07:55:12 --startdatetime 2016-12-26T08:00:17 --delay 1 --endMP 204:233297 --enddatetime 2016-12-26T08:37:57 --enforcementcount 0 &gt;&gt;C:\Users\stu\Documents\GitHub\eaglep3-reporting\EC\2016-12-26-refined-times.txt</v>
      </c>
      <c r="AI47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ID","value":"135-26"},{"id":16,"name":"Locomotive ID","value":"4046"},{"id":130,"name":"Impact","value":""},{"id":150,"name":"Time of Event (Mountain Time)","value":"08:37:57"},{"id":151,"name":"Denver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430</v>
      </c>
      <c r="B48" s="7">
        <v>4045</v>
      </c>
      <c r="C48" s="22" t="s">
        <v>205</v>
      </c>
      <c r="D48" s="22" t="s">
        <v>669</v>
      </c>
      <c r="E48" s="13">
        <v>42730.367002314815</v>
      </c>
      <c r="F48" s="13">
        <v>42730.372476851851</v>
      </c>
      <c r="G48" s="7">
        <v>1</v>
      </c>
      <c r="H48" s="22" t="s">
        <v>324</v>
      </c>
      <c r="I48" s="13">
        <v>42730.401099537034</v>
      </c>
      <c r="J48" s="7">
        <v>0</v>
      </c>
      <c r="K48" s="109" t="str">
        <f t="shared" si="0"/>
        <v>4045/4046</v>
      </c>
      <c r="L48" s="22" t="str">
        <f>VLOOKUP(A48,'Trips&amp;Operators'!$C$1:$G$99999,5,FALSE)</f>
        <v>DUNCAN SHEILA</v>
      </c>
      <c r="M48" s="6">
        <f t="shared" si="1"/>
        <v>2.8622685182199348E-2</v>
      </c>
      <c r="N48" s="7">
        <f t="shared" si="22"/>
        <v>41.216666662367061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07:48:29-700',mode:absolute,to:'2016-12-26 10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8" s="52" t="str">
        <f t="shared" si="6"/>
        <v>N</v>
      </c>
      <c r="X48" s="177">
        <f t="shared" si="21"/>
        <v>1</v>
      </c>
      <c r="Y48" s="67">
        <f t="shared" si="8"/>
        <v>23.297499999999999</v>
      </c>
      <c r="Z48" s="67">
        <f t="shared" si="9"/>
        <v>1.6500000000000001E-2</v>
      </c>
      <c r="AA48" s="67">
        <f t="shared" si="10"/>
        <v>23.280999999999999</v>
      </c>
      <c r="AB48" s="64" t="str">
        <f>VLOOKUP(A48,Enforcements!$C$7:$K$19,8,0)</f>
        <v>Bulletin (2)</v>
      </c>
      <c r="AC48" s="60" t="str">
        <f>VLOOKUP(A48,Enforcements!$C$7:$E$19,3,0)</f>
        <v>GRADE CROSSING</v>
      </c>
      <c r="AD48" s="61" t="str">
        <f t="shared" si="11"/>
        <v>0136-26</v>
      </c>
      <c r="AE48" s="91" t="str">
        <f t="shared" si="12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48" s="88" t="str">
        <f t="shared" si="13"/>
        <v>"C:\Program Files (x86)\AstroGrep\AstroGrep.exe" /spath="%USERPROFILE%\AppData\Local\Temp\OnboardLogs" /stypes="app*4045*20161226*"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136-26 --locoid 4045 --swversion DE.1.0.8.0 --startMP 204:232975 --initTime 2016-12-26T08:48:29 --startdatetime 2016-12-26T08:56:22 --delay 1 --endMP 204:165 --enddatetime 2016-12-26T09:37:35 --enforcementcount 0 &gt;&gt;C:\Users\stu\Documents\GitHub\eaglep3-reporting\EC\2016-12-26-refined-times.txt</v>
      </c>
      <c r="AI48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{"issue":{"subject":"","project_id":79,"tracker_id":40,"status_id":1,"priority_id":2,"assigned_to_id":23,"start_date":"2016-12-26","description":"","custom_fields":[{"id":1,"name":"Subdivision","value":"EC"},{"id":4,"name":"Milepost","value":"0.0165"},{"id":17,"name":"Train ID","value":"136-26"},{"id":16,"name":"Locomotive ID","value":"4045"},{"id":130,"name":"Impact","value":""},{"id":150,"name":"Time of Event (Mountain Time)","value":"09:37:35"},{"id":151,"name":"Denver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499</v>
      </c>
      <c r="B49" s="7">
        <v>4051</v>
      </c>
      <c r="C49" s="22" t="s">
        <v>205</v>
      </c>
      <c r="D49" s="22" t="s">
        <v>194</v>
      </c>
      <c r="E49" s="13">
        <v>42730.338888888888</v>
      </c>
      <c r="F49" s="13">
        <v>42730.343946759262</v>
      </c>
      <c r="G49" s="7">
        <v>2</v>
      </c>
      <c r="H49" s="22" t="s">
        <v>286</v>
      </c>
      <c r="I49" s="13">
        <v>42730.36824074074</v>
      </c>
      <c r="J49" s="7">
        <v>0</v>
      </c>
      <c r="K49" s="109" t="str">
        <f t="shared" si="0"/>
        <v>4051/4052</v>
      </c>
      <c r="L49" s="22" t="str">
        <f>VLOOKUP(A49,'Trips&amp;Operators'!$C$1:$G$99999,5,FALSE)</f>
        <v>SHOOK JOHN</v>
      </c>
      <c r="M49" s="6">
        <f t="shared" si="1"/>
        <v>2.4293981477967463E-2</v>
      </c>
      <c r="N49" s="7">
        <f t="shared" si="22"/>
        <v>34.983333328273147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07:08:00-700',mode:absolute,to:'2016-12-26 09:50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49" s="52" t="str">
        <f t="shared" si="6"/>
        <v>N</v>
      </c>
      <c r="X49" s="177">
        <f t="shared" si="21"/>
        <v>1</v>
      </c>
      <c r="Y49" s="67">
        <f t="shared" si="8"/>
        <v>4.5100000000000001E-2</v>
      </c>
      <c r="Z49" s="67">
        <f t="shared" si="9"/>
        <v>23.3308</v>
      </c>
      <c r="AA49" s="67">
        <f t="shared" si="10"/>
        <v>23.285699999999999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0137-26</v>
      </c>
      <c r="AE49" s="91" t="str">
        <f t="shared" si="12"/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49" s="88" t="str">
        <f t="shared" si="13"/>
        <v>"C:\Program Files (x86)\AstroGrep\AstroGrep.exe" /spath="%USERPROFILE%\AppData\Local\Temp\OnboardLogs" /stypes="app*4051*20161226*"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137-26 --locoid 4051 --swversion DE.1.0.8.0 --startMP 204:451 --initTime 2016-12-26T08:08:00 --startdatetime 2016-12-26T08:15:17 --delay 2 --endMP 204:233308 --enddatetime 2016-12-26T08:50:16 --enforcementcount 0 &gt;&gt;C:\Users\stu\Documents\GitHub\eaglep3-reporting\EC\2016-12-26-refined-times.txt</v>
      </c>
      <c r="AI49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{"issue":{"subject":"","project_id":79,"tracker_id":40,"status_id":1,"priority_id":2,"assigned_to_id":23,"start_date":"2016-12-26","description":"","custom_fields":[{"id":1,"name":"Subdivision","value":"EC"},{"id":4,"name":"Milepost","value":"23.3308"},{"id":17,"name":"Train ID","value":"137-26"},{"id":16,"name":"Locomotive ID","value":"4051"},{"id":130,"name":"Impact","value":""},{"id":150,"name":"Time of Event (Mountain Time)","value":"08:50:16"},{"id":151,"name":"Denver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508</v>
      </c>
      <c r="B50" s="7">
        <v>4052</v>
      </c>
      <c r="C50" s="22" t="s">
        <v>205</v>
      </c>
      <c r="D50" s="22" t="s">
        <v>670</v>
      </c>
      <c r="E50" s="13">
        <v>42730.371076388888</v>
      </c>
      <c r="F50" s="13">
        <v>42730.382835648146</v>
      </c>
      <c r="G50" s="7">
        <v>1</v>
      </c>
      <c r="H50" s="22" t="s">
        <v>233</v>
      </c>
      <c r="I50" s="13">
        <v>42730.410069444442</v>
      </c>
      <c r="J50" s="7">
        <v>0</v>
      </c>
      <c r="K50" s="109" t="str">
        <f t="shared" si="0"/>
        <v>4051/4052</v>
      </c>
      <c r="L50" s="22" t="str">
        <f>VLOOKUP(A50,'Trips&amp;Operators'!$C$1:$G$99999,5,FALSE)</f>
        <v>SHOOK JOHN</v>
      </c>
      <c r="M50" s="6">
        <f t="shared" si="1"/>
        <v>2.7233796296059154E-2</v>
      </c>
      <c r="N50" s="7">
        <f t="shared" si="22"/>
        <v>39.216666666325182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07:54:21-700',mode:absolute,to:'2016-12-26 10:50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50" s="52" t="str">
        <f t="shared" si="6"/>
        <v>N</v>
      </c>
      <c r="X50" s="177">
        <f t="shared" si="21"/>
        <v>1</v>
      </c>
      <c r="Y50" s="67">
        <f t="shared" si="8"/>
        <v>23.3017</v>
      </c>
      <c r="Z50" s="67">
        <f t="shared" si="9"/>
        <v>1.4500000000000001E-2</v>
      </c>
      <c r="AA50" s="67">
        <f t="shared" si="10"/>
        <v>23.287199999999999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0138-26</v>
      </c>
      <c r="AE50" s="91" t="str">
        <f t="shared" si="12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50" s="88" t="str">
        <f t="shared" si="13"/>
        <v>"C:\Program Files (x86)\AstroGrep\AstroGrep.exe" /spath="%USERPROFILE%\AppData\Local\Temp\OnboardLogs" /stypes="app*4052*20161226*"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138-26 --locoid 4052 --swversion DE.1.0.8.0 --startMP 204:233017 --initTime 2016-12-26T08:54:21 --startdatetime 2016-12-26T09:11:17 --delay 1 --endMP 204:145 --enddatetime 2016-12-26T09:50:30 --enforcementcount 0 &gt;&gt;C:\Users\stu\Documents\GitHub\eaglep3-reporting\EC\2016-12-26-refined-times.txt</v>
      </c>
      <c r="AI50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{"issue":{"subject":"","project_id":79,"tracker_id":40,"status_id":1,"priority_id":2,"assigned_to_id":23,"start_date":"2016-12-26","description":"","custom_fields":[{"id":1,"name":"Subdivision","value":"EC"},{"id":4,"name":"Milepost","value":"0.0145"},{"id":17,"name":"Train ID","value":"138-26"},{"id":16,"name":"Locomotive ID","value":"4052"},{"id":130,"name":"Impact","value":""},{"id":150,"name":"Time of Event (Mountain Time)","value":"09:50:30"},{"id":151,"name":"Denver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502</v>
      </c>
      <c r="B51" s="7">
        <v>4044</v>
      </c>
      <c r="C51" s="22" t="s">
        <v>205</v>
      </c>
      <c r="D51" s="22" t="s">
        <v>228</v>
      </c>
      <c r="E51" s="13">
        <v>42730.348958333336</v>
      </c>
      <c r="F51" s="13">
        <v>42730.355000000003</v>
      </c>
      <c r="G51" s="7">
        <v>1</v>
      </c>
      <c r="H51" s="22" t="s">
        <v>275</v>
      </c>
      <c r="I51" s="13">
        <v>42730.37872685185</v>
      </c>
      <c r="J51" s="7">
        <v>0</v>
      </c>
      <c r="K51" s="109" t="str">
        <f t="shared" si="0"/>
        <v>4043/4044</v>
      </c>
      <c r="L51" s="22" t="str">
        <f>VLOOKUP(A51,'Trips&amp;Operators'!$C$1:$G$99999,5,FALSE)</f>
        <v>YANG JAN</v>
      </c>
      <c r="M51" s="6">
        <f t="shared" si="1"/>
        <v>2.3726851846731734E-2</v>
      </c>
      <c r="N51" s="7">
        <f t="shared" si="22"/>
        <v>34.166666659293696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07:22:30-700',mode:absolute,to:'2016-12-26 10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1" s="52" t="str">
        <f t="shared" si="6"/>
        <v>N</v>
      </c>
      <c r="X51" s="177">
        <f t="shared" si="21"/>
        <v>1</v>
      </c>
      <c r="Y51" s="67">
        <f t="shared" si="8"/>
        <v>4.5499999999999999E-2</v>
      </c>
      <c r="Z51" s="67">
        <f t="shared" si="9"/>
        <v>23.328900000000001</v>
      </c>
      <c r="AA51" s="67">
        <f t="shared" si="10"/>
        <v>23.2834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1"/>
        <v>0139-26</v>
      </c>
      <c r="AE51" s="91" t="str">
        <f t="shared" si="12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51" s="88" t="str">
        <f t="shared" si="13"/>
        <v>"C:\Program Files (x86)\AstroGrep\AstroGrep.exe" /spath="%USERPROFILE%\AppData\Local\Temp\OnboardLogs" /stypes="app*4044*20161226*"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139-26 --locoid 4044 --swversion DE.1.0.8.0 --startMP 204:455 --initTime 2016-12-26T08:22:30 --startdatetime 2016-12-26T08:31:12 --delay 1 --endMP 204:233289 --enddatetime 2016-12-26T09:05:22 --enforcementcount 0 &gt;&gt;C:\Users\stu\Documents\GitHub\eaglep3-reporting\EC\2016-12-26-refined-times.txt</v>
      </c>
      <c r="AI51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{"issue":{"subject":"","project_id":79,"tracker_id":40,"status_id":1,"priority_id":2,"assigned_to_id":23,"start_date":"2016-12-26","description":"","custom_fields":[{"id":1,"name":"Subdivision","value":"EC"},{"id":4,"name":"Milepost","value":"23.3289"},{"id":17,"name":"Train ID","value":"139-26"},{"id":16,"name":"Locomotive ID","value":"4044"},{"id":130,"name":"Impact","value":""},{"id":150,"name":"Time of Event (Mountain Time)","value":"09:05:22"},{"id":151,"name":"Denver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509</v>
      </c>
      <c r="B52" s="7">
        <v>4043</v>
      </c>
      <c r="C52" s="22" t="s">
        <v>205</v>
      </c>
      <c r="D52" s="22" t="s">
        <v>321</v>
      </c>
      <c r="E52" s="13">
        <v>42730.380266203705</v>
      </c>
      <c r="F52" s="13">
        <v>42730.393275462964</v>
      </c>
      <c r="G52" s="7">
        <v>1</v>
      </c>
      <c r="H52" s="22" t="s">
        <v>267</v>
      </c>
      <c r="I52" s="13">
        <v>42730.419791666667</v>
      </c>
      <c r="J52" s="7">
        <v>0</v>
      </c>
      <c r="K52" s="109" t="str">
        <f t="shared" si="0"/>
        <v>4043/4044</v>
      </c>
      <c r="L52" s="22" t="str">
        <f>VLOOKUP(A52,'Trips&amp;Operators'!$C$1:$G$99999,5,FALSE)</f>
        <v>YANG JAN</v>
      </c>
      <c r="M52" s="6">
        <f t="shared" si="1"/>
        <v>2.6516203703067731E-2</v>
      </c>
      <c r="N52" s="7">
        <f t="shared" si="22"/>
        <v>38.183333332417533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08:07:35-700',mode:absolute,to:'2016-12-26 11:04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2" s="52" t="str">
        <f t="shared" si="6"/>
        <v>N</v>
      </c>
      <c r="X52" s="177">
        <f t="shared" si="21"/>
        <v>1</v>
      </c>
      <c r="Y52" s="67">
        <f t="shared" si="8"/>
        <v>23.297999999999998</v>
      </c>
      <c r="Z52" s="67">
        <f t="shared" si="9"/>
        <v>1.6E-2</v>
      </c>
      <c r="AA52" s="67">
        <f t="shared" si="10"/>
        <v>23.282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0140-26</v>
      </c>
      <c r="AE52" s="91" t="str">
        <f t="shared" si="12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52" s="88" t="str">
        <f t="shared" si="13"/>
        <v>"C:\Program Files (x86)\AstroGrep\AstroGrep.exe" /spath="%USERPROFILE%\AppData\Local\Temp\OnboardLogs" /stypes="app*4043*20161226*"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140-26 --locoid 4043 --swversion DE.1.0.8.0 --startMP 204:232980 --initTime 2016-12-26T09:07:35 --startdatetime 2016-12-26T09:26:19 --delay 1 --endMP 204:160 --enddatetime 2016-12-26T10:04:30 --enforcementcount 0 &gt;&gt;C:\Users\stu\Documents\GitHub\eaglep3-reporting\EC\2016-12-26-refined-times.txt</v>
      </c>
      <c r="AI52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{"issue":{"subject":"","project_id":79,"tracker_id":40,"status_id":1,"priority_id":2,"assigned_to_id":23,"start_date":"2016-12-26","description":"","custom_fields":[{"id":1,"name":"Subdivision","value":"EC"},{"id":4,"name":"Milepost","value":"0.016"},{"id":17,"name":"Train ID","value":"140-26"},{"id":16,"name":"Locomotive ID","value":"4043"},{"id":130,"name":"Impact","value":""},{"id":150,"name":"Time of Event (Mountain Time)","value":"10:04:30"},{"id":151,"name":"Denver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506</v>
      </c>
      <c r="B53" s="7">
        <v>4029</v>
      </c>
      <c r="C53" s="22" t="s">
        <v>205</v>
      </c>
      <c r="D53" s="22" t="s">
        <v>370</v>
      </c>
      <c r="E53" s="13">
        <v>42730.360439814816</v>
      </c>
      <c r="F53" s="13">
        <v>42730.364803240744</v>
      </c>
      <c r="G53" s="7">
        <v>1</v>
      </c>
      <c r="H53" s="22" t="s">
        <v>671</v>
      </c>
      <c r="I53" s="13">
        <v>42730.389849537038</v>
      </c>
      <c r="J53" s="7">
        <v>0</v>
      </c>
      <c r="K53" s="109" t="str">
        <f t="shared" si="0"/>
        <v>4029/4030</v>
      </c>
      <c r="L53" s="22" t="str">
        <f>VLOOKUP(A53,'Trips&amp;Operators'!$C$1:$G$99999,5,FALSE)</f>
        <v>OUN ZACK</v>
      </c>
      <c r="M53" s="6">
        <f t="shared" si="1"/>
        <v>2.5046296294021886E-2</v>
      </c>
      <c r="N53" s="7">
        <f t="shared" si="22"/>
        <v>36.066666663391516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07:39:02-700',mode:absolute,to:'2016-12-26 10:21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3" s="52" t="str">
        <f t="shared" si="6"/>
        <v>N</v>
      </c>
      <c r="X53" s="177">
        <f t="shared" si="21"/>
        <v>1</v>
      </c>
      <c r="Y53" s="67">
        <f t="shared" si="8"/>
        <v>4.5699999999999998E-2</v>
      </c>
      <c r="Z53" s="67">
        <f t="shared" si="9"/>
        <v>23.3325</v>
      </c>
      <c r="AA53" s="67">
        <f t="shared" si="10"/>
        <v>23.286799999999999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0141-26</v>
      </c>
      <c r="AE53" s="91" t="str">
        <f t="shared" si="12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53" s="88" t="str">
        <f t="shared" si="13"/>
        <v>"C:\Program Files (x86)\AstroGrep\AstroGrep.exe" /spath="%USERPROFILE%\AppData\Local\Temp\OnboardLogs" /stypes="app*4029*20161226*"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141-26 --locoid 4029 --swversion DE.1.0.8.0 --startMP 204:457 --initTime 2016-12-26T08:39:02 --startdatetime 2016-12-26T08:45:19 --delay 1 --endMP 204:233325 --enddatetime 2016-12-26T09:21:23 --enforcementcount 0 &gt;&gt;C:\Users\stu\Documents\GitHub\eaglep3-reporting\EC\2016-12-26-refined-times.txt</v>
      </c>
      <c r="AI53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{"issue":{"subject":"","project_id":79,"tracker_id":40,"status_id":1,"priority_id":2,"assigned_to_id":23,"start_date":"2016-12-26","description":"","custom_fields":[{"id":1,"name":"Subdivision","value":"EC"},{"id":4,"name":"Milepost","value":"23.3325"},{"id":17,"name":"Train ID","value":"141-26"},{"id":16,"name":"Locomotive ID","value":"4029"},{"id":130,"name":"Impact","value":""},{"id":150,"name":"Time of Event (Mountain Time)","value":"09:21:23"},{"id":151,"name":"Denver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29" customFormat="1" x14ac:dyDescent="0.25">
      <c r="A54" s="37" t="s">
        <v>512</v>
      </c>
      <c r="B54" s="7">
        <v>4030</v>
      </c>
      <c r="C54" s="22" t="s">
        <v>205</v>
      </c>
      <c r="D54" s="22" t="s">
        <v>256</v>
      </c>
      <c r="E54" s="13">
        <v>42730.397905092592</v>
      </c>
      <c r="F54" s="13">
        <v>42730.403761574074</v>
      </c>
      <c r="G54" s="7">
        <v>1</v>
      </c>
      <c r="H54" s="22" t="s">
        <v>318</v>
      </c>
      <c r="I54" s="13">
        <v>42730.431284722225</v>
      </c>
      <c r="J54" s="7">
        <v>0</v>
      </c>
      <c r="K54" s="109" t="str">
        <f t="shared" si="0"/>
        <v>4029/4030</v>
      </c>
      <c r="L54" s="22" t="str">
        <f>VLOOKUP(A54,'Trips&amp;Operators'!$C$1:$G$99999,5,FALSE)</f>
        <v>OUN ZACK</v>
      </c>
      <c r="M54" s="6">
        <f t="shared" si="1"/>
        <v>2.7523148150066845E-2</v>
      </c>
      <c r="N54" s="7">
        <f t="shared" si="22"/>
        <v>39.633333336096257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08:32:59-700',mode:absolute,to:'2016-12-26 11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4" s="52" t="str">
        <f t="shared" si="6"/>
        <v>N</v>
      </c>
      <c r="X54" s="177">
        <f t="shared" si="21"/>
        <v>1</v>
      </c>
      <c r="Y54" s="67">
        <f t="shared" si="8"/>
        <v>23.299399999999999</v>
      </c>
      <c r="Z54" s="67">
        <f t="shared" si="9"/>
        <v>1.52E-2</v>
      </c>
      <c r="AA54" s="67">
        <f t="shared" si="10"/>
        <v>23.284199999999998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1"/>
        <v>0142-26</v>
      </c>
      <c r="AE54" s="91" t="str">
        <f t="shared" si="12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54" s="88" t="str">
        <f t="shared" si="13"/>
        <v>"C:\Program Files (x86)\AstroGrep\AstroGrep.exe" /spath="%USERPROFILE%\AppData\Local\Temp\OnboardLogs" /stypes="app*4030*20161226*"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142-26 --locoid 4030 --swversion DE.1.0.8.0 --startMP 204:232994 --initTime 2016-12-26T09:32:59 --startdatetime 2016-12-26T09:41:25 --delay 1 --endMP 204:152 --enddatetime 2016-12-26T10:21:03 --enforcementcount 0 &gt;&gt;C:\Users\stu\Documents\GitHub\eaglep3-reporting\EC\2016-12-26-refined-times.txt</v>
      </c>
      <c r="AI54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ID","value":"142-26"},{"id":16,"name":"Locomotive ID","value":"4030"},{"id":130,"name":"Impact","value":""},{"id":150,"name":"Time of Event (Mountain Time)","value":"10:21:03"},{"id":151,"name":"Denver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507</v>
      </c>
      <c r="B55" s="7">
        <v>4031</v>
      </c>
      <c r="C55" s="22" t="s">
        <v>205</v>
      </c>
      <c r="D55" s="22" t="s">
        <v>228</v>
      </c>
      <c r="E55" s="13">
        <v>42730.370578703703</v>
      </c>
      <c r="F55" s="13">
        <v>42730.375162037039</v>
      </c>
      <c r="G55" s="7">
        <v>1</v>
      </c>
      <c r="H55" s="22" t="s">
        <v>336</v>
      </c>
      <c r="I55" s="13">
        <v>42730.400358796294</v>
      </c>
      <c r="J55" s="7">
        <v>0</v>
      </c>
      <c r="K55" s="109" t="str">
        <f t="shared" si="0"/>
        <v>4031/4032</v>
      </c>
      <c r="L55" s="22" t="str">
        <f>VLOOKUP(A55,'Trips&amp;Operators'!$C$1:$G$99999,5,FALSE)</f>
        <v>ROBINSON KADDIBA</v>
      </c>
      <c r="M55" s="6">
        <f t="shared" si="1"/>
        <v>2.5196759255777579E-2</v>
      </c>
      <c r="N55" s="7">
        <f t="shared" si="22"/>
        <v>36.283333328319713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07:53:38-700',mode:absolute,to:'2016-12-26 10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5" s="52" t="str">
        <f t="shared" si="6"/>
        <v>N</v>
      </c>
      <c r="X55" s="177">
        <f t="shared" si="21"/>
        <v>1</v>
      </c>
      <c r="Y55" s="67">
        <f t="shared" si="8"/>
        <v>4.5499999999999999E-2</v>
      </c>
      <c r="Z55" s="67">
        <f t="shared" si="9"/>
        <v>23.330300000000001</v>
      </c>
      <c r="AA55" s="67">
        <f t="shared" si="10"/>
        <v>23.284800000000001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1"/>
        <v>0143-26</v>
      </c>
      <c r="AE55" s="91" t="str">
        <f t="shared" si="12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55" s="88" t="str">
        <f t="shared" si="13"/>
        <v>"C:\Program Files (x86)\AstroGrep\AstroGrep.exe" /spath="%USERPROFILE%\AppData\Local\Temp\OnboardLogs" /stypes="app*4031*20161226*"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143-26 --locoid 4031 --swversion DE.1.0.8.0 --startMP 204:455 --initTime 2016-12-26T08:53:38 --startdatetime 2016-12-26T09:00:14 --delay 1 --endMP 204:233303 --enddatetime 2016-12-26T09:36:31 --enforcementcount 0 &gt;&gt;C:\Users\stu\Documents\GitHub\eaglep3-reporting\EC\2016-12-26-refined-times.txt</v>
      </c>
      <c r="AI55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{"issue":{"subject":"","project_id":79,"tracker_id":40,"status_id":1,"priority_id":2,"assigned_to_id":23,"start_date":"2016-12-26","description":"","custom_fields":[{"id":1,"name":"Subdivision","value":"EC"},{"id":4,"name":"Milepost","value":"23.3303"},{"id":17,"name":"Train ID","value":"143-26"},{"id":16,"name":"Locomotive ID","value":"4031"},{"id":130,"name":"Impact","value":""},{"id":150,"name":"Time of Event (Mountain Time)","value":"09:36:31"},{"id":151,"name":"Denver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515</v>
      </c>
      <c r="B56" s="7">
        <v>4032</v>
      </c>
      <c r="C56" s="22" t="s">
        <v>205</v>
      </c>
      <c r="D56" s="22" t="s">
        <v>309</v>
      </c>
      <c r="E56" s="13">
        <v>42730.40834490741</v>
      </c>
      <c r="F56" s="13">
        <v>42730.414050925923</v>
      </c>
      <c r="G56" s="7">
        <v>1</v>
      </c>
      <c r="H56" s="22" t="s">
        <v>318</v>
      </c>
      <c r="I56" s="13">
        <v>42730.442858796298</v>
      </c>
      <c r="J56" s="7">
        <v>0</v>
      </c>
      <c r="K56" s="109" t="str">
        <f t="shared" si="0"/>
        <v>4031/4032</v>
      </c>
      <c r="L56" s="22" t="str">
        <f>VLOOKUP(A56,'Trips&amp;Operators'!$C$1:$G$99999,5,FALSE)</f>
        <v>ROBINSON KADDIBA</v>
      </c>
      <c r="M56" s="6">
        <f t="shared" si="1"/>
        <v>2.8807870374293998E-2</v>
      </c>
      <c r="N56" s="7">
        <f t="shared" si="22"/>
        <v>41.483333338983357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08:48:01-700',mode:absolute,to:'2016-12-26 11:37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6" s="52" t="str">
        <f t="shared" si="6"/>
        <v>N</v>
      </c>
      <c r="X56" s="177">
        <f t="shared" si="21"/>
        <v>1</v>
      </c>
      <c r="Y56" s="67">
        <f t="shared" si="8"/>
        <v>23.298400000000001</v>
      </c>
      <c r="Z56" s="67">
        <f t="shared" si="9"/>
        <v>1.52E-2</v>
      </c>
      <c r="AA56" s="67">
        <f t="shared" si="10"/>
        <v>23.283200000000001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0144-26</v>
      </c>
      <c r="AE56" s="91" t="str">
        <f t="shared" si="12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56" s="88" t="str">
        <f t="shared" si="13"/>
        <v>"C:\Program Files (x86)\AstroGrep\AstroGrep.exe" /spath="%USERPROFILE%\AppData\Local\Temp\OnboardLogs" /stypes="app*4032*20161226*"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144-26 --locoid 4032 --swversion DE.1.0.8.0 --startMP 204:232984 --initTime 2016-12-26T09:48:01 --startdatetime 2016-12-26T09:56:14 --delay 1 --endMP 204:152 --enddatetime 2016-12-26T10:37:43 --enforcementcount 0 &gt;&gt;C:\Users\stu\Documents\GitHub\eaglep3-reporting\EC\2016-12-26-refined-times.txt</v>
      </c>
      <c r="AI56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ID","value":"144-26"},{"id":16,"name":"Locomotive ID","value":"4032"},{"id":130,"name":"Impact","value":""},{"id":150,"name":"Time of Event (Mountain Time)","value":"10:37:43"},{"id":151,"name":"Denver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510</v>
      </c>
      <c r="B57" s="7">
        <v>4027</v>
      </c>
      <c r="C57" s="22" t="s">
        <v>205</v>
      </c>
      <c r="D57" s="22" t="s">
        <v>274</v>
      </c>
      <c r="E57" s="13">
        <v>42730.382187499999</v>
      </c>
      <c r="F57" s="13">
        <v>42730.385671296295</v>
      </c>
      <c r="G57" s="7">
        <v>1</v>
      </c>
      <c r="H57" s="22" t="s">
        <v>374</v>
      </c>
      <c r="I57" s="13">
        <v>42730.409490740742</v>
      </c>
      <c r="J57" s="7">
        <v>0</v>
      </c>
      <c r="K57" s="109" t="str">
        <f t="shared" si="0"/>
        <v>4027/4028</v>
      </c>
      <c r="L57" s="22" t="str">
        <f>VLOOKUP(A57,'Trips&amp;Operators'!$C$1:$G$99999,5,FALSE)</f>
        <v>MAGEE KENYA</v>
      </c>
      <c r="M57" s="6">
        <f t="shared" si="1"/>
        <v>2.3819444446417037E-2</v>
      </c>
      <c r="N57" s="7">
        <f t="shared" si="22"/>
        <v>34.300000002840534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08:10:21-700',mode:absolute,to:'2016-12-26 10:49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7" s="52" t="str">
        <f t="shared" si="6"/>
        <v>N</v>
      </c>
      <c r="X57" s="177">
        <f t="shared" si="21"/>
        <v>1</v>
      </c>
      <c r="Y57" s="67">
        <f t="shared" si="8"/>
        <v>4.7699999999999999E-2</v>
      </c>
      <c r="Z57" s="67">
        <f t="shared" si="9"/>
        <v>23.331700000000001</v>
      </c>
      <c r="AA57" s="67">
        <f t="shared" si="10"/>
        <v>23.284000000000002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0145-26</v>
      </c>
      <c r="AE57" s="91" t="str">
        <f t="shared" si="12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57" s="88" t="str">
        <f t="shared" si="13"/>
        <v>"C:\Program Files (x86)\AstroGrep\AstroGrep.exe" /spath="%USERPROFILE%\AppData\Local\Temp\OnboardLogs" /stypes="app*4027*20161226*"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145-26 --locoid 4027 --swversion DE.1.0.8.0 --startMP 204:477 --initTime 2016-12-26T09:10:21 --startdatetime 2016-12-26T09:15:22 --delay 1 --endMP 204:233317 --enddatetime 2016-12-26T09:49:40 --enforcementcount 0 &gt;&gt;C:\Users\stu\Documents\GitHub\eaglep3-reporting\EC\2016-12-26-refined-times.txt</v>
      </c>
      <c r="AI57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{"issue":{"subject":"","project_id":79,"tracker_id":40,"status_id":1,"priority_id":2,"assigned_to_id":23,"start_date":"2016-12-26","description":"","custom_fields":[{"id":1,"name":"Subdivision","value":"EC"},{"id":4,"name":"Milepost","value":"23.3317"},{"id":17,"name":"Train ID","value":"145-26"},{"id":16,"name":"Locomotive ID","value":"4027"},{"id":130,"name":"Impact","value":""},{"id":150,"name":"Time of Event (Mountain Time)","value":"09:49:40"},{"id":151,"name":"Denver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517</v>
      </c>
      <c r="B58" s="7">
        <v>4028</v>
      </c>
      <c r="C58" s="22" t="s">
        <v>205</v>
      </c>
      <c r="D58" s="22" t="s">
        <v>413</v>
      </c>
      <c r="E58" s="13">
        <v>42730.41306712963</v>
      </c>
      <c r="F58" s="13">
        <v>42730.424895833334</v>
      </c>
      <c r="G58" s="7">
        <v>1</v>
      </c>
      <c r="H58" s="22" t="s">
        <v>338</v>
      </c>
      <c r="I58" s="13">
        <v>42730.451041666667</v>
      </c>
      <c r="J58" s="7">
        <v>0</v>
      </c>
      <c r="K58" s="109" t="str">
        <f t="shared" si="0"/>
        <v>4027/4028</v>
      </c>
      <c r="L58" s="22" t="str">
        <f>VLOOKUP(A58,'Trips&amp;Operators'!$C$1:$G$99999,5,FALSE)</f>
        <v>MAGEE KENYA</v>
      </c>
      <c r="M58" s="6">
        <f t="shared" si="1"/>
        <v>2.6145833333430346E-2</v>
      </c>
      <c r="N58" s="7">
        <f t="shared" si="22"/>
        <v>37.650000000139698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08:54:49-700',mode:absolute,to:'2016-12-26 11:49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8" s="52" t="str">
        <f t="shared" si="6"/>
        <v>N</v>
      </c>
      <c r="X58" s="177">
        <f t="shared" si="21"/>
        <v>1</v>
      </c>
      <c r="Y58" s="67">
        <f t="shared" si="8"/>
        <v>23.300999999999998</v>
      </c>
      <c r="Z58" s="67">
        <f t="shared" si="9"/>
        <v>1.41E-2</v>
      </c>
      <c r="AA58" s="67">
        <f t="shared" si="10"/>
        <v>23.286899999999999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0146-26</v>
      </c>
      <c r="AE58" s="91" t="str">
        <f t="shared" si="12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58" s="88" t="str">
        <f t="shared" si="13"/>
        <v>"C:\Program Files (x86)\AstroGrep\AstroGrep.exe" /spath="%USERPROFILE%\AppData\Local\Temp\OnboardLogs" /stypes="app*4028*20161226*"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146-26 --locoid 4028 --swversion DE.1.0.8.0 --startMP 204:233010 --initTime 2016-12-26T09:54:49 --startdatetime 2016-12-26T10:11:51 --delay 1 --endMP 204:141 --enddatetime 2016-12-26T10:49:30 --enforcementcount 0 &gt;&gt;C:\Users\stu\Documents\GitHub\eaglep3-reporting\EC\2016-12-26-refined-times.txt</v>
      </c>
      <c r="AI58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{"issue":{"subject":"","project_id":79,"tracker_id":40,"status_id":1,"priority_id":2,"assigned_to_id":23,"start_date":"2016-12-26","description":"","custom_fields":[{"id":1,"name":"Subdivision","value":"EC"},{"id":4,"name":"Milepost","value":"0.0141"},{"id":17,"name":"Train ID","value":"146-26"},{"id":16,"name":"Locomotive ID","value":"4028"},{"id":130,"name":"Impact","value":""},{"id":150,"name":"Time of Event (Mountain Time)","value":"10:49:30"},{"id":151,"name":"Denver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431</v>
      </c>
      <c r="B59" s="7">
        <v>4025</v>
      </c>
      <c r="C59" s="22" t="s">
        <v>205</v>
      </c>
      <c r="D59" s="22" t="s">
        <v>397</v>
      </c>
      <c r="E59" s="13">
        <v>42730.391701388886</v>
      </c>
      <c r="F59" s="13">
        <v>42730.395995370367</v>
      </c>
      <c r="G59" s="7">
        <v>1</v>
      </c>
      <c r="H59" s="22" t="s">
        <v>672</v>
      </c>
      <c r="I59" s="13">
        <v>42730.421782407408</v>
      </c>
      <c r="J59" s="7">
        <v>0</v>
      </c>
      <c r="K59" s="109" t="str">
        <f t="shared" si="0"/>
        <v>4025/4026</v>
      </c>
      <c r="L59" s="22" t="str">
        <f>VLOOKUP(A59,'Trips&amp;Operators'!$C$1:$G$99999,5,FALSE)</f>
        <v>STARKS ANGELINA</v>
      </c>
      <c r="M59" s="6">
        <f t="shared" si="1"/>
        <v>2.5787037040572613E-2</v>
      </c>
      <c r="N59" s="7">
        <f t="shared" si="22"/>
        <v>37.133333338424563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08:24:03-700',mode:absolute,to:'2016-12-26 11:07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9" s="52" t="str">
        <f t="shared" si="6"/>
        <v>N</v>
      </c>
      <c r="X59" s="177">
        <f t="shared" si="21"/>
        <v>1</v>
      </c>
      <c r="Y59" s="67">
        <f t="shared" si="8"/>
        <v>4.4400000000000002E-2</v>
      </c>
      <c r="Z59" s="67">
        <f t="shared" si="9"/>
        <v>23.328399999999998</v>
      </c>
      <c r="AA59" s="67">
        <f t="shared" si="10"/>
        <v>23.283999999999999</v>
      </c>
      <c r="AB59" s="64" t="str">
        <f>VLOOKUP(A59,Enforcements!$C$7:$K$19,8,0)</f>
        <v>Speed (6)</v>
      </c>
      <c r="AC59" s="60" t="str">
        <f>VLOOKUP(A59,Enforcements!$C$7:$E$19,3,0)</f>
        <v>PERMANENT SPEED RESTRICTION</v>
      </c>
      <c r="AD59" s="61" t="str">
        <f t="shared" si="11"/>
        <v>0147-26</v>
      </c>
      <c r="AE59" s="91" t="str">
        <f t="shared" si="12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59" s="88" t="str">
        <f t="shared" si="13"/>
        <v>"C:\Program Files (x86)\AstroGrep\AstroGrep.exe" /spath="%USERPROFILE%\AppData\Local\Temp\OnboardLogs" /stypes="app*4025*20161226*"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147-26 --locoid 4025 --swversion DE.1.0.8.0 --startMP 204:444 --initTime 2016-12-26T09:24:03 --startdatetime 2016-12-26T09:30:14 --delay 1 --endMP 204:233284 --enddatetime 2016-12-26T10:07:22 --enforcementcount 0 &gt;&gt;C:\Users\stu\Documents\GitHub\eaglep3-reporting\EC\2016-12-26-refined-times.txt</v>
      </c>
      <c r="AI59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{"issue":{"subject":"","project_id":79,"tracker_id":40,"status_id":1,"priority_id":2,"assigned_to_id":23,"start_date":"2016-12-26","description":"","custom_fields":[{"id":1,"name":"Subdivision","value":"EC"},{"id":4,"name":"Milepost","value":"23.3284"},{"id":17,"name":"Train ID","value":"147-26"},{"id":16,"name":"Locomotive ID","value":"4025"},{"id":130,"name":"Impact","value":""},{"id":150,"name":"Time of Event (Mountain Time)","value":"10:07:22"},{"id":151,"name":"Denver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520</v>
      </c>
      <c r="B60" s="7">
        <v>4026</v>
      </c>
      <c r="C60" s="22" t="s">
        <v>205</v>
      </c>
      <c r="D60" s="22" t="s">
        <v>673</v>
      </c>
      <c r="E60" s="13">
        <v>42730.432337962964</v>
      </c>
      <c r="F60" s="13">
        <v>42730.434907407405</v>
      </c>
      <c r="G60" s="7">
        <v>1</v>
      </c>
      <c r="H60" s="22" t="s">
        <v>224</v>
      </c>
      <c r="I60" s="13">
        <v>42730.463530092595</v>
      </c>
      <c r="J60" s="7">
        <v>0</v>
      </c>
      <c r="K60" s="109" t="str">
        <f t="shared" si="0"/>
        <v>4025/4026</v>
      </c>
      <c r="L60" s="22" t="str">
        <f>VLOOKUP(A60,'Trips&amp;Operators'!$C$1:$G$99999,5,FALSE)</f>
        <v>STARKS ANGELINA</v>
      </c>
      <c r="M60" s="6">
        <f t="shared" si="1"/>
        <v>2.8622685189475305E-2</v>
      </c>
      <c r="N60" s="7">
        <f t="shared" si="22"/>
        <v>41.21666667284444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09:22:34-700',mode:absolute,to:'2016-12-26 12:07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0" s="52" t="str">
        <f t="shared" si="6"/>
        <v>N</v>
      </c>
      <c r="X60" s="177">
        <f t="shared" si="21"/>
        <v>1</v>
      </c>
      <c r="Y60" s="67">
        <f t="shared" si="8"/>
        <v>23.296299999999999</v>
      </c>
      <c r="Z60" s="67">
        <f t="shared" si="9"/>
        <v>1.54E-2</v>
      </c>
      <c r="AA60" s="67">
        <f t="shared" si="10"/>
        <v>23.280899999999999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0148-26</v>
      </c>
      <c r="AE60" s="91" t="str">
        <f t="shared" si="12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60" s="88" t="str">
        <f t="shared" si="13"/>
        <v>"C:\Program Files (x86)\AstroGrep\AstroGrep.exe" /spath="%USERPROFILE%\AppData\Local\Temp\OnboardLogs" /stypes="app*4026*20161226*"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148-26 --locoid 4026 --swversion DE.1.0.8.0 --startMP 204:232963 --initTime 2016-12-26T10:22:34 --startdatetime 2016-12-26T10:26:16 --delay 1 --endMP 204:154 --enddatetime 2016-12-26T11:07:29 --enforcementcount 0 &gt;&gt;C:\Users\stu\Documents\GitHub\eaglep3-reporting\EC\2016-12-26-refined-times.txt</v>
      </c>
      <c r="AI60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{"issue":{"subject":"","project_id":79,"tracker_id":40,"status_id":1,"priority_id":2,"assigned_to_id":23,"start_date":"2016-12-26","description":"","custom_fields":[{"id":1,"name":"Subdivision","value":"EC"},{"id":4,"name":"Milepost","value":"0.0154"},{"id":17,"name":"Train ID","value":"148-26"},{"id":16,"name":"Locomotive ID","value":"4026"},{"id":130,"name":"Impact","value":""},{"id":150,"name":"Time of Event (Mountain Time)","value":"11:07:29"},{"id":151,"name":"Denver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514</v>
      </c>
      <c r="B61" s="7">
        <v>4046</v>
      </c>
      <c r="C61" s="22" t="s">
        <v>205</v>
      </c>
      <c r="D61" s="22" t="s">
        <v>674</v>
      </c>
      <c r="E61" s="13">
        <v>42730.403437499997</v>
      </c>
      <c r="F61" s="13">
        <v>42730.406782407408</v>
      </c>
      <c r="G61" s="7">
        <v>1</v>
      </c>
      <c r="H61" s="22" t="s">
        <v>340</v>
      </c>
      <c r="I61" s="13">
        <v>42730.431585648148</v>
      </c>
      <c r="J61" s="7">
        <v>0</v>
      </c>
      <c r="K61" s="109" t="str">
        <f t="shared" si="0"/>
        <v>4045/4046</v>
      </c>
      <c r="L61" s="22" t="str">
        <f>VLOOKUP(A61,'Trips&amp;Operators'!$C$1:$G$99999,5,FALSE)</f>
        <v>DUNCAN SHEILA</v>
      </c>
      <c r="M61" s="6">
        <f t="shared" si="1"/>
        <v>2.4803240739856847E-2</v>
      </c>
      <c r="N61" s="7">
        <f t="shared" si="22"/>
        <v>35.716666665393859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08:40:57-700',mode:absolute,to:'2016-12-26 11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1" s="52" t="str">
        <f t="shared" si="6"/>
        <v>N</v>
      </c>
      <c r="X61" s="177">
        <f t="shared" si="21"/>
        <v>1</v>
      </c>
      <c r="Y61" s="67">
        <f t="shared" si="8"/>
        <v>4.6899999999999997E-2</v>
      </c>
      <c r="Z61" s="67">
        <f t="shared" si="9"/>
        <v>23.327200000000001</v>
      </c>
      <c r="AA61" s="67">
        <f t="shared" si="10"/>
        <v>23.2803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0149-26</v>
      </c>
      <c r="AE61" s="91" t="str">
        <f t="shared" si="12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61" s="88" t="str">
        <f t="shared" si="13"/>
        <v>"C:\Program Files (x86)\AstroGrep\AstroGrep.exe" /spath="%USERPROFILE%\AppData\Local\Temp\OnboardLogs" /stypes="app*4046*20161226*"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149-26 --locoid 4046 --swversion DE.1.0.8.0 --startMP 204:469 --initTime 2016-12-26T09:40:57 --startdatetime 2016-12-26T09:45:46 --delay 1 --endMP 204:233272 --enddatetime 2016-12-26T10:21:29 --enforcementcount 0 &gt;&gt;C:\Users\stu\Documents\GitHub\eaglep3-reporting\EC\2016-12-26-refined-times.txt</v>
      </c>
      <c r="AI61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{"issue":{"subject":"","project_id":79,"tracker_id":40,"status_id":1,"priority_id":2,"assigned_to_id":23,"start_date":"2016-12-26","description":"","custom_fields":[{"id":1,"name":"Subdivision","value":"EC"},{"id":4,"name":"Milepost","value":"23.3272"},{"id":17,"name":"Train ID","value":"149-26"},{"id":16,"name":"Locomotive ID","value":"4046"},{"id":130,"name":"Impact","value":""},{"id":150,"name":"Time of Event (Mountain Time)","value":"10:21:29"},{"id":151,"name":"Denver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522</v>
      </c>
      <c r="B62" s="7">
        <v>4045</v>
      </c>
      <c r="C62" s="22" t="s">
        <v>205</v>
      </c>
      <c r="D62" s="22" t="s">
        <v>333</v>
      </c>
      <c r="E62" s="13">
        <v>42730.44091435185</v>
      </c>
      <c r="F62" s="13">
        <v>42730.445335648146</v>
      </c>
      <c r="G62" s="7">
        <v>1</v>
      </c>
      <c r="H62" s="22" t="s">
        <v>224</v>
      </c>
      <c r="I62" s="13">
        <v>42730.473043981481</v>
      </c>
      <c r="J62" s="7">
        <v>0</v>
      </c>
      <c r="K62" s="109" t="str">
        <f t="shared" si="0"/>
        <v>4045/4046</v>
      </c>
      <c r="L62" s="22" t="str">
        <f>VLOOKUP(A62,'Trips&amp;Operators'!$C$1:$G$99999,5,FALSE)</f>
        <v>DUNCAN SHEILA</v>
      </c>
      <c r="M62" s="6">
        <f t="shared" si="1"/>
        <v>2.7708333334885538E-2</v>
      </c>
      <c r="N62" s="7">
        <f t="shared" si="22"/>
        <v>39.900000002235174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09:34:55-700',mode:absolute,to:'2016-12-26 12:21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2" s="52" t="str">
        <f t="shared" si="6"/>
        <v>N</v>
      </c>
      <c r="X62" s="177">
        <f t="shared" si="21"/>
        <v>1</v>
      </c>
      <c r="Y62" s="67">
        <f t="shared" si="8"/>
        <v>23.296600000000002</v>
      </c>
      <c r="Z62" s="67">
        <f t="shared" si="9"/>
        <v>1.54E-2</v>
      </c>
      <c r="AA62" s="67">
        <f t="shared" si="10"/>
        <v>23.281200000000002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1"/>
        <v>0150-26</v>
      </c>
      <c r="AE62" s="91" t="str">
        <f t="shared" si="12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62" s="88" t="str">
        <f t="shared" si="13"/>
        <v>"C:\Program Files (x86)\AstroGrep\AstroGrep.exe" /spath="%USERPROFILE%\AppData\Local\Temp\OnboardLogs" /stypes="app*4045*20161226*"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150-26 --locoid 4045 --swversion DE.1.0.8.0 --startMP 204:232966 --initTime 2016-12-26T10:34:55 --startdatetime 2016-12-26T10:41:17 --delay 1 --endMP 204:154 --enddatetime 2016-12-26T11:21:11 --enforcementcount 0 &gt;&gt;C:\Users\stu\Documents\GitHub\eaglep3-reporting\EC\2016-12-26-refined-times.txt</v>
      </c>
      <c r="AI62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{"issue":{"subject":"","project_id":79,"tracker_id":40,"status_id":1,"priority_id":2,"assigned_to_id":23,"start_date":"2016-12-26","description":"","custom_fields":[{"id":1,"name":"Subdivision","value":"EC"},{"id":4,"name":"Milepost","value":"0.0154"},{"id":17,"name":"Train ID","value":"150-26"},{"id":16,"name":"Locomotive ID","value":"4045"},{"id":130,"name":"Impact","value":""},{"id":150,"name":"Time of Event (Mountain Time)","value":"11:21:11"},{"id":151,"name":"Denver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516</v>
      </c>
      <c r="B63" s="7">
        <v>4051</v>
      </c>
      <c r="C63" s="22" t="s">
        <v>205</v>
      </c>
      <c r="D63" s="22" t="s">
        <v>397</v>
      </c>
      <c r="E63" s="13">
        <v>42730.411793981482</v>
      </c>
      <c r="F63" s="13">
        <v>42730.416875000003</v>
      </c>
      <c r="G63" s="7">
        <v>1</v>
      </c>
      <c r="H63" s="22" t="s">
        <v>659</v>
      </c>
      <c r="I63" s="13">
        <v>42730.441678240742</v>
      </c>
      <c r="J63" s="7">
        <v>0</v>
      </c>
      <c r="K63" s="109" t="str">
        <f t="shared" si="0"/>
        <v>4051/4052</v>
      </c>
      <c r="L63" s="22" t="str">
        <f>VLOOKUP(A63,'Trips&amp;Operators'!$C$1:$G$99999,5,FALSE)</f>
        <v>SHOOK JOHN</v>
      </c>
      <c r="M63" s="6">
        <f t="shared" si="1"/>
        <v>2.4803240739856847E-2</v>
      </c>
      <c r="N63" s="7">
        <f t="shared" si="22"/>
        <v>35.716666665393859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08:52:59-700',mode:absolute,to:'2016-12-26 11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63" s="52" t="str">
        <f t="shared" si="6"/>
        <v>N</v>
      </c>
      <c r="X63" s="177">
        <f t="shared" si="21"/>
        <v>1</v>
      </c>
      <c r="Y63" s="67">
        <f t="shared" si="8"/>
        <v>4.4400000000000002E-2</v>
      </c>
      <c r="Z63" s="67">
        <f t="shared" si="9"/>
        <v>23.335100000000001</v>
      </c>
      <c r="AA63" s="67">
        <f t="shared" si="10"/>
        <v>23.290700000000001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0151-26</v>
      </c>
      <c r="AE63" s="91" t="str">
        <f t="shared" si="12"/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63" s="88" t="str">
        <f t="shared" si="13"/>
        <v>"C:\Program Files (x86)\AstroGrep\AstroGrep.exe" /spath="%USERPROFILE%\AppData\Local\Temp\OnboardLogs" /stypes="app*4051*20161226*"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151-26 --locoid 4051 --swversion DE.1.0.8.0 --startMP 204:444 --initTime 2016-12-26T09:52:59 --startdatetime 2016-12-26T10:00:18 --delay 1 --endMP 204:233351 --enddatetime 2016-12-26T10:36:01 --enforcementcount 0 &gt;&gt;C:\Users\stu\Documents\GitHub\eaglep3-reporting\EC\2016-12-26-refined-times.txt</v>
      </c>
      <c r="AI63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{"issue":{"subject":"","project_id":79,"tracker_id":40,"status_id":1,"priority_id":2,"assigned_to_id":23,"start_date":"2016-12-26","description":"","custom_fields":[{"id":1,"name":"Subdivision","value":"EC"},{"id":4,"name":"Milepost","value":"23.3351"},{"id":17,"name":"Train ID","value":"151-26"},{"id":16,"name":"Locomotive ID","value":"4051"},{"id":130,"name":"Impact","value":""},{"id":150,"name":"Time of Event (Mountain Time)","value":"10:36:01"},{"id":151,"name":"Denver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525</v>
      </c>
      <c r="B64" s="7">
        <v>4052</v>
      </c>
      <c r="C64" s="22" t="s">
        <v>205</v>
      </c>
      <c r="D64" s="22" t="s">
        <v>256</v>
      </c>
      <c r="E64" s="13">
        <v>42730.445972222224</v>
      </c>
      <c r="F64" s="13">
        <v>42730.455752314818</v>
      </c>
      <c r="G64" s="7">
        <v>1</v>
      </c>
      <c r="H64" s="22" t="s">
        <v>192</v>
      </c>
      <c r="I64" s="13">
        <v>42730.482812499999</v>
      </c>
      <c r="J64" s="7">
        <v>0</v>
      </c>
      <c r="K64" s="109" t="str">
        <f t="shared" si="0"/>
        <v>4051/4052</v>
      </c>
      <c r="L64" s="22" t="str">
        <f>VLOOKUP(A64,'Trips&amp;Operators'!$C$1:$G$99999,5,FALSE)</f>
        <v>SHOOK JOHN</v>
      </c>
      <c r="M64" s="6">
        <f t="shared" si="1"/>
        <v>2.7060185180744156E-2</v>
      </c>
      <c r="N64" s="7">
        <f t="shared" si="22"/>
        <v>38.966666660271585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09:42:12-700',mode:absolute,to:'2016-12-26 12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64" s="52" t="str">
        <f t="shared" si="6"/>
        <v>N</v>
      </c>
      <c r="X64" s="177">
        <f t="shared" si="21"/>
        <v>1</v>
      </c>
      <c r="Y64" s="67">
        <f t="shared" si="8"/>
        <v>23.299399999999999</v>
      </c>
      <c r="Z64" s="67">
        <f t="shared" si="9"/>
        <v>1.43E-2</v>
      </c>
      <c r="AA64" s="67">
        <f t="shared" si="10"/>
        <v>23.2851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0152-26</v>
      </c>
      <c r="AE64" s="91" t="str">
        <f t="shared" si="12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64" s="88" t="str">
        <f t="shared" si="13"/>
        <v>"C:\Program Files (x86)\AstroGrep\AstroGrep.exe" /spath="%USERPROFILE%\AppData\Local\Temp\OnboardLogs" /stypes="app*4052*20161226*"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152-26 --locoid 4052 --swversion DE.1.0.8.0 --startMP 204:232994 --initTime 2016-12-26T10:42:12 --startdatetime 2016-12-26T10:56:17 --delay 1 --endMP 204:143 --enddatetime 2016-12-26T11:35:15 --enforcementcount 0 &gt;&gt;C:\Users\stu\Documents\GitHub\eaglep3-reporting\EC\2016-12-26-refined-times.txt</v>
      </c>
      <c r="AI64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{"issue":{"subject":"","project_id":79,"tracker_id":40,"status_id":1,"priority_id":2,"assigned_to_id":23,"start_date":"2016-12-26","description":"","custom_fields":[{"id":1,"name":"Subdivision","value":"EC"},{"id":4,"name":"Milepost","value":"0.0143"},{"id":17,"name":"Train ID","value":"152-26"},{"id":16,"name":"Locomotive ID","value":"4052"},{"id":130,"name":"Impact","value":""},{"id":150,"name":"Time of Event (Mountain Time)","value":"11:35:15"},{"id":151,"name":"Denver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518</v>
      </c>
      <c r="B65" s="7">
        <v>4044</v>
      </c>
      <c r="C65" s="22" t="s">
        <v>205</v>
      </c>
      <c r="D65" s="22" t="s">
        <v>668</v>
      </c>
      <c r="E65" s="13">
        <v>42730.422546296293</v>
      </c>
      <c r="F65" s="13">
        <v>42730.427557870367</v>
      </c>
      <c r="G65" s="7">
        <v>1</v>
      </c>
      <c r="H65" s="22" t="s">
        <v>412</v>
      </c>
      <c r="I65" s="13">
        <v>42730.45140046296</v>
      </c>
      <c r="J65" s="7">
        <v>0</v>
      </c>
      <c r="K65" s="109" t="str">
        <f t="shared" si="0"/>
        <v>4043/4044</v>
      </c>
      <c r="L65" s="22" t="str">
        <f>VLOOKUP(A65,'Trips&amp;Operators'!$C$1:$G$99999,5,FALSE)</f>
        <v>YANG JAN</v>
      </c>
      <c r="M65" s="6">
        <f t="shared" si="1"/>
        <v>2.3842592592700385E-2</v>
      </c>
      <c r="N65" s="7">
        <f t="shared" si="22"/>
        <v>34.333333333488554</v>
      </c>
      <c r="O65" s="7"/>
      <c r="P65" s="7"/>
      <c r="Q65" s="23"/>
      <c r="R65" s="23" t="s">
        <v>925</v>
      </c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09:08:28-700',mode:absolute,to:'2016-12-26 11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5" s="52" t="str">
        <f t="shared" si="6"/>
        <v>N</v>
      </c>
      <c r="X65" s="177">
        <f t="shared" si="21"/>
        <v>1</v>
      </c>
      <c r="Y65" s="67">
        <f t="shared" si="8"/>
        <v>4.6600000000000003E-2</v>
      </c>
      <c r="Z65" s="67">
        <f t="shared" si="9"/>
        <v>23.3306</v>
      </c>
      <c r="AA65" s="67">
        <f t="shared" si="10"/>
        <v>23.283999999999999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1"/>
        <v>0153-26</v>
      </c>
      <c r="AE65" s="91" t="str">
        <f t="shared" si="12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65" s="88" t="str">
        <f t="shared" si="13"/>
        <v>"C:\Program Files (x86)\AstroGrep\AstroGrep.exe" /spath="%USERPROFILE%\AppData\Local\Temp\OnboardLogs" /stypes="app*4044*20161226*"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153-26 --locoid 4044 --swversion DE.1.0.8.0 --startMP 204:466 --initTime 2016-12-26T10:08:28 --startdatetime 2016-12-26T10:15:41 --delay 1 --endMP 204:233306 --enddatetime 2016-12-26T10:50:01 --enforcementcount 0 &gt;&gt;C:\Users\stu\Documents\GitHub\eaglep3-reporting\EC\2016-12-26-refined-times.txt</v>
      </c>
      <c r="AI65" s="119" t="str">
        <f t="shared" si="18"/>
        <v>echo {"issue":{"subject":"Wi-MAX data drop led to unhealthy crossings","project_id":79,"tracker_id":40,"status_id":1,"priority_id":2,"assigned_to_id":23,"start_date":"2016-12-26","description":"","custom_fields":[{"id":1,"name":"Subdivision","value":"EC"},{"id":4,"name":"Milepost","value":"23.3306"},{"id":17,"name":"Train ID","value":"153-26"},{"id":16,"name":"Locomotive ID","value":"4044"},{"id":130,"name":"Impact","value":""},{"id":150,"name":"Time of Event (Mountain Time)","value":"10:50:01"},{"id":151,"name":"Denver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526</v>
      </c>
      <c r="B66" s="7">
        <v>4043</v>
      </c>
      <c r="C66" s="22" t="s">
        <v>205</v>
      </c>
      <c r="D66" s="22" t="s">
        <v>269</v>
      </c>
      <c r="E66" s="13">
        <v>42730.4534375</v>
      </c>
      <c r="F66" s="13">
        <v>42730.466828703706</v>
      </c>
      <c r="G66" s="7">
        <v>1</v>
      </c>
      <c r="H66" s="22" t="s">
        <v>211</v>
      </c>
      <c r="I66" s="13">
        <v>42730.493668981479</v>
      </c>
      <c r="J66" s="7">
        <v>0</v>
      </c>
      <c r="K66" s="109" t="str">
        <f t="shared" si="0"/>
        <v>4043/4044</v>
      </c>
      <c r="L66" s="22" t="str">
        <f>VLOOKUP(A66,'Trips&amp;Operators'!$C$1:$G$99999,5,FALSE)</f>
        <v>YANG JAN</v>
      </c>
      <c r="M66" s="6">
        <f t="shared" si="1"/>
        <v>2.6840277772862464E-2</v>
      </c>
      <c r="N66" s="7">
        <f t="shared" si="22"/>
        <v>38.649999992921948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09:52:57-700',mode:absolute,to:'2016-12-26 12:50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6" s="52" t="str">
        <f t="shared" si="6"/>
        <v>N</v>
      </c>
      <c r="X66" s="177">
        <f t="shared" si="21"/>
        <v>1</v>
      </c>
      <c r="Y66" s="67">
        <f t="shared" si="8"/>
        <v>23.299299999999999</v>
      </c>
      <c r="Z66" s="67">
        <f t="shared" si="9"/>
        <v>1.4999999999999999E-2</v>
      </c>
      <c r="AA66" s="67">
        <f t="shared" si="10"/>
        <v>23.284299999999998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0154-26</v>
      </c>
      <c r="AE66" s="91" t="str">
        <f t="shared" si="12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66" s="88" t="str">
        <f t="shared" si="13"/>
        <v>"C:\Program Files (x86)\AstroGrep\AstroGrep.exe" /spath="%USERPROFILE%\AppData\Local\Temp\OnboardLogs" /stypes="app*4043*20161226*"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154-26 --locoid 4043 --swversion DE.1.0.8.0 --startMP 204:232993 --initTime 2016-12-26T10:52:57 --startdatetime 2016-12-26T11:12:14 --delay 1 --endMP 204:150 --enddatetime 2016-12-26T11:50:53 --enforcementcount 0 &gt;&gt;C:\Users\stu\Documents\GitHub\eaglep3-reporting\EC\2016-12-26-refined-times.txt</v>
      </c>
      <c r="AI66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{"issue":{"subject":"","project_id":79,"tracker_id":40,"status_id":1,"priority_id":2,"assigned_to_id":23,"start_date":"2016-12-26","description":"","custom_fields":[{"id":1,"name":"Subdivision","value":"EC"},{"id":4,"name":"Milepost","value":"0.015"},{"id":17,"name":"Train ID","value":"154-26"},{"id":16,"name":"Locomotive ID","value":"4043"},{"id":130,"name":"Impact","value":""},{"id":150,"name":"Time of Event (Mountain Time)","value":"11:50:53"},{"id":151,"name":"Denver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521</v>
      </c>
      <c r="B67" s="7">
        <v>4029</v>
      </c>
      <c r="C67" s="22" t="s">
        <v>205</v>
      </c>
      <c r="D67" s="22" t="s">
        <v>674</v>
      </c>
      <c r="E67" s="13">
        <v>42730.433576388888</v>
      </c>
      <c r="F67" s="13">
        <v>42730.437638888892</v>
      </c>
      <c r="G67" s="7">
        <v>1</v>
      </c>
      <c r="H67" s="22" t="s">
        <v>375</v>
      </c>
      <c r="I67" s="13">
        <v>42730.46234953704</v>
      </c>
      <c r="J67" s="7">
        <v>0</v>
      </c>
      <c r="K67" s="109" t="str">
        <f t="shared" si="0"/>
        <v>4029/4030</v>
      </c>
      <c r="L67" s="22" t="str">
        <f>VLOOKUP(A67,'Trips&amp;Operators'!$C$1:$G$99999,5,FALSE)</f>
        <v>DAVIS WENDY</v>
      </c>
      <c r="M67" s="6">
        <f t="shared" si="1"/>
        <v>2.47106481474475E-2</v>
      </c>
      <c r="N67" s="7">
        <f t="shared" si="22"/>
        <v>35.583333332324401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09:24:21-700',mode:absolute,to:'2016-12-26 12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7" s="52" t="str">
        <f t="shared" si="6"/>
        <v>N</v>
      </c>
      <c r="X67" s="177">
        <f t="shared" si="21"/>
        <v>1</v>
      </c>
      <c r="Y67" s="67">
        <f t="shared" si="8"/>
        <v>4.6899999999999997E-2</v>
      </c>
      <c r="Z67" s="67">
        <f t="shared" si="9"/>
        <v>23.330500000000001</v>
      </c>
      <c r="AA67" s="67">
        <f t="shared" si="10"/>
        <v>23.2836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0155-26</v>
      </c>
      <c r="AE67" s="91" t="str">
        <f t="shared" si="12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67" s="88" t="str">
        <f t="shared" si="13"/>
        <v>"C:\Program Files (x86)\AstroGrep\AstroGrep.exe" /spath="%USERPROFILE%\AppData\Local\Temp\OnboardLogs" /stypes="app*4029*20161226*"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155-26 --locoid 4029 --swversion DE.1.0.8.0 --startMP 204:469 --initTime 2016-12-26T10:24:21 --startdatetime 2016-12-26T10:30:12 --delay 1 --endMP 204:233305 --enddatetime 2016-12-26T11:05:47 --enforcementcount 0 &gt;&gt;C:\Users\stu\Documents\GitHub\eaglep3-reporting\EC\2016-12-26-refined-times.txt</v>
      </c>
      <c r="AI67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{"issue":{"subject":"","project_id":79,"tracker_id":40,"status_id":1,"priority_id":2,"assigned_to_id":23,"start_date":"2016-12-26","description":"","custom_fields":[{"id":1,"name":"Subdivision","value":"EC"},{"id":4,"name":"Milepost","value":"23.3305"},{"id":17,"name":"Train ID","value":"155-26"},{"id":16,"name":"Locomotive ID","value":"4029"},{"id":130,"name":"Impact","value":""},{"id":150,"name":"Time of Event (Mountain Time)","value":"11:05:47"},{"id":151,"name":"Denver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529</v>
      </c>
      <c r="B68" s="7">
        <v>4030</v>
      </c>
      <c r="C68" s="22" t="s">
        <v>205</v>
      </c>
      <c r="D68" s="22" t="s">
        <v>277</v>
      </c>
      <c r="E68" s="13">
        <v>42730.472592592596</v>
      </c>
      <c r="F68" s="13">
        <v>42730.476574074077</v>
      </c>
      <c r="G68" s="7">
        <v>1</v>
      </c>
      <c r="H68" s="22" t="s">
        <v>675</v>
      </c>
      <c r="I68" s="13">
        <v>42730.505150462966</v>
      </c>
      <c r="J68" s="7">
        <v>0</v>
      </c>
      <c r="K68" s="109" t="str">
        <f t="shared" si="0"/>
        <v>4029/4030</v>
      </c>
      <c r="L68" s="22" t="str">
        <f>VLOOKUP(A68,'Trips&amp;Operators'!$C$1:$G$99999,5,FALSE)</f>
        <v>DAVIS WENDY</v>
      </c>
      <c r="M68" s="6">
        <f t="shared" si="1"/>
        <v>2.8576388889632653E-2</v>
      </c>
      <c r="N68" s="7">
        <f t="shared" si="22"/>
        <v>41.150000001071021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10:20:32-700',mode:absolute,to:'2016-12-26 13:07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8" s="52" t="str">
        <f t="shared" si="6"/>
        <v>N</v>
      </c>
      <c r="X68" s="177">
        <f t="shared" si="21"/>
        <v>1</v>
      </c>
      <c r="Y68" s="67">
        <f t="shared" si="8"/>
        <v>23.2986</v>
      </c>
      <c r="Z68" s="67">
        <f t="shared" si="9"/>
        <v>1.2500000000000001E-2</v>
      </c>
      <c r="AA68" s="67">
        <f t="shared" si="10"/>
        <v>23.286100000000001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1"/>
        <v>0156-26</v>
      </c>
      <c r="AE68" s="91" t="str">
        <f t="shared" si="12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68" s="88" t="str">
        <f t="shared" si="13"/>
        <v>"C:\Program Files (x86)\AstroGrep\AstroGrep.exe" /spath="%USERPROFILE%\AppData\Local\Temp\OnboardLogs" /stypes="app*4030*20161226*"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156-26 --locoid 4030 --swversion DE.1.0.8.0 --startMP 204:232986 --initTime 2016-12-26T11:20:32 --startdatetime 2016-12-26T11:26:16 --delay 1 --endMP 204:125 --enddatetime 2016-12-26T12:07:25 --enforcementcount 0 &gt;&gt;C:\Users\stu\Documents\GitHub\eaglep3-reporting\EC\2016-12-26-refined-times.txt</v>
      </c>
      <c r="AI68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{"issue":{"subject":"","project_id":79,"tracker_id":40,"status_id":1,"priority_id":2,"assigned_to_id":23,"start_date":"2016-12-26","description":"","custom_fields":[{"id":1,"name":"Subdivision","value":"EC"},{"id":4,"name":"Milepost","value":"0.0125"},{"id":17,"name":"Train ID","value":"156-26"},{"id":16,"name":"Locomotive ID","value":"4030"},{"id":130,"name":"Impact","value":""},{"id":150,"name":"Time of Event (Mountain Time)","value":"12:07:25"},{"id":151,"name":"Denver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524</v>
      </c>
      <c r="B69" s="7">
        <v>4031</v>
      </c>
      <c r="C69" s="22" t="s">
        <v>205</v>
      </c>
      <c r="D69" s="22" t="s">
        <v>254</v>
      </c>
      <c r="E69" s="13">
        <v>42730.444479166668</v>
      </c>
      <c r="F69" s="13">
        <v>42730.448773148149</v>
      </c>
      <c r="G69" s="7">
        <v>1</v>
      </c>
      <c r="H69" s="22" t="s">
        <v>676</v>
      </c>
      <c r="I69" s="13">
        <v>42730.472766203704</v>
      </c>
      <c r="J69" s="7">
        <v>0</v>
      </c>
      <c r="K69" s="109" t="str">
        <f t="shared" si="0"/>
        <v>4031/4032</v>
      </c>
      <c r="L69" s="22" t="str">
        <f>VLOOKUP(A69,'Trips&amp;Operators'!$C$1:$G$99999,5,FALSE)</f>
        <v>ROBINSON KADDIBA</v>
      </c>
      <c r="M69" s="6">
        <f t="shared" si="1"/>
        <v>2.3993055554456078E-2</v>
      </c>
      <c r="N69" s="7">
        <f t="shared" si="22"/>
        <v>34.549999998416752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09:40:03-700',mode:absolute,to:'2016-12-26 12:20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9" s="52" t="str">
        <f t="shared" si="6"/>
        <v>N</v>
      </c>
      <c r="X69" s="177">
        <f t="shared" si="21"/>
        <v>1</v>
      </c>
      <c r="Y69" s="67">
        <f t="shared" si="8"/>
        <v>4.53E-2</v>
      </c>
      <c r="Z69" s="67">
        <f t="shared" si="9"/>
        <v>23.333400000000001</v>
      </c>
      <c r="AA69" s="67">
        <f t="shared" si="10"/>
        <v>23.2881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0157-26</v>
      </c>
      <c r="AE69" s="91" t="str">
        <f t="shared" si="12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69" s="88" t="str">
        <f t="shared" si="13"/>
        <v>"C:\Program Files (x86)\AstroGrep\AstroGrep.exe" /spath="%USERPROFILE%\AppData\Local\Temp\OnboardLogs" /stypes="app*4031*20161226*"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157-26 --locoid 4031 --swversion DE.1.0.8.0 --startMP 204:453 --initTime 2016-12-26T10:40:03 --startdatetime 2016-12-26T10:46:14 --delay 1 --endMP 204:233334 --enddatetime 2016-12-26T11:20:47 --enforcementcount 0 &gt;&gt;C:\Users\stu\Documents\GitHub\eaglep3-reporting\EC\2016-12-26-refined-times.txt</v>
      </c>
      <c r="AI69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{"issue":{"subject":"","project_id":79,"tracker_id":40,"status_id":1,"priority_id":2,"assigned_to_id":23,"start_date":"2016-12-26","description":"","custom_fields":[{"id":1,"name":"Subdivision","value":"EC"},{"id":4,"name":"Milepost","value":"23.3334"},{"id":17,"name":"Train ID","value":"157-26"},{"id":16,"name":"Locomotive ID","value":"4031"},{"id":130,"name":"Impact","value":""},{"id":150,"name":"Time of Event (Mountain Time)","value":"11:20:47"},{"id":151,"name":"Denver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533</v>
      </c>
      <c r="B70" s="7">
        <v>4032</v>
      </c>
      <c r="C70" s="22" t="s">
        <v>205</v>
      </c>
      <c r="D70" s="22" t="s">
        <v>670</v>
      </c>
      <c r="E70" s="13">
        <v>42730.482662037037</v>
      </c>
      <c r="F70" s="13">
        <v>42730.48704861111</v>
      </c>
      <c r="G70" s="7">
        <v>1</v>
      </c>
      <c r="H70" s="22" t="s">
        <v>191</v>
      </c>
      <c r="I70" s="13">
        <v>42730.514062499999</v>
      </c>
      <c r="J70" s="7">
        <v>0</v>
      </c>
      <c r="K70" s="109" t="str">
        <f t="shared" si="0"/>
        <v>4031/4032</v>
      </c>
      <c r="L70" s="22" t="str">
        <f>VLOOKUP(A70,'Trips&amp;Operators'!$C$1:$G$99999,5,FALSE)</f>
        <v>ROBINSON KADDIBA</v>
      </c>
      <c r="M70" s="6">
        <f t="shared" si="1"/>
        <v>2.7013888888177462E-2</v>
      </c>
      <c r="N70" s="7">
        <f t="shared" si="22"/>
        <v>38.899999998975545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10:35:02-700',mode:absolute,to:'2016-12-26 13:20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0" s="52" t="str">
        <f t="shared" si="6"/>
        <v>N</v>
      </c>
      <c r="X70" s="177">
        <f t="shared" si="21"/>
        <v>1</v>
      </c>
      <c r="Y70" s="67">
        <f t="shared" si="8"/>
        <v>23.3017</v>
      </c>
      <c r="Z70" s="67">
        <f t="shared" si="9"/>
        <v>1.49E-2</v>
      </c>
      <c r="AA70" s="67">
        <f t="shared" si="10"/>
        <v>23.286799999999999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0158-26</v>
      </c>
      <c r="AE70" s="91" t="str">
        <f t="shared" si="12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70" s="88" t="str">
        <f t="shared" si="13"/>
        <v>"C:\Program Files (x86)\AstroGrep\AstroGrep.exe" /spath="%USERPROFILE%\AppData\Local\Temp\OnboardLogs" /stypes="app*4032*20161226*"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158-26 --locoid 4032 --swversion DE.1.0.8.0 --startMP 204:233017 --initTime 2016-12-26T11:35:02 --startdatetime 2016-12-26T11:41:21 --delay 1 --endMP 204:149 --enddatetime 2016-12-26T12:20:15 --enforcementcount 0 &gt;&gt;C:\Users\stu\Documents\GitHub\eaglep3-reporting\EC\2016-12-26-refined-times.txt</v>
      </c>
      <c r="AI70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{"issue":{"subject":"","project_id":79,"tracker_id":40,"status_id":1,"priority_id":2,"assigned_to_id":23,"start_date":"2016-12-26","description":"","custom_fields":[{"id":1,"name":"Subdivision","value":"EC"},{"id":4,"name":"Milepost","value":"0.0149"},{"id":17,"name":"Train ID","value":"158-26"},{"id":16,"name":"Locomotive ID","value":"4032"},{"id":130,"name":"Impact","value":""},{"id":150,"name":"Time of Event (Mountain Time)","value":"12:20:15"},{"id":151,"name":"Denver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432</v>
      </c>
      <c r="B71" s="7">
        <v>4027</v>
      </c>
      <c r="C71" s="22" t="s">
        <v>205</v>
      </c>
      <c r="D71" s="22" t="s">
        <v>677</v>
      </c>
      <c r="E71" s="13">
        <v>42730.453125</v>
      </c>
      <c r="F71" s="13">
        <v>42730.458611111113</v>
      </c>
      <c r="G71" s="7">
        <v>2</v>
      </c>
      <c r="H71" s="22" t="s">
        <v>371</v>
      </c>
      <c r="I71" s="13">
        <v>42730.484502314815</v>
      </c>
      <c r="J71" s="7">
        <v>0</v>
      </c>
      <c r="K71" s="109" t="str">
        <f t="shared" si="0"/>
        <v>4027/4028</v>
      </c>
      <c r="L71" s="22" t="str">
        <f>VLOOKUP(A71,'Trips&amp;Operators'!$C$1:$G$99999,5,FALSE)</f>
        <v>STEWART MICHAEL</v>
      </c>
      <c r="M71" s="6">
        <f t="shared" si="1"/>
        <v>2.5891203702485655E-2</v>
      </c>
      <c r="N71" s="7">
        <f t="shared" si="22"/>
        <v>37.283333331579342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09:52:30-700',mode:absolute,to:'2016-12-26 12:37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1" s="52" t="str">
        <f t="shared" si="6"/>
        <v>N</v>
      </c>
      <c r="X71" s="177">
        <f t="shared" si="21"/>
        <v>1</v>
      </c>
      <c r="Y71" s="67">
        <f t="shared" si="8"/>
        <v>4.3799999999999999E-2</v>
      </c>
      <c r="Z71" s="67">
        <f t="shared" si="9"/>
        <v>23.3291</v>
      </c>
      <c r="AA71" s="67">
        <f t="shared" si="10"/>
        <v>23.285299999999999</v>
      </c>
      <c r="AB71" s="64" t="str">
        <f>VLOOKUP(A71,Enforcements!$C$7:$K$19,8,0)</f>
        <v>Bulletin (2)</v>
      </c>
      <c r="AC71" s="60" t="str">
        <f>VLOOKUP(A71,Enforcements!$C$7:$E$19,3,0)</f>
        <v>GRADE CROSSING</v>
      </c>
      <c r="AD71" s="61" t="str">
        <f t="shared" si="11"/>
        <v>0159-26</v>
      </c>
      <c r="AE71" s="91" t="str">
        <f t="shared" si="12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71" s="88" t="str">
        <f t="shared" si="13"/>
        <v>"C:\Program Files (x86)\AstroGrep\AstroGrep.exe" /spath="%USERPROFILE%\AppData\Local\Temp\OnboardLogs" /stypes="app*4027*20161226*"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159-26 --locoid 4027 --swversion DE.1.0.8.0 --startMP 204:438 --initTime 2016-12-26T10:52:30 --startdatetime 2016-12-26T11:00:24 --delay 2 --endMP 204:233291 --enddatetime 2016-12-26T11:37:41 --enforcementcount 0 &gt;&gt;C:\Users\stu\Documents\GitHub\eaglep3-reporting\EC\2016-12-26-refined-times.txt</v>
      </c>
      <c r="AI71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{"issue":{"subject":"","project_id":79,"tracker_id":40,"status_id":1,"priority_id":2,"assigned_to_id":23,"start_date":"2016-12-26","description":"","custom_fields":[{"id":1,"name":"Subdivision","value":"EC"},{"id":4,"name":"Milepost","value":"23.3291"},{"id":17,"name":"Train ID","value":"159-26"},{"id":16,"name":"Locomotive ID","value":"4027"},{"id":130,"name":"Impact","value":""},{"id":150,"name":"Time of Event (Mountain Time)","value":"11:37:41"},{"id":151,"name":"Denver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536</v>
      </c>
      <c r="B72" s="7">
        <v>4028</v>
      </c>
      <c r="C72" s="22" t="s">
        <v>205</v>
      </c>
      <c r="D72" s="22" t="s">
        <v>287</v>
      </c>
      <c r="E72" s="13">
        <v>42730.495879629627</v>
      </c>
      <c r="F72" s="13">
        <v>42730.497662037036</v>
      </c>
      <c r="G72" s="7">
        <v>1</v>
      </c>
      <c r="H72" s="22" t="s">
        <v>373</v>
      </c>
      <c r="I72" s="13">
        <v>42730.525497685187</v>
      </c>
      <c r="J72" s="7">
        <v>0</v>
      </c>
      <c r="K72" s="109" t="str">
        <f t="shared" si="0"/>
        <v>4027/4028</v>
      </c>
      <c r="L72" s="22" t="str">
        <f>VLOOKUP(A72,'Trips&amp;Operators'!$C$1:$G$99999,5,FALSE)</f>
        <v>STEWART MICHAEL</v>
      </c>
      <c r="M72" s="6">
        <f t="shared" si="1"/>
        <v>2.7835648150357883E-2</v>
      </c>
      <c r="N72" s="7">
        <f t="shared" si="22"/>
        <v>40.083333336515352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10:54:04-700',mode:absolute,to:'2016-12-26 13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2" s="52" t="str">
        <f t="shared" si="6"/>
        <v>N</v>
      </c>
      <c r="X72" s="177">
        <f t="shared" si="21"/>
        <v>1</v>
      </c>
      <c r="Y72" s="67">
        <f t="shared" si="8"/>
        <v>23.2973</v>
      </c>
      <c r="Z72" s="67">
        <f t="shared" si="9"/>
        <v>1.5599999999999999E-2</v>
      </c>
      <c r="AA72" s="67">
        <f t="shared" si="10"/>
        <v>23.281700000000001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0160-26</v>
      </c>
      <c r="AE72" s="91" t="str">
        <f t="shared" si="12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72" s="88" t="str">
        <f t="shared" si="13"/>
        <v>"C:\Program Files (x86)\AstroGrep\AstroGrep.exe" /spath="%USERPROFILE%\AppData\Local\Temp\OnboardLogs" /stypes="app*4028*20161226*"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160-26 --locoid 4028 --swversion DE.1.0.8.0 --startMP 204:232973 --initTime 2016-12-26T11:54:04 --startdatetime 2016-12-26T11:56:38 --delay 1 --endMP 204:156 --enddatetime 2016-12-26T12:36:43 --enforcementcount 0 &gt;&gt;C:\Users\stu\Documents\GitHub\eaglep3-reporting\EC\2016-12-26-refined-times.txt</v>
      </c>
      <c r="AI72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{"issue":{"subject":"","project_id":79,"tracker_id":40,"status_id":1,"priority_id":2,"assigned_to_id":23,"start_date":"2016-12-26","description":"","custom_fields":[{"id":1,"name":"Subdivision","value":"EC"},{"id":4,"name":"Milepost","value":"0.0156"},{"id":17,"name":"Train ID","value":"160-26"},{"id":16,"name":"Locomotive ID","value":"4028"},{"id":130,"name":"Impact","value":""},{"id":150,"name":"Time of Event (Mountain Time)","value":"12:36:43"},{"id":151,"name":"Denver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527</v>
      </c>
      <c r="B73" s="7">
        <v>4025</v>
      </c>
      <c r="C73" s="22" t="s">
        <v>205</v>
      </c>
      <c r="D73" s="22" t="s">
        <v>370</v>
      </c>
      <c r="E73" s="13">
        <v>42730.467442129629</v>
      </c>
      <c r="F73" s="13">
        <v>42730.469861111109</v>
      </c>
      <c r="G73" s="7">
        <v>1</v>
      </c>
      <c r="H73" s="22" t="s">
        <v>402</v>
      </c>
      <c r="I73" s="13">
        <v>42730.49459490741</v>
      </c>
      <c r="J73" s="7">
        <v>0</v>
      </c>
      <c r="K73" s="109" t="str">
        <f t="shared" si="0"/>
        <v>4025/4026</v>
      </c>
      <c r="L73" s="22" t="str">
        <f>VLOOKUP(A73,'Trips&amp;Operators'!$C$1:$G$99999,5,FALSE)</f>
        <v>DAVIS MICHAEL</v>
      </c>
      <c r="M73" s="6">
        <f t="shared" si="1"/>
        <v>2.4733796301006805E-2</v>
      </c>
      <c r="N73" s="7">
        <f t="shared" si="22"/>
        <v>35.616666673449799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10:13:07-700',mode:absolute,to:'2016-12-26 12:52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3" s="52" t="str">
        <f t="shared" si="6"/>
        <v>N</v>
      </c>
      <c r="X73" s="177">
        <f t="shared" si="21"/>
        <v>1</v>
      </c>
      <c r="Y73" s="67">
        <f t="shared" si="8"/>
        <v>4.5699999999999998E-2</v>
      </c>
      <c r="Z73" s="67">
        <f t="shared" si="9"/>
        <v>23.330200000000001</v>
      </c>
      <c r="AA73" s="67">
        <f t="shared" si="10"/>
        <v>23.284500000000001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0161-26</v>
      </c>
      <c r="AE73" s="91" t="str">
        <f t="shared" si="12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73" s="88" t="str">
        <f t="shared" si="13"/>
        <v>"C:\Program Files (x86)\AstroGrep\AstroGrep.exe" /spath="%USERPROFILE%\AppData\Local\Temp\OnboardLogs" /stypes="app*4025*20161226*"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161-26 --locoid 4025 --swversion DE.1.0.8.0 --startMP 204:457 --initTime 2016-12-26T11:13:07 --startdatetime 2016-12-26T11:16:36 --delay 1 --endMP 204:233302 --enddatetime 2016-12-26T11:52:13 --enforcementcount 0 &gt;&gt;C:\Users\stu\Documents\GitHub\eaglep3-reporting\EC\2016-12-26-refined-times.txt</v>
      </c>
      <c r="AI73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{"issue":{"subject":"","project_id":79,"tracker_id":40,"status_id":1,"priority_id":2,"assigned_to_id":23,"start_date":"2016-12-26","description":"","custom_fields":[{"id":1,"name":"Subdivision","value":"EC"},{"id":4,"name":"Milepost","value":"23.3302"},{"id":17,"name":"Train ID","value":"161-26"},{"id":16,"name":"Locomotive ID","value":"4025"},{"id":130,"name":"Impact","value":""},{"id":150,"name":"Time of Event (Mountain Time)","value":"11:52:13"},{"id":151,"name":"Denver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435</v>
      </c>
      <c r="B74" s="7">
        <v>4026</v>
      </c>
      <c r="C74" s="22" t="s">
        <v>205</v>
      </c>
      <c r="D74" s="22" t="s">
        <v>265</v>
      </c>
      <c r="E74" s="13">
        <v>42730.503912037035</v>
      </c>
      <c r="F74" s="13">
        <v>42730.508020833331</v>
      </c>
      <c r="G74" s="7">
        <v>1</v>
      </c>
      <c r="H74" s="22" t="s">
        <v>243</v>
      </c>
      <c r="I74" s="13">
        <v>42730.535821759258</v>
      </c>
      <c r="J74" s="7">
        <v>0</v>
      </c>
      <c r="K74" s="109" t="str">
        <f t="shared" si="0"/>
        <v>4025/4026</v>
      </c>
      <c r="L74" s="22" t="str">
        <f>VLOOKUP(A74,'Trips&amp;Operators'!$C$1:$G$99999,5,FALSE)</f>
        <v>DAVIS MICHAEL</v>
      </c>
      <c r="M74" s="6">
        <f t="shared" si="1"/>
        <v>2.7800925927294884E-2</v>
      </c>
      <c r="N74" s="7">
        <f t="shared" si="22"/>
        <v>40.033333335304633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11:05:38-700',mode:absolute,to:'2016-12-26 13:51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4" s="52" t="str">
        <f t="shared" si="6"/>
        <v>N</v>
      </c>
      <c r="X74" s="177">
        <f t="shared" si="21"/>
        <v>1</v>
      </c>
      <c r="Y74" s="67">
        <f t="shared" si="8"/>
        <v>23.297699999999999</v>
      </c>
      <c r="Z74" s="67">
        <f t="shared" si="9"/>
        <v>1.6299999999999999E-2</v>
      </c>
      <c r="AA74" s="67">
        <f t="shared" si="10"/>
        <v>23.281399999999998</v>
      </c>
      <c r="AB74" s="64" t="str">
        <f>VLOOKUP(A74,Enforcements!$C$7:$K$19,8,0)</f>
        <v>Speed (6)</v>
      </c>
      <c r="AC74" s="60" t="str">
        <f>VLOOKUP(A74,Enforcements!$C$7:$E$19,3,0)</f>
        <v>PERMANENT SPEED RESTRICTION</v>
      </c>
      <c r="AD74" s="61" t="str">
        <f t="shared" si="11"/>
        <v>0162-26</v>
      </c>
      <c r="AE74" s="91" t="str">
        <f t="shared" si="12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74" s="88" t="str">
        <f t="shared" si="13"/>
        <v>"C:\Program Files (x86)\AstroGrep\AstroGrep.exe" /spath="%USERPROFILE%\AppData\Local\Temp\OnboardLogs" /stypes="app*4026*20161226*"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162-26 --locoid 4026 --swversion DE.1.0.8.0 --startMP 204:232977 --initTime 2016-12-26T12:05:38 --startdatetime 2016-12-26T12:11:33 --delay 1 --endMP 204:163 --enddatetime 2016-12-26T12:51:35 --enforcementcount 0 &gt;&gt;C:\Users\stu\Documents\GitHub\eaglep3-reporting\EC\2016-12-26-refined-times.txt</v>
      </c>
      <c r="AI74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{"issue":{"subject":"","project_id":79,"tracker_id":40,"status_id":1,"priority_id":2,"assigned_to_id":23,"start_date":"2016-12-26","description":"","custom_fields":[{"id":1,"name":"Subdivision","value":"EC"},{"id":4,"name":"Milepost","value":"0.0163"},{"id":17,"name":"Train ID","value":"162-26"},{"id":16,"name":"Locomotive ID","value":"4026"},{"id":130,"name":"Impact","value":""},{"id":150,"name":"Time of Event (Mountain Time)","value":"12:51:35"},{"id":151,"name":"Denver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530</v>
      </c>
      <c r="B75" s="7">
        <v>4046</v>
      </c>
      <c r="C75" s="22" t="s">
        <v>205</v>
      </c>
      <c r="D75" s="22" t="s">
        <v>268</v>
      </c>
      <c r="E75" s="13">
        <v>42730.475486111114</v>
      </c>
      <c r="F75" s="13">
        <v>42730.479351851849</v>
      </c>
      <c r="G75" s="7">
        <v>1</v>
      </c>
      <c r="H75" s="22" t="s">
        <v>672</v>
      </c>
      <c r="I75" s="13">
        <v>42730.505914351852</v>
      </c>
      <c r="J75" s="7">
        <v>0</v>
      </c>
      <c r="K75" s="109" t="str">
        <f t="shared" si="0"/>
        <v>4045/4046</v>
      </c>
      <c r="L75" s="22" t="str">
        <f>VLOOKUP(A75,'Trips&amp;Operators'!$C$1:$G$99999,5,FALSE)</f>
        <v>CLARK KATHLEEN</v>
      </c>
      <c r="M75" s="6">
        <f t="shared" si="1"/>
        <v>2.6562500002910383E-2</v>
      </c>
      <c r="N75" s="7">
        <f t="shared" si="22"/>
        <v>38.250000004190952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10:24:42-700',mode:absolute,to:'2016-12-26 13:08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5" s="52" t="str">
        <f t="shared" si="6"/>
        <v>N</v>
      </c>
      <c r="X75" s="177">
        <f t="shared" ref="X75:X83" si="23">VALUE(LEFT(AD75,4))-VALUE(LEFT(AD74,4))</f>
        <v>1</v>
      </c>
      <c r="Y75" s="67">
        <f t="shared" si="8"/>
        <v>4.6199999999999998E-2</v>
      </c>
      <c r="Z75" s="67">
        <f t="shared" si="9"/>
        <v>23.328399999999998</v>
      </c>
      <c r="AA75" s="67">
        <f t="shared" si="10"/>
        <v>23.2822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0163-26</v>
      </c>
      <c r="AE75" s="91" t="str">
        <f t="shared" si="12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75" s="88" t="str">
        <f t="shared" si="13"/>
        <v>"C:\Program Files (x86)\AstroGrep\AstroGrep.exe" /spath="%USERPROFILE%\AppData\Local\Temp\OnboardLogs" /stypes="app*4046*20161226*"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163-26 --locoid 4046 --swversion DE.1.0.8.0 --startMP 204:462 --initTime 2016-12-26T11:24:42 --startdatetime 2016-12-26T11:30:16 --delay 1 --endMP 204:233284 --enddatetime 2016-12-26T12:08:31 --enforcementcount 0 &gt;&gt;C:\Users\stu\Documents\GitHub\eaglep3-reporting\EC\2016-12-26-refined-times.txt</v>
      </c>
      <c r="AI75" s="119" t="str">
        <f t="shared" si="18"/>
        <v>echo {"issue":{"subject":"","project_id":79,"tracker_id":40,"status_id":1,"priority_id":2,"assigned_to_id":23,"start_date":"2016-12-26","description":"","custom_fields":[{"id":1,"name":"Subdivision","value":"EC"},{"id":4,"name":"Milepost","value":"23.3284"},{"id":17,"name":"Train ID","value":"163-26"},{"id":16,"name":"Locomotive ID","value":"4046"},{"id":130,"name":"Impact","value":""},{"id":150,"name":"Time of Event (Mountain Time)","value":"12:08:31"},{"id":151,"name":"Denver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541</v>
      </c>
      <c r="B76" s="7">
        <v>4045</v>
      </c>
      <c r="C76" s="22" t="s">
        <v>205</v>
      </c>
      <c r="D76" s="22" t="s">
        <v>678</v>
      </c>
      <c r="E76" s="13">
        <v>42730.514502314814</v>
      </c>
      <c r="F76" s="13">
        <v>42730.518217592595</v>
      </c>
      <c r="G76" s="7">
        <v>1</v>
      </c>
      <c r="H76" s="22" t="s">
        <v>679</v>
      </c>
      <c r="I76" s="13">
        <v>42730.546620370369</v>
      </c>
      <c r="J76" s="7">
        <v>0</v>
      </c>
      <c r="K76" s="109" t="str">
        <f t="shared" si="0"/>
        <v>4045/4046</v>
      </c>
      <c r="L76" s="22" t="str">
        <f>VLOOKUP(A76,'Trips&amp;Operators'!$C$1:$G$99999,5,FALSE)</f>
        <v>CLARK KATHLEEN</v>
      </c>
      <c r="M76" s="6">
        <f t="shared" si="1"/>
        <v>2.8402777774317656E-2</v>
      </c>
      <c r="N76" s="7">
        <f t="shared" si="22"/>
        <v>40.899999995017424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https://search-rtdc-monitor-bjffxe2xuh6vdkpspy63sjmuny.us-east-1.es.amazonaws.com/_plugin/kibana/#/discover/Steve-Slow-Train-Analysis-(2080s-and-2083s)?_g=(refreshInterval:(display:Off,section:0,value:0),time:(from:'2016-12-26 11:20:53-700',mode:absolute,to:'2016-12-26 14:07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6" s="52" t="str">
        <f t="shared" si="6"/>
        <v>N</v>
      </c>
      <c r="X76" s="177">
        <f t="shared" si="23"/>
        <v>1</v>
      </c>
      <c r="Y76" s="67">
        <f t="shared" si="8"/>
        <v>23.295300000000001</v>
      </c>
      <c r="Z76" s="67">
        <f t="shared" si="9"/>
        <v>1.9800000000000002E-2</v>
      </c>
      <c r="AA76" s="67">
        <f t="shared" si="10"/>
        <v>23.275500000000001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0164-26</v>
      </c>
      <c r="AE76" s="91" t="str">
        <f t="shared" si="12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76" s="88" t="str">
        <f t="shared" si="13"/>
        <v>"C:\Program Files (x86)\AstroGrep\AstroGrep.exe" /spath="%USERPROFILE%\AppData\Local\Temp\OnboardLogs" /stypes="app*4045*20161226*"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ref="AH76:AH136" si="24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164-26 --locoid 4045 --swversion DE.1.0.8.0 --startMP 204:232953 --initTime 2016-12-26T12:20:53 --startdatetime 2016-12-26T12:26:14 --delay 1 --endMP 204:198 --enddatetime 2016-12-26T13:07:08 --enforcementcount 0 &gt;&gt;C:\Users\stu\Documents\GitHub\eaglep3-reporting\EC\2016-12-26-refined-times.txt</v>
      </c>
      <c r="AI76" s="119" t="str">
        <f t="shared" ref="AI76:AI136" si="25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{"issue":{"subject":"","project_id":79,"tracker_id":40,"status_id":1,"priority_id":2,"assigned_to_id":23,"start_date":"2016-12-26","description":"","custom_fields":[{"id":1,"name":"Subdivision","value":"EC"},{"id":4,"name":"Milepost","value":"0.0198"},{"id":17,"name":"Train ID","value":"164-26"},{"id":16,"name":"Locomotive ID","value":"4045"},{"id":130,"name":"Impact","value":""},{"id":150,"name":"Time of Event (Mountain Time)","value":"13:07:08"},{"id":151,"name":"Denver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433</v>
      </c>
      <c r="B77" s="7">
        <v>4051</v>
      </c>
      <c r="C77" s="22" t="s">
        <v>205</v>
      </c>
      <c r="D77" s="22" t="s">
        <v>255</v>
      </c>
      <c r="E77" s="13">
        <v>42730.485115740739</v>
      </c>
      <c r="F77" s="13">
        <v>42730.490127314813</v>
      </c>
      <c r="G77" s="7">
        <v>2</v>
      </c>
      <c r="H77" s="22" t="s">
        <v>317</v>
      </c>
      <c r="I77" s="13">
        <v>42730.514918981484</v>
      </c>
      <c r="J77" s="7">
        <v>0</v>
      </c>
      <c r="K77" s="109" t="str">
        <f t="shared" ref="K77:K140" si="26">IF(ISEVEN(B77),(B77-1)&amp;"/"&amp;B77,B77&amp;"/"&amp;(B77+1))</f>
        <v>4051/4052</v>
      </c>
      <c r="L77" s="22" t="str">
        <f>VLOOKUP(A77,'Trips&amp;Operators'!$C$1:$G$99999,5,FALSE)</f>
        <v>ADANE ELSHADAY</v>
      </c>
      <c r="M77" s="6">
        <f t="shared" ref="M77:M140" si="27">I77-F77</f>
        <v>2.4791666670353152E-2</v>
      </c>
      <c r="N77" s="7">
        <f t="shared" ref="N77:N108" si="28">24*60*SUM($M77:$M77)</f>
        <v>35.700000005308539</v>
      </c>
      <c r="O77" s="7"/>
      <c r="P77" s="7"/>
      <c r="Q77" s="23"/>
      <c r="R77" s="23"/>
      <c r="S77" s="35">
        <f t="shared" ref="S77:S140" si="29">SUM(U77:U77)/IF(AG77="EC",12,1)</f>
        <v>1</v>
      </c>
      <c r="T77" s="50" t="str">
        <f t="shared" ref="T77:T140" si="30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1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https://search-rtdc-monitor-bjffxe2xuh6vdkpspy63sjmuny.us-east-1.es.amazonaws.com/_plugin/kibana/#/discover/Steve-Slow-Train-Analysis-(2080s-and-2083s)?_g=(refreshInterval:(display:Off,section:0,value:0),time:(from:'2016-12-26 10:38:34-700',mode:absolute,to:'2016-12-26 13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77" s="52" t="str">
        <f t="shared" ref="W77:W140" si="32">IF(AA77&lt;IF(AG77="EC",23,5.65),"Y","N")</f>
        <v>N</v>
      </c>
      <c r="X77" s="177">
        <f t="shared" si="23"/>
        <v>1</v>
      </c>
      <c r="Y77" s="67">
        <f t="shared" ref="Y77:Y140" si="33">RIGHT(D77,LEN(D77)-4)/10000</f>
        <v>4.6399999999999997E-2</v>
      </c>
      <c r="Z77" s="67">
        <f t="shared" ref="Z77:Z140" si="34">RIGHT(H77,LEN(H77)-4)/10000</f>
        <v>23.33</v>
      </c>
      <c r="AA77" s="67">
        <f t="shared" ref="AA77:AA140" si="35">ABS(Z77-Y77)</f>
        <v>23.2836</v>
      </c>
      <c r="AB77" s="64" t="str">
        <f>VLOOKUP(A77,Enforcements!$C$7:$K$19,8,0)</f>
        <v>Speed (6)</v>
      </c>
      <c r="AC77" s="60" t="str">
        <f>VLOOKUP(A77,Enforcements!$C$7:$E$19,3,0)</f>
        <v>EQUIPMENT RESTRICTION</v>
      </c>
      <c r="AD77" s="61" t="str">
        <f t="shared" ref="AD77:AD140" si="36">IF(LEN(A77)=6,"0"&amp;A77,A77)</f>
        <v>0165-26</v>
      </c>
      <c r="AE77" s="91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77" s="88" t="str">
        <f t="shared" ref="AF77:AF140" si="3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/stypes="app*4051*20161226*" /stext=" 19:.+((SYSTEM_STATE.+slice.+state.+changed )|(ment ac)|(multiple cpu faults)|(system.+state.+changed )|(\[timeout)|(PRM\|1\|D)|(kpr)|(kdp)|(\|lc)|(penalty))"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92" t="str">
        <f t="shared" si="24"/>
        <v>"%USERPROFILE%\Documents\GitHub\eaglep3\Utilities\RefineRTDCRunTimes.py" --tripid 165-26 --locoid 4051 --swversion DE.1.0.8.0 --startMP 204:464 --initTime 2016-12-26T11:38:34 --startdatetime 2016-12-26T11:45:47 --delay 2 --endMP 204:233300 --enddatetime 2016-12-26T12:21:29 --enforcementcount 0 &gt;&gt;C:\Users\stu\Documents\GitHub\eaglep3-reporting\EC\2016-12-26-refined-times.txt</v>
      </c>
      <c r="AI77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{"issue":{"subject":"","project_id":79,"tracker_id":40,"status_id":1,"priority_id":2,"assigned_to_id":23,"start_date":"2016-12-26","description":"","custom_fields":[{"id":1,"name":"Subdivision","value":"EC"},{"id":4,"name":"Milepost","value":"23.33"},{"id":17,"name":"Train ID","value":"165-26"},{"id":16,"name":"Locomotive ID","value":"4051"},{"id":130,"name":"Impact","value":""},{"id":150,"name":"Time of Event (Mountain Time)","value":"12:21:29"},{"id":151,"name":"Denver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542</v>
      </c>
      <c r="B78" s="7">
        <v>4052</v>
      </c>
      <c r="C78" s="22" t="s">
        <v>205</v>
      </c>
      <c r="D78" s="22" t="s">
        <v>337</v>
      </c>
      <c r="E78" s="13">
        <v>42730.517395833333</v>
      </c>
      <c r="F78" s="13">
        <v>42730.528784722221</v>
      </c>
      <c r="G78" s="7">
        <v>1</v>
      </c>
      <c r="H78" s="22" t="s">
        <v>211</v>
      </c>
      <c r="I78" s="13">
        <v>42730.555034722223</v>
      </c>
      <c r="J78" s="7">
        <v>0</v>
      </c>
      <c r="K78" s="109" t="str">
        <f t="shared" si="26"/>
        <v>4051/4052</v>
      </c>
      <c r="L78" s="22" t="str">
        <f>VLOOKUP(A78,'Trips&amp;Operators'!$C$1:$G$99999,5,FALSE)</f>
        <v>ADANE ELSHADAY</v>
      </c>
      <c r="M78" s="6">
        <f t="shared" si="27"/>
        <v>2.6250000002619345E-2</v>
      </c>
      <c r="N78" s="7">
        <f t="shared" si="28"/>
        <v>37.800000003771856</v>
      </c>
      <c r="O78" s="7"/>
      <c r="P78" s="7"/>
      <c r="Q78" s="23"/>
      <c r="R78" s="23"/>
      <c r="S78" s="35">
        <f t="shared" si="29"/>
        <v>1</v>
      </c>
      <c r="T78" s="50" t="str">
        <f t="shared" si="30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11:25:03-700',mode:absolute,to:'2016-12-26 14:19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78" s="52" t="str">
        <f t="shared" si="32"/>
        <v>N</v>
      </c>
      <c r="X78" s="177">
        <f t="shared" si="23"/>
        <v>1</v>
      </c>
      <c r="Y78" s="67">
        <f t="shared" si="33"/>
        <v>23.2987</v>
      </c>
      <c r="Z78" s="67">
        <f t="shared" si="34"/>
        <v>1.4999999999999999E-2</v>
      </c>
      <c r="AA78" s="67">
        <f t="shared" si="35"/>
        <v>23.2837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36"/>
        <v>0166-26</v>
      </c>
      <c r="AE78" s="91" t="str">
        <f t="shared" si="37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78" s="88" t="str">
        <f t="shared" si="38"/>
        <v>"C:\Program Files (x86)\AstroGrep\AstroGrep.exe" /spath="%USERPROFILE%\AppData\Local\Temp\OnboardLogs" /stypes="app*4052*20161226*" /stext=" 20:.+((SYSTEM_STATE.+slice.+state.+changed )|(ment ac)|(multiple cpu faults)|(system.+state.+changed )|(\[timeout)|(PRM\|1\|D)|(kpr)|(kdp)|(\|lc)|(penalty))" /e /r /s</v>
      </c>
      <c r="AG78" s="1" t="str">
        <f t="shared" si="39"/>
        <v>EC</v>
      </c>
      <c r="AH78" s="92" t="str">
        <f t="shared" si="24"/>
        <v>"%USERPROFILE%\Documents\GitHub\eaglep3\Utilities\RefineRTDCRunTimes.py" --tripid 166-26 --locoid 4052 --swversion DE.1.0.8.0 --startMP 204:232987 --initTime 2016-12-26T12:25:03 --startdatetime 2016-12-26T12:41:27 --delay 1 --endMP 204:150 --enddatetime 2016-12-26T13:19:15 --enforcementcount 0 &gt;&gt;C:\Users\stu\Documents\GitHub\eaglep3-reporting\EC\2016-12-26-refined-times.txt</v>
      </c>
      <c r="AI78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{"issue":{"subject":"","project_id":79,"tracker_id":40,"status_id":1,"priority_id":2,"assigned_to_id":23,"start_date":"2016-12-26","description":"","custom_fields":[{"id":1,"name":"Subdivision","value":"EC"},{"id":4,"name":"Milepost","value":"0.015"},{"id":17,"name":"Train ID","value":"166-26"},{"id":16,"name":"Locomotive ID","value":"4052"},{"id":130,"name":"Impact","value":""},{"id":150,"name":"Time of Event (Mountain Time)","value":"13:19:15"},{"id":151,"name":"Denver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535</v>
      </c>
      <c r="B79" s="7">
        <v>4044</v>
      </c>
      <c r="C79" s="22" t="s">
        <v>205</v>
      </c>
      <c r="D79" s="22" t="s">
        <v>310</v>
      </c>
      <c r="E79" s="13">
        <v>42730.495289351849</v>
      </c>
      <c r="F79" s="13">
        <v>42730.500231481485</v>
      </c>
      <c r="G79" s="7">
        <v>1</v>
      </c>
      <c r="H79" s="22" t="s">
        <v>312</v>
      </c>
      <c r="I79" s="13">
        <v>42730.525289351855</v>
      </c>
      <c r="J79" s="7">
        <v>0</v>
      </c>
      <c r="K79" s="109" t="str">
        <f t="shared" si="26"/>
        <v>4043/4044</v>
      </c>
      <c r="L79" s="22" t="str">
        <f>VLOOKUP(A79,'Trips&amp;Operators'!$C$1:$G$99999,5,FALSE)</f>
        <v>CRAYTON QUNTRELL</v>
      </c>
      <c r="M79" s="6">
        <f t="shared" si="27"/>
        <v>2.5057870370801538E-2</v>
      </c>
      <c r="N79" s="7">
        <f t="shared" si="28"/>
        <v>36.083333333954215</v>
      </c>
      <c r="O79" s="7"/>
      <c r="P79" s="7"/>
      <c r="Q79" s="23"/>
      <c r="R79" s="23"/>
      <c r="S79" s="35">
        <f t="shared" si="29"/>
        <v>1</v>
      </c>
      <c r="T79" s="50" t="str">
        <f t="shared" si="30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10:53:13-700',mode:absolute,to:'2016-12-26 13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9" s="52" t="str">
        <f t="shared" si="32"/>
        <v>N</v>
      </c>
      <c r="X79" s="177">
        <f t="shared" si="23"/>
        <v>1</v>
      </c>
      <c r="Y79" s="67">
        <f t="shared" si="33"/>
        <v>4.7300000000000002E-2</v>
      </c>
      <c r="Z79" s="67">
        <f t="shared" si="34"/>
        <v>23.329699999999999</v>
      </c>
      <c r="AA79" s="67">
        <f t="shared" si="35"/>
        <v>23.282399999999999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36"/>
        <v>0167-26</v>
      </c>
      <c r="AE79" s="91" t="str">
        <f t="shared" si="37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79" s="88" t="str">
        <f t="shared" si="38"/>
        <v>"C:\Program Files (x86)\AstroGrep\AstroGrep.exe" /spath="%USERPROFILE%\AppData\Local\Temp\OnboardLogs" /stypes="app*4044*20161226*" /stext=" 19:.+((SYSTEM_STATE.+slice.+state.+changed )|(ment ac)|(multiple cpu faults)|(system.+state.+changed )|(\[timeout)|(PRM\|1\|D)|(kpr)|(kdp)|(\|lc)|(penalty))" /e /r /s</v>
      </c>
      <c r="AG79" s="1" t="str">
        <f t="shared" si="39"/>
        <v>EC</v>
      </c>
      <c r="AH79" s="92" t="str">
        <f t="shared" si="24"/>
        <v>"%USERPROFILE%\Documents\GitHub\eaglep3\Utilities\RefineRTDCRunTimes.py" --tripid 167-26 --locoid 4044 --swversion DE.1.0.8.0 --startMP 204:473 --initTime 2016-12-26T11:53:13 --startdatetime 2016-12-26T12:00:20 --delay 1 --endMP 204:233297 --enddatetime 2016-12-26T12:36:25 --enforcementcount 0 &gt;&gt;C:\Users\stu\Documents\GitHub\eaglep3-reporting\EC\2016-12-26-refined-times.txt</v>
      </c>
      <c r="AI79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ID","value":"167-26"},{"id":16,"name":"Locomotive ID","value":"4044"},{"id":130,"name":"Impact","value":""},{"id":150,"name":"Time of Event (Mountain Time)","value":"12:36:25"},{"id":151,"name":"Denver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545</v>
      </c>
      <c r="B80" s="7">
        <v>4043</v>
      </c>
      <c r="C80" s="22" t="s">
        <v>205</v>
      </c>
      <c r="D80" s="22" t="s">
        <v>277</v>
      </c>
      <c r="E80" s="13">
        <v>42730.531886574077</v>
      </c>
      <c r="F80" s="13">
        <v>42730.539143518516</v>
      </c>
      <c r="G80" s="7">
        <v>1</v>
      </c>
      <c r="H80" s="22" t="s">
        <v>318</v>
      </c>
      <c r="I80" s="13">
        <v>42730.566469907404</v>
      </c>
      <c r="J80" s="7">
        <v>0</v>
      </c>
      <c r="K80" s="109" t="str">
        <f t="shared" si="26"/>
        <v>4043/4044</v>
      </c>
      <c r="L80" s="22" t="str">
        <f>VLOOKUP(A80,'Trips&amp;Operators'!$C$1:$G$99999,5,FALSE)</f>
        <v>CRAYTON QUNTRELL</v>
      </c>
      <c r="M80" s="6">
        <f t="shared" si="27"/>
        <v>2.73263888884685E-2</v>
      </c>
      <c r="N80" s="7">
        <f t="shared" si="28"/>
        <v>39.34999999939464</v>
      </c>
      <c r="O80" s="7"/>
      <c r="P80" s="7"/>
      <c r="Q80" s="23"/>
      <c r="R80" s="23"/>
      <c r="S80" s="35">
        <f t="shared" si="29"/>
        <v>1</v>
      </c>
      <c r="T80" s="50" t="str">
        <f t="shared" si="30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11:45:55-700',mode:absolute,to:'2016-12-26 14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0" s="52" t="str">
        <f t="shared" si="32"/>
        <v>N</v>
      </c>
      <c r="X80" s="177">
        <f t="shared" si="23"/>
        <v>1</v>
      </c>
      <c r="Y80" s="67">
        <f t="shared" si="33"/>
        <v>23.2986</v>
      </c>
      <c r="Z80" s="67">
        <f t="shared" si="34"/>
        <v>1.52E-2</v>
      </c>
      <c r="AA80" s="67">
        <f t="shared" si="35"/>
        <v>23.2834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6"/>
        <v>0168-26</v>
      </c>
      <c r="AE80" s="91" t="str">
        <f t="shared" si="37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80" s="88" t="str">
        <f t="shared" si="38"/>
        <v>"C:\Program Files (x86)\AstroGrep\AstroGrep.exe" /spath="%USERPROFILE%\AppData\Local\Temp\OnboardLogs" /stypes="app*4043*20161226*" /stext=" 20:.+((SYSTEM_STATE.+slice.+state.+changed )|(ment ac)|(multiple cpu faults)|(system.+state.+changed )|(\[timeout)|(PRM\|1\|D)|(kpr)|(kdp)|(\|lc)|(penalty))" /e /r /s</v>
      </c>
      <c r="AG80" s="1" t="str">
        <f t="shared" si="39"/>
        <v>EC</v>
      </c>
      <c r="AH80" s="92" t="str">
        <f t="shared" si="24"/>
        <v>"%USERPROFILE%\Documents\GitHub\eaglep3\Utilities\RefineRTDCRunTimes.py" --tripid 168-26 --locoid 4043 --swversion DE.1.0.8.0 --startMP 204:232986 --initTime 2016-12-26T12:45:55 --startdatetime 2016-12-26T12:56:22 --delay 1 --endMP 204:152 --enddatetime 2016-12-26T13:35:43 --enforcementcount 0 &gt;&gt;C:\Users\stu\Documents\GitHub\eaglep3-reporting\EC\2016-12-26-refined-times.txt</v>
      </c>
      <c r="AI80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ID","value":"168-26"},{"id":16,"name":"Locomotive ID","value":"4043"},{"id":130,"name":"Impact","value":""},{"id":150,"name":"Time of Event (Mountain Time)","value":"13:35:43"},{"id":151,"name":"Denver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537</v>
      </c>
      <c r="B81" s="7">
        <v>4029</v>
      </c>
      <c r="C81" s="22" t="s">
        <v>205</v>
      </c>
      <c r="D81" s="22" t="s">
        <v>193</v>
      </c>
      <c r="E81" s="13">
        <v>42730.509247685186</v>
      </c>
      <c r="F81" s="13">
        <v>42730.510891203703</v>
      </c>
      <c r="G81" s="7">
        <v>1</v>
      </c>
      <c r="H81" s="22" t="s">
        <v>369</v>
      </c>
      <c r="I81" s="13">
        <v>42730.536354166667</v>
      </c>
      <c r="J81" s="7">
        <v>0</v>
      </c>
      <c r="K81" s="109" t="str">
        <f t="shared" si="26"/>
        <v>4029/4030</v>
      </c>
      <c r="L81" s="22" t="str">
        <f>VLOOKUP(A81,'Trips&amp;Operators'!$C$1:$G$99999,5,FALSE)</f>
        <v>SIMMONS SHYHESHA</v>
      </c>
      <c r="M81" s="6">
        <f t="shared" si="27"/>
        <v>2.5462962963501923E-2</v>
      </c>
      <c r="N81" s="7">
        <f t="shared" si="28"/>
        <v>36.666666667442769</v>
      </c>
      <c r="O81" s="7"/>
      <c r="P81" s="7"/>
      <c r="Q81" s="23"/>
      <c r="R81" s="23"/>
      <c r="S81" s="35">
        <f t="shared" si="29"/>
        <v>1</v>
      </c>
      <c r="T81" s="50" t="str">
        <f t="shared" si="30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11:13:19-700',mode:absolute,to:'2016-12-26 13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1" s="52" t="str">
        <f t="shared" si="32"/>
        <v>N</v>
      </c>
      <c r="X81" s="177">
        <f t="shared" si="23"/>
        <v>1</v>
      </c>
      <c r="Y81" s="67">
        <f t="shared" si="33"/>
        <v>4.4699999999999997E-2</v>
      </c>
      <c r="Z81" s="67">
        <f t="shared" si="34"/>
        <v>23.331499999999998</v>
      </c>
      <c r="AA81" s="67">
        <f t="shared" si="35"/>
        <v>23.286799999999999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36"/>
        <v>0169-26</v>
      </c>
      <c r="AE81" s="91" t="str">
        <f t="shared" si="37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81" s="88" t="str">
        <f t="shared" si="38"/>
        <v>"C:\Program Files (x86)\AstroGrep\AstroGrep.exe" /spath="%USERPROFILE%\AppData\Local\Temp\OnboardLogs" /stypes="app*4029*20161226*" /stext=" 19:.+((SYSTEM_STATE.+slice.+state.+changed )|(ment ac)|(multiple cpu faults)|(system.+state.+changed )|(\[timeout)|(PRM\|1\|D)|(kpr)|(kdp)|(\|lc)|(penalty))" /e /r /s</v>
      </c>
      <c r="AG81" s="1" t="str">
        <f t="shared" si="39"/>
        <v>EC</v>
      </c>
      <c r="AH81" s="92" t="str">
        <f t="shared" si="24"/>
        <v>"%USERPROFILE%\Documents\GitHub\eaglep3\Utilities\RefineRTDCRunTimes.py" --tripid 169-26 --locoid 4029 --swversion DE.1.0.8.0 --startMP 204:447 --initTime 2016-12-26T12:13:19 --startdatetime 2016-12-26T12:15:41 --delay 1 --endMP 204:233315 --enddatetime 2016-12-26T12:52:21 --enforcementcount 0 &gt;&gt;C:\Users\stu\Documents\GitHub\eaglep3-reporting\EC\2016-12-26-refined-times.txt</v>
      </c>
      <c r="AI81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{"issue":{"subject":"","project_id":79,"tracker_id":40,"status_id":1,"priority_id":2,"assigned_to_id":23,"start_date":"2016-12-26","description":"","custom_fields":[{"id":1,"name":"Subdivision","value":"EC"},{"id":4,"name":"Milepost","value":"23.3315"},{"id":17,"name":"Train ID","value":"169-26"},{"id":16,"name":"Locomotive ID","value":"4029"},{"id":130,"name":"Impact","value":""},{"id":150,"name":"Time of Event (Mountain Time)","value":"12:52:21"},{"id":151,"name":"Denver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547</v>
      </c>
      <c r="B82" s="7">
        <v>4030</v>
      </c>
      <c r="C82" s="22" t="s">
        <v>205</v>
      </c>
      <c r="D82" s="22" t="s">
        <v>400</v>
      </c>
      <c r="E82" s="13">
        <v>42730.544189814813</v>
      </c>
      <c r="F82" s="13">
        <v>42730.549618055556</v>
      </c>
      <c r="G82" s="7">
        <v>1</v>
      </c>
      <c r="H82" s="22" t="s">
        <v>243</v>
      </c>
      <c r="I82" s="13">
        <v>42730.578981481478</v>
      </c>
      <c r="J82" s="7">
        <v>0</v>
      </c>
      <c r="K82" s="109" t="str">
        <f t="shared" si="26"/>
        <v>4029/4030</v>
      </c>
      <c r="L82" s="22" t="str">
        <f>VLOOKUP(A82,'Trips&amp;Operators'!$C$1:$G$99999,5,FALSE)</f>
        <v>SIMMONS SHYHESHA</v>
      </c>
      <c r="M82" s="6">
        <f t="shared" si="27"/>
        <v>2.9363425921474118E-2</v>
      </c>
      <c r="N82" s="7">
        <f t="shared" si="28"/>
        <v>42.28333332692273</v>
      </c>
      <c r="O82" s="7"/>
      <c r="P82" s="7"/>
      <c r="Q82" s="23"/>
      <c r="R82" s="23"/>
      <c r="S82" s="35">
        <f t="shared" si="29"/>
        <v>1</v>
      </c>
      <c r="T82" s="50" t="str">
        <f t="shared" si="30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12:03:38-700',mode:absolute,to:'2016-12-26 14:53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2" s="52" t="str">
        <f t="shared" si="32"/>
        <v>N</v>
      </c>
      <c r="X82" s="177">
        <f t="shared" si="23"/>
        <v>1</v>
      </c>
      <c r="Y82" s="67">
        <f t="shared" si="33"/>
        <v>23.299600000000002</v>
      </c>
      <c r="Z82" s="67">
        <f t="shared" si="34"/>
        <v>1.6299999999999999E-2</v>
      </c>
      <c r="AA82" s="67">
        <f t="shared" si="35"/>
        <v>23.283300000000001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36"/>
        <v>0170-26</v>
      </c>
      <c r="AE82" s="91" t="str">
        <f t="shared" si="37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82" s="88" t="str">
        <f t="shared" si="38"/>
        <v>"C:\Program Files (x86)\AstroGrep\AstroGrep.exe" /spath="%USERPROFILE%\AppData\Local\Temp\OnboardLogs" /stypes="app*4030*20161226*" /stext=" 20:.+((SYSTEM_STATE.+slice.+state.+changed )|(ment ac)|(multiple cpu faults)|(system.+state.+changed )|(\[timeout)|(PRM\|1\|D)|(kpr)|(kdp)|(\|lc)|(penalty))" /e /r /s</v>
      </c>
      <c r="AG82" s="1" t="str">
        <f t="shared" si="39"/>
        <v>EC</v>
      </c>
      <c r="AH82" s="92" t="str">
        <f t="shared" si="24"/>
        <v>"%USERPROFILE%\Documents\GitHub\eaglep3\Utilities\RefineRTDCRunTimes.py" --tripid 170-26 --locoid 4030 --swversion DE.1.0.8.0 --startMP 204:232996 --initTime 2016-12-26T13:03:38 --startdatetime 2016-12-26T13:11:27 --delay 1 --endMP 204:163 --enddatetime 2016-12-26T13:53:44 --enforcementcount 0 &gt;&gt;C:\Users\stu\Documents\GitHub\eaglep3-reporting\EC\2016-12-26-refined-times.txt</v>
      </c>
      <c r="AI82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{"issue":{"subject":"","project_id":79,"tracker_id":40,"status_id":1,"priority_id":2,"assigned_to_id":23,"start_date":"2016-12-26","description":"","custom_fields":[{"id":1,"name":"Subdivision","value":"EC"},{"id":4,"name":"Milepost","value":"0.0163"},{"id":17,"name":"Train ID","value":"170-26"},{"id":16,"name":"Locomotive ID","value":"4030"},{"id":130,"name":"Impact","value":""},{"id":150,"name":"Time of Event (Mountain Time)","value":"13:53:44"},{"id":151,"name":"Denver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436</v>
      </c>
      <c r="B83" s="7">
        <v>4031</v>
      </c>
      <c r="C83" s="22" t="s">
        <v>205</v>
      </c>
      <c r="D83" s="22" t="s">
        <v>367</v>
      </c>
      <c r="E83" s="13">
        <v>42730.515543981484</v>
      </c>
      <c r="F83" s="13">
        <v>42730.521134259259</v>
      </c>
      <c r="G83" s="7">
        <v>1</v>
      </c>
      <c r="H83" s="22" t="s">
        <v>312</v>
      </c>
      <c r="I83" s="13">
        <v>42730.546342592592</v>
      </c>
      <c r="J83" s="7">
        <v>0</v>
      </c>
      <c r="K83" s="109" t="str">
        <f t="shared" si="26"/>
        <v>4031/4032</v>
      </c>
      <c r="L83" s="22" t="str">
        <f>VLOOKUP(A83,'Trips&amp;Operators'!$C$1:$G$99999,5,FALSE)</f>
        <v>KILLION DAVID</v>
      </c>
      <c r="M83" s="6">
        <f t="shared" si="27"/>
        <v>2.5208333332557231E-2</v>
      </c>
      <c r="N83" s="7">
        <f t="shared" si="28"/>
        <v>36.299999998882413</v>
      </c>
      <c r="O83" s="7"/>
      <c r="P83" s="7"/>
      <c r="Q83" s="23"/>
      <c r="R83" s="23"/>
      <c r="S83" s="35">
        <f t="shared" si="29"/>
        <v>1</v>
      </c>
      <c r="T83" s="50" t="str">
        <f t="shared" si="30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11:22:23-700',mode:absolute,to:'2016-12-26 14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3" s="52" t="str">
        <f t="shared" si="32"/>
        <v>N</v>
      </c>
      <c r="X83" s="177">
        <f t="shared" si="23"/>
        <v>1</v>
      </c>
      <c r="Y83" s="67">
        <f t="shared" si="33"/>
        <v>4.8000000000000001E-2</v>
      </c>
      <c r="Z83" s="67">
        <f t="shared" si="34"/>
        <v>23.329699999999999</v>
      </c>
      <c r="AA83" s="67">
        <f t="shared" si="35"/>
        <v>23.281700000000001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36"/>
        <v>0171-26</v>
      </c>
      <c r="AE83" s="91" t="str">
        <f t="shared" si="37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83" s="88" t="str">
        <f t="shared" si="38"/>
        <v>"C:\Program Files (x86)\AstroGrep\AstroGrep.exe" /spath="%USERPROFILE%\AppData\Local\Temp\OnboardLogs" /stypes="app*4031*20161226*" /stext=" 20:.+((SYSTEM_STATE.+slice.+state.+changed )|(ment ac)|(multiple cpu faults)|(system.+state.+changed )|(\[timeout)|(PRM\|1\|D)|(kpr)|(kdp)|(\|lc)|(penalty))" /e /r /s</v>
      </c>
      <c r="AG83" s="1" t="str">
        <f t="shared" si="39"/>
        <v>EC</v>
      </c>
      <c r="AH83" s="92" t="str">
        <f t="shared" si="24"/>
        <v>"%USERPROFILE%\Documents\GitHub\eaglep3\Utilities\RefineRTDCRunTimes.py" --tripid 171-26 --locoid 4031 --swversion DE.1.0.8.0 --startMP 204:480 --initTime 2016-12-26T12:22:23 --startdatetime 2016-12-26T12:30:26 --delay 1 --endMP 204:233297 --enddatetime 2016-12-26T13:06:44 --enforcementcount 0 &gt;&gt;C:\Users\stu\Documents\GitHub\eaglep3-reporting\EC\2016-12-26-refined-times.txt</v>
      </c>
      <c r="AI83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ID","value":"171-26"},{"id":16,"name":"Locomotive ID","value":"4031"},{"id":130,"name":"Impact","value":""},{"id":150,"name":"Time of Event (Mountain Time)","value":"13:06:44"},{"id":151,"name":"Denver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549</v>
      </c>
      <c r="B84" s="7">
        <v>4032</v>
      </c>
      <c r="C84" s="22" t="s">
        <v>205</v>
      </c>
      <c r="D84" s="22" t="s">
        <v>669</v>
      </c>
      <c r="E84" s="13">
        <v>42730.553946759261</v>
      </c>
      <c r="F84" s="13">
        <v>42730.559907407405</v>
      </c>
      <c r="G84" s="7">
        <v>1</v>
      </c>
      <c r="H84" s="22" t="s">
        <v>233</v>
      </c>
      <c r="I84" s="13">
        <v>42730.590011574073</v>
      </c>
      <c r="J84" s="7">
        <v>0</v>
      </c>
      <c r="K84" s="109" t="str">
        <f t="shared" si="26"/>
        <v>4031/4032</v>
      </c>
      <c r="L84" s="22" t="str">
        <f>VLOOKUP(A84,'Trips&amp;Operators'!$C$1:$G$99999,5,FALSE)</f>
        <v>KILLION DAVID</v>
      </c>
      <c r="M84" s="6">
        <f t="shared" si="27"/>
        <v>3.0104166668024845E-2</v>
      </c>
      <c r="N84" s="7">
        <f t="shared" si="28"/>
        <v>43.350000001955777</v>
      </c>
      <c r="O84" s="7"/>
      <c r="P84" s="7"/>
      <c r="Q84" s="23"/>
      <c r="R84" s="23"/>
      <c r="S84" s="35">
        <f t="shared" si="29"/>
        <v>1</v>
      </c>
      <c r="T84" s="50" t="str">
        <f t="shared" si="30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12:17:41-700',mode:absolute,to:'2016-12-26 15:09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4" s="52" t="str">
        <f t="shared" si="32"/>
        <v>N</v>
      </c>
      <c r="X84" s="177">
        <f t="shared" ref="X84:X129" si="40">VALUE(LEFT(AD84,4))-VALUE(LEFT(AD83,4))</f>
        <v>1</v>
      </c>
      <c r="Y84" s="67">
        <f t="shared" si="33"/>
        <v>23.297499999999999</v>
      </c>
      <c r="Z84" s="67">
        <f t="shared" si="34"/>
        <v>1.4500000000000001E-2</v>
      </c>
      <c r="AA84" s="67">
        <f t="shared" si="35"/>
        <v>23.282999999999998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6"/>
        <v>0172-26</v>
      </c>
      <c r="AE84" s="91" t="str">
        <f t="shared" si="37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84" s="88" t="str">
        <f t="shared" si="38"/>
        <v>"C:\Program Files (x86)\AstroGrep\AstroGrep.exe" /spath="%USERPROFILE%\AppData\Local\Temp\OnboardLogs" /stypes="app*4032*20161226*" /stext=" 21:.+((SYSTEM_STATE.+slice.+state.+changed )|(ment ac)|(multiple cpu faults)|(system.+state.+changed )|(\[timeout)|(PRM\|1\|D)|(kpr)|(kdp)|(\|lc)|(penalty))" /e /r /s</v>
      </c>
      <c r="AG84" s="1" t="str">
        <f t="shared" si="39"/>
        <v>EC</v>
      </c>
      <c r="AH84" s="92" t="str">
        <f t="shared" si="24"/>
        <v>"%USERPROFILE%\Documents\GitHub\eaglep3\Utilities\RefineRTDCRunTimes.py" --tripid 172-26 --locoid 4032 --swversion DE.1.0.8.0 --startMP 204:232975 --initTime 2016-12-26T13:17:41 --startdatetime 2016-12-26T13:26:16 --delay 1 --endMP 204:145 --enddatetime 2016-12-26T14:09:37 --enforcementcount 0 &gt;&gt;C:\Users\stu\Documents\GitHub\eaglep3-reporting\EC\2016-12-26-refined-times.txt</v>
      </c>
      <c r="AI84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{"issue":{"subject":"","project_id":79,"tracker_id":40,"status_id":1,"priority_id":2,"assigned_to_id":23,"start_date":"2016-12-26","description":"","custom_fields":[{"id":1,"name":"Subdivision","value":"EC"},{"id":4,"name":"Milepost","value":"0.0145"},{"id":17,"name":"Train ID","value":"172-26"},{"id":16,"name":"Locomotive ID","value":"4032"},{"id":130,"name":"Impact","value":""},{"id":150,"name":"Time of Event (Mountain Time)","value":"14:09:37"},{"id":151,"name":"Denver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544</v>
      </c>
      <c r="B85" s="7">
        <v>4027</v>
      </c>
      <c r="C85" s="22" t="s">
        <v>205</v>
      </c>
      <c r="D85" s="22" t="s">
        <v>255</v>
      </c>
      <c r="E85" s="13">
        <v>42730.528252314813</v>
      </c>
      <c r="F85" s="13">
        <v>42730.531539351854</v>
      </c>
      <c r="G85" s="7">
        <v>1</v>
      </c>
      <c r="H85" s="22" t="s">
        <v>286</v>
      </c>
      <c r="I85" s="13">
        <v>42730.556446759256</v>
      </c>
      <c r="J85" s="7">
        <v>0</v>
      </c>
      <c r="K85" s="109" t="str">
        <f t="shared" si="26"/>
        <v>4027/4028</v>
      </c>
      <c r="L85" s="22" t="str">
        <f>VLOOKUP(A85,'Trips&amp;Operators'!$C$1:$G$99999,5,FALSE)</f>
        <v>STEWART MICHAEL</v>
      </c>
      <c r="M85" s="6">
        <f t="shared" si="27"/>
        <v>2.4907407401769888E-2</v>
      </c>
      <c r="N85" s="7">
        <f t="shared" si="28"/>
        <v>35.866666658548638</v>
      </c>
      <c r="O85" s="7"/>
      <c r="P85" s="7"/>
      <c r="Q85" s="23"/>
      <c r="R85" s="23"/>
      <c r="S85" s="35">
        <f t="shared" si="29"/>
        <v>1</v>
      </c>
      <c r="T85" s="50" t="str">
        <f t="shared" si="30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11:40:41-700',mode:absolute,to:'2016-12-26 14:21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5" s="52" t="str">
        <f t="shared" si="32"/>
        <v>N</v>
      </c>
      <c r="X85" s="177">
        <f t="shared" si="40"/>
        <v>1</v>
      </c>
      <c r="Y85" s="67">
        <f t="shared" si="33"/>
        <v>4.6399999999999997E-2</v>
      </c>
      <c r="Z85" s="67">
        <f t="shared" si="34"/>
        <v>23.3308</v>
      </c>
      <c r="AA85" s="67">
        <f t="shared" si="35"/>
        <v>23.284400000000002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6"/>
        <v>0173-26</v>
      </c>
      <c r="AE85" s="91" t="str">
        <f t="shared" si="37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85" s="88" t="str">
        <f t="shared" si="38"/>
        <v>"C:\Program Files (x86)\AstroGrep\AstroGrep.exe" /spath="%USERPROFILE%\AppData\Local\Temp\OnboardLogs" /stypes="app*4027*20161226*" /stext=" 20:.+((SYSTEM_STATE.+slice.+state.+changed )|(ment ac)|(multiple cpu faults)|(system.+state.+changed )|(\[timeout)|(PRM\|1\|D)|(kpr)|(kdp)|(\|lc)|(penalty))" /e /r /s</v>
      </c>
      <c r="AG85" s="1" t="str">
        <f t="shared" si="39"/>
        <v>EC</v>
      </c>
      <c r="AH85" s="92" t="str">
        <f t="shared" si="24"/>
        <v>"%USERPROFILE%\Documents\GitHub\eaglep3\Utilities\RefineRTDCRunTimes.py" --tripid 173-26 --locoid 4027 --swversion DE.1.0.8.0 --startMP 204:464 --initTime 2016-12-26T12:40:41 --startdatetime 2016-12-26T12:45:25 --delay 1 --endMP 204:233308 --enddatetime 2016-12-26T13:21:17 --enforcementcount 0 &gt;&gt;C:\Users\stu\Documents\GitHub\eaglep3-reporting\EC\2016-12-26-refined-times.txt</v>
      </c>
      <c r="AI85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{"issue":{"subject":"","project_id":79,"tracker_id":40,"status_id":1,"priority_id":2,"assigned_to_id":23,"start_date":"2016-12-26","description":"","custom_fields":[{"id":1,"name":"Subdivision","value":"EC"},{"id":4,"name":"Milepost","value":"23.3308"},{"id":17,"name":"Train ID","value":"173-26"},{"id":16,"name":"Locomotive ID","value":"4027"},{"id":130,"name":"Impact","value":""},{"id":150,"name":"Time of Event (Mountain Time)","value":"13:21:17"},{"id":151,"name":"Denver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552</v>
      </c>
      <c r="B86" s="7">
        <v>4028</v>
      </c>
      <c r="C86" s="22" t="s">
        <v>205</v>
      </c>
      <c r="D86" s="22" t="s">
        <v>269</v>
      </c>
      <c r="E86" s="13">
        <v>42730.567939814813</v>
      </c>
      <c r="F86" s="13">
        <v>42730.570462962962</v>
      </c>
      <c r="G86" s="7">
        <v>1</v>
      </c>
      <c r="H86" s="22" t="s">
        <v>324</v>
      </c>
      <c r="I86" s="13">
        <v>42730.596979166665</v>
      </c>
      <c r="J86" s="7">
        <v>0</v>
      </c>
      <c r="K86" s="109" t="str">
        <f t="shared" si="26"/>
        <v>4027/4028</v>
      </c>
      <c r="L86" s="22" t="str">
        <f>VLOOKUP(A86,'Trips&amp;Operators'!$C$1:$G$99999,5,FALSE)</f>
        <v>STEWART MICHAEL</v>
      </c>
      <c r="M86" s="6">
        <f t="shared" si="27"/>
        <v>2.6516203703067731E-2</v>
      </c>
      <c r="N86" s="7">
        <f t="shared" si="28"/>
        <v>38.183333332417533</v>
      </c>
      <c r="O86" s="7"/>
      <c r="P86" s="7"/>
      <c r="Q86" s="23"/>
      <c r="R86" s="23"/>
      <c r="S86" s="35">
        <f t="shared" si="29"/>
        <v>1</v>
      </c>
      <c r="T86" s="50" t="str">
        <f t="shared" si="30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12:37:50-700',mode:absolute,to:'2016-12-26 15:19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6" s="52" t="str">
        <f t="shared" si="32"/>
        <v>N</v>
      </c>
      <c r="X86" s="177">
        <f t="shared" si="40"/>
        <v>1</v>
      </c>
      <c r="Y86" s="67">
        <f t="shared" si="33"/>
        <v>23.299299999999999</v>
      </c>
      <c r="Z86" s="67">
        <f t="shared" si="34"/>
        <v>1.6500000000000001E-2</v>
      </c>
      <c r="AA86" s="67">
        <f t="shared" si="35"/>
        <v>23.282799999999998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36"/>
        <v>0174-26</v>
      </c>
      <c r="AE86" s="91" t="str">
        <f t="shared" si="37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86" s="88" t="str">
        <f t="shared" si="38"/>
        <v>"C:\Program Files (x86)\AstroGrep\AstroGrep.exe" /spath="%USERPROFILE%\AppData\Local\Temp\OnboardLogs" /stypes="app*4028*20161226*" /stext=" 21:.+((SYSTEM_STATE.+slice.+state.+changed )|(ment ac)|(multiple cpu faults)|(system.+state.+changed )|(\[timeout)|(PRM\|1\|D)|(kpr)|(kdp)|(\|lc)|(penalty))" /e /r /s</v>
      </c>
      <c r="AG86" s="1" t="str">
        <f t="shared" si="39"/>
        <v>EC</v>
      </c>
      <c r="AH86" s="92" t="str">
        <f t="shared" si="24"/>
        <v>"%USERPROFILE%\Documents\GitHub\eaglep3\Utilities\RefineRTDCRunTimes.py" --tripid 174-26 --locoid 4028 --swversion DE.1.0.8.0 --startMP 204:232993 --initTime 2016-12-26T13:37:50 --startdatetime 2016-12-26T13:41:28 --delay 1 --endMP 204:165 --enddatetime 2016-12-26T14:19:39 --enforcementcount 0 &gt;&gt;C:\Users\stu\Documents\GitHub\eaglep3-reporting\EC\2016-12-26-refined-times.txt</v>
      </c>
      <c r="AI86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{"issue":{"subject":"","project_id":79,"tracker_id":40,"status_id":1,"priority_id":2,"assigned_to_id":23,"start_date":"2016-12-26","description":"","custom_fields":[{"id":1,"name":"Subdivision","value":"EC"},{"id":4,"name":"Milepost","value":"0.0165"},{"id":17,"name":"Train ID","value":"174-26"},{"id":16,"name":"Locomotive ID","value":"4028"},{"id":130,"name":"Impact","value":""},{"id":150,"name":"Time of Event (Mountain Time)","value":"14:19:39"},{"id":151,"name":"Denver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546</v>
      </c>
      <c r="B87" s="7">
        <v>4025</v>
      </c>
      <c r="C87" s="22" t="s">
        <v>205</v>
      </c>
      <c r="D87" s="22" t="s">
        <v>332</v>
      </c>
      <c r="E87" s="13">
        <v>42730.538518518515</v>
      </c>
      <c r="F87" s="13">
        <v>42730.542048611111</v>
      </c>
      <c r="G87" s="7">
        <v>1</v>
      </c>
      <c r="H87" s="22" t="s">
        <v>680</v>
      </c>
      <c r="I87" s="13">
        <v>42730.569050925929</v>
      </c>
      <c r="J87" s="7">
        <v>0</v>
      </c>
      <c r="K87" s="109" t="str">
        <f t="shared" si="26"/>
        <v>4025/4026</v>
      </c>
      <c r="L87" s="22" t="str">
        <f>VLOOKUP(A87,'Trips&amp;Operators'!$C$1:$G$99999,5,FALSE)</f>
        <v>DAVIS MICHAEL</v>
      </c>
      <c r="M87" s="6">
        <f t="shared" si="27"/>
        <v>2.7002314818673767E-2</v>
      </c>
      <c r="N87" s="7">
        <f t="shared" si="28"/>
        <v>38.883333338890225</v>
      </c>
      <c r="O87" s="7"/>
      <c r="P87" s="7"/>
      <c r="Q87" s="23"/>
      <c r="R87" s="23"/>
      <c r="S87" s="35">
        <f t="shared" si="29"/>
        <v>1</v>
      </c>
      <c r="T87" s="50" t="str">
        <f t="shared" si="30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11:55:28-700',mode:absolute,to:'2016-12-26 14:39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7" s="52" t="str">
        <f t="shared" si="32"/>
        <v>N</v>
      </c>
      <c r="X87" s="177">
        <f t="shared" si="40"/>
        <v>1</v>
      </c>
      <c r="Y87" s="67">
        <f t="shared" si="33"/>
        <v>4.7500000000000001E-2</v>
      </c>
      <c r="Z87" s="67">
        <f t="shared" si="34"/>
        <v>23.327000000000002</v>
      </c>
      <c r="AA87" s="67">
        <f t="shared" si="35"/>
        <v>23.279500000000002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36"/>
        <v>0175-26</v>
      </c>
      <c r="AE87" s="91" t="str">
        <f t="shared" si="37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87" s="88" t="str">
        <f t="shared" si="38"/>
        <v>"C:\Program Files (x86)\AstroGrep\AstroGrep.exe" /spath="%USERPROFILE%\AppData\Local\Temp\OnboardLogs" /stypes="app*4025*20161226*" /stext=" 20:.+((SYSTEM_STATE.+slice.+state.+changed )|(ment ac)|(multiple cpu faults)|(system.+state.+changed )|(\[timeout)|(PRM\|1\|D)|(kpr)|(kdp)|(\|lc)|(penalty))" /e /r /s</v>
      </c>
      <c r="AG87" s="1" t="str">
        <f t="shared" si="39"/>
        <v>EC</v>
      </c>
      <c r="AH87" s="92" t="str">
        <f t="shared" si="24"/>
        <v>"%USERPROFILE%\Documents\GitHub\eaglep3\Utilities\RefineRTDCRunTimes.py" --tripid 175-26 --locoid 4025 --swversion DE.1.0.8.0 --startMP 204:475 --initTime 2016-12-26T12:55:28 --startdatetime 2016-12-26T13:00:33 --delay 1 --endMP 204:233270 --enddatetime 2016-12-26T13:39:26 --enforcementcount 0 &gt;&gt;C:\Users\stu\Documents\GitHub\eaglep3-reporting\EC\2016-12-26-refined-times.txt</v>
      </c>
      <c r="AI87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{"issue":{"subject":"","project_id":79,"tracker_id":40,"status_id":1,"priority_id":2,"assigned_to_id":23,"start_date":"2016-12-26","description":"","custom_fields":[{"id":1,"name":"Subdivision","value":"EC"},{"id":4,"name":"Milepost","value":"23.327"},{"id":17,"name":"Train ID","value":"175-26"},{"id":16,"name":"Locomotive ID","value":"4025"},{"id":130,"name":"Impact","value":""},{"id":150,"name":"Time of Event (Mountain Time)","value":"13:39:26"},{"id":151,"name":"Denver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554</v>
      </c>
      <c r="B88" s="7">
        <v>4026</v>
      </c>
      <c r="C88" s="22" t="s">
        <v>205</v>
      </c>
      <c r="D88" s="22" t="s">
        <v>320</v>
      </c>
      <c r="E88" s="13">
        <v>42730.577361111114</v>
      </c>
      <c r="F88" s="13">
        <v>42730.581273148149</v>
      </c>
      <c r="G88" s="7">
        <v>1</v>
      </c>
      <c r="H88" s="22" t="s">
        <v>191</v>
      </c>
      <c r="I88" s="13">
        <v>42730.608900462961</v>
      </c>
      <c r="J88" s="7">
        <v>0</v>
      </c>
      <c r="K88" s="109" t="str">
        <f t="shared" si="26"/>
        <v>4025/4026</v>
      </c>
      <c r="L88" s="22" t="str">
        <f>VLOOKUP(A88,'Trips&amp;Operators'!$C$1:$G$99999,5,FALSE)</f>
        <v>DAVIS MICHAEL</v>
      </c>
      <c r="M88" s="6">
        <f t="shared" si="27"/>
        <v>2.7627314811979886E-2</v>
      </c>
      <c r="N88" s="7">
        <f t="shared" si="28"/>
        <v>39.783333329251036</v>
      </c>
      <c r="O88" s="7"/>
      <c r="P88" s="7"/>
      <c r="Q88" s="23"/>
      <c r="R88" s="23"/>
      <c r="S88" s="35">
        <f t="shared" si="29"/>
        <v>1</v>
      </c>
      <c r="T88" s="50" t="str">
        <f t="shared" si="30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12:51:24-700',mode:absolute,to:'2016-12-26 15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8" s="52" t="str">
        <f t="shared" si="32"/>
        <v>N</v>
      </c>
      <c r="X88" s="177">
        <f t="shared" si="40"/>
        <v>1</v>
      </c>
      <c r="Y88" s="67">
        <f t="shared" si="33"/>
        <v>23.296900000000001</v>
      </c>
      <c r="Z88" s="67">
        <f t="shared" si="34"/>
        <v>1.49E-2</v>
      </c>
      <c r="AA88" s="67">
        <f t="shared" si="35"/>
        <v>23.282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36"/>
        <v>0176-26</v>
      </c>
      <c r="AE88" s="91" t="str">
        <f t="shared" si="37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88" s="88" t="str">
        <f t="shared" si="38"/>
        <v>"C:\Program Files (x86)\AstroGrep\AstroGrep.exe" /spath="%USERPROFILE%\AppData\Local\Temp\OnboardLogs" /stypes="app*4026*20161226*" /stext=" 21:.+((SYSTEM_STATE.+slice.+state.+changed )|(ment ac)|(multiple cpu faults)|(system.+state.+changed )|(\[timeout)|(PRM\|1\|D)|(kpr)|(kdp)|(\|lc)|(penalty))" /e /r /s</v>
      </c>
      <c r="AG88" s="1" t="str">
        <f t="shared" si="39"/>
        <v>EC</v>
      </c>
      <c r="AH88" s="92" t="str">
        <f t="shared" si="24"/>
        <v>"%USERPROFILE%\Documents\GitHub\eaglep3\Utilities\RefineRTDCRunTimes.py" --tripid 176-26 --locoid 4026 --swversion DE.1.0.8.0 --startMP 204:232969 --initTime 2016-12-26T13:51:24 --startdatetime 2016-12-26T13:57:02 --delay 1 --endMP 204:149 --enddatetime 2016-12-26T14:36:49 --enforcementcount 0 &gt;&gt;C:\Users\stu\Documents\GitHub\eaglep3-reporting\EC\2016-12-26-refined-times.txt</v>
      </c>
      <c r="AI88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{"issue":{"subject":"","project_id":79,"tracker_id":40,"status_id":1,"priority_id":2,"assigned_to_id":23,"start_date":"2016-12-26","description":"","custom_fields":[{"id":1,"name":"Subdivision","value":"EC"},{"id":4,"name":"Milepost","value":"0.0149"},{"id":17,"name":"Train ID","value":"176-26"},{"id":16,"name":"Locomotive ID","value":"4026"},{"id":130,"name":"Impact","value":""},{"id":150,"name":"Time of Event (Mountain Time)","value":"14:36:49"},{"id":151,"name":"Denver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548</v>
      </c>
      <c r="B89" s="7">
        <v>4046</v>
      </c>
      <c r="C89" s="22" t="s">
        <v>205</v>
      </c>
      <c r="D89" s="22" t="s">
        <v>681</v>
      </c>
      <c r="E89" s="13">
        <v>42730.548194444447</v>
      </c>
      <c r="F89" s="13">
        <v>42730.552268518521</v>
      </c>
      <c r="G89" s="7">
        <v>1</v>
      </c>
      <c r="H89" s="22" t="s">
        <v>317</v>
      </c>
      <c r="I89" s="13">
        <v>42730.578206018516</v>
      </c>
      <c r="J89" s="7">
        <v>0</v>
      </c>
      <c r="K89" s="109" t="str">
        <f t="shared" si="26"/>
        <v>4045/4046</v>
      </c>
      <c r="L89" s="22" t="str">
        <f>VLOOKUP(A89,'Trips&amp;Operators'!$C$1:$G$99999,5,FALSE)</f>
        <v>CLARK KATHLEEN</v>
      </c>
      <c r="M89" s="6">
        <f t="shared" si="27"/>
        <v>2.5937499995052349E-2</v>
      </c>
      <c r="N89" s="7">
        <f t="shared" si="28"/>
        <v>37.349999992875382</v>
      </c>
      <c r="O89" s="7"/>
      <c r="P89" s="7"/>
      <c r="Q89" s="23"/>
      <c r="R89" s="23"/>
      <c r="S89" s="35">
        <f t="shared" si="29"/>
        <v>1</v>
      </c>
      <c r="T89" s="50" t="str">
        <f t="shared" si="30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12:09:24-700',mode:absolute,to:'2016-12-26 14:52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9" s="52" t="str">
        <f t="shared" si="32"/>
        <v>N</v>
      </c>
      <c r="X89" s="177">
        <f t="shared" si="40"/>
        <v>1</v>
      </c>
      <c r="Y89" s="67">
        <f t="shared" si="33"/>
        <v>4.9799999999999997E-2</v>
      </c>
      <c r="Z89" s="67">
        <f t="shared" si="34"/>
        <v>23.33</v>
      </c>
      <c r="AA89" s="67">
        <f t="shared" si="35"/>
        <v>23.280199999999997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6"/>
        <v>0177-26</v>
      </c>
      <c r="AE89" s="91" t="str">
        <f t="shared" si="37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89" s="88" t="str">
        <f t="shared" si="38"/>
        <v>"C:\Program Files (x86)\AstroGrep\AstroGrep.exe" /spath="%USERPROFILE%\AppData\Local\Temp\OnboardLogs" /stypes="app*4046*20161226*" /stext=" 20:.+((SYSTEM_STATE.+slice.+state.+changed )|(ment ac)|(multiple cpu faults)|(system.+state.+changed )|(\[timeout)|(PRM\|1\|D)|(kpr)|(kdp)|(\|lc)|(penalty))" /e /r /s</v>
      </c>
      <c r="AG89" s="1" t="str">
        <f t="shared" si="39"/>
        <v>EC</v>
      </c>
      <c r="AH89" s="92" t="str">
        <f t="shared" si="24"/>
        <v>"%USERPROFILE%\Documents\GitHub\eaglep3\Utilities\RefineRTDCRunTimes.py" --tripid 177-26 --locoid 4046 --swversion DE.1.0.8.0 --startMP 204:498 --initTime 2016-12-26T13:09:24 --startdatetime 2016-12-26T13:15:16 --delay 1 --endMP 204:233300 --enddatetime 2016-12-26T13:52:37 --enforcementcount 0 &gt;&gt;C:\Users\stu\Documents\GitHub\eaglep3-reporting\EC\2016-12-26-refined-times.txt</v>
      </c>
      <c r="AI89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{"issue":{"subject":"","project_id":79,"tracker_id":40,"status_id":1,"priority_id":2,"assigned_to_id":23,"start_date":"2016-12-26","description":"","custom_fields":[{"id":1,"name":"Subdivision","value":"EC"},{"id":4,"name":"Milepost","value":"23.33"},{"id":17,"name":"Train ID","value":"177-26"},{"id":16,"name":"Locomotive ID","value":"4046"},{"id":130,"name":"Impact","value":""},{"id":150,"name":"Time of Event (Mountain Time)","value":"13:52:37"},{"id":151,"name":"Denver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557</v>
      </c>
      <c r="B90" s="7">
        <v>4045</v>
      </c>
      <c r="C90" s="22" t="s">
        <v>205</v>
      </c>
      <c r="D90" s="22" t="s">
        <v>322</v>
      </c>
      <c r="E90" s="13">
        <v>42730.585960648146</v>
      </c>
      <c r="F90" s="13">
        <v>42730.591134259259</v>
      </c>
      <c r="G90" s="7">
        <v>1</v>
      </c>
      <c r="H90" s="22" t="s">
        <v>682</v>
      </c>
      <c r="I90" s="13">
        <v>42730.619780092595</v>
      </c>
      <c r="J90" s="7">
        <v>0</v>
      </c>
      <c r="K90" s="109" t="str">
        <f t="shared" si="26"/>
        <v>4045/4046</v>
      </c>
      <c r="L90" s="22" t="str">
        <f>VLOOKUP(A90,'Trips&amp;Operators'!$C$1:$G$99999,5,FALSE)</f>
        <v>CLARK KATHLEEN</v>
      </c>
      <c r="M90" s="6">
        <f t="shared" si="27"/>
        <v>2.8645833335758653E-2</v>
      </c>
      <c r="N90" s="7">
        <f t="shared" si="28"/>
        <v>41.25000000349246</v>
      </c>
      <c r="O90" s="7"/>
      <c r="P90" s="7"/>
      <c r="Q90" s="23"/>
      <c r="R90" s="23"/>
      <c r="S90" s="35">
        <f t="shared" si="29"/>
        <v>1</v>
      </c>
      <c r="T90" s="50" t="str">
        <f t="shared" si="30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13:03:47-700',mode:absolute,to:'2016-12-26 15:52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0" s="52" t="str">
        <f t="shared" si="32"/>
        <v>N</v>
      </c>
      <c r="X90" s="177">
        <f t="shared" si="40"/>
        <v>1</v>
      </c>
      <c r="Y90" s="67">
        <f t="shared" si="33"/>
        <v>23.298300000000001</v>
      </c>
      <c r="Z90" s="67">
        <f t="shared" si="34"/>
        <v>1.9199999999999998E-2</v>
      </c>
      <c r="AA90" s="67">
        <f t="shared" si="35"/>
        <v>23.2791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6"/>
        <v>0178-26</v>
      </c>
      <c r="AE90" s="91" t="str">
        <f t="shared" si="37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90" s="88" t="str">
        <f t="shared" si="38"/>
        <v>"C:\Program Files (x86)\AstroGrep\AstroGrep.exe" /spath="%USERPROFILE%\AppData\Local\Temp\OnboardLogs" /stypes="app*4045*20161226*" /stext=" 21:.+((SYSTEM_STATE.+slice.+state.+changed )|(ment ac)|(multiple cpu faults)|(system.+state.+changed )|(\[timeout)|(PRM\|1\|D)|(kpr)|(kdp)|(\|lc)|(penalty))" /e /r /s</v>
      </c>
      <c r="AG90" s="1" t="str">
        <f t="shared" si="39"/>
        <v>EC</v>
      </c>
      <c r="AH90" s="92" t="str">
        <f t="shared" si="24"/>
        <v>"%USERPROFILE%\Documents\GitHub\eaglep3\Utilities\RefineRTDCRunTimes.py" --tripid 178-26 --locoid 4045 --swversion DE.1.0.8.0 --startMP 204:232983 --initTime 2016-12-26T14:03:47 --startdatetime 2016-12-26T14:11:14 --delay 1 --endMP 204:192 --enddatetime 2016-12-26T14:52:29 --enforcementcount 0 &gt;&gt;C:\Users\stu\Documents\GitHub\eaglep3-reporting\EC\2016-12-26-refined-times.txt</v>
      </c>
      <c r="AI90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{"issue":{"subject":"","project_id":79,"tracker_id":40,"status_id":1,"priority_id":2,"assigned_to_id":23,"start_date":"2016-12-26","description":"","custom_fields":[{"id":1,"name":"Subdivision","value":"EC"},{"id":4,"name":"Milepost","value":"0.0192"},{"id":17,"name":"Train ID","value":"178-26"},{"id":16,"name":"Locomotive ID","value":"4045"},{"id":130,"name":"Impact","value":""},{"id":150,"name":"Time of Event (Mountain Time)","value":"14:52:29"},{"id":151,"name":"Denver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7" t="s">
        <v>550</v>
      </c>
      <c r="B91" s="7">
        <v>4051</v>
      </c>
      <c r="C91" s="22" t="s">
        <v>205</v>
      </c>
      <c r="D91" s="22" t="s">
        <v>332</v>
      </c>
      <c r="E91" s="13">
        <v>42730.556898148148</v>
      </c>
      <c r="F91" s="13">
        <v>42730.562905092593</v>
      </c>
      <c r="G91" s="7">
        <v>1</v>
      </c>
      <c r="H91" s="22" t="s">
        <v>312</v>
      </c>
      <c r="I91" s="13">
        <v>42730.586944444447</v>
      </c>
      <c r="J91" s="7">
        <v>0</v>
      </c>
      <c r="K91" s="109" t="str">
        <f t="shared" si="26"/>
        <v>4051/4052</v>
      </c>
      <c r="L91" s="22" t="str">
        <f>VLOOKUP(A91,'Trips&amp;Operators'!$C$1:$G$99999,5,FALSE)</f>
        <v>ADANE ELSHADAY</v>
      </c>
      <c r="M91" s="6">
        <f t="shared" si="27"/>
        <v>2.4039351854298729E-2</v>
      </c>
      <c r="N91" s="7">
        <f t="shared" si="28"/>
        <v>34.61666667019017</v>
      </c>
      <c r="O91" s="7"/>
      <c r="P91" s="7"/>
      <c r="Q91" s="23"/>
      <c r="R91" s="23"/>
      <c r="S91" s="35">
        <f t="shared" si="29"/>
        <v>1</v>
      </c>
      <c r="T91" s="50" t="str">
        <f t="shared" si="30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12:21:56-700',mode:absolute,to:'2016-12-26 15:05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91" s="52" t="str">
        <f t="shared" si="32"/>
        <v>N</v>
      </c>
      <c r="X91" s="177">
        <f t="shared" si="40"/>
        <v>1</v>
      </c>
      <c r="Y91" s="67">
        <f t="shared" si="33"/>
        <v>4.7500000000000001E-2</v>
      </c>
      <c r="Z91" s="67">
        <f t="shared" si="34"/>
        <v>23.329699999999999</v>
      </c>
      <c r="AA91" s="67">
        <f t="shared" si="35"/>
        <v>23.2822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36"/>
        <v>0179-26</v>
      </c>
      <c r="AE91" s="91" t="str">
        <f t="shared" si="37"/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91" s="88" t="str">
        <f t="shared" si="38"/>
        <v>"C:\Program Files (x86)\AstroGrep\AstroGrep.exe" /spath="%USERPROFILE%\AppData\Local\Temp\OnboardLogs" /stypes="app*4051*20161226*" /stext=" 21:.+((SYSTEM_STATE.+slice.+state.+changed )|(ment ac)|(multiple cpu faults)|(system.+state.+changed )|(\[timeout)|(PRM\|1\|D)|(kpr)|(kdp)|(\|lc)|(penalty))" /e /r /s</v>
      </c>
      <c r="AG91" s="1" t="str">
        <f t="shared" si="39"/>
        <v>EC</v>
      </c>
      <c r="AH91" s="92" t="str">
        <f t="shared" si="24"/>
        <v>"%USERPROFILE%\Documents\GitHub\eaglep3\Utilities\RefineRTDCRunTimes.py" --tripid 179-26 --locoid 4051 --swversion DE.1.0.8.0 --startMP 204:475 --initTime 2016-12-26T13:21:56 --startdatetime 2016-12-26T13:30:35 --delay 1 --endMP 204:233297 --enddatetime 2016-12-26T14:05:12 --enforcementcount 0 &gt;&gt;C:\Users\stu\Documents\GitHub\eaglep3-reporting\EC\2016-12-26-refined-times.txt</v>
      </c>
      <c r="AI91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ID","value":"179-26"},{"id":16,"name":"Locomotive ID","value":"4051"},{"id":130,"name":"Impact","value":""},{"id":150,"name":"Time of Event (Mountain Time)","value":"14:05:12"},{"id":151,"name":"Denver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7" t="s">
        <v>438</v>
      </c>
      <c r="B92" s="7">
        <v>4052</v>
      </c>
      <c r="C92" s="22" t="s">
        <v>205</v>
      </c>
      <c r="D92" s="22" t="s">
        <v>368</v>
      </c>
      <c r="E92" s="13">
        <v>42730.588101851848</v>
      </c>
      <c r="F92" s="13">
        <v>42730.601898148147</v>
      </c>
      <c r="G92" s="7">
        <v>1</v>
      </c>
      <c r="H92" s="22" t="s">
        <v>267</v>
      </c>
      <c r="I92" s="13">
        <v>42730.627812500003</v>
      </c>
      <c r="J92" s="7">
        <v>0</v>
      </c>
      <c r="K92" s="109" t="str">
        <f t="shared" si="26"/>
        <v>4051/4052</v>
      </c>
      <c r="L92" s="22" t="str">
        <f>VLOOKUP(A92,'Trips&amp;Operators'!$C$1:$G$99999,5,FALSE)</f>
        <v>ADANE ELSHADAY</v>
      </c>
      <c r="M92" s="6">
        <f t="shared" si="27"/>
        <v>2.5914351856044959E-2</v>
      </c>
      <c r="N92" s="7">
        <f t="shared" si="28"/>
        <v>37.316666672704741</v>
      </c>
      <c r="O92" s="7"/>
      <c r="P92" s="7"/>
      <c r="Q92" s="23"/>
      <c r="R92" s="23"/>
      <c r="S92" s="35">
        <f t="shared" si="29"/>
        <v>1</v>
      </c>
      <c r="T92" s="50" t="str">
        <f t="shared" si="30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13:06:52-700',mode:absolute,to:'2016-12-26 16:04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92" s="52" t="str">
        <f t="shared" si="32"/>
        <v>N</v>
      </c>
      <c r="X92" s="177">
        <f t="shared" si="40"/>
        <v>1</v>
      </c>
      <c r="Y92" s="67">
        <f t="shared" si="33"/>
        <v>23.2971</v>
      </c>
      <c r="Z92" s="67">
        <f t="shared" si="34"/>
        <v>1.6E-2</v>
      </c>
      <c r="AA92" s="67">
        <f t="shared" si="35"/>
        <v>23.281100000000002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6"/>
        <v>0180-26</v>
      </c>
      <c r="AE92" s="91" t="str">
        <f t="shared" si="37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92" s="88" t="str">
        <f t="shared" si="38"/>
        <v>"C:\Program Files (x86)\AstroGrep\AstroGrep.exe" /spath="%USERPROFILE%\AppData\Local\Temp\OnboardLogs" /stypes="app*4052*20161226*" /stext=" 22:.+((SYSTEM_STATE.+slice.+state.+changed )|(ment ac)|(multiple cpu faults)|(system.+state.+changed )|(\[timeout)|(PRM\|1\|D)|(kpr)|(kdp)|(\|lc)|(penalty))" /e /r /s</v>
      </c>
      <c r="AG92" s="1" t="str">
        <f t="shared" si="39"/>
        <v>EC</v>
      </c>
      <c r="AH92" s="92" t="str">
        <f t="shared" si="24"/>
        <v>"%USERPROFILE%\Documents\GitHub\eaglep3\Utilities\RefineRTDCRunTimes.py" --tripid 180-26 --locoid 4052 --swversion DE.1.0.8.0 --startMP 204:232971 --initTime 2016-12-26T14:06:52 --startdatetime 2016-12-26T14:26:44 --delay 1 --endMP 204:160 --enddatetime 2016-12-26T15:04:03 --enforcementcount 0 &gt;&gt;C:\Users\stu\Documents\GitHub\eaglep3-reporting\EC\2016-12-26-refined-times.txt</v>
      </c>
      <c r="AI92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{"issue":{"subject":"","project_id":79,"tracker_id":40,"status_id":1,"priority_id":2,"assigned_to_id":23,"start_date":"2016-12-26","description":"","custom_fields":[{"id":1,"name":"Subdivision","value":"EC"},{"id":4,"name":"Milepost","value":"0.016"},{"id":17,"name":"Train ID","value":"180-26"},{"id":16,"name":"Locomotive ID","value":"4052"},{"id":130,"name":"Impact","value":""},{"id":150,"name":"Time of Event (Mountain Time)","value":"15:04:03"},{"id":151,"name":"Denver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553</v>
      </c>
      <c r="B93" s="7">
        <v>4044</v>
      </c>
      <c r="C93" s="22" t="s">
        <v>205</v>
      </c>
      <c r="D93" s="22" t="s">
        <v>228</v>
      </c>
      <c r="E93" s="13">
        <v>42730.568240740744</v>
      </c>
      <c r="F93" s="13">
        <v>42730.573078703703</v>
      </c>
      <c r="G93" s="7">
        <v>1</v>
      </c>
      <c r="H93" s="22" t="s">
        <v>286</v>
      </c>
      <c r="I93" s="13">
        <v>42730.597743055558</v>
      </c>
      <c r="J93" s="7">
        <v>0</v>
      </c>
      <c r="K93" s="109" t="str">
        <f t="shared" si="26"/>
        <v>4043/4044</v>
      </c>
      <c r="L93" s="22" t="str">
        <f>VLOOKUP(A93,'Trips&amp;Operators'!$C$1:$G$99999,5,FALSE)</f>
        <v>CRAYTON QUNTRELL</v>
      </c>
      <c r="M93" s="6">
        <f t="shared" si="27"/>
        <v>2.4664351854880806E-2</v>
      </c>
      <c r="N93" s="7">
        <f t="shared" si="28"/>
        <v>35.516666671028361</v>
      </c>
      <c r="O93" s="7"/>
      <c r="P93" s="7"/>
      <c r="Q93" s="23"/>
      <c r="R93" s="23"/>
      <c r="S93" s="35">
        <f t="shared" si="29"/>
        <v>1</v>
      </c>
      <c r="T93" s="50" t="str">
        <f t="shared" si="30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12:38:16-700',mode:absolute,to:'2016-12-26 15:20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3" s="52" t="str">
        <f t="shared" si="32"/>
        <v>N</v>
      </c>
      <c r="X93" s="177">
        <f t="shared" si="40"/>
        <v>1</v>
      </c>
      <c r="Y93" s="67">
        <f t="shared" si="33"/>
        <v>4.5499999999999999E-2</v>
      </c>
      <c r="Z93" s="67">
        <f t="shared" si="34"/>
        <v>23.3308</v>
      </c>
      <c r="AA93" s="67">
        <f t="shared" si="35"/>
        <v>23.285299999999999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6"/>
        <v>0181-26</v>
      </c>
      <c r="AE93" s="91" t="str">
        <f t="shared" si="37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93" s="88" t="str">
        <f t="shared" si="38"/>
        <v>"C:\Program Files (x86)\AstroGrep\AstroGrep.exe" /spath="%USERPROFILE%\AppData\Local\Temp\OnboardLogs" /stypes="app*4044*20161226*" /stext=" 21:.+((SYSTEM_STATE.+slice.+state.+changed )|(ment ac)|(multiple cpu faults)|(system.+state.+changed )|(\[timeout)|(PRM\|1\|D)|(kpr)|(kdp)|(\|lc)|(penalty))" /e /r /s</v>
      </c>
      <c r="AG93" s="1" t="str">
        <f t="shared" si="39"/>
        <v>EC</v>
      </c>
      <c r="AH93" s="92" t="str">
        <f t="shared" si="24"/>
        <v>"%USERPROFILE%\Documents\GitHub\eaglep3\Utilities\RefineRTDCRunTimes.py" --tripid 181-26 --locoid 4044 --swversion DE.1.0.8.0 --startMP 204:455 --initTime 2016-12-26T13:38:16 --startdatetime 2016-12-26T13:45:14 --delay 1 --endMP 204:233308 --enddatetime 2016-12-26T14:20:45 --enforcementcount 0 &gt;&gt;C:\Users\stu\Documents\GitHub\eaglep3-reporting\EC\2016-12-26-refined-times.txt</v>
      </c>
      <c r="AI93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{"issue":{"subject":"","project_id":79,"tracker_id":40,"status_id":1,"priority_id":2,"assigned_to_id":23,"start_date":"2016-12-26","description":"","custom_fields":[{"id":1,"name":"Subdivision","value":"EC"},{"id":4,"name":"Milepost","value":"23.3308"},{"id":17,"name":"Train ID","value":"181-26"},{"id":16,"name":"Locomotive ID","value":"4044"},{"id":130,"name":"Impact","value":""},{"id":150,"name":"Time of Event (Mountain Time)","value":"14:20:45"},{"id":151,"name":"Denver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560</v>
      </c>
      <c r="B94" s="7">
        <v>4043</v>
      </c>
      <c r="C94" s="22" t="s">
        <v>205</v>
      </c>
      <c r="D94" s="22" t="s">
        <v>400</v>
      </c>
      <c r="E94" s="13">
        <v>42730.604189814818</v>
      </c>
      <c r="F94" s="13">
        <v>42730.612337962964</v>
      </c>
      <c r="G94" s="7">
        <v>1</v>
      </c>
      <c r="H94" s="22" t="s">
        <v>211</v>
      </c>
      <c r="I94" s="13">
        <v>42730.639768518522</v>
      </c>
      <c r="J94" s="7">
        <v>0</v>
      </c>
      <c r="K94" s="109" t="str">
        <f t="shared" si="26"/>
        <v>4043/4044</v>
      </c>
      <c r="L94" s="22" t="str">
        <f>VLOOKUP(A94,'Trips&amp;Operators'!$C$1:$G$99999,5,FALSE)</f>
        <v>CRAYTON QUNTRELL</v>
      </c>
      <c r="M94" s="6">
        <f t="shared" si="27"/>
        <v>2.7430555557657499E-2</v>
      </c>
      <c r="N94" s="7">
        <f t="shared" si="28"/>
        <v>39.500000003026798</v>
      </c>
      <c r="O94" s="7"/>
      <c r="P94" s="7"/>
      <c r="Q94" s="23"/>
      <c r="R94" s="23"/>
      <c r="S94" s="35">
        <f t="shared" si="29"/>
        <v>1</v>
      </c>
      <c r="T94" s="50" t="str">
        <f t="shared" si="30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13:30:02-700',mode:absolute,to:'2016-12-26 16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4" s="52" t="str">
        <f t="shared" si="32"/>
        <v>N</v>
      </c>
      <c r="X94" s="177">
        <f t="shared" si="40"/>
        <v>1</v>
      </c>
      <c r="Y94" s="67">
        <f t="shared" si="33"/>
        <v>23.299600000000002</v>
      </c>
      <c r="Z94" s="67">
        <f t="shared" si="34"/>
        <v>1.4999999999999999E-2</v>
      </c>
      <c r="AA94" s="67">
        <f t="shared" si="35"/>
        <v>23.284600000000001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6"/>
        <v>0182-26</v>
      </c>
      <c r="AE94" s="91" t="str">
        <f t="shared" si="37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94" s="88" t="str">
        <f t="shared" si="38"/>
        <v>"C:\Program Files (x86)\AstroGrep\AstroGrep.exe" /spath="%USERPROFILE%\AppData\Local\Temp\OnboardLogs" /stypes="app*4043*20161226*" /stext=" 22:.+((SYSTEM_STATE.+slice.+state.+changed )|(ment ac)|(multiple cpu faults)|(system.+state.+changed )|(\[timeout)|(PRM\|1\|D)|(kpr)|(kdp)|(\|lc)|(penalty))" /e /r /s</v>
      </c>
      <c r="AG94" s="1" t="str">
        <f t="shared" si="39"/>
        <v>EC</v>
      </c>
      <c r="AH94" s="92" t="str">
        <f t="shared" si="24"/>
        <v>"%USERPROFILE%\Documents\GitHub\eaglep3\Utilities\RefineRTDCRunTimes.py" --tripid 182-26 --locoid 4043 --swversion DE.1.0.8.0 --startMP 204:232996 --initTime 2016-12-26T14:30:02 --startdatetime 2016-12-26T14:41:46 --delay 1 --endMP 204:150 --enddatetime 2016-12-26T15:21:16 --enforcementcount 0 &gt;&gt;C:\Users\stu\Documents\GitHub\eaglep3-reporting\EC\2016-12-26-refined-times.txt</v>
      </c>
      <c r="AI94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{"issue":{"subject":"","project_id":79,"tracker_id":40,"status_id":1,"priority_id":2,"assigned_to_id":23,"start_date":"2016-12-26","description":"","custom_fields":[{"id":1,"name":"Subdivision","value":"EC"},{"id":4,"name":"Milepost","value":"0.015"},{"id":17,"name":"Train ID","value":"182-26"},{"id":16,"name":"Locomotive ID","value":"4043"},{"id":130,"name":"Impact","value":""},{"id":150,"name":"Time of Event (Mountain Time)","value":"15:21:16"},{"id":151,"name":"Denver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7" t="s">
        <v>555</v>
      </c>
      <c r="B95" s="7">
        <v>4029</v>
      </c>
      <c r="C95" s="22" t="s">
        <v>205</v>
      </c>
      <c r="D95" s="22" t="s">
        <v>284</v>
      </c>
      <c r="E95" s="13">
        <v>42730.580752314818</v>
      </c>
      <c r="F95" s="13">
        <v>42730.583541666667</v>
      </c>
      <c r="G95" s="7">
        <v>1</v>
      </c>
      <c r="H95" s="22" t="s">
        <v>312</v>
      </c>
      <c r="I95" s="13">
        <v>42730.60796296296</v>
      </c>
      <c r="J95" s="7">
        <v>0</v>
      </c>
      <c r="K95" s="109" t="str">
        <f t="shared" si="26"/>
        <v>4029/4030</v>
      </c>
      <c r="L95" s="22" t="str">
        <f>VLOOKUP(A95,'Trips&amp;Operators'!$C$1:$G$99999,5,FALSE)</f>
        <v>SIMMONS SHYHESHA</v>
      </c>
      <c r="M95" s="6">
        <f t="shared" si="27"/>
        <v>2.4421296293439809E-2</v>
      </c>
      <c r="N95" s="7">
        <f t="shared" si="28"/>
        <v>35.166666662553325</v>
      </c>
      <c r="O95" s="7"/>
      <c r="P95" s="7"/>
      <c r="Q95" s="23"/>
      <c r="R95" s="23"/>
      <c r="S95" s="35">
        <f t="shared" si="29"/>
        <v>1</v>
      </c>
      <c r="T95" s="50" t="str">
        <f t="shared" si="30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12:56:17-700',mode:absolute,to:'2016-12-26 15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5" s="52" t="str">
        <f t="shared" si="32"/>
        <v>N</v>
      </c>
      <c r="X95" s="177">
        <f t="shared" si="40"/>
        <v>1</v>
      </c>
      <c r="Y95" s="67">
        <f t="shared" si="33"/>
        <v>4.4200000000000003E-2</v>
      </c>
      <c r="Z95" s="67">
        <f t="shared" si="34"/>
        <v>23.329699999999999</v>
      </c>
      <c r="AA95" s="67">
        <f t="shared" si="35"/>
        <v>23.285499999999999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36"/>
        <v>0183-26</v>
      </c>
      <c r="AE95" s="91" t="str">
        <f t="shared" si="37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95" s="88" t="str">
        <f t="shared" si="38"/>
        <v>"C:\Program Files (x86)\AstroGrep\AstroGrep.exe" /spath="%USERPROFILE%\AppData\Local\Temp\OnboardLogs" /stypes="app*4029*20161226*" /stext=" 21:.+((SYSTEM_STATE.+slice.+state.+changed )|(ment ac)|(multiple cpu faults)|(system.+state.+changed )|(\[timeout)|(PRM\|1\|D)|(kpr)|(kdp)|(\|lc)|(penalty))" /e /r /s</v>
      </c>
      <c r="AG95" s="1" t="str">
        <f t="shared" si="39"/>
        <v>EC</v>
      </c>
      <c r="AH95" s="92" t="str">
        <f t="shared" si="24"/>
        <v>"%USERPROFILE%\Documents\GitHub\eaglep3\Utilities\RefineRTDCRunTimes.py" --tripid 183-26 --locoid 4029 --swversion DE.1.0.8.0 --startMP 204:442 --initTime 2016-12-26T13:56:17 --startdatetime 2016-12-26T14:00:18 --delay 1 --endMP 204:233297 --enddatetime 2016-12-26T14:35:28 --enforcementcount 0 &gt;&gt;C:\Users\stu\Documents\GitHub\eaglep3-reporting\EC\2016-12-26-refined-times.txt</v>
      </c>
      <c r="AI95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ID","value":"183-26"},{"id":16,"name":"Locomotive ID","value":"4029"},{"id":130,"name":"Impact","value":""},{"id":150,"name":"Time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</row>
    <row r="96" spans="1:91" x14ac:dyDescent="0.25">
      <c r="A96" s="37" t="s">
        <v>563</v>
      </c>
      <c r="B96" s="7">
        <v>4030</v>
      </c>
      <c r="C96" s="22" t="s">
        <v>205</v>
      </c>
      <c r="D96" s="22" t="s">
        <v>309</v>
      </c>
      <c r="E96" s="13">
        <v>42730.617013888892</v>
      </c>
      <c r="F96" s="13">
        <v>42730.622673611113</v>
      </c>
      <c r="G96" s="7">
        <v>1</v>
      </c>
      <c r="H96" s="22" t="s">
        <v>324</v>
      </c>
      <c r="I96" s="13">
        <v>42730.650578703702</v>
      </c>
      <c r="J96" s="7">
        <v>0</v>
      </c>
      <c r="K96" s="109" t="str">
        <f t="shared" si="26"/>
        <v>4029/4030</v>
      </c>
      <c r="L96" s="22" t="str">
        <f>VLOOKUP(A96,'Trips&amp;Operators'!$C$1:$G$99999,5,FALSE)</f>
        <v>SIMMONS SHYHESHA</v>
      </c>
      <c r="M96" s="6">
        <f t="shared" si="27"/>
        <v>2.7905092589207925E-2</v>
      </c>
      <c r="N96" s="7">
        <f t="shared" si="28"/>
        <v>40.183333328459412</v>
      </c>
      <c r="O96" s="7"/>
      <c r="P96" s="7"/>
      <c r="Q96" s="23"/>
      <c r="R96" s="23"/>
      <c r="S96" s="35">
        <f t="shared" si="29"/>
        <v>1</v>
      </c>
      <c r="T96" s="50" t="str">
        <f t="shared" si="30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13:48:30-700',mode:absolute,to:'2016-12-26 16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6" s="52" t="str">
        <f t="shared" si="32"/>
        <v>N</v>
      </c>
      <c r="X96" s="177">
        <f t="shared" si="40"/>
        <v>1</v>
      </c>
      <c r="Y96" s="67">
        <f t="shared" si="33"/>
        <v>23.298400000000001</v>
      </c>
      <c r="Z96" s="67">
        <f t="shared" si="34"/>
        <v>1.6500000000000001E-2</v>
      </c>
      <c r="AA96" s="67">
        <f t="shared" si="35"/>
        <v>23.2819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36"/>
        <v>0184-26</v>
      </c>
      <c r="AE96" s="91" t="str">
        <f t="shared" si="37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96" s="88" t="str">
        <f t="shared" si="38"/>
        <v>"C:\Program Files (x86)\AstroGrep\AstroGrep.exe" /spath="%USERPROFILE%\AppData\Local\Temp\OnboardLogs" /stypes="app*4030*20161226*" /stext=" 22:.+((SYSTEM_STATE.+slice.+state.+changed )|(ment ac)|(multiple cpu faults)|(system.+state.+changed )|(\[timeout)|(PRM\|1\|D)|(kpr)|(kdp)|(\|lc)|(penalty))" /e /r /s</v>
      </c>
      <c r="AG96" s="1" t="str">
        <f t="shared" si="39"/>
        <v>EC</v>
      </c>
      <c r="AH96" s="92" t="str">
        <f t="shared" si="24"/>
        <v>"%USERPROFILE%\Documents\GitHub\eaglep3\Utilities\RefineRTDCRunTimes.py" --tripid 184-26 --locoid 4030 --swversion DE.1.0.8.0 --startMP 204:232984 --initTime 2016-12-26T14:48:30 --startdatetime 2016-12-26T14:56:39 --delay 1 --endMP 204:165 --enddatetime 2016-12-26T15:36:50 --enforcementcount 0 &gt;&gt;C:\Users\stu\Documents\GitHub\eaglep3-reporting\EC\2016-12-26-refined-times.txt</v>
      </c>
      <c r="AI96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{"issue":{"subject":"","project_id":79,"tracker_id":40,"status_id":1,"priority_id":2,"assigned_to_id":23,"start_date":"2016-12-26","description":"","custom_fields":[{"id":1,"name":"Subdivision","value":"EC"},{"id":4,"name":"Milepost","value":"0.0165"},{"id":17,"name":"Train ID","value":"184-26"},{"id":16,"name":"Locomotive ID","value":"4030"},{"id":130,"name":"Impact","value":""},{"id":150,"name":"Time of Event (Mountain Time)","value":"15:36:50"},{"id":151,"name":"Denver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x14ac:dyDescent="0.25">
      <c r="A97" s="37" t="s">
        <v>558</v>
      </c>
      <c r="B97" s="7">
        <v>4031</v>
      </c>
      <c r="C97" s="22" t="s">
        <v>205</v>
      </c>
      <c r="D97" s="22" t="s">
        <v>194</v>
      </c>
      <c r="E97" s="13">
        <v>42730.591805555552</v>
      </c>
      <c r="F97" s="13">
        <v>42730.59412037037</v>
      </c>
      <c r="G97" s="7">
        <v>1</v>
      </c>
      <c r="H97" s="22" t="s">
        <v>317</v>
      </c>
      <c r="I97" s="13">
        <v>42730.619571759256</v>
      </c>
      <c r="J97" s="7">
        <v>0</v>
      </c>
      <c r="K97" s="109" t="str">
        <f t="shared" si="26"/>
        <v>4031/4032</v>
      </c>
      <c r="L97" s="22" t="str">
        <f>VLOOKUP(A97,'Trips&amp;Operators'!$C$1:$G$99999,5,FALSE)</f>
        <v>KILLION DAVID</v>
      </c>
      <c r="M97" s="6">
        <f t="shared" si="27"/>
        <v>2.545138888672227E-2</v>
      </c>
      <c r="N97" s="7">
        <f t="shared" si="28"/>
        <v>36.649999996880069</v>
      </c>
      <c r="O97" s="7"/>
      <c r="P97" s="7"/>
      <c r="Q97" s="23"/>
      <c r="R97" s="23"/>
      <c r="S97" s="35">
        <f t="shared" si="29"/>
        <v>1</v>
      </c>
      <c r="T97" s="50" t="str">
        <f t="shared" si="30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13:12:12-700',mode:absolute,to:'2016-12-26 15:52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7" s="52" t="str">
        <f t="shared" si="32"/>
        <v>N</v>
      </c>
      <c r="X97" s="177">
        <f t="shared" si="40"/>
        <v>1</v>
      </c>
      <c r="Y97" s="67">
        <f t="shared" si="33"/>
        <v>4.5100000000000001E-2</v>
      </c>
      <c r="Z97" s="67">
        <f t="shared" si="34"/>
        <v>23.33</v>
      </c>
      <c r="AA97" s="67">
        <f t="shared" si="35"/>
        <v>23.284899999999997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36"/>
        <v>0185-26</v>
      </c>
      <c r="AE97" s="91" t="str">
        <f t="shared" si="37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97" s="88" t="str">
        <f t="shared" si="38"/>
        <v>"C:\Program Files (x86)\AstroGrep\AstroGrep.exe" /spath="%USERPROFILE%\AppData\Local\Temp\OnboardLogs" /stypes="app*4031*20161226*" /stext=" 21:.+((SYSTEM_STATE.+slice.+state.+changed )|(ment ac)|(multiple cpu faults)|(system.+state.+changed )|(\[timeout)|(PRM\|1\|D)|(kpr)|(kdp)|(\|lc)|(penalty))" /e /r /s</v>
      </c>
      <c r="AG97" s="1" t="str">
        <f t="shared" si="39"/>
        <v>EC</v>
      </c>
      <c r="AH97" s="92" t="str">
        <f t="shared" si="24"/>
        <v>"%USERPROFILE%\Documents\GitHub\eaglep3\Utilities\RefineRTDCRunTimes.py" --tripid 185-26 --locoid 4031 --swversion DE.1.0.8.0 --startMP 204:451 --initTime 2016-12-26T14:12:12 --startdatetime 2016-12-26T14:15:32 --delay 1 --endMP 204:233300 --enddatetime 2016-12-26T14:52:11 --enforcementcount 0 &gt;&gt;C:\Users\stu\Documents\GitHub\eaglep3-reporting\EC\2016-12-26-refined-times.txt</v>
      </c>
      <c r="AI97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{"issue":{"subject":"","project_id":79,"tracker_id":40,"status_id":1,"priority_id":2,"assigned_to_id":23,"start_date":"2016-12-26","description":"","custom_fields":[{"id":1,"name":"Subdivision","value":"EC"},{"id":4,"name":"Milepost","value":"23.33"},{"id":17,"name":"Train ID","value":"185-26"},{"id":16,"name":"Locomotive ID","value":"4031"},{"id":130,"name":"Impact","value":""},{"id":150,"name":"Time of Event (Mountain Time)","value":"14:52:11"},{"id":151,"name":"Denver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s="21" customFormat="1" x14ac:dyDescent="0.25">
      <c r="A98" s="37" t="s">
        <v>566</v>
      </c>
      <c r="B98" s="7">
        <v>4032</v>
      </c>
      <c r="C98" s="22" t="s">
        <v>205</v>
      </c>
      <c r="D98" s="22" t="s">
        <v>683</v>
      </c>
      <c r="E98" s="13">
        <v>42730.628761574073</v>
      </c>
      <c r="F98" s="13">
        <v>42730.632835648146</v>
      </c>
      <c r="G98" s="7">
        <v>1</v>
      </c>
      <c r="H98" s="22" t="s">
        <v>266</v>
      </c>
      <c r="I98" s="13">
        <v>42730.660752314812</v>
      </c>
      <c r="J98" s="7">
        <v>0</v>
      </c>
      <c r="K98" s="109" t="str">
        <f t="shared" si="26"/>
        <v>4031/4032</v>
      </c>
      <c r="L98" s="22" t="str">
        <f>VLOOKUP(A98,'Trips&amp;Operators'!$C$1:$G$99999,5,FALSE)</f>
        <v>KILLION DAVID</v>
      </c>
      <c r="M98" s="6">
        <f t="shared" si="27"/>
        <v>2.7916666665987577E-2</v>
      </c>
      <c r="N98" s="7">
        <f t="shared" si="28"/>
        <v>40.199999999022111</v>
      </c>
      <c r="O98" s="7"/>
      <c r="P98" s="7"/>
      <c r="Q98" s="23"/>
      <c r="R98" s="23"/>
      <c r="S98" s="35">
        <f t="shared" si="29"/>
        <v>1</v>
      </c>
      <c r="T98" s="50" t="str">
        <f t="shared" si="30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14:05:25-700',mode:absolute,to:'2016-12-26 16:51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8" s="52" t="str">
        <f t="shared" si="32"/>
        <v>N</v>
      </c>
      <c r="X98" s="177">
        <f t="shared" si="40"/>
        <v>1</v>
      </c>
      <c r="Y98" s="67">
        <f t="shared" si="33"/>
        <v>23.297899999999998</v>
      </c>
      <c r="Z98" s="67">
        <f t="shared" si="34"/>
        <v>1.61E-2</v>
      </c>
      <c r="AA98" s="67">
        <f t="shared" si="35"/>
        <v>23.281799999999997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6"/>
        <v>0186-26</v>
      </c>
      <c r="AE98" s="91" t="str">
        <f t="shared" si="37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98" s="88" t="str">
        <f t="shared" si="38"/>
        <v>"C:\Program Files (x86)\AstroGrep\AstroGrep.exe" /spath="%USERPROFILE%\AppData\Local\Temp\OnboardLogs" /stypes="app*4032*20161226*" /stext=" 22:.+((SYSTEM_STATE.+slice.+state.+changed )|(ment ac)|(multiple cpu faults)|(system.+state.+changed )|(\[timeout)|(PRM\|1\|D)|(kpr)|(kdp)|(\|lc)|(penalty))" /e /r /s</v>
      </c>
      <c r="AG98" s="1" t="str">
        <f t="shared" si="39"/>
        <v>EC</v>
      </c>
      <c r="AH98" s="92" t="str">
        <f t="shared" si="24"/>
        <v>"%USERPROFILE%\Documents\GitHub\eaglep3\Utilities\RefineRTDCRunTimes.py" --tripid 186-26 --locoid 4032 --swversion DE.1.0.8.0 --startMP 204:232979 --initTime 2016-12-26T15:05:25 --startdatetime 2016-12-26T15:11:17 --delay 1 --endMP 204:161 --enddatetime 2016-12-26T15:51:29 --enforcementcount 0 &gt;&gt;C:\Users\stu\Documents\GitHub\eaglep3-reporting\EC\2016-12-26-refined-times.txt</v>
      </c>
      <c r="AI98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{"issue":{"subject":"","project_id":79,"tracker_id":40,"status_id":1,"priority_id":2,"assigned_to_id":23,"start_date":"2016-12-26","description":"","custom_fields":[{"id":1,"name":"Subdivision","value":"EC"},{"id":4,"name":"Milepost","value":"0.0161"},{"id":17,"name":"Train ID","value":"186-26"},{"id":16,"name":"Locomotive ID","value":"4032"},{"id":130,"name":"Impact","value":""},{"id":150,"name":"Time of Event (Mountain Time)","value":"15:51:29"},{"id":151,"name":"Denver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559</v>
      </c>
      <c r="B99" s="7">
        <v>4027</v>
      </c>
      <c r="C99" s="22" t="s">
        <v>205</v>
      </c>
      <c r="D99" s="22" t="s">
        <v>370</v>
      </c>
      <c r="E99" s="13">
        <v>42730.599479166667</v>
      </c>
      <c r="F99" s="13">
        <v>42730.604467592595</v>
      </c>
      <c r="G99" s="7">
        <v>1</v>
      </c>
      <c r="H99" s="22" t="s">
        <v>285</v>
      </c>
      <c r="I99" s="13">
        <v>42730.630682870367</v>
      </c>
      <c r="J99" s="7">
        <v>0</v>
      </c>
      <c r="K99" s="109" t="str">
        <f t="shared" si="26"/>
        <v>4027/4028</v>
      </c>
      <c r="L99" s="22" t="str">
        <f>VLOOKUP(A99,'Trips&amp;Operators'!$C$1:$G$99999,5,FALSE)</f>
        <v>STEWART MICHAEL</v>
      </c>
      <c r="M99" s="6">
        <f t="shared" si="27"/>
        <v>2.6215277772280388E-2</v>
      </c>
      <c r="N99" s="7">
        <f t="shared" si="28"/>
        <v>37.749999992083758</v>
      </c>
      <c r="O99" s="7"/>
      <c r="P99" s="7"/>
      <c r="Q99" s="23"/>
      <c r="R99" s="23"/>
      <c r="S99" s="35">
        <f t="shared" si="29"/>
        <v>1</v>
      </c>
      <c r="T99" s="50" t="str">
        <f t="shared" si="30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13:23:15-700',mode:absolute,to:'2016-12-26 16:08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9" s="52" t="str">
        <f t="shared" si="32"/>
        <v>N</v>
      </c>
      <c r="X99" s="177">
        <f t="shared" si="40"/>
        <v>1</v>
      </c>
      <c r="Y99" s="67">
        <f t="shared" si="33"/>
        <v>4.5699999999999998E-2</v>
      </c>
      <c r="Z99" s="67">
        <f t="shared" si="34"/>
        <v>23.329499999999999</v>
      </c>
      <c r="AA99" s="67">
        <f t="shared" si="35"/>
        <v>23.283799999999999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36"/>
        <v>0187-26</v>
      </c>
      <c r="AE99" s="91" t="str">
        <f t="shared" si="37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99" s="88" t="str">
        <f t="shared" si="38"/>
        <v>"C:\Program Files (x86)\AstroGrep\AstroGrep.exe" /spath="%USERPROFILE%\AppData\Local\Temp\OnboardLogs" /stypes="app*4027*20161226*" /stext=" 22:.+((SYSTEM_STATE.+slice.+state.+changed )|(ment ac)|(multiple cpu faults)|(system.+state.+changed )|(\[timeout)|(PRM\|1\|D)|(kpr)|(kdp)|(\|lc)|(penalty))" /e /r /s</v>
      </c>
      <c r="AG99" s="1" t="str">
        <f t="shared" si="39"/>
        <v>EC</v>
      </c>
      <c r="AH99" s="92" t="str">
        <f t="shared" si="24"/>
        <v>"%USERPROFILE%\Documents\GitHub\eaglep3\Utilities\RefineRTDCRunTimes.py" --tripid 187-26 --locoid 4027 --swversion DE.1.0.8.0 --startMP 204:457 --initTime 2016-12-26T14:23:15 --startdatetime 2016-12-26T14:30:26 --delay 1 --endMP 204:233295 --enddatetime 2016-12-26T15:08:11 --enforcementcount 0 &gt;&gt;C:\Users\stu\Documents\GitHub\eaglep3-reporting\EC\2016-12-26-refined-times.txt</v>
      </c>
      <c r="AI99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{"issue":{"subject":"","project_id":79,"tracker_id":40,"status_id":1,"priority_id":2,"assigned_to_id":23,"start_date":"2016-12-26","description":"","custom_fields":[{"id":1,"name":"Subdivision","value":"EC"},{"id":4,"name":"Milepost","value":"23.3295"},{"id":17,"name":"Train ID","value":"187-26"},{"id":16,"name":"Locomotive ID","value":"4027"},{"id":130,"name":"Impact","value":""},{"id":150,"name":"Time of Event (Mountain Time)","value":"15:08:11"},{"id":151,"name":"Denver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568</v>
      </c>
      <c r="B100" s="7">
        <v>4028</v>
      </c>
      <c r="C100" s="22" t="s">
        <v>205</v>
      </c>
      <c r="D100" s="22" t="s">
        <v>319</v>
      </c>
      <c r="E100" s="13">
        <v>42730.640335648146</v>
      </c>
      <c r="F100" s="13">
        <v>42730.643287037034</v>
      </c>
      <c r="G100" s="7">
        <v>1</v>
      </c>
      <c r="H100" s="22" t="s">
        <v>331</v>
      </c>
      <c r="I100" s="13">
        <v>42730.669988425929</v>
      </c>
      <c r="J100" s="7">
        <v>0</v>
      </c>
      <c r="K100" s="109" t="str">
        <f t="shared" si="26"/>
        <v>4027/4028</v>
      </c>
      <c r="L100" s="22" t="str">
        <f>VLOOKUP(A100,'Trips&amp;Operators'!$C$1:$G$99999,5,FALSE)</f>
        <v>STEWART MICHAEL</v>
      </c>
      <c r="M100" s="6">
        <f t="shared" si="27"/>
        <v>2.6701388895162381E-2</v>
      </c>
      <c r="N100" s="7">
        <f t="shared" si="28"/>
        <v>38.450000009033829</v>
      </c>
      <c r="O100" s="7"/>
      <c r="P100" s="7"/>
      <c r="Q100" s="23"/>
      <c r="R100" s="23"/>
      <c r="S100" s="35">
        <f t="shared" si="29"/>
        <v>1</v>
      </c>
      <c r="T100" s="50" t="str">
        <f t="shared" si="30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14:22:05-700',mode:absolute,to:'2016-12-26 17:04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0" s="52" t="str">
        <f t="shared" si="32"/>
        <v>N</v>
      </c>
      <c r="X100" s="177">
        <f t="shared" si="40"/>
        <v>1</v>
      </c>
      <c r="Y100" s="67">
        <f t="shared" si="33"/>
        <v>23.296700000000001</v>
      </c>
      <c r="Z100" s="67">
        <f t="shared" si="34"/>
        <v>1.5800000000000002E-2</v>
      </c>
      <c r="AA100" s="67">
        <f t="shared" si="35"/>
        <v>23.280900000000003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6"/>
        <v>0188-26</v>
      </c>
      <c r="AE100" s="91" t="str">
        <f t="shared" si="37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100" s="88" t="str">
        <f t="shared" si="38"/>
        <v>"C:\Program Files (x86)\AstroGrep\AstroGrep.exe" /spath="%USERPROFILE%\AppData\Local\Temp\OnboardLogs" /stypes="app*4028*20161226*" /stext=" 23:.+((SYSTEM_STATE.+slice.+state.+changed )|(ment ac)|(multiple cpu faults)|(system.+state.+changed )|(\[timeout)|(PRM\|1\|D)|(kpr)|(kdp)|(\|lc)|(penalty))" /e /r /s</v>
      </c>
      <c r="AG100" s="1" t="str">
        <f t="shared" si="39"/>
        <v>EC</v>
      </c>
      <c r="AH100" s="92" t="str">
        <f t="shared" si="24"/>
        <v>"%USERPROFILE%\Documents\GitHub\eaglep3\Utilities\RefineRTDCRunTimes.py" --tripid 188-26 --locoid 4028 --swversion DE.1.0.8.0 --startMP 204:232967 --initTime 2016-12-26T15:22:05 --startdatetime 2016-12-26T15:26:20 --delay 1 --endMP 204:158 --enddatetime 2016-12-26T16:04:47 --enforcementcount 0 &gt;&gt;C:\Users\stu\Documents\GitHub\eaglep3-reporting\EC\2016-12-26-refined-times.txt</v>
      </c>
      <c r="AI100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{"issue":{"subject":"","project_id":79,"tracker_id":40,"status_id":1,"priority_id":2,"assigned_to_id":23,"start_date":"2016-12-26","description":"","custom_fields":[{"id":1,"name":"Subdivision","value":"EC"},{"id":4,"name":"Milepost","value":"0.0158"},{"id":17,"name":"Train ID","value":"188-26"},{"id":16,"name":"Locomotive ID","value":"4028"},{"id":130,"name":"Impact","value":""},{"id":150,"name":"Time of Event (Mountain Time)","value":"16:04:47"},{"id":151,"name":"Denver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562</v>
      </c>
      <c r="B101" s="7">
        <v>4025</v>
      </c>
      <c r="C101" s="22" t="s">
        <v>205</v>
      </c>
      <c r="D101" s="22" t="s">
        <v>255</v>
      </c>
      <c r="E101" s="13">
        <v>42730.612557870372</v>
      </c>
      <c r="F101" s="13">
        <v>42730.615266203706</v>
      </c>
      <c r="G101" s="7">
        <v>1</v>
      </c>
      <c r="H101" s="22" t="s">
        <v>280</v>
      </c>
      <c r="I101" s="13">
        <v>42730.640775462962</v>
      </c>
      <c r="J101" s="7">
        <v>0</v>
      </c>
      <c r="K101" s="109" t="str">
        <f t="shared" si="26"/>
        <v>4025/4026</v>
      </c>
      <c r="L101" s="22" t="str">
        <f>VLOOKUP(A101,'Trips&amp;Operators'!$C$1:$G$99999,5,FALSE)</f>
        <v>DAVIS MICHAEL</v>
      </c>
      <c r="M101" s="6">
        <f t="shared" si="27"/>
        <v>2.5509259256068617E-2</v>
      </c>
      <c r="N101" s="7">
        <f t="shared" si="28"/>
        <v>36.733333328738809</v>
      </c>
      <c r="O101" s="7"/>
      <c r="P101" s="7"/>
      <c r="Q101" s="23"/>
      <c r="R101" s="23"/>
      <c r="S101" s="35">
        <f t="shared" si="29"/>
        <v>1</v>
      </c>
      <c r="T101" s="50" t="str">
        <f t="shared" si="30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13:42:05-700',mode:absolute,to:'2016-12-26 16:22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1" s="52" t="str">
        <f t="shared" si="32"/>
        <v>N</v>
      </c>
      <c r="X101" s="177">
        <f t="shared" si="40"/>
        <v>1</v>
      </c>
      <c r="Y101" s="67">
        <f t="shared" si="33"/>
        <v>4.6399999999999997E-2</v>
      </c>
      <c r="Z101" s="67">
        <f t="shared" si="34"/>
        <v>23.329799999999999</v>
      </c>
      <c r="AA101" s="67">
        <f t="shared" si="35"/>
        <v>23.2834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36"/>
        <v>0189-26</v>
      </c>
      <c r="AE101" s="91" t="str">
        <f t="shared" si="37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101" s="88" t="str">
        <f t="shared" si="38"/>
        <v>"C:\Program Files (x86)\AstroGrep\AstroGrep.exe" /spath="%USERPROFILE%\AppData\Local\Temp\OnboardLogs" /stypes="app*4025*20161226*" /stext=" 22:.+((SYSTEM_STATE.+slice.+state.+changed )|(ment ac)|(multiple cpu faults)|(system.+state.+changed )|(\[timeout)|(PRM\|1\|D)|(kpr)|(kdp)|(\|lc)|(penalty))" /e /r /s</v>
      </c>
      <c r="AG101" s="1" t="str">
        <f t="shared" si="39"/>
        <v>EC</v>
      </c>
      <c r="AH101" s="92" t="str">
        <f t="shared" si="24"/>
        <v>"%USERPROFILE%\Documents\GitHub\eaglep3\Utilities\RefineRTDCRunTimes.py" --tripid 189-26 --locoid 4025 --swversion DE.1.0.8.0 --startMP 204:464 --initTime 2016-12-26T14:42:05 --startdatetime 2016-12-26T14:45:59 --delay 1 --endMP 204:233298 --enddatetime 2016-12-26T15:22:43 --enforcementcount 0 &gt;&gt;C:\Users\stu\Documents\GitHub\eaglep3-reporting\EC\2016-12-26-refined-times.txt</v>
      </c>
      <c r="AI101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{"issue":{"subject":"","project_id":79,"tracker_id":40,"status_id":1,"priority_id":2,"assigned_to_id":23,"start_date":"2016-12-26","description":"","custom_fields":[{"id":1,"name":"Subdivision","value":"EC"},{"id":4,"name":"Milepost","value":"23.3298"},{"id":17,"name":"Train ID","value":"189-26"},{"id":16,"name":"Locomotive ID","value":"4025"},{"id":130,"name":"Impact","value":""},{"id":150,"name":"Time of Event (Mountain Time)","value":"15:22:43"},{"id":151,"name":"Denver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571</v>
      </c>
      <c r="B102" s="7">
        <v>4026</v>
      </c>
      <c r="C102" s="22" t="s">
        <v>205</v>
      </c>
      <c r="D102" s="22" t="s">
        <v>403</v>
      </c>
      <c r="E102" s="13">
        <v>42730.650127314817</v>
      </c>
      <c r="F102" s="13">
        <v>42730.691145833334</v>
      </c>
      <c r="G102" s="7">
        <v>1</v>
      </c>
      <c r="H102" s="22" t="s">
        <v>273</v>
      </c>
      <c r="I102" s="13">
        <v>42730.719826388886</v>
      </c>
      <c r="J102" s="7">
        <v>0</v>
      </c>
      <c r="K102" s="109" t="str">
        <f t="shared" si="26"/>
        <v>4025/4026</v>
      </c>
      <c r="L102" s="22" t="str">
        <f>VLOOKUP(A102,'Trips&amp;Operators'!$C$1:$G$99999,5,FALSE)</f>
        <v>DAVIS MICHAEL</v>
      </c>
      <c r="M102" s="6">
        <f t="shared" si="27"/>
        <v>2.8680555551545694E-2</v>
      </c>
      <c r="N102" s="7">
        <f t="shared" si="28"/>
        <v>41.2999999942258</v>
      </c>
      <c r="O102" s="7"/>
      <c r="P102" s="7"/>
      <c r="Q102" s="23"/>
      <c r="R102" s="23"/>
      <c r="S102" s="35">
        <f t="shared" si="29"/>
        <v>1</v>
      </c>
      <c r="T102" s="50" t="str">
        <f t="shared" si="30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14:36:11-700',mode:absolute,to:'2016-12-26 18:16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2" s="52" t="str">
        <f t="shared" si="32"/>
        <v>N</v>
      </c>
      <c r="X102" s="177">
        <f t="shared" si="40"/>
        <v>1</v>
      </c>
      <c r="Y102" s="67">
        <f t="shared" si="33"/>
        <v>23.298500000000001</v>
      </c>
      <c r="Z102" s="67">
        <f t="shared" si="34"/>
        <v>1.38E-2</v>
      </c>
      <c r="AA102" s="67">
        <f t="shared" si="35"/>
        <v>23.284700000000001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6"/>
        <v>0190-26</v>
      </c>
      <c r="AE102" s="91" t="str">
        <f t="shared" si="37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102" s="88" t="str">
        <f t="shared" si="38"/>
        <v>"C:\Program Files (x86)\AstroGrep\AstroGrep.exe" /spath="%USERPROFILE%\AppData\Local\Temp\OnboardLogs" /stypes="app*4026*20161227*" /stext=" 00:.+((SYSTEM_STATE.+slice.+state.+changed )|(ment ac)|(multiple cpu faults)|(system.+state.+changed )|(\[timeout)|(PRM\|1\|D)|(kpr)|(kdp)|(\|lc)|(penalty))" /e /r /s</v>
      </c>
      <c r="AG102" s="1" t="str">
        <f t="shared" si="39"/>
        <v>EC</v>
      </c>
      <c r="AH102" s="92" t="str">
        <f t="shared" si="24"/>
        <v>"%USERPROFILE%\Documents\GitHub\eaglep3\Utilities\RefineRTDCRunTimes.py" --tripid 190-26 --locoid 4026 --swversion DE.1.0.8.0 --startMP 204:232985 --initTime 2016-12-26T15:36:11 --startdatetime 2016-12-26T16:35:15 --delay 1 --endMP 204:138 --enddatetime 2016-12-26T17:16:33 --enforcementcount 0 &gt;&gt;C:\Users\stu\Documents\GitHub\eaglep3-reporting\EC\2016-12-26-refined-times.txt</v>
      </c>
      <c r="AI102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{"issue":{"subject":"","project_id":79,"tracker_id":40,"status_id":1,"priority_id":2,"assigned_to_id":23,"start_date":"2016-12-26","description":"","custom_fields":[{"id":1,"name":"Subdivision","value":"EC"},{"id":4,"name":"Milepost","value":"0.0138"},{"id":17,"name":"Train ID","value":"190-26"},{"id":16,"name":"Locomotive ID","value":"4026"},{"id":130,"name":"Impact","value":""},{"id":150,"name":"Time of Event (Mountain Time)","value":"17:16:33"},{"id":151,"name":"Denver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7" t="s">
        <v>564</v>
      </c>
      <c r="B103" s="7">
        <v>4046</v>
      </c>
      <c r="C103" s="22" t="s">
        <v>205</v>
      </c>
      <c r="D103" s="22" t="s">
        <v>684</v>
      </c>
      <c r="E103" s="13">
        <v>42730.621527777781</v>
      </c>
      <c r="F103" s="13">
        <v>42730.625208333331</v>
      </c>
      <c r="G103" s="7">
        <v>1</v>
      </c>
      <c r="H103" s="22" t="s">
        <v>316</v>
      </c>
      <c r="I103" s="13">
        <v>42730.650821759256</v>
      </c>
      <c r="J103" s="7">
        <v>0</v>
      </c>
      <c r="K103" s="109" t="str">
        <f t="shared" si="26"/>
        <v>4045/4046</v>
      </c>
      <c r="L103" s="22" t="str">
        <f>VLOOKUP(A103,'Trips&amp;Operators'!$C$1:$G$99999,5,FALSE)</f>
        <v>CLARK KATHLEEN</v>
      </c>
      <c r="M103" s="6">
        <f t="shared" si="27"/>
        <v>2.5613425925257616E-2</v>
      </c>
      <c r="N103" s="7">
        <f t="shared" si="28"/>
        <v>36.883333332370967</v>
      </c>
      <c r="O103" s="7"/>
      <c r="P103" s="7"/>
      <c r="Q103" s="23"/>
      <c r="R103" s="23"/>
      <c r="S103" s="35">
        <f t="shared" si="29"/>
        <v>1</v>
      </c>
      <c r="T103" s="50" t="str">
        <f t="shared" si="30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13:55:00-700',mode:absolute,to:'2016-12-26 16:37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3" s="52" t="str">
        <f t="shared" si="32"/>
        <v>N</v>
      </c>
      <c r="X103" s="177">
        <f t="shared" si="40"/>
        <v>1</v>
      </c>
      <c r="Y103" s="67">
        <f t="shared" si="33"/>
        <v>4.9700000000000001E-2</v>
      </c>
      <c r="Z103" s="67">
        <f t="shared" si="34"/>
        <v>23.3293</v>
      </c>
      <c r="AA103" s="67">
        <f t="shared" si="35"/>
        <v>23.279599999999999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36"/>
        <v>0191-26</v>
      </c>
      <c r="AE103" s="91" t="str">
        <f t="shared" si="37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103" s="88" t="str">
        <f t="shared" si="38"/>
        <v>"C:\Program Files (x86)\AstroGrep\AstroGrep.exe" /spath="%USERPROFILE%\AppData\Local\Temp\OnboardLogs" /stypes="app*4046*20161226*" /stext=" 22:.+((SYSTEM_STATE.+slice.+state.+changed )|(ment ac)|(multiple cpu faults)|(system.+state.+changed )|(\[timeout)|(PRM\|1\|D)|(kpr)|(kdp)|(\|lc)|(penalty))" /e /r /s</v>
      </c>
      <c r="AG103" s="1" t="str">
        <f t="shared" si="39"/>
        <v>EC</v>
      </c>
      <c r="AH103" s="92" t="str">
        <f t="shared" si="24"/>
        <v>"%USERPROFILE%\Documents\GitHub\eaglep3\Utilities\RefineRTDCRunTimes.py" --tripid 191-26 --locoid 4046 --swversion DE.1.0.8.0 --startMP 204:497 --initTime 2016-12-26T14:55:00 --startdatetime 2016-12-26T15:00:18 --delay 1 --endMP 204:233293 --enddatetime 2016-12-26T15:37:11 --enforcementcount 0 &gt;&gt;C:\Users\stu\Documents\GitHub\eaglep3-reporting\EC\2016-12-26-refined-times.txt</v>
      </c>
      <c r="AI103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{"issue":{"subject":"","project_id":79,"tracker_id":40,"status_id":1,"priority_id":2,"assigned_to_id":23,"start_date":"2016-12-26","description":"","custom_fields":[{"id":1,"name":"Subdivision","value":"EC"},{"id":4,"name":"Milepost","value":"23.3293"},{"id":17,"name":"Train ID","value":"191-26"},{"id":16,"name":"Locomotive ID","value":"4046"},{"id":130,"name":"Impact","value":""},{"id":150,"name":"Time of Event (Mountain Time)","value":"15:37:11"},{"id":151,"name":"Denver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s="21" customFormat="1" x14ac:dyDescent="0.25">
      <c r="A104" s="37" t="s">
        <v>574</v>
      </c>
      <c r="B104" s="7">
        <v>4045</v>
      </c>
      <c r="C104" s="22" t="s">
        <v>205</v>
      </c>
      <c r="D104" s="22" t="s">
        <v>669</v>
      </c>
      <c r="E104" s="13">
        <v>42730.658113425925</v>
      </c>
      <c r="F104" s="13">
        <v>42730.664050925923</v>
      </c>
      <c r="G104" s="7">
        <v>1</v>
      </c>
      <c r="H104" s="22" t="s">
        <v>373</v>
      </c>
      <c r="I104" s="13">
        <v>42730.692430555559</v>
      </c>
      <c r="J104" s="7">
        <v>0</v>
      </c>
      <c r="K104" s="109" t="str">
        <f t="shared" si="26"/>
        <v>4045/4046</v>
      </c>
      <c r="L104" s="22" t="str">
        <f>VLOOKUP(A104,'Trips&amp;Operators'!$C$1:$G$99999,5,FALSE)</f>
        <v>CLARK KATHLEEN</v>
      </c>
      <c r="M104" s="6">
        <f t="shared" si="27"/>
        <v>2.8379629635310266E-2</v>
      </c>
      <c r="N104" s="7">
        <f t="shared" si="28"/>
        <v>40.866666674846783</v>
      </c>
      <c r="O104" s="7"/>
      <c r="P104" s="7"/>
      <c r="Q104" s="23"/>
      <c r="R104" s="23"/>
      <c r="S104" s="35">
        <f t="shared" si="29"/>
        <v>1</v>
      </c>
      <c r="T104" s="50" t="str">
        <f t="shared" si="30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14:47:41-700',mode:absolute,to:'2016-12-26 17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4" s="52" t="str">
        <f t="shared" si="32"/>
        <v>N</v>
      </c>
      <c r="X104" s="177">
        <f t="shared" si="40"/>
        <v>1</v>
      </c>
      <c r="Y104" s="67">
        <f t="shared" si="33"/>
        <v>23.297499999999999</v>
      </c>
      <c r="Z104" s="67">
        <f t="shared" si="34"/>
        <v>1.5599999999999999E-2</v>
      </c>
      <c r="AA104" s="67">
        <f t="shared" si="35"/>
        <v>23.2819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6"/>
        <v>0192-26</v>
      </c>
      <c r="AE104" s="91" t="str">
        <f t="shared" si="37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104" s="88" t="str">
        <f t="shared" si="38"/>
        <v>"C:\Program Files (x86)\AstroGrep\AstroGrep.exe" /spath="%USERPROFILE%\AppData\Local\Temp\OnboardLogs" /stypes="app*4045*20161226*" /stext=" 23:.+((SYSTEM_STATE.+slice.+state.+changed )|(ment ac)|(multiple cpu faults)|(system.+state.+changed )|(\[timeout)|(PRM\|1\|D)|(kpr)|(kdp)|(\|lc)|(penalty))" /e /r /s</v>
      </c>
      <c r="AG104" s="1" t="str">
        <f t="shared" si="39"/>
        <v>EC</v>
      </c>
      <c r="AH104" s="92" t="str">
        <f t="shared" si="24"/>
        <v>"%USERPROFILE%\Documents\GitHub\eaglep3\Utilities\RefineRTDCRunTimes.py" --tripid 192-26 --locoid 4045 --swversion DE.1.0.8.0 --startMP 204:232975 --initTime 2016-12-26T15:47:41 --startdatetime 2016-12-26T15:56:14 --delay 1 --endMP 204:156 --enddatetime 2016-12-26T16:37:06 --enforcementcount 0 &gt;&gt;C:\Users\stu\Documents\GitHub\eaglep3-reporting\EC\2016-12-26-refined-times.txt</v>
      </c>
      <c r="AI104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{"issue":{"subject":"","project_id":79,"tracker_id":40,"status_id":1,"priority_id":2,"assigned_to_id":23,"start_date":"2016-12-26","description":"","custom_fields":[{"id":1,"name":"Subdivision","value":"EC"},{"id":4,"name":"Milepost","value":"0.0156"},{"id":17,"name":"Train ID","value":"192-26"},{"id":16,"name":"Locomotive ID","value":"4045"},{"id":130,"name":"Impact","value":""},{"id":150,"name":"Time of Event (Mountain Time)","value":"16:37:06"},{"id":151,"name":"Denver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439</v>
      </c>
      <c r="B105" s="7">
        <v>4051</v>
      </c>
      <c r="C105" s="22" t="s">
        <v>205</v>
      </c>
      <c r="D105" s="22" t="s">
        <v>668</v>
      </c>
      <c r="E105" s="13">
        <v>42730.631481481483</v>
      </c>
      <c r="F105" s="13">
        <v>42730.635868055557</v>
      </c>
      <c r="G105" s="7">
        <v>1</v>
      </c>
      <c r="H105" s="22" t="s">
        <v>685</v>
      </c>
      <c r="I105" s="13">
        <v>42730.659768518519</v>
      </c>
      <c r="J105" s="7">
        <v>0</v>
      </c>
      <c r="K105" s="109" t="str">
        <f t="shared" si="26"/>
        <v>4051/4052</v>
      </c>
      <c r="L105" s="22" t="str">
        <f>VLOOKUP(A105,'Trips&amp;Operators'!$C$1:$G$99999,5,FALSE)</f>
        <v>ADANE ELSHADAY</v>
      </c>
      <c r="M105" s="6">
        <f t="shared" si="27"/>
        <v>2.3900462962046731E-2</v>
      </c>
      <c r="N105" s="7">
        <f t="shared" si="28"/>
        <v>34.416666665347293</v>
      </c>
      <c r="O105" s="7"/>
      <c r="P105" s="7"/>
      <c r="Q105" s="23"/>
      <c r="R105" s="23"/>
      <c r="S105" s="35">
        <f t="shared" si="29"/>
        <v>1</v>
      </c>
      <c r="T105" s="50" t="str">
        <f t="shared" si="30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14:09:20-700',mode:absolute,to:'2016-12-26 16:50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05" s="52" t="str">
        <f t="shared" si="32"/>
        <v>N</v>
      </c>
      <c r="X105" s="177">
        <f t="shared" si="40"/>
        <v>1</v>
      </c>
      <c r="Y105" s="67">
        <f t="shared" si="33"/>
        <v>4.6600000000000003E-2</v>
      </c>
      <c r="Z105" s="67">
        <f t="shared" si="34"/>
        <v>23.322900000000001</v>
      </c>
      <c r="AA105" s="67">
        <f t="shared" si="35"/>
        <v>23.276299999999999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36"/>
        <v>0193-26</v>
      </c>
      <c r="AE105" s="91" t="str">
        <f t="shared" si="37"/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105" s="88" t="str">
        <f t="shared" si="38"/>
        <v>"C:\Program Files (x86)\AstroGrep\AstroGrep.exe" /spath="%USERPROFILE%\AppData\Local\Temp\OnboardLogs" /stypes="app*4051*20161226*" /stext=" 22:.+((SYSTEM_STATE.+slice.+state.+changed )|(ment ac)|(multiple cpu faults)|(system.+state.+changed )|(\[timeout)|(PRM\|1\|D)|(kpr)|(kdp)|(\|lc)|(penalty))" /e /r /s</v>
      </c>
      <c r="AG105" s="1" t="str">
        <f t="shared" si="39"/>
        <v>EC</v>
      </c>
      <c r="AH105" s="92" t="str">
        <f t="shared" si="24"/>
        <v>"%USERPROFILE%\Documents\GitHub\eaglep3\Utilities\RefineRTDCRunTimes.py" --tripid 193-26 --locoid 4051 --swversion DE.1.0.8.0 --startMP 204:466 --initTime 2016-12-26T15:09:20 --startdatetime 2016-12-26T15:15:39 --delay 1 --endMP 204:233229 --enddatetime 2016-12-26T15:50:04 --enforcementcount 0 &gt;&gt;C:\Users\stu\Documents\GitHub\eaglep3-reporting\EC\2016-12-26-refined-times.txt</v>
      </c>
      <c r="AI105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{"issue":{"subject":"","project_id":79,"tracker_id":40,"status_id":1,"priority_id":2,"assigned_to_id":23,"start_date":"2016-12-26","description":"","custom_fields":[{"id":1,"name":"Subdivision","value":"EC"},{"id":4,"name":"Milepost","value":"23.3229"},{"id":17,"name":"Train ID","value":"193-26"},{"id":16,"name":"Locomotive ID","value":"4051"},{"id":130,"name":"Impact","value":""},{"id":150,"name":"Time of Event (Mountain Time)","value":"15:50:04"},{"id":151,"name":"Denver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575</v>
      </c>
      <c r="B106" s="7">
        <v>4052</v>
      </c>
      <c r="C106" s="22" t="s">
        <v>205</v>
      </c>
      <c r="D106" s="22" t="s">
        <v>686</v>
      </c>
      <c r="E106" s="13">
        <v>42730.662233796298</v>
      </c>
      <c r="F106" s="13">
        <v>42730.674664351849</v>
      </c>
      <c r="G106" s="7">
        <v>1</v>
      </c>
      <c r="H106" s="22" t="s">
        <v>233</v>
      </c>
      <c r="I106" s="13">
        <v>42730.701122685183</v>
      </c>
      <c r="J106" s="7">
        <v>0</v>
      </c>
      <c r="K106" s="109" t="str">
        <f t="shared" si="26"/>
        <v>4051/4052</v>
      </c>
      <c r="L106" s="22" t="str">
        <f>VLOOKUP(A106,'Trips&amp;Operators'!$C$1:$G$99999,5,FALSE)</f>
        <v>ADANE ELSHADAY</v>
      </c>
      <c r="M106" s="6">
        <f t="shared" si="27"/>
        <v>2.6458333333721384E-2</v>
      </c>
      <c r="N106" s="7">
        <f t="shared" si="28"/>
        <v>38.100000000558794</v>
      </c>
      <c r="O106" s="7"/>
      <c r="P106" s="7"/>
      <c r="Q106" s="23"/>
      <c r="R106" s="23"/>
      <c r="S106" s="35">
        <f t="shared" si="29"/>
        <v>1</v>
      </c>
      <c r="T106" s="50" t="str">
        <f t="shared" si="30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14:53:37-700',mode:absolute,to:'2016-12-26 17:49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06" s="52" t="str">
        <f t="shared" si="32"/>
        <v>N</v>
      </c>
      <c r="X106" s="177">
        <f t="shared" si="40"/>
        <v>1</v>
      </c>
      <c r="Y106" s="67">
        <f t="shared" si="33"/>
        <v>23.290199999999999</v>
      </c>
      <c r="Z106" s="67">
        <f t="shared" si="34"/>
        <v>1.4500000000000001E-2</v>
      </c>
      <c r="AA106" s="67">
        <f t="shared" si="35"/>
        <v>23.275699999999997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36"/>
        <v>0194-26</v>
      </c>
      <c r="AE106" s="91" t="str">
        <f t="shared" si="37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106" s="88" t="str">
        <f t="shared" si="38"/>
        <v>"C:\Program Files (x86)\AstroGrep\AstroGrep.exe" /spath="%USERPROFILE%\AppData\Local\Temp\OnboardLogs" /stypes="app*4052*20161226*" /stext=" 23:.+((SYSTEM_STATE.+slice.+state.+changed )|(ment ac)|(multiple cpu faults)|(system.+state.+changed )|(\[timeout)|(PRM\|1\|D)|(kpr)|(kdp)|(\|lc)|(penalty))" /e /r /s</v>
      </c>
      <c r="AG106" s="1" t="str">
        <f t="shared" si="39"/>
        <v>EC</v>
      </c>
      <c r="AH106" s="92" t="str">
        <f t="shared" si="24"/>
        <v>"%USERPROFILE%\Documents\GitHub\eaglep3\Utilities\RefineRTDCRunTimes.py" --tripid 194-26 --locoid 4052 --swversion DE.1.0.8.0 --startMP 204:232902 --initTime 2016-12-26T15:53:37 --startdatetime 2016-12-26T16:11:31 --delay 1 --endMP 204:145 --enddatetime 2016-12-26T16:49:37 --enforcementcount 0 &gt;&gt;C:\Users\stu\Documents\GitHub\eaglep3-reporting\EC\2016-12-26-refined-times.txt</v>
      </c>
      <c r="AI106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{"issue":{"subject":"","project_id":79,"tracker_id":40,"status_id":1,"priority_id":2,"assigned_to_id":23,"start_date":"2016-12-26","description":"","custom_fields":[{"id":1,"name":"Subdivision","value":"EC"},{"id":4,"name":"Milepost","value":"0.0145"},{"id":17,"name":"Train ID","value":"194-26"},{"id":16,"name":"Locomotive ID","value":"4052"},{"id":130,"name":"Impact","value":""},{"id":150,"name":"Time of Event (Mountain Time)","value":"16:49:37"},{"id":151,"name":"Denver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569</v>
      </c>
      <c r="B107" s="7">
        <v>4044</v>
      </c>
      <c r="C107" s="22" t="s">
        <v>205</v>
      </c>
      <c r="D107" s="22" t="s">
        <v>397</v>
      </c>
      <c r="E107" s="13">
        <v>42730.641805555555</v>
      </c>
      <c r="F107" s="13">
        <v>42730.646006944444</v>
      </c>
      <c r="G107" s="7">
        <v>1</v>
      </c>
      <c r="H107" s="22" t="s">
        <v>687</v>
      </c>
      <c r="I107" s="13">
        <v>42730.671215277776</v>
      </c>
      <c r="J107" s="7">
        <v>0</v>
      </c>
      <c r="K107" s="109" t="str">
        <f t="shared" si="26"/>
        <v>4043/4044</v>
      </c>
      <c r="L107" s="22" t="str">
        <f>VLOOKUP(A107,'Trips&amp;Operators'!$C$1:$G$99999,5,FALSE)</f>
        <v>CRAYTON QUNTRELL</v>
      </c>
      <c r="M107" s="6">
        <f t="shared" si="27"/>
        <v>2.5208333332557231E-2</v>
      </c>
      <c r="N107" s="7">
        <f t="shared" si="28"/>
        <v>36.299999998882413</v>
      </c>
      <c r="O107" s="7"/>
      <c r="P107" s="7"/>
      <c r="Q107" s="23"/>
      <c r="R107" s="23"/>
      <c r="S107" s="35">
        <f t="shared" si="29"/>
        <v>1</v>
      </c>
      <c r="T107" s="50" t="str">
        <f t="shared" si="30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14:24:12-700',mode:absolute,to:'2016-12-26 17:06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7" s="52" t="str">
        <f t="shared" si="32"/>
        <v>N</v>
      </c>
      <c r="X107" s="177">
        <f t="shared" si="40"/>
        <v>1</v>
      </c>
      <c r="Y107" s="67">
        <f t="shared" si="33"/>
        <v>4.4400000000000002E-2</v>
      </c>
      <c r="Z107" s="67">
        <f t="shared" si="34"/>
        <v>23.326799999999999</v>
      </c>
      <c r="AA107" s="67">
        <f t="shared" si="35"/>
        <v>23.282399999999999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6"/>
        <v>0195-26</v>
      </c>
      <c r="AE107" s="91" t="str">
        <f t="shared" si="37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107" s="88" t="str">
        <f t="shared" si="38"/>
        <v>"C:\Program Files (x86)\AstroGrep\AstroGrep.exe" /spath="%USERPROFILE%\AppData\Local\Temp\OnboardLogs" /stypes="app*4044*20161226*" /stext=" 23:.+((SYSTEM_STATE.+slice.+state.+changed )|(ment ac)|(multiple cpu faults)|(system.+state.+changed )|(\[timeout)|(PRM\|1\|D)|(kpr)|(kdp)|(\|lc)|(penalty))" /e /r /s</v>
      </c>
      <c r="AG107" s="1" t="str">
        <f t="shared" si="39"/>
        <v>EC</v>
      </c>
      <c r="AH107" s="92" t="str">
        <f t="shared" si="24"/>
        <v>"%USERPROFILE%\Documents\GitHub\eaglep3\Utilities\RefineRTDCRunTimes.py" --tripid 195-26 --locoid 4044 --swversion DE.1.0.8.0 --startMP 204:444 --initTime 2016-12-26T15:24:12 --startdatetime 2016-12-26T15:30:15 --delay 1 --endMP 204:233268 --enddatetime 2016-12-26T16:06:33 --enforcementcount 0 &gt;&gt;C:\Users\stu\Documents\GitHub\eaglep3-reporting\EC\2016-12-26-refined-times.txt</v>
      </c>
      <c r="AI107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{"issue":{"subject":"","project_id":79,"tracker_id":40,"status_id":1,"priority_id":2,"assigned_to_id":23,"start_date":"2016-12-26","description":"","custom_fields":[{"id":1,"name":"Subdivision","value":"EC"},{"id":4,"name":"Milepost","value":"23.3268"},{"id":17,"name":"Train ID","value":"195-26"},{"id":16,"name":"Locomotive ID","value":"4044"},{"id":130,"name":"Impact","value":""},{"id":150,"name":"Time of Event (Mountain Time)","value":"16:06:33"},{"id":151,"name":"Denver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579</v>
      </c>
      <c r="B108" s="7">
        <v>4043</v>
      </c>
      <c r="C108" s="22" t="s">
        <v>205</v>
      </c>
      <c r="D108" s="22" t="s">
        <v>323</v>
      </c>
      <c r="E108" s="13">
        <v>42730.6799537037</v>
      </c>
      <c r="F108" s="13">
        <v>42730.684895833336</v>
      </c>
      <c r="G108" s="7">
        <v>1</v>
      </c>
      <c r="H108" s="22" t="s">
        <v>233</v>
      </c>
      <c r="I108" s="13">
        <v>42730.712650462963</v>
      </c>
      <c r="J108" s="7">
        <v>0</v>
      </c>
      <c r="K108" s="109" t="str">
        <f t="shared" si="26"/>
        <v>4043/4044</v>
      </c>
      <c r="L108" s="22" t="str">
        <f>VLOOKUP(A108,'Trips&amp;Operators'!$C$1:$G$99999,5,FALSE)</f>
        <v>CRAYTON QUNTRELL</v>
      </c>
      <c r="M108" s="6">
        <f t="shared" si="27"/>
        <v>2.7754629627452232E-2</v>
      </c>
      <c r="N108" s="7">
        <f t="shared" si="28"/>
        <v>39.966666663531214</v>
      </c>
      <c r="O108" s="7"/>
      <c r="P108" s="7"/>
      <c r="Q108" s="23"/>
      <c r="R108" s="23"/>
      <c r="S108" s="35">
        <f t="shared" si="29"/>
        <v>1</v>
      </c>
      <c r="T108" s="50" t="str">
        <f t="shared" si="30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15:19:08-700',mode:absolute,to:'2016-12-26 18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8" s="52" t="str">
        <f t="shared" si="32"/>
        <v>N</v>
      </c>
      <c r="X108" s="177">
        <f t="shared" si="40"/>
        <v>1</v>
      </c>
      <c r="Y108" s="67">
        <f t="shared" si="33"/>
        <v>23.298200000000001</v>
      </c>
      <c r="Z108" s="67">
        <f t="shared" si="34"/>
        <v>1.4500000000000001E-2</v>
      </c>
      <c r="AA108" s="67">
        <f t="shared" si="35"/>
        <v>23.2837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6"/>
        <v>0196-26</v>
      </c>
      <c r="AE108" s="91" t="str">
        <f t="shared" si="37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108" s="88" t="str">
        <f t="shared" si="38"/>
        <v>"C:\Program Files (x86)\AstroGrep\AstroGrep.exe" /spath="%USERPROFILE%\AppData\Local\Temp\OnboardLogs" /stypes="app*4043*20161227*" /stext=" 00:.+((SYSTEM_STATE.+slice.+state.+changed )|(ment ac)|(multiple cpu faults)|(system.+state.+changed )|(\[timeout)|(PRM\|1\|D)|(kpr)|(kdp)|(\|lc)|(penalty))" /e /r /s</v>
      </c>
      <c r="AG108" s="1" t="str">
        <f t="shared" si="39"/>
        <v>EC</v>
      </c>
      <c r="AH108" s="92" t="str">
        <f t="shared" si="24"/>
        <v>"%USERPROFILE%\Documents\GitHub\eaglep3\Utilities\RefineRTDCRunTimes.py" --tripid 196-26 --locoid 4043 --swversion DE.1.0.8.0 --startMP 204:232982 --initTime 2016-12-26T16:19:08 --startdatetime 2016-12-26T16:26:15 --delay 1 --endMP 204:145 --enddatetime 2016-12-26T17:06:13 --enforcementcount 0 &gt;&gt;C:\Users\stu\Documents\GitHub\eaglep3-reporting\EC\2016-12-26-refined-times.txt</v>
      </c>
      <c r="AI108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{"issue":{"subject":"","project_id":79,"tracker_id":40,"status_id":1,"priority_id":2,"assigned_to_id":23,"start_date":"2016-12-26","description":"","custom_fields":[{"id":1,"name":"Subdivision","value":"EC"},{"id":4,"name":"Milepost","value":"0.0145"},{"id":17,"name":"Train ID","value":"196-26"},{"id":16,"name":"Locomotive ID","value":"4043"},{"id":130,"name":"Impact","value":""},{"id":150,"name":"Time of Event (Mountain Time)","value":"17:06:13"},{"id":151,"name":"Denver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573</v>
      </c>
      <c r="B109" s="7">
        <v>4029</v>
      </c>
      <c r="C109" s="22" t="s">
        <v>205</v>
      </c>
      <c r="D109" s="22" t="s">
        <v>254</v>
      </c>
      <c r="E109" s="13">
        <v>42730.652870370373</v>
      </c>
      <c r="F109" s="13">
        <v>42730.656435185185</v>
      </c>
      <c r="G109" s="7">
        <v>1</v>
      </c>
      <c r="H109" s="22" t="s">
        <v>286</v>
      </c>
      <c r="I109" s="13">
        <v>42730.681620370371</v>
      </c>
      <c r="J109" s="7">
        <v>0</v>
      </c>
      <c r="K109" s="109" t="str">
        <f t="shared" si="26"/>
        <v>4029/4030</v>
      </c>
      <c r="L109" s="22" t="str">
        <f>VLOOKUP(A109,'Trips&amp;Operators'!$C$1:$G$99999,5,FALSE)</f>
        <v>SIMMONS SHYHESHA</v>
      </c>
      <c r="M109" s="6">
        <f t="shared" si="27"/>
        <v>2.5185185186273884E-2</v>
      </c>
      <c r="N109" s="7">
        <f t="shared" ref="N109:N126" si="41">24*60*SUM($M109:$M109)</f>
        <v>36.266666668234393</v>
      </c>
      <c r="O109" s="7"/>
      <c r="P109" s="7"/>
      <c r="Q109" s="23"/>
      <c r="R109" s="23"/>
      <c r="S109" s="35">
        <f t="shared" si="29"/>
        <v>1</v>
      </c>
      <c r="T109" s="50" t="str">
        <f t="shared" si="30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14:40:08-700',mode:absolute,to:'2016-12-26 17:21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9" s="52" t="str">
        <f t="shared" si="32"/>
        <v>N</v>
      </c>
      <c r="X109" s="177">
        <f t="shared" si="40"/>
        <v>1</v>
      </c>
      <c r="Y109" s="67">
        <f t="shared" si="33"/>
        <v>4.53E-2</v>
      </c>
      <c r="Z109" s="67">
        <f t="shared" si="34"/>
        <v>23.3308</v>
      </c>
      <c r="AA109" s="67">
        <f t="shared" si="35"/>
        <v>23.285499999999999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36"/>
        <v>0197-26</v>
      </c>
      <c r="AE109" s="91" t="str">
        <f t="shared" si="37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109" s="88" t="str">
        <f t="shared" si="38"/>
        <v>"C:\Program Files (x86)\AstroGrep\AstroGrep.exe" /spath="%USERPROFILE%\AppData\Local\Temp\OnboardLogs" /stypes="app*4029*20161226*" /stext=" 23:.+((SYSTEM_STATE.+slice.+state.+changed )|(ment ac)|(multiple cpu faults)|(system.+state.+changed )|(\[timeout)|(PRM\|1\|D)|(kpr)|(kdp)|(\|lc)|(penalty))" /e /r /s</v>
      </c>
      <c r="AG109" s="1" t="str">
        <f t="shared" si="39"/>
        <v>EC</v>
      </c>
      <c r="AH109" s="92" t="str">
        <f t="shared" si="24"/>
        <v>"%USERPROFILE%\Documents\GitHub\eaglep3\Utilities\RefineRTDCRunTimes.py" --tripid 197-26 --locoid 4029 --swversion DE.1.0.8.0 --startMP 204:453 --initTime 2016-12-26T15:40:08 --startdatetime 2016-12-26T15:45:16 --delay 1 --endMP 204:233308 --enddatetime 2016-12-26T16:21:32 --enforcementcount 0 &gt;&gt;C:\Users\stu\Documents\GitHub\eaglep3-reporting\EC\2016-12-26-refined-times.txt</v>
      </c>
      <c r="AI109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{"issue":{"subject":"","project_id":79,"tracker_id":40,"status_id":1,"priority_id":2,"assigned_to_id":23,"start_date":"2016-12-26","description":"","custom_fields":[{"id":1,"name":"Subdivision","value":"EC"},{"id":4,"name":"Milepost","value":"23.3308"},{"id":17,"name":"Train ID","value":"197-26"},{"id":16,"name":"Locomotive ID","value":"4029"},{"id":130,"name":"Impact","value":""},{"id":150,"name":"Time of Event (Mountain Time)","value":"16:21:32"},{"id":151,"name":"Denver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581</v>
      </c>
      <c r="B110" s="7">
        <v>4030</v>
      </c>
      <c r="C110" s="22" t="s">
        <v>205</v>
      </c>
      <c r="D110" s="22" t="s">
        <v>399</v>
      </c>
      <c r="E110" s="13">
        <v>42730.6877662037</v>
      </c>
      <c r="F110" s="13">
        <v>42730.695347222223</v>
      </c>
      <c r="G110" s="7">
        <v>1</v>
      </c>
      <c r="H110" s="22" t="s">
        <v>211</v>
      </c>
      <c r="I110" s="13">
        <v>42730.72519675926</v>
      </c>
      <c r="J110" s="7">
        <v>0</v>
      </c>
      <c r="K110" s="109" t="str">
        <f t="shared" si="26"/>
        <v>4029/4030</v>
      </c>
      <c r="L110" s="22" t="str">
        <f>VLOOKUP(A110,'Trips&amp;Operators'!$C$1:$G$99999,5,FALSE)</f>
        <v>SIMMONS SHYHESHA</v>
      </c>
      <c r="M110" s="6">
        <f t="shared" si="27"/>
        <v>2.9849537037080154E-2</v>
      </c>
      <c r="N110" s="7">
        <f t="shared" si="41"/>
        <v>42.983333333395422</v>
      </c>
      <c r="O110" s="7"/>
      <c r="P110" s="7"/>
      <c r="Q110" s="23"/>
      <c r="R110" s="23"/>
      <c r="S110" s="35">
        <f t="shared" si="29"/>
        <v>1</v>
      </c>
      <c r="T110" s="50" t="str">
        <f t="shared" si="30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15:30:23-700',mode:absolute,to:'2016-12-26 18:24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0" s="52" t="str">
        <f t="shared" si="32"/>
        <v>N</v>
      </c>
      <c r="X110" s="177">
        <f t="shared" si="40"/>
        <v>1</v>
      </c>
      <c r="Y110" s="67">
        <f t="shared" si="33"/>
        <v>23.300599999999999</v>
      </c>
      <c r="Z110" s="67">
        <f t="shared" si="34"/>
        <v>1.4999999999999999E-2</v>
      </c>
      <c r="AA110" s="67">
        <f t="shared" si="35"/>
        <v>23.285599999999999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36"/>
        <v>0198-26</v>
      </c>
      <c r="AE110" s="91" t="str">
        <f t="shared" si="37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110" s="88" t="str">
        <f t="shared" si="38"/>
        <v>"C:\Program Files (x86)\AstroGrep\AstroGrep.exe" /spath="%USERPROFILE%\AppData\Local\Temp\OnboardLogs" /stypes="app*4030*20161227*" /stext=" 00:.+((SYSTEM_STATE.+slice.+state.+changed )|(ment ac)|(multiple cpu faults)|(system.+state.+changed )|(\[timeout)|(PRM\|1\|D)|(kpr)|(kdp)|(\|lc)|(penalty))" /e /r /s</v>
      </c>
      <c r="AG110" s="1" t="str">
        <f t="shared" si="39"/>
        <v>EC</v>
      </c>
      <c r="AH110" s="92" t="str">
        <f t="shared" si="24"/>
        <v>"%USERPROFILE%\Documents\GitHub\eaglep3\Utilities\RefineRTDCRunTimes.py" --tripid 198-26 --locoid 4030 --swversion DE.1.0.8.0 --startMP 204:233006 --initTime 2016-12-26T16:30:23 --startdatetime 2016-12-26T16:41:18 --delay 1 --endMP 204:150 --enddatetime 2016-12-26T17:24:17 --enforcementcount 0 &gt;&gt;C:\Users\stu\Documents\GitHub\eaglep3-reporting\EC\2016-12-26-refined-times.txt</v>
      </c>
      <c r="AI110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{"issue":{"subject":"","project_id":79,"tracker_id":40,"status_id":1,"priority_id":2,"assigned_to_id":23,"start_date":"2016-12-26","description":"","custom_fields":[{"id":1,"name":"Subdivision","value":"EC"},{"id":4,"name":"Milepost","value":"0.015"},{"id":17,"name":"Train ID","value":"198-26"},{"id":16,"name":"Locomotive ID","value":"4030"},{"id":130,"name":"Impact","value":""},{"id":150,"name":"Time of Event (Mountain Time)","value":"17:24:17"},{"id":151,"name":"Denver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576</v>
      </c>
      <c r="B111" s="7">
        <v>4031</v>
      </c>
      <c r="C111" s="22" t="s">
        <v>205</v>
      </c>
      <c r="D111" s="22" t="s">
        <v>264</v>
      </c>
      <c r="E111" s="13">
        <v>42730.662280092591</v>
      </c>
      <c r="F111" s="13">
        <v>42730.666898148149</v>
      </c>
      <c r="G111" s="7">
        <v>1</v>
      </c>
      <c r="H111" s="22" t="s">
        <v>688</v>
      </c>
      <c r="I111" s="13">
        <v>42730.692118055558</v>
      </c>
      <c r="J111" s="7">
        <v>0</v>
      </c>
      <c r="K111" s="109" t="str">
        <f t="shared" si="26"/>
        <v>4031/4032</v>
      </c>
      <c r="L111" s="22" t="str">
        <f>VLOOKUP(A111,'Trips&amp;Operators'!$C$1:$G$99999,5,FALSE)</f>
        <v>KILLION DAVID</v>
      </c>
      <c r="M111" s="6">
        <f t="shared" si="27"/>
        <v>2.5219907409336884E-2</v>
      </c>
      <c r="N111" s="7">
        <f t="shared" si="41"/>
        <v>36.316666669445112</v>
      </c>
      <c r="O111" s="7"/>
      <c r="P111" s="7"/>
      <c r="Q111" s="23"/>
      <c r="R111" s="23"/>
      <c r="S111" s="35">
        <f t="shared" si="29"/>
        <v>1</v>
      </c>
      <c r="T111" s="50" t="str">
        <f t="shared" si="30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14:53:41-700',mode:absolute,to:'2016-12-26 17:36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1" s="52" t="str">
        <f t="shared" si="32"/>
        <v>N</v>
      </c>
      <c r="X111" s="177">
        <f t="shared" si="40"/>
        <v>1</v>
      </c>
      <c r="Y111" s="67">
        <f t="shared" si="33"/>
        <v>4.6699999999999998E-2</v>
      </c>
      <c r="Z111" s="67">
        <f t="shared" si="34"/>
        <v>23.332000000000001</v>
      </c>
      <c r="AA111" s="67">
        <f t="shared" si="35"/>
        <v>23.285299999999999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36"/>
        <v>0199-26</v>
      </c>
      <c r="AE111" s="91" t="str">
        <f t="shared" si="37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111" s="88" t="str">
        <f t="shared" si="38"/>
        <v>"C:\Program Files (x86)\AstroGrep\AstroGrep.exe" /spath="%USERPROFILE%\AppData\Local\Temp\OnboardLogs" /stypes="app*4031*20161226*" /stext=" 23:.+((SYSTEM_STATE.+slice.+state.+changed )|(ment ac)|(multiple cpu faults)|(system.+state.+changed )|(\[timeout)|(PRM\|1\|D)|(kpr)|(kdp)|(\|lc)|(penalty))" /e /r /s</v>
      </c>
      <c r="AG111" s="1" t="str">
        <f t="shared" si="39"/>
        <v>EC</v>
      </c>
      <c r="AH111" s="92" t="str">
        <f t="shared" si="24"/>
        <v>"%USERPROFILE%\Documents\GitHub\eaglep3\Utilities\RefineRTDCRunTimes.py" --tripid 199-26 --locoid 4031 --swversion DE.1.0.8.0 --startMP 204:467 --initTime 2016-12-26T15:53:41 --startdatetime 2016-12-26T16:00:20 --delay 1 --endMP 204:233320 --enddatetime 2016-12-26T16:36:39 --enforcementcount 0 &gt;&gt;C:\Users\stu\Documents\GitHub\eaglep3-reporting\EC\2016-12-26-refined-times.txt</v>
      </c>
      <c r="AI111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{"issue":{"subject":"","project_id":79,"tracker_id":40,"status_id":1,"priority_id":2,"assigned_to_id":23,"start_date":"2016-12-26","description":"","custom_fields":[{"id":1,"name":"Subdivision","value":"EC"},{"id":4,"name":"Milepost","value":"23.332"},{"id":17,"name":"Train ID","value":"199-26"},{"id":16,"name":"Locomotive ID","value":"4031"},{"id":130,"name":"Impact","value":""},{"id":150,"name":"Time of Event (Mountain Time)","value":"16:36:39"},{"id":151,"name":"Denver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585</v>
      </c>
      <c r="B112" s="7">
        <v>4032</v>
      </c>
      <c r="C112" s="22" t="s">
        <v>205</v>
      </c>
      <c r="D112" s="22" t="s">
        <v>323</v>
      </c>
      <c r="E112" s="13">
        <v>42730.69971064815</v>
      </c>
      <c r="F112" s="13">
        <v>42730.70579861111</v>
      </c>
      <c r="G112" s="7">
        <v>1</v>
      </c>
      <c r="H112" s="22" t="s">
        <v>267</v>
      </c>
      <c r="I112" s="13">
        <v>42730.732928240737</v>
      </c>
      <c r="J112" s="7">
        <v>0</v>
      </c>
      <c r="K112" s="109" t="str">
        <f t="shared" si="26"/>
        <v>4031/4032</v>
      </c>
      <c r="L112" s="22" t="str">
        <f>VLOOKUP(A112,'Trips&amp;Operators'!$C$1:$G$99999,5,FALSE)</f>
        <v>KILLION DAVID</v>
      </c>
      <c r="M112" s="6">
        <f t="shared" si="27"/>
        <v>2.7129629626870155E-2</v>
      </c>
      <c r="N112" s="7">
        <f t="shared" si="41"/>
        <v>39.066666662693024</v>
      </c>
      <c r="O112" s="7"/>
      <c r="P112" s="7"/>
      <c r="Q112" s="23"/>
      <c r="R112" s="23"/>
      <c r="S112" s="35">
        <f t="shared" si="29"/>
        <v>1</v>
      </c>
      <c r="T112" s="50" t="str">
        <f t="shared" si="30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15:47:35-700',mode:absolute,to:'2016-12-26 18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2" s="52" t="str">
        <f t="shared" si="32"/>
        <v>N</v>
      </c>
      <c r="X112" s="177">
        <f t="shared" si="40"/>
        <v>1</v>
      </c>
      <c r="Y112" s="67">
        <f t="shared" si="33"/>
        <v>23.298200000000001</v>
      </c>
      <c r="Z112" s="67">
        <f t="shared" si="34"/>
        <v>1.6E-2</v>
      </c>
      <c r="AA112" s="67">
        <f t="shared" si="35"/>
        <v>23.282200000000003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36"/>
        <v>0200-26</v>
      </c>
      <c r="AE112" s="91" t="str">
        <f t="shared" si="37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112" s="88" t="str">
        <f t="shared" si="38"/>
        <v>"C:\Program Files (x86)\AstroGrep\AstroGrep.exe" /spath="%USERPROFILE%\AppData\Local\Temp\OnboardLogs" /stypes="app*4032*20161227*" /stext=" 00:.+((SYSTEM_STATE.+slice.+state.+changed )|(ment ac)|(multiple cpu faults)|(system.+state.+changed )|(\[timeout)|(PRM\|1\|D)|(kpr)|(kdp)|(\|lc)|(penalty))" /e /r /s</v>
      </c>
      <c r="AG112" s="1" t="str">
        <f t="shared" si="39"/>
        <v>EC</v>
      </c>
      <c r="AH112" s="92" t="str">
        <f t="shared" si="24"/>
        <v>"%USERPROFILE%\Documents\GitHub\eaglep3\Utilities\RefineRTDCRunTimes.py" --tripid 200-26 --locoid 4032 --swversion DE.1.0.8.0 --startMP 204:232982 --initTime 2016-12-26T16:47:35 --startdatetime 2016-12-26T16:56:21 --delay 1 --endMP 204:160 --enddatetime 2016-12-26T17:35:25 --enforcementcount 0 &gt;&gt;C:\Users\stu\Documents\GitHub\eaglep3-reporting\EC\2016-12-26-refined-times.txt</v>
      </c>
      <c r="AI112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{"issue":{"subject":"","project_id":79,"tracker_id":40,"status_id":1,"priority_id":2,"assigned_to_id":23,"start_date":"2016-12-26","description":"","custom_fields":[{"id":1,"name":"Subdivision","value":"EC"},{"id":4,"name":"Milepost","value":"0.016"},{"id":17,"name":"Train ID","value":"200-26"},{"id":16,"name":"Locomotive ID","value":"4032"},{"id":130,"name":"Impact","value":""},{"id":150,"name":"Time of Event (Mountain Time)","value":"17:35:25"},{"id":151,"name":"Denver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578</v>
      </c>
      <c r="B113" s="7">
        <v>4027</v>
      </c>
      <c r="C113" s="22" t="s">
        <v>205</v>
      </c>
      <c r="D113" s="22" t="s">
        <v>255</v>
      </c>
      <c r="E113" s="13">
        <v>42730.67224537037</v>
      </c>
      <c r="F113" s="13">
        <v>42730.677361111113</v>
      </c>
      <c r="G113" s="7">
        <v>1</v>
      </c>
      <c r="H113" s="22" t="s">
        <v>412</v>
      </c>
      <c r="I113" s="13">
        <v>42730.702592592592</v>
      </c>
      <c r="J113" s="7">
        <v>0</v>
      </c>
      <c r="K113" s="109" t="str">
        <f t="shared" si="26"/>
        <v>4027/4028</v>
      </c>
      <c r="L113" s="22" t="str">
        <f>VLOOKUP(A113,'Trips&amp;Operators'!$C$1:$G$99999,5,FALSE)</f>
        <v>STEWART MICHAEL</v>
      </c>
      <c r="M113" s="6">
        <f t="shared" si="27"/>
        <v>2.5231481478840578E-2</v>
      </c>
      <c r="N113" s="7">
        <f t="shared" si="41"/>
        <v>36.333333329530433</v>
      </c>
      <c r="O113" s="7"/>
      <c r="P113" s="7"/>
      <c r="Q113" s="23"/>
      <c r="R113" s="23"/>
      <c r="S113" s="35">
        <f t="shared" si="29"/>
        <v>1</v>
      </c>
      <c r="T113" s="50" t="str">
        <f t="shared" si="30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15:08:02-700',mode:absolute,to:'2016-12-26 17:51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3" s="52" t="str">
        <f t="shared" si="32"/>
        <v>N</v>
      </c>
      <c r="X113" s="177">
        <f t="shared" si="40"/>
        <v>1</v>
      </c>
      <c r="Y113" s="67">
        <f t="shared" si="33"/>
        <v>4.6399999999999997E-2</v>
      </c>
      <c r="Z113" s="67">
        <f t="shared" si="34"/>
        <v>23.3306</v>
      </c>
      <c r="AA113" s="67">
        <f t="shared" si="35"/>
        <v>23.284200000000002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36"/>
        <v>0201-26</v>
      </c>
      <c r="AE113" s="91" t="str">
        <f t="shared" si="37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113" s="88" t="str">
        <f t="shared" si="38"/>
        <v>"C:\Program Files (x86)\AstroGrep\AstroGrep.exe" /spath="%USERPROFILE%\AppData\Local\Temp\OnboardLogs" /stypes="app*4027*20161226*" /stext=" 23:.+((SYSTEM_STATE.+slice.+state.+changed )|(ment ac)|(multiple cpu faults)|(system.+state.+changed )|(\[timeout)|(PRM\|1\|D)|(kpr)|(kdp)|(\|lc)|(penalty))" /e /r /s</v>
      </c>
      <c r="AG113" s="1" t="str">
        <f t="shared" si="39"/>
        <v>EC</v>
      </c>
      <c r="AH113" s="92" t="str">
        <f t="shared" si="24"/>
        <v>"%USERPROFILE%\Documents\GitHub\eaglep3\Utilities\RefineRTDCRunTimes.py" --tripid 201-26 --locoid 4027 --swversion DE.1.0.8.0 --startMP 204:464 --initTime 2016-12-26T16:08:02 --startdatetime 2016-12-26T16:15:24 --delay 1 --endMP 204:233306 --enddatetime 2016-12-26T16:51:44 --enforcementcount 0 &gt;&gt;C:\Users\stu\Documents\GitHub\eaglep3-reporting\EC\2016-12-26-refined-times.txt</v>
      </c>
      <c r="AI113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{"issue":{"subject":"","project_id":79,"tracker_id":40,"status_id":1,"priority_id":2,"assigned_to_id":23,"start_date":"2016-12-26","description":"","custom_fields":[{"id":1,"name":"Subdivision","value":"EC"},{"id":4,"name":"Milepost","value":"23.3306"},{"id":17,"name":"Train ID","value":"201-26"},{"id":16,"name":"Locomotive ID","value":"4027"},{"id":130,"name":"Impact","value":""},{"id":150,"name":"Time of Event (Mountain Time)","value":"16:51:44"},{"id":151,"name":"Denver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590</v>
      </c>
      <c r="B114" s="7">
        <v>4028</v>
      </c>
      <c r="C114" s="22" t="s">
        <v>205</v>
      </c>
      <c r="D114" s="22" t="s">
        <v>403</v>
      </c>
      <c r="E114" s="13">
        <v>42730.712719907409</v>
      </c>
      <c r="F114" s="13">
        <v>42730.716192129628</v>
      </c>
      <c r="G114" s="7">
        <v>1</v>
      </c>
      <c r="H114" s="22" t="s">
        <v>318</v>
      </c>
      <c r="I114" s="13">
        <v>42730.743449074071</v>
      </c>
      <c r="J114" s="7">
        <v>0</v>
      </c>
      <c r="K114" s="109" t="str">
        <f t="shared" si="26"/>
        <v>4027/4028</v>
      </c>
      <c r="L114" s="22" t="str">
        <f>VLOOKUP(A114,'Trips&amp;Operators'!$C$1:$G$99999,5,FALSE)</f>
        <v>STEWART MICHAEL</v>
      </c>
      <c r="M114" s="6">
        <f t="shared" si="27"/>
        <v>2.7256944442342501E-2</v>
      </c>
      <c r="N114" s="7">
        <f t="shared" si="41"/>
        <v>39.249999996973202</v>
      </c>
      <c r="O114" s="7"/>
      <c r="P114" s="7"/>
      <c r="Q114" s="23"/>
      <c r="R114" s="23"/>
      <c r="S114" s="35">
        <f t="shared" si="29"/>
        <v>1</v>
      </c>
      <c r="T114" s="50" t="str">
        <f t="shared" si="30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16:06:19-700',mode:absolute,to:'2016-12-26 18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4" s="52" t="str">
        <f t="shared" si="32"/>
        <v>N</v>
      </c>
      <c r="X114" s="177">
        <f t="shared" si="40"/>
        <v>1</v>
      </c>
      <c r="Y114" s="67">
        <f t="shared" si="33"/>
        <v>23.298500000000001</v>
      </c>
      <c r="Z114" s="67">
        <f t="shared" si="34"/>
        <v>1.52E-2</v>
      </c>
      <c r="AA114" s="67">
        <f t="shared" si="35"/>
        <v>23.283300000000001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6"/>
        <v>0202-26</v>
      </c>
      <c r="AE114" s="91" t="str">
        <f t="shared" si="37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114" s="88" t="str">
        <f t="shared" si="38"/>
        <v>"C:\Program Files (x86)\AstroGrep\AstroGrep.exe" /spath="%USERPROFILE%\AppData\Local\Temp\OnboardLogs" /stypes="app*4028*20161227*" /stext=" 00:.+((SYSTEM_STATE.+slice.+state.+changed )|(ment ac)|(multiple cpu faults)|(system.+state.+changed )|(\[timeout)|(PRM\|1\|D)|(kpr)|(kdp)|(\|lc)|(penalty))" /e /r /s</v>
      </c>
      <c r="AG114" s="1" t="str">
        <f t="shared" si="39"/>
        <v>EC</v>
      </c>
      <c r="AH114" s="92" t="str">
        <f t="shared" si="24"/>
        <v>"%USERPROFILE%\Documents\GitHub\eaglep3\Utilities\RefineRTDCRunTimes.py" --tripid 202-26 --locoid 4028 --swversion DE.1.0.8.0 --startMP 204:232985 --initTime 2016-12-26T17:06:19 --startdatetime 2016-12-26T17:11:19 --delay 1 --endMP 204:152 --enddatetime 2016-12-26T17:50:34 --enforcementcount 0 &gt;&gt;C:\Users\stu\Documents\GitHub\eaglep3-reporting\EC\2016-12-26-refined-times.txt</v>
      </c>
      <c r="AI114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ID","value":"202-26"},{"id":16,"name":"Locomotive ID","value":"4028"},{"id":130,"name":"Impact","value":""},{"id":150,"name":"Time of Event (Mountain Time)","value":"17:50:34"},{"id":151,"name":"Denver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7" t="s">
        <v>582</v>
      </c>
      <c r="B115" s="7">
        <v>4025</v>
      </c>
      <c r="C115" s="22" t="s">
        <v>205</v>
      </c>
      <c r="D115" s="22" t="s">
        <v>397</v>
      </c>
      <c r="E115" s="13">
        <v>42730.689328703702</v>
      </c>
      <c r="F115" s="13">
        <v>42730.691145833334</v>
      </c>
      <c r="G115" s="7">
        <v>1</v>
      </c>
      <c r="H115" s="22" t="s">
        <v>311</v>
      </c>
      <c r="I115" s="13">
        <v>42730.719826388886</v>
      </c>
      <c r="J115" s="7">
        <v>0</v>
      </c>
      <c r="K115" s="109" t="str">
        <f t="shared" si="26"/>
        <v>4025/4026</v>
      </c>
      <c r="L115" s="22" t="str">
        <f>VLOOKUP(A115,'Trips&amp;Operators'!$C$1:$G$99999,5,FALSE)</f>
        <v>DAVIS MICHAEL</v>
      </c>
      <c r="M115" s="6">
        <f t="shared" si="27"/>
        <v>2.8680555551545694E-2</v>
      </c>
      <c r="N115" s="7">
        <f t="shared" si="41"/>
        <v>41.2999999942258</v>
      </c>
      <c r="O115" s="7"/>
      <c r="P115" s="7"/>
      <c r="Q115" s="23"/>
      <c r="R115" s="23"/>
      <c r="S115" s="35">
        <f t="shared" si="29"/>
        <v>1</v>
      </c>
      <c r="T115" s="50" t="str">
        <f t="shared" si="30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15:32:38-700',mode:absolute,to:'2016-12-26 18:16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5" s="52" t="str">
        <f t="shared" si="32"/>
        <v>N</v>
      </c>
      <c r="X115" s="177">
        <f t="shared" si="40"/>
        <v>1</v>
      </c>
      <c r="Y115" s="67">
        <f t="shared" si="33"/>
        <v>4.4400000000000002E-2</v>
      </c>
      <c r="Z115" s="67">
        <f t="shared" si="34"/>
        <v>23.330100000000002</v>
      </c>
      <c r="AA115" s="67">
        <f t="shared" si="35"/>
        <v>23.285700000000002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6"/>
        <v>0203-26</v>
      </c>
      <c r="AE115" s="91" t="str">
        <f t="shared" si="37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115" s="88" t="str">
        <f t="shared" si="38"/>
        <v>"C:\Program Files (x86)\AstroGrep\AstroGrep.exe" /spath="%USERPROFILE%\AppData\Local\Temp\OnboardLogs" /stypes="app*4025*20161227*" /stext=" 00:.+((SYSTEM_STATE.+slice.+state.+changed )|(ment ac)|(multiple cpu faults)|(system.+state.+changed )|(\[timeout)|(PRM\|1\|D)|(kpr)|(kdp)|(\|lc)|(penalty))" /e /r /s</v>
      </c>
      <c r="AG115" s="1" t="str">
        <f t="shared" si="39"/>
        <v>EC</v>
      </c>
      <c r="AH115" s="92" t="str">
        <f t="shared" si="24"/>
        <v>"%USERPROFILE%\Documents\GitHub\eaglep3\Utilities\RefineRTDCRunTimes.py" --tripid 203-26 --locoid 4025 --swversion DE.1.0.8.0 --startMP 204:444 --initTime 2016-12-26T16:32:38 --startdatetime 2016-12-26T16:35:15 --delay 1 --endMP 204:233301 --enddatetime 2016-12-26T17:16:33 --enforcementcount 0 &gt;&gt;C:\Users\stu\Documents\GitHub\eaglep3-reporting\EC\2016-12-26-refined-times.txt</v>
      </c>
      <c r="AI115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{"issue":{"subject":"","project_id":79,"tracker_id":40,"status_id":1,"priority_id":2,"assigned_to_id":23,"start_date":"2016-12-26","description":"","custom_fields":[{"id":1,"name":"Subdivision","value":"EC"},{"id":4,"name":"Milepost","value":"23.3301"},{"id":17,"name":"Train ID","value":"203-26"},{"id":16,"name":"Locomotive ID","value":"4025"},{"id":130,"name":"Impact","value":""},{"id":150,"name":"Time of Event (Mountain Time)","value":"17:16:33"},{"id":151,"name":"Denver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91" s="21" customFormat="1" x14ac:dyDescent="0.25">
      <c r="A116" s="37" t="s">
        <v>591</v>
      </c>
      <c r="B116" s="7">
        <v>4026</v>
      </c>
      <c r="C116" s="22" t="s">
        <v>205</v>
      </c>
      <c r="D116" s="22" t="s">
        <v>396</v>
      </c>
      <c r="E116" s="13">
        <v>42730.723344907405</v>
      </c>
      <c r="F116" s="13">
        <v>42730.726805555554</v>
      </c>
      <c r="G116" s="7">
        <v>1</v>
      </c>
      <c r="H116" s="22" t="s">
        <v>261</v>
      </c>
      <c r="I116" s="13">
        <v>42730.756122685183</v>
      </c>
      <c r="J116" s="7">
        <v>0</v>
      </c>
      <c r="K116" s="109" t="str">
        <f t="shared" si="26"/>
        <v>4025/4026</v>
      </c>
      <c r="L116" s="22" t="str">
        <f>VLOOKUP(A116,'Trips&amp;Operators'!$C$1:$G$99999,5,FALSE)</f>
        <v>DAVIS MICHAEL</v>
      </c>
      <c r="M116" s="6">
        <f t="shared" si="27"/>
        <v>2.9317129628907423E-2</v>
      </c>
      <c r="N116" s="7">
        <f t="shared" si="41"/>
        <v>42.21666666562669</v>
      </c>
      <c r="O116" s="7"/>
      <c r="P116" s="7"/>
      <c r="Q116" s="23"/>
      <c r="R116" s="23"/>
      <c r="S116" s="35">
        <f t="shared" si="29"/>
        <v>1</v>
      </c>
      <c r="T116" s="50" t="str">
        <f t="shared" si="30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16:21:37-700',mode:absolute,to:'2016-12-26 19:08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6" s="52" t="str">
        <f t="shared" si="32"/>
        <v>N</v>
      </c>
      <c r="X116" s="177">
        <f t="shared" si="40"/>
        <v>1</v>
      </c>
      <c r="Y116" s="67">
        <f t="shared" si="33"/>
        <v>23.2988</v>
      </c>
      <c r="Z116" s="67">
        <f t="shared" si="34"/>
        <v>1.3899999999999999E-2</v>
      </c>
      <c r="AA116" s="67">
        <f t="shared" si="35"/>
        <v>23.2849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6"/>
        <v>0204-26</v>
      </c>
      <c r="AE116" s="91" t="str">
        <f t="shared" si="37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116" s="88" t="str">
        <f t="shared" si="38"/>
        <v>"C:\Program Files (x86)\AstroGrep\AstroGrep.exe" /spath="%USERPROFILE%\AppData\Local\Temp\OnboardLogs" /stypes="app*4026*20161227*" /stext=" 01:.+((SYSTEM_STATE.+slice.+state.+changed )|(ment ac)|(multiple cpu faults)|(system.+state.+changed )|(\[timeout)|(PRM\|1\|D)|(kpr)|(kdp)|(\|lc)|(penalty))" /e /r /s</v>
      </c>
      <c r="AG116" s="1" t="str">
        <f t="shared" si="39"/>
        <v>EC</v>
      </c>
      <c r="AH116" s="92" t="str">
        <f t="shared" si="24"/>
        <v>"%USERPROFILE%\Documents\GitHub\eaglep3\Utilities\RefineRTDCRunTimes.py" --tripid 204-26 --locoid 4026 --swversion DE.1.0.8.0 --startMP 204:232988 --initTime 2016-12-26T17:21:37 --startdatetime 2016-12-26T17:26:36 --delay 1 --endMP 204:139 --enddatetime 2016-12-26T18:08:49 --enforcementcount 0 &gt;&gt;C:\Users\stu\Documents\GitHub\eaglep3-reporting\EC\2016-12-26-refined-times.txt</v>
      </c>
      <c r="AI116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{"issue":{"subject":"","project_id":79,"tracker_id":40,"status_id":1,"priority_id":2,"assigned_to_id":23,"start_date":"2016-12-26","description":"","custom_fields":[{"id":1,"name":"Subdivision","value":"EC"},{"id":4,"name":"Milepost","value":"0.0139"},{"id":17,"name":"Train ID","value":"204-26"},{"id":16,"name":"Locomotive ID","value":"4026"},{"id":130,"name":"Impact","value":""},{"id":150,"name":"Time of Event (Mountain Time)","value":"18:08:49"},{"id":151,"name":"Denver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584</v>
      </c>
      <c r="B117" s="7">
        <v>4046</v>
      </c>
      <c r="C117" s="22" t="s">
        <v>205</v>
      </c>
      <c r="D117" s="22" t="s">
        <v>193</v>
      </c>
      <c r="E117" s="13">
        <v>42730.693865740737</v>
      </c>
      <c r="F117" s="13">
        <v>42730.698194444441</v>
      </c>
      <c r="G117" s="7">
        <v>1</v>
      </c>
      <c r="H117" s="22" t="s">
        <v>689</v>
      </c>
      <c r="I117" s="13">
        <v>42730.724189814813</v>
      </c>
      <c r="J117" s="7">
        <v>0</v>
      </c>
      <c r="K117" s="109" t="str">
        <f t="shared" si="26"/>
        <v>4045/4046</v>
      </c>
      <c r="L117" s="22" t="str">
        <f>VLOOKUP(A117,'Trips&amp;Operators'!$C$1:$G$99999,5,FALSE)</f>
        <v>CLARK KATHLEEN</v>
      </c>
      <c r="M117" s="6">
        <f t="shared" si="27"/>
        <v>2.5995370371674653E-2</v>
      </c>
      <c r="N117" s="7">
        <f t="shared" si="41"/>
        <v>37.433333335211501</v>
      </c>
      <c r="O117" s="7"/>
      <c r="P117" s="7"/>
      <c r="Q117" s="23"/>
      <c r="R117" s="23"/>
      <c r="S117" s="35">
        <f t="shared" si="29"/>
        <v>1</v>
      </c>
      <c r="T117" s="50" t="str">
        <f t="shared" si="30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15:39:10-700',mode:absolute,to:'2016-12-26 18:22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7" s="52" t="str">
        <f t="shared" si="32"/>
        <v>N</v>
      </c>
      <c r="X117" s="177">
        <f t="shared" si="40"/>
        <v>1</v>
      </c>
      <c r="Y117" s="67">
        <f t="shared" si="33"/>
        <v>4.4699999999999997E-2</v>
      </c>
      <c r="Z117" s="67">
        <f t="shared" si="34"/>
        <v>23.3276</v>
      </c>
      <c r="AA117" s="67">
        <f t="shared" si="35"/>
        <v>23.282900000000001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36"/>
        <v>0205-26</v>
      </c>
      <c r="AE117" s="91" t="str">
        <f t="shared" si="37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117" s="88" t="str">
        <f t="shared" si="38"/>
        <v>"C:\Program Files (x86)\AstroGrep\AstroGrep.exe" /spath="%USERPROFILE%\AppData\Local\Temp\OnboardLogs" /stypes="app*4046*20161227*" /stext=" 00:.+((SYSTEM_STATE.+slice.+state.+changed )|(ment ac)|(multiple cpu faults)|(system.+state.+changed )|(\[timeout)|(PRM\|1\|D)|(kpr)|(kdp)|(\|lc)|(penalty))" /e /r /s</v>
      </c>
      <c r="AG117" s="1" t="str">
        <f t="shared" si="39"/>
        <v>EC</v>
      </c>
      <c r="AH117" s="92" t="str">
        <f t="shared" si="24"/>
        <v>"%USERPROFILE%\Documents\GitHub\eaglep3\Utilities\RefineRTDCRunTimes.py" --tripid 205-26 --locoid 4046 --swversion DE.1.0.8.0 --startMP 204:447 --initTime 2016-12-26T16:39:10 --startdatetime 2016-12-26T16:45:24 --delay 1 --endMP 204:233276 --enddatetime 2016-12-26T17:22:50 --enforcementcount 0 &gt;&gt;C:\Users\stu\Documents\GitHub\eaglep3-reporting\EC\2016-12-26-refined-times.txt</v>
      </c>
      <c r="AI117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{"issue":{"subject":"","project_id":79,"tracker_id":40,"status_id":1,"priority_id":2,"assigned_to_id":23,"start_date":"2016-12-26","description":"","custom_fields":[{"id":1,"name":"Subdivision","value":"EC"},{"id":4,"name":"Milepost","value":"23.3276"},{"id":17,"name":"Train ID","value":"205-26"},{"id":16,"name":"Locomotive ID","value":"4046"},{"id":130,"name":"Impact","value":""},{"id":150,"name":"Time of Event (Mountain Time)","value":"17:22:50"},{"id":151,"name":"Denver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594</v>
      </c>
      <c r="B118" s="7">
        <v>4045</v>
      </c>
      <c r="C118" s="22" t="s">
        <v>205</v>
      </c>
      <c r="D118" s="22" t="s">
        <v>690</v>
      </c>
      <c r="E118" s="13">
        <v>42730.728958333333</v>
      </c>
      <c r="F118" s="13">
        <v>42730.736990740741</v>
      </c>
      <c r="G118" s="7">
        <v>1</v>
      </c>
      <c r="H118" s="22" t="s">
        <v>401</v>
      </c>
      <c r="I118" s="13">
        <v>42730.765740740739</v>
      </c>
      <c r="J118" s="7">
        <v>0</v>
      </c>
      <c r="K118" s="109" t="str">
        <f t="shared" si="26"/>
        <v>4045/4046</v>
      </c>
      <c r="L118" s="22" t="str">
        <f>VLOOKUP(A118,'Trips&amp;Operators'!$C$1:$G$99999,5,FALSE)</f>
        <v>CLARK KATHLEEN</v>
      </c>
      <c r="M118" s="6">
        <f t="shared" si="27"/>
        <v>2.8749999997671694E-2</v>
      </c>
      <c r="N118" s="7">
        <f t="shared" si="41"/>
        <v>41.399999996647239</v>
      </c>
      <c r="O118" s="7"/>
      <c r="P118" s="7"/>
      <c r="Q118" s="23"/>
      <c r="R118" s="23"/>
      <c r="S118" s="35">
        <f t="shared" si="29"/>
        <v>1</v>
      </c>
      <c r="T118" s="50" t="str">
        <f t="shared" si="30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16:29:42-700',mode:absolute,to:'2016-12-26 19:22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8" s="52" t="str">
        <f t="shared" si="32"/>
        <v>N</v>
      </c>
      <c r="X118" s="177">
        <f t="shared" si="40"/>
        <v>1</v>
      </c>
      <c r="Y118" s="67">
        <f t="shared" si="33"/>
        <v>23.296199999999999</v>
      </c>
      <c r="Z118" s="67">
        <f t="shared" si="34"/>
        <v>1.72E-2</v>
      </c>
      <c r="AA118" s="67">
        <f t="shared" si="35"/>
        <v>23.279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6"/>
        <v>0206-26</v>
      </c>
      <c r="AE118" s="91" t="str">
        <f t="shared" si="37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118" s="88" t="str">
        <f t="shared" si="38"/>
        <v>"C:\Program Files (x86)\AstroGrep\AstroGrep.exe" /spath="%USERPROFILE%\AppData\Local\Temp\OnboardLogs" /stypes="app*4045*20161227*" /stext=" 01:.+((SYSTEM_STATE.+slice.+state.+changed )|(ment ac)|(multiple cpu faults)|(system.+state.+changed )|(\[timeout)|(PRM\|1\|D)|(kpr)|(kdp)|(\|lc)|(penalty))" /e /r /s</v>
      </c>
      <c r="AG118" s="1" t="str">
        <f t="shared" si="39"/>
        <v>EC</v>
      </c>
      <c r="AH118" s="92" t="str">
        <f t="shared" si="24"/>
        <v>"%USERPROFILE%\Documents\GitHub\eaglep3\Utilities\RefineRTDCRunTimes.py" --tripid 206-26 --locoid 4045 --swversion DE.1.0.8.0 --startMP 204:232962 --initTime 2016-12-26T17:29:42 --startdatetime 2016-12-26T17:41:16 --delay 1 --endMP 204:172 --enddatetime 2016-12-26T18:22:40 --enforcementcount 0 &gt;&gt;C:\Users\stu\Documents\GitHub\eaglep3-reporting\EC\2016-12-26-refined-times.txt</v>
      </c>
      <c r="AI118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{"issue":{"subject":"","project_id":79,"tracker_id":40,"status_id":1,"priority_id":2,"assigned_to_id":23,"start_date":"2016-12-26","description":"","custom_fields":[{"id":1,"name":"Subdivision","value":"EC"},{"id":4,"name":"Milepost","value":"0.0172"},{"id":17,"name":"Train ID","value":"206-26"},{"id":16,"name":"Locomotive ID","value":"4045"},{"id":130,"name":"Impact","value":""},{"id":150,"name":"Time of Event (Mountain Time)","value":"18:22:40"},{"id":151,"name":"Denver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586</v>
      </c>
      <c r="B119" s="7">
        <v>4051</v>
      </c>
      <c r="C119" s="22" t="s">
        <v>205</v>
      </c>
      <c r="D119" s="22" t="s">
        <v>264</v>
      </c>
      <c r="E119" s="13">
        <v>42730.703506944446</v>
      </c>
      <c r="F119" s="13">
        <v>42730.708657407406</v>
      </c>
      <c r="G119" s="7">
        <v>1</v>
      </c>
      <c r="H119" s="22" t="s">
        <v>336</v>
      </c>
      <c r="I119" s="13">
        <v>42730.73337962963</v>
      </c>
      <c r="J119" s="7">
        <v>0</v>
      </c>
      <c r="K119" s="109" t="str">
        <f t="shared" si="26"/>
        <v>4051/4052</v>
      </c>
      <c r="L119" s="22" t="str">
        <f>VLOOKUP(A119,'Trips&amp;Operators'!$C$1:$G$99999,5,FALSE)</f>
        <v>ADANE ELSHADAY</v>
      </c>
      <c r="M119" s="6">
        <f t="shared" si="27"/>
        <v>2.4722222224227153E-2</v>
      </c>
      <c r="N119" s="7">
        <f t="shared" si="41"/>
        <v>35.6000000028871</v>
      </c>
      <c r="O119" s="7"/>
      <c r="P119" s="7"/>
      <c r="Q119" s="23"/>
      <c r="R119" s="23"/>
      <c r="S119" s="35">
        <f t="shared" si="29"/>
        <v>1</v>
      </c>
      <c r="T119" s="50" t="str">
        <f t="shared" si="30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15:53:03-700',mode:absolute,to:'2016-12-26 18:36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19" s="52" t="str">
        <f t="shared" si="32"/>
        <v>N</v>
      </c>
      <c r="X119" s="177">
        <f t="shared" si="40"/>
        <v>1</v>
      </c>
      <c r="Y119" s="67">
        <f t="shared" si="33"/>
        <v>4.6699999999999998E-2</v>
      </c>
      <c r="Z119" s="67">
        <f t="shared" si="34"/>
        <v>23.330300000000001</v>
      </c>
      <c r="AA119" s="67">
        <f t="shared" si="35"/>
        <v>23.2836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6"/>
        <v>0207-26</v>
      </c>
      <c r="AE119" s="91" t="str">
        <f t="shared" si="37"/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AF119" s="88" t="str">
        <f t="shared" si="38"/>
        <v>"C:\Program Files (x86)\AstroGrep\AstroGrep.exe" /spath="%USERPROFILE%\AppData\Local\Temp\OnboardLogs" /stypes="app*4051*20161227*" /stext=" 00:.+((SYSTEM_STATE.+slice.+state.+changed )|(ment ac)|(multiple cpu faults)|(system.+state.+changed )|(\[timeout)|(PRM\|1\|D)|(kpr)|(kdp)|(\|lc)|(penalty))" /e /r /s</v>
      </c>
      <c r="AG119" s="1" t="str">
        <f t="shared" si="39"/>
        <v>EC</v>
      </c>
      <c r="AH119" s="92" t="str">
        <f t="shared" si="24"/>
        <v>"%USERPROFILE%\Documents\GitHub\eaglep3\Utilities\RefineRTDCRunTimes.py" --tripid 207-26 --locoid 4051 --swversion DE.1.0.8.0 --startMP 204:467 --initTime 2016-12-26T16:53:03 --startdatetime 2016-12-26T17:00:28 --delay 1 --endMP 204:233303 --enddatetime 2016-12-26T17:36:04 --enforcementcount 0 &gt;&gt;C:\Users\stu\Documents\GitHub\eaglep3-reporting\EC\2016-12-26-refined-times.txt</v>
      </c>
      <c r="AI119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{"issue":{"subject":"","project_id":79,"tracker_id":40,"status_id":1,"priority_id":2,"assigned_to_id":23,"start_date":"2016-12-26","description":"","custom_fields":[{"id":1,"name":"Subdivision","value":"EC"},{"id":4,"name":"Milepost","value":"23.3303"},{"id":17,"name":"Train ID","value":"207-26"},{"id":16,"name":"Locomotive ID","value":"4051"},{"id":130,"name":"Impact","value":""},{"id":150,"name":"Time of Event (Mountain Time)","value":"17:36:04"},{"id":151,"name":"Denver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445</v>
      </c>
      <c r="B120" s="7">
        <v>4052</v>
      </c>
      <c r="C120" s="22" t="s">
        <v>205</v>
      </c>
      <c r="D120" s="22" t="s">
        <v>323</v>
      </c>
      <c r="E120" s="13">
        <v>42730.735324074078</v>
      </c>
      <c r="F120" s="13">
        <v>42730.748032407406</v>
      </c>
      <c r="G120" s="7">
        <v>1</v>
      </c>
      <c r="H120" s="22" t="s">
        <v>318</v>
      </c>
      <c r="I120" s="13">
        <v>42730.775763888887</v>
      </c>
      <c r="J120" s="7">
        <v>0</v>
      </c>
      <c r="K120" s="109" t="str">
        <f t="shared" si="26"/>
        <v>4051/4052</v>
      </c>
      <c r="L120" s="22" t="str">
        <f>VLOOKUP(A120,'Trips&amp;Operators'!$C$1:$G$99999,5,FALSE)</f>
        <v>ADANE ELSHADAY</v>
      </c>
      <c r="M120" s="6">
        <f t="shared" si="27"/>
        <v>2.7731481481168885E-2</v>
      </c>
      <c r="N120" s="7">
        <f t="shared" si="41"/>
        <v>39.933333332883194</v>
      </c>
      <c r="O120" s="7"/>
      <c r="P120" s="7"/>
      <c r="Q120" s="23"/>
      <c r="R120" s="23"/>
      <c r="S120" s="35">
        <f t="shared" si="29"/>
        <v>1</v>
      </c>
      <c r="T120" s="50" t="str">
        <f t="shared" si="30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16:38:52-700',mode:absolute,to:'2016-12-26 19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20" s="52" t="str">
        <f t="shared" si="32"/>
        <v>N</v>
      </c>
      <c r="X120" s="177">
        <f t="shared" si="40"/>
        <v>1</v>
      </c>
      <c r="Y120" s="67">
        <f t="shared" si="33"/>
        <v>23.298200000000001</v>
      </c>
      <c r="Z120" s="67">
        <f t="shared" si="34"/>
        <v>1.52E-2</v>
      </c>
      <c r="AA120" s="67">
        <f t="shared" si="35"/>
        <v>23.283000000000001</v>
      </c>
      <c r="AB120" s="64" t="str">
        <f>VLOOKUP(A120,Enforcements!$C$7:$K$19,8,0)</f>
        <v>Speed (6)</v>
      </c>
      <c r="AC120" s="60" t="str">
        <f>VLOOKUP(A120,Enforcements!$C$7:$E$19,3,0)</f>
        <v>PERMANENT SPEED RESTRICTION</v>
      </c>
      <c r="AD120" s="61" t="str">
        <f t="shared" si="36"/>
        <v>0208-26</v>
      </c>
      <c r="AE120" s="91" t="str">
        <f t="shared" si="37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120" s="88" t="str">
        <f t="shared" si="38"/>
        <v>"C:\Program Files (x86)\AstroGrep\AstroGrep.exe" /spath="%USERPROFILE%\AppData\Local\Temp\OnboardLogs" /stypes="app*4052*20161227*" /stext=" 01:.+((SYSTEM_STATE.+slice.+state.+changed )|(ment ac)|(multiple cpu faults)|(system.+state.+changed )|(\[timeout)|(PRM\|1\|D)|(kpr)|(kdp)|(\|lc)|(penalty))" /e /r /s</v>
      </c>
      <c r="AG120" s="1" t="str">
        <f t="shared" si="39"/>
        <v>EC</v>
      </c>
      <c r="AH120" s="92" t="str">
        <f t="shared" si="24"/>
        <v>"%USERPROFILE%\Documents\GitHub\eaglep3\Utilities\RefineRTDCRunTimes.py" --tripid 208-26 --locoid 4052 --swversion DE.1.0.8.0 --startMP 204:232982 --initTime 2016-12-26T17:38:52 --startdatetime 2016-12-26T17:57:10 --delay 1 --endMP 204:152 --enddatetime 2016-12-26T18:37:06 --enforcementcount 0 &gt;&gt;C:\Users\stu\Documents\GitHub\eaglep3-reporting\EC\2016-12-26-refined-times.txt</v>
      </c>
      <c r="AI120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{"issue":{"subject":"","project_id":79,"tracker_id":40,"status_id":1,"priority_id":2,"assigned_to_id":23,"start_date":"2016-12-26","description":"","custom_fields":[{"id":1,"name":"Subdivision","value":"EC"},{"id":4,"name":"Milepost","value":"0.0152"},{"id":17,"name":"Train ID","value":"208-26"},{"id":16,"name":"Locomotive ID","value":"4052"},{"id":130,"name":"Impact","value":""},{"id":150,"name":"Time of Event (Mountain Time)","value":"18:37:06"},{"id":151,"name":"Denver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442</v>
      </c>
      <c r="B121" s="7">
        <v>4044</v>
      </c>
      <c r="C121" s="22" t="s">
        <v>205</v>
      </c>
      <c r="D121" s="22" t="s">
        <v>230</v>
      </c>
      <c r="E121" s="13">
        <v>42730.716828703706</v>
      </c>
      <c r="F121" s="13">
        <v>42730.719085648147</v>
      </c>
      <c r="G121" s="7">
        <v>2</v>
      </c>
      <c r="H121" s="22" t="s">
        <v>691</v>
      </c>
      <c r="I121" s="13">
        <v>42730.744444444441</v>
      </c>
      <c r="J121" s="7">
        <v>0</v>
      </c>
      <c r="K121" s="109" t="str">
        <f t="shared" si="26"/>
        <v>4043/4044</v>
      </c>
      <c r="L121" s="22" t="str">
        <f>VLOOKUP(A121,'Trips&amp;Operators'!$C$1:$G$99999,5,FALSE)</f>
        <v>CHANDLER KELVIN</v>
      </c>
      <c r="M121" s="6">
        <f t="shared" si="27"/>
        <v>2.5358796294312924E-2</v>
      </c>
      <c r="N121" s="7">
        <f t="shared" si="41"/>
        <v>36.516666663810611</v>
      </c>
      <c r="O121" s="7"/>
      <c r="P121" s="7"/>
      <c r="Q121" s="23"/>
      <c r="R121" s="23"/>
      <c r="S121" s="35">
        <f t="shared" si="29"/>
        <v>1</v>
      </c>
      <c r="T121" s="50" t="str">
        <f t="shared" si="30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16:12:14-700',mode:absolute,to:'2016-12-26 18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1" s="52" t="str">
        <f t="shared" si="32"/>
        <v>N</v>
      </c>
      <c r="X121" s="177">
        <f t="shared" si="40"/>
        <v>1</v>
      </c>
      <c r="Y121" s="67">
        <f t="shared" si="33"/>
        <v>4.5999999999999999E-2</v>
      </c>
      <c r="Z121" s="67">
        <f t="shared" si="34"/>
        <v>23.328099999999999</v>
      </c>
      <c r="AA121" s="67">
        <f t="shared" si="35"/>
        <v>23.2821</v>
      </c>
      <c r="AB121" s="64" t="str">
        <f>VLOOKUP(A121,Enforcements!$C$7:$K$19,8,0)</f>
        <v>Speed (6)</v>
      </c>
      <c r="AC121" s="60" t="str">
        <f>VLOOKUP(A121,Enforcements!$C$7:$E$19,3,0)</f>
        <v>EQUIPMENT RESTRICTION</v>
      </c>
      <c r="AD121" s="61" t="str">
        <f t="shared" si="36"/>
        <v>0209-26</v>
      </c>
      <c r="AE121" s="91" t="str">
        <f t="shared" si="37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121" s="88" t="str">
        <f t="shared" si="38"/>
        <v>"C:\Program Files (x86)\AstroGrep\AstroGrep.exe" /spath="%USERPROFILE%\AppData\Local\Temp\OnboardLogs" /stypes="app*4044*20161227*" /stext=" 00:.+((SYSTEM_STATE.+slice.+state.+changed )|(ment ac)|(multiple cpu faults)|(system.+state.+changed )|(\[timeout)|(PRM\|1\|D)|(kpr)|(kdp)|(\|lc)|(penalty))" /e /r /s</v>
      </c>
      <c r="AG121" s="1" t="str">
        <f t="shared" si="39"/>
        <v>EC</v>
      </c>
      <c r="AH121" s="92" t="str">
        <f t="shared" si="24"/>
        <v>"%USERPROFILE%\Documents\GitHub\eaglep3\Utilities\RefineRTDCRunTimes.py" --tripid 209-26 --locoid 4044 --swversion DE.1.0.8.0 --startMP 204:460 --initTime 2016-12-26T17:12:14 --startdatetime 2016-12-26T17:15:29 --delay 2 --endMP 204:233281 --enddatetime 2016-12-26T17:52:00 --enforcementcount 0 &gt;&gt;C:\Users\stu\Documents\GitHub\eaglep3-reporting\EC\2016-12-26-refined-times.txt</v>
      </c>
      <c r="AI121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{"issue":{"subject":"","project_id":79,"tracker_id":40,"status_id":1,"priority_id":2,"assigned_to_id":23,"start_date":"2016-12-26","description":"","custom_fields":[{"id":1,"name":"Subdivision","value":"EC"},{"id":4,"name":"Milepost","value":"23.3281"},{"id":17,"name":"Train ID","value":"209-26"},{"id":16,"name":"Locomotive ID","value":"4044"},{"id":130,"name":"Impact","value":""},{"id":150,"name":"Time of Event (Mountain Time)","value":"17:52:00"},{"id":151,"name":"Denver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603</v>
      </c>
      <c r="B122" s="7">
        <v>4043</v>
      </c>
      <c r="C122" s="22" t="s">
        <v>205</v>
      </c>
      <c r="D122" s="22" t="s">
        <v>411</v>
      </c>
      <c r="E122" s="13">
        <v>42730.754687499997</v>
      </c>
      <c r="F122" s="13">
        <v>42730.758032407408</v>
      </c>
      <c r="G122" s="7">
        <v>2</v>
      </c>
      <c r="H122" s="22" t="s">
        <v>373</v>
      </c>
      <c r="I122" s="13">
        <v>42730.785555555558</v>
      </c>
      <c r="J122" s="7">
        <v>0</v>
      </c>
      <c r="K122" s="109" t="str">
        <f t="shared" si="26"/>
        <v>4043/4044</v>
      </c>
      <c r="L122" s="22" t="str">
        <f>VLOOKUP(A122,'Trips&amp;Operators'!$C$1:$G$99999,5,FALSE)</f>
        <v>CHANDLER KELVIN</v>
      </c>
      <c r="M122" s="6">
        <f t="shared" si="27"/>
        <v>2.7523148150066845E-2</v>
      </c>
      <c r="N122" s="7">
        <f t="shared" si="41"/>
        <v>39.633333336096257</v>
      </c>
      <c r="O122" s="7"/>
      <c r="P122" s="7"/>
      <c r="Q122" s="23"/>
      <c r="R122" s="23"/>
      <c r="S122" s="35">
        <f t="shared" si="29"/>
        <v>1</v>
      </c>
      <c r="T122" s="50" t="str">
        <f t="shared" si="30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17:06:45-700',mode:absolute,to:'2016-12-26 19:51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2" s="52" t="str">
        <f t="shared" si="32"/>
        <v>N</v>
      </c>
      <c r="X122" s="177">
        <f t="shared" si="40"/>
        <v>1</v>
      </c>
      <c r="Y122" s="67">
        <f t="shared" si="33"/>
        <v>23.2974</v>
      </c>
      <c r="Z122" s="67">
        <f t="shared" si="34"/>
        <v>1.5599999999999999E-2</v>
      </c>
      <c r="AA122" s="67">
        <f t="shared" si="35"/>
        <v>23.2818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6"/>
        <v>0210-26</v>
      </c>
      <c r="AE122" s="91" t="str">
        <f t="shared" si="37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122" s="88" t="str">
        <f t="shared" si="38"/>
        <v>"C:\Program Files (x86)\AstroGrep\AstroGrep.exe" /spath="%USERPROFILE%\AppData\Local\Temp\OnboardLogs" /stypes="app*4043*20161227*" /stext=" 01:.+((SYSTEM_STATE.+slice.+state.+changed )|(ment ac)|(multiple cpu faults)|(system.+state.+changed )|(\[timeout)|(PRM\|1\|D)|(kpr)|(kdp)|(\|lc)|(penalty))" /e /r /s</v>
      </c>
      <c r="AG122" s="1" t="str">
        <f t="shared" si="39"/>
        <v>EC</v>
      </c>
      <c r="AH122" s="92" t="str">
        <f t="shared" si="24"/>
        <v>"%USERPROFILE%\Documents\GitHub\eaglep3\Utilities\RefineRTDCRunTimes.py" --tripid 210-26 --locoid 4043 --swversion DE.1.0.8.0 --startMP 204:232974 --initTime 2016-12-26T18:06:45 --startdatetime 2016-12-26T18:11:34 --delay 2 --endMP 204:156 --enddatetime 2016-12-26T18:51:12 --enforcementcount 0 &gt;&gt;C:\Users\stu\Documents\GitHub\eaglep3-reporting\EC\2016-12-26-refined-times.txt</v>
      </c>
      <c r="AI122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{"issue":{"subject":"","project_id":79,"tracker_id":40,"status_id":1,"priority_id":2,"assigned_to_id":23,"start_date":"2016-12-26","description":"","custom_fields":[{"id":1,"name":"Subdivision","value":"EC"},{"id":4,"name":"Milepost","value":"0.0156"},{"id":17,"name":"Train ID","value":"210-26"},{"id":16,"name":"Locomotive ID","value":"4043"},{"id":130,"name":"Impact","value":""},{"id":150,"name":"Time of Event (Mountain Time)","value":"18:51:12"},{"id":151,"name":"Denver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592</v>
      </c>
      <c r="B123" s="7">
        <v>4029</v>
      </c>
      <c r="C123" s="22" t="s">
        <v>205</v>
      </c>
      <c r="D123" s="22" t="s">
        <v>241</v>
      </c>
      <c r="E123" s="13">
        <v>42730.7266087963</v>
      </c>
      <c r="F123" s="13">
        <v>42730.72934027778</v>
      </c>
      <c r="G123" s="7">
        <v>1</v>
      </c>
      <c r="H123" s="22" t="s">
        <v>279</v>
      </c>
      <c r="I123" s="13">
        <v>42730.754374999997</v>
      </c>
      <c r="J123" s="7">
        <v>0</v>
      </c>
      <c r="K123" s="109" t="str">
        <f t="shared" si="26"/>
        <v>4029/4030</v>
      </c>
      <c r="L123" s="22" t="str">
        <f>VLOOKUP(A123,'Trips&amp;Operators'!$C$1:$G$99999,5,FALSE)</f>
        <v>CRAYTON QUNTRELL</v>
      </c>
      <c r="M123" s="6">
        <f t="shared" si="27"/>
        <v>2.5034722217242233E-2</v>
      </c>
      <c r="N123" s="7">
        <f t="shared" si="41"/>
        <v>36.049999992828816</v>
      </c>
      <c r="O123" s="7"/>
      <c r="P123" s="7"/>
      <c r="Q123" s="23"/>
      <c r="R123" s="23"/>
      <c r="S123" s="35">
        <f t="shared" si="29"/>
        <v>1</v>
      </c>
      <c r="T123" s="50" t="str">
        <f t="shared" si="30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16:26:19-700',mode:absolute,to:'2016-12-26 19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3" s="52" t="str">
        <f t="shared" si="32"/>
        <v>N</v>
      </c>
      <c r="X123" s="177">
        <f t="shared" si="40"/>
        <v>1</v>
      </c>
      <c r="Y123" s="67">
        <f t="shared" si="33"/>
        <v>4.58E-2</v>
      </c>
      <c r="Z123" s="67">
        <f t="shared" si="34"/>
        <v>23.329899999999999</v>
      </c>
      <c r="AA123" s="67">
        <f t="shared" si="35"/>
        <v>23.284099999999999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36"/>
        <v>0211-26</v>
      </c>
      <c r="AE123" s="91" t="str">
        <f t="shared" si="37"/>
        <v>aws s3 cp s3://rtdc.mdm.uploadarchive.raw/RTDC4029/ "%USERPROFILE%\AppData\Local\Temp\OnboardLogs"\RTDC4029\2016-12-26 --exclude "*" --recursive --include "*20161226*" &amp; "%USERPROFILE%\Documents\GitHub\mrs-test-scripts\Headless Mode &amp; Sideloading\WalkAndUnGZ.bat" "%USERPROFILE%\AppData\Local\Temp\OnboardLogs"\RTDC4029\2016-12-26 &amp; aws s3 cp s3://rtdc.mdm.uploadarchive.raw/RTDC4029/ "%USERPROFILE%\AppData\Local\Temp\OnboardLogs"\RTDC4029\2016-12-27 --exclude "*" --recursive --include "*20161227*" &amp; "%USERPROFILE%\Documents\GitHub\mrs-test-scripts\Headless Mode &amp; Sideloading\WalkAndUnGZ.bat" "%USERPROFILE%\AppData\Local\Temp\OnboardLogs"\RTDC4029\2016-12-27</v>
      </c>
      <c r="AF123" s="88" t="str">
        <f t="shared" si="38"/>
        <v>"C:\Program Files (x86)\AstroGrep\AstroGrep.exe" /spath="%USERPROFILE%\AppData\Local\Temp\OnboardLogs" /stypes="app*4029*20161227*" /stext=" 01:.+((SYSTEM_STATE.+slice.+state.+changed )|(ment ac)|(multiple cpu faults)|(system.+state.+changed )|(\[timeout)|(PRM\|1\|D)|(kpr)|(kdp)|(\|lc)|(penalty))" /e /r /s</v>
      </c>
      <c r="AG123" s="1" t="str">
        <f t="shared" si="39"/>
        <v>EC</v>
      </c>
      <c r="AH123" s="92" t="str">
        <f t="shared" si="24"/>
        <v>"%USERPROFILE%\Documents\GitHub\eaglep3\Utilities\RefineRTDCRunTimes.py" --tripid 211-26 --locoid 4029 --swversion DE.1.0.8.0 --startMP 204:458 --initTime 2016-12-26T17:26:19 --startdatetime 2016-12-26T17:30:15 --delay 1 --endMP 204:233299 --enddatetime 2016-12-26T18:06:18 --enforcementcount 0 &gt;&gt;C:\Users\stu\Documents\GitHub\eaglep3-reporting\EC\2016-12-26-refined-times.txt</v>
      </c>
      <c r="AI123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{"issue":{"subject":"","project_id":79,"tracker_id":40,"status_id":1,"priority_id":2,"assigned_to_id":23,"start_date":"2016-12-26","description":"","custom_fields":[{"id":1,"name":"Subdivision","value":"EC"},{"id":4,"name":"Milepost","value":"23.3299"},{"id":17,"name":"Train ID","value":"211-26"},{"id":16,"name":"Locomotive ID","value":"4029"},{"id":130,"name":"Impact","value":""},{"id":150,"name":"Time of Event (Mountain Time)","value":"18:06:18"},{"id":151,"name":"Denver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446</v>
      </c>
      <c r="B124" s="7">
        <v>4030</v>
      </c>
      <c r="C124" s="22" t="s">
        <v>205</v>
      </c>
      <c r="D124" s="22" t="s">
        <v>288</v>
      </c>
      <c r="E124" s="13">
        <v>42730.761979166666</v>
      </c>
      <c r="F124" s="13">
        <v>42730.768240740741</v>
      </c>
      <c r="G124" s="7">
        <v>1</v>
      </c>
      <c r="H124" s="22" t="s">
        <v>331</v>
      </c>
      <c r="I124" s="13">
        <v>42730.796296296299</v>
      </c>
      <c r="J124" s="7">
        <v>0</v>
      </c>
      <c r="K124" s="109" t="str">
        <f t="shared" si="26"/>
        <v>4029/4030</v>
      </c>
      <c r="L124" s="22" t="str">
        <f>VLOOKUP(A124,'Trips&amp;Operators'!$C$1:$G$99999,5,FALSE)</f>
        <v>CRAYTON QUNTRELL</v>
      </c>
      <c r="M124" s="6">
        <f t="shared" si="27"/>
        <v>2.8055555558239575E-2</v>
      </c>
      <c r="N124" s="7">
        <f t="shared" si="41"/>
        <v>40.400000003864989</v>
      </c>
      <c r="O124" s="7"/>
      <c r="P124" s="7"/>
      <c r="Q124" s="23"/>
      <c r="R124" s="23"/>
      <c r="S124" s="35">
        <f t="shared" si="29"/>
        <v>1</v>
      </c>
      <c r="T124" s="50" t="str">
        <f t="shared" si="30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17:17:15-700',mode:absolute,to:'2016-12-26 20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4" s="52" t="str">
        <f t="shared" si="32"/>
        <v>N</v>
      </c>
      <c r="X124" s="177">
        <f t="shared" si="40"/>
        <v>1</v>
      </c>
      <c r="Y124" s="67">
        <f t="shared" si="33"/>
        <v>23.297799999999999</v>
      </c>
      <c r="Z124" s="67">
        <f t="shared" si="34"/>
        <v>1.5800000000000002E-2</v>
      </c>
      <c r="AA124" s="67">
        <f t="shared" si="35"/>
        <v>23.282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36"/>
        <v>0212-26</v>
      </c>
      <c r="AE124" s="91" t="str">
        <f t="shared" si="37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124" s="88" t="str">
        <f t="shared" si="38"/>
        <v>"C:\Program Files (x86)\AstroGrep\AstroGrep.exe" /spath="%USERPROFILE%\AppData\Local\Temp\OnboardLogs" /stypes="app*4030*20161227*" /stext=" 02:.+((SYSTEM_STATE.+slice.+state.+changed )|(ment ac)|(multiple cpu faults)|(system.+state.+changed )|(\[timeout)|(PRM\|1\|D)|(kpr)|(kdp)|(\|lc)|(penalty))" /e /r /s</v>
      </c>
      <c r="AG124" s="1" t="str">
        <f t="shared" si="39"/>
        <v>EC</v>
      </c>
      <c r="AH124" s="92" t="str">
        <f t="shared" si="24"/>
        <v>"%USERPROFILE%\Documents\GitHub\eaglep3\Utilities\RefineRTDCRunTimes.py" --tripid 212-26 --locoid 4030 --swversion DE.1.0.8.0 --startMP 204:232978 --initTime 2016-12-26T18:17:15 --startdatetime 2016-12-26T18:26:16 --delay 1 --endMP 204:158 --enddatetime 2016-12-26T19:06:40 --enforcementcount 0 &gt;&gt;C:\Users\stu\Documents\GitHub\eaglep3-reporting\EC\2016-12-26-refined-times.txt</v>
      </c>
      <c r="AI124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{"issue":{"subject":"","project_id":79,"tracker_id":40,"status_id":1,"priority_id":2,"assigned_to_id":23,"start_date":"2016-12-26","description":"","custom_fields":[{"id":1,"name":"Subdivision","value":"EC"},{"id":4,"name":"Milepost","value":"0.0158"},{"id":17,"name":"Train ID","value":"212-26"},{"id":16,"name":"Locomotive ID","value":"4030"},{"id":130,"name":"Impact","value":""},{"id":150,"name":"Time of Event (Mountain Time)","value":"19:06:40"},{"id":151,"name":"Denver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598</v>
      </c>
      <c r="B125" s="7">
        <v>4031</v>
      </c>
      <c r="C125" s="22" t="s">
        <v>205</v>
      </c>
      <c r="D125" s="22" t="s">
        <v>692</v>
      </c>
      <c r="E125" s="13">
        <v>42730.735578703701</v>
      </c>
      <c r="F125" s="13">
        <v>42730.739803240744</v>
      </c>
      <c r="G125" s="7">
        <v>1</v>
      </c>
      <c r="H125" s="22" t="s">
        <v>312</v>
      </c>
      <c r="I125" s="13">
        <v>42730.764988425923</v>
      </c>
      <c r="J125" s="7">
        <v>0</v>
      </c>
      <c r="K125" s="109" t="str">
        <f t="shared" si="26"/>
        <v>4031/4032</v>
      </c>
      <c r="L125" s="22" t="str">
        <f>VLOOKUP(A125,'Trips&amp;Operators'!$C$1:$G$99999,5,FALSE)</f>
        <v>SMITH MICHAEL</v>
      </c>
      <c r="M125" s="6">
        <f t="shared" si="27"/>
        <v>2.5185185178997926E-2</v>
      </c>
      <c r="N125" s="7">
        <f t="shared" si="41"/>
        <v>36.266666657757014</v>
      </c>
      <c r="O125" s="7"/>
      <c r="P125" s="7"/>
      <c r="Q125" s="23"/>
      <c r="R125" s="23"/>
      <c r="S125" s="35">
        <f t="shared" si="29"/>
        <v>1</v>
      </c>
      <c r="T125" s="50" t="str">
        <f t="shared" si="30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16:39:14-700',mode:absolute,to:'2016-12-26 19:21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5" s="52" t="str">
        <f t="shared" si="32"/>
        <v>N</v>
      </c>
      <c r="X125" s="177">
        <f t="shared" si="40"/>
        <v>1</v>
      </c>
      <c r="Y125" s="67">
        <f t="shared" si="33"/>
        <v>4.8599999999999997E-2</v>
      </c>
      <c r="Z125" s="67">
        <f t="shared" si="34"/>
        <v>23.329699999999999</v>
      </c>
      <c r="AA125" s="67">
        <f t="shared" si="35"/>
        <v>23.281099999999999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6"/>
        <v>0213-26</v>
      </c>
      <c r="AE125" s="91" t="str">
        <f t="shared" si="37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125" s="88" t="str">
        <f t="shared" si="38"/>
        <v>"C:\Program Files (x86)\AstroGrep\AstroGrep.exe" /spath="%USERPROFILE%\AppData\Local\Temp\OnboardLogs" /stypes="app*4031*20161227*" /stext=" 01:.+((SYSTEM_STATE.+slice.+state.+changed )|(ment ac)|(multiple cpu faults)|(system.+state.+changed )|(\[timeout)|(PRM\|1\|D)|(kpr)|(kdp)|(\|lc)|(penalty))" /e /r /s</v>
      </c>
      <c r="AG125" s="1" t="str">
        <f t="shared" si="39"/>
        <v>EC</v>
      </c>
      <c r="AH125" s="92" t="str">
        <f t="shared" si="24"/>
        <v>"%USERPROFILE%\Documents\GitHub\eaglep3\Utilities\RefineRTDCRunTimes.py" --tripid 213-26 --locoid 4031 --swversion DE.1.0.8.0 --startMP 204:486 --initTime 2016-12-26T17:39:14 --startdatetime 2016-12-26T17:45:19 --delay 1 --endMP 204:233297 --enddatetime 2016-12-26T18:21:35 --enforcementcount 0 &gt;&gt;C:\Users\stu\Documents\GitHub\eaglep3-reporting\EC\2016-12-26-refined-times.txt</v>
      </c>
      <c r="AI125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{"issue":{"subject":"","project_id":79,"tracker_id":40,"status_id":1,"priority_id":2,"assigned_to_id":23,"start_date":"2016-12-26","description":"","custom_fields":[{"id":1,"name":"Subdivision","value":"EC"},{"id":4,"name":"Milepost","value":"23.3297"},{"id":17,"name":"Train ID","value":"213-26"},{"id":16,"name":"Locomotive ID","value":"4031"},{"id":130,"name":"Impact","value":""},{"id":150,"name":"Time of Event (Mountain Time)","value":"18:21:35"},{"id":151,"name":"Denver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609</v>
      </c>
      <c r="B126" s="7">
        <v>4032</v>
      </c>
      <c r="C126" s="22" t="s">
        <v>205</v>
      </c>
      <c r="D126" s="22" t="s">
        <v>322</v>
      </c>
      <c r="E126" s="13">
        <v>42730.770208333335</v>
      </c>
      <c r="F126" s="13">
        <v>42730.778692129628</v>
      </c>
      <c r="G126" s="7">
        <v>1</v>
      </c>
      <c r="H126" s="22" t="s">
        <v>324</v>
      </c>
      <c r="I126" s="13">
        <v>42730.807928240742</v>
      </c>
      <c r="J126" s="7">
        <v>0</v>
      </c>
      <c r="K126" s="109" t="str">
        <f t="shared" si="26"/>
        <v>4031/4032</v>
      </c>
      <c r="L126" s="22" t="str">
        <f>VLOOKUP(A126,'Trips&amp;Operators'!$C$1:$G$99999,5,FALSE)</f>
        <v>SMITH MICHAEL</v>
      </c>
      <c r="M126" s="6">
        <f t="shared" si="27"/>
        <v>2.923611111327773E-2</v>
      </c>
      <c r="N126" s="7">
        <f t="shared" si="41"/>
        <v>42.100000003119931</v>
      </c>
      <c r="O126" s="7"/>
      <c r="P126" s="7"/>
      <c r="Q126" s="23"/>
      <c r="R126" s="23"/>
      <c r="S126" s="35">
        <f t="shared" si="29"/>
        <v>1</v>
      </c>
      <c r="T126" s="50" t="str">
        <f t="shared" si="30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17:29:06-700',mode:absolute,to:'2016-12-26 20:23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6" s="52" t="str">
        <f t="shared" si="32"/>
        <v>N</v>
      </c>
      <c r="X126" s="177">
        <f t="shared" si="40"/>
        <v>1</v>
      </c>
      <c r="Y126" s="67">
        <f t="shared" si="33"/>
        <v>23.298300000000001</v>
      </c>
      <c r="Z126" s="67">
        <f t="shared" si="34"/>
        <v>1.6500000000000001E-2</v>
      </c>
      <c r="AA126" s="67">
        <f t="shared" si="35"/>
        <v>23.2818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6"/>
        <v>0214-26</v>
      </c>
      <c r="AE126" s="91" t="str">
        <f t="shared" si="37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126" s="88" t="str">
        <f t="shared" si="38"/>
        <v>"C:\Program Files (x86)\AstroGrep\AstroGrep.exe" /spath="%USERPROFILE%\AppData\Local\Temp\OnboardLogs" /stypes="app*4032*20161227*" /stext=" 02:.+((SYSTEM_STATE.+slice.+state.+changed )|(ment ac)|(multiple cpu faults)|(system.+state.+changed )|(\[timeout)|(PRM\|1\|D)|(kpr)|(kdp)|(\|lc)|(penalty))" /e /r /s</v>
      </c>
      <c r="AG126" s="1" t="str">
        <f t="shared" si="39"/>
        <v>EC</v>
      </c>
      <c r="AH126" s="92" t="str">
        <f t="shared" si="24"/>
        <v>"%USERPROFILE%\Documents\GitHub\eaglep3\Utilities\RefineRTDCRunTimes.py" --tripid 214-26 --locoid 4032 --swversion DE.1.0.8.0 --startMP 204:232983 --initTime 2016-12-26T18:29:06 --startdatetime 2016-12-26T18:41:19 --delay 1 --endMP 204:165 --enddatetime 2016-12-26T19:23:25 --enforcementcount 0 &gt;&gt;C:\Users\stu\Documents\GitHub\eaglep3-reporting\EC\2016-12-26-refined-times.txt</v>
      </c>
      <c r="AI126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{"issue":{"subject":"","project_id":79,"tracker_id":40,"status_id":1,"priority_id":2,"assigned_to_id":23,"start_date":"2016-12-26","description":"","custom_fields":[{"id":1,"name":"Subdivision","value":"EC"},{"id":4,"name":"Milepost","value":"0.0165"},{"id":17,"name":"Train ID","value":"214-26"},{"id":16,"name":"Locomotive ID","value":"4032"},{"id":130,"name":"Impact","value":""},{"id":150,"name":"Time of Event (Mountain Time)","value":"19:23:25"},{"id":151,"name":"Denver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599</v>
      </c>
      <c r="B127" s="7">
        <v>4027</v>
      </c>
      <c r="C127" s="22" t="s">
        <v>205</v>
      </c>
      <c r="D127" s="22" t="s">
        <v>264</v>
      </c>
      <c r="E127" s="13">
        <v>42730.745370370372</v>
      </c>
      <c r="F127" s="13">
        <v>42730.750393518516</v>
      </c>
      <c r="G127" s="7">
        <v>1</v>
      </c>
      <c r="H127" s="22" t="s">
        <v>693</v>
      </c>
      <c r="I127" s="13">
        <v>42730.773402777777</v>
      </c>
      <c r="J127" s="7">
        <v>0</v>
      </c>
      <c r="K127" s="109" t="str">
        <f t="shared" si="26"/>
        <v>4027/4028</v>
      </c>
      <c r="L127" s="22" t="str">
        <f>VLOOKUP(A127,'Trips&amp;Operators'!$C$1:$G$99999,5,FALSE)</f>
        <v>KILLION DAVID</v>
      </c>
      <c r="M127" s="6">
        <f t="shared" si="27"/>
        <v>2.3009259261016268E-2</v>
      </c>
      <c r="N127" s="7"/>
      <c r="O127" s="7"/>
      <c r="P127" s="7">
        <f>24*60*SUM($M127:$M127)</f>
        <v>33.133333335863426</v>
      </c>
      <c r="Q127" s="23"/>
      <c r="R127" s="23" t="s">
        <v>816</v>
      </c>
      <c r="S127" s="35">
        <f t="shared" si="29"/>
        <v>1</v>
      </c>
      <c r="T127" s="50" t="str">
        <f t="shared" si="30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16:53:20-700',mode:absolute,to:'2016-12-26 19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7" s="52" t="str">
        <f t="shared" si="32"/>
        <v>Y</v>
      </c>
      <c r="X127" s="177">
        <f t="shared" si="40"/>
        <v>1</v>
      </c>
      <c r="Y127" s="67">
        <f t="shared" si="33"/>
        <v>4.6699999999999998E-2</v>
      </c>
      <c r="Z127" s="67">
        <f t="shared" si="34"/>
        <v>22.8109</v>
      </c>
      <c r="AA127" s="67">
        <f t="shared" si="35"/>
        <v>22.764199999999999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6"/>
        <v>0215-26</v>
      </c>
      <c r="AE127" s="91" t="str">
        <f t="shared" si="37"/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AF127" s="88" t="str">
        <f t="shared" si="38"/>
        <v>"C:\Program Files (x86)\AstroGrep\AstroGrep.exe" /spath="%USERPROFILE%\AppData\Local\Temp\OnboardLogs" /stypes="app*4027*20161227*" /stext=" 01:.+((SYSTEM_STATE.+slice.+state.+changed )|(ment ac)|(multiple cpu faults)|(system.+state.+changed )|(\[timeout)|(PRM\|1\|D)|(kpr)|(kdp)|(\|lc)|(penalty))" /e /r /s</v>
      </c>
      <c r="AG127" s="1" t="str">
        <f t="shared" si="39"/>
        <v>EC</v>
      </c>
      <c r="AH127" s="92" t="str">
        <f t="shared" si="24"/>
        <v>"%USERPROFILE%\Documents\GitHub\eaglep3\Utilities\RefineRTDCRunTimes.py" --tripid 215-26 --locoid 4027 --swversion DE.1.0.8.0 --startMP 204:467 --initTime 2016-12-26T17:53:20 --startdatetime 2016-12-26T18:00:34 --delay 1 --endMP 204:228109 --enddatetime 2016-12-26T18:33:42 --enforcementcount 0 &gt;&gt;C:\Users\stu\Documents\GitHub\eaglep3-reporting\EC\2016-12-26-refined-times.txt</v>
      </c>
      <c r="AI127" s="119" t="str">
        <f t="shared" si="25"/>
        <v>echo {"issue":{"subject":"Stop &amp; barricade test (consider this completed?)","project_id":79,"tracker_id":40,"status_id":1,"priority_id":2,"assigned_to_id":23,"start_date":"2016-12-26","description":"","custom_fields":[{"id":1,"name":"Subdivision","value":"EC"},{"id":4,"name":"Milepost","value":"22.8109"},{"id":17,"name":"Train ID","value":"215-26"},{"id":16,"name":"Locomotive ID","value":"4027"},{"id":130,"name":"Impact","value":""},{"id":150,"name":"Time of Event (Mountain Time)","value":"18:33:42"},{"id":151,"name":"Denver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612</v>
      </c>
      <c r="B128" s="7">
        <v>4028</v>
      </c>
      <c r="C128" s="22" t="s">
        <v>205</v>
      </c>
      <c r="D128" s="22" t="s">
        <v>320</v>
      </c>
      <c r="E128" s="13">
        <v>42730.783414351848</v>
      </c>
      <c r="F128" s="13">
        <v>42730.789317129631</v>
      </c>
      <c r="G128" s="7">
        <v>1</v>
      </c>
      <c r="H128" s="22" t="s">
        <v>191</v>
      </c>
      <c r="I128" s="13">
        <v>42730.81763888889</v>
      </c>
      <c r="J128" s="7">
        <v>0</v>
      </c>
      <c r="K128" s="109" t="str">
        <f t="shared" si="26"/>
        <v>4027/4028</v>
      </c>
      <c r="L128" s="22" t="str">
        <f>VLOOKUP(A128,'Trips&amp;Operators'!$C$1:$G$99999,5,FALSE)</f>
        <v>KILLION DAVID</v>
      </c>
      <c r="M128" s="6">
        <f t="shared" si="27"/>
        <v>2.8321759258687962E-2</v>
      </c>
      <c r="N128" s="7">
        <f>24*60*SUM($M128:$M128)</f>
        <v>40.783333332510665</v>
      </c>
      <c r="O128" s="7"/>
      <c r="P128" s="7"/>
      <c r="Q128" s="23"/>
      <c r="R128" s="23"/>
      <c r="S128" s="35">
        <f t="shared" si="29"/>
        <v>1</v>
      </c>
      <c r="T128" s="50" t="str">
        <f t="shared" si="30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17:48:07-700',mode:absolute,to:'2016-12-26 20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8" s="52" t="str">
        <f t="shared" si="32"/>
        <v>N</v>
      </c>
      <c r="X128" s="177">
        <f t="shared" si="40"/>
        <v>1</v>
      </c>
      <c r="Y128" s="67">
        <f t="shared" si="33"/>
        <v>23.296900000000001</v>
      </c>
      <c r="Z128" s="67">
        <f t="shared" si="34"/>
        <v>1.49E-2</v>
      </c>
      <c r="AA128" s="67">
        <f t="shared" si="35"/>
        <v>23.282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6"/>
        <v>0216-26</v>
      </c>
      <c r="AE128" s="91" t="str">
        <f t="shared" si="37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128" s="88" t="str">
        <f t="shared" si="38"/>
        <v>"C:\Program Files (x86)\AstroGrep\AstroGrep.exe" /spath="%USERPROFILE%\AppData\Local\Temp\OnboardLogs" /stypes="app*4028*20161227*" /stext=" 02:.+((SYSTEM_STATE.+slice.+state.+changed )|(ment ac)|(multiple cpu faults)|(system.+state.+changed )|(\[timeout)|(PRM\|1\|D)|(kpr)|(kdp)|(\|lc)|(penalty))" /e /r /s</v>
      </c>
      <c r="AG128" s="1" t="str">
        <f t="shared" si="39"/>
        <v>EC</v>
      </c>
      <c r="AH128" s="92" t="str">
        <f t="shared" si="24"/>
        <v>"%USERPROFILE%\Documents\GitHub\eaglep3\Utilities\RefineRTDCRunTimes.py" --tripid 216-26 --locoid 4028 --swversion DE.1.0.8.0 --startMP 204:232969 --initTime 2016-12-26T18:48:07 --startdatetime 2016-12-26T18:56:37 --delay 1 --endMP 204:149 --enddatetime 2016-12-26T19:37:24 --enforcementcount 0 &gt;&gt;C:\Users\stu\Documents\GitHub\eaglep3-reporting\EC\2016-12-26-refined-times.txt</v>
      </c>
      <c r="AI128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{"issue":{"subject":"","project_id":79,"tracker_id":40,"status_id":1,"priority_id":2,"assigned_to_id":23,"start_date":"2016-12-26","description":"","custom_fields":[{"id":1,"name":"Subdivision","value":"EC"},{"id":4,"name":"Milepost","value":"0.0149"},{"id":17,"name":"Train ID","value":"216-26"},{"id":16,"name":"Locomotive ID","value":"4028"},{"id":130,"name":"Impact","value":""},{"id":150,"name":"Time of Event (Mountain Time)","value":"19:37:24"},{"id":151,"name":"Denver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604</v>
      </c>
      <c r="B129" s="7">
        <v>4025</v>
      </c>
      <c r="C129" s="22" t="s">
        <v>205</v>
      </c>
      <c r="D129" s="22" t="s">
        <v>694</v>
      </c>
      <c r="E129" s="13">
        <v>42730.768472222226</v>
      </c>
      <c r="F129" s="13">
        <v>42730.769456018519</v>
      </c>
      <c r="G129" s="7">
        <v>1</v>
      </c>
      <c r="H129" s="22" t="s">
        <v>335</v>
      </c>
      <c r="I129" s="13">
        <v>42730.786874999998</v>
      </c>
      <c r="J129" s="7">
        <v>0</v>
      </c>
      <c r="K129" s="109" t="str">
        <f t="shared" si="26"/>
        <v>4025/4026</v>
      </c>
      <c r="L129" s="22" t="str">
        <f>VLOOKUP(A129,'Trips&amp;Operators'!$C$1:$G$99999,5,FALSE)</f>
        <v>STAMBAUGH JAMES</v>
      </c>
      <c r="M129" s="6">
        <f t="shared" si="27"/>
        <v>1.7418981478840578E-2</v>
      </c>
      <c r="N129" s="7"/>
      <c r="O129" s="7"/>
      <c r="P129" s="7">
        <f>24*60*SUM($M129:$M129)</f>
        <v>25.083333329530433</v>
      </c>
      <c r="Q129" s="23"/>
      <c r="R129" s="23" t="s">
        <v>815</v>
      </c>
      <c r="S129" s="35">
        <f t="shared" si="29"/>
        <v>0.75</v>
      </c>
      <c r="T129" s="50" t="str">
        <f t="shared" si="30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9</v>
      </c>
      <c r="V12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17:26:36-700',mode:absolute,to:'2016-12-26 19:53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9" s="52" t="str">
        <f t="shared" si="32"/>
        <v>Y</v>
      </c>
      <c r="X129" s="177">
        <f t="shared" si="40"/>
        <v>1</v>
      </c>
      <c r="Y129" s="67">
        <f t="shared" si="33"/>
        <v>3.7181999999999999</v>
      </c>
      <c r="Z129" s="67">
        <f t="shared" si="34"/>
        <v>23.330400000000001</v>
      </c>
      <c r="AA129" s="67">
        <f t="shared" si="35"/>
        <v>19.612200000000001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6"/>
        <v>0217-26</v>
      </c>
      <c r="AE129" s="91" t="str">
        <f t="shared" si="37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129" s="88" t="str">
        <f t="shared" si="38"/>
        <v>"C:\Program Files (x86)\AstroGrep\AstroGrep.exe" /spath="%USERPROFILE%\AppData\Local\Temp\OnboardLogs" /stypes="app*4025*20161227*" /stext=" 01:.+((SYSTEM_STATE.+slice.+state.+changed )|(ment ac)|(multiple cpu faults)|(system.+state.+changed )|(\[timeout)|(PRM\|1\|D)|(kpr)|(kdp)|(\|lc)|(penalty))" /e /r /s</v>
      </c>
      <c r="AG129" s="1" t="str">
        <f t="shared" si="39"/>
        <v>EC</v>
      </c>
      <c r="AH129" s="92" t="str">
        <f t="shared" si="24"/>
        <v>"%USERPROFILE%\Documents\GitHub\eaglep3\Utilities\RefineRTDCRunTimes.py" --tripid 217-26 --locoid 4025 --swversion DE.1.0.8.0 --startMP 204:37182 --initTime 2016-12-26T18:26:36 --startdatetime 2016-12-26T18:28:01 --delay 1 --endMP 204:233304 --enddatetime 2016-12-26T18:53:06 --enforcementcount 0 &gt;&gt;C:\Users\stu\Documents\GitHub\eaglep3-reporting\EC\2016-12-26-refined-times.txt</v>
      </c>
      <c r="AI129" s="119" t="str">
        <f t="shared" si="25"/>
        <v>echo {"issue":{"subject":"Onboard in-route failure","project_id":79,"tracker_id":40,"status_id":1,"priority_id":2,"assigned_to_id":23,"start_date":"2016-12-26","description":"","custom_fields":[{"id":1,"name":"Subdivision","value":"EC"},{"id":4,"name":"Milepost","value":"23.3304"},{"id":17,"name":"Train ID","value":"217-26"},{"id":16,"name":"Locomotive ID","value":"4025"},{"id":130,"name":"Impact","value":""},{"id":150,"name":"Time of Event (Mountain Time)","value":"18:53:06"},{"id":151,"name":"Denver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616</v>
      </c>
      <c r="B130" s="7">
        <v>4026</v>
      </c>
      <c r="C130" s="22" t="s">
        <v>205</v>
      </c>
      <c r="D130" s="22" t="s">
        <v>403</v>
      </c>
      <c r="E130" s="13">
        <v>42730.797129629631</v>
      </c>
      <c r="F130" s="13">
        <v>42730.799710648149</v>
      </c>
      <c r="G130" s="7">
        <v>1</v>
      </c>
      <c r="H130" s="22" t="s">
        <v>260</v>
      </c>
      <c r="I130" s="13">
        <v>42730.825659722221</v>
      </c>
      <c r="J130" s="7">
        <v>0</v>
      </c>
      <c r="K130" s="109" t="str">
        <f t="shared" si="26"/>
        <v>4025/4026</v>
      </c>
      <c r="L130" s="22" t="str">
        <f>VLOOKUP(A130,'Trips&amp;Operators'!$C$1:$G$99999,5,FALSE)</f>
        <v>STAMBAUGH JAMES</v>
      </c>
      <c r="M130" s="6">
        <f t="shared" si="27"/>
        <v>2.5949074071832001E-2</v>
      </c>
      <c r="N130" s="7">
        <f t="shared" ref="N130:N161" si="42">24*60*SUM($M130:$M130)</f>
        <v>37.366666663438082</v>
      </c>
      <c r="O130" s="7"/>
      <c r="P130" s="7"/>
      <c r="Q130" s="23"/>
      <c r="R130" s="23"/>
      <c r="S130" s="35">
        <f t="shared" si="29"/>
        <v>1</v>
      </c>
      <c r="T130" s="50" t="str">
        <f t="shared" si="30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18:07:52-700',mode:absolute,to:'2016-12-26 20:48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0" s="52" t="str">
        <f t="shared" si="32"/>
        <v>N</v>
      </c>
      <c r="X130" s="177">
        <f t="shared" ref="X130:X132" si="43">VALUE(LEFT(AD130,4))-VALUE(LEFT(AD129,4))</f>
        <v>1</v>
      </c>
      <c r="Y130" s="67">
        <f t="shared" si="33"/>
        <v>23.298500000000001</v>
      </c>
      <c r="Z130" s="67">
        <f t="shared" si="34"/>
        <v>1.47E-2</v>
      </c>
      <c r="AA130" s="67">
        <f t="shared" si="35"/>
        <v>23.283799999999999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36"/>
        <v>0218-26</v>
      </c>
      <c r="AE130" s="91" t="str">
        <f t="shared" si="37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130" s="88" t="str">
        <f t="shared" si="38"/>
        <v>"C:\Program Files (x86)\AstroGrep\AstroGrep.exe" /spath="%USERPROFILE%\AppData\Local\Temp\OnboardLogs" /stypes="app*4026*20161227*" /stext=" 02:.+((SYSTEM_STATE.+slice.+state.+changed )|(ment ac)|(multiple cpu faults)|(system.+state.+changed )|(\[timeout)|(PRM\|1\|D)|(kpr)|(kdp)|(\|lc)|(penalty))" /e /r /s</v>
      </c>
      <c r="AG130" s="1" t="str">
        <f t="shared" si="39"/>
        <v>EC</v>
      </c>
      <c r="AH130" s="92" t="str">
        <f t="shared" si="24"/>
        <v>"%USERPROFILE%\Documents\GitHub\eaglep3\Utilities\RefineRTDCRunTimes.py" --tripid 218-26 --locoid 4026 --swversion DE.1.0.8.0 --startMP 204:232985 --initTime 2016-12-26T19:07:52 --startdatetime 2016-12-26T19:11:35 --delay 1 --endMP 204:147 --enddatetime 2016-12-26T19:48:57 --enforcementcount 0 &gt;&gt;C:\Users\stu\Documents\GitHub\eaglep3-reporting\EC\2016-12-26-refined-times.txt</v>
      </c>
      <c r="AI130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{"issue":{"subject":"","project_id":79,"tracker_id":40,"status_id":1,"priority_id":2,"assigned_to_id":23,"start_date":"2016-12-26","description":"","custom_fields":[{"id":1,"name":"Subdivision","value":"EC"},{"id":4,"name":"Milepost","value":"0.0147"},{"id":17,"name":"Train ID","value":"218-26"},{"id":16,"name":"Locomotive ID","value":"4026"},{"id":130,"name":"Impact","value":""},{"id":150,"name":"Time of Event (Mountain Time)","value":"19:48:57"},{"id":151,"name":"Denver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606</v>
      </c>
      <c r="B131" s="7">
        <v>4046</v>
      </c>
      <c r="C131" s="22" t="s">
        <v>205</v>
      </c>
      <c r="D131" s="22" t="s">
        <v>255</v>
      </c>
      <c r="E131" s="13">
        <v>42730.769861111112</v>
      </c>
      <c r="F131" s="13">
        <v>42730.77175925926</v>
      </c>
      <c r="G131" s="7">
        <v>2</v>
      </c>
      <c r="H131" s="22" t="s">
        <v>316</v>
      </c>
      <c r="I131" s="13">
        <v>42730.797094907408</v>
      </c>
      <c r="J131" s="7">
        <v>0</v>
      </c>
      <c r="K131" s="109" t="str">
        <f t="shared" si="26"/>
        <v>4045/4046</v>
      </c>
      <c r="L131" s="22" t="str">
        <f>VLOOKUP(A131,'Trips&amp;Operators'!$C$1:$G$99999,5,FALSE)</f>
        <v>SIMONEAUX TERA</v>
      </c>
      <c r="M131" s="6">
        <f t="shared" si="27"/>
        <v>2.5335648148029577E-2</v>
      </c>
      <c r="N131" s="7">
        <f t="shared" si="42"/>
        <v>36.483333333162591</v>
      </c>
      <c r="O131" s="7"/>
      <c r="P131" s="7"/>
      <c r="Q131" s="23"/>
      <c r="R131" s="23"/>
      <c r="S131" s="35">
        <f t="shared" si="29"/>
        <v>1</v>
      </c>
      <c r="T131" s="50" t="str">
        <f t="shared" si="30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17:28:36-700',mode:absolute,to:'2016-12-26 20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1" s="52" t="str">
        <f t="shared" si="32"/>
        <v>N</v>
      </c>
      <c r="X131" s="177">
        <f t="shared" si="43"/>
        <v>1</v>
      </c>
      <c r="Y131" s="67">
        <f t="shared" si="33"/>
        <v>4.6399999999999997E-2</v>
      </c>
      <c r="Z131" s="67">
        <f t="shared" si="34"/>
        <v>23.3293</v>
      </c>
      <c r="AA131" s="67">
        <f t="shared" si="35"/>
        <v>23.282900000000001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6"/>
        <v>0219-26</v>
      </c>
      <c r="AE131" s="91" t="str">
        <f t="shared" si="37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131" s="88" t="str">
        <f t="shared" si="38"/>
        <v>"C:\Program Files (x86)\AstroGrep\AstroGrep.exe" /spath="%USERPROFILE%\AppData\Local\Temp\OnboardLogs" /stypes="app*4046*20161227*" /stext=" 02:.+((SYSTEM_STATE.+slice.+state.+changed )|(ment ac)|(multiple cpu faults)|(system.+state.+changed )|(\[timeout)|(PRM\|1\|D)|(kpr)|(kdp)|(\|lc)|(penalty))" /e /r /s</v>
      </c>
      <c r="AG131" s="1" t="str">
        <f t="shared" si="39"/>
        <v>EC</v>
      </c>
      <c r="AH131" s="92" t="str">
        <f t="shared" si="24"/>
        <v>"%USERPROFILE%\Documents\GitHub\eaglep3\Utilities\RefineRTDCRunTimes.py" --tripid 219-26 --locoid 4046 --swversion DE.1.0.8.0 --startMP 204:464 --initTime 2016-12-26T18:28:36 --startdatetime 2016-12-26T18:31:20 --delay 2 --endMP 204:233293 --enddatetime 2016-12-26T19:07:49 --enforcementcount 0 &gt;&gt;C:\Users\stu\Documents\GitHub\eaglep3-reporting\EC\2016-12-26-refined-times.txt</v>
      </c>
      <c r="AI131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{"issue":{"subject":"","project_id":79,"tracker_id":40,"status_id":1,"priority_id":2,"assigned_to_id":23,"start_date":"2016-12-26","description":"","custom_fields":[{"id":1,"name":"Subdivision","value":"EC"},{"id":4,"name":"Milepost","value":"23.3293"},{"id":17,"name":"Train ID","value":"219-26"},{"id":16,"name":"Locomotive ID","value":"4046"},{"id":130,"name":"Impact","value":""},{"id":150,"name":"Time of Event (Mountain Time)","value":"19:07:49"},{"id":151,"name":"Denver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618</v>
      </c>
      <c r="B132" s="7">
        <v>4045</v>
      </c>
      <c r="C132" s="22" t="s">
        <v>205</v>
      </c>
      <c r="D132" s="22" t="s">
        <v>287</v>
      </c>
      <c r="E132" s="13">
        <v>42730.805138888885</v>
      </c>
      <c r="F132" s="13">
        <v>42730.81009259259</v>
      </c>
      <c r="G132" s="7">
        <v>2</v>
      </c>
      <c r="H132" s="22" t="s">
        <v>267</v>
      </c>
      <c r="I132" s="13">
        <v>42730.838090277779</v>
      </c>
      <c r="J132" s="7">
        <v>0</v>
      </c>
      <c r="K132" s="109" t="str">
        <f t="shared" si="26"/>
        <v>4045/4046</v>
      </c>
      <c r="L132" s="22" t="str">
        <f>VLOOKUP(A132,'Trips&amp;Operators'!$C$1:$G$99999,5,FALSE)</f>
        <v>SIMONEAUX TERA</v>
      </c>
      <c r="M132" s="6">
        <f t="shared" si="27"/>
        <v>2.7997685188893229E-2</v>
      </c>
      <c r="N132" s="7">
        <f t="shared" si="42"/>
        <v>40.316666672006249</v>
      </c>
      <c r="O132" s="7"/>
      <c r="P132" s="7"/>
      <c r="Q132" s="23"/>
      <c r="R132" s="23"/>
      <c r="S132" s="35">
        <f t="shared" si="29"/>
        <v>1</v>
      </c>
      <c r="T132" s="50" t="str">
        <f t="shared" si="30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18:19:24-700',mode:absolute,to:'2016-12-26 21:06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2" s="52" t="str">
        <f t="shared" si="32"/>
        <v>N</v>
      </c>
      <c r="X132" s="177">
        <f t="shared" si="43"/>
        <v>1</v>
      </c>
      <c r="Y132" s="67">
        <f t="shared" si="33"/>
        <v>23.2973</v>
      </c>
      <c r="Z132" s="67">
        <f t="shared" si="34"/>
        <v>1.6E-2</v>
      </c>
      <c r="AA132" s="67">
        <f t="shared" si="35"/>
        <v>23.281300000000002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36"/>
        <v>0220-26</v>
      </c>
      <c r="AE132" s="91" t="str">
        <f t="shared" si="37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132" s="88" t="str">
        <f t="shared" si="38"/>
        <v>"C:\Program Files (x86)\AstroGrep\AstroGrep.exe" /spath="%USERPROFILE%\AppData\Local\Temp\OnboardLogs" /stypes="app*4045*20161227*" /stext=" 03:.+((SYSTEM_STATE.+slice.+state.+changed )|(ment ac)|(multiple cpu faults)|(system.+state.+changed )|(\[timeout)|(PRM\|1\|D)|(kpr)|(kdp)|(\|lc)|(penalty))" /e /r /s</v>
      </c>
      <c r="AG132" s="1" t="str">
        <f t="shared" si="39"/>
        <v>EC</v>
      </c>
      <c r="AH132" s="92" t="str">
        <f t="shared" si="24"/>
        <v>"%USERPROFILE%\Documents\GitHub\eaglep3\Utilities\RefineRTDCRunTimes.py" --tripid 220-26 --locoid 4045 --swversion DE.1.0.8.0 --startMP 204:232973 --initTime 2016-12-26T19:19:24 --startdatetime 2016-12-26T19:26:32 --delay 2 --endMP 204:160 --enddatetime 2016-12-26T20:06:51 --enforcementcount 0 &gt;&gt;C:\Users\stu\Documents\GitHub\eaglep3-reporting\EC\2016-12-26-refined-times.txt</v>
      </c>
      <c r="AI132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{"issue":{"subject":"","project_id":79,"tracker_id":40,"status_id":1,"priority_id":2,"assigned_to_id":23,"start_date":"2016-12-26","description":"","custom_fields":[{"id":1,"name":"Subdivision","value":"EC"},{"id":4,"name":"Milepost","value":"0.016"},{"id":17,"name":"Train ID","value":"220-26"},{"id":16,"name":"Locomotive ID","value":"4045"},{"id":130,"name":"Impact","value":""},{"id":150,"name":"Time of Event (Mountain Time)","value":"20:06:51"},{"id":151,"name":"Denver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613</v>
      </c>
      <c r="B133" s="7">
        <v>4044</v>
      </c>
      <c r="C133" s="22" t="s">
        <v>205</v>
      </c>
      <c r="D133" s="22" t="s">
        <v>255</v>
      </c>
      <c r="E133" s="13">
        <v>42730.789583333331</v>
      </c>
      <c r="F133" s="13">
        <v>42730.792025462964</v>
      </c>
      <c r="G133" s="7">
        <v>2</v>
      </c>
      <c r="H133" s="22" t="s">
        <v>285</v>
      </c>
      <c r="I133" s="13">
        <v>42730.816377314812</v>
      </c>
      <c r="J133" s="7">
        <v>0</v>
      </c>
      <c r="K133" s="109" t="str">
        <f t="shared" si="26"/>
        <v>4043/4044</v>
      </c>
      <c r="L133" s="22" t="str">
        <f>VLOOKUP(A133,'Trips&amp;Operators'!$C$1:$G$99999,5,FALSE)</f>
        <v>CHANDLER KELVIN</v>
      </c>
      <c r="M133" s="6">
        <f t="shared" si="27"/>
        <v>2.435185184731381E-2</v>
      </c>
      <c r="N133" s="7">
        <f t="shared" si="42"/>
        <v>35.066666660131887</v>
      </c>
      <c r="O133" s="7"/>
      <c r="P133" s="7"/>
      <c r="Q133" s="23"/>
      <c r="R133" s="23"/>
      <c r="S133" s="35">
        <f t="shared" si="29"/>
        <v>1</v>
      </c>
      <c r="T133" s="50" t="str">
        <f t="shared" si="30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17:57:00-700',mode:absolute,to:'2016-12-26 20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3" s="52" t="str">
        <f t="shared" si="32"/>
        <v>N</v>
      </c>
      <c r="X133" s="177">
        <f t="shared" ref="X133:X164" si="44">VALUE(LEFT(AD133,4))-VALUE(LEFT(AD132,4))</f>
        <v>1</v>
      </c>
      <c r="Y133" s="67">
        <f t="shared" si="33"/>
        <v>4.6399999999999997E-2</v>
      </c>
      <c r="Z133" s="67">
        <f t="shared" si="34"/>
        <v>23.329499999999999</v>
      </c>
      <c r="AA133" s="67">
        <f t="shared" si="35"/>
        <v>23.283100000000001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6"/>
        <v>0221-26</v>
      </c>
      <c r="AE133" s="91" t="str">
        <f t="shared" si="37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133" s="88" t="str">
        <f t="shared" si="38"/>
        <v>"C:\Program Files (x86)\AstroGrep\AstroGrep.exe" /spath="%USERPROFILE%\AppData\Local\Temp\OnboardLogs" /stypes="app*4044*20161227*" /stext=" 02:.+((SYSTEM_STATE.+slice.+state.+changed )|(ment ac)|(multiple cpu faults)|(system.+state.+changed )|(\[timeout)|(PRM\|1\|D)|(kpr)|(kdp)|(\|lc)|(penalty))" /e /r /s</v>
      </c>
      <c r="AG133" s="1" t="str">
        <f t="shared" si="39"/>
        <v>EC</v>
      </c>
      <c r="AH133" s="92" t="str">
        <f t="shared" si="24"/>
        <v>"%USERPROFILE%\Documents\GitHub\eaglep3\Utilities\RefineRTDCRunTimes.py" --tripid 221-26 --locoid 4044 --swversion DE.1.0.8.0 --startMP 204:464 --initTime 2016-12-26T18:57:00 --startdatetime 2016-12-26T19:00:31 --delay 2 --endMP 204:233295 --enddatetime 2016-12-26T19:35:35 --enforcementcount 0 &gt;&gt;C:\Users\stu\Documents\GitHub\eaglep3-reporting\EC\2016-12-26-refined-times.txt</v>
      </c>
      <c r="AI133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{"issue":{"subject":"","project_id":79,"tracker_id":40,"status_id":1,"priority_id":2,"assigned_to_id":23,"start_date":"2016-12-26","description":"","custom_fields":[{"id":1,"name":"Subdivision","value":"EC"},{"id":4,"name":"Milepost","value":"23.3295"},{"id":17,"name":"Train ID","value":"221-26"},{"id":16,"name":"Locomotive ID","value":"4044"},{"id":130,"name":"Impact","value":""},{"id":150,"name":"Time of Event (Mountain Time)","value":"19:35:35"},{"id":151,"name":"Denver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623</v>
      </c>
      <c r="B134" s="7">
        <v>4043</v>
      </c>
      <c r="C134" s="22" t="s">
        <v>205</v>
      </c>
      <c r="D134" s="22" t="s">
        <v>695</v>
      </c>
      <c r="E134" s="13">
        <v>42730.82916666667</v>
      </c>
      <c r="F134" s="13">
        <v>42730.831250000003</v>
      </c>
      <c r="G134" s="7">
        <v>1</v>
      </c>
      <c r="H134" s="22" t="s">
        <v>331</v>
      </c>
      <c r="I134" s="13">
        <v>42730.859293981484</v>
      </c>
      <c r="J134" s="7">
        <v>0</v>
      </c>
      <c r="K134" s="109" t="str">
        <f t="shared" si="26"/>
        <v>4043/4044</v>
      </c>
      <c r="L134" s="22" t="str">
        <f>VLOOKUP(A134,'Trips&amp;Operators'!$C$1:$G$99999,5,FALSE)</f>
        <v>CHANDLER KELVIN</v>
      </c>
      <c r="M134" s="6">
        <f t="shared" si="27"/>
        <v>2.8043981481459923E-2</v>
      </c>
      <c r="N134" s="7">
        <f t="shared" si="42"/>
        <v>40.383333333302289</v>
      </c>
      <c r="O134" s="7"/>
      <c r="P134" s="7"/>
      <c r="Q134" s="23"/>
      <c r="R134" s="23"/>
      <c r="S134" s="35">
        <f t="shared" si="29"/>
        <v>1</v>
      </c>
      <c r="T134" s="50" t="str">
        <f t="shared" si="30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18:54:00-700',mode:absolute,to:'2016-12-26 21:37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4" s="52" t="str">
        <f t="shared" si="32"/>
        <v>N</v>
      </c>
      <c r="X134" s="177">
        <f t="shared" si="44"/>
        <v>1</v>
      </c>
      <c r="Y134" s="67">
        <f t="shared" si="33"/>
        <v>23.295999999999999</v>
      </c>
      <c r="Z134" s="67">
        <f t="shared" si="34"/>
        <v>1.5800000000000002E-2</v>
      </c>
      <c r="AA134" s="67">
        <f t="shared" si="35"/>
        <v>23.280200000000001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36"/>
        <v>0222-26</v>
      </c>
      <c r="AE134" s="91" t="str">
        <f t="shared" si="37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134" s="88" t="str">
        <f t="shared" si="38"/>
        <v>"C:\Program Files (x86)\AstroGrep\AstroGrep.exe" /spath="%USERPROFILE%\AppData\Local\Temp\OnboardLogs" /stypes="app*4043*20161227*" /stext=" 03:.+((SYSTEM_STATE.+slice.+state.+changed )|(ment ac)|(multiple cpu faults)|(system.+state.+changed )|(\[timeout)|(PRM\|1\|D)|(kpr)|(kdp)|(\|lc)|(penalty))" /e /r /s</v>
      </c>
      <c r="AG134" s="1" t="str">
        <f t="shared" si="39"/>
        <v>EC</v>
      </c>
      <c r="AH134" s="92" t="str">
        <f t="shared" si="24"/>
        <v>"%USERPROFILE%\Documents\GitHub\eaglep3\Utilities\RefineRTDCRunTimes.py" --tripid 222-26 --locoid 4043 --swversion DE.1.0.8.0 --startMP 204:232960 --initTime 2016-12-26T19:54:00 --startdatetime 2016-12-26T19:57:00 --delay 1 --endMP 204:158 --enddatetime 2016-12-26T20:37:23 --enforcementcount 0 &gt;&gt;C:\Users\stu\Documents\GitHub\eaglep3-reporting\EC\2016-12-26-refined-times.txt</v>
      </c>
      <c r="AI134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{"issue":{"subject":"","project_id":79,"tracker_id":40,"status_id":1,"priority_id":2,"assigned_to_id":23,"start_date":"2016-12-26","description":"","custom_fields":[{"id":1,"name":"Subdivision","value":"EC"},{"id":4,"name":"Milepost","value":"0.0158"},{"id":17,"name":"Train ID","value":"222-26"},{"id":16,"name":"Locomotive ID","value":"4043"},{"id":130,"name":"Impact","value":""},{"id":150,"name":"Time of Event (Mountain Time)","value":"20:37:23"},{"id":151,"name":"Denver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s="21" customFormat="1" x14ac:dyDescent="0.25">
      <c r="A135" s="37" t="s">
        <v>619</v>
      </c>
      <c r="B135" s="7">
        <v>4031</v>
      </c>
      <c r="C135" s="22" t="s">
        <v>205</v>
      </c>
      <c r="D135" s="22" t="s">
        <v>674</v>
      </c>
      <c r="E135" s="13">
        <v>42730.810902777775</v>
      </c>
      <c r="F135" s="13">
        <v>42730.813171296293</v>
      </c>
      <c r="G135" s="7">
        <v>2</v>
      </c>
      <c r="H135" s="22" t="s">
        <v>402</v>
      </c>
      <c r="I135" s="13">
        <v>42730.83866898148</v>
      </c>
      <c r="J135" s="7">
        <v>0</v>
      </c>
      <c r="K135" s="109" t="str">
        <f t="shared" si="26"/>
        <v>4031/4032</v>
      </c>
      <c r="L135" s="22" t="str">
        <f>VLOOKUP(A135,'Trips&amp;Operators'!$C$1:$G$99999,5,FALSE)</f>
        <v>BADERTSCHER DIANE</v>
      </c>
      <c r="M135" s="6">
        <f t="shared" si="27"/>
        <v>2.5497685186564922E-2</v>
      </c>
      <c r="N135" s="7">
        <f t="shared" si="42"/>
        <v>36.716666668653488</v>
      </c>
      <c r="O135" s="7"/>
      <c r="P135" s="7"/>
      <c r="Q135" s="23"/>
      <c r="R135" s="23"/>
      <c r="S135" s="35">
        <f t="shared" si="29"/>
        <v>1</v>
      </c>
      <c r="T135" s="50" t="str">
        <f t="shared" si="30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18:27:42-700',mode:absolute,to:'2016-12-26 21:07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5" s="52" t="str">
        <f t="shared" si="32"/>
        <v>N</v>
      </c>
      <c r="X135" s="177">
        <f t="shared" si="44"/>
        <v>1</v>
      </c>
      <c r="Y135" s="67">
        <f t="shared" si="33"/>
        <v>4.6899999999999997E-2</v>
      </c>
      <c r="Z135" s="67">
        <f t="shared" si="34"/>
        <v>23.330200000000001</v>
      </c>
      <c r="AA135" s="67">
        <f t="shared" si="35"/>
        <v>23.283300000000001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36"/>
        <v>0223-26</v>
      </c>
      <c r="AE135" s="91" t="str">
        <f t="shared" si="37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135" s="88" t="str">
        <f t="shared" si="38"/>
        <v>"C:\Program Files (x86)\AstroGrep\AstroGrep.exe" /spath="%USERPROFILE%\AppData\Local\Temp\OnboardLogs" /stypes="app*4031*20161227*" /stext=" 03:.+((SYSTEM_STATE.+slice.+state.+changed )|(ment ac)|(multiple cpu faults)|(system.+state.+changed )|(\[timeout)|(PRM\|1\|D)|(kpr)|(kdp)|(\|lc)|(penalty))" /e /r /s</v>
      </c>
      <c r="AG135" s="1" t="str">
        <f t="shared" si="39"/>
        <v>EC</v>
      </c>
      <c r="AH135" s="92" t="str">
        <f t="shared" si="24"/>
        <v>"%USERPROFILE%\Documents\GitHub\eaglep3\Utilities\RefineRTDCRunTimes.py" --tripid 223-26 --locoid 4031 --swversion DE.1.0.8.0 --startMP 204:469 --initTime 2016-12-26T19:27:42 --startdatetime 2016-12-26T19:30:58 --delay 2 --endMP 204:233302 --enddatetime 2016-12-26T20:07:41 --enforcementcount 0 &gt;&gt;C:\Users\stu\Documents\GitHub\eaglep3-reporting\EC\2016-12-26-refined-times.txt</v>
      </c>
      <c r="AI135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{"issue":{"subject":"","project_id":79,"tracker_id":40,"status_id":1,"priority_id":2,"assigned_to_id":23,"start_date":"2016-12-26","description":"","custom_fields":[{"id":1,"name":"Subdivision","value":"EC"},{"id":4,"name":"Milepost","value":"23.3302"},{"id":17,"name":"Train ID","value":"223-26"},{"id":16,"name":"Locomotive ID","value":"4031"},{"id":130,"name":"Impact","value":""},{"id":150,"name":"Time of Event (Mountain Time)","value":"20:07:41"},{"id":151,"name":"Denver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7" t="s">
        <v>625</v>
      </c>
      <c r="B136" s="7">
        <v>4032</v>
      </c>
      <c r="C136" s="22" t="s">
        <v>205</v>
      </c>
      <c r="D136" s="22" t="s">
        <v>398</v>
      </c>
      <c r="E136" s="13">
        <v>42730.841597222221</v>
      </c>
      <c r="F136" s="13">
        <v>42730.8516087963</v>
      </c>
      <c r="G136" s="7">
        <v>1</v>
      </c>
      <c r="H136" s="22" t="s">
        <v>261</v>
      </c>
      <c r="I136" s="13">
        <v>42730.879791666666</v>
      </c>
      <c r="J136" s="7">
        <v>0</v>
      </c>
      <c r="K136" s="109" t="str">
        <f t="shared" si="26"/>
        <v>4031/4032</v>
      </c>
      <c r="L136" s="22" t="str">
        <f>VLOOKUP(A136,'Trips&amp;Operators'!$C$1:$G$99999,5,FALSE)</f>
        <v>BADERTSCHER DIANE</v>
      </c>
      <c r="M136" s="6">
        <f t="shared" si="27"/>
        <v>2.8182870366435964E-2</v>
      </c>
      <c r="N136" s="7">
        <f t="shared" si="42"/>
        <v>40.583333327667788</v>
      </c>
      <c r="O136" s="7"/>
      <c r="P136" s="7"/>
      <c r="Q136" s="23"/>
      <c r="R136" s="23"/>
      <c r="S136" s="35">
        <f t="shared" si="29"/>
        <v>1</v>
      </c>
      <c r="T136" s="50" t="str">
        <f t="shared" si="30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19:11:54-700',mode:absolute,to:'2016-12-26 22:06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6" s="52" t="str">
        <f t="shared" si="32"/>
        <v>N</v>
      </c>
      <c r="X136" s="177">
        <f t="shared" si="44"/>
        <v>1</v>
      </c>
      <c r="Y136" s="67">
        <f t="shared" si="33"/>
        <v>23.2989</v>
      </c>
      <c r="Z136" s="67">
        <f t="shared" si="34"/>
        <v>1.3899999999999999E-2</v>
      </c>
      <c r="AA136" s="67">
        <f t="shared" si="35"/>
        <v>23.285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36"/>
        <v>0224-26</v>
      </c>
      <c r="AE136" s="91" t="str">
        <f t="shared" si="37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136" s="88" t="str">
        <f t="shared" si="38"/>
        <v>"C:\Program Files (x86)\AstroGrep\AstroGrep.exe" /spath="%USERPROFILE%\AppData\Local\Temp\OnboardLogs" /stypes="app*4032*20161227*" /stext=" 04:.+((SYSTEM_STATE.+slice.+state.+changed )|(ment ac)|(multiple cpu faults)|(system.+state.+changed )|(\[timeout)|(PRM\|1\|D)|(kpr)|(kdp)|(\|lc)|(penalty))" /e /r /s</v>
      </c>
      <c r="AG136" s="1" t="str">
        <f t="shared" si="39"/>
        <v>EC</v>
      </c>
      <c r="AH136" s="92" t="str">
        <f t="shared" si="24"/>
        <v>"%USERPROFILE%\Documents\GitHub\eaglep3\Utilities\RefineRTDCRunTimes.py" --tripid 224-26 --locoid 4032 --swversion DE.1.0.8.0 --startMP 204:232989 --initTime 2016-12-26T20:11:54 --startdatetime 2016-12-26T20:26:19 --delay 1 --endMP 204:139 --enddatetime 2016-12-26T21:06:54 --enforcementcount 0 &gt;&gt;C:\Users\stu\Documents\GitHub\eaglep3-reporting\EC\2016-12-26-refined-times.txt</v>
      </c>
      <c r="AI136" s="119" t="str">
        <f t="shared" si="25"/>
        <v>echo {"issue":{"subject":"","project_id":79,"tracker_id":40,"status_id":1,"priority_id":2,"assigned_to_id":23,"start_date":"2016-12-26","description":"","custom_fields":[{"id":1,"name":"Subdivision","value":"EC"},{"id":4,"name":"Milepost","value":"0.0139"},{"id":17,"name":"Train ID","value":"224-26"},{"id":16,"name":"Locomotive ID","value":"4032"},{"id":130,"name":"Impact","value":""},{"id":150,"name":"Time of Event (Mountain Time)","value":"21:06:54"},{"id":151,"name":"Denver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447</v>
      </c>
      <c r="B137" s="7">
        <v>4025</v>
      </c>
      <c r="C137" s="22" t="s">
        <v>205</v>
      </c>
      <c r="D137" s="22" t="s">
        <v>278</v>
      </c>
      <c r="E137" s="13">
        <v>42730.830335648148</v>
      </c>
      <c r="F137" s="13">
        <v>42730.833668981482</v>
      </c>
      <c r="G137" s="7">
        <v>1</v>
      </c>
      <c r="H137" s="22" t="s">
        <v>696</v>
      </c>
      <c r="I137" s="13">
        <v>42730.857986111114</v>
      </c>
      <c r="J137" s="7">
        <v>0</v>
      </c>
      <c r="K137" s="109" t="str">
        <f t="shared" si="26"/>
        <v>4025/4026</v>
      </c>
      <c r="L137" s="22" t="str">
        <f>VLOOKUP(A137,'Trips&amp;Operators'!$C$1:$G$99999,5,FALSE)</f>
        <v>STAMBAUGH JAMES</v>
      </c>
      <c r="M137" s="6">
        <f t="shared" si="27"/>
        <v>2.4317129631526768E-2</v>
      </c>
      <c r="N137" s="7">
        <f t="shared" si="42"/>
        <v>35.016666669398546</v>
      </c>
      <c r="O137" s="7"/>
      <c r="P137" s="7"/>
      <c r="Q137" s="23"/>
      <c r="R137" s="23"/>
      <c r="S137" s="35">
        <f t="shared" si="29"/>
        <v>1</v>
      </c>
      <c r="T137" s="50" t="str">
        <f t="shared" si="30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18:55:41-700',mode:absolute,to:'2016-12-26 21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7" s="52" t="str">
        <f t="shared" si="32"/>
        <v>N</v>
      </c>
      <c r="X137" s="177">
        <f t="shared" si="44"/>
        <v>1</v>
      </c>
      <c r="Y137" s="67">
        <f t="shared" si="33"/>
        <v>4.3999999999999997E-2</v>
      </c>
      <c r="Z137" s="67">
        <f t="shared" si="34"/>
        <v>23.339300000000001</v>
      </c>
      <c r="AA137" s="67">
        <f t="shared" si="35"/>
        <v>23.295300000000001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36"/>
        <v>0225-26</v>
      </c>
      <c r="AE137" s="91" t="str">
        <f t="shared" si="37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137" s="88" t="str">
        <f t="shared" si="38"/>
        <v>"C:\Program Files (x86)\AstroGrep\AstroGrep.exe" /spath="%USERPROFILE%\AppData\Local\Temp\OnboardLogs" /stypes="app*4025*20161227*" /stext=" 03:.+((SYSTEM_STATE.+slice.+state.+changed )|(ment ac)|(multiple cpu faults)|(system.+state.+changed )|(\[timeout)|(PRM\|1\|D)|(kpr)|(kdp)|(\|lc)|(penalty))" /e /r /s</v>
      </c>
      <c r="AG137" s="1" t="str">
        <f t="shared" si="39"/>
        <v>EC</v>
      </c>
      <c r="AH137" s="92" t="str">
        <f t="shared" ref="AH137:AH200" si="45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225-26 --locoid 4025 --swversion DE.1.0.8.0 --startMP 204:440 --initTime 2016-12-26T19:55:41 --startdatetime 2016-12-26T20:00:29 --delay 1 --endMP 204:233393 --enddatetime 2016-12-26T20:35:30 --enforcementcount 0 &gt;&gt;C:\Users\stu\Documents\GitHub\eaglep3-reporting\EC\2016-12-26-refined-times.txt</v>
      </c>
      <c r="AI137" s="119" t="str">
        <f t="shared" ref="AI137:AI200" si="46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{"issue":{"subject":"","project_id":79,"tracker_id":40,"status_id":1,"priority_id":2,"assigned_to_id":23,"start_date":"2016-12-26","description":"","custom_fields":[{"id":1,"name":"Subdivision","value":"EC"},{"id":4,"name":"Milepost","value":"23.3393"},{"id":17,"name":"Train ID","value":"225-26"},{"id":16,"name":"Locomotive ID","value":"4025"},{"id":130,"name":"Impact","value":""},{"id":150,"name":"Time of Event (Mountain Time)","value":"20:35:30"},{"id":151,"name":"Denver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627</v>
      </c>
      <c r="B138" s="7">
        <v>4026</v>
      </c>
      <c r="C138" s="22" t="s">
        <v>205</v>
      </c>
      <c r="D138" s="22" t="s">
        <v>697</v>
      </c>
      <c r="E138" s="13">
        <v>42730.862986111111</v>
      </c>
      <c r="F138" s="13">
        <v>42730.872731481482</v>
      </c>
      <c r="G138" s="7">
        <v>1</v>
      </c>
      <c r="H138" s="22" t="s">
        <v>394</v>
      </c>
      <c r="I138" s="13">
        <v>42730.899085648147</v>
      </c>
      <c r="J138" s="7">
        <v>0</v>
      </c>
      <c r="K138" s="109" t="str">
        <f t="shared" si="26"/>
        <v>4025/4026</v>
      </c>
      <c r="L138" s="22" t="str">
        <f>VLOOKUP(A138,'Trips&amp;Operators'!$C$1:$G$99999,5,FALSE)</f>
        <v>STAMBAUGH JAMES</v>
      </c>
      <c r="M138" s="6">
        <f t="shared" si="27"/>
        <v>2.6354166664532386E-2</v>
      </c>
      <c r="N138" s="7">
        <f t="shared" si="42"/>
        <v>37.949999996926636</v>
      </c>
      <c r="O138" s="7"/>
      <c r="P138" s="7"/>
      <c r="Q138" s="23"/>
      <c r="R138" s="23"/>
      <c r="S138" s="35">
        <f t="shared" si="29"/>
        <v>1</v>
      </c>
      <c r="T138" s="50" t="str">
        <f t="shared" si="30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19:42:42-700',mode:absolute,to:'2016-12-26 22:34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8" s="52" t="str">
        <f t="shared" si="32"/>
        <v>N</v>
      </c>
      <c r="X138" s="177">
        <f t="shared" si="44"/>
        <v>1</v>
      </c>
      <c r="Y138" s="67">
        <f t="shared" si="33"/>
        <v>23.307400000000001</v>
      </c>
      <c r="Z138" s="67">
        <f t="shared" si="34"/>
        <v>1.2999999999999999E-2</v>
      </c>
      <c r="AA138" s="67">
        <f t="shared" si="35"/>
        <v>23.2944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6"/>
        <v>0226-26</v>
      </c>
      <c r="AE138" s="91" t="str">
        <f t="shared" si="37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138" s="88" t="str">
        <f t="shared" si="38"/>
        <v>"C:\Program Files (x86)\AstroGrep\AstroGrep.exe" /spath="%USERPROFILE%\AppData\Local\Temp\OnboardLogs" /stypes="app*4026*20161227*" /stext=" 04:.+((SYSTEM_STATE.+slice.+state.+changed )|(ment ac)|(multiple cpu faults)|(system.+state.+changed )|(\[timeout)|(PRM\|1\|D)|(kpr)|(kdp)|(\|lc)|(penalty))" /e /r /s</v>
      </c>
      <c r="AG138" s="1" t="str">
        <f t="shared" si="39"/>
        <v>EC</v>
      </c>
      <c r="AH138" s="92" t="str">
        <f t="shared" si="45"/>
        <v>"%USERPROFILE%\Documents\GitHub\eaglep3\Utilities\RefineRTDCRunTimes.py" --tripid 226-26 --locoid 4026 --swversion DE.1.0.8.0 --startMP 204:233074 --initTime 2016-12-26T20:42:42 --startdatetime 2016-12-26T20:56:44 --delay 1 --endMP 204:130 --enddatetime 2016-12-26T21:34:41 --enforcementcount 0 &gt;&gt;C:\Users\stu\Documents\GitHub\eaglep3-reporting\EC\2016-12-26-refined-times.txt</v>
      </c>
      <c r="AI138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{"issue":{"subject":"","project_id":79,"tracker_id":40,"status_id":1,"priority_id":2,"assigned_to_id":23,"start_date":"2016-12-26","description":"","custom_fields":[{"id":1,"name":"Subdivision","value":"EC"},{"id":4,"name":"Milepost","value":"0.013"},{"id":17,"name":"Train ID","value":"226-26"},{"id":16,"name":"Locomotive ID","value":"4026"},{"id":130,"name":"Impact","value":""},{"id":150,"name":"Time of Event (Mountain Time)","value":"21:34:41"},{"id":151,"name":"Denver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626</v>
      </c>
      <c r="B139" s="7">
        <v>4046</v>
      </c>
      <c r="C139" s="22" t="s">
        <v>205</v>
      </c>
      <c r="D139" s="22" t="s">
        <v>268</v>
      </c>
      <c r="E139" s="13">
        <v>42730.849351851852</v>
      </c>
      <c r="F139" s="13">
        <v>42730.85460648148</v>
      </c>
      <c r="G139" s="7">
        <v>1</v>
      </c>
      <c r="H139" s="22" t="s">
        <v>335</v>
      </c>
      <c r="I139" s="13">
        <v>42730.880358796298</v>
      </c>
      <c r="J139" s="7">
        <v>0</v>
      </c>
      <c r="K139" s="109" t="str">
        <f t="shared" si="26"/>
        <v>4045/4046</v>
      </c>
      <c r="L139" s="22" t="str">
        <f>VLOOKUP(A139,'Trips&amp;Operators'!$C$1:$G$99999,5,FALSE)</f>
        <v>SIMONEAUX TERA</v>
      </c>
      <c r="M139" s="6">
        <f t="shared" si="27"/>
        <v>2.5752314817509614E-2</v>
      </c>
      <c r="N139" s="7">
        <f t="shared" si="42"/>
        <v>37.083333337213844</v>
      </c>
      <c r="O139" s="7"/>
      <c r="P139" s="7"/>
      <c r="Q139" s="23"/>
      <c r="R139" s="23"/>
      <c r="S139" s="35">
        <f t="shared" si="29"/>
        <v>1</v>
      </c>
      <c r="T139" s="50" t="str">
        <f t="shared" si="30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19:23:04-700',mode:absolute,to:'2016-12-26 22:07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9" s="52" t="str">
        <f t="shared" si="32"/>
        <v>N</v>
      </c>
      <c r="X139" s="177">
        <f t="shared" si="44"/>
        <v>1</v>
      </c>
      <c r="Y139" s="67">
        <f t="shared" si="33"/>
        <v>4.6199999999999998E-2</v>
      </c>
      <c r="Z139" s="67">
        <f t="shared" si="34"/>
        <v>23.330400000000001</v>
      </c>
      <c r="AA139" s="67">
        <f t="shared" si="35"/>
        <v>23.284200000000002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6"/>
        <v>0227-26</v>
      </c>
      <c r="AE139" s="91" t="str">
        <f t="shared" si="37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139" s="88" t="str">
        <f t="shared" si="38"/>
        <v>"C:\Program Files (x86)\AstroGrep\AstroGrep.exe" /spath="%USERPROFILE%\AppData\Local\Temp\OnboardLogs" /stypes="app*4046*20161227*" /stext=" 04:.+((SYSTEM_STATE.+slice.+state.+changed )|(ment ac)|(multiple cpu faults)|(system.+state.+changed )|(\[timeout)|(PRM\|1\|D)|(kpr)|(kdp)|(\|lc)|(penalty))" /e /r /s</v>
      </c>
      <c r="AG139" s="1" t="str">
        <f t="shared" si="39"/>
        <v>EC</v>
      </c>
      <c r="AH139" s="92" t="str">
        <f t="shared" si="45"/>
        <v>"%USERPROFILE%\Documents\GitHub\eaglep3\Utilities\RefineRTDCRunTimes.py" --tripid 227-26 --locoid 4046 --swversion DE.1.0.8.0 --startMP 204:462 --initTime 2016-12-26T20:23:04 --startdatetime 2016-12-26T20:30:38 --delay 1 --endMP 204:233304 --enddatetime 2016-12-26T21:07:43 --enforcementcount 0 &gt;&gt;C:\Users\stu\Documents\GitHub\eaglep3-reporting\EC\2016-12-26-refined-times.txt</v>
      </c>
      <c r="AI139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{"issue":{"subject":"","project_id":79,"tracker_id":40,"status_id":1,"priority_id":2,"assigned_to_id":23,"start_date":"2016-12-26","description":"","custom_fields":[{"id":1,"name":"Subdivision","value":"EC"},{"id":4,"name":"Milepost","value":"23.3304"},{"id":17,"name":"Train ID","value":"227-26"},{"id":16,"name":"Locomotive ID","value":"4046"},{"id":130,"name":"Impact","value":""},{"id":150,"name":"Time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630</v>
      </c>
      <c r="B140" s="7">
        <v>4045</v>
      </c>
      <c r="C140" s="22" t="s">
        <v>205</v>
      </c>
      <c r="D140" s="22" t="s">
        <v>398</v>
      </c>
      <c r="E140" s="13">
        <v>42730.888865740744</v>
      </c>
      <c r="F140" s="13">
        <v>42730.892743055556</v>
      </c>
      <c r="G140" s="7">
        <v>1</v>
      </c>
      <c r="H140" s="22" t="s">
        <v>394</v>
      </c>
      <c r="I140" s="13">
        <v>42730.922777777778</v>
      </c>
      <c r="J140" s="7">
        <v>0</v>
      </c>
      <c r="K140" s="109" t="str">
        <f t="shared" si="26"/>
        <v>4045/4046</v>
      </c>
      <c r="L140" s="22" t="str">
        <f>VLOOKUP(A140,'Trips&amp;Operators'!$C$1:$G$99999,5,FALSE)</f>
        <v>SIMONEAUX TERA</v>
      </c>
      <c r="M140" s="6">
        <f t="shared" si="27"/>
        <v>3.0034722221898846E-2</v>
      </c>
      <c r="N140" s="7">
        <f t="shared" si="42"/>
        <v>43.249999999534339</v>
      </c>
      <c r="O140" s="7"/>
      <c r="P140" s="7"/>
      <c r="Q140" s="23"/>
      <c r="R140" s="23"/>
      <c r="S140" s="35">
        <f t="shared" si="29"/>
        <v>1</v>
      </c>
      <c r="T140" s="50" t="str">
        <f t="shared" si="30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https://search-rtdc-monitor-bjffxe2xuh6vdkpspy63sjmuny.us-east-1.es.amazonaws.com/_plugin/kibana/#/discover/Steve-Slow-Train-Analysis-(2080s-and-2083s)?_g=(refreshInterval:(display:Off,section:0,value:0),time:(from:'2016-12-26 20:19:58-700',mode:absolute,to:'2016-12-26 23:08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0" s="52" t="str">
        <f t="shared" si="32"/>
        <v>N</v>
      </c>
      <c r="X140" s="177">
        <f t="shared" si="44"/>
        <v>1</v>
      </c>
      <c r="Y140" s="67">
        <f t="shared" si="33"/>
        <v>23.2989</v>
      </c>
      <c r="Z140" s="67">
        <f t="shared" si="34"/>
        <v>1.2999999999999999E-2</v>
      </c>
      <c r="AA140" s="67">
        <f t="shared" si="35"/>
        <v>23.285899999999998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36"/>
        <v>0228-26</v>
      </c>
      <c r="AE140" s="91" t="str">
        <f t="shared" si="37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140" s="88" t="str">
        <f t="shared" si="38"/>
        <v>"C:\Program Files (x86)\AstroGrep\AstroGrep.exe" /spath="%USERPROFILE%\AppData\Local\Temp\OnboardLogs" /stypes="app*4045*20161227*" /stext=" 05:.+((SYSTEM_STATE.+slice.+state.+changed )|(ment ac)|(multiple cpu faults)|(system.+state.+changed )|(\[timeout)|(PRM\|1\|D)|(kpr)|(kdp)|(\|lc)|(penalty))" /e /r /s</v>
      </c>
      <c r="AG140" s="1" t="str">
        <f t="shared" si="39"/>
        <v>EC</v>
      </c>
      <c r="AH140" s="92" t="str">
        <f t="shared" si="45"/>
        <v>"%USERPROFILE%\Documents\GitHub\eaglep3\Utilities\RefineRTDCRunTimes.py" --tripid 228-26 --locoid 4045 --swversion DE.1.0.8.0 --startMP 204:232989 --initTime 2016-12-26T21:19:58 --startdatetime 2016-12-26T21:25:33 --delay 1 --endMP 204:130 --enddatetime 2016-12-26T22:08:48 --enforcementcount 0 &gt;&gt;C:\Users\stu\Documents\GitHub\eaglep3-reporting\EC\2016-12-26-refined-times.txt</v>
      </c>
      <c r="AI140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{"issue":{"subject":"","project_id":79,"tracker_id":40,"status_id":1,"priority_id":2,"assigned_to_id":23,"start_date":"2016-12-26","description":"","custom_fields":[{"id":1,"name":"Subdivision","value":"EC"},{"id":4,"name":"Milepost","value":"0.013"},{"id":17,"name":"Train ID","value":"228-26"},{"id":16,"name":"Locomotive ID","value":"4045"},{"id":130,"name":"Impact","value":""},{"id":150,"name":"Time of Event (Mountain Time)","value":"22:08:48"},{"id":151,"name":"Denver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449</v>
      </c>
      <c r="B141" s="7">
        <v>4044</v>
      </c>
      <c r="C141" s="22" t="s">
        <v>205</v>
      </c>
      <c r="D141" s="22" t="s">
        <v>194</v>
      </c>
      <c r="E141" s="13">
        <v>42730.872488425928</v>
      </c>
      <c r="F141" s="13">
        <v>42730.875358796293</v>
      </c>
      <c r="G141" s="7">
        <v>1</v>
      </c>
      <c r="H141" s="22" t="s">
        <v>698</v>
      </c>
      <c r="I141" s="13">
        <v>42730.900682870371</v>
      </c>
      <c r="J141" s="7">
        <v>0</v>
      </c>
      <c r="K141" s="109" t="str">
        <f t="shared" ref="K141:K204" si="47">IF(ISEVEN(B141),(B141-1)&amp;"/"&amp;B141,B141&amp;"/"&amp;(B141+1))</f>
        <v>4043/4044</v>
      </c>
      <c r="L141" s="22" t="str">
        <f>VLOOKUP(A141,'Trips&amp;Operators'!$C$1:$G$99999,5,FALSE)</f>
        <v>CHANDLER KELVIN</v>
      </c>
      <c r="M141" s="6">
        <f t="shared" ref="M141:M204" si="48">I141-F141</f>
        <v>2.5324074078525882E-2</v>
      </c>
      <c r="N141" s="7">
        <f t="shared" si="42"/>
        <v>36.46666667307727</v>
      </c>
      <c r="O141" s="7"/>
      <c r="P141" s="7"/>
      <c r="Q141" s="23"/>
      <c r="R141" s="23"/>
      <c r="S141" s="35">
        <f t="shared" ref="S141:S204" si="49">SUM(U141:U141)/IF(AG141="EC",12,1)</f>
        <v>1</v>
      </c>
      <c r="T141" s="50" t="str">
        <f t="shared" ref="T141:T204" si="50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https://search-rtdc-monitor-bjffxe2xuh6vdkpspy63sjmuny.us-east-1.es.amazonaws.com/_plugin/kibana/#/discover/Steve-Slow-Train-Analysis-(2080s-and-2083s)?_g=(refreshInterval:(display:Off,section:0,value:0),time:(from:'2016-12-26 19:56:23-700',mode:absolute,to:'2016-12-26 22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1" s="52" t="str">
        <f t="shared" ref="W141:W204" si="52">IF(AA141&lt;IF(AG141="EC",23,5.65),"Y","N")</f>
        <v>N</v>
      </c>
      <c r="X141" s="177">
        <f t="shared" si="44"/>
        <v>1</v>
      </c>
      <c r="Y141" s="67">
        <f t="shared" ref="Y141:Y204" si="53">RIGHT(D141,LEN(D141)-4)/10000</f>
        <v>4.5100000000000001E-2</v>
      </c>
      <c r="Z141" s="67">
        <f t="shared" ref="Z141:Z204" si="54">RIGHT(H141,LEN(H141)-4)/10000</f>
        <v>23.3278</v>
      </c>
      <c r="AA141" s="67">
        <f t="shared" ref="AA141:AA204" si="55">ABS(Z141-Y141)</f>
        <v>23.282699999999998</v>
      </c>
      <c r="AB141" s="64" t="str">
        <f>VLOOKUP(A141,Enforcements!$C$7:$K$19,8,0)</f>
        <v>Speed (6)</v>
      </c>
      <c r="AC141" s="60" t="str">
        <f>VLOOKUP(A141,Enforcements!$C$7:$E$19,3,0)</f>
        <v>PERMANENT SPEED RESTRICTION</v>
      </c>
      <c r="AD141" s="61" t="str">
        <f t="shared" ref="AD141:AD204" si="56">IF(LEN(A141)=6,"0"&amp;A141,A141)</f>
        <v>0229-26</v>
      </c>
      <c r="AE141" s="91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141" s="88" t="str">
        <f t="shared" ref="AF141:AF204" si="5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/stypes="app*4044*20161227*" /stext=" 04:.+((SYSTEM_STATE.+slice.+state.+changed )|(ment ac)|(multiple cpu faults)|(system.+state.+changed )|(\[timeout)|(PRM\|1\|D)|(kpr)|(kdp)|(\|lc)|(penalty))" /e /r /s</v>
      </c>
      <c r="AG141" s="1" t="str">
        <f t="shared" ref="AG141:AG204" si="59">IFERROR(IF(VALUE(LEFT(AD141,2))&lt;=2,"EC",IF(OR(VALUE(LEFT(AD141,2))=8,VALUE(LEFT(AD141,2))=18),"NW","Other")),"Other")</f>
        <v>EC</v>
      </c>
      <c r="AH141" s="92" t="str">
        <f t="shared" si="45"/>
        <v>"%USERPROFILE%\Documents\GitHub\eaglep3\Utilities\RefineRTDCRunTimes.py" --tripid 229-26 --locoid 4044 --swversion DE.1.0.8.0 --startMP 204:451 --initTime 2016-12-26T20:56:23 --startdatetime 2016-12-26T21:00:31 --delay 1 --endMP 204:233278 --enddatetime 2016-12-26T21:36:59 --enforcementcount 0 &gt;&gt;C:\Users\stu\Documents\GitHub\eaglep3-reporting\EC\2016-12-26-refined-times.txt</v>
      </c>
      <c r="AI141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{"issue":{"subject":"","project_id":79,"tracker_id":40,"status_id":1,"priority_id":2,"assigned_to_id":23,"start_date":"2016-12-26","description":"","custom_fields":[{"id":1,"name":"Subdivision","value":"EC"},{"id":4,"name":"Milepost","value":"23.3278"},{"id":17,"name":"Train ID","value":"229-26"},{"id":16,"name":"Locomotive ID","value":"4044"},{"id":130,"name":"Impact","value":""},{"id":150,"name":"Time of Event (Mountain Time)","value":"21:36:59"},{"id":151,"name":"Denver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633</v>
      </c>
      <c r="B142" s="7">
        <v>4043</v>
      </c>
      <c r="C142" s="22" t="s">
        <v>205</v>
      </c>
      <c r="D142" s="22" t="s">
        <v>372</v>
      </c>
      <c r="E142" s="13">
        <v>42730.91165509259</v>
      </c>
      <c r="F142" s="13">
        <v>42730.914166666669</v>
      </c>
      <c r="G142" s="7">
        <v>1</v>
      </c>
      <c r="H142" s="22" t="s">
        <v>243</v>
      </c>
      <c r="I142" s="13">
        <v>42730.942731481482</v>
      </c>
      <c r="J142" s="7">
        <v>0</v>
      </c>
      <c r="K142" s="109" t="str">
        <f t="shared" si="47"/>
        <v>4043/4044</v>
      </c>
      <c r="L142" s="22" t="str">
        <f>VLOOKUP(A142,'Trips&amp;Operators'!$C$1:$G$99999,5,FALSE)</f>
        <v>CHANDLER KELVIN</v>
      </c>
      <c r="M142" s="6">
        <f t="shared" si="48"/>
        <v>2.8564814812853001E-2</v>
      </c>
      <c r="N142" s="7">
        <f t="shared" si="42"/>
        <v>41.133333330508322</v>
      </c>
      <c r="O142" s="7"/>
      <c r="P142" s="7"/>
      <c r="Q142" s="23"/>
      <c r="R142" s="23"/>
      <c r="S142" s="35">
        <f t="shared" si="49"/>
        <v>1</v>
      </c>
      <c r="T142" s="50" t="str">
        <f t="shared" si="5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20:52:47-700',mode:absolute,to:'2016-12-26 23:37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2" s="52" t="str">
        <f t="shared" si="52"/>
        <v>N</v>
      </c>
      <c r="X142" s="177">
        <f t="shared" si="44"/>
        <v>1</v>
      </c>
      <c r="Y142" s="67">
        <f t="shared" si="53"/>
        <v>23.297599999999999</v>
      </c>
      <c r="Z142" s="67">
        <f t="shared" si="54"/>
        <v>1.6299999999999999E-2</v>
      </c>
      <c r="AA142" s="67">
        <f t="shared" si="55"/>
        <v>23.281299999999998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56"/>
        <v>0230-26</v>
      </c>
      <c r="AE142" s="91" t="str">
        <f t="shared" si="57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142" s="88" t="str">
        <f t="shared" si="58"/>
        <v>"C:\Program Files (x86)\AstroGrep\AstroGrep.exe" /spath="%USERPROFILE%\AppData\Local\Temp\OnboardLogs" /stypes="app*4043*20161227*" /stext=" 05:.+((SYSTEM_STATE.+slice.+state.+changed )|(ment ac)|(multiple cpu faults)|(system.+state.+changed )|(\[timeout)|(PRM\|1\|D)|(kpr)|(kdp)|(\|lc)|(penalty))" /e /r /s</v>
      </c>
      <c r="AG142" s="1" t="str">
        <f t="shared" si="59"/>
        <v>EC</v>
      </c>
      <c r="AH142" s="92" t="str">
        <f t="shared" si="45"/>
        <v>"%USERPROFILE%\Documents\GitHub\eaglep3\Utilities\RefineRTDCRunTimes.py" --tripid 230-26 --locoid 4043 --swversion DE.1.0.8.0 --startMP 204:232976 --initTime 2016-12-26T21:52:47 --startdatetime 2016-12-26T21:56:24 --delay 1 --endMP 204:163 --enddatetime 2016-12-26T22:37:32 --enforcementcount 0 &gt;&gt;C:\Users\stu\Documents\GitHub\eaglep3-reporting\EC\2016-12-26-refined-times.txt</v>
      </c>
      <c r="AI142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{"issue":{"subject":"","project_id":79,"tracker_id":40,"status_id":1,"priority_id":2,"assigned_to_id":23,"start_date":"2016-12-26","description":"","custom_fields":[{"id":1,"name":"Subdivision","value":"EC"},{"id":4,"name":"Milepost","value":"0.0163"},{"id":17,"name":"Train ID","value":"230-26"},{"id":16,"name":"Locomotive ID","value":"4043"},{"id":130,"name":"Impact","value":""},{"id":150,"name":"Time of Event (Mountain Time)","value":"22:37:32"},{"id":151,"name":"Denver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629</v>
      </c>
      <c r="B143" s="7">
        <v>4031</v>
      </c>
      <c r="C143" s="22" t="s">
        <v>205</v>
      </c>
      <c r="D143" s="22" t="s">
        <v>254</v>
      </c>
      <c r="E143" s="13">
        <v>42730.884189814817</v>
      </c>
      <c r="F143" s="13">
        <v>42730.896516203706</v>
      </c>
      <c r="G143" s="7">
        <v>1</v>
      </c>
      <c r="H143" s="22" t="s">
        <v>680</v>
      </c>
      <c r="I143" s="13">
        <v>42730.921261574076</v>
      </c>
      <c r="J143" s="7">
        <v>0</v>
      </c>
      <c r="K143" s="109" t="str">
        <f t="shared" si="47"/>
        <v>4031/4032</v>
      </c>
      <c r="L143" s="22" t="str">
        <f>VLOOKUP(A143,'Trips&amp;Operators'!$C$1:$G$99999,5,FALSE)</f>
        <v>SMITH MICHAEL</v>
      </c>
      <c r="M143" s="6">
        <f t="shared" si="48"/>
        <v>2.47453703705105E-2</v>
      </c>
      <c r="N143" s="7">
        <f t="shared" si="42"/>
        <v>35.63333333353512</v>
      </c>
      <c r="O143" s="7"/>
      <c r="P143" s="7"/>
      <c r="Q143" s="23"/>
      <c r="R143" s="23"/>
      <c r="S143" s="35">
        <f t="shared" si="49"/>
        <v>1</v>
      </c>
      <c r="T143" s="50" t="str">
        <f t="shared" si="5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20:13:14-700',mode:absolute,to:'2016-12-26 23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3" s="52" t="str">
        <f t="shared" si="52"/>
        <v>N</v>
      </c>
      <c r="X143" s="177">
        <f t="shared" si="44"/>
        <v>1</v>
      </c>
      <c r="Y143" s="67">
        <f t="shared" si="53"/>
        <v>4.53E-2</v>
      </c>
      <c r="Z143" s="67">
        <f t="shared" si="54"/>
        <v>23.327000000000002</v>
      </c>
      <c r="AA143" s="67">
        <f t="shared" si="55"/>
        <v>23.281700000000001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56"/>
        <v>0231-26</v>
      </c>
      <c r="AE143" s="91" t="str">
        <f t="shared" si="57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143" s="88" t="str">
        <f t="shared" si="58"/>
        <v>"C:\Program Files (x86)\AstroGrep\AstroGrep.exe" /spath="%USERPROFILE%\AppData\Local\Temp\OnboardLogs" /stypes="app*4031*20161227*" /stext=" 05:.+((SYSTEM_STATE.+slice.+state.+changed )|(ment ac)|(multiple cpu faults)|(system.+state.+changed )|(\[timeout)|(PRM\|1\|D)|(kpr)|(kdp)|(\|lc)|(penalty))" /e /r /s</v>
      </c>
      <c r="AG143" s="1" t="str">
        <f t="shared" si="59"/>
        <v>EC</v>
      </c>
      <c r="AH143" s="92" t="str">
        <f t="shared" si="45"/>
        <v>"%USERPROFILE%\Documents\GitHub\eaglep3\Utilities\RefineRTDCRunTimes.py" --tripid 231-26 --locoid 4031 --swversion DE.1.0.8.0 --startMP 204:453 --initTime 2016-12-26T21:13:14 --startdatetime 2016-12-26T21:30:59 --delay 1 --endMP 204:233270 --enddatetime 2016-12-26T22:06:37 --enforcementcount 0 &gt;&gt;C:\Users\stu\Documents\GitHub\eaglep3-reporting\EC\2016-12-26-refined-times.txt</v>
      </c>
      <c r="AI143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{"issue":{"subject":"","project_id":79,"tracker_id":40,"status_id":1,"priority_id":2,"assigned_to_id":23,"start_date":"2016-12-26","description":"","custom_fields":[{"id":1,"name":"Subdivision","value":"EC"},{"id":4,"name":"Milepost","value":"23.327"},{"id":17,"name":"Train ID","value":"231-26"},{"id":16,"name":"Locomotive ID","value":"4031"},{"id":130,"name":"Impact","value":""},{"id":150,"name":"Time of Event (Mountain Time)","value":"22:06:37"},{"id":151,"name":"Denver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635</v>
      </c>
      <c r="B144" s="7">
        <v>4032</v>
      </c>
      <c r="C144" s="22" t="s">
        <v>205</v>
      </c>
      <c r="D144" s="22" t="s">
        <v>699</v>
      </c>
      <c r="E144" s="13">
        <v>42730.926238425927</v>
      </c>
      <c r="F144" s="13">
        <v>42730.934930555559</v>
      </c>
      <c r="G144" s="7">
        <v>1</v>
      </c>
      <c r="H144" s="22" t="s">
        <v>192</v>
      </c>
      <c r="I144" s="13">
        <v>42730.963831018518</v>
      </c>
      <c r="J144" s="7">
        <v>0</v>
      </c>
      <c r="K144" s="109" t="str">
        <f t="shared" si="47"/>
        <v>4031/4032</v>
      </c>
      <c r="L144" s="22" t="str">
        <f>VLOOKUP(A144,'Trips&amp;Operators'!$C$1:$G$99999,5,FALSE)</f>
        <v>SMITH MICHAEL</v>
      </c>
      <c r="M144" s="6">
        <f t="shared" si="48"/>
        <v>2.8900462959427387E-2</v>
      </c>
      <c r="N144" s="7">
        <f t="shared" si="42"/>
        <v>41.616666661575437</v>
      </c>
      <c r="O144" s="7"/>
      <c r="P144" s="7"/>
      <c r="Q144" s="23"/>
      <c r="R144" s="23"/>
      <c r="S144" s="35">
        <f t="shared" si="49"/>
        <v>1</v>
      </c>
      <c r="T144" s="50" t="str">
        <f t="shared" si="5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21:13:47-700',mode:absolute,to:'2016-12-27 00:07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4" s="52" t="str">
        <f t="shared" si="52"/>
        <v>N</v>
      </c>
      <c r="X144" s="177">
        <f t="shared" si="44"/>
        <v>1</v>
      </c>
      <c r="Y144" s="67">
        <f t="shared" si="53"/>
        <v>23.296399999999998</v>
      </c>
      <c r="Z144" s="67">
        <f t="shared" si="54"/>
        <v>1.43E-2</v>
      </c>
      <c r="AA144" s="67">
        <f t="shared" si="55"/>
        <v>23.2821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56"/>
        <v>0232-26</v>
      </c>
      <c r="AE144" s="91" t="str">
        <f t="shared" si="57"/>
        <v>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 &amp; 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</v>
      </c>
      <c r="AF144" s="88" t="str">
        <f t="shared" si="58"/>
        <v>"C:\Program Files (x86)\AstroGrep\AstroGrep.exe" /spath="%USERPROFILE%\AppData\Local\Temp\OnboardLogs" /stypes="app*4032*20161227*" /stext=" 06:.+((SYSTEM_STATE.+slice.+state.+changed )|(ment ac)|(multiple cpu faults)|(system.+state.+changed )|(\[timeout)|(PRM\|1\|D)|(kpr)|(kdp)|(\|lc)|(penalty))" /e /r /s</v>
      </c>
      <c r="AG144" s="1" t="str">
        <f t="shared" si="59"/>
        <v>EC</v>
      </c>
      <c r="AH144" s="92" t="str">
        <f t="shared" si="45"/>
        <v>"%USERPROFILE%\Documents\GitHub\eaglep3\Utilities\RefineRTDCRunTimes.py" --tripid 232-26 --locoid 4032 --swversion DE.1.0.8.0 --startMP 204:232964 --initTime 2016-12-26T22:13:47 --startdatetime 2016-12-26T22:26:18 --delay 1 --endMP 204:143 --enddatetime 2016-12-26T23:07:55 --enforcementcount 0 &gt;&gt;C:\Users\stu\Documents\GitHub\eaglep3-reporting\EC\2016-12-26-refined-times.txt</v>
      </c>
      <c r="AI144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{"issue":{"subject":"","project_id":79,"tracker_id":40,"status_id":1,"priority_id":2,"assigned_to_id":23,"start_date":"2016-12-26","description":"","custom_fields":[{"id":1,"name":"Subdivision","value":"EC"},{"id":4,"name":"Milepost","value":"0.0143"},{"id":17,"name":"Train ID","value":"232-26"},{"id":16,"name":"Locomotive ID","value":"4032"},{"id":130,"name":"Impact","value":""},{"id":150,"name":"Time of Event (Mountain Time)","value":"23:07:55"},{"id":151,"name":"Denver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632</v>
      </c>
      <c r="B145" s="7">
        <v>4025</v>
      </c>
      <c r="C145" s="22" t="s">
        <v>205</v>
      </c>
      <c r="D145" s="22" t="s">
        <v>284</v>
      </c>
      <c r="E145" s="13">
        <v>42730.905694444446</v>
      </c>
      <c r="F145" s="13">
        <v>42730.916921296295</v>
      </c>
      <c r="G145" s="7">
        <v>2</v>
      </c>
      <c r="H145" s="22" t="s">
        <v>700</v>
      </c>
      <c r="I145" s="13">
        <v>42730.941076388888</v>
      </c>
      <c r="J145" s="7">
        <v>0</v>
      </c>
      <c r="K145" s="109" t="str">
        <f t="shared" si="47"/>
        <v>4025/4026</v>
      </c>
      <c r="L145" s="22" t="str">
        <f>VLOOKUP(A145,'Trips&amp;Operators'!$C$1:$G$99999,5,FALSE)</f>
        <v>STAMBAUGH JAMES</v>
      </c>
      <c r="M145" s="6">
        <f t="shared" si="48"/>
        <v>2.4155092592991423E-2</v>
      </c>
      <c r="N145" s="7">
        <f t="shared" si="42"/>
        <v>34.783333333907649</v>
      </c>
      <c r="O145" s="7"/>
      <c r="P145" s="7"/>
      <c r="Q145" s="23"/>
      <c r="R145" s="23"/>
      <c r="S145" s="35">
        <f t="shared" si="49"/>
        <v>1</v>
      </c>
      <c r="T145" s="50" t="str">
        <f t="shared" si="5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20:44:12-700',mode:absolute,to:'2016-12-26 23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5" s="52" t="str">
        <f t="shared" si="52"/>
        <v>N</v>
      </c>
      <c r="X145" s="177">
        <f t="shared" si="44"/>
        <v>1</v>
      </c>
      <c r="Y145" s="67">
        <f t="shared" si="53"/>
        <v>4.4200000000000003E-2</v>
      </c>
      <c r="Z145" s="67">
        <f t="shared" si="54"/>
        <v>23.3355</v>
      </c>
      <c r="AA145" s="67">
        <f t="shared" si="55"/>
        <v>23.2913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56"/>
        <v>0233-26</v>
      </c>
      <c r="AE145" s="91" t="str">
        <f t="shared" si="57"/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AF145" s="88" t="str">
        <f t="shared" si="58"/>
        <v>"C:\Program Files (x86)\AstroGrep\AstroGrep.exe" /spath="%USERPROFILE%\AppData\Local\Temp\OnboardLogs" /stypes="app*4025*20161227*" /stext=" 05:.+((SYSTEM_STATE.+slice.+state.+changed )|(ment ac)|(multiple cpu faults)|(system.+state.+changed )|(\[timeout)|(PRM\|1\|D)|(kpr)|(kdp)|(\|lc)|(penalty))" /e /r /s</v>
      </c>
      <c r="AG145" s="1" t="str">
        <f t="shared" si="59"/>
        <v>EC</v>
      </c>
      <c r="AH145" s="92" t="str">
        <f t="shared" si="45"/>
        <v>"%USERPROFILE%\Documents\GitHub\eaglep3\Utilities\RefineRTDCRunTimes.py" --tripid 233-26 --locoid 4025 --swversion DE.1.0.8.0 --startMP 204:442 --initTime 2016-12-26T21:44:12 --startdatetime 2016-12-26T22:00:22 --delay 2 --endMP 204:233355 --enddatetime 2016-12-26T22:35:09 --enforcementcount 0 &gt;&gt;C:\Users\stu\Documents\GitHub\eaglep3-reporting\EC\2016-12-26-refined-times.txt</v>
      </c>
      <c r="AI145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{"issue":{"subject":"","project_id":79,"tracker_id":40,"status_id":1,"priority_id":2,"assigned_to_id":23,"start_date":"2016-12-26","description":"","custom_fields":[{"id":1,"name":"Subdivision","value":"EC"},{"id":4,"name":"Milepost","value":"23.3355"},{"id":17,"name":"Train ID","value":"233-26"},{"id":16,"name":"Locomotive ID","value":"4025"},{"id":130,"name":"Impact","value":""},{"id":150,"name":"Time of Event (Mountain Time)","value":"22:35:09"},{"id":151,"name":"Denver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450</v>
      </c>
      <c r="B146" s="7">
        <v>4026</v>
      </c>
      <c r="C146" s="22" t="s">
        <v>205</v>
      </c>
      <c r="D146" s="22" t="s">
        <v>399</v>
      </c>
      <c r="E146" s="13">
        <v>42730.953240740739</v>
      </c>
      <c r="F146" s="13">
        <v>42730.955787037034</v>
      </c>
      <c r="G146" s="7">
        <v>1</v>
      </c>
      <c r="H146" s="22" t="s">
        <v>331</v>
      </c>
      <c r="I146" s="13">
        <v>42730.983576388891</v>
      </c>
      <c r="J146" s="7">
        <v>0</v>
      </c>
      <c r="K146" s="109" t="str">
        <f t="shared" si="47"/>
        <v>4025/4026</v>
      </c>
      <c r="L146" s="22" t="str">
        <f>VLOOKUP(A146,'Trips&amp;Operators'!$C$1:$G$99999,5,FALSE)</f>
        <v>STAMBAUGH JAMES</v>
      </c>
      <c r="M146" s="6">
        <f t="shared" si="48"/>
        <v>2.7789351857791189E-2</v>
      </c>
      <c r="N146" s="7">
        <f t="shared" si="42"/>
        <v>40.016666675219312</v>
      </c>
      <c r="O146" s="7"/>
      <c r="P146" s="7"/>
      <c r="Q146" s="23"/>
      <c r="R146" s="23"/>
      <c r="S146" s="35">
        <f t="shared" si="49"/>
        <v>1</v>
      </c>
      <c r="T146" s="50" t="str">
        <f t="shared" si="5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21:52:40-700',mode:absolute,to:'2016-12-27 00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6" s="52" t="str">
        <f t="shared" si="52"/>
        <v>N</v>
      </c>
      <c r="X146" s="177">
        <f t="shared" si="44"/>
        <v>1</v>
      </c>
      <c r="Y146" s="67">
        <f t="shared" si="53"/>
        <v>23.300599999999999</v>
      </c>
      <c r="Z146" s="67">
        <f t="shared" si="54"/>
        <v>1.5800000000000002E-2</v>
      </c>
      <c r="AA146" s="67">
        <f t="shared" si="55"/>
        <v>23.284800000000001</v>
      </c>
      <c r="AB146" s="64" t="str">
        <f>VLOOKUP(A146,Enforcements!$C$7:$K$19,8,0)</f>
        <v>Signal based authority (5)</v>
      </c>
      <c r="AC146" s="60" t="str">
        <f>VLOOKUP(A146,Enforcements!$C$7:$E$19,3,0)</f>
        <v>SIGNAL</v>
      </c>
      <c r="AD146" s="61" t="str">
        <f t="shared" si="56"/>
        <v>0234-26</v>
      </c>
      <c r="AE146" s="91" t="str">
        <f t="shared" si="57"/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AF146" s="88" t="str">
        <f t="shared" si="58"/>
        <v>"C:\Program Files (x86)\AstroGrep\AstroGrep.exe" /spath="%USERPROFILE%\AppData\Local\Temp\OnboardLogs" /stypes="app*4026*20161227*" /stext=" 06:.+((SYSTEM_STATE.+slice.+state.+changed )|(ment ac)|(multiple cpu faults)|(system.+state.+changed )|(\[timeout)|(PRM\|1\|D)|(kpr)|(kdp)|(\|lc)|(penalty))" /e /r /s</v>
      </c>
      <c r="AG146" s="1" t="str">
        <f t="shared" si="59"/>
        <v>EC</v>
      </c>
      <c r="AH146" s="92" t="str">
        <f t="shared" si="45"/>
        <v>"%USERPROFILE%\Documents\GitHub\eaglep3\Utilities\RefineRTDCRunTimes.py" --tripid 234-26 --locoid 4026 --swversion DE.1.0.8.0 --startMP 204:233006 --initTime 2016-12-26T22:52:40 --startdatetime 2016-12-26T22:56:20 --delay 1 --endMP 204:158 --enddatetime 2016-12-26T23:36:21 --enforcementcount 0 &gt;&gt;C:\Users\stu\Documents\GitHub\eaglep3-reporting\EC\2016-12-26-refined-times.txt</v>
      </c>
      <c r="AI146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{"issue":{"subject":"","project_id":79,"tracker_id":40,"status_id":1,"priority_id":2,"assigned_to_id":23,"start_date":"2016-12-26","description":"","custom_fields":[{"id":1,"name":"Subdivision","value":"EC"},{"id":4,"name":"Milepost","value":"0.0158"},{"id":17,"name":"Train ID","value":"234-26"},{"id":16,"name":"Locomotive ID","value":"4026"},{"id":130,"name":"Impact","value":""},{"id":150,"name":"Time of Event (Mountain Time)","value":"23:36:21"},{"id":151,"name":"Denver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636</v>
      </c>
      <c r="B147" s="7">
        <v>4046</v>
      </c>
      <c r="C147" s="22" t="s">
        <v>205</v>
      </c>
      <c r="D147" s="22" t="s">
        <v>283</v>
      </c>
      <c r="E147" s="13">
        <v>42730.932291666664</v>
      </c>
      <c r="F147" s="13">
        <v>42730.938206018516</v>
      </c>
      <c r="G147" s="7">
        <v>1</v>
      </c>
      <c r="H147" s="22" t="s">
        <v>315</v>
      </c>
      <c r="I147" s="13">
        <v>42730.963888888888</v>
      </c>
      <c r="J147" s="7">
        <v>0</v>
      </c>
      <c r="K147" s="109" t="str">
        <f t="shared" si="47"/>
        <v>4045/4046</v>
      </c>
      <c r="L147" s="22" t="str">
        <f>VLOOKUP(A147,'Trips&amp;Operators'!$C$1:$G$99999,5,FALSE)</f>
        <v>SIMONEAUX TERA</v>
      </c>
      <c r="M147" s="6">
        <f t="shared" si="48"/>
        <v>2.5682870371383615E-2</v>
      </c>
      <c r="N147" s="7">
        <f t="shared" si="42"/>
        <v>36.983333334792405</v>
      </c>
      <c r="O147" s="7"/>
      <c r="P147" s="7"/>
      <c r="Q147" s="23"/>
      <c r="R147" s="23"/>
      <c r="S147" s="35">
        <f t="shared" si="49"/>
        <v>1</v>
      </c>
      <c r="T147" s="50" t="str">
        <f t="shared" si="5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21:22:30-700',mode:absolute,to:'2016-12-27 00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7" s="52" t="str">
        <f t="shared" si="52"/>
        <v>N</v>
      </c>
      <c r="X147" s="177">
        <f t="shared" si="44"/>
        <v>1</v>
      </c>
      <c r="Y147" s="67">
        <f t="shared" si="53"/>
        <v>4.4900000000000002E-2</v>
      </c>
      <c r="Z147" s="67">
        <f t="shared" si="54"/>
        <v>23.331199999999999</v>
      </c>
      <c r="AA147" s="67">
        <f t="shared" si="55"/>
        <v>23.286300000000001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56"/>
        <v>0235-26</v>
      </c>
      <c r="AE147" s="91" t="str">
        <f t="shared" si="57"/>
        <v>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 &amp; 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</v>
      </c>
      <c r="AF147" s="88" t="str">
        <f t="shared" si="58"/>
        <v>"C:\Program Files (x86)\AstroGrep\AstroGrep.exe" /spath="%USERPROFILE%\AppData\Local\Temp\OnboardLogs" /stypes="app*4046*20161227*" /stext=" 06:.+((SYSTEM_STATE.+slice.+state.+changed )|(ment ac)|(multiple cpu faults)|(system.+state.+changed )|(\[timeout)|(PRM\|1\|D)|(kpr)|(kdp)|(\|lc)|(penalty))" /e /r /s</v>
      </c>
      <c r="AG147" s="1" t="str">
        <f t="shared" si="59"/>
        <v>EC</v>
      </c>
      <c r="AH147" s="92" t="str">
        <f t="shared" si="45"/>
        <v>"%USERPROFILE%\Documents\GitHub\eaglep3\Utilities\RefineRTDCRunTimes.py" --tripid 235-26 --locoid 4046 --swversion DE.1.0.8.0 --startMP 204:449 --initTime 2016-12-26T22:22:30 --startdatetime 2016-12-26T22:31:01 --delay 1 --endMP 204:233312 --enddatetime 2016-12-26T23:08:00 --enforcementcount 0 &gt;&gt;C:\Users\stu\Documents\GitHub\eaglep3-reporting\EC\2016-12-26-refined-times.txt</v>
      </c>
      <c r="AI147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{"issue":{"subject":"","project_id":79,"tracker_id":40,"status_id":1,"priority_id":2,"assigned_to_id":23,"start_date":"2016-12-26","description":"","custom_fields":[{"id":1,"name":"Subdivision","value":"EC"},{"id":4,"name":"Milepost","value":"23.3312"},{"id":17,"name":"Train ID","value":"235-26"},{"id":16,"name":"Locomotive ID","value":"4046"},{"id":130,"name":"Impact","value":""},{"id":150,"name":"Time of Event (Mountain Time)","value":"23:08:00"},{"id":151,"name":"Denver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451</v>
      </c>
      <c r="B148" s="7">
        <v>4045</v>
      </c>
      <c r="C148" s="22" t="s">
        <v>205</v>
      </c>
      <c r="D148" s="22" t="s">
        <v>334</v>
      </c>
      <c r="E148" s="13">
        <v>42730.969988425924</v>
      </c>
      <c r="F148" s="13">
        <v>42730.977106481485</v>
      </c>
      <c r="G148" s="7">
        <v>6</v>
      </c>
      <c r="H148" s="22" t="s">
        <v>701</v>
      </c>
      <c r="I148" s="13">
        <v>42731.007407407407</v>
      </c>
      <c r="J148" s="7">
        <v>0</v>
      </c>
      <c r="K148" s="109" t="str">
        <f t="shared" si="47"/>
        <v>4045/4046</v>
      </c>
      <c r="L148" s="22" t="str">
        <f>VLOOKUP(A148,'Trips&amp;Operators'!$C$1:$G$99999,5,FALSE)</f>
        <v>SIMONEAUX TERA</v>
      </c>
      <c r="M148" s="6">
        <f t="shared" si="48"/>
        <v>3.0300925922347233E-2</v>
      </c>
      <c r="N148" s="7">
        <f t="shared" si="42"/>
        <v>43.633333328180015</v>
      </c>
      <c r="O148" s="7"/>
      <c r="P148" s="7"/>
      <c r="Q148" s="23"/>
      <c r="R148" s="23"/>
      <c r="S148" s="35">
        <f t="shared" si="49"/>
        <v>1</v>
      </c>
      <c r="T148" s="50" t="str">
        <f t="shared" si="5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22:16:47-700',mode:absolute,to:'2016-12-27 01:10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8" s="52" t="str">
        <f t="shared" si="52"/>
        <v>N</v>
      </c>
      <c r="X148" s="177">
        <f t="shared" si="44"/>
        <v>1</v>
      </c>
      <c r="Y148" s="67">
        <f t="shared" si="53"/>
        <v>23.299800000000001</v>
      </c>
      <c r="Z148" s="67">
        <f t="shared" si="54"/>
        <v>1.6899999999999998E-2</v>
      </c>
      <c r="AA148" s="67">
        <f t="shared" si="55"/>
        <v>23.282900000000001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56"/>
        <v>0236-26</v>
      </c>
      <c r="AE148" s="91" t="str">
        <f t="shared" si="57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148" s="88" t="str">
        <f t="shared" si="58"/>
        <v>"C:\Program Files (x86)\AstroGrep\AstroGrep.exe" /spath="%USERPROFILE%\AppData\Local\Temp\OnboardLogs" /stypes="app*4045*20161227*" /stext=" 07:.+((SYSTEM_STATE.+slice.+state.+changed )|(ment ac)|(multiple cpu faults)|(system.+state.+changed )|(\[timeout)|(PRM\|1\|D)|(kpr)|(kdp)|(\|lc)|(penalty))" /e /r /s</v>
      </c>
      <c r="AG148" s="1" t="str">
        <f t="shared" si="59"/>
        <v>EC</v>
      </c>
      <c r="AH148" s="92" t="str">
        <f t="shared" si="45"/>
        <v>"%USERPROFILE%\Documents\GitHub\eaglep3\Utilities\RefineRTDCRunTimes.py" --tripid 236-26 --locoid 4045 --swversion DE.1.0.8.0 --startMP 204:232998 --initTime 2016-12-26T23:16:47 --startdatetime 2016-12-26T23:27:02 --delay 6 --endMP 204:169 --enddatetime 2016-12-27T00:10:40 --enforcementcount 0 &gt;&gt;C:\Users\stu\Documents\GitHub\eaglep3-reporting\EC\2016-12-26-refined-times.txt</v>
      </c>
      <c r="AI148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{"issue":{"subject":"","project_id":79,"tracker_id":40,"status_id":1,"priority_id":2,"assigned_to_id":23,"start_date":"2016-12-27","description":"","custom_fields":[{"id":1,"name":"Subdivision","value":"EC"},{"id":4,"name":"Milepost","value":"0.0169"},{"id":17,"name":"Train ID","value":"236-26"},{"id":16,"name":"Locomotive ID","value":"4045"},{"id":130,"name":"Impact","value":""},{"id":150,"name":"Time of Event (Mountain Time)","value":"00:10:40"},{"id":151,"name":"Denver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638</v>
      </c>
      <c r="B149" s="7">
        <v>4044</v>
      </c>
      <c r="C149" s="22" t="s">
        <v>205</v>
      </c>
      <c r="D149" s="22" t="s">
        <v>283</v>
      </c>
      <c r="E149" s="13">
        <v>42730.95753472222</v>
      </c>
      <c r="F149" s="13">
        <v>42730.958645833336</v>
      </c>
      <c r="G149" s="7">
        <v>1</v>
      </c>
      <c r="H149" s="22" t="s">
        <v>340</v>
      </c>
      <c r="I149" s="13">
        <v>42730.983182870368</v>
      </c>
      <c r="J149" s="7">
        <v>0</v>
      </c>
      <c r="K149" s="109" t="str">
        <f t="shared" si="47"/>
        <v>4043/4044</v>
      </c>
      <c r="L149" s="22" t="str">
        <f>VLOOKUP(A149,'Trips&amp;Operators'!$C$1:$G$99999,5,FALSE)</f>
        <v>CHANDLER KELVIN</v>
      </c>
      <c r="M149" s="6">
        <f t="shared" si="48"/>
        <v>2.4537037032132503E-2</v>
      </c>
      <c r="N149" s="7">
        <f t="shared" si="42"/>
        <v>35.333333326270804</v>
      </c>
      <c r="O149" s="7"/>
      <c r="P149" s="7"/>
      <c r="Q149" s="23"/>
      <c r="R149" s="23"/>
      <c r="S149" s="35">
        <f t="shared" si="49"/>
        <v>1</v>
      </c>
      <c r="T149" s="50" t="str">
        <f t="shared" si="5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21:58:51-700',mode:absolute,to:'2016-12-27 00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9" s="52" t="str">
        <f t="shared" si="52"/>
        <v>N</v>
      </c>
      <c r="X149" s="177">
        <f t="shared" si="44"/>
        <v>1</v>
      </c>
      <c r="Y149" s="67">
        <f t="shared" si="53"/>
        <v>4.4900000000000002E-2</v>
      </c>
      <c r="Z149" s="67">
        <f t="shared" si="54"/>
        <v>23.327200000000001</v>
      </c>
      <c r="AA149" s="67">
        <f t="shared" si="55"/>
        <v>23.282300000000003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56"/>
        <v>0237-26</v>
      </c>
      <c r="AE149" s="91" t="str">
        <f t="shared" si="57"/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AF149" s="88" t="str">
        <f t="shared" si="58"/>
        <v>"C:\Program Files (x86)\AstroGrep\AstroGrep.exe" /spath="%USERPROFILE%\AppData\Local\Temp\OnboardLogs" /stypes="app*4044*20161227*" /stext=" 06:.+((SYSTEM_STATE.+slice.+state.+changed )|(ment ac)|(multiple cpu faults)|(system.+state.+changed )|(\[timeout)|(PRM\|1\|D)|(kpr)|(kdp)|(\|lc)|(penalty))" /e /r /s</v>
      </c>
      <c r="AG149" s="1" t="str">
        <f t="shared" si="59"/>
        <v>EC</v>
      </c>
      <c r="AH149" s="92" t="str">
        <f t="shared" si="45"/>
        <v>"%USERPROFILE%\Documents\GitHub\eaglep3\Utilities\RefineRTDCRunTimes.py" --tripid 237-26 --locoid 4044 --swversion DE.1.0.8.0 --startMP 204:449 --initTime 2016-12-26T22:58:51 --startdatetime 2016-12-26T23:00:27 --delay 1 --endMP 204:233272 --enddatetime 2016-12-26T23:35:47 --enforcementcount 0 &gt;&gt;C:\Users\stu\Documents\GitHub\eaglep3-reporting\EC\2016-12-26-refined-times.txt</v>
      </c>
      <c r="AI149" s="119" t="str">
        <f t="shared" si="46"/>
        <v>echo {"issue":{"subject":"","project_id":79,"tracker_id":40,"status_id":1,"priority_id":2,"assigned_to_id":23,"start_date":"2016-12-26","description":"","custom_fields":[{"id":1,"name":"Subdivision","value":"EC"},{"id":4,"name":"Milepost","value":"23.3272"},{"id":17,"name":"Train ID","value":"237-26"},{"id":16,"name":"Locomotive ID","value":"4044"},{"id":130,"name":"Impact","value":""},{"id":150,"name":"Time of Event (Mountain Time)","value":"23:35:47"},{"id":151,"name":"Denver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640</v>
      </c>
      <c r="B150" s="7">
        <v>4043</v>
      </c>
      <c r="C150" s="22" t="s">
        <v>205</v>
      </c>
      <c r="D150" s="22" t="s">
        <v>702</v>
      </c>
      <c r="E150" s="13">
        <v>42730.992731481485</v>
      </c>
      <c r="F150" s="13">
        <v>42730.997569444444</v>
      </c>
      <c r="G150" s="7">
        <v>1</v>
      </c>
      <c r="H150" s="22" t="s">
        <v>243</v>
      </c>
      <c r="I150" s="13">
        <v>42731.024895833332</v>
      </c>
      <c r="J150" s="7">
        <v>0</v>
      </c>
      <c r="K150" s="109" t="str">
        <f t="shared" si="47"/>
        <v>4043/4044</v>
      </c>
      <c r="L150" s="22" t="str">
        <f>VLOOKUP(A150,'Trips&amp;Operators'!$C$1:$G$99999,5,FALSE)</f>
        <v>CHANDLER KELVIN</v>
      </c>
      <c r="M150" s="6">
        <f t="shared" si="48"/>
        <v>2.73263888884685E-2</v>
      </c>
      <c r="N150" s="7">
        <f t="shared" si="42"/>
        <v>39.34999999939464</v>
      </c>
      <c r="O150" s="7"/>
      <c r="P150" s="7"/>
      <c r="Q150" s="23"/>
      <c r="R150" s="23"/>
      <c r="S150" s="35">
        <f t="shared" si="49"/>
        <v>1</v>
      </c>
      <c r="T150" s="50" t="str">
        <f t="shared" si="5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22:49:32-700',mode:absolute,to:'2016-12-27 01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0" s="52" t="str">
        <f t="shared" si="52"/>
        <v>N</v>
      </c>
      <c r="X150" s="177">
        <f t="shared" si="44"/>
        <v>1</v>
      </c>
      <c r="Y150" s="67">
        <f t="shared" si="53"/>
        <v>23.296800000000001</v>
      </c>
      <c r="Z150" s="67">
        <f t="shared" si="54"/>
        <v>1.6299999999999999E-2</v>
      </c>
      <c r="AA150" s="67">
        <f t="shared" si="55"/>
        <v>23.2805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56"/>
        <v>0238-26</v>
      </c>
      <c r="AE150" s="91" t="str">
        <f t="shared" si="57"/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AF150" s="88" t="str">
        <f t="shared" si="58"/>
        <v>"C:\Program Files (x86)\AstroGrep\AstroGrep.exe" /spath="%USERPROFILE%\AppData\Local\Temp\OnboardLogs" /stypes="app*4043*20161227*" /stext=" 07:.+((SYSTEM_STATE.+slice.+state.+changed )|(ment ac)|(multiple cpu faults)|(system.+state.+changed )|(\[timeout)|(PRM\|1\|D)|(kpr)|(kdp)|(\|lc)|(penalty))" /e /r /s</v>
      </c>
      <c r="AG150" s="1" t="str">
        <f t="shared" si="59"/>
        <v>EC</v>
      </c>
      <c r="AH150" s="92" t="str">
        <f t="shared" si="45"/>
        <v>"%USERPROFILE%\Documents\GitHub\eaglep3\Utilities\RefineRTDCRunTimes.py" --tripid 238-26 --locoid 4043 --swversion DE.1.0.8.0 --startMP 204:232968 --initTime 2016-12-26T23:49:32 --startdatetime 2016-12-26T23:56:30 --delay 1 --endMP 204:163 --enddatetime 2016-12-27T00:35:51 --enforcementcount 0 &gt;&gt;C:\Users\stu\Documents\GitHub\eaglep3-reporting\EC\2016-12-26-refined-times.txt</v>
      </c>
      <c r="AI150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{"issue":{"subject":"","project_id":79,"tracker_id":40,"status_id":1,"priority_id":2,"assigned_to_id":23,"start_date":"2016-12-27","description":"","custom_fields":[{"id":1,"name":"Subdivision","value":"EC"},{"id":4,"name":"Milepost","value":"0.0163"},{"id":17,"name":"Train ID","value":"238-26"},{"id":16,"name":"Locomotive ID","value":"4043"},{"id":130,"name":"Impact","value":""},{"id":150,"name":"Time of Event (Mountain Time)","value":"00:35:51"},{"id":151,"name":"Denver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639</v>
      </c>
      <c r="B151" s="7">
        <v>4031</v>
      </c>
      <c r="C151" s="22" t="s">
        <v>205</v>
      </c>
      <c r="D151" s="22" t="s">
        <v>254</v>
      </c>
      <c r="E151" s="13">
        <v>42730.966666666667</v>
      </c>
      <c r="F151" s="13">
        <v>42730.979421296295</v>
      </c>
      <c r="G151" s="7">
        <v>1</v>
      </c>
      <c r="H151" s="22" t="s">
        <v>317</v>
      </c>
      <c r="I151" s="13">
        <v>42731.004583333335</v>
      </c>
      <c r="J151" s="7">
        <v>0</v>
      </c>
      <c r="K151" s="109" t="str">
        <f t="shared" si="47"/>
        <v>4031/4032</v>
      </c>
      <c r="L151" s="22" t="str">
        <f>VLOOKUP(A151,'Trips&amp;Operators'!$C$1:$G$99999,5,FALSE)</f>
        <v>SMITH MICHAEL</v>
      </c>
      <c r="M151" s="6">
        <f t="shared" si="48"/>
        <v>2.5162037039990537E-2</v>
      </c>
      <c r="N151" s="7">
        <f t="shared" si="42"/>
        <v>36.233333337586373</v>
      </c>
      <c r="O151" s="7"/>
      <c r="P151" s="7"/>
      <c r="Q151" s="23"/>
      <c r="R151" s="23"/>
      <c r="S151" s="35">
        <f t="shared" si="49"/>
        <v>1</v>
      </c>
      <c r="T151" s="50" t="str">
        <f t="shared" si="5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22:12:00-700',mode:absolute,to:'2016-12-27 01:06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1" s="52" t="str">
        <f t="shared" si="52"/>
        <v>N</v>
      </c>
      <c r="X151" s="177">
        <f t="shared" si="44"/>
        <v>1</v>
      </c>
      <c r="Y151" s="67">
        <f t="shared" si="53"/>
        <v>4.53E-2</v>
      </c>
      <c r="Z151" s="67">
        <f t="shared" si="54"/>
        <v>23.33</v>
      </c>
      <c r="AA151" s="67">
        <f t="shared" si="55"/>
        <v>23.284699999999997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56"/>
        <v>0239-26</v>
      </c>
      <c r="AE151" s="91" t="str">
        <f t="shared" si="57"/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AF151" s="88" t="str">
        <f t="shared" si="58"/>
        <v>"C:\Program Files (x86)\AstroGrep\AstroGrep.exe" /spath="%USERPROFILE%\AppData\Local\Temp\OnboardLogs" /stypes="app*4031*20161227*" /stext=" 07:.+((SYSTEM_STATE.+slice.+state.+changed )|(ment ac)|(multiple cpu faults)|(system.+state.+changed )|(\[timeout)|(PRM\|1\|D)|(kpr)|(kdp)|(\|lc)|(penalty))" /e /r /s</v>
      </c>
      <c r="AG151" s="1" t="str">
        <f t="shared" si="59"/>
        <v>EC</v>
      </c>
      <c r="AH151" s="92" t="str">
        <f t="shared" si="45"/>
        <v>"%USERPROFILE%\Documents\GitHub\eaglep3\Utilities\RefineRTDCRunTimes.py" --tripid 239-26 --locoid 4031 --swversion DE.1.0.8.0 --startMP 204:453 --initTime 2016-12-26T23:12:00 --startdatetime 2016-12-26T23:30:22 --delay 1 --endMP 204:233300 --enddatetime 2016-12-27T00:06:36 --enforcementcount 0 &gt;&gt;C:\Users\stu\Documents\GitHub\eaglep3-reporting\EC\2016-12-26-refined-times.txt</v>
      </c>
      <c r="AI151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{"issue":{"subject":"","project_id":79,"tracker_id":40,"status_id":1,"priority_id":2,"assigned_to_id":23,"start_date":"2016-12-27","description":"","custom_fields":[{"id":1,"name":"Subdivision","value":"EC"},{"id":4,"name":"Milepost","value":"23.33"},{"id":17,"name":"Train ID","value":"239-26"},{"id":16,"name":"Locomotive ID","value":"4031"},{"id":130,"name":"Impact","value":""},{"id":150,"name":"Time of Event (Mountain Time)","value":"00:06:36"},{"id":151,"name":"Denver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642</v>
      </c>
      <c r="B152" s="7">
        <v>4032</v>
      </c>
      <c r="C152" s="22" t="s">
        <v>205</v>
      </c>
      <c r="D152" s="22" t="s">
        <v>372</v>
      </c>
      <c r="E152" s="13">
        <v>42731.007650462961</v>
      </c>
      <c r="F152" s="13">
        <v>42731.01840277778</v>
      </c>
      <c r="G152" s="7">
        <v>1</v>
      </c>
      <c r="H152" s="22" t="s">
        <v>703</v>
      </c>
      <c r="I152" s="13">
        <v>42731.045578703706</v>
      </c>
      <c r="J152" s="7">
        <v>0</v>
      </c>
      <c r="K152" s="109" t="str">
        <f t="shared" si="47"/>
        <v>4031/4032</v>
      </c>
      <c r="L152" s="22" t="str">
        <f>VLOOKUP(A152,'Trips&amp;Operators'!$C$1:$G$99999,5,FALSE)</f>
        <v>SMITH MICHAEL</v>
      </c>
      <c r="M152" s="6">
        <f t="shared" si="48"/>
        <v>2.7175925926712807E-2</v>
      </c>
      <c r="N152" s="7">
        <f t="shared" si="42"/>
        <v>39.133333334466442</v>
      </c>
      <c r="O152" s="7"/>
      <c r="P152" s="7"/>
      <c r="Q152" s="23"/>
      <c r="R152" s="23"/>
      <c r="S152" s="35">
        <f t="shared" si="49"/>
        <v>1</v>
      </c>
      <c r="T152" s="50" t="str">
        <f t="shared" si="5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23:11:01-700',mode:absolute,to:'2016-12-27 02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2" s="52" t="str">
        <f t="shared" si="52"/>
        <v>N</v>
      </c>
      <c r="X152" s="177">
        <f t="shared" si="44"/>
        <v>1</v>
      </c>
      <c r="Y152" s="67">
        <f t="shared" si="53"/>
        <v>23.297599999999999</v>
      </c>
      <c r="Z152" s="67">
        <f t="shared" si="54"/>
        <v>2.9100000000000001E-2</v>
      </c>
      <c r="AA152" s="67">
        <f t="shared" si="55"/>
        <v>23.2685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56"/>
        <v>0240-26</v>
      </c>
      <c r="AE152" s="91" t="str">
        <f t="shared" si="57"/>
        <v>aws s3 cp s3://rtdc.mdm.uploadarchive.raw/RTDC4032/ "%USERPROFILE%\AppData\Local\Temp\OnboardLogs"\RTDC4032\2016-12-27 --exclude "*" --recursive --include "*20161227*" &amp; "%USERPROFILE%\Documents\GitHub\mrs-test-scripts\Headless Mode &amp; Sideloading\WalkAndUnGZ.bat" "%USERPROFILE%\AppData\Local\Temp\OnboardLogs"\RTDC4032\2016-12-27 &amp; aws s3 cp s3://rtdc.mdm.uploadarchive.raw/RTDC4032/ "%USERPROFILE%\AppData\Local\Temp\OnboardLogs"\RTDC4032\2016-12-28 --exclude "*" --recursive --include "*20161228*" &amp; "%USERPROFILE%\Documents\GitHub\mrs-test-scripts\Headless Mode &amp; Sideloading\WalkAndUnGZ.bat" "%USERPROFILE%\AppData\Local\Temp\OnboardLogs"\RTDC4032\2016-12-28</v>
      </c>
      <c r="AF152" s="88" t="str">
        <f t="shared" si="58"/>
        <v>"C:\Program Files (x86)\AstroGrep\AstroGrep.exe" /spath="%USERPROFILE%\AppData\Local\Temp\OnboardLogs" /stypes="app*4032*20161227*" /stext=" 08:.+((SYSTEM_STATE.+slice.+state.+changed )|(ment ac)|(multiple cpu faults)|(system.+state.+changed )|(\[timeout)|(PRM\|1\|D)|(kpr)|(kdp)|(\|lc)|(penalty))" /e /r /s</v>
      </c>
      <c r="AG152" s="1" t="str">
        <f t="shared" si="59"/>
        <v>EC</v>
      </c>
      <c r="AH152" s="92" t="str">
        <f t="shared" si="45"/>
        <v>"%USERPROFILE%\Documents\GitHub\eaglep3\Utilities\RefineRTDCRunTimes.py" --tripid 240-26 --locoid 4032 --swversion DE.1.0.8.0 --startMP 204:232976 --initTime 2016-12-27T00:11:01 --startdatetime 2016-12-27T00:26:30 --delay 1 --endMP 204:291 --enddatetime 2016-12-27T01:05:38 --enforcementcount 0 &gt;&gt;C:\Users\stu\Documents\GitHub\eaglep3-reporting\EC\2016-12-26-refined-times.txt</v>
      </c>
      <c r="AI152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{"issue":{"subject":"","project_id":79,"tracker_id":40,"status_id":1,"priority_id":2,"assigned_to_id":23,"start_date":"2016-12-27","description":"","custom_fields":[{"id":1,"name":"Subdivision","value":"EC"},{"id":4,"name":"Milepost","value":"0.0291"},{"id":17,"name":"Train ID","value":"240-26"},{"id":16,"name":"Locomotive ID","value":"4032"},{"id":130,"name":"Impact","value":""},{"id":150,"name":"Time of Event (Mountain Time)","value":"01:05:38"},{"id":151,"name":"Denver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641</v>
      </c>
      <c r="B153" s="7">
        <v>4025</v>
      </c>
      <c r="C153" s="22" t="s">
        <v>205</v>
      </c>
      <c r="D153" s="22" t="s">
        <v>230</v>
      </c>
      <c r="E153" s="13">
        <v>42730.993125000001</v>
      </c>
      <c r="F153" s="13">
        <v>42731.000347222223</v>
      </c>
      <c r="G153" s="7">
        <v>1</v>
      </c>
      <c r="H153" s="22" t="s">
        <v>335</v>
      </c>
      <c r="I153" s="13">
        <v>42731.024548611109</v>
      </c>
      <c r="J153" s="7">
        <v>0</v>
      </c>
      <c r="K153" s="109" t="str">
        <f t="shared" si="47"/>
        <v>4025/4026</v>
      </c>
      <c r="L153" s="22" t="str">
        <f>VLOOKUP(A153,'Trips&amp;Operators'!$C$1:$G$99999,5,FALSE)</f>
        <v>STAMBAUGH JAMES</v>
      </c>
      <c r="M153" s="6">
        <f t="shared" si="48"/>
        <v>2.4201388885558117E-2</v>
      </c>
      <c r="N153" s="7">
        <f t="shared" si="42"/>
        <v>34.849999995203689</v>
      </c>
      <c r="O153" s="7"/>
      <c r="P153" s="7"/>
      <c r="Q153" s="23"/>
      <c r="R153" s="23"/>
      <c r="S153" s="35">
        <f t="shared" si="49"/>
        <v>1</v>
      </c>
      <c r="T153" s="50" t="str">
        <f t="shared" si="5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22:50:06-700',mode:absolute,to:'2016-12-27 01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3" s="52" t="str">
        <f t="shared" si="52"/>
        <v>N</v>
      </c>
      <c r="X153" s="177">
        <f t="shared" si="44"/>
        <v>1</v>
      </c>
      <c r="Y153" s="67">
        <f t="shared" si="53"/>
        <v>4.5999999999999999E-2</v>
      </c>
      <c r="Z153" s="67">
        <f t="shared" si="54"/>
        <v>23.330400000000001</v>
      </c>
      <c r="AA153" s="67">
        <f t="shared" si="55"/>
        <v>23.284400000000002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56"/>
        <v>0241-26</v>
      </c>
      <c r="AE153" s="91" t="str">
        <f t="shared" si="57"/>
        <v>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 &amp; 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</v>
      </c>
      <c r="AF153" s="88" t="str">
        <f t="shared" si="58"/>
        <v>"C:\Program Files (x86)\AstroGrep\AstroGrep.exe" /spath="%USERPROFILE%\AppData\Local\Temp\OnboardLogs" /stypes="app*4025*20161227*" /stext=" 07:.+((SYSTEM_STATE.+slice.+state.+changed )|(ment ac)|(multiple cpu faults)|(system.+state.+changed )|(\[timeout)|(PRM\|1\|D)|(kpr)|(kdp)|(\|lc)|(penalty))" /e /r /s</v>
      </c>
      <c r="AG153" s="1" t="str">
        <f t="shared" si="59"/>
        <v>EC</v>
      </c>
      <c r="AH153" s="92" t="str">
        <f t="shared" si="45"/>
        <v>"%USERPROFILE%\Documents\GitHub\eaglep3\Utilities\RefineRTDCRunTimes.py" --tripid 241-26 --locoid 4025 --swversion DE.1.0.8.0 --startMP 204:460 --initTime 2016-12-26T23:50:06 --startdatetime 2016-12-27T00:00:30 --delay 1 --endMP 204:233304 --enddatetime 2016-12-27T00:35:21 --enforcementcount 0 &gt;&gt;C:\Users\stu\Documents\GitHub\eaglep3-reporting\EC\2016-12-26-refined-times.txt</v>
      </c>
      <c r="AI153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{"issue":{"subject":"","project_id":79,"tracker_id":40,"status_id":1,"priority_id":2,"assigned_to_id":23,"start_date":"2016-12-27","description":"","custom_fields":[{"id":1,"name":"Subdivision","value":"EC"},{"id":4,"name":"Milepost","value":"23.3304"},{"id":17,"name":"Train ID","value":"241-26"},{"id":16,"name":"Locomotive ID","value":"4025"},{"id":130,"name":"Impact","value":""},{"id":150,"name":"Time of Event (Mountain Time)","value":"00:35:21"},{"id":151,"name":"Denver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644</v>
      </c>
      <c r="B154" s="7">
        <v>4026</v>
      </c>
      <c r="C154" s="22" t="s">
        <v>205</v>
      </c>
      <c r="D154" s="22" t="s">
        <v>334</v>
      </c>
      <c r="E154" s="13">
        <v>42731.036979166667</v>
      </c>
      <c r="F154" s="13">
        <v>42731.039490740739</v>
      </c>
      <c r="G154" s="7">
        <v>1</v>
      </c>
      <c r="H154" s="22" t="s">
        <v>211</v>
      </c>
      <c r="I154" s="13">
        <v>42731.064965277779</v>
      </c>
      <c r="J154" s="7">
        <v>0</v>
      </c>
      <c r="K154" s="109" t="str">
        <f t="shared" si="47"/>
        <v>4025/4026</v>
      </c>
      <c r="L154" s="22" t="str">
        <f>VLOOKUP(A154,'Trips&amp;Operators'!$C$1:$G$99999,5,FALSE)</f>
        <v>STAMBAUGH JAMES</v>
      </c>
      <c r="M154" s="6">
        <f t="shared" si="48"/>
        <v>2.5474537040281575E-2</v>
      </c>
      <c r="N154" s="7">
        <f t="shared" si="42"/>
        <v>36.683333338005468</v>
      </c>
      <c r="O154" s="7"/>
      <c r="P154" s="7"/>
      <c r="Q154" s="23"/>
      <c r="R154" s="23"/>
      <c r="S154" s="35">
        <f t="shared" si="49"/>
        <v>1</v>
      </c>
      <c r="T154" s="50" t="str">
        <f t="shared" si="5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23:53:15-700',mode:absolute,to:'2016-12-27 02:33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4" s="52" t="str">
        <f t="shared" si="52"/>
        <v>N</v>
      </c>
      <c r="X154" s="177">
        <f t="shared" si="44"/>
        <v>1</v>
      </c>
      <c r="Y154" s="67">
        <f t="shared" si="53"/>
        <v>23.299800000000001</v>
      </c>
      <c r="Z154" s="67">
        <f t="shared" si="54"/>
        <v>1.4999999999999999E-2</v>
      </c>
      <c r="AA154" s="67">
        <f t="shared" si="55"/>
        <v>23.284800000000001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56"/>
        <v>0242-26</v>
      </c>
      <c r="AE154" s="91" t="str">
        <f t="shared" si="57"/>
        <v>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 &amp; 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</v>
      </c>
      <c r="AF154" s="88" t="str">
        <f t="shared" si="58"/>
        <v>"C:\Program Files (x86)\AstroGrep\AstroGrep.exe" /spath="%USERPROFILE%\AppData\Local\Temp\OnboardLogs" /stypes="app*4026*20161227*" /stext=" 08:.+((SYSTEM_STATE.+slice.+state.+changed )|(ment ac)|(multiple cpu faults)|(system.+state.+changed )|(\[timeout)|(PRM\|1\|D)|(kpr)|(kdp)|(\|lc)|(penalty))" /e /r /s</v>
      </c>
      <c r="AG154" s="1" t="str">
        <f t="shared" si="59"/>
        <v>EC</v>
      </c>
      <c r="AH154" s="92" t="str">
        <f t="shared" si="45"/>
        <v>"%USERPROFILE%\Documents\GitHub\eaglep3\Utilities\RefineRTDCRunTimes.py" --tripid 242-26 --locoid 4026 --swversion DE.1.0.8.0 --startMP 204:232998 --initTime 2016-12-27T00:53:15 --startdatetime 2016-12-27T00:56:52 --delay 1 --endMP 204:150 --enddatetime 2016-12-27T01:33:33 --enforcementcount 0 &gt;&gt;C:\Users\stu\Documents\GitHub\eaglep3-reporting\EC\2016-12-26-refined-times.txt</v>
      </c>
      <c r="AI154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{"issue":{"subject":"","project_id":79,"tracker_id":40,"status_id":1,"priority_id":2,"assigned_to_id":23,"start_date":"2016-12-27","description":"","custom_fields":[{"id":1,"name":"Subdivision","value":"EC"},{"id":4,"name":"Milepost","value":"0.015"},{"id":17,"name":"Train ID","value":"242-26"},{"id":16,"name":"Locomotive ID","value":"4026"},{"id":130,"name":"Impact","value":""},{"id":150,"name":"Time of Event (Mountain Time)","value":"01:33:33"},{"id":151,"name":"Denver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643</v>
      </c>
      <c r="B155" s="7">
        <v>4046</v>
      </c>
      <c r="C155" s="22" t="s">
        <v>205</v>
      </c>
      <c r="D155" s="22" t="s">
        <v>230</v>
      </c>
      <c r="E155" s="13">
        <v>42731.017650462964</v>
      </c>
      <c r="F155" s="13">
        <v>42731.021249999998</v>
      </c>
      <c r="G155" s="7">
        <v>1</v>
      </c>
      <c r="H155" s="22" t="s">
        <v>654</v>
      </c>
      <c r="I155" s="13">
        <v>42731.047418981485</v>
      </c>
      <c r="J155" s="7">
        <v>0</v>
      </c>
      <c r="K155" s="109" t="str">
        <f t="shared" si="47"/>
        <v>4045/4046</v>
      </c>
      <c r="L155" s="22" t="str">
        <f>VLOOKUP(A155,'Trips&amp;Operators'!$C$1:$G$99999,5,FALSE)</f>
        <v>SIMONEAUX TERA</v>
      </c>
      <c r="M155" s="6">
        <f t="shared" si="48"/>
        <v>2.6168981486989651E-2</v>
      </c>
      <c r="N155" s="7">
        <f t="shared" si="42"/>
        <v>37.683333341265097</v>
      </c>
      <c r="O155" s="7"/>
      <c r="P155" s="7"/>
      <c r="Q155" s="23"/>
      <c r="R155" s="23"/>
      <c r="S155" s="35">
        <f t="shared" si="49"/>
        <v>1</v>
      </c>
      <c r="T155" s="50" t="str">
        <f t="shared" si="5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23:25:25-700',mode:absolute,to:'2016-12-27 02:08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5" s="52" t="str">
        <f t="shared" si="52"/>
        <v>N</v>
      </c>
      <c r="X155" s="177">
        <f t="shared" si="44"/>
        <v>1</v>
      </c>
      <c r="Y155" s="67">
        <f t="shared" si="53"/>
        <v>4.5999999999999999E-2</v>
      </c>
      <c r="Z155" s="67">
        <f t="shared" si="54"/>
        <v>23.334399999999999</v>
      </c>
      <c r="AA155" s="67">
        <f t="shared" si="55"/>
        <v>23.288399999999999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56"/>
        <v>0243-26</v>
      </c>
      <c r="AE155" s="91" t="str">
        <f t="shared" si="57"/>
        <v>aws s3 cp s3://rtdc.mdm.uploadarchive.raw/RTDC4046/ "%USERPROFILE%\AppData\Local\Temp\OnboardLogs"\RTDC4046\2016-12-27 --exclude "*" --recursive --include "*20161227*" &amp; "%USERPROFILE%\Documents\GitHub\mrs-test-scripts\Headless Mode &amp; Sideloading\WalkAndUnGZ.bat" "%USERPROFILE%\AppData\Local\Temp\OnboardLogs"\RTDC4046\2016-12-27 &amp; 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</v>
      </c>
      <c r="AF155" s="88" t="str">
        <f t="shared" si="58"/>
        <v>"C:\Program Files (x86)\AstroGrep\AstroGrep.exe" /spath="%USERPROFILE%\AppData\Local\Temp\OnboardLogs" /stypes="app*4046*20161227*" /stext=" 08:.+((SYSTEM_STATE.+slice.+state.+changed )|(ment ac)|(multiple cpu faults)|(system.+state.+changed )|(\[timeout)|(PRM\|1\|D)|(kpr)|(kdp)|(\|lc)|(penalty))" /e /r /s</v>
      </c>
      <c r="AG155" s="1" t="str">
        <f t="shared" si="59"/>
        <v>EC</v>
      </c>
      <c r="AH155" s="92" t="str">
        <f t="shared" si="45"/>
        <v>"%USERPROFILE%\Documents\GitHub\eaglep3\Utilities\RefineRTDCRunTimes.py" --tripid 243-26 --locoid 4046 --swversion DE.1.0.8.0 --startMP 204:460 --initTime 2016-12-27T00:25:25 --startdatetime 2016-12-27T00:30:36 --delay 1 --endMP 204:233344 --enddatetime 2016-12-27T01:08:17 --enforcementcount 0 &gt;&gt;C:\Users\stu\Documents\GitHub\eaglep3-reporting\EC\2016-12-26-refined-times.txt</v>
      </c>
      <c r="AI155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{"issue":{"subject":"","project_id":79,"tracker_id":40,"status_id":1,"priority_id":2,"assigned_to_id":23,"start_date":"2016-12-27","description":"","custom_fields":[{"id":1,"name":"Subdivision","value":"EC"},{"id":4,"name":"Milepost","value":"23.3344"},{"id":17,"name":"Train ID","value":"243-26"},{"id":16,"name":"Locomotive ID","value":"4046"},{"id":130,"name":"Impact","value":""},{"id":150,"name":"Time of Event (Mountain Time)","value":"01:08:17"},{"id":151,"name":"Denver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7" t="s">
        <v>646</v>
      </c>
      <c r="B156" s="7">
        <v>4045</v>
      </c>
      <c r="C156" s="22" t="s">
        <v>205</v>
      </c>
      <c r="D156" s="22" t="s">
        <v>704</v>
      </c>
      <c r="E156" s="13">
        <v>42731.056273148148</v>
      </c>
      <c r="F156" s="13">
        <v>42731.064432870371</v>
      </c>
      <c r="G156" s="7">
        <v>2</v>
      </c>
      <c r="H156" s="22" t="s">
        <v>273</v>
      </c>
      <c r="I156" s="13">
        <v>42731.091319444444</v>
      </c>
      <c r="J156" s="7">
        <v>0</v>
      </c>
      <c r="K156" s="109" t="str">
        <f t="shared" si="47"/>
        <v>4045/4046</v>
      </c>
      <c r="L156" s="22" t="str">
        <f>VLOOKUP(A156,'Trips&amp;Operators'!$C$1:$G$99999,5,FALSE)</f>
        <v>SIMONEAUX TERA</v>
      </c>
      <c r="M156" s="6">
        <f t="shared" si="48"/>
        <v>2.6886574072705116E-2</v>
      </c>
      <c r="N156" s="7">
        <f t="shared" si="42"/>
        <v>38.716666664695367</v>
      </c>
      <c r="O156" s="7"/>
      <c r="P156" s="7"/>
      <c r="Q156" s="23"/>
      <c r="R156" s="23"/>
      <c r="S156" s="35">
        <f t="shared" si="49"/>
        <v>1</v>
      </c>
      <c r="T156" s="50" t="str">
        <f t="shared" si="5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https://search-rtdc-monitor-bjffxe2xuh6vdkpspy63sjmuny.us-east-1.es.amazonaws.com/_plugin/kibana/#/discover/Steve-Slow-Train-Analysis-(2080s-and-2083s)?_g=(refreshInterval:(display:Off,section:0,value:0),time:(from:'2016-12-27 00:21:02-700',mode:absolute,to:'2016-12-27 03:11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6" s="52" t="str">
        <f t="shared" si="52"/>
        <v>N</v>
      </c>
      <c r="X156" s="177">
        <f t="shared" si="44"/>
        <v>1</v>
      </c>
      <c r="Y156" s="67">
        <f t="shared" si="53"/>
        <v>23.302800000000001</v>
      </c>
      <c r="Z156" s="67">
        <f t="shared" si="54"/>
        <v>1.38E-2</v>
      </c>
      <c r="AA156" s="67">
        <f t="shared" si="55"/>
        <v>23.289000000000001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56"/>
        <v>0244-26</v>
      </c>
      <c r="AE156" s="91" t="str">
        <f t="shared" si="57"/>
        <v>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 &amp; 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</v>
      </c>
      <c r="AF156" s="88" t="str">
        <f t="shared" si="58"/>
        <v>"C:\Program Files (x86)\AstroGrep\AstroGrep.exe" /spath="%USERPROFILE%\AppData\Local\Temp\OnboardLogs" /stypes="app*4045*20161227*" /stext=" 09:.+((SYSTEM_STATE.+slice.+state.+changed )|(ment ac)|(multiple cpu faults)|(system.+state.+changed )|(\[timeout)|(PRM\|1\|D)|(kpr)|(kdp)|(\|lc)|(penalty))" /e /r /s</v>
      </c>
      <c r="AG156" s="1" t="str">
        <f t="shared" si="59"/>
        <v>EC</v>
      </c>
      <c r="AH156" s="92" t="str">
        <f t="shared" si="45"/>
        <v>"%USERPROFILE%\Documents\GitHub\eaglep3\Utilities\RefineRTDCRunTimes.py" --tripid 244-26 --locoid 4045 --swversion DE.1.0.8.0 --startMP 204:233028 --initTime 2016-12-27T01:21:02 --startdatetime 2016-12-27T01:32:47 --delay 2 --endMP 204:138 --enddatetime 2016-12-27T02:11:30 --enforcementcount 0 &gt;&gt;C:\Users\stu\Documents\GitHub\eaglep3-reporting\EC\2016-12-26-refined-times.txt</v>
      </c>
      <c r="AI156" s="119" t="str">
        <f t="shared" si="46"/>
        <v>echo {"issue":{"subject":"","project_id":79,"tracker_id":40,"status_id":1,"priority_id":2,"assigned_to_id":23,"start_date":"2016-12-27","description":"","custom_fields":[{"id":1,"name":"Subdivision","value":"EC"},{"id":4,"name":"Milepost","value":"0.0138"},{"id":17,"name":"Train ID","value":"244-26"},{"id":16,"name":"Locomotive ID","value":"4045"},{"id":130,"name":"Impact","value":""},{"id":150,"name":"Time of Event (Mountain Time)","value":"02:11:30"},{"id":151,"name":"Denver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s="21" customFormat="1" x14ac:dyDescent="0.25">
      <c r="A157" s="37" t="s">
        <v>418</v>
      </c>
      <c r="B157" s="7">
        <v>4004</v>
      </c>
      <c r="C157" s="22" t="s">
        <v>205</v>
      </c>
      <c r="D157" s="22" t="s">
        <v>721</v>
      </c>
      <c r="E157" s="13">
        <v>42730.218576388892</v>
      </c>
      <c r="F157" s="13">
        <v>42730.219872685186</v>
      </c>
      <c r="G157" s="7">
        <v>1</v>
      </c>
      <c r="H157" s="22" t="s">
        <v>722</v>
      </c>
      <c r="I157" s="13">
        <v>42730.230266203704</v>
      </c>
      <c r="J157" s="7">
        <v>0</v>
      </c>
      <c r="K157" s="109" t="str">
        <f t="shared" si="47"/>
        <v>4003/4004</v>
      </c>
      <c r="L157" s="22" t="str">
        <f>VLOOKUP(A157,'Trips&amp;Operators'!$C$1:$G$99999,5,FALSE)</f>
        <v>DAVIS WENDY</v>
      </c>
      <c r="M157" s="6">
        <f t="shared" si="48"/>
        <v>1.0393518517958E-2</v>
      </c>
      <c r="N157" s="7">
        <f t="shared" si="42"/>
        <v>14.96666666585952</v>
      </c>
      <c r="O157" s="7"/>
      <c r="P157" s="7"/>
      <c r="Q157" s="23"/>
      <c r="R157" s="23"/>
      <c r="S157" s="35">
        <f t="shared" si="49"/>
        <v>1</v>
      </c>
      <c r="T157" s="50" t="str">
        <f t="shared" si="5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04:14:45-700',mode:absolute,to:'2016-12-26 06:31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7" s="52" t="str">
        <f t="shared" si="52"/>
        <v>N</v>
      </c>
      <c r="X157" s="177">
        <f t="shared" si="44"/>
        <v>556</v>
      </c>
      <c r="Y157" s="67">
        <f t="shared" si="53"/>
        <v>5.8712999999999997</v>
      </c>
      <c r="Z157" s="67">
        <f t="shared" si="54"/>
        <v>6.1699999999999998E-2</v>
      </c>
      <c r="AA157" s="67">
        <f t="shared" si="55"/>
        <v>5.8095999999999997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56"/>
        <v>0800-26</v>
      </c>
      <c r="AE157" s="91" t="str">
        <f t="shared" si="57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157" s="88" t="str">
        <f t="shared" si="58"/>
        <v>"C:\Program Files (x86)\AstroGrep\AstroGrep.exe" /spath="%USERPROFILE%\AppData\Local\Temp\OnboardLogs" /stypes="app*4004*20161226*" /stext=" 12:.+((SYSTEM_STATE.+slice.+state.+changed )|(ment ac)|(multiple cpu faults)|(system.+state.+changed )|(\[timeout)|(PRM\|1\|D)|(kpr)|(kdp)|(\|lc)|(penalty))" /e /r /s</v>
      </c>
      <c r="AG157" s="1" t="str">
        <f t="shared" si="59"/>
        <v>NW</v>
      </c>
      <c r="AH157" s="92" t="str">
        <f t="shared" si="45"/>
        <v>"%USERPROFILE%\Documents\GitHub\eaglep3\Utilities\RefineRTDCRunTimes.py" --tripid 800-26 --locoid 4004 --swversion DE.1.0.8.0 --startMP 300:58713 --initTime 2016-12-26T05:14:45 --startdatetime 2016-12-26T05:16:37 --delay 1 --endMP 204:617 --enddatetime 2016-12-26T05:31:35 --enforcementcount 0 &gt;&gt;C:\Users\stu\Documents\GitHub\eaglep3-reporting\EC\2016-12-26-refined-times.txt</v>
      </c>
      <c r="AI157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{"issue":{"subject":"","project_id":79,"tracker_id":40,"status_id":1,"priority_id":2,"assigned_to_id":23,"start_date":"2016-12-26","description":"","custom_fields":[{"id":1,"name":"Subdivision","value":"NW"},{"id":4,"name":"Milepost","value":"0.0617"},{"id":17,"name":"Train ID","value":"800-26"},{"id":16,"name":"Locomotive ID","value":"4004"},{"id":130,"name":"Impact","value":""},{"id":150,"name":"Time of Event (Mountain Time)","value":"05:31:35"},{"id":151,"name":"Denver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419</v>
      </c>
      <c r="B158" s="7">
        <v>4003</v>
      </c>
      <c r="C158" s="22" t="s">
        <v>205</v>
      </c>
      <c r="D158" s="22" t="s">
        <v>723</v>
      </c>
      <c r="E158" s="13">
        <v>42730.24145833333</v>
      </c>
      <c r="F158" s="13">
        <v>42730.243946759256</v>
      </c>
      <c r="G158" s="7">
        <v>1</v>
      </c>
      <c r="H158" s="22" t="s">
        <v>724</v>
      </c>
      <c r="I158" s="13">
        <v>42730.254004629627</v>
      </c>
      <c r="J158" s="7">
        <v>0</v>
      </c>
      <c r="K158" s="109" t="str">
        <f t="shared" si="47"/>
        <v>4003/4004</v>
      </c>
      <c r="L158" s="22" t="str">
        <f>VLOOKUP(A158,'Trips&amp;Operators'!$C$1:$G$99999,5,FALSE)</f>
        <v>DAVIS WENDY</v>
      </c>
      <c r="M158" s="6">
        <f t="shared" si="48"/>
        <v>1.0057870371383615E-2</v>
      </c>
      <c r="N158" s="7">
        <f t="shared" si="42"/>
        <v>14.483333334792405</v>
      </c>
      <c r="O158" s="7"/>
      <c r="P158" s="7"/>
      <c r="Q158" s="23"/>
      <c r="R158" s="23"/>
      <c r="S158" s="35">
        <f t="shared" si="49"/>
        <v>1</v>
      </c>
      <c r="T158" s="50" t="str">
        <f t="shared" si="5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04:47:42-700',mode:absolute,to:'2016-12-26 07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8" s="52" t="str">
        <f t="shared" si="52"/>
        <v>N</v>
      </c>
      <c r="X158" s="177">
        <f t="shared" si="44"/>
        <v>1</v>
      </c>
      <c r="Y158" s="67">
        <f t="shared" si="53"/>
        <v>9.01E-2</v>
      </c>
      <c r="Z158" s="67">
        <f t="shared" si="54"/>
        <v>5.9017999999999997</v>
      </c>
      <c r="AA158" s="67">
        <f t="shared" si="55"/>
        <v>5.8117000000000001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56"/>
        <v>0801-26</v>
      </c>
      <c r="AE158" s="91" t="str">
        <f t="shared" si="57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158" s="88" t="str">
        <f t="shared" si="58"/>
        <v>"C:\Program Files (x86)\AstroGrep\AstroGrep.exe" /spath="%USERPROFILE%\AppData\Local\Temp\OnboardLogs" /stypes="app*4003*20161226*" /stext=" 13:.+((SYSTEM_STATE.+slice.+state.+changed )|(ment ac)|(multiple cpu faults)|(system.+state.+changed )|(\[timeout)|(PRM\|1\|D)|(kpr)|(kdp)|(\|lc)|(penalty))" /e /r /s</v>
      </c>
      <c r="AG158" s="1" t="str">
        <f t="shared" si="59"/>
        <v>NW</v>
      </c>
      <c r="AH158" s="92" t="str">
        <f t="shared" si="45"/>
        <v>"%USERPROFILE%\Documents\GitHub\eaglep3\Utilities\RefineRTDCRunTimes.py" --tripid 801-26 --locoid 4003 --swversion DE.1.0.8.0 --startMP 204:901 --initTime 2016-12-26T05:47:42 --startdatetime 2016-12-26T05:51:17 --delay 1 --endMP 300:59018 --enddatetime 2016-12-26T06:05:46 --enforcementcount 0 &gt;&gt;C:\Users\stu\Documents\GitHub\eaglep3-reporting\EC\2016-12-26-refined-times.txt</v>
      </c>
      <c r="AI158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{"issue":{"subject":"","project_id":79,"tracker_id":40,"status_id":1,"priority_id":2,"assigned_to_id":23,"start_date":"2016-12-26","description":"","custom_fields":[{"id":1,"name":"Subdivision","value":"NW"},{"id":4,"name":"Milepost","value":"5.9018"},{"id":17,"name":"Train ID","value":"801-26"},{"id":16,"name":"Locomotive ID","value":"4003"},{"id":130,"name":"Impact","value":""},{"id":150,"name":"Time of Event (Mountain Time)","value":"06:05:46"},{"id":151,"name":"Denver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420</v>
      </c>
      <c r="B159" s="7">
        <v>4004</v>
      </c>
      <c r="C159" s="22" t="s">
        <v>205</v>
      </c>
      <c r="D159" s="22" t="s">
        <v>725</v>
      </c>
      <c r="E159" s="13">
        <v>42730.255231481482</v>
      </c>
      <c r="F159" s="13">
        <v>42730.256435185183</v>
      </c>
      <c r="G159" s="7">
        <v>1</v>
      </c>
      <c r="H159" s="22" t="s">
        <v>726</v>
      </c>
      <c r="I159" s="13">
        <v>42730.268692129626</v>
      </c>
      <c r="J159" s="7">
        <v>0</v>
      </c>
      <c r="K159" s="109" t="str">
        <f t="shared" si="47"/>
        <v>4003/4004</v>
      </c>
      <c r="L159" s="22" t="str">
        <f>VLOOKUP(A159,'Trips&amp;Operators'!$C$1:$G$99999,5,FALSE)</f>
        <v>DAVIS WENDY</v>
      </c>
      <c r="M159" s="6">
        <f t="shared" si="48"/>
        <v>1.2256944442924578E-2</v>
      </c>
      <c r="N159" s="7">
        <f t="shared" si="42"/>
        <v>17.649999997811392</v>
      </c>
      <c r="O159" s="7"/>
      <c r="P159" s="7"/>
      <c r="Q159" s="23"/>
      <c r="R159" s="23"/>
      <c r="S159" s="35">
        <f t="shared" si="49"/>
        <v>1</v>
      </c>
      <c r="T159" s="50" t="str">
        <f t="shared" si="5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05:07:32-700',mode:absolute,to:'2016-12-26 07:26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9" s="52" t="str">
        <f t="shared" si="52"/>
        <v>N</v>
      </c>
      <c r="X159" s="177">
        <f t="shared" si="44"/>
        <v>1</v>
      </c>
      <c r="Y159" s="67">
        <f t="shared" si="53"/>
        <v>5.8704000000000001</v>
      </c>
      <c r="Z159" s="67">
        <f t="shared" si="54"/>
        <v>6.3500000000000001E-2</v>
      </c>
      <c r="AA159" s="67">
        <f t="shared" si="55"/>
        <v>5.8068999999999997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56"/>
        <v>0802-26</v>
      </c>
      <c r="AE159" s="91" t="str">
        <f t="shared" si="57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159" s="88" t="str">
        <f t="shared" si="58"/>
        <v>"C:\Program Files (x86)\AstroGrep\AstroGrep.exe" /spath="%USERPROFILE%\AppData\Local\Temp\OnboardLogs" /stypes="app*4004*20161226*" /stext=" 13:.+((SYSTEM_STATE.+slice.+state.+changed )|(ment ac)|(multiple cpu faults)|(system.+state.+changed )|(\[timeout)|(PRM\|1\|D)|(kpr)|(kdp)|(\|lc)|(penalty))" /e /r /s</v>
      </c>
      <c r="AG159" s="1" t="str">
        <f t="shared" si="59"/>
        <v>NW</v>
      </c>
      <c r="AH159" s="92" t="str">
        <f t="shared" si="45"/>
        <v>"%USERPROFILE%\Documents\GitHub\eaglep3\Utilities\RefineRTDCRunTimes.py" --tripid 802-26 --locoid 4004 --swversion DE.1.0.8.0 --startMP 300:58704 --initTime 2016-12-26T06:07:32 --startdatetime 2016-12-26T06:09:16 --delay 1 --endMP 204:635 --enddatetime 2016-12-26T06:26:55 --enforcementcount 0 &gt;&gt;C:\Users\stu\Documents\GitHub\eaglep3-reporting\EC\2016-12-26-refined-times.txt</v>
      </c>
      <c r="AI159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{"issue":{"subject":"","project_id":79,"tracker_id":40,"status_id":1,"priority_id":2,"assigned_to_id":23,"start_date":"2016-12-26","description":"","custom_fields":[{"id":1,"name":"Subdivision","value":"NW"},{"id":4,"name":"Milepost","value":"0.0635"},{"id":17,"name":"Train ID","value":"802-26"},{"id":16,"name":"Locomotive ID","value":"4004"},{"id":130,"name":"Impact","value":""},{"id":150,"name":"Time of Event (Mountain Time)","value":"06:26:55"},{"id":151,"name":"Denver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483</v>
      </c>
      <c r="B160" s="7">
        <v>4002</v>
      </c>
      <c r="C160" s="22" t="s">
        <v>205</v>
      </c>
      <c r="D160" s="22" t="s">
        <v>727</v>
      </c>
      <c r="E160" s="13">
        <v>42730.260185185187</v>
      </c>
      <c r="F160" s="13">
        <v>42730.264884259261</v>
      </c>
      <c r="G160" s="7">
        <v>1</v>
      </c>
      <c r="H160" s="22" t="s">
        <v>728</v>
      </c>
      <c r="I160" s="13">
        <v>42730.274733796294</v>
      </c>
      <c r="J160" s="7">
        <v>0</v>
      </c>
      <c r="K160" s="109" t="str">
        <f t="shared" si="47"/>
        <v>4001/4002</v>
      </c>
      <c r="L160" s="22" t="str">
        <f>VLOOKUP(A160,'Trips&amp;Operators'!$C$1:$G$99999,5,FALSE)</f>
        <v>COMELLA JUSTIN</v>
      </c>
      <c r="M160" s="6">
        <f t="shared" si="48"/>
        <v>9.8495370330056176E-3</v>
      </c>
      <c r="N160" s="7">
        <f t="shared" si="42"/>
        <v>14.183333327528089</v>
      </c>
      <c r="O160" s="7"/>
      <c r="P160" s="7"/>
      <c r="Q160" s="23"/>
      <c r="R160" s="23"/>
      <c r="S160" s="35">
        <f t="shared" si="49"/>
        <v>1</v>
      </c>
      <c r="T160" s="50" t="str">
        <f t="shared" si="5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05:14:40-700',mode:absolute,to:'2016-12-26 07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0" s="52" t="str">
        <f t="shared" si="52"/>
        <v>N</v>
      </c>
      <c r="X160" s="177">
        <f t="shared" si="44"/>
        <v>1</v>
      </c>
      <c r="Y160" s="67">
        <f t="shared" si="53"/>
        <v>9.6000000000000002E-2</v>
      </c>
      <c r="Z160" s="67">
        <f t="shared" si="54"/>
        <v>5.8929</v>
      </c>
      <c r="AA160" s="67">
        <f t="shared" si="55"/>
        <v>5.7968999999999999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56"/>
        <v>0803-26</v>
      </c>
      <c r="AE160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60" s="88" t="str">
        <f t="shared" si="58"/>
        <v>"C:\Program Files (x86)\AstroGrep\AstroGrep.exe" /spath="%USERPROFILE%\AppData\Local\Temp\OnboardLogs" /stypes="app*4002*20161226*" /stext=" 13:.+((SYSTEM_STATE.+slice.+state.+changed )|(ment ac)|(multiple cpu faults)|(system.+state.+changed )|(\[timeout)|(PRM\|1\|D)|(kpr)|(kdp)|(\|lc)|(penalty))" /e /r /s</v>
      </c>
      <c r="AG160" s="1" t="str">
        <f t="shared" si="59"/>
        <v>NW</v>
      </c>
      <c r="AH160" s="92" t="str">
        <f t="shared" si="45"/>
        <v>"%USERPROFILE%\Documents\GitHub\eaglep3\Utilities\RefineRTDCRunTimes.py" --tripid 803-26 --locoid 4002 --swversion DE.1.0.8.0 --startMP 204:960 --initTime 2016-12-26T06:14:40 --startdatetime 2016-12-26T06:21:26 --delay 1 --endMP 300:58929 --enddatetime 2016-12-26T06:35:37 --enforcementcount 0 &gt;&gt;C:\Users\stu\Documents\GitHub\eaglep3-reporting\EC\2016-12-26-refined-times.txt</v>
      </c>
      <c r="AI160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{"issue":{"subject":"","project_id":79,"tracker_id":40,"status_id":1,"priority_id":2,"assigned_to_id":23,"start_date":"2016-12-26","description":"","custom_fields":[{"id":1,"name":"Subdivision","value":"NW"},{"id":4,"name":"Milepost","value":"5.8929"},{"id":17,"name":"Train ID","value":"803-26"},{"id":16,"name":"Locomotive ID","value":"4002"},{"id":130,"name":"Impact","value":""},{"id":150,"name":"Time of Event (Mountain Time)","value":"06:35:37"},{"id":151,"name":"Denver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487</v>
      </c>
      <c r="B161" s="7">
        <v>4001</v>
      </c>
      <c r="C161" s="22" t="s">
        <v>205</v>
      </c>
      <c r="D161" s="22" t="s">
        <v>729</v>
      </c>
      <c r="E161" s="13">
        <v>42730.27621527778</v>
      </c>
      <c r="F161" s="13">
        <v>42730.277905092589</v>
      </c>
      <c r="G161" s="7">
        <v>1</v>
      </c>
      <c r="H161" s="22" t="s">
        <v>730</v>
      </c>
      <c r="I161" s="13">
        <v>42730.288807870369</v>
      </c>
      <c r="J161" s="7">
        <v>0</v>
      </c>
      <c r="K161" s="109" t="str">
        <f t="shared" si="47"/>
        <v>4001/4002</v>
      </c>
      <c r="L161" s="22" t="str">
        <f>VLOOKUP(A161,'Trips&amp;Operators'!$C$1:$G$99999,5,FALSE)</f>
        <v>COMELLA JUSTIN</v>
      </c>
      <c r="M161" s="6">
        <f t="shared" si="48"/>
        <v>1.0902777779847383E-2</v>
      </c>
      <c r="N161" s="7">
        <f t="shared" si="42"/>
        <v>15.700000002980232</v>
      </c>
      <c r="O161" s="7"/>
      <c r="P161" s="7"/>
      <c r="Q161" s="23"/>
      <c r="R161" s="23"/>
      <c r="S161" s="35">
        <f t="shared" si="49"/>
        <v>1</v>
      </c>
      <c r="T161" s="50" t="str">
        <f t="shared" si="5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05:37:45-700',mode:absolute,to:'2016-12-26 07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1" s="52" t="str">
        <f t="shared" si="52"/>
        <v>N</v>
      </c>
      <c r="X161" s="177">
        <f t="shared" si="44"/>
        <v>1</v>
      </c>
      <c r="Y161" s="67">
        <f t="shared" si="53"/>
        <v>5.8609</v>
      </c>
      <c r="Z161" s="67">
        <f t="shared" si="54"/>
        <v>6.8000000000000005E-2</v>
      </c>
      <c r="AA161" s="67">
        <f t="shared" si="55"/>
        <v>5.7929000000000004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56"/>
        <v>0804-26</v>
      </c>
      <c r="AE161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61" s="88" t="str">
        <f t="shared" si="58"/>
        <v>"C:\Program Files (x86)\AstroGrep\AstroGrep.exe" /spath="%USERPROFILE%\AppData\Local\Temp\OnboardLogs" /stypes="app*4001*20161226*" /stext=" 13:.+((SYSTEM_STATE.+slice.+state.+changed )|(ment ac)|(multiple cpu faults)|(system.+state.+changed )|(\[timeout)|(PRM\|1\|D)|(kpr)|(kdp)|(\|lc)|(penalty))" /e /r /s</v>
      </c>
      <c r="AG161" s="1" t="str">
        <f t="shared" si="59"/>
        <v>NW</v>
      </c>
      <c r="AH161" s="92" t="str">
        <f t="shared" si="45"/>
        <v>"%USERPROFILE%\Documents\GitHub\eaglep3\Utilities\RefineRTDCRunTimes.py" --tripid 804-26 --locoid 4001 --swversion DE.1.0.8.0 --startMP 300:58609 --initTime 2016-12-26T06:37:45 --startdatetime 2016-12-26T06:40:11 --delay 1 --endMP 204:680 --enddatetime 2016-12-26T06:55:53 --enforcementcount 0 &gt;&gt;C:\Users\stu\Documents\GitHub\eaglep3-reporting\EC\2016-12-26-refined-times.txt</v>
      </c>
      <c r="AI161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{"issue":{"subject":"","project_id":79,"tracker_id":40,"status_id":1,"priority_id":2,"assigned_to_id":23,"start_date":"2016-12-26","description":"","custom_fields":[{"id":1,"name":"Subdivision","value":"NW"},{"id":4,"name":"Milepost","value":"0.068"},{"id":17,"name":"Train ID","value":"804-26"},{"id":16,"name":"Locomotive ID","value":"4001"},{"id":130,"name":"Impact","value":""},{"id":150,"name":"Time of Event (Mountain Time)","value":"06:55:53"},{"id":151,"name":"Denver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424</v>
      </c>
      <c r="B162" s="7">
        <v>4003</v>
      </c>
      <c r="C162" s="22" t="s">
        <v>205</v>
      </c>
      <c r="D162" s="22" t="s">
        <v>731</v>
      </c>
      <c r="E162" s="13">
        <v>42730.283449074072</v>
      </c>
      <c r="F162" s="13">
        <v>42730.285590277781</v>
      </c>
      <c r="G162" s="7">
        <v>1</v>
      </c>
      <c r="H162" s="22" t="s">
        <v>732</v>
      </c>
      <c r="I162" s="13">
        <v>42730.295567129629</v>
      </c>
      <c r="J162" s="7">
        <v>0</v>
      </c>
      <c r="K162" s="109" t="str">
        <f t="shared" si="47"/>
        <v>4003/4004</v>
      </c>
      <c r="L162" s="22" t="str">
        <f>VLOOKUP(A162,'Trips&amp;Operators'!$C$1:$G$99999,5,FALSE)</f>
        <v>DAVIS WENDY</v>
      </c>
      <c r="M162" s="6">
        <f t="shared" si="48"/>
        <v>9.9768518484779634E-3</v>
      </c>
      <c r="N162" s="7">
        <f t="shared" ref="N162:N193" si="60">24*60*SUM($M162:$M162)</f>
        <v>14.366666661808267</v>
      </c>
      <c r="O162" s="7"/>
      <c r="P162" s="7"/>
      <c r="Q162" s="23"/>
      <c r="R162" s="23"/>
      <c r="S162" s="35">
        <f t="shared" si="49"/>
        <v>1</v>
      </c>
      <c r="T162" s="50" t="str">
        <f t="shared" si="5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05:48:10-700',mode:absolute,to:'2016-12-26 08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2" s="52" t="str">
        <f t="shared" si="52"/>
        <v>N</v>
      </c>
      <c r="X162" s="177">
        <f t="shared" si="44"/>
        <v>1</v>
      </c>
      <c r="Y162" s="67">
        <f t="shared" si="53"/>
        <v>9.0200000000000002E-2</v>
      </c>
      <c r="Z162" s="67">
        <f t="shared" si="54"/>
        <v>5.9016000000000002</v>
      </c>
      <c r="AA162" s="67">
        <f t="shared" si="55"/>
        <v>5.8113999999999999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56"/>
        <v>0805-26</v>
      </c>
      <c r="AE162" s="91" t="str">
        <f t="shared" si="57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162" s="88" t="str">
        <f t="shared" si="58"/>
        <v>"C:\Program Files (x86)\AstroGrep\AstroGrep.exe" /spath="%USERPROFILE%\AppData\Local\Temp\OnboardLogs" /stypes="app*4003*20161226*" /stext=" 14:.+((SYSTEM_STATE.+slice.+state.+changed )|(ment ac)|(multiple cpu faults)|(system.+state.+changed )|(\[timeout)|(PRM\|1\|D)|(kpr)|(kdp)|(\|lc)|(penalty))" /e /r /s</v>
      </c>
      <c r="AG162" s="1" t="str">
        <f t="shared" si="59"/>
        <v>NW</v>
      </c>
      <c r="AH162" s="92" t="str">
        <f t="shared" si="45"/>
        <v>"%USERPROFILE%\Documents\GitHub\eaglep3\Utilities\RefineRTDCRunTimes.py" --tripid 805-26 --locoid 4003 --swversion DE.1.0.8.0 --startMP 204:902 --initTime 2016-12-26T06:48:10 --startdatetime 2016-12-26T06:51:15 --delay 1 --endMP 300:59016 --enddatetime 2016-12-26T07:05:37 --enforcementcount 0 &gt;&gt;C:\Users\stu\Documents\GitHub\eaglep3-reporting\EC\2016-12-26-refined-times.txt</v>
      </c>
      <c r="AI162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{"issue":{"subject":"","project_id":79,"tracker_id":40,"status_id":1,"priority_id":2,"assigned_to_id":23,"start_date":"2016-12-26","description":"","custom_fields":[{"id":1,"name":"Subdivision","value":"NW"},{"id":4,"name":"Milepost","value":"5.9016"},{"id":17,"name":"Train ID","value":"805-26"},{"id":16,"name":"Locomotive ID","value":"4003"},{"id":130,"name":"Impact","value":""},{"id":150,"name":"Time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426</v>
      </c>
      <c r="B163" s="7">
        <v>4004</v>
      </c>
      <c r="C163" s="22" t="s">
        <v>205</v>
      </c>
      <c r="D163" s="22" t="s">
        <v>733</v>
      </c>
      <c r="E163" s="13">
        <v>42730.296793981484</v>
      </c>
      <c r="F163" s="13">
        <v>42730.297997685186</v>
      </c>
      <c r="G163" s="7">
        <v>1</v>
      </c>
      <c r="H163" s="22" t="s">
        <v>734</v>
      </c>
      <c r="I163" s="13">
        <v>42730.310104166667</v>
      </c>
      <c r="J163" s="7">
        <v>0</v>
      </c>
      <c r="K163" s="109" t="str">
        <f t="shared" si="47"/>
        <v>4003/4004</v>
      </c>
      <c r="L163" s="22" t="str">
        <f>VLOOKUP(A163,'Trips&amp;Operators'!$C$1:$G$99999,5,FALSE)</f>
        <v>DAVIS WENDY</v>
      </c>
      <c r="M163" s="6">
        <f t="shared" si="48"/>
        <v>1.2106481481168885E-2</v>
      </c>
      <c r="N163" s="7">
        <f t="shared" si="60"/>
        <v>17.433333332883194</v>
      </c>
      <c r="O163" s="7"/>
      <c r="P163" s="7"/>
      <c r="Q163" s="23"/>
      <c r="R163" s="23"/>
      <c r="S163" s="35">
        <f t="shared" si="49"/>
        <v>1</v>
      </c>
      <c r="T163" s="50" t="str">
        <f t="shared" si="5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06:07:23-700',mode:absolute,to:'2016-12-26 08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3" s="52" t="str">
        <f t="shared" si="52"/>
        <v>N</v>
      </c>
      <c r="X163" s="177">
        <f t="shared" si="44"/>
        <v>1</v>
      </c>
      <c r="Y163" s="67">
        <f t="shared" si="53"/>
        <v>5.8697999999999997</v>
      </c>
      <c r="Z163" s="67">
        <f t="shared" si="54"/>
        <v>6.2899999999999998E-2</v>
      </c>
      <c r="AA163" s="67">
        <f t="shared" si="55"/>
        <v>5.8068999999999997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56"/>
        <v>0806-26</v>
      </c>
      <c r="AE163" s="91" t="str">
        <f t="shared" si="57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163" s="88" t="str">
        <f t="shared" si="58"/>
        <v>"C:\Program Files (x86)\AstroGrep\AstroGrep.exe" /spath="%USERPROFILE%\AppData\Local\Temp\OnboardLogs" /stypes="app*4004*20161226*" /stext=" 14:.+((SYSTEM_STATE.+slice.+state.+changed )|(ment ac)|(multiple cpu faults)|(system.+state.+changed )|(\[timeout)|(PRM\|1\|D)|(kpr)|(kdp)|(\|lc)|(penalty))" /e /r /s</v>
      </c>
      <c r="AG163" s="1" t="str">
        <f t="shared" si="59"/>
        <v>NW</v>
      </c>
      <c r="AH163" s="92" t="str">
        <f t="shared" si="45"/>
        <v>"%USERPROFILE%\Documents\GitHub\eaglep3\Utilities\RefineRTDCRunTimes.py" --tripid 806-26 --locoid 4004 --swversion DE.1.0.8.0 --startMP 300:58698 --initTime 2016-12-26T07:07:23 --startdatetime 2016-12-26T07:09:07 --delay 1 --endMP 204:629 --enddatetime 2016-12-26T07:26:33 --enforcementcount 0 &gt;&gt;C:\Users\stu\Documents\GitHub\eaglep3-reporting\EC\2016-12-26-refined-times.txt</v>
      </c>
      <c r="AI163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{"issue":{"subject":"","project_id":79,"tracker_id":40,"status_id":1,"priority_id":2,"assigned_to_id":23,"start_date":"2016-12-26","description":"","custom_fields":[{"id":1,"name":"Subdivision","value":"NW"},{"id":4,"name":"Milepost","value":"0.0629"},{"id":17,"name":"Train ID","value":"806-26"},{"id":16,"name":"Locomotive ID","value":"4004"},{"id":130,"name":"Impact","value":""},{"id":150,"name":"Time of Event (Mountain Time)","value":"07:26:33"},{"id":151,"name":"Denver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491</v>
      </c>
      <c r="B164" s="7">
        <v>4002</v>
      </c>
      <c r="C164" s="22" t="s">
        <v>205</v>
      </c>
      <c r="D164" s="22" t="s">
        <v>735</v>
      </c>
      <c r="E164" s="13">
        <v>42730.30395833333</v>
      </c>
      <c r="F164" s="13">
        <v>42730.306516203702</v>
      </c>
      <c r="G164" s="7">
        <v>1</v>
      </c>
      <c r="H164" s="22" t="s">
        <v>341</v>
      </c>
      <c r="I164" s="13">
        <v>42730.316655092596</v>
      </c>
      <c r="J164" s="7">
        <v>0</v>
      </c>
      <c r="K164" s="109" t="str">
        <f t="shared" si="47"/>
        <v>4001/4002</v>
      </c>
      <c r="L164" s="22" t="str">
        <f>VLOOKUP(A164,'Trips&amp;Operators'!$C$1:$G$99999,5,FALSE)</f>
        <v>COMELLA JUSTIN</v>
      </c>
      <c r="M164" s="6">
        <f t="shared" si="48"/>
        <v>1.0138888894289266E-2</v>
      </c>
      <c r="N164" s="7">
        <f t="shared" si="60"/>
        <v>14.600000007776543</v>
      </c>
      <c r="O164" s="7"/>
      <c r="P164" s="7"/>
      <c r="Q164" s="23"/>
      <c r="R164" s="23"/>
      <c r="S164" s="35">
        <f t="shared" si="49"/>
        <v>1</v>
      </c>
      <c r="T164" s="50" t="str">
        <f t="shared" si="5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06:17:42-700',mode:absolute,to:'2016-12-26 08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4" s="52" t="str">
        <f t="shared" si="52"/>
        <v>N</v>
      </c>
      <c r="X164" s="177">
        <f t="shared" si="44"/>
        <v>1</v>
      </c>
      <c r="Y164" s="67">
        <f t="shared" si="53"/>
        <v>9.6699999999999994E-2</v>
      </c>
      <c r="Z164" s="67">
        <f t="shared" si="54"/>
        <v>5.8935000000000004</v>
      </c>
      <c r="AA164" s="67">
        <f t="shared" si="55"/>
        <v>5.7968000000000002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56"/>
        <v>0807-26</v>
      </c>
      <c r="AE164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64" s="88" t="str">
        <f t="shared" si="58"/>
        <v>"C:\Program Files (x86)\AstroGrep\AstroGrep.exe" /spath="%USERPROFILE%\AppData\Local\Temp\OnboardLogs" /stypes="app*4002*20161226*" /stext=" 14:.+((SYSTEM_STATE.+slice.+state.+changed )|(ment ac)|(multiple cpu faults)|(system.+state.+changed )|(\[timeout)|(PRM\|1\|D)|(kpr)|(kdp)|(\|lc)|(penalty))" /e /r /s</v>
      </c>
      <c r="AG164" s="1" t="str">
        <f t="shared" si="59"/>
        <v>NW</v>
      </c>
      <c r="AH164" s="92" t="str">
        <f t="shared" si="45"/>
        <v>"%USERPROFILE%\Documents\GitHub\eaglep3\Utilities\RefineRTDCRunTimes.py" --tripid 807-26 --locoid 4002 --swversion DE.1.0.8.0 --startMP 204:967 --initTime 2016-12-26T07:17:42 --startdatetime 2016-12-26T07:21:23 --delay 1 --endMP 300:58935 --enddatetime 2016-12-26T07:35:59 --enforcementcount 0 &gt;&gt;C:\Users\stu\Documents\GitHub\eaglep3-reporting\EC\2016-12-26-refined-times.txt</v>
      </c>
      <c r="AI164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{"issue":{"subject":"","project_id":79,"tracker_id":40,"status_id":1,"priority_id":2,"assigned_to_id":23,"start_date":"2016-12-26","description":"","custom_fields":[{"id":1,"name":"Subdivision","value":"NW"},{"id":4,"name":"Milepost","value":"5.8935"},{"id":17,"name":"Train ID","value":"807-26"},{"id":16,"name":"Locomotive ID","value":"4002"},{"id":130,"name":"Impact","value":""},{"id":150,"name":"Time of Event (Mountain Time)","value":"07:35:59"},{"id":151,"name":"Denver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493</v>
      </c>
      <c r="B165" s="7">
        <v>4001</v>
      </c>
      <c r="C165" s="22" t="s">
        <v>205</v>
      </c>
      <c r="D165" s="22" t="s">
        <v>408</v>
      </c>
      <c r="E165" s="13">
        <v>42730.317696759259</v>
      </c>
      <c r="F165" s="13">
        <v>42730.319293981483</v>
      </c>
      <c r="G165" s="7">
        <v>1</v>
      </c>
      <c r="H165" s="22" t="s">
        <v>736</v>
      </c>
      <c r="I165" s="13">
        <v>42730.330833333333</v>
      </c>
      <c r="J165" s="7">
        <v>0</v>
      </c>
      <c r="K165" s="109" t="str">
        <f t="shared" si="47"/>
        <v>4001/4002</v>
      </c>
      <c r="L165" s="22" t="str">
        <f>VLOOKUP(A165,'Trips&amp;Operators'!$C$1:$G$99999,5,FALSE)</f>
        <v>COMELLA JUSTIN</v>
      </c>
      <c r="M165" s="6">
        <f t="shared" si="48"/>
        <v>1.1539351849933155E-2</v>
      </c>
      <c r="N165" s="7">
        <f t="shared" si="60"/>
        <v>16.616666663903743</v>
      </c>
      <c r="O165" s="7"/>
      <c r="P165" s="7"/>
      <c r="Q165" s="23"/>
      <c r="R165" s="23"/>
      <c r="S165" s="35">
        <f t="shared" si="49"/>
        <v>1</v>
      </c>
      <c r="T165" s="50" t="str">
        <f t="shared" si="5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06:37:29-700',mode:absolute,to:'2016-12-26 08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5" s="52" t="str">
        <f t="shared" si="52"/>
        <v>N</v>
      </c>
      <c r="X165" s="177">
        <f t="shared" ref="X165:X196" si="61">VALUE(LEFT(AD165,4))-VALUE(LEFT(AD164,4))</f>
        <v>1</v>
      </c>
      <c r="Y165" s="67">
        <f t="shared" si="53"/>
        <v>5.8611000000000004</v>
      </c>
      <c r="Z165" s="67">
        <f t="shared" si="54"/>
        <v>6.6400000000000001E-2</v>
      </c>
      <c r="AA165" s="67">
        <f t="shared" si="55"/>
        <v>5.7947000000000006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56"/>
        <v>0808-26</v>
      </c>
      <c r="AE165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65" s="88" t="str">
        <f t="shared" si="58"/>
        <v>"C:\Program Files (x86)\AstroGrep\AstroGrep.exe" /spath="%USERPROFILE%\AppData\Local\Temp\OnboardLogs" /stypes="app*4001*20161226*" /stext=" 14:.+((SYSTEM_STATE.+slice.+state.+changed )|(ment ac)|(multiple cpu faults)|(system.+state.+changed )|(\[timeout)|(PRM\|1\|D)|(kpr)|(kdp)|(\|lc)|(penalty))" /e /r /s</v>
      </c>
      <c r="AG165" s="1" t="str">
        <f t="shared" si="59"/>
        <v>NW</v>
      </c>
      <c r="AH165" s="92" t="str">
        <f t="shared" si="45"/>
        <v>"%USERPROFILE%\Documents\GitHub\eaglep3\Utilities\RefineRTDCRunTimes.py" --tripid 808-26 --locoid 4001 --swversion DE.1.0.8.0 --startMP 300:58611 --initTime 2016-12-26T07:37:29 --startdatetime 2016-12-26T07:39:47 --delay 1 --endMP 204:664 --enddatetime 2016-12-26T07:56:24 --enforcementcount 0 &gt;&gt;C:\Users\stu\Documents\GitHub\eaglep3-reporting\EC\2016-12-26-refined-times.txt</v>
      </c>
      <c r="AI165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{"issue":{"subject":"","project_id":79,"tracker_id":40,"status_id":1,"priority_id":2,"assigned_to_id":23,"start_date":"2016-12-26","description":"","custom_fields":[{"id":1,"name":"Subdivision","value":"NW"},{"id":4,"name":"Milepost","value":"0.0664"},{"id":17,"name":"Train ID","value":"808-26"},{"id":16,"name":"Locomotive ID","value":"4001"},{"id":130,"name":"Impact","value":""},{"id":150,"name":"Time of Event (Mountain Time)","value":"07:56:24"},{"id":151,"name":"Denver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429</v>
      </c>
      <c r="B166" s="7">
        <v>4003</v>
      </c>
      <c r="C166" s="22" t="s">
        <v>205</v>
      </c>
      <c r="D166" s="22" t="s">
        <v>716</v>
      </c>
      <c r="E166" s="13">
        <v>42730.324374999997</v>
      </c>
      <c r="F166" s="13">
        <v>42730.327256944445</v>
      </c>
      <c r="G166" s="7">
        <v>1</v>
      </c>
      <c r="H166" s="22" t="s">
        <v>724</v>
      </c>
      <c r="I166" s="13">
        <v>42730.337268518517</v>
      </c>
      <c r="J166" s="7">
        <v>0</v>
      </c>
      <c r="K166" s="109" t="str">
        <f t="shared" si="47"/>
        <v>4003/4004</v>
      </c>
      <c r="L166" s="22" t="str">
        <f>VLOOKUP(A166,'Trips&amp;Operators'!$C$1:$G$99999,5,FALSE)</f>
        <v>DAVIS WENDY</v>
      </c>
      <c r="M166" s="6">
        <f t="shared" si="48"/>
        <v>1.0011574071540963E-2</v>
      </c>
      <c r="N166" s="7">
        <f t="shared" si="60"/>
        <v>14.416666663018987</v>
      </c>
      <c r="O166" s="7"/>
      <c r="P166" s="7"/>
      <c r="Q166" s="23"/>
      <c r="R166" s="23"/>
      <c r="S166" s="35">
        <f t="shared" si="49"/>
        <v>1</v>
      </c>
      <c r="T166" s="50" t="str">
        <f t="shared" si="5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06:47:06-700',mode:absolute,to:'2016-12-26 09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6" s="52" t="str">
        <f t="shared" si="52"/>
        <v>N</v>
      </c>
      <c r="X166" s="177">
        <f t="shared" si="61"/>
        <v>1</v>
      </c>
      <c r="Y166" s="67">
        <f t="shared" si="53"/>
        <v>9.0399999999999994E-2</v>
      </c>
      <c r="Z166" s="67">
        <f t="shared" si="54"/>
        <v>5.9017999999999997</v>
      </c>
      <c r="AA166" s="67">
        <f t="shared" si="55"/>
        <v>5.8113999999999999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56"/>
        <v>0809-26</v>
      </c>
      <c r="AE166" s="91" t="str">
        <f t="shared" si="57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166" s="88" t="str">
        <f t="shared" si="58"/>
        <v>"C:\Program Files (x86)\AstroGrep\AstroGrep.exe" /spath="%USERPROFILE%\AppData\Local\Temp\OnboardLogs" /stypes="app*4003*20161226*" /stext=" 15:.+((SYSTEM_STATE.+slice.+state.+changed )|(ment ac)|(multiple cpu faults)|(system.+state.+changed )|(\[timeout)|(PRM\|1\|D)|(kpr)|(kdp)|(\|lc)|(penalty))" /e /r /s</v>
      </c>
      <c r="AG166" s="1" t="str">
        <f t="shared" si="59"/>
        <v>NW</v>
      </c>
      <c r="AH166" s="92" t="str">
        <f t="shared" si="45"/>
        <v>"%USERPROFILE%\Documents\GitHub\eaglep3\Utilities\RefineRTDCRunTimes.py" --tripid 809-26 --locoid 4003 --swversion DE.1.0.8.0 --startMP 204:904 --initTime 2016-12-26T07:47:06 --startdatetime 2016-12-26T07:51:15 --delay 1 --endMP 300:59018 --enddatetime 2016-12-26T08:05:40 --enforcementcount 0 &gt;&gt;C:\Users\stu\Documents\GitHub\eaglep3-reporting\EC\2016-12-26-refined-times.txt</v>
      </c>
      <c r="AI166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{"issue":{"subject":"","project_id":79,"tracker_id":40,"status_id":1,"priority_id":2,"assigned_to_id":23,"start_date":"2016-12-26","description":"","custom_fields":[{"id":1,"name":"Subdivision","value":"NW"},{"id":4,"name":"Milepost","value":"5.9018"},{"id":17,"name":"Train ID","value":"809-26"},{"id":16,"name":"Locomotive ID","value":"4003"},{"id":130,"name":"Impact","value":""},{"id":150,"name":"Time of Event (Mountain Time)","value":"08:05:40"},{"id":151,"name":"Denver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498</v>
      </c>
      <c r="B167" s="7">
        <v>4004</v>
      </c>
      <c r="C167" s="22" t="s">
        <v>205</v>
      </c>
      <c r="D167" s="22" t="s">
        <v>737</v>
      </c>
      <c r="E167" s="13">
        <v>42730.338750000003</v>
      </c>
      <c r="F167" s="13">
        <v>42730.34002314815</v>
      </c>
      <c r="G167" s="7">
        <v>1</v>
      </c>
      <c r="H167" s="22" t="s">
        <v>738</v>
      </c>
      <c r="I167" s="13">
        <v>42730.3518287037</v>
      </c>
      <c r="J167" s="7">
        <v>0</v>
      </c>
      <c r="K167" s="109" t="str">
        <f t="shared" si="47"/>
        <v>4003/4004</v>
      </c>
      <c r="L167" s="22" t="str">
        <f>VLOOKUP(A167,'Trips&amp;Operators'!$C$1:$G$99999,5,FALSE)</f>
        <v>DAVIS WENDY</v>
      </c>
      <c r="M167" s="6">
        <f t="shared" si="48"/>
        <v>1.1805555550381541E-2</v>
      </c>
      <c r="N167" s="7">
        <f t="shared" si="60"/>
        <v>16.999999992549419</v>
      </c>
      <c r="O167" s="7"/>
      <c r="P167" s="7"/>
      <c r="Q167" s="23"/>
      <c r="R167" s="23"/>
      <c r="S167" s="35">
        <f t="shared" si="49"/>
        <v>1</v>
      </c>
      <c r="T167" s="50" t="str">
        <f t="shared" si="5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07:07:48-700',mode:absolute,to:'2016-12-26 09:26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7" s="52" t="str">
        <f t="shared" si="52"/>
        <v>N</v>
      </c>
      <c r="X167" s="177">
        <f t="shared" si="61"/>
        <v>1</v>
      </c>
      <c r="Y167" s="67">
        <f t="shared" si="53"/>
        <v>5.8707000000000003</v>
      </c>
      <c r="Z167" s="67">
        <f t="shared" si="54"/>
        <v>6.2600000000000003E-2</v>
      </c>
      <c r="AA167" s="67">
        <f t="shared" si="55"/>
        <v>5.8081000000000005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56"/>
        <v>0810-26</v>
      </c>
      <c r="AE167" s="91" t="str">
        <f t="shared" si="57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167" s="88" t="str">
        <f t="shared" si="58"/>
        <v>"C:\Program Files (x86)\AstroGrep\AstroGrep.exe" /spath="%USERPROFILE%\AppData\Local\Temp\OnboardLogs" /stypes="app*4004*20161226*" /stext=" 15:.+((SYSTEM_STATE.+slice.+state.+changed )|(ment ac)|(multiple cpu faults)|(system.+state.+changed )|(\[timeout)|(PRM\|1\|D)|(kpr)|(kdp)|(\|lc)|(penalty))" /e /r /s</v>
      </c>
      <c r="AG167" s="1" t="str">
        <f t="shared" si="59"/>
        <v>NW</v>
      </c>
      <c r="AH167" s="92" t="str">
        <f t="shared" si="45"/>
        <v>"%USERPROFILE%\Documents\GitHub\eaglep3\Utilities\RefineRTDCRunTimes.py" --tripid 810-26 --locoid 4004 --swversion DE.1.0.8.0 --startMP 300:58707 --initTime 2016-12-26T08:07:48 --startdatetime 2016-12-26T08:09:38 --delay 1 --endMP 204:626 --enddatetime 2016-12-26T08:26:38 --enforcementcount 0 &gt;&gt;C:\Users\stu\Documents\GitHub\eaglep3-reporting\EC\2016-12-26-refined-times.txt</v>
      </c>
      <c r="AI167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{"issue":{"subject":"","project_id":79,"tracker_id":40,"status_id":1,"priority_id":2,"assigned_to_id":23,"start_date":"2016-12-26","description":"","custom_fields":[{"id":1,"name":"Subdivision","value":"NW"},{"id":4,"name":"Milepost","value":"0.0626"},{"id":17,"name":"Train ID","value":"810-26"},{"id":16,"name":"Locomotive ID","value":"4004"},{"id":130,"name":"Impact","value":""},{"id":150,"name":"Time of Event (Mountain Time)","value":"08:26:38"},{"id":151,"name":"Denver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501</v>
      </c>
      <c r="B168" s="7">
        <v>4002</v>
      </c>
      <c r="C168" s="22" t="s">
        <v>205</v>
      </c>
      <c r="D168" s="22" t="s">
        <v>739</v>
      </c>
      <c r="E168" s="13">
        <v>42730.346886574072</v>
      </c>
      <c r="F168" s="13">
        <v>42730.34814814815</v>
      </c>
      <c r="G168" s="7">
        <v>1</v>
      </c>
      <c r="H168" s="22" t="s">
        <v>740</v>
      </c>
      <c r="I168" s="13">
        <v>42730.358159722222</v>
      </c>
      <c r="J168" s="7">
        <v>0</v>
      </c>
      <c r="K168" s="109" t="str">
        <f t="shared" si="47"/>
        <v>4001/4002</v>
      </c>
      <c r="L168" s="22" t="str">
        <f>VLOOKUP(A168,'Trips&amp;Operators'!$C$1:$G$99999,5,FALSE)</f>
        <v>COMELLA JUSTIN</v>
      </c>
      <c r="M168" s="6">
        <f t="shared" si="48"/>
        <v>1.0011574071540963E-2</v>
      </c>
      <c r="N168" s="7">
        <f t="shared" si="60"/>
        <v>14.416666663018987</v>
      </c>
      <c r="O168" s="7"/>
      <c r="P168" s="7"/>
      <c r="Q168" s="23"/>
      <c r="R168" s="23"/>
      <c r="S168" s="35">
        <f t="shared" si="49"/>
        <v>1</v>
      </c>
      <c r="T168" s="50" t="str">
        <f t="shared" si="5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07:19:31-700',mode:absolute,to:'2016-12-26 09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8" s="52" t="str">
        <f t="shared" si="52"/>
        <v>N</v>
      </c>
      <c r="X168" s="177">
        <f t="shared" si="61"/>
        <v>1</v>
      </c>
      <c r="Y168" s="67">
        <f t="shared" si="53"/>
        <v>9.64E-2</v>
      </c>
      <c r="Z168" s="67">
        <f t="shared" si="54"/>
        <v>5.8945999999999996</v>
      </c>
      <c r="AA168" s="67">
        <f t="shared" si="55"/>
        <v>5.7981999999999996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56"/>
        <v>0811-26</v>
      </c>
      <c r="AE168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68" s="88" t="str">
        <f t="shared" si="58"/>
        <v>"C:\Program Files (x86)\AstroGrep\AstroGrep.exe" /spath="%USERPROFILE%\AppData\Local\Temp\OnboardLogs" /stypes="app*4002*20161226*" /stext=" 15:.+((SYSTEM_STATE.+slice.+state.+changed )|(ment ac)|(multiple cpu faults)|(system.+state.+changed )|(\[timeout)|(PRM\|1\|D)|(kpr)|(kdp)|(\|lc)|(penalty))" /e /r /s</v>
      </c>
      <c r="AG168" s="1" t="str">
        <f t="shared" si="59"/>
        <v>NW</v>
      </c>
      <c r="AH168" s="92" t="str">
        <f t="shared" si="45"/>
        <v>"%USERPROFILE%\Documents\GitHub\eaglep3\Utilities\RefineRTDCRunTimes.py" --tripid 811-26 --locoid 4002 --swversion DE.1.0.8.0 --startMP 204:964 --initTime 2016-12-26T08:19:31 --startdatetime 2016-12-26T08:21:20 --delay 1 --endMP 300:58946 --enddatetime 2016-12-26T08:35:45 --enforcementcount 0 &gt;&gt;C:\Users\stu\Documents\GitHub\eaglep3-reporting\EC\2016-12-26-refined-times.txt</v>
      </c>
      <c r="AI168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{"issue":{"subject":"","project_id":79,"tracker_id":40,"status_id":1,"priority_id":2,"assigned_to_id":23,"start_date":"2016-12-26","description":"","custom_fields":[{"id":1,"name":"Subdivision","value":"NW"},{"id":4,"name":"Milepost","value":"5.8946"},{"id":17,"name":"Train ID","value":"811-26"},{"id":16,"name":"Locomotive ID","value":"4002"},{"id":130,"name":"Impact","value":""},{"id":150,"name":"Time of Event (Mountain Time)","value":"08:35:45"},{"id":151,"name":"Denver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505</v>
      </c>
      <c r="B169" s="7">
        <v>4001</v>
      </c>
      <c r="C169" s="22" t="s">
        <v>205</v>
      </c>
      <c r="D169" s="22" t="s">
        <v>410</v>
      </c>
      <c r="E169" s="13">
        <v>42730.359733796293</v>
      </c>
      <c r="F169" s="13">
        <v>42730.361400462964</v>
      </c>
      <c r="G169" s="7">
        <v>1</v>
      </c>
      <c r="H169" s="22" t="s">
        <v>741</v>
      </c>
      <c r="I169" s="13">
        <v>42730.371898148151</v>
      </c>
      <c r="J169" s="7">
        <v>0</v>
      </c>
      <c r="K169" s="109" t="str">
        <f t="shared" si="47"/>
        <v>4001/4002</v>
      </c>
      <c r="L169" s="22" t="str">
        <f>VLOOKUP(A169,'Trips&amp;Operators'!$C$1:$G$99999,5,FALSE)</f>
        <v>COMELLA JUSTIN</v>
      </c>
      <c r="M169" s="6">
        <f t="shared" si="48"/>
        <v>1.0497685187146999E-2</v>
      </c>
      <c r="N169" s="7">
        <f t="shared" si="60"/>
        <v>15.116666669491678</v>
      </c>
      <c r="O169" s="7"/>
      <c r="P169" s="7"/>
      <c r="Q169" s="23"/>
      <c r="R169" s="23"/>
      <c r="S169" s="35">
        <f t="shared" si="49"/>
        <v>1</v>
      </c>
      <c r="T169" s="50" t="str">
        <f t="shared" si="5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07:38:01-700',mode:absolute,to:'2016-12-26 09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9" s="52" t="str">
        <f t="shared" si="52"/>
        <v>N</v>
      </c>
      <c r="X169" s="177">
        <f t="shared" si="61"/>
        <v>1</v>
      </c>
      <c r="Y169" s="67">
        <f t="shared" si="53"/>
        <v>5.8638000000000003</v>
      </c>
      <c r="Z169" s="67">
        <f t="shared" si="54"/>
        <v>6.8500000000000005E-2</v>
      </c>
      <c r="AA169" s="67">
        <f t="shared" si="55"/>
        <v>5.7953000000000001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56"/>
        <v>0812-26</v>
      </c>
      <c r="AE169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69" s="88" t="str">
        <f t="shared" si="58"/>
        <v>"C:\Program Files (x86)\AstroGrep\AstroGrep.exe" /spath="%USERPROFILE%\AppData\Local\Temp\OnboardLogs" /stypes="app*4001*20161226*" /stext=" 15:.+((SYSTEM_STATE.+slice.+state.+changed )|(ment ac)|(multiple cpu faults)|(system.+state.+changed )|(\[timeout)|(PRM\|1\|D)|(kpr)|(kdp)|(\|lc)|(penalty))" /e /r /s</v>
      </c>
      <c r="AG169" s="1" t="str">
        <f t="shared" si="59"/>
        <v>NW</v>
      </c>
      <c r="AH169" s="92" t="str">
        <f t="shared" si="45"/>
        <v>"%USERPROFILE%\Documents\GitHub\eaglep3\Utilities\RefineRTDCRunTimes.py" --tripid 812-26 --locoid 4001 --swversion DE.1.0.8.0 --startMP 300:58638 --initTime 2016-12-26T08:38:01 --startdatetime 2016-12-26T08:40:25 --delay 1 --endMP 204:685 --enddatetime 2016-12-26T08:55:32 --enforcementcount 0 &gt;&gt;C:\Users\stu\Documents\GitHub\eaglep3-reporting\EC\2016-12-26-refined-times.txt</v>
      </c>
      <c r="AI169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{"issue":{"subject":"","project_id":79,"tracker_id":40,"status_id":1,"priority_id":2,"assigned_to_id":23,"start_date":"2016-12-26","description":"","custom_fields":[{"id":1,"name":"Subdivision","value":"NW"},{"id":4,"name":"Milepost","value":"0.0685"},{"id":17,"name":"Train ID","value":"812-26"},{"id":16,"name":"Locomotive ID","value":"4001"},{"id":130,"name":"Impact","value":""},{"id":150,"name":"Time of Event (Mountain Time)","value":"08:55:32"},{"id":151,"name":"Denver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511</v>
      </c>
      <c r="B170" s="7">
        <v>4002</v>
      </c>
      <c r="C170" s="22" t="s">
        <v>205</v>
      </c>
      <c r="D170" s="22" t="s">
        <v>742</v>
      </c>
      <c r="E170" s="13">
        <v>42730.388240740744</v>
      </c>
      <c r="F170" s="13">
        <v>42730.389791666668</v>
      </c>
      <c r="G170" s="7">
        <v>1</v>
      </c>
      <c r="H170" s="22" t="s">
        <v>743</v>
      </c>
      <c r="I170" s="13">
        <v>42730.399780092594</v>
      </c>
      <c r="J170" s="7">
        <v>0</v>
      </c>
      <c r="K170" s="109" t="str">
        <f t="shared" si="47"/>
        <v>4001/4002</v>
      </c>
      <c r="L170" s="22" t="str">
        <f>VLOOKUP(A170,'Trips&amp;Operators'!$C$1:$G$99999,5,FALSE)</f>
        <v>COMELLA JUSTIN</v>
      </c>
      <c r="M170" s="6">
        <f t="shared" si="48"/>
        <v>9.9884259252576157E-3</v>
      </c>
      <c r="N170" s="7">
        <f t="shared" si="60"/>
        <v>14.383333332370967</v>
      </c>
      <c r="O170" s="7"/>
      <c r="P170" s="7"/>
      <c r="Q170" s="23"/>
      <c r="R170" s="23"/>
      <c r="S170" s="35">
        <f t="shared" si="49"/>
        <v>1</v>
      </c>
      <c r="T170" s="50" t="str">
        <f t="shared" si="5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08:19:04-700',mode:absolute,to:'2016-12-26 10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0" s="52" t="str">
        <f t="shared" si="52"/>
        <v>N</v>
      </c>
      <c r="X170" s="177">
        <f t="shared" si="61"/>
        <v>1</v>
      </c>
      <c r="Y170" s="67">
        <f t="shared" si="53"/>
        <v>9.7100000000000006E-2</v>
      </c>
      <c r="Z170" s="67">
        <f t="shared" si="54"/>
        <v>5.8921999999999999</v>
      </c>
      <c r="AA170" s="67">
        <f t="shared" si="55"/>
        <v>5.7950999999999997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56"/>
        <v>0813-26</v>
      </c>
      <c r="AE170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70" s="88" t="str">
        <f t="shared" si="58"/>
        <v>"C:\Program Files (x86)\AstroGrep\AstroGrep.exe" /spath="%USERPROFILE%\AppData\Local\Temp\OnboardLogs" /stypes="app*4002*20161226*" /stext=" 16:.+((SYSTEM_STATE.+slice.+state.+changed )|(ment ac)|(multiple cpu faults)|(system.+state.+changed )|(\[timeout)|(PRM\|1\|D)|(kpr)|(kdp)|(\|lc)|(penalty))" /e /r /s</v>
      </c>
      <c r="AG170" s="1" t="str">
        <f t="shared" si="59"/>
        <v>NW</v>
      </c>
      <c r="AH170" s="92" t="str">
        <f t="shared" si="45"/>
        <v>"%USERPROFILE%\Documents\GitHub\eaglep3\Utilities\RefineRTDCRunTimes.py" --tripid 813-26 --locoid 4002 --swversion DE.1.0.8.0 --startMP 204:971 --initTime 2016-12-26T09:19:04 --startdatetime 2016-12-26T09:21:18 --delay 1 --endMP 300:58922 --enddatetime 2016-12-26T09:35:41 --enforcementcount 0 &gt;&gt;C:\Users\stu\Documents\GitHub\eaglep3-reporting\EC\2016-12-26-refined-times.txt</v>
      </c>
      <c r="AI170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{"issue":{"subject":"","project_id":79,"tracker_id":40,"status_id":1,"priority_id":2,"assigned_to_id":23,"start_date":"2016-12-26","description":"","custom_fields":[{"id":1,"name":"Subdivision","value":"NW"},{"id":4,"name":"Milepost","value":"5.8922"},{"id":17,"name":"Train ID","value":"813-26"},{"id":16,"name":"Locomotive ID","value":"4002"},{"id":130,"name":"Impact","value":""},{"id":150,"name":"Time of Event (Mountain Time)","value":"09:35:41"},{"id":151,"name":"Denver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513</v>
      </c>
      <c r="B171" s="7">
        <v>4001</v>
      </c>
      <c r="C171" s="22" t="s">
        <v>205</v>
      </c>
      <c r="D171" s="22" t="s">
        <v>744</v>
      </c>
      <c r="E171" s="13">
        <v>42730.400787037041</v>
      </c>
      <c r="F171" s="13">
        <v>42730.402418981481</v>
      </c>
      <c r="G171" s="7">
        <v>1</v>
      </c>
      <c r="H171" s="22" t="s">
        <v>745</v>
      </c>
      <c r="I171" s="13">
        <v>42730.413958333331</v>
      </c>
      <c r="J171" s="7">
        <v>0</v>
      </c>
      <c r="K171" s="109" t="str">
        <f t="shared" si="47"/>
        <v>4001/4002</v>
      </c>
      <c r="L171" s="22" t="str">
        <f>VLOOKUP(A171,'Trips&amp;Operators'!$C$1:$G$99999,5,FALSE)</f>
        <v>COMELLA JUSTIN</v>
      </c>
      <c r="M171" s="6">
        <f t="shared" si="48"/>
        <v>1.1539351849933155E-2</v>
      </c>
      <c r="N171" s="7">
        <f t="shared" si="60"/>
        <v>16.616666663903743</v>
      </c>
      <c r="O171" s="7"/>
      <c r="P171" s="7"/>
      <c r="Q171" s="23"/>
      <c r="R171" s="23"/>
      <c r="S171" s="35">
        <f t="shared" si="49"/>
        <v>1</v>
      </c>
      <c r="T171" s="50" t="str">
        <f t="shared" si="5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08:37:08-700',mode:absolute,to:'2016-12-26 10:56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1" s="52" t="str">
        <f t="shared" si="52"/>
        <v>N</v>
      </c>
      <c r="X171" s="177">
        <f t="shared" si="61"/>
        <v>1</v>
      </c>
      <c r="Y171" s="67">
        <f t="shared" si="53"/>
        <v>5.86</v>
      </c>
      <c r="Z171" s="67">
        <f t="shared" si="54"/>
        <v>6.9800000000000001E-2</v>
      </c>
      <c r="AA171" s="67">
        <f t="shared" si="55"/>
        <v>5.7902000000000005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56"/>
        <v>0814-26</v>
      </c>
      <c r="AE171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71" s="88" t="str">
        <f t="shared" si="58"/>
        <v>"C:\Program Files (x86)\AstroGrep\AstroGrep.exe" /spath="%USERPROFILE%\AppData\Local\Temp\OnboardLogs" /stypes="app*4001*20161226*" /stext=" 16:.+((SYSTEM_STATE.+slice.+state.+changed )|(ment ac)|(multiple cpu faults)|(system.+state.+changed )|(\[timeout)|(PRM\|1\|D)|(kpr)|(kdp)|(\|lc)|(penalty))" /e /r /s</v>
      </c>
      <c r="AG171" s="1" t="str">
        <f t="shared" si="59"/>
        <v>NW</v>
      </c>
      <c r="AH171" s="92" t="str">
        <f t="shared" si="45"/>
        <v>"%USERPROFILE%\Documents\GitHub\eaglep3\Utilities\RefineRTDCRunTimes.py" --tripid 814-26 --locoid 4001 --swversion DE.1.0.8.0 --startMP 300:58600 --initTime 2016-12-26T09:37:08 --startdatetime 2016-12-26T09:39:29 --delay 1 --endMP 204:698 --enddatetime 2016-12-26T09:56:06 --enforcementcount 0 &gt;&gt;C:\Users\stu\Documents\GitHub\eaglep3-reporting\EC\2016-12-26-refined-times.txt</v>
      </c>
      <c r="AI171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{"issue":{"subject":"","project_id":79,"tracker_id":40,"status_id":1,"priority_id":2,"assigned_to_id":23,"start_date":"2016-12-26","description":"","custom_fields":[{"id":1,"name":"Subdivision","value":"NW"},{"id":4,"name":"Milepost","value":"0.0698"},{"id":17,"name":"Train ID","value":"814-26"},{"id":16,"name":"Locomotive ID","value":"4001"},{"id":130,"name":"Impact","value":""},{"id":150,"name":"Time of Event (Mountain Time)","value":"09:56:06"},{"id":151,"name":"Denver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519</v>
      </c>
      <c r="B172" s="7">
        <v>4002</v>
      </c>
      <c r="C172" s="22" t="s">
        <v>205</v>
      </c>
      <c r="D172" s="22" t="s">
        <v>742</v>
      </c>
      <c r="E172" s="13">
        <v>42730.430196759262</v>
      </c>
      <c r="F172" s="13">
        <v>42730.431446759256</v>
      </c>
      <c r="G172" s="7">
        <v>0</v>
      </c>
      <c r="H172" s="22" t="s">
        <v>746</v>
      </c>
      <c r="I172" s="13">
        <v>42730.44090277778</v>
      </c>
      <c r="J172" s="7">
        <v>0</v>
      </c>
      <c r="K172" s="109" t="str">
        <f t="shared" si="47"/>
        <v>4001/4002</v>
      </c>
      <c r="L172" s="22" t="str">
        <f>VLOOKUP(A172,'Trips&amp;Operators'!$C$1:$G$99999,5,FALSE)</f>
        <v>COMELLA JUSTIN</v>
      </c>
      <c r="M172" s="6">
        <f t="shared" si="48"/>
        <v>9.456018524360843E-3</v>
      </c>
      <c r="N172" s="7">
        <f t="shared" si="60"/>
        <v>13.616666675079614</v>
      </c>
      <c r="O172" s="7"/>
      <c r="P172" s="7"/>
      <c r="Q172" s="23"/>
      <c r="R172" s="23"/>
      <c r="S172" s="35">
        <f t="shared" si="49"/>
        <v>1</v>
      </c>
      <c r="T172" s="50" t="str">
        <f t="shared" si="5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09:19:29-700',mode:absolute,to:'2016-12-26 11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2" s="52" t="str">
        <f t="shared" si="52"/>
        <v>N</v>
      </c>
      <c r="X172" s="177">
        <f t="shared" si="61"/>
        <v>1</v>
      </c>
      <c r="Y172" s="67">
        <f t="shared" si="53"/>
        <v>9.7100000000000006E-2</v>
      </c>
      <c r="Z172" s="67">
        <f t="shared" si="54"/>
        <v>5.8925999999999998</v>
      </c>
      <c r="AA172" s="67">
        <f t="shared" si="55"/>
        <v>5.7954999999999997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56"/>
        <v>0815-26</v>
      </c>
      <c r="AE172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72" s="88" t="str">
        <f t="shared" si="58"/>
        <v>"C:\Program Files (x86)\AstroGrep\AstroGrep.exe" /spath="%USERPROFILE%\AppData\Local\Temp\OnboardLogs" /stypes="app*4002*20161226*" /stext=" 17:.+((SYSTEM_STATE.+slice.+state.+changed )|(ment ac)|(multiple cpu faults)|(system.+state.+changed )|(\[timeout)|(PRM\|1\|D)|(kpr)|(kdp)|(\|lc)|(penalty))" /e /r /s</v>
      </c>
      <c r="AG172" s="1" t="str">
        <f t="shared" si="59"/>
        <v>NW</v>
      </c>
      <c r="AH172" s="92" t="str">
        <f t="shared" si="45"/>
        <v>"%USERPROFILE%\Documents\GitHub\eaglep3\Utilities\RefineRTDCRunTimes.py" --tripid 815-26 --locoid 4002 --swversion DE.1.0.8.0 --startMP 204:971 --initTime 2016-12-26T10:19:29 --startdatetime 2016-12-26T10:21:17 --delay 0 --endMP 300:58926 --enddatetime 2016-12-26T10:34:54 --enforcementcount 0 &gt;&gt;C:\Users\stu\Documents\GitHub\eaglep3-reporting\EC\2016-12-26-refined-times.txt</v>
      </c>
      <c r="AI172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{"issue":{"subject":"","project_id":79,"tracker_id":40,"status_id":1,"priority_id":2,"assigned_to_id":23,"start_date":"2016-12-26","description":"","custom_fields":[{"id":1,"name":"Subdivision","value":"NW"},{"id":4,"name":"Milepost","value":"5.8926"},{"id":17,"name":"Train ID","value":"815-26"},{"id":16,"name":"Locomotive ID","value":"4002"},{"id":130,"name":"Impact","value":""},{"id":150,"name":"Time of Event (Mountain Time)","value":"10:34:54"},{"id":151,"name":"Denver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523</v>
      </c>
      <c r="B173" s="7">
        <v>4001</v>
      </c>
      <c r="C173" s="22" t="s">
        <v>205</v>
      </c>
      <c r="D173" s="22" t="s">
        <v>747</v>
      </c>
      <c r="E173" s="13">
        <v>42730.441932870373</v>
      </c>
      <c r="F173" s="13">
        <v>42730.443576388891</v>
      </c>
      <c r="G173" s="7">
        <v>1</v>
      </c>
      <c r="H173" s="22" t="s">
        <v>748</v>
      </c>
      <c r="I173" s="13">
        <v>42730.455347222225</v>
      </c>
      <c r="J173" s="7">
        <v>0</v>
      </c>
      <c r="K173" s="109" t="str">
        <f t="shared" si="47"/>
        <v>4001/4002</v>
      </c>
      <c r="L173" s="22" t="str">
        <f>VLOOKUP(A173,'Trips&amp;Operators'!$C$1:$G$99999,5,FALSE)</f>
        <v>COMELLA JUSTIN</v>
      </c>
      <c r="M173" s="6">
        <f t="shared" si="48"/>
        <v>1.1770833334594499E-2</v>
      </c>
      <c r="N173" s="7">
        <f t="shared" si="60"/>
        <v>16.950000001816079</v>
      </c>
      <c r="O173" s="7"/>
      <c r="P173" s="7"/>
      <c r="Q173" s="23"/>
      <c r="R173" s="23"/>
      <c r="S173" s="35">
        <f t="shared" si="49"/>
        <v>1</v>
      </c>
      <c r="T173" s="50" t="str">
        <f t="shared" si="5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09:36:23-700',mode:absolute,to:'2016-12-26 11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3" s="52" t="str">
        <f t="shared" si="52"/>
        <v>N</v>
      </c>
      <c r="X173" s="177">
        <f t="shared" si="61"/>
        <v>1</v>
      </c>
      <c r="Y173" s="67">
        <f t="shared" si="53"/>
        <v>5.8605999999999998</v>
      </c>
      <c r="Z173" s="67">
        <f t="shared" si="54"/>
        <v>6.5699999999999995E-2</v>
      </c>
      <c r="AA173" s="67">
        <f t="shared" si="55"/>
        <v>5.7949000000000002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56"/>
        <v>0816-26</v>
      </c>
      <c r="AE173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73" s="88" t="str">
        <f t="shared" si="58"/>
        <v>"C:\Program Files (x86)\AstroGrep\AstroGrep.exe" /spath="%USERPROFILE%\AppData\Local\Temp\OnboardLogs" /stypes="app*4001*20161226*" /stext=" 17:.+((SYSTEM_STATE.+slice.+state.+changed )|(ment ac)|(multiple cpu faults)|(system.+state.+changed )|(\[timeout)|(PRM\|1\|D)|(kpr)|(kdp)|(\|lc)|(penalty))" /e /r /s</v>
      </c>
      <c r="AG173" s="1" t="str">
        <f t="shared" si="59"/>
        <v>NW</v>
      </c>
      <c r="AH173" s="92" t="str">
        <f t="shared" si="45"/>
        <v>"%USERPROFILE%\Documents\GitHub\eaglep3\Utilities\RefineRTDCRunTimes.py" --tripid 816-26 --locoid 4001 --swversion DE.1.0.8.0 --startMP 300:58606 --initTime 2016-12-26T10:36:23 --startdatetime 2016-12-26T10:38:45 --delay 1 --endMP 204:657 --enddatetime 2016-12-26T10:55:42 --enforcementcount 0 &gt;&gt;C:\Users\stu\Documents\GitHub\eaglep3-reporting\EC\2016-12-26-refined-times.txt</v>
      </c>
      <c r="AI173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{"issue":{"subject":"","project_id":79,"tracker_id":40,"status_id":1,"priority_id":2,"assigned_to_id":23,"start_date":"2016-12-26","description":"","custom_fields":[{"id":1,"name":"Subdivision","value":"NW"},{"id":4,"name":"Milepost","value":"0.0657"},{"id":17,"name":"Train ID","value":"816-26"},{"id":16,"name":"Locomotive ID","value":"4001"},{"id":130,"name":"Impact","value":""},{"id":150,"name":"Time of Event (Mountain Time)","value":"10:55:42"},{"id":151,"name":"Denver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528</v>
      </c>
      <c r="B174" s="7">
        <v>4002</v>
      </c>
      <c r="C174" s="22" t="s">
        <v>205</v>
      </c>
      <c r="D174" s="22" t="s">
        <v>749</v>
      </c>
      <c r="E174" s="13">
        <v>42730.469907407409</v>
      </c>
      <c r="F174" s="13">
        <v>42730.473136574074</v>
      </c>
      <c r="G174" s="7">
        <v>1</v>
      </c>
      <c r="H174" s="22" t="s">
        <v>750</v>
      </c>
      <c r="I174" s="13">
        <v>42730.483912037038</v>
      </c>
      <c r="J174" s="7">
        <v>0</v>
      </c>
      <c r="K174" s="109" t="str">
        <f t="shared" si="47"/>
        <v>4001/4002</v>
      </c>
      <c r="L174" s="22" t="str">
        <f>VLOOKUP(A174,'Trips&amp;Operators'!$C$1:$G$99999,5,FALSE)</f>
        <v>COMELLA JUSTIN</v>
      </c>
      <c r="M174" s="6">
        <f t="shared" si="48"/>
        <v>1.0775462964375038E-2</v>
      </c>
      <c r="N174" s="7">
        <f t="shared" si="60"/>
        <v>15.516666668700054</v>
      </c>
      <c r="O174" s="7"/>
      <c r="P174" s="7"/>
      <c r="Q174" s="23"/>
      <c r="R174" s="23"/>
      <c r="S174" s="35">
        <f t="shared" si="49"/>
        <v>1</v>
      </c>
      <c r="T174" s="50" t="str">
        <f t="shared" si="5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10:16:40-700',mode:absolute,to:'2016-12-26 12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4" s="52" t="str">
        <f t="shared" si="52"/>
        <v>N</v>
      </c>
      <c r="X174" s="177">
        <f t="shared" si="61"/>
        <v>1</v>
      </c>
      <c r="Y174" s="67">
        <f t="shared" si="53"/>
        <v>9.5799999999999996E-2</v>
      </c>
      <c r="Z174" s="67">
        <f t="shared" si="54"/>
        <v>5.8914</v>
      </c>
      <c r="AA174" s="67">
        <f t="shared" si="55"/>
        <v>5.7956000000000003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56"/>
        <v>0817-26</v>
      </c>
      <c r="AE174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74" s="88" t="str">
        <f t="shared" si="58"/>
        <v>"C:\Program Files (x86)\AstroGrep\AstroGrep.exe" /spath="%USERPROFILE%\AppData\Local\Temp\OnboardLogs" /stypes="app*4002*20161226*" /stext=" 18:.+((SYSTEM_STATE.+slice.+state.+changed )|(ment ac)|(multiple cpu faults)|(system.+state.+changed )|(\[timeout)|(PRM\|1\|D)|(kpr)|(kdp)|(\|lc)|(penalty))" /e /r /s</v>
      </c>
      <c r="AG174" s="1" t="str">
        <f t="shared" si="59"/>
        <v>NW</v>
      </c>
      <c r="AH174" s="92" t="str">
        <f t="shared" si="45"/>
        <v>"%USERPROFILE%\Documents\GitHub\eaglep3\Utilities\RefineRTDCRunTimes.py" --tripid 817-26 --locoid 4002 --swversion DE.1.0.8.0 --startMP 204:958 --initTime 2016-12-26T11:16:40 --startdatetime 2016-12-26T11:21:19 --delay 1 --endMP 300:58914 --enddatetime 2016-12-26T11:36:50 --enforcementcount 0 &gt;&gt;C:\Users\stu\Documents\GitHub\eaglep3-reporting\EC\2016-12-26-refined-times.txt</v>
      </c>
      <c r="AI174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{"issue":{"subject":"","project_id":79,"tracker_id":40,"status_id":1,"priority_id":2,"assigned_to_id":23,"start_date":"2016-12-26","description":"","custom_fields":[{"id":1,"name":"Subdivision","value":"NW"},{"id":4,"name":"Milepost","value":"5.8914"},{"id":17,"name":"Train ID","value":"817-26"},{"id":16,"name":"Locomotive ID","value":"4002"},{"id":130,"name":"Impact","value":""},{"id":150,"name":"Time of Event (Mountain Time)","value":"11:36:50"},{"id":151,"name":"Denver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534</v>
      </c>
      <c r="B175" s="7">
        <v>4001</v>
      </c>
      <c r="C175" s="22" t="s">
        <v>205</v>
      </c>
      <c r="D175" s="22" t="s">
        <v>744</v>
      </c>
      <c r="E175" s="13">
        <v>42730.484942129631</v>
      </c>
      <c r="F175" s="13">
        <v>42730.486250000002</v>
      </c>
      <c r="G175" s="7">
        <v>1</v>
      </c>
      <c r="H175" s="22" t="s">
        <v>751</v>
      </c>
      <c r="I175" s="13">
        <v>42730.497986111113</v>
      </c>
      <c r="J175" s="7">
        <v>0</v>
      </c>
      <c r="K175" s="109" t="str">
        <f t="shared" si="47"/>
        <v>4001/4002</v>
      </c>
      <c r="L175" s="22" t="str">
        <f>VLOOKUP(A175,'Trips&amp;Operators'!$C$1:$G$99999,5,FALSE)</f>
        <v>COMELLA JUSTIN</v>
      </c>
      <c r="M175" s="6">
        <f t="shared" si="48"/>
        <v>1.17361111115315E-2</v>
      </c>
      <c r="N175" s="7">
        <f t="shared" si="60"/>
        <v>16.90000000060536</v>
      </c>
      <c r="O175" s="7"/>
      <c r="P175" s="7"/>
      <c r="Q175" s="23"/>
      <c r="R175" s="23"/>
      <c r="S175" s="35">
        <f t="shared" si="49"/>
        <v>1</v>
      </c>
      <c r="T175" s="50" t="str">
        <f t="shared" si="5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10:38:19-700',mode:absolute,to:'2016-12-26 12:57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5" s="52" t="str">
        <f t="shared" si="52"/>
        <v>N</v>
      </c>
      <c r="X175" s="177">
        <f t="shared" si="61"/>
        <v>1</v>
      </c>
      <c r="Y175" s="67">
        <f t="shared" si="53"/>
        <v>5.86</v>
      </c>
      <c r="Z175" s="67">
        <f t="shared" si="54"/>
        <v>6.7799999999999999E-2</v>
      </c>
      <c r="AA175" s="67">
        <f t="shared" si="55"/>
        <v>5.7922000000000002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56"/>
        <v>0818-26</v>
      </c>
      <c r="AE175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75" s="88" t="str">
        <f t="shared" si="58"/>
        <v>"C:\Program Files (x86)\AstroGrep\AstroGrep.exe" /spath="%USERPROFILE%\AppData\Local\Temp\OnboardLogs" /stypes="app*4001*20161226*" /stext=" 18:.+((SYSTEM_STATE.+slice.+state.+changed )|(ment ac)|(multiple cpu faults)|(system.+state.+changed )|(\[timeout)|(PRM\|1\|D)|(kpr)|(kdp)|(\|lc)|(penalty))" /e /r /s</v>
      </c>
      <c r="AG175" s="1" t="str">
        <f t="shared" si="59"/>
        <v>NW</v>
      </c>
      <c r="AH175" s="92" t="str">
        <f t="shared" si="45"/>
        <v>"%USERPROFILE%\Documents\GitHub\eaglep3\Utilities\RefineRTDCRunTimes.py" --tripid 818-26 --locoid 4001 --swversion DE.1.0.8.0 --startMP 300:58600 --initTime 2016-12-26T11:38:19 --startdatetime 2016-12-26T11:40:12 --delay 1 --endMP 204:678 --enddatetime 2016-12-26T11:57:06 --enforcementcount 0 &gt;&gt;C:\Users\stu\Documents\GitHub\eaglep3-reporting\EC\2016-12-26-refined-times.txt</v>
      </c>
      <c r="AI175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{"issue":{"subject":"","project_id":79,"tracker_id":40,"status_id":1,"priority_id":2,"assigned_to_id":23,"start_date":"2016-12-26","description":"","custom_fields":[{"id":1,"name":"Subdivision","value":"NW"},{"id":4,"name":"Milepost","value":"0.0678"},{"id":17,"name":"Train ID","value":"818-26"},{"id":16,"name":"Locomotive ID","value":"4001"},{"id":130,"name":"Impact","value":""},{"id":150,"name":"Time of Event (Mountain Time)","value":"11:57:06"},{"id":151,"name":"Denver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540</v>
      </c>
      <c r="B176" s="7">
        <v>4002</v>
      </c>
      <c r="C176" s="22" t="s">
        <v>205</v>
      </c>
      <c r="D176" s="22" t="s">
        <v>752</v>
      </c>
      <c r="E176" s="13">
        <v>42730.512303240743</v>
      </c>
      <c r="F176" s="13">
        <v>42730.514756944445</v>
      </c>
      <c r="G176" s="7">
        <v>1</v>
      </c>
      <c r="H176" s="22" t="s">
        <v>406</v>
      </c>
      <c r="I176" s="13">
        <v>42730.524687500001</v>
      </c>
      <c r="J176" s="7">
        <v>0</v>
      </c>
      <c r="K176" s="109" t="str">
        <f t="shared" si="47"/>
        <v>4001/4002</v>
      </c>
      <c r="L176" s="22" t="str">
        <f>VLOOKUP(A176,'Trips&amp;Operators'!$C$1:$G$99999,5,FALSE)</f>
        <v>COMELLA JUSTIN</v>
      </c>
      <c r="M176" s="6">
        <f t="shared" si="48"/>
        <v>9.930555555911269E-3</v>
      </c>
      <c r="N176" s="7">
        <f t="shared" si="60"/>
        <v>14.300000000512227</v>
      </c>
      <c r="O176" s="7"/>
      <c r="P176" s="7"/>
      <c r="Q176" s="23"/>
      <c r="R176" s="23"/>
      <c r="S176" s="35">
        <f t="shared" si="49"/>
        <v>1</v>
      </c>
      <c r="T176" s="50" t="str">
        <f t="shared" si="5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11:17:43-700',mode:absolute,to:'2016-12-26 13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6" s="52" t="str">
        <f t="shared" si="52"/>
        <v>N</v>
      </c>
      <c r="X176" s="177">
        <f t="shared" si="61"/>
        <v>1</v>
      </c>
      <c r="Y176" s="67">
        <f t="shared" si="53"/>
        <v>9.69E-2</v>
      </c>
      <c r="Z176" s="67">
        <f t="shared" si="54"/>
        <v>5.8944000000000001</v>
      </c>
      <c r="AA176" s="67">
        <f t="shared" si="55"/>
        <v>5.7975000000000003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56"/>
        <v>0819-26</v>
      </c>
      <c r="AE176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76" s="88" t="str">
        <f t="shared" si="58"/>
        <v>"C:\Program Files (x86)\AstroGrep\AstroGrep.exe" /spath="%USERPROFILE%\AppData\Local\Temp\OnboardLogs" /stypes="app*4002*20161226*" /stext=" 19:.+((SYSTEM_STATE.+slice.+state.+changed )|(ment ac)|(multiple cpu faults)|(system.+state.+changed )|(\[timeout)|(PRM\|1\|D)|(kpr)|(kdp)|(\|lc)|(penalty))" /e /r /s</v>
      </c>
      <c r="AG176" s="1" t="str">
        <f t="shared" si="59"/>
        <v>NW</v>
      </c>
      <c r="AH176" s="92" t="str">
        <f t="shared" si="45"/>
        <v>"%USERPROFILE%\Documents\GitHub\eaglep3\Utilities\RefineRTDCRunTimes.py" --tripid 819-26 --locoid 4002 --swversion DE.1.0.8.0 --startMP 204:969 --initTime 2016-12-26T12:17:43 --startdatetime 2016-12-26T12:21:15 --delay 1 --endMP 300:58944 --enddatetime 2016-12-26T12:35:33 --enforcementcount 0 &gt;&gt;C:\Users\stu\Documents\GitHub\eaglep3-reporting\EC\2016-12-26-refined-times.txt</v>
      </c>
      <c r="AI176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{"issue":{"subject":"","project_id":79,"tracker_id":40,"status_id":1,"priority_id":2,"assigned_to_id":23,"start_date":"2016-12-26","description":"","custom_fields":[{"id":1,"name":"Subdivision","value":"NW"},{"id":4,"name":"Milepost","value":"5.8944"},{"id":17,"name":"Train ID","value":"819-26"},{"id":16,"name":"Locomotive ID","value":"4002"},{"id":130,"name":"Impact","value":""},{"id":150,"name":"Time of Event (Mountain Time)","value":"12:35:33"},{"id":151,"name":"Denver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543</v>
      </c>
      <c r="B177" s="7">
        <v>4001</v>
      </c>
      <c r="C177" s="22" t="s">
        <v>205</v>
      </c>
      <c r="D177" s="22" t="s">
        <v>753</v>
      </c>
      <c r="E177" s="13">
        <v>42730.52584490741</v>
      </c>
      <c r="F177" s="13">
        <v>42730.527326388888</v>
      </c>
      <c r="G177" s="7">
        <v>1</v>
      </c>
      <c r="H177" s="22" t="s">
        <v>754</v>
      </c>
      <c r="I177" s="13">
        <v>42730.538657407407</v>
      </c>
      <c r="J177" s="7">
        <v>0</v>
      </c>
      <c r="K177" s="109" t="str">
        <f t="shared" si="47"/>
        <v>4001/4002</v>
      </c>
      <c r="L177" s="22" t="str">
        <f>VLOOKUP(A177,'Trips&amp;Operators'!$C$1:$G$99999,5,FALSE)</f>
        <v>COMELLA JUSTIN</v>
      </c>
      <c r="M177" s="6">
        <f t="shared" si="48"/>
        <v>1.1331018518831115E-2</v>
      </c>
      <c r="N177" s="7">
        <f t="shared" si="60"/>
        <v>16.316666667116806</v>
      </c>
      <c r="O177" s="7"/>
      <c r="P177" s="7"/>
      <c r="Q177" s="23"/>
      <c r="R177" s="23"/>
      <c r="S177" s="35">
        <f t="shared" si="49"/>
        <v>1</v>
      </c>
      <c r="T177" s="50" t="str">
        <f t="shared" si="5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11:37:13-700',mode:absolute,to:'2016-12-26 13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7" s="52" t="str">
        <f t="shared" si="52"/>
        <v>N</v>
      </c>
      <c r="X177" s="177">
        <f t="shared" si="61"/>
        <v>1</v>
      </c>
      <c r="Y177" s="67">
        <f t="shared" si="53"/>
        <v>5.8628</v>
      </c>
      <c r="Z177" s="67">
        <f t="shared" si="54"/>
        <v>6.7100000000000007E-2</v>
      </c>
      <c r="AA177" s="67">
        <f t="shared" si="55"/>
        <v>5.7957000000000001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56"/>
        <v>0820-26</v>
      </c>
      <c r="AE177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77" s="88" t="str">
        <f t="shared" si="58"/>
        <v>"C:\Program Files (x86)\AstroGrep\AstroGrep.exe" /spath="%USERPROFILE%\AppData\Local\Temp\OnboardLogs" /stypes="app*4001*20161226*" /stext=" 19:.+((SYSTEM_STATE.+slice.+state.+changed )|(ment ac)|(multiple cpu faults)|(system.+state.+changed )|(\[timeout)|(PRM\|1\|D)|(kpr)|(kdp)|(\|lc)|(penalty))" /e /r /s</v>
      </c>
      <c r="AG177" s="1" t="str">
        <f t="shared" si="59"/>
        <v>NW</v>
      </c>
      <c r="AH177" s="92" t="str">
        <f t="shared" si="45"/>
        <v>"%USERPROFILE%\Documents\GitHub\eaglep3\Utilities\RefineRTDCRunTimes.py" --tripid 820-26 --locoid 4001 --swversion DE.1.0.8.0 --startMP 300:58628 --initTime 2016-12-26T12:37:13 --startdatetime 2016-12-26T12:39:21 --delay 1 --endMP 204:671 --enddatetime 2016-12-26T12:55:40 --enforcementcount 0 &gt;&gt;C:\Users\stu\Documents\GitHub\eaglep3-reporting\EC\2016-12-26-refined-times.txt</v>
      </c>
      <c r="AI177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{"issue":{"subject":"","project_id":79,"tracker_id":40,"status_id":1,"priority_id":2,"assigned_to_id":23,"start_date":"2016-12-26","description":"","custom_fields":[{"id":1,"name":"Subdivision","value":"NW"},{"id":4,"name":"Milepost","value":"0.0671"},{"id":17,"name":"Train ID","value":"820-26"},{"id":16,"name":"Locomotive ID","value":"4001"},{"id":130,"name":"Impact","value":""},{"id":150,"name":"Time of Event (Mountain Time)","value":"12:55:40"},{"id":151,"name":"Denver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437</v>
      </c>
      <c r="B178" s="7">
        <v>4002</v>
      </c>
      <c r="C178" s="22" t="s">
        <v>205</v>
      </c>
      <c r="D178" s="22" t="s">
        <v>739</v>
      </c>
      <c r="E178" s="13">
        <v>42730.542013888888</v>
      </c>
      <c r="F178" s="13">
        <v>42730.556400462963</v>
      </c>
      <c r="G178" s="7">
        <v>1</v>
      </c>
      <c r="H178" s="22" t="s">
        <v>755</v>
      </c>
      <c r="I178" s="13">
        <v>42730.565648148149</v>
      </c>
      <c r="J178" s="7">
        <v>0</v>
      </c>
      <c r="K178" s="109" t="str">
        <f t="shared" si="47"/>
        <v>4001/4002</v>
      </c>
      <c r="L178" s="22" t="str">
        <f>VLOOKUP(A178,'Trips&amp;Operators'!$C$1:$G$99999,5,FALSE)</f>
        <v>ROMERO CHAD</v>
      </c>
      <c r="M178" s="6">
        <f t="shared" si="48"/>
        <v>9.2476851859828457E-3</v>
      </c>
      <c r="N178" s="7">
        <f t="shared" si="60"/>
        <v>13.316666667815298</v>
      </c>
      <c r="O178" s="7"/>
      <c r="P178" s="7"/>
      <c r="Q178" s="23"/>
      <c r="R178" s="23"/>
      <c r="S178" s="35">
        <f t="shared" si="49"/>
        <v>1</v>
      </c>
      <c r="T178" s="50" t="str">
        <f t="shared" si="5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12:00:30-700',mode:absolute,to:'2016-12-26 14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8" s="52" t="str">
        <f t="shared" si="52"/>
        <v>N</v>
      </c>
      <c r="X178" s="177">
        <f t="shared" si="61"/>
        <v>1</v>
      </c>
      <c r="Y178" s="67">
        <f t="shared" si="53"/>
        <v>9.64E-2</v>
      </c>
      <c r="Z178" s="67">
        <f t="shared" si="54"/>
        <v>5.8912000000000004</v>
      </c>
      <c r="AA178" s="67">
        <f t="shared" si="55"/>
        <v>5.7948000000000004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56"/>
        <v>0821-26</v>
      </c>
      <c r="AE178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78" s="88" t="str">
        <f t="shared" si="58"/>
        <v>"C:\Program Files (x86)\AstroGrep\AstroGrep.exe" /spath="%USERPROFILE%\AppData\Local\Temp\OnboardLogs" /stypes="app*4002*20161226*" /stext=" 20:.+((SYSTEM_STATE.+slice.+state.+changed )|(ment ac)|(multiple cpu faults)|(system.+state.+changed )|(\[timeout)|(PRM\|1\|D)|(kpr)|(kdp)|(\|lc)|(penalty))" /e /r /s</v>
      </c>
      <c r="AG178" s="1" t="str">
        <f t="shared" si="59"/>
        <v>NW</v>
      </c>
      <c r="AH178" s="92" t="str">
        <f t="shared" si="45"/>
        <v>"%USERPROFILE%\Documents\GitHub\eaglep3\Utilities\RefineRTDCRunTimes.py" --tripid 821-26 --locoid 4002 --swversion DE.1.0.8.0 --startMP 204:964 --initTime 2016-12-26T13:00:30 --startdatetime 2016-12-26T13:21:13 --delay 1 --endMP 300:58912 --enddatetime 2016-12-26T13:34:32 --enforcementcount 0 &gt;&gt;C:\Users\stu\Documents\GitHub\eaglep3-reporting\EC\2016-12-26-refined-times.txt</v>
      </c>
      <c r="AI178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{"issue":{"subject":"","project_id":79,"tracker_id":40,"status_id":1,"priority_id":2,"assigned_to_id":23,"start_date":"2016-12-26","description":"","custom_fields":[{"id":1,"name":"Subdivision","value":"NW"},{"id":4,"name":"Milepost","value":"5.8912"},{"id":17,"name":"Train ID","value":"821-26"},{"id":16,"name":"Locomotive ID","value":"4002"},{"id":130,"name":"Impact","value":""},{"id":150,"name":"Time of Event (Mountain Time)","value":"13:34:32"},{"id":151,"name":"Denver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551</v>
      </c>
      <c r="B179" s="7">
        <v>4001</v>
      </c>
      <c r="C179" s="22" t="s">
        <v>205</v>
      </c>
      <c r="D179" s="22" t="s">
        <v>756</v>
      </c>
      <c r="E179" s="13">
        <v>42730.566550925927</v>
      </c>
      <c r="F179" s="13">
        <v>42730.567928240744</v>
      </c>
      <c r="G179" s="7">
        <v>1</v>
      </c>
      <c r="H179" s="22" t="s">
        <v>757</v>
      </c>
      <c r="I179" s="13">
        <v>42730.580810185187</v>
      </c>
      <c r="J179" s="7">
        <v>0</v>
      </c>
      <c r="K179" s="109" t="str">
        <f t="shared" si="47"/>
        <v>4001/4002</v>
      </c>
      <c r="L179" s="22" t="str">
        <f>VLOOKUP(A179,'Trips&amp;Operators'!$C$1:$G$99999,5,FALSE)</f>
        <v>ROMERO CHAD</v>
      </c>
      <c r="M179" s="6">
        <f t="shared" si="48"/>
        <v>1.2881944443506654E-2</v>
      </c>
      <c r="N179" s="7">
        <f t="shared" si="60"/>
        <v>18.549999998649582</v>
      </c>
      <c r="O179" s="7"/>
      <c r="P179" s="7"/>
      <c r="Q179" s="23"/>
      <c r="R179" s="23"/>
      <c r="S179" s="35">
        <f t="shared" si="49"/>
        <v>1</v>
      </c>
      <c r="T179" s="50" t="str">
        <f t="shared" si="5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12:35:50-700',mode:absolute,to:'2016-12-26 14:56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9" s="52" t="str">
        <f t="shared" si="52"/>
        <v>N</v>
      </c>
      <c r="X179" s="177">
        <f t="shared" si="61"/>
        <v>1</v>
      </c>
      <c r="Y179" s="67">
        <f t="shared" si="53"/>
        <v>5.8597999999999999</v>
      </c>
      <c r="Z179" s="67">
        <f t="shared" si="54"/>
        <v>6.6100000000000006E-2</v>
      </c>
      <c r="AA179" s="67">
        <f t="shared" si="55"/>
        <v>5.7937000000000003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56"/>
        <v>0822-26</v>
      </c>
      <c r="AE179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79" s="88" t="str">
        <f t="shared" si="58"/>
        <v>"C:\Program Files (x86)\AstroGrep\AstroGrep.exe" /spath="%USERPROFILE%\AppData\Local\Temp\OnboardLogs" /stypes="app*4001*20161226*" /stext=" 20:.+((SYSTEM_STATE.+slice.+state.+changed )|(ment ac)|(multiple cpu faults)|(system.+state.+changed )|(\[timeout)|(PRM\|1\|D)|(kpr)|(kdp)|(\|lc)|(penalty))" /e /r /s</v>
      </c>
      <c r="AG179" s="1" t="str">
        <f t="shared" si="59"/>
        <v>NW</v>
      </c>
      <c r="AH179" s="92" t="str">
        <f t="shared" si="45"/>
        <v>"%USERPROFILE%\Documents\GitHub\eaglep3\Utilities\RefineRTDCRunTimes.py" --tripid 822-26 --locoid 4001 --swversion DE.1.0.8.0 --startMP 300:58598 --initTime 2016-12-26T13:35:50 --startdatetime 2016-12-26T13:37:49 --delay 1 --endMP 204:661 --enddatetime 2016-12-26T13:56:22 --enforcementcount 0 &gt;&gt;C:\Users\stu\Documents\GitHub\eaglep3-reporting\EC\2016-12-26-refined-times.txt</v>
      </c>
      <c r="AI179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{"issue":{"subject":"","project_id":79,"tracker_id":40,"status_id":1,"priority_id":2,"assigned_to_id":23,"start_date":"2016-12-26","description":"","custom_fields":[{"id":1,"name":"Subdivision","value":"NW"},{"id":4,"name":"Milepost","value":"0.0661"},{"id":17,"name":"Train ID","value":"822-26"},{"id":16,"name":"Locomotive ID","value":"4001"},{"id":130,"name":"Impact","value":""},{"id":150,"name":"Time of Event (Mountain Time)","value":"13:56:22"},{"id":151,"name":"Denver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556</v>
      </c>
      <c r="B180" s="7">
        <v>4002</v>
      </c>
      <c r="C180" s="22" t="s">
        <v>205</v>
      </c>
      <c r="D180" s="22" t="s">
        <v>758</v>
      </c>
      <c r="E180" s="13">
        <v>42730.582627314812</v>
      </c>
      <c r="F180" s="13">
        <v>42730.598067129627</v>
      </c>
      <c r="G180" s="7">
        <v>1</v>
      </c>
      <c r="H180" s="22" t="s">
        <v>759</v>
      </c>
      <c r="I180" s="13">
        <v>42730.606747685182</v>
      </c>
      <c r="J180" s="7">
        <v>0</v>
      </c>
      <c r="K180" s="109" t="str">
        <f t="shared" si="47"/>
        <v>4001/4002</v>
      </c>
      <c r="L180" s="22" t="str">
        <f>VLOOKUP(A180,'Trips&amp;Operators'!$C$1:$G$99999,5,FALSE)</f>
        <v>ROMERO CHAD</v>
      </c>
      <c r="M180" s="6">
        <f t="shared" si="48"/>
        <v>8.6805555547471158E-3</v>
      </c>
      <c r="N180" s="7">
        <f t="shared" si="60"/>
        <v>12.499999998835847</v>
      </c>
      <c r="O180" s="7"/>
      <c r="P180" s="7"/>
      <c r="Q180" s="23"/>
      <c r="R180" s="23"/>
      <c r="S180" s="35">
        <f t="shared" si="49"/>
        <v>1</v>
      </c>
      <c r="T180" s="50" t="str">
        <f t="shared" si="5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12:58:59-700',mode:absolute,to:'2016-12-26 15:33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0" s="52" t="str">
        <f t="shared" si="52"/>
        <v>N</v>
      </c>
      <c r="X180" s="177">
        <f t="shared" si="61"/>
        <v>1</v>
      </c>
      <c r="Y180" s="67">
        <f t="shared" si="53"/>
        <v>9.3899999999999997E-2</v>
      </c>
      <c r="Z180" s="67">
        <f t="shared" si="54"/>
        <v>5.8975999999999997</v>
      </c>
      <c r="AA180" s="67">
        <f t="shared" si="55"/>
        <v>5.8037000000000001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56"/>
        <v>0823-26</v>
      </c>
      <c r="AE180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80" s="88" t="str">
        <f t="shared" si="58"/>
        <v>"C:\Program Files (x86)\AstroGrep\AstroGrep.exe" /spath="%USERPROFILE%\AppData\Local\Temp\OnboardLogs" /stypes="app*4002*20161226*" /stext=" 21:.+((SYSTEM_STATE.+slice.+state.+changed )|(ment ac)|(multiple cpu faults)|(system.+state.+changed )|(\[timeout)|(PRM\|1\|D)|(kpr)|(kdp)|(\|lc)|(penalty))" /e /r /s</v>
      </c>
      <c r="AG180" s="1" t="str">
        <f t="shared" si="59"/>
        <v>NW</v>
      </c>
      <c r="AH180" s="92" t="str">
        <f t="shared" si="45"/>
        <v>"%USERPROFILE%\Documents\GitHub\eaglep3\Utilities\RefineRTDCRunTimes.py" --tripid 823-26 --locoid 4002 --swversion DE.1.0.8.0 --startMP 204:939 --initTime 2016-12-26T13:58:59 --startdatetime 2016-12-26T14:21:13 --delay 1 --endMP 300:58976 --enddatetime 2016-12-26T14:33:43 --enforcementcount 0 &gt;&gt;C:\Users\stu\Documents\GitHub\eaglep3-reporting\EC\2016-12-26-refined-times.txt</v>
      </c>
      <c r="AI180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{"issue":{"subject":"","project_id":79,"tracker_id":40,"status_id":1,"priority_id":2,"assigned_to_id":23,"start_date":"2016-12-26","description":"","custom_fields":[{"id":1,"name":"Subdivision","value":"NW"},{"id":4,"name":"Milepost","value":"5.8976"},{"id":17,"name":"Train ID","value":"823-26"},{"id":16,"name":"Locomotive ID","value":"4002"},{"id":130,"name":"Impact","value":""},{"id":150,"name":"Time of Event (Mountain Time)","value":"14:33:43"},{"id":151,"name":"Denver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561</v>
      </c>
      <c r="B181" s="7">
        <v>4001</v>
      </c>
      <c r="C181" s="22" t="s">
        <v>205</v>
      </c>
      <c r="D181" s="22" t="s">
        <v>760</v>
      </c>
      <c r="E181" s="13">
        <v>42730.60832175926</v>
      </c>
      <c r="F181" s="13">
        <v>42730.609733796293</v>
      </c>
      <c r="G181" s="7">
        <v>1</v>
      </c>
      <c r="H181" s="22" t="s">
        <v>761</v>
      </c>
      <c r="I181" s="13">
        <v>42730.621550925927</v>
      </c>
      <c r="J181" s="7">
        <v>0</v>
      </c>
      <c r="K181" s="109" t="str">
        <f t="shared" si="47"/>
        <v>4001/4002</v>
      </c>
      <c r="L181" s="22" t="str">
        <f>VLOOKUP(A181,'Trips&amp;Operators'!$C$1:$G$99999,5,FALSE)</f>
        <v>ROMERO CHAD</v>
      </c>
      <c r="M181" s="6">
        <f t="shared" si="48"/>
        <v>1.1817129634437151E-2</v>
      </c>
      <c r="N181" s="7">
        <f t="shared" si="60"/>
        <v>17.016666673589498</v>
      </c>
      <c r="O181" s="7"/>
      <c r="P181" s="7"/>
      <c r="Q181" s="23"/>
      <c r="R181" s="23"/>
      <c r="S181" s="35">
        <f t="shared" si="49"/>
        <v>1</v>
      </c>
      <c r="T181" s="50" t="str">
        <f t="shared" si="5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13:35:59-700',mode:absolute,to:'2016-12-26 15:55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1" s="52" t="str">
        <f t="shared" si="52"/>
        <v>N</v>
      </c>
      <c r="X181" s="177">
        <f t="shared" si="61"/>
        <v>1</v>
      </c>
      <c r="Y181" s="67">
        <f t="shared" si="53"/>
        <v>5.8662000000000001</v>
      </c>
      <c r="Z181" s="67">
        <f t="shared" si="54"/>
        <v>7.1199999999999999E-2</v>
      </c>
      <c r="AA181" s="67">
        <f t="shared" si="55"/>
        <v>5.7949999999999999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56"/>
        <v>0824-26</v>
      </c>
      <c r="AE181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81" s="88" t="str">
        <f t="shared" si="58"/>
        <v>"C:\Program Files (x86)\AstroGrep\AstroGrep.exe" /spath="%USERPROFILE%\AppData\Local\Temp\OnboardLogs" /stypes="app*4001*20161226*" /stext=" 21:.+((SYSTEM_STATE.+slice.+state.+changed )|(ment ac)|(multiple cpu faults)|(system.+state.+changed )|(\[timeout)|(PRM\|1\|D)|(kpr)|(kdp)|(\|lc)|(penalty))" /e /r /s</v>
      </c>
      <c r="AG181" s="1" t="str">
        <f t="shared" si="59"/>
        <v>NW</v>
      </c>
      <c r="AH181" s="92" t="str">
        <f t="shared" si="45"/>
        <v>"%USERPROFILE%\Documents\GitHub\eaglep3\Utilities\RefineRTDCRunTimes.py" --tripid 824-26 --locoid 4001 --swversion DE.1.0.8.0 --startMP 300:58662 --initTime 2016-12-26T14:35:59 --startdatetime 2016-12-26T14:38:01 --delay 1 --endMP 204:712 --enddatetime 2016-12-26T14:55:02 --enforcementcount 0 &gt;&gt;C:\Users\stu\Documents\GitHub\eaglep3-reporting\EC\2016-12-26-refined-times.txt</v>
      </c>
      <c r="AI181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{"issue":{"subject":"","project_id":79,"tracker_id":40,"status_id":1,"priority_id":2,"assigned_to_id":23,"start_date":"2016-12-26","description":"","custom_fields":[{"id":1,"name":"Subdivision","value":"NW"},{"id":4,"name":"Milepost","value":"0.0712"},{"id":17,"name":"Train ID","value":"824-26"},{"id":16,"name":"Locomotive ID","value":"4001"},{"id":130,"name":"Impact","value":""},{"id":150,"name":"Time of Event (Mountain Time)","value":"14:55:02"},{"id":151,"name":"Denver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565</v>
      </c>
      <c r="B182" s="7">
        <v>4002</v>
      </c>
      <c r="C182" s="22" t="s">
        <v>205</v>
      </c>
      <c r="D182" s="22" t="s">
        <v>762</v>
      </c>
      <c r="E182" s="13">
        <v>42730.622847222221</v>
      </c>
      <c r="F182" s="13">
        <v>42730.639733796299</v>
      </c>
      <c r="G182" s="7">
        <v>1</v>
      </c>
      <c r="H182" s="22" t="s">
        <v>409</v>
      </c>
      <c r="I182" s="13">
        <v>42730.651192129626</v>
      </c>
      <c r="J182" s="7">
        <v>0</v>
      </c>
      <c r="K182" s="109" t="str">
        <f t="shared" si="47"/>
        <v>4001/4002</v>
      </c>
      <c r="L182" s="22" t="str">
        <f>VLOOKUP(A182,'Trips&amp;Operators'!$C$1:$G$99999,5,FALSE)</f>
        <v>ROMERO CHAD</v>
      </c>
      <c r="M182" s="6">
        <f t="shared" si="48"/>
        <v>1.1458333327027503E-2</v>
      </c>
      <c r="N182" s="7">
        <f t="shared" si="60"/>
        <v>16.499999990919605</v>
      </c>
      <c r="O182" s="7"/>
      <c r="P182" s="7"/>
      <c r="Q182" s="23"/>
      <c r="R182" s="23"/>
      <c r="S182" s="35">
        <f t="shared" si="49"/>
        <v>1</v>
      </c>
      <c r="T182" s="50" t="str">
        <f t="shared" si="5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13:56:54-700',mode:absolute,to:'2016-12-26 16:37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2" s="52" t="str">
        <f t="shared" si="52"/>
        <v>N</v>
      </c>
      <c r="X182" s="177">
        <f t="shared" si="61"/>
        <v>1</v>
      </c>
      <c r="Y182" s="67">
        <f t="shared" si="53"/>
        <v>0.1002</v>
      </c>
      <c r="Z182" s="67">
        <f t="shared" si="54"/>
        <v>5.8939000000000004</v>
      </c>
      <c r="AA182" s="67">
        <f t="shared" si="55"/>
        <v>5.7937000000000003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56"/>
        <v>0825-26</v>
      </c>
      <c r="AE182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82" s="88" t="str">
        <f t="shared" si="58"/>
        <v>"C:\Program Files (x86)\AstroGrep\AstroGrep.exe" /spath="%USERPROFILE%\AppData\Local\Temp\OnboardLogs" /stypes="app*4002*20161226*" /stext=" 22:.+((SYSTEM_STATE.+slice.+state.+changed )|(ment ac)|(multiple cpu faults)|(system.+state.+changed )|(\[timeout)|(PRM\|1\|D)|(kpr)|(kdp)|(\|lc)|(penalty))" /e /r /s</v>
      </c>
      <c r="AG182" s="1" t="str">
        <f t="shared" si="59"/>
        <v>NW</v>
      </c>
      <c r="AH182" s="92" t="str">
        <f t="shared" si="45"/>
        <v>"%USERPROFILE%\Documents\GitHub\eaglep3\Utilities\RefineRTDCRunTimes.py" --tripid 825-26 --locoid 4002 --swversion DE.1.0.8.0 --startMP 204:1002 --initTime 2016-12-26T14:56:54 --startdatetime 2016-12-26T15:21:13 --delay 1 --endMP 300:58939 --enddatetime 2016-12-26T15:37:43 --enforcementcount 0 &gt;&gt;C:\Users\stu\Documents\GitHub\eaglep3-reporting\EC\2016-12-26-refined-times.txt</v>
      </c>
      <c r="AI182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{"issue":{"subject":"","project_id":79,"tracker_id":40,"status_id":1,"priority_id":2,"assigned_to_id":23,"start_date":"2016-12-26","description":"","custom_fields":[{"id":1,"name":"Subdivision","value":"NW"},{"id":4,"name":"Milepost","value":"5.8939"},{"id":17,"name":"Train ID","value":"825-26"},{"id":16,"name":"Locomotive ID","value":"4002"},{"id":130,"name":"Impact","value":""},{"id":150,"name":"Time of Event (Mountain Time)","value":"15:37:43"},{"id":151,"name":"Denver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572</v>
      </c>
      <c r="B183" s="7">
        <v>4001</v>
      </c>
      <c r="C183" s="22" t="s">
        <v>205</v>
      </c>
      <c r="D183" s="22" t="s">
        <v>404</v>
      </c>
      <c r="E183" s="13">
        <v>42730.652430555558</v>
      </c>
      <c r="F183" s="13">
        <v>42730.653761574074</v>
      </c>
      <c r="G183" s="7">
        <v>1</v>
      </c>
      <c r="H183" s="22" t="s">
        <v>763</v>
      </c>
      <c r="I183" s="13">
        <v>42730.663726851853</v>
      </c>
      <c r="J183" s="7">
        <v>0</v>
      </c>
      <c r="K183" s="109" t="str">
        <f t="shared" si="47"/>
        <v>4001/4002</v>
      </c>
      <c r="L183" s="22" t="str">
        <f>VLOOKUP(A183,'Trips&amp;Operators'!$C$1:$G$99999,5,FALSE)</f>
        <v>ROMERO CHAD</v>
      </c>
      <c r="M183" s="6">
        <f t="shared" si="48"/>
        <v>9.9652777789742686E-3</v>
      </c>
      <c r="N183" s="7">
        <f t="shared" si="60"/>
        <v>14.350000001722947</v>
      </c>
      <c r="O183" s="7"/>
      <c r="P183" s="7"/>
      <c r="Q183" s="23"/>
      <c r="R183" s="23"/>
      <c r="S183" s="35">
        <f t="shared" si="49"/>
        <v>1</v>
      </c>
      <c r="T183" s="50" t="str">
        <f t="shared" si="5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14:39:30-700',mode:absolute,to:'2016-12-26 16:55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3" s="52" t="str">
        <f t="shared" si="52"/>
        <v>N</v>
      </c>
      <c r="X183" s="177">
        <f t="shared" si="61"/>
        <v>1</v>
      </c>
      <c r="Y183" s="67">
        <f t="shared" si="53"/>
        <v>5.8620999999999999</v>
      </c>
      <c r="Z183" s="67">
        <f t="shared" si="54"/>
        <v>7.0300000000000001E-2</v>
      </c>
      <c r="AA183" s="67">
        <f t="shared" si="55"/>
        <v>5.7918000000000003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56"/>
        <v>0826-26</v>
      </c>
      <c r="AE183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83" s="88" t="str">
        <f t="shared" si="58"/>
        <v>"C:\Program Files (x86)\AstroGrep\AstroGrep.exe" /spath="%USERPROFILE%\AppData\Local\Temp\OnboardLogs" /stypes="app*4001*20161226*" /stext=" 22:.+((SYSTEM_STATE.+slice.+state.+changed )|(ment ac)|(multiple cpu faults)|(system.+state.+changed )|(\[timeout)|(PRM\|1\|D)|(kpr)|(kdp)|(\|lc)|(penalty))" /e /r /s</v>
      </c>
      <c r="AG183" s="1" t="str">
        <f t="shared" si="59"/>
        <v>NW</v>
      </c>
      <c r="AH183" s="92" t="str">
        <f t="shared" si="45"/>
        <v>"%USERPROFILE%\Documents\GitHub\eaglep3\Utilities\RefineRTDCRunTimes.py" --tripid 826-26 --locoid 4001 --swversion DE.1.0.8.0 --startMP 300:58621 --initTime 2016-12-26T15:39:30 --startdatetime 2016-12-26T15:41:25 --delay 1 --endMP 204:703 --enddatetime 2016-12-26T15:55:46 --enforcementcount 0 &gt;&gt;C:\Users\stu\Documents\GitHub\eaglep3-reporting\EC\2016-12-26-refined-times.txt</v>
      </c>
      <c r="AI183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{"issue":{"subject":"","project_id":79,"tracker_id":40,"status_id":1,"priority_id":2,"assigned_to_id":23,"start_date":"2016-12-26","description":"","custom_fields":[{"id":1,"name":"Subdivision","value":"NW"},{"id":4,"name":"Milepost","value":"0.0703"},{"id":17,"name":"Train ID","value":"826-26"},{"id":16,"name":"Locomotive ID","value":"4001"},{"id":130,"name":"Impact","value":""},{"id":150,"name":"Time of Event (Mountain Time)","value":"15:55:46"},{"id":151,"name":"Denver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570</v>
      </c>
      <c r="B184" s="7">
        <v>4003</v>
      </c>
      <c r="C184" s="22" t="s">
        <v>205</v>
      </c>
      <c r="D184" s="22" t="s">
        <v>764</v>
      </c>
      <c r="E184" s="13">
        <v>42730.646331018521</v>
      </c>
      <c r="F184" s="13">
        <v>42730.660578703704</v>
      </c>
      <c r="G184" s="7">
        <v>1</v>
      </c>
      <c r="H184" s="22" t="s">
        <v>765</v>
      </c>
      <c r="I184" s="13">
        <v>42730.66946759259</v>
      </c>
      <c r="J184" s="7">
        <v>0</v>
      </c>
      <c r="K184" s="109" t="str">
        <f t="shared" si="47"/>
        <v>4003/4004</v>
      </c>
      <c r="L184" s="22" t="str">
        <f>VLOOKUP(A184,'Trips&amp;Operators'!$C$1:$G$99999,5,FALSE)</f>
        <v>NEWELL JAMES</v>
      </c>
      <c r="M184" s="6">
        <f t="shared" si="48"/>
        <v>8.8888888858491555E-3</v>
      </c>
      <c r="N184" s="7">
        <f t="shared" si="60"/>
        <v>12.799999995622784</v>
      </c>
      <c r="O184" s="7"/>
      <c r="P184" s="7"/>
      <c r="Q184" s="23"/>
      <c r="R184" s="23"/>
      <c r="S184" s="35">
        <f t="shared" si="49"/>
        <v>1</v>
      </c>
      <c r="T184" s="50" t="str">
        <f t="shared" si="5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14:30:43-700',mode:absolute,to:'2016-12-26 17:04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4" s="52" t="str">
        <f t="shared" si="52"/>
        <v>N</v>
      </c>
      <c r="X184" s="177">
        <f t="shared" si="61"/>
        <v>1</v>
      </c>
      <c r="Y184" s="67">
        <f t="shared" si="53"/>
        <v>9.4600000000000004E-2</v>
      </c>
      <c r="Z184" s="67">
        <f t="shared" si="54"/>
        <v>5.8928000000000003</v>
      </c>
      <c r="AA184" s="67">
        <f t="shared" si="55"/>
        <v>5.7982000000000005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56"/>
        <v>0827-26</v>
      </c>
      <c r="AE184" s="91" t="str">
        <f t="shared" si="57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184" s="88" t="str">
        <f t="shared" si="58"/>
        <v>"C:\Program Files (x86)\AstroGrep\AstroGrep.exe" /spath="%USERPROFILE%\AppData\Local\Temp\OnboardLogs" /stypes="app*4003*20161226*" /stext=" 23:.+((SYSTEM_STATE.+slice.+state.+changed )|(ment ac)|(multiple cpu faults)|(system.+state.+changed )|(\[timeout)|(PRM\|1\|D)|(kpr)|(kdp)|(\|lc)|(penalty))" /e /r /s</v>
      </c>
      <c r="AG184" s="1" t="str">
        <f t="shared" si="59"/>
        <v>NW</v>
      </c>
      <c r="AH184" s="92" t="str">
        <f t="shared" si="45"/>
        <v>"%USERPROFILE%\Documents\GitHub\eaglep3\Utilities\RefineRTDCRunTimes.py" --tripid 827-26 --locoid 4003 --swversion DE.1.0.8.0 --startMP 204:946 --initTime 2016-12-26T15:30:43 --startdatetime 2016-12-26T15:51:14 --delay 1 --endMP 300:58928 --enddatetime 2016-12-26T16:04:02 --enforcementcount 0 &gt;&gt;C:\Users\stu\Documents\GitHub\eaglep3-reporting\EC\2016-12-26-refined-times.txt</v>
      </c>
      <c r="AI184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{"issue":{"subject":"","project_id":79,"tracker_id":40,"status_id":1,"priority_id":2,"assigned_to_id":23,"start_date":"2016-12-26","description":"","custom_fields":[{"id":1,"name":"Subdivision","value":"NW"},{"id":4,"name":"Milepost","value":"5.8928"},{"id":17,"name":"Train ID","value":"827-26"},{"id":16,"name":"Locomotive ID","value":"4003"},{"id":130,"name":"Impact","value":""},{"id":150,"name":"Time of Event (Mountain Time)","value":"16:04:02"},{"id":151,"name":"Denver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577</v>
      </c>
      <c r="B185" s="7">
        <v>4004</v>
      </c>
      <c r="C185" s="22" t="s">
        <v>205</v>
      </c>
      <c r="D185" s="22" t="s">
        <v>729</v>
      </c>
      <c r="E185" s="13">
        <v>42730.670312499999</v>
      </c>
      <c r="F185" s="13">
        <v>42730.671400462961</v>
      </c>
      <c r="G185" s="7">
        <v>0</v>
      </c>
      <c r="H185" s="22" t="s">
        <v>766</v>
      </c>
      <c r="I185" s="13">
        <v>42730.68409722222</v>
      </c>
      <c r="J185" s="7">
        <v>0</v>
      </c>
      <c r="K185" s="109" t="str">
        <f t="shared" si="47"/>
        <v>4003/4004</v>
      </c>
      <c r="L185" s="22" t="str">
        <f>VLOOKUP(A185,'Trips&amp;Operators'!$C$1:$G$99999,5,FALSE)</f>
        <v>NEWELL JAMES</v>
      </c>
      <c r="M185" s="6">
        <f t="shared" si="48"/>
        <v>1.2696759258687962E-2</v>
      </c>
      <c r="N185" s="7">
        <f t="shared" si="60"/>
        <v>18.283333332510665</v>
      </c>
      <c r="O185" s="7"/>
      <c r="P185" s="7"/>
      <c r="Q185" s="23"/>
      <c r="R185" s="23"/>
      <c r="S185" s="35">
        <f t="shared" si="49"/>
        <v>1</v>
      </c>
      <c r="T185" s="50" t="str">
        <f t="shared" si="5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15:05:15-700',mode:absolute,to:'2016-12-26 17:25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5" s="52" t="str">
        <f t="shared" si="52"/>
        <v>N</v>
      </c>
      <c r="X185" s="177">
        <f t="shared" si="61"/>
        <v>1</v>
      </c>
      <c r="Y185" s="67">
        <f t="shared" si="53"/>
        <v>5.8609</v>
      </c>
      <c r="Z185" s="67">
        <f t="shared" si="54"/>
        <v>6.6799999999999998E-2</v>
      </c>
      <c r="AA185" s="67">
        <f t="shared" si="55"/>
        <v>5.7941000000000003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56"/>
        <v>0828-26</v>
      </c>
      <c r="AE185" s="91" t="str">
        <f t="shared" si="57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185" s="88" t="str">
        <f t="shared" si="58"/>
        <v>"C:\Program Files (x86)\AstroGrep\AstroGrep.exe" /spath="%USERPROFILE%\AppData\Local\Temp\OnboardLogs" /stypes="app*4004*20161226*" /stext=" 23:.+((SYSTEM_STATE.+slice.+state.+changed )|(ment ac)|(multiple cpu faults)|(system.+state.+changed )|(\[timeout)|(PRM\|1\|D)|(kpr)|(kdp)|(\|lc)|(penalty))" /e /r /s</v>
      </c>
      <c r="AG185" s="1" t="str">
        <f t="shared" si="59"/>
        <v>NW</v>
      </c>
      <c r="AH185" s="92" t="str">
        <f t="shared" si="45"/>
        <v>"%USERPROFILE%\Documents\GitHub\eaglep3\Utilities\RefineRTDCRunTimes.py" --tripid 828-26 --locoid 4004 --swversion DE.1.0.8.0 --startMP 300:58609 --initTime 2016-12-26T16:05:15 --startdatetime 2016-12-26T16:06:49 --delay 0 --endMP 204:668 --enddatetime 2016-12-26T16:25:06 --enforcementcount 0 &gt;&gt;C:\Users\stu\Documents\GitHub\eaglep3-reporting\EC\2016-12-26-refined-times.txt</v>
      </c>
      <c r="AI185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{"issue":{"subject":"","project_id":79,"tracker_id":40,"status_id":1,"priority_id":2,"assigned_to_id":23,"start_date":"2016-12-26","description":"","custom_fields":[{"id":1,"name":"Subdivision","value":"NW"},{"id":4,"name":"Milepost","value":"0.0668"},{"id":17,"name":"Train ID","value":"828-26"},{"id":16,"name":"Locomotive ID","value":"4004"},{"id":130,"name":"Impact","value":""},{"id":150,"name":"Time of Event (Mountain Time)","value":"16:25:06"},{"id":151,"name":"Denver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440</v>
      </c>
      <c r="B186" s="7">
        <v>4002</v>
      </c>
      <c r="C186" s="22" t="s">
        <v>205</v>
      </c>
      <c r="D186" s="22" t="s">
        <v>767</v>
      </c>
      <c r="E186" s="13">
        <v>42730.66578703704</v>
      </c>
      <c r="F186" s="13">
        <v>42730.681400462963</v>
      </c>
      <c r="G186" s="7">
        <v>1</v>
      </c>
      <c r="H186" s="22" t="s">
        <v>750</v>
      </c>
      <c r="I186" s="13">
        <v>42730.69021990741</v>
      </c>
      <c r="J186" s="7">
        <v>0</v>
      </c>
      <c r="K186" s="109" t="str">
        <f t="shared" si="47"/>
        <v>4001/4002</v>
      </c>
      <c r="L186" s="22" t="str">
        <f>VLOOKUP(A186,'Trips&amp;Operators'!$C$1:$G$99999,5,FALSE)</f>
        <v>ROMERO CHAD</v>
      </c>
      <c r="M186" s="6">
        <f t="shared" si="48"/>
        <v>8.819444446999114E-3</v>
      </c>
      <c r="N186" s="7">
        <f t="shared" si="60"/>
        <v>12.700000003678724</v>
      </c>
      <c r="O186" s="7"/>
      <c r="P186" s="7"/>
      <c r="Q186" s="23"/>
      <c r="R186" s="23"/>
      <c r="S186" s="35">
        <f t="shared" si="49"/>
        <v>1</v>
      </c>
      <c r="T186" s="50" t="str">
        <f t="shared" si="5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14:58:44-700',mode:absolute,to:'2016-12-26 17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6" s="52" t="str">
        <f t="shared" si="52"/>
        <v>N</v>
      </c>
      <c r="X186" s="177">
        <f t="shared" si="61"/>
        <v>1</v>
      </c>
      <c r="Y186" s="67">
        <f t="shared" si="53"/>
        <v>9.8299999999999998E-2</v>
      </c>
      <c r="Z186" s="67">
        <f t="shared" si="54"/>
        <v>5.8914</v>
      </c>
      <c r="AA186" s="67">
        <f t="shared" si="55"/>
        <v>5.7930999999999999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56"/>
        <v>0829-26</v>
      </c>
      <c r="AE186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86" s="88" t="str">
        <f t="shared" si="58"/>
        <v>"C:\Program Files (x86)\AstroGrep\AstroGrep.exe" /spath="%USERPROFILE%\AppData\Local\Temp\OnboardLogs" /stypes="app*4002*20161226*" /stext=" 23:.+((SYSTEM_STATE.+slice.+state.+changed )|(ment ac)|(multiple cpu faults)|(system.+state.+changed )|(\[timeout)|(PRM\|1\|D)|(kpr)|(kdp)|(\|lc)|(penalty))" /e /r /s</v>
      </c>
      <c r="AG186" s="1" t="str">
        <f t="shared" si="59"/>
        <v>NW</v>
      </c>
      <c r="AH186" s="92" t="str">
        <f t="shared" si="45"/>
        <v>"%USERPROFILE%\Documents\GitHub\eaglep3\Utilities\RefineRTDCRunTimes.py" --tripid 829-26 --locoid 4002 --swversion DE.1.0.8.0 --startMP 204:983 --initTime 2016-12-26T15:58:44 --startdatetime 2016-12-26T16:21:13 --delay 1 --endMP 300:58914 --enddatetime 2016-12-26T16:33:55 --enforcementcount 0 &gt;&gt;C:\Users\stu\Documents\GitHub\eaglep3-reporting\EC\2016-12-26-refined-times.txt</v>
      </c>
      <c r="AI186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{"issue":{"subject":"","project_id":79,"tracker_id":40,"status_id":1,"priority_id":2,"assigned_to_id":23,"start_date":"2016-12-26","description":"","custom_fields":[{"id":1,"name":"Subdivision","value":"NW"},{"id":4,"name":"Milepost","value":"5.8914"},{"id":17,"name":"Train ID","value":"829-26"},{"id":16,"name":"Locomotive ID","value":"4002"},{"id":130,"name":"Impact","value":""},{"id":150,"name":"Time of Event (Mountain Time)","value":"16:33:55"},{"id":151,"name":"Denver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583</v>
      </c>
      <c r="B187" s="7">
        <v>4001</v>
      </c>
      <c r="C187" s="22" t="s">
        <v>205</v>
      </c>
      <c r="D187" s="22" t="s">
        <v>768</v>
      </c>
      <c r="E187" s="13">
        <v>42730.691377314812</v>
      </c>
      <c r="F187" s="13">
        <v>42730.692754629628</v>
      </c>
      <c r="G187" s="7">
        <v>1</v>
      </c>
      <c r="H187" s="22" t="s">
        <v>741</v>
      </c>
      <c r="I187" s="13">
        <v>42730.704953703702</v>
      </c>
      <c r="J187" s="7">
        <v>0</v>
      </c>
      <c r="K187" s="109" t="str">
        <f t="shared" si="47"/>
        <v>4001/4002</v>
      </c>
      <c r="L187" s="22" t="str">
        <f>VLOOKUP(A187,'Trips&amp;Operators'!$C$1:$G$99999,5,FALSE)</f>
        <v>ROMERO CHAD</v>
      </c>
      <c r="M187" s="6">
        <f t="shared" si="48"/>
        <v>1.2199074073578231E-2</v>
      </c>
      <c r="N187" s="7">
        <f t="shared" si="60"/>
        <v>17.566666665952653</v>
      </c>
      <c r="O187" s="7"/>
      <c r="P187" s="7"/>
      <c r="Q187" s="23"/>
      <c r="R187" s="23"/>
      <c r="S187" s="35">
        <f t="shared" si="49"/>
        <v>1</v>
      </c>
      <c r="T187" s="50" t="str">
        <f t="shared" si="5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15:35:35-700',mode:absolute,to:'2016-12-26 17:55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7" s="52" t="str">
        <f t="shared" si="52"/>
        <v>N</v>
      </c>
      <c r="X187" s="177">
        <f t="shared" si="61"/>
        <v>1</v>
      </c>
      <c r="Y187" s="67">
        <f t="shared" si="53"/>
        <v>5.8596000000000004</v>
      </c>
      <c r="Z187" s="67">
        <f t="shared" si="54"/>
        <v>6.8500000000000005E-2</v>
      </c>
      <c r="AA187" s="67">
        <f t="shared" si="55"/>
        <v>5.7911000000000001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56"/>
        <v>0830-26</v>
      </c>
      <c r="AE187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87" s="88" t="str">
        <f t="shared" si="58"/>
        <v>"C:\Program Files (x86)\AstroGrep\AstroGrep.exe" /spath="%USERPROFILE%\AppData\Local\Temp\OnboardLogs" /stypes="app*4001*20161226*" /stext=" 23:.+((SYSTEM_STATE.+slice.+state.+changed )|(ment ac)|(multiple cpu faults)|(system.+state.+changed )|(\[timeout)|(PRM\|1\|D)|(kpr)|(kdp)|(\|lc)|(penalty))" /e /r /s</v>
      </c>
      <c r="AG187" s="1" t="str">
        <f t="shared" si="59"/>
        <v>NW</v>
      </c>
      <c r="AH187" s="92" t="str">
        <f t="shared" si="45"/>
        <v>"%USERPROFILE%\Documents\GitHub\eaglep3\Utilities\RefineRTDCRunTimes.py" --tripid 830-26 --locoid 4001 --swversion DE.1.0.8.0 --startMP 300:58596 --initTime 2016-12-26T16:35:35 --startdatetime 2016-12-26T16:37:34 --delay 1 --endMP 204:685 --enddatetime 2016-12-26T16:55:08 --enforcementcount 0 &gt;&gt;C:\Users\stu\Documents\GitHub\eaglep3-reporting\EC\2016-12-26-refined-times.txt</v>
      </c>
      <c r="AI187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{"issue":{"subject":"","project_id":79,"tracker_id":40,"status_id":1,"priority_id":2,"assigned_to_id":23,"start_date":"2016-12-26","description":"","custom_fields":[{"id":1,"name":"Subdivision","value":"NW"},{"id":4,"name":"Milepost","value":"0.0685"},{"id":17,"name":"Train ID","value":"830-26"},{"id":16,"name":"Locomotive ID","value":"4001"},{"id":130,"name":"Impact","value":""},{"id":150,"name":"Time of Event (Mountain Time)","value":"16:55:08"},{"id":151,"name":"Denver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580</v>
      </c>
      <c r="B188" s="7">
        <v>4003</v>
      </c>
      <c r="C188" s="22" t="s">
        <v>205</v>
      </c>
      <c r="D188" s="22" t="s">
        <v>752</v>
      </c>
      <c r="E188" s="13">
        <v>42730.685868055552</v>
      </c>
      <c r="F188" s="13">
        <v>42730.702233796299</v>
      </c>
      <c r="G188" s="7">
        <v>1</v>
      </c>
      <c r="H188" s="22" t="s">
        <v>769</v>
      </c>
      <c r="I188" s="13">
        <v>42730.711134259262</v>
      </c>
      <c r="J188" s="7">
        <v>0</v>
      </c>
      <c r="K188" s="109" t="str">
        <f t="shared" si="47"/>
        <v>4003/4004</v>
      </c>
      <c r="L188" s="22" t="str">
        <f>VLOOKUP(A188,'Trips&amp;Operators'!$C$1:$G$99999,5,FALSE)</f>
        <v>NEWELL JAMES</v>
      </c>
      <c r="M188" s="6">
        <f t="shared" si="48"/>
        <v>8.9004629626288079E-3</v>
      </c>
      <c r="N188" s="7">
        <f t="shared" si="60"/>
        <v>12.816666666185483</v>
      </c>
      <c r="O188" s="7"/>
      <c r="P188" s="7"/>
      <c r="Q188" s="23"/>
      <c r="R188" s="23"/>
      <c r="S188" s="35">
        <f t="shared" si="49"/>
        <v>1</v>
      </c>
      <c r="T188" s="50" t="str">
        <f t="shared" si="5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15:27:39-700',mode:absolute,to:'2016-12-26 18:04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8" s="52" t="str">
        <f t="shared" si="52"/>
        <v>N</v>
      </c>
      <c r="X188" s="177">
        <f t="shared" si="61"/>
        <v>1</v>
      </c>
      <c r="Y188" s="67">
        <f t="shared" si="53"/>
        <v>9.69E-2</v>
      </c>
      <c r="Z188" s="67">
        <f t="shared" si="54"/>
        <v>5.8920000000000003</v>
      </c>
      <c r="AA188" s="67">
        <f t="shared" si="55"/>
        <v>5.7951000000000006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56"/>
        <v>0831-26</v>
      </c>
      <c r="AE188" s="91" t="str">
        <f t="shared" si="57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188" s="88" t="str">
        <f t="shared" si="58"/>
        <v>"C:\Program Files (x86)\AstroGrep\AstroGrep.exe" /spath="%USERPROFILE%\AppData\Local\Temp\OnboardLogs" /stypes="app*4003*20161227*" /stext=" 00:.+((SYSTEM_STATE.+slice.+state.+changed )|(ment ac)|(multiple cpu faults)|(system.+state.+changed )|(\[timeout)|(PRM\|1\|D)|(kpr)|(kdp)|(\|lc)|(penalty))" /e /r /s</v>
      </c>
      <c r="AG188" s="1" t="str">
        <f t="shared" si="59"/>
        <v>NW</v>
      </c>
      <c r="AH188" s="92" t="str">
        <f t="shared" si="45"/>
        <v>"%USERPROFILE%\Documents\GitHub\eaglep3\Utilities\RefineRTDCRunTimes.py" --tripid 831-26 --locoid 4003 --swversion DE.1.0.8.0 --startMP 204:969 --initTime 2016-12-26T16:27:39 --startdatetime 2016-12-26T16:51:13 --delay 1 --endMP 300:58920 --enddatetime 2016-12-26T17:04:02 --enforcementcount 0 &gt;&gt;C:\Users\stu\Documents\GitHub\eaglep3-reporting\EC\2016-12-26-refined-times.txt</v>
      </c>
      <c r="AI188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{"issue":{"subject":"","project_id":79,"tracker_id":40,"status_id":1,"priority_id":2,"assigned_to_id":23,"start_date":"2016-12-26","description":"","custom_fields":[{"id":1,"name":"Subdivision","value":"NW"},{"id":4,"name":"Milepost","value":"5.892"},{"id":17,"name":"Train ID","value":"831-26"},{"id":16,"name":"Locomotive ID","value":"4003"},{"id":130,"name":"Impact","value":""},{"id":150,"name":"Time of Event (Mountain Time)","value":"17:04:02"},{"id":151,"name":"Denver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589</v>
      </c>
      <c r="B189" s="7">
        <v>4004</v>
      </c>
      <c r="C189" s="22" t="s">
        <v>205</v>
      </c>
      <c r="D189" s="22" t="s">
        <v>747</v>
      </c>
      <c r="E189" s="13">
        <v>42730.711840277778</v>
      </c>
      <c r="F189" s="13">
        <v>42730.713263888887</v>
      </c>
      <c r="G189" s="7">
        <v>1</v>
      </c>
      <c r="H189" s="22" t="s">
        <v>770</v>
      </c>
      <c r="I189" s="13">
        <v>42730.72587962963</v>
      </c>
      <c r="J189" s="7">
        <v>0</v>
      </c>
      <c r="K189" s="109" t="str">
        <f t="shared" si="47"/>
        <v>4003/4004</v>
      </c>
      <c r="L189" s="22" t="str">
        <f>VLOOKUP(A189,'Trips&amp;Operators'!$C$1:$G$99999,5,FALSE)</f>
        <v>NEWELL JAMES</v>
      </c>
      <c r="M189" s="6">
        <f t="shared" si="48"/>
        <v>1.2615740743058268E-2</v>
      </c>
      <c r="N189" s="7">
        <f t="shared" si="60"/>
        <v>18.166666670003906</v>
      </c>
      <c r="O189" s="7"/>
      <c r="P189" s="7"/>
      <c r="Q189" s="23"/>
      <c r="R189" s="23"/>
      <c r="S189" s="35">
        <f t="shared" si="49"/>
        <v>1</v>
      </c>
      <c r="T189" s="50" t="str">
        <f t="shared" si="5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16:05:03-700',mode:absolute,to:'2016-12-26 18:25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9" s="52" t="str">
        <f t="shared" si="52"/>
        <v>N</v>
      </c>
      <c r="X189" s="177">
        <f t="shared" si="61"/>
        <v>1</v>
      </c>
      <c r="Y189" s="67">
        <f t="shared" si="53"/>
        <v>5.8605999999999998</v>
      </c>
      <c r="Z189" s="67">
        <f t="shared" si="54"/>
        <v>6.7000000000000004E-2</v>
      </c>
      <c r="AA189" s="67">
        <f t="shared" si="55"/>
        <v>5.7935999999999996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56"/>
        <v>0832-26</v>
      </c>
      <c r="AE189" s="91" t="str">
        <f t="shared" si="57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189" s="88" t="str">
        <f t="shared" si="58"/>
        <v>"C:\Program Files (x86)\AstroGrep\AstroGrep.exe" /spath="%USERPROFILE%\AppData\Local\Temp\OnboardLogs" /stypes="app*4004*20161227*" /stext=" 00:.+((SYSTEM_STATE.+slice.+state.+changed )|(ment ac)|(multiple cpu faults)|(system.+state.+changed )|(\[timeout)|(PRM\|1\|D)|(kpr)|(kdp)|(\|lc)|(penalty))" /e /r /s</v>
      </c>
      <c r="AG189" s="1" t="str">
        <f t="shared" si="59"/>
        <v>NW</v>
      </c>
      <c r="AH189" s="92" t="str">
        <f t="shared" si="45"/>
        <v>"%USERPROFILE%\Documents\GitHub\eaglep3\Utilities\RefineRTDCRunTimes.py" --tripid 832-26 --locoid 4004 --swversion DE.1.0.8.0 --startMP 300:58606 --initTime 2016-12-26T17:05:03 --startdatetime 2016-12-26T17:07:06 --delay 1 --endMP 204:670 --enddatetime 2016-12-26T17:25:16 --enforcementcount 0 &gt;&gt;C:\Users\stu\Documents\GitHub\eaglep3-reporting\EC\2016-12-26-refined-times.txt</v>
      </c>
      <c r="AI189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{"issue":{"subject":"","project_id":79,"tracker_id":40,"status_id":1,"priority_id":2,"assigned_to_id":23,"start_date":"2016-12-26","description":"","custom_fields":[{"id":1,"name":"Subdivision","value":"NW"},{"id":4,"name":"Milepost","value":"0.067"},{"id":17,"name":"Train ID","value":"832-26"},{"id":16,"name":"Locomotive ID","value":"4004"},{"id":130,"name":"Impact","value":""},{"id":150,"name":"Time of Event (Mountain Time)","value":"17:25:16"},{"id":151,"name":"Denver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s="21" customFormat="1" x14ac:dyDescent="0.25">
      <c r="A190" s="37" t="s">
        <v>587</v>
      </c>
      <c r="B190" s="7">
        <v>4002</v>
      </c>
      <c r="C190" s="22" t="s">
        <v>205</v>
      </c>
      <c r="D190" s="22" t="s">
        <v>767</v>
      </c>
      <c r="E190" s="13">
        <v>42730.706331018519</v>
      </c>
      <c r="F190" s="13">
        <v>42730.723067129627</v>
      </c>
      <c r="G190" s="7">
        <v>1</v>
      </c>
      <c r="H190" s="22" t="s">
        <v>379</v>
      </c>
      <c r="I190" s="13">
        <v>42730.732233796298</v>
      </c>
      <c r="J190" s="7">
        <v>0</v>
      </c>
      <c r="K190" s="109" t="str">
        <f t="shared" si="47"/>
        <v>4001/4002</v>
      </c>
      <c r="L190" s="22" t="str">
        <f>VLOOKUP(A190,'Trips&amp;Operators'!$C$1:$G$99999,5,FALSE)</f>
        <v>ROMERO CHAD</v>
      </c>
      <c r="M190" s="6">
        <f t="shared" si="48"/>
        <v>9.1666666703531519E-3</v>
      </c>
      <c r="N190" s="7">
        <f t="shared" si="60"/>
        <v>13.200000005308539</v>
      </c>
      <c r="O190" s="7"/>
      <c r="P190" s="7"/>
      <c r="Q190" s="23"/>
      <c r="R190" s="23"/>
      <c r="S190" s="35">
        <f t="shared" si="49"/>
        <v>1</v>
      </c>
      <c r="T190" s="50" t="str">
        <f t="shared" si="5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15:57:07-700',mode:absolute,to:'2016-12-26 18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0" s="52" t="str">
        <f t="shared" si="52"/>
        <v>N</v>
      </c>
      <c r="X190" s="177">
        <f t="shared" si="61"/>
        <v>1</v>
      </c>
      <c r="Y190" s="67">
        <f t="shared" si="53"/>
        <v>9.8299999999999998E-2</v>
      </c>
      <c r="Z190" s="67">
        <f t="shared" si="54"/>
        <v>5.8930999999999996</v>
      </c>
      <c r="AA190" s="67">
        <f t="shared" si="55"/>
        <v>5.7947999999999995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56"/>
        <v>0833-26</v>
      </c>
      <c r="AE190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90" s="88" t="str">
        <f t="shared" si="58"/>
        <v>"C:\Program Files (x86)\AstroGrep\AstroGrep.exe" /spath="%USERPROFILE%\AppData\Local\Temp\OnboardLogs" /stypes="app*4002*20161227*" /stext=" 00:.+((SYSTEM_STATE.+slice.+state.+changed )|(ment ac)|(multiple cpu faults)|(system.+state.+changed )|(\[timeout)|(PRM\|1\|D)|(kpr)|(kdp)|(\|lc)|(penalty))" /e /r /s</v>
      </c>
      <c r="AG190" s="1" t="str">
        <f t="shared" si="59"/>
        <v>NW</v>
      </c>
      <c r="AH190" s="92" t="str">
        <f t="shared" si="45"/>
        <v>"%USERPROFILE%\Documents\GitHub\eaglep3\Utilities\RefineRTDCRunTimes.py" --tripid 833-26 --locoid 4002 --swversion DE.1.0.8.0 --startMP 204:983 --initTime 2016-12-26T16:57:07 --startdatetime 2016-12-26T17:21:13 --delay 1 --endMP 300:58931 --enddatetime 2016-12-26T17:34:25 --enforcementcount 0 &gt;&gt;C:\Users\stu\Documents\GitHub\eaglep3-reporting\EC\2016-12-26-refined-times.txt</v>
      </c>
      <c r="AI190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{"issue":{"subject":"","project_id":79,"tracker_id":40,"status_id":1,"priority_id":2,"assigned_to_id":23,"start_date":"2016-12-26","description":"","custom_fields":[{"id":1,"name":"Subdivision","value":"NW"},{"id":4,"name":"Milepost","value":"5.8931"},{"id":17,"name":"Train ID","value":"833-26"},{"id":16,"name":"Locomotive ID","value":"4002"},{"id":130,"name":"Impact","value":""},{"id":150,"name":"Time of Event (Mountain Time)","value":"17:34:25"},{"id":151,"name":"Denver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444</v>
      </c>
      <c r="B191" s="7">
        <v>4001</v>
      </c>
      <c r="C191" s="22" t="s">
        <v>205</v>
      </c>
      <c r="D191" s="22" t="s">
        <v>405</v>
      </c>
      <c r="E191" s="13">
        <v>42730.733391203707</v>
      </c>
      <c r="F191" s="13">
        <v>42730.734895833331</v>
      </c>
      <c r="G191" s="7">
        <v>1</v>
      </c>
      <c r="H191" s="22" t="s">
        <v>763</v>
      </c>
      <c r="I191" s="13">
        <v>42730.747650462959</v>
      </c>
      <c r="J191" s="7">
        <v>0</v>
      </c>
      <c r="K191" s="109" t="str">
        <f t="shared" si="47"/>
        <v>4001/4002</v>
      </c>
      <c r="L191" s="22" t="str">
        <f>VLOOKUP(A191,'Trips&amp;Operators'!$C$1:$G$99999,5,FALSE)</f>
        <v>ROMERO CHAD</v>
      </c>
      <c r="M191" s="6">
        <f t="shared" si="48"/>
        <v>1.2754629628034309E-2</v>
      </c>
      <c r="N191" s="7">
        <f t="shared" si="60"/>
        <v>18.366666664369404</v>
      </c>
      <c r="O191" s="7"/>
      <c r="P191" s="7"/>
      <c r="Q191" s="23"/>
      <c r="R191" s="23"/>
      <c r="S191" s="35">
        <f t="shared" si="49"/>
        <v>1</v>
      </c>
      <c r="T191" s="50" t="str">
        <f t="shared" si="5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16:36:05-700',mode:absolute,to:'2016-12-26 18:56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1" s="52" t="str">
        <f t="shared" si="52"/>
        <v>N</v>
      </c>
      <c r="X191" s="177">
        <f t="shared" si="61"/>
        <v>1</v>
      </c>
      <c r="Y191" s="67">
        <f t="shared" si="53"/>
        <v>5.8615000000000004</v>
      </c>
      <c r="Z191" s="67">
        <f t="shared" si="54"/>
        <v>7.0300000000000001E-2</v>
      </c>
      <c r="AA191" s="67">
        <f t="shared" si="55"/>
        <v>5.7912000000000008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56"/>
        <v>0834-26</v>
      </c>
      <c r="AE191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91" s="88" t="str">
        <f t="shared" si="58"/>
        <v>"C:\Program Files (x86)\AstroGrep\AstroGrep.exe" /spath="%USERPROFILE%\AppData\Local\Temp\OnboardLogs" /stypes="app*4001*20161227*" /stext=" 00:.+((SYSTEM_STATE.+slice.+state.+changed )|(ment ac)|(multiple cpu faults)|(system.+state.+changed )|(\[timeout)|(PRM\|1\|D)|(kpr)|(kdp)|(\|lc)|(penalty))" /e /r /s</v>
      </c>
      <c r="AG191" s="1" t="str">
        <f t="shared" si="59"/>
        <v>NW</v>
      </c>
      <c r="AH191" s="92" t="str">
        <f t="shared" si="45"/>
        <v>"%USERPROFILE%\Documents\GitHub\eaglep3\Utilities\RefineRTDCRunTimes.py" --tripid 834-26 --locoid 4001 --swversion DE.1.0.8.0 --startMP 300:58615 --initTime 2016-12-26T17:36:05 --startdatetime 2016-12-26T17:38:15 --delay 1 --endMP 204:703 --enddatetime 2016-12-26T17:56:37 --enforcementcount 0 &gt;&gt;C:\Users\stu\Documents\GitHub\eaglep3-reporting\EC\2016-12-26-refined-times.txt</v>
      </c>
      <c r="AI191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{"issue":{"subject":"","project_id":79,"tracker_id":40,"status_id":1,"priority_id":2,"assigned_to_id":23,"start_date":"2016-12-26","description":"","custom_fields":[{"id":1,"name":"Subdivision","value":"NW"},{"id":4,"name":"Milepost","value":"0.0703"},{"id":17,"name":"Train ID","value":"834-26"},{"id":16,"name":"Locomotive ID","value":"4001"},{"id":130,"name":"Impact","value":""},{"id":150,"name":"Time of Event (Mountain Time)","value":"17:56:37"},{"id":151,"name":"Denver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593</v>
      </c>
      <c r="B192" s="7">
        <v>4003</v>
      </c>
      <c r="C192" s="22" t="s">
        <v>205</v>
      </c>
      <c r="D192" s="22" t="s">
        <v>771</v>
      </c>
      <c r="E192" s="13">
        <v>42730.727048611108</v>
      </c>
      <c r="F192" s="13">
        <v>42730.743935185186</v>
      </c>
      <c r="G192" s="7">
        <v>1</v>
      </c>
      <c r="H192" s="22" t="s">
        <v>750</v>
      </c>
      <c r="I192" s="13">
        <v>42730.752986111111</v>
      </c>
      <c r="J192" s="7">
        <v>0</v>
      </c>
      <c r="K192" s="109" t="str">
        <f t="shared" si="47"/>
        <v>4003/4004</v>
      </c>
      <c r="L192" s="22" t="str">
        <f>VLOOKUP(A192,'Trips&amp;Operators'!$C$1:$G$99999,5,FALSE)</f>
        <v>NEWELL JAMES</v>
      </c>
      <c r="M192" s="6">
        <f t="shared" si="48"/>
        <v>9.0509259243845008E-3</v>
      </c>
      <c r="N192" s="7">
        <f t="shared" si="60"/>
        <v>13.033333331113681</v>
      </c>
      <c r="O192" s="7"/>
      <c r="P192" s="7"/>
      <c r="Q192" s="23"/>
      <c r="R192" s="23"/>
      <c r="S192" s="35">
        <f t="shared" si="49"/>
        <v>1</v>
      </c>
      <c r="T192" s="50" t="str">
        <f t="shared" si="5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16:26:57-700',mode:absolute,to:'2016-12-26 19:04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2" s="52" t="str">
        <f t="shared" si="52"/>
        <v>N</v>
      </c>
      <c r="X192" s="177">
        <f t="shared" si="61"/>
        <v>1</v>
      </c>
      <c r="Y192" s="67">
        <f t="shared" si="53"/>
        <v>9.4100000000000003E-2</v>
      </c>
      <c r="Z192" s="67">
        <f t="shared" si="54"/>
        <v>5.8914</v>
      </c>
      <c r="AA192" s="67">
        <f t="shared" si="55"/>
        <v>5.7972999999999999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56"/>
        <v>0835-26</v>
      </c>
      <c r="AE192" s="91" t="str">
        <f t="shared" si="57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192" s="88" t="str">
        <f t="shared" si="58"/>
        <v>"C:\Program Files (x86)\AstroGrep\AstroGrep.exe" /spath="%USERPROFILE%\AppData\Local\Temp\OnboardLogs" /stypes="app*4003*20161227*" /stext=" 01:.+((SYSTEM_STATE.+slice.+state.+changed )|(ment ac)|(multiple cpu faults)|(system.+state.+changed )|(\[timeout)|(PRM\|1\|D)|(kpr)|(kdp)|(\|lc)|(penalty))" /e /r /s</v>
      </c>
      <c r="AG192" s="1" t="str">
        <f t="shared" si="59"/>
        <v>NW</v>
      </c>
      <c r="AH192" s="92" t="str">
        <f t="shared" si="45"/>
        <v>"%USERPROFILE%\Documents\GitHub\eaglep3\Utilities\RefineRTDCRunTimes.py" --tripid 835-26 --locoid 4003 --swversion DE.1.0.8.0 --startMP 204:941 --initTime 2016-12-26T17:26:57 --startdatetime 2016-12-26T17:51:16 --delay 1 --endMP 300:58914 --enddatetime 2016-12-26T18:04:18 --enforcementcount 0 &gt;&gt;C:\Users\stu\Documents\GitHub\eaglep3-reporting\EC\2016-12-26-refined-times.txt</v>
      </c>
      <c r="AI192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{"issue":{"subject":"","project_id":79,"tracker_id":40,"status_id":1,"priority_id":2,"assigned_to_id":23,"start_date":"2016-12-26","description":"","custom_fields":[{"id":1,"name":"Subdivision","value":"NW"},{"id":4,"name":"Milepost","value":"5.8914"},{"id":17,"name":"Train ID","value":"835-26"},{"id":16,"name":"Locomotive ID","value":"4003"},{"id":130,"name":"Impact","value":""},{"id":150,"name":"Time of Event (Mountain Time)","value":"18:04:18"},{"id":151,"name":"Denver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7" t="s">
        <v>602</v>
      </c>
      <c r="B193" s="7">
        <v>4004</v>
      </c>
      <c r="C193" s="22" t="s">
        <v>205</v>
      </c>
      <c r="D193" s="22" t="s">
        <v>772</v>
      </c>
      <c r="E193" s="13">
        <v>42730.753668981481</v>
      </c>
      <c r="F193" s="13">
        <v>42730.754745370374</v>
      </c>
      <c r="G193" s="7">
        <v>0</v>
      </c>
      <c r="H193" s="22" t="s">
        <v>773</v>
      </c>
      <c r="I193" s="13">
        <v>42730.768078703702</v>
      </c>
      <c r="J193" s="7">
        <v>0</v>
      </c>
      <c r="K193" s="109" t="str">
        <f t="shared" si="47"/>
        <v>4003/4004</v>
      </c>
      <c r="L193" s="22" t="str">
        <f>VLOOKUP(A193,'Trips&amp;Operators'!$C$1:$G$99999,5,FALSE)</f>
        <v>NEWELL JAMES</v>
      </c>
      <c r="M193" s="6">
        <f t="shared" si="48"/>
        <v>1.3333333328773733E-2</v>
      </c>
      <c r="N193" s="7">
        <f t="shared" si="60"/>
        <v>19.199999993434176</v>
      </c>
      <c r="O193" s="7"/>
      <c r="P193" s="7"/>
      <c r="Q193" s="23"/>
      <c r="R193" s="23"/>
      <c r="S193" s="35">
        <f t="shared" si="49"/>
        <v>1</v>
      </c>
      <c r="T193" s="50" t="str">
        <f t="shared" si="5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17:05:17-700',mode:absolute,to:'2016-12-26 19:26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3" s="52" t="str">
        <f t="shared" si="52"/>
        <v>N</v>
      </c>
      <c r="X193" s="177">
        <f t="shared" si="61"/>
        <v>1</v>
      </c>
      <c r="Y193" s="67">
        <f t="shared" si="53"/>
        <v>5.8592000000000004</v>
      </c>
      <c r="Z193" s="67">
        <f t="shared" si="54"/>
        <v>6.6600000000000006E-2</v>
      </c>
      <c r="AA193" s="67">
        <f t="shared" si="55"/>
        <v>5.7926000000000002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56"/>
        <v>0836-26</v>
      </c>
      <c r="AE193" s="91" t="str">
        <f t="shared" si="57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193" s="88" t="str">
        <f t="shared" si="58"/>
        <v>"C:\Program Files (x86)\AstroGrep\AstroGrep.exe" /spath="%USERPROFILE%\AppData\Local\Temp\OnboardLogs" /stypes="app*4004*20161227*" /stext=" 01:.+((SYSTEM_STATE.+slice.+state.+changed )|(ment ac)|(multiple cpu faults)|(system.+state.+changed )|(\[timeout)|(PRM\|1\|D)|(kpr)|(kdp)|(\|lc)|(penalty))" /e /r /s</v>
      </c>
      <c r="AG193" s="1" t="str">
        <f t="shared" si="59"/>
        <v>NW</v>
      </c>
      <c r="AH193" s="92" t="str">
        <f t="shared" si="45"/>
        <v>"%USERPROFILE%\Documents\GitHub\eaglep3\Utilities\RefineRTDCRunTimes.py" --tripid 836-26 --locoid 4004 --swversion DE.1.0.8.0 --startMP 300:58592 --initTime 2016-12-26T18:05:17 --startdatetime 2016-12-26T18:06:50 --delay 0 --endMP 204:666 --enddatetime 2016-12-26T18:26:02 --enforcementcount 0 &gt;&gt;C:\Users\stu\Documents\GitHub\eaglep3-reporting\EC\2016-12-26-refined-times.txt</v>
      </c>
      <c r="AI193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{"issue":{"subject":"","project_id":79,"tracker_id":40,"status_id":1,"priority_id":2,"assigned_to_id":23,"start_date":"2016-12-26","description":"","custom_fields":[{"id":1,"name":"Subdivision","value":"NW"},{"id":4,"name":"Milepost","value":"0.0666"},{"id":17,"name":"Train ID","value":"836-26"},{"id":16,"name":"Locomotive ID","value":"4004"},{"id":130,"name":"Impact","value":""},{"id":150,"name":"Time of Event (Mountain Time)","value":"18:26:02"},{"id":151,"name":"Denver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600</v>
      </c>
      <c r="B194" s="7">
        <v>4002</v>
      </c>
      <c r="C194" s="22" t="s">
        <v>205</v>
      </c>
      <c r="D194" s="22" t="s">
        <v>774</v>
      </c>
      <c r="E194" s="13">
        <v>42730.750532407408</v>
      </c>
      <c r="F194" s="13">
        <v>42730.764837962961</v>
      </c>
      <c r="G194" s="7">
        <v>1</v>
      </c>
      <c r="H194" s="22" t="s">
        <v>341</v>
      </c>
      <c r="I194" s="13">
        <v>42730.773622685185</v>
      </c>
      <c r="J194" s="7">
        <v>0</v>
      </c>
      <c r="K194" s="109" t="str">
        <f t="shared" si="47"/>
        <v>4001/4002</v>
      </c>
      <c r="L194" s="22" t="str">
        <f>VLOOKUP(A194,'Trips&amp;Operators'!$C$1:$G$99999,5,FALSE)</f>
        <v>ROMERO CHAD</v>
      </c>
      <c r="M194" s="6">
        <f t="shared" si="48"/>
        <v>8.7847222239361145E-3</v>
      </c>
      <c r="N194" s="7">
        <f t="shared" ref="N194:N226" si="62">24*60*SUM($M194:$M194)</f>
        <v>12.650000002468005</v>
      </c>
      <c r="O194" s="7"/>
      <c r="P194" s="7"/>
      <c r="Q194" s="23"/>
      <c r="R194" s="23"/>
      <c r="S194" s="35">
        <f t="shared" si="49"/>
        <v>1</v>
      </c>
      <c r="T194" s="50" t="str">
        <f t="shared" si="50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17:00:46-700',mode:absolute,to:'2016-12-26 19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4" s="52" t="str">
        <f t="shared" si="52"/>
        <v>N</v>
      </c>
      <c r="X194" s="177">
        <f t="shared" si="61"/>
        <v>1</v>
      </c>
      <c r="Y194" s="67">
        <f t="shared" si="53"/>
        <v>9.8500000000000004E-2</v>
      </c>
      <c r="Z194" s="67">
        <f t="shared" si="54"/>
        <v>5.8935000000000004</v>
      </c>
      <c r="AA194" s="67">
        <f t="shared" si="55"/>
        <v>5.7950000000000008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56"/>
        <v>0837-26</v>
      </c>
      <c r="AE194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94" s="88" t="str">
        <f t="shared" si="58"/>
        <v>"C:\Program Files (x86)\AstroGrep\AstroGrep.exe" /spath="%USERPROFILE%\AppData\Local\Temp\OnboardLogs" /stypes="app*4002*20161227*" /stext=" 01:.+((SYSTEM_STATE.+slice.+state.+changed )|(ment ac)|(multiple cpu faults)|(system.+state.+changed )|(\[timeout)|(PRM\|1\|D)|(kpr)|(kdp)|(\|lc)|(penalty))" /e /r /s</v>
      </c>
      <c r="AG194" s="1" t="str">
        <f t="shared" si="59"/>
        <v>NW</v>
      </c>
      <c r="AH194" s="92" t="str">
        <f t="shared" si="45"/>
        <v>"%USERPROFILE%\Documents\GitHub\eaglep3\Utilities\RefineRTDCRunTimes.py" --tripid 837-26 --locoid 4002 --swversion DE.1.0.8.0 --startMP 204:985 --initTime 2016-12-26T18:00:46 --startdatetime 2016-12-26T18:21:22 --delay 1 --endMP 300:58935 --enddatetime 2016-12-26T18:34:01 --enforcementcount 0 &gt;&gt;C:\Users\stu\Documents\GitHub\eaglep3-reporting\EC\2016-12-26-refined-times.txt</v>
      </c>
      <c r="AI194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{"issue":{"subject":"","project_id":79,"tracker_id":40,"status_id":1,"priority_id":2,"assigned_to_id":23,"start_date":"2016-12-26","description":"","custom_fields":[{"id":1,"name":"Subdivision","value":"NW"},{"id":4,"name":"Milepost","value":"5.8935"},{"id":17,"name":"Train ID","value":"837-26"},{"id":16,"name":"Locomotive ID","value":"4002"},{"id":130,"name":"Impact","value":""},{"id":150,"name":"Time of Event (Mountain Time)","value":"18:34:01"},{"id":151,"name":"Denver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610</v>
      </c>
      <c r="B195" s="7">
        <v>4001</v>
      </c>
      <c r="C195" s="22" t="s">
        <v>205</v>
      </c>
      <c r="D195" s="22" t="s">
        <v>342</v>
      </c>
      <c r="E195" s="13">
        <v>42730.775150462963</v>
      </c>
      <c r="F195" s="13">
        <v>42730.776608796295</v>
      </c>
      <c r="G195" s="7">
        <v>1</v>
      </c>
      <c r="H195" s="22" t="s">
        <v>761</v>
      </c>
      <c r="I195" s="13">
        <v>42730.789270833331</v>
      </c>
      <c r="J195" s="7">
        <v>0</v>
      </c>
      <c r="K195" s="109" t="str">
        <f t="shared" si="47"/>
        <v>4001/4002</v>
      </c>
      <c r="L195" s="22" t="str">
        <f>VLOOKUP(A195,'Trips&amp;Operators'!$C$1:$G$99999,5,FALSE)</f>
        <v>ROMERO CHAD</v>
      </c>
      <c r="M195" s="6">
        <f t="shared" si="48"/>
        <v>1.2662037035624962E-2</v>
      </c>
      <c r="N195" s="7">
        <f t="shared" si="62"/>
        <v>18.233333331299946</v>
      </c>
      <c r="O195" s="7"/>
      <c r="P195" s="7"/>
      <c r="Q195" s="23"/>
      <c r="R195" s="23"/>
      <c r="S195" s="35">
        <f t="shared" si="49"/>
        <v>1</v>
      </c>
      <c r="T195" s="50" t="str">
        <f t="shared" si="50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17:36:13-700',mode:absolute,to:'2016-12-26 19:56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5" s="52" t="str">
        <f t="shared" si="52"/>
        <v>N</v>
      </c>
      <c r="X195" s="177">
        <f t="shared" si="61"/>
        <v>1</v>
      </c>
      <c r="Y195" s="67">
        <f t="shared" si="53"/>
        <v>5.8616999999999999</v>
      </c>
      <c r="Z195" s="67">
        <f t="shared" si="54"/>
        <v>7.1199999999999999E-2</v>
      </c>
      <c r="AA195" s="67">
        <f t="shared" si="55"/>
        <v>5.7904999999999998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56"/>
        <v>0838-26</v>
      </c>
      <c r="AE195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95" s="88" t="str">
        <f t="shared" si="58"/>
        <v>"C:\Program Files (x86)\AstroGrep\AstroGrep.exe" /spath="%USERPROFILE%\AppData\Local\Temp\OnboardLogs" /stypes="app*4001*20161227*" /stext=" 01:.+((SYSTEM_STATE.+slice.+state.+changed )|(ment ac)|(multiple cpu faults)|(system.+state.+changed )|(\[timeout)|(PRM\|1\|D)|(kpr)|(kdp)|(\|lc)|(penalty))" /e /r /s</v>
      </c>
      <c r="AG195" s="1" t="str">
        <f t="shared" si="59"/>
        <v>NW</v>
      </c>
      <c r="AH195" s="92" t="str">
        <f t="shared" si="45"/>
        <v>"%USERPROFILE%\Documents\GitHub\eaglep3\Utilities\RefineRTDCRunTimes.py" --tripid 838-26 --locoid 4001 --swversion DE.1.0.8.0 --startMP 300:58617 --initTime 2016-12-26T18:36:13 --startdatetime 2016-12-26T18:38:19 --delay 1 --endMP 204:712 --enddatetime 2016-12-26T18:56:33 --enforcementcount 0 &gt;&gt;C:\Users\stu\Documents\GitHub\eaglep3-reporting\EC\2016-12-26-refined-times.txt</v>
      </c>
      <c r="AI195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{"issue":{"subject":"","project_id":79,"tracker_id":40,"status_id":1,"priority_id":2,"assigned_to_id":23,"start_date":"2016-12-26","description":"","custom_fields":[{"id":1,"name":"Subdivision","value":"NW"},{"id":4,"name":"Milepost","value":"0.0712"},{"id":17,"name":"Train ID","value":"838-26"},{"id":16,"name":"Locomotive ID","value":"4001"},{"id":130,"name":"Impact","value":""},{"id":150,"name":"Time of Event (Mountain Time)","value":"18:56:33"},{"id":151,"name":"Denver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605</v>
      </c>
      <c r="B196" s="7">
        <v>4003</v>
      </c>
      <c r="C196" s="22" t="s">
        <v>205</v>
      </c>
      <c r="D196" s="22" t="s">
        <v>775</v>
      </c>
      <c r="E196" s="13">
        <v>42730.769467592596</v>
      </c>
      <c r="F196" s="13">
        <v>42730.785567129627</v>
      </c>
      <c r="G196" s="7">
        <v>1</v>
      </c>
      <c r="H196" s="22" t="s">
        <v>755</v>
      </c>
      <c r="I196" s="13">
        <v>42730.794652777775</v>
      </c>
      <c r="J196" s="7">
        <v>0</v>
      </c>
      <c r="K196" s="109" t="str">
        <f t="shared" si="47"/>
        <v>4003/4004</v>
      </c>
      <c r="L196" s="22" t="str">
        <f>VLOOKUP(A196,'Trips&amp;Operators'!$C$1:$G$99999,5,FALSE)</f>
        <v>NEWELL JAMES</v>
      </c>
      <c r="M196" s="6">
        <f t="shared" si="48"/>
        <v>9.0856481474475004E-3</v>
      </c>
      <c r="N196" s="7">
        <f t="shared" si="62"/>
        <v>13.083333332324401</v>
      </c>
      <c r="O196" s="7"/>
      <c r="P196" s="7"/>
      <c r="Q196" s="23"/>
      <c r="R196" s="23"/>
      <c r="S196" s="35">
        <f t="shared" si="49"/>
        <v>1</v>
      </c>
      <c r="T196" s="50" t="str">
        <f t="shared" si="5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17:28:02-700',mode:absolute,to:'2016-12-26 20:04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6" s="52" t="str">
        <f t="shared" si="52"/>
        <v>N</v>
      </c>
      <c r="X196" s="177">
        <f t="shared" si="61"/>
        <v>1</v>
      </c>
      <c r="Y196" s="67">
        <f t="shared" si="53"/>
        <v>9.5500000000000002E-2</v>
      </c>
      <c r="Z196" s="67">
        <f t="shared" si="54"/>
        <v>5.8912000000000004</v>
      </c>
      <c r="AA196" s="67">
        <f t="shared" si="55"/>
        <v>5.7957000000000001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56"/>
        <v>0839-26</v>
      </c>
      <c r="AE196" s="91" t="str">
        <f t="shared" si="57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196" s="88" t="str">
        <f t="shared" si="58"/>
        <v>"C:\Program Files (x86)\AstroGrep\AstroGrep.exe" /spath="%USERPROFILE%\AppData\Local\Temp\OnboardLogs" /stypes="app*4003*20161227*" /stext=" 02:.+((SYSTEM_STATE.+slice.+state.+changed )|(ment ac)|(multiple cpu faults)|(system.+state.+changed )|(\[timeout)|(PRM\|1\|D)|(kpr)|(kdp)|(\|lc)|(penalty))" /e /r /s</v>
      </c>
      <c r="AG196" s="1" t="str">
        <f t="shared" si="59"/>
        <v>NW</v>
      </c>
      <c r="AH196" s="92" t="str">
        <f t="shared" si="45"/>
        <v>"%USERPROFILE%\Documents\GitHub\eaglep3\Utilities\RefineRTDCRunTimes.py" --tripid 839-26 --locoid 4003 --swversion DE.1.0.8.0 --startMP 204:955 --initTime 2016-12-26T18:28:02 --startdatetime 2016-12-26T18:51:13 --delay 1 --endMP 300:58912 --enddatetime 2016-12-26T19:04:18 --enforcementcount 0 &gt;&gt;C:\Users\stu\Documents\GitHub\eaglep3-reporting\EC\2016-12-26-refined-times.txt</v>
      </c>
      <c r="AI196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{"issue":{"subject":"","project_id":79,"tracker_id":40,"status_id":1,"priority_id":2,"assigned_to_id":23,"start_date":"2016-12-26","description":"","custom_fields":[{"id":1,"name":"Subdivision","value":"NW"},{"id":4,"name":"Milepost","value":"5.8912"},{"id":17,"name":"Train ID","value":"839-26"},{"id":16,"name":"Locomotive ID","value":"4003"},{"id":130,"name":"Impact","value":""},{"id":150,"name":"Time of Event (Mountain Time)","value":"19:04:18"},{"id":151,"name":"Denver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621</v>
      </c>
      <c r="B197" s="7">
        <v>4001</v>
      </c>
      <c r="C197" s="22" t="s">
        <v>205</v>
      </c>
      <c r="D197" s="22" t="s">
        <v>776</v>
      </c>
      <c r="E197" s="13">
        <v>42730.81653935185</v>
      </c>
      <c r="F197" s="13">
        <v>42730.817858796298</v>
      </c>
      <c r="G197" s="7">
        <v>1</v>
      </c>
      <c r="H197" s="22" t="s">
        <v>777</v>
      </c>
      <c r="I197" s="13">
        <v>42730.830370370371</v>
      </c>
      <c r="J197" s="7">
        <v>0</v>
      </c>
      <c r="K197" s="109" t="str">
        <f t="shared" si="47"/>
        <v>4001/4002</v>
      </c>
      <c r="L197" s="22" t="str">
        <f>VLOOKUP(A197,'Trips&amp;Operators'!$C$1:$G$99999,5,FALSE)</f>
        <v>ROMERO CHAD</v>
      </c>
      <c r="M197" s="6">
        <f t="shared" si="48"/>
        <v>1.2511574073869269E-2</v>
      </c>
      <c r="N197" s="7">
        <f t="shared" si="62"/>
        <v>18.016666666371748</v>
      </c>
      <c r="O197" s="7"/>
      <c r="P197" s="7"/>
      <c r="Q197" s="23"/>
      <c r="R197" s="23"/>
      <c r="S197" s="35">
        <f t="shared" si="49"/>
        <v>1</v>
      </c>
      <c r="T197" s="50" t="str">
        <f t="shared" si="5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18:35:49-700',mode:absolute,to:'2016-12-26 20:55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7" s="52" t="str">
        <f t="shared" si="52"/>
        <v>N</v>
      </c>
      <c r="X197" s="177">
        <f t="shared" ref="X197:X226" si="63">VALUE(LEFT(AD197,4))-VALUE(LEFT(AD196,4))</f>
        <v>1</v>
      </c>
      <c r="Y197" s="67">
        <f t="shared" si="53"/>
        <v>5.8632</v>
      </c>
      <c r="Z197" s="67">
        <f t="shared" si="54"/>
        <v>6.8900000000000003E-2</v>
      </c>
      <c r="AA197" s="67">
        <f t="shared" si="55"/>
        <v>5.7942999999999998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56"/>
        <v>0840-26</v>
      </c>
      <c r="AE197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97" s="88" t="str">
        <f t="shared" si="58"/>
        <v>"C:\Program Files (x86)\AstroGrep\AstroGrep.exe" /spath="%USERPROFILE%\AppData\Local\Temp\OnboardLogs" /stypes="app*4001*20161227*" /stext=" 02:.+((SYSTEM_STATE.+slice.+state.+changed )|(ment ac)|(multiple cpu faults)|(system.+state.+changed )|(\[timeout)|(PRM\|1\|D)|(kpr)|(kdp)|(\|lc)|(penalty))" /e /r /s</v>
      </c>
      <c r="AG197" s="1" t="str">
        <f t="shared" si="59"/>
        <v>NW</v>
      </c>
      <c r="AH197" s="92" t="str">
        <f t="shared" si="45"/>
        <v>"%USERPROFILE%\Documents\GitHub\eaglep3\Utilities\RefineRTDCRunTimes.py" --tripid 840-26 --locoid 4001 --swversion DE.1.0.8.0 --startMP 300:58632 --initTime 2016-12-26T19:35:49 --startdatetime 2016-12-26T19:37:43 --delay 1 --endMP 204:689 --enddatetime 2016-12-26T19:55:44 --enforcementcount 0 &gt;&gt;C:\Users\stu\Documents\GitHub\eaglep3-reporting\EC\2016-12-26-refined-times.txt</v>
      </c>
      <c r="AI197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{"issue":{"subject":"","project_id":79,"tracker_id":40,"status_id":1,"priority_id":2,"assigned_to_id":23,"start_date":"2016-12-26","description":"","custom_fields":[{"id":1,"name":"Subdivision","value":"NW"},{"id":4,"name":"Milepost","value":"0.0689"},{"id":17,"name":"Train ID","value":"840-26"},{"id":16,"name":"Locomotive ID","value":"4001"},{"id":130,"name":"Impact","value":""},{"id":150,"name":"Time of Event (Mountain Time)","value":"19:55:44"},{"id":151,"name":"Denver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614</v>
      </c>
      <c r="B198" s="7">
        <v>4002</v>
      </c>
      <c r="C198" s="22" t="s">
        <v>205</v>
      </c>
      <c r="D198" s="22" t="s">
        <v>778</v>
      </c>
      <c r="E198" s="13">
        <v>42730.790567129632</v>
      </c>
      <c r="F198" s="13">
        <v>42730.806400462963</v>
      </c>
      <c r="G198" s="7">
        <v>1</v>
      </c>
      <c r="H198" s="22" t="s">
        <v>779</v>
      </c>
      <c r="I198" s="13">
        <v>42730.815532407411</v>
      </c>
      <c r="J198" s="7">
        <v>0</v>
      </c>
      <c r="K198" s="109" t="str">
        <f t="shared" si="47"/>
        <v>4001/4002</v>
      </c>
      <c r="L198" s="22" t="str">
        <f>VLOOKUP(A198,'Trips&amp;Operators'!$C$1:$G$99999,5,FALSE)</f>
        <v>ROMERO CHAD</v>
      </c>
      <c r="M198" s="6">
        <f t="shared" si="48"/>
        <v>9.1319444472901523E-3</v>
      </c>
      <c r="N198" s="7">
        <f t="shared" si="62"/>
        <v>13.150000004097819</v>
      </c>
      <c r="O198" s="7"/>
      <c r="P198" s="7"/>
      <c r="Q198" s="23"/>
      <c r="R198" s="23"/>
      <c r="S198" s="35">
        <f t="shared" si="49"/>
        <v>1</v>
      </c>
      <c r="T198" s="50" t="str">
        <f t="shared" si="5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17:58:25-700',mode:absolute,to:'2016-12-26 20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8" s="52" t="str">
        <f t="shared" si="52"/>
        <v>N</v>
      </c>
      <c r="X198" s="177">
        <f t="shared" si="63"/>
        <v>1</v>
      </c>
      <c r="Y198" s="67">
        <f t="shared" si="53"/>
        <v>0.1007</v>
      </c>
      <c r="Z198" s="67">
        <f t="shared" si="54"/>
        <v>5.8958000000000004</v>
      </c>
      <c r="AA198" s="67">
        <f t="shared" si="55"/>
        <v>5.7951000000000006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56"/>
        <v>0841-26</v>
      </c>
      <c r="AE198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198" s="88" t="str">
        <f t="shared" si="58"/>
        <v>"C:\Program Files (x86)\AstroGrep\AstroGrep.exe" /spath="%USERPROFILE%\AppData\Local\Temp\OnboardLogs" /stypes="app*4002*20161227*" /stext=" 02:.+((SYSTEM_STATE.+slice.+state.+changed )|(ment ac)|(multiple cpu faults)|(system.+state.+changed )|(\[timeout)|(PRM\|1\|D)|(kpr)|(kdp)|(\|lc)|(penalty))" /e /r /s</v>
      </c>
      <c r="AG198" s="1" t="str">
        <f t="shared" si="59"/>
        <v>NW</v>
      </c>
      <c r="AH198" s="92" t="str">
        <f t="shared" si="45"/>
        <v>"%USERPROFILE%\Documents\GitHub\eaglep3\Utilities\RefineRTDCRunTimes.py" --tripid 841-26 --locoid 4002 --swversion DE.1.0.8.0 --startMP 204:1007 --initTime 2016-12-26T18:58:25 --startdatetime 2016-12-26T19:21:13 --delay 1 --endMP 300:58958 --enddatetime 2016-12-26T19:34:22 --enforcementcount 0 &gt;&gt;C:\Users\stu\Documents\GitHub\eaglep3-reporting\EC\2016-12-26-refined-times.txt</v>
      </c>
      <c r="AI198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{"issue":{"subject":"","project_id":79,"tracker_id":40,"status_id":1,"priority_id":2,"assigned_to_id":23,"start_date":"2016-12-26","description":"","custom_fields":[{"id":1,"name":"Subdivision","value":"NW"},{"id":4,"name":"Milepost","value":"5.8958"},{"id":17,"name":"Train ID","value":"841-26"},{"id":16,"name":"Locomotive ID","value":"4002"},{"id":130,"name":"Impact","value":""},{"id":150,"name":"Time of Event (Mountain Time)","value":"19:34:22"},{"id":151,"name":"Denver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448</v>
      </c>
      <c r="B199" s="7">
        <v>4001</v>
      </c>
      <c r="C199" s="22" t="s">
        <v>205</v>
      </c>
      <c r="D199" s="22" t="s">
        <v>780</v>
      </c>
      <c r="E199" s="13">
        <v>42730.858668981484</v>
      </c>
      <c r="F199" s="13">
        <v>42730.859895833331</v>
      </c>
      <c r="G199" s="7">
        <v>1</v>
      </c>
      <c r="H199" s="22" t="s">
        <v>395</v>
      </c>
      <c r="I199" s="13">
        <v>42730.871064814812</v>
      </c>
      <c r="J199" s="7">
        <v>0</v>
      </c>
      <c r="K199" s="109" t="str">
        <f t="shared" si="47"/>
        <v>4001/4002</v>
      </c>
      <c r="L199" s="22" t="str">
        <f>VLOOKUP(A199,'Trips&amp;Operators'!$C$1:$G$99999,5,FALSE)</f>
        <v>ROMERO CHAD</v>
      </c>
      <c r="M199" s="6">
        <f t="shared" si="48"/>
        <v>1.116898148029577E-2</v>
      </c>
      <c r="N199" s="7">
        <f t="shared" si="62"/>
        <v>16.083333331625909</v>
      </c>
      <c r="O199" s="7"/>
      <c r="P199" s="7"/>
      <c r="Q199" s="23"/>
      <c r="R199" s="23"/>
      <c r="S199" s="35">
        <f t="shared" si="49"/>
        <v>1</v>
      </c>
      <c r="T199" s="50" t="str">
        <f t="shared" si="50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19:36:29-700',mode:absolute,to:'2016-12-26 21:54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9" s="52" t="str">
        <f t="shared" si="52"/>
        <v>N</v>
      </c>
      <c r="X199" s="177">
        <f t="shared" si="63"/>
        <v>1</v>
      </c>
      <c r="Y199" s="67">
        <f t="shared" si="53"/>
        <v>5.8644999999999996</v>
      </c>
      <c r="Z199" s="67">
        <f t="shared" si="54"/>
        <v>7.0800000000000002E-2</v>
      </c>
      <c r="AA199" s="67">
        <f t="shared" si="55"/>
        <v>5.7936999999999994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56"/>
        <v>0842-26</v>
      </c>
      <c r="AE199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199" s="88" t="str">
        <f t="shared" si="58"/>
        <v>"C:\Program Files (x86)\AstroGrep\AstroGrep.exe" /spath="%USERPROFILE%\AppData\Local\Temp\OnboardLogs" /stypes="app*4001*20161227*" /stext=" 03:.+((SYSTEM_STATE.+slice.+state.+changed )|(ment ac)|(multiple cpu faults)|(system.+state.+changed )|(\[timeout)|(PRM\|1\|D)|(kpr)|(kdp)|(\|lc)|(penalty))" /e /r /s</v>
      </c>
      <c r="AG199" s="1" t="str">
        <f t="shared" si="59"/>
        <v>NW</v>
      </c>
      <c r="AH199" s="92" t="str">
        <f t="shared" si="45"/>
        <v>"%USERPROFILE%\Documents\GitHub\eaglep3\Utilities\RefineRTDCRunTimes.py" --tripid 842-26 --locoid 4001 --swversion DE.1.0.8.0 --startMP 300:58645 --initTime 2016-12-26T20:36:29 --startdatetime 2016-12-26T20:38:15 --delay 1 --endMP 204:708 --enddatetime 2016-12-26T20:54:20 --enforcementcount 0 &gt;&gt;C:\Users\stu\Documents\GitHub\eaglep3-reporting\EC\2016-12-26-refined-times.txt</v>
      </c>
      <c r="AI199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{"issue":{"subject":"","project_id":79,"tracker_id":40,"status_id":1,"priority_id":2,"assigned_to_id":23,"start_date":"2016-12-26","description":"","custom_fields":[{"id":1,"name":"Subdivision","value":"NW"},{"id":4,"name":"Milepost","value":"0.0708"},{"id":17,"name":"Train ID","value":"842-26"},{"id":16,"name":"Locomotive ID","value":"4001"},{"id":130,"name":"Impact","value":""},{"id":150,"name":"Time of Event (Mountain Time)","value":"20:54:20"},{"id":151,"name":"Denver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s="21" customFormat="1" x14ac:dyDescent="0.25">
      <c r="A200" s="37" t="s">
        <v>624</v>
      </c>
      <c r="B200" s="7">
        <v>4002</v>
      </c>
      <c r="C200" s="22" t="s">
        <v>205</v>
      </c>
      <c r="D200" s="22" t="s">
        <v>781</v>
      </c>
      <c r="E200" s="13">
        <v>42730.832256944443</v>
      </c>
      <c r="F200" s="13">
        <v>42730.848217592589</v>
      </c>
      <c r="G200" s="7">
        <v>0</v>
      </c>
      <c r="H200" s="22" t="s">
        <v>779</v>
      </c>
      <c r="I200" s="13">
        <v>42730.857708333337</v>
      </c>
      <c r="J200" s="7">
        <v>0</v>
      </c>
      <c r="K200" s="109" t="str">
        <f t="shared" si="47"/>
        <v>4001/4002</v>
      </c>
      <c r="L200" s="22" t="str">
        <f>VLOOKUP(A200,'Trips&amp;Operators'!$C$1:$G$99999,5,FALSE)</f>
        <v>ROMERO CHAD</v>
      </c>
      <c r="M200" s="6">
        <f t="shared" si="48"/>
        <v>9.4907407474238425E-3</v>
      </c>
      <c r="N200" s="7">
        <f t="shared" si="62"/>
        <v>13.666666676290333</v>
      </c>
      <c r="O200" s="7"/>
      <c r="P200" s="7"/>
      <c r="Q200" s="23"/>
      <c r="R200" s="23"/>
      <c r="S200" s="35">
        <f t="shared" si="49"/>
        <v>1</v>
      </c>
      <c r="T200" s="50" t="str">
        <f t="shared" si="50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18:58:27-700',mode:absolute,to:'2016-12-26 21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0" s="52" t="str">
        <f t="shared" si="52"/>
        <v>N</v>
      </c>
      <c r="X200" s="177">
        <f t="shared" si="63"/>
        <v>1</v>
      </c>
      <c r="Y200" s="67">
        <f t="shared" si="53"/>
        <v>9.6500000000000002E-2</v>
      </c>
      <c r="Z200" s="67">
        <f t="shared" si="54"/>
        <v>5.8958000000000004</v>
      </c>
      <c r="AA200" s="67">
        <f t="shared" si="55"/>
        <v>5.7993000000000006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56"/>
        <v>0843-26</v>
      </c>
      <c r="AE200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200" s="88" t="str">
        <f t="shared" si="58"/>
        <v>"C:\Program Files (x86)\AstroGrep\AstroGrep.exe" /spath="%USERPROFILE%\AppData\Local\Temp\OnboardLogs" /stypes="app*4002*20161227*" /stext=" 03:.+((SYSTEM_STATE.+slice.+state.+changed )|(ment ac)|(multiple cpu faults)|(system.+state.+changed )|(\[timeout)|(PRM\|1\|D)|(kpr)|(kdp)|(\|lc)|(penalty))" /e /r /s</v>
      </c>
      <c r="AG200" s="1" t="str">
        <f t="shared" si="59"/>
        <v>NW</v>
      </c>
      <c r="AH200" s="92" t="str">
        <f t="shared" si="45"/>
        <v>"%USERPROFILE%\Documents\GitHub\eaglep3\Utilities\RefineRTDCRunTimes.py" --tripid 843-26 --locoid 4002 --swversion DE.1.0.8.0 --startMP 204:965 --initTime 2016-12-26T19:58:27 --startdatetime 2016-12-26T20:21:26 --delay 0 --endMP 300:58958 --enddatetime 2016-12-26T20:35:06 --enforcementcount 0 &gt;&gt;C:\Users\stu\Documents\GitHub\eaglep3-reporting\EC\2016-12-26-refined-times.txt</v>
      </c>
      <c r="AI200" s="119" t="str">
        <f t="shared" si="46"/>
        <v>echo {"issue":{"subject":"","project_id":79,"tracker_id":40,"status_id":1,"priority_id":2,"assigned_to_id":23,"start_date":"2016-12-26","description":"","custom_fields":[{"id":1,"name":"Subdivision","value":"NW"},{"id":4,"name":"Milepost","value":"5.8958"},{"id":17,"name":"Train ID","value":"843-26"},{"id":16,"name":"Locomotive ID","value":"4002"},{"id":130,"name":"Impact","value":""},{"id":150,"name":"Time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631</v>
      </c>
      <c r="B201" s="7">
        <v>4001</v>
      </c>
      <c r="C201" s="22" t="s">
        <v>205</v>
      </c>
      <c r="D201" s="22" t="s">
        <v>782</v>
      </c>
      <c r="E201" s="13">
        <v>42730.899618055555</v>
      </c>
      <c r="F201" s="13">
        <v>42730.900868055556</v>
      </c>
      <c r="G201" s="7">
        <v>1</v>
      </c>
      <c r="H201" s="22" t="s">
        <v>783</v>
      </c>
      <c r="I201" s="13">
        <v>42730.9141087963</v>
      </c>
      <c r="J201" s="7">
        <v>0</v>
      </c>
      <c r="K201" s="109" t="str">
        <f t="shared" si="47"/>
        <v>4001/4002</v>
      </c>
      <c r="L201" s="22" t="str">
        <f>VLOOKUP(A201,'Trips&amp;Operators'!$C$1:$G$99999,5,FALSE)</f>
        <v>NEWELL JAMES</v>
      </c>
      <c r="M201" s="6">
        <f t="shared" si="48"/>
        <v>1.3240740743640345E-2</v>
      </c>
      <c r="N201" s="7">
        <f t="shared" si="62"/>
        <v>19.066666670842096</v>
      </c>
      <c r="O201" s="7"/>
      <c r="P201" s="7"/>
      <c r="Q201" s="23"/>
      <c r="R201" s="23"/>
      <c r="S201" s="35">
        <f t="shared" si="49"/>
        <v>1</v>
      </c>
      <c r="T201" s="50" t="str">
        <f t="shared" si="50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20:35:27-700',mode:absolute,to:'2016-12-26 22:56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1" s="52" t="str">
        <f t="shared" si="52"/>
        <v>N</v>
      </c>
      <c r="X201" s="177">
        <f t="shared" si="63"/>
        <v>1</v>
      </c>
      <c r="Y201" s="67">
        <f t="shared" si="53"/>
        <v>5.8593999999999999</v>
      </c>
      <c r="Z201" s="67">
        <f t="shared" si="54"/>
        <v>6.7299999999999999E-2</v>
      </c>
      <c r="AA201" s="67">
        <f t="shared" si="55"/>
        <v>5.7920999999999996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56"/>
        <v>0844-26</v>
      </c>
      <c r="AE201" s="91" t="str">
        <f t="shared" si="57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201" s="88" t="str">
        <f t="shared" si="58"/>
        <v>"C:\Program Files (x86)\AstroGrep\AstroGrep.exe" /spath="%USERPROFILE%\AppData\Local\Temp\OnboardLogs" /stypes="app*4001*20161227*" /stext=" 04:.+((SYSTEM_STATE.+slice.+state.+changed )|(ment ac)|(multiple cpu faults)|(system.+state.+changed )|(\[timeout)|(PRM\|1\|D)|(kpr)|(kdp)|(\|lc)|(penalty))" /e /r /s</v>
      </c>
      <c r="AG201" s="1" t="str">
        <f t="shared" si="59"/>
        <v>NW</v>
      </c>
      <c r="AH201" s="92" t="str">
        <f t="shared" ref="AH201:AH226" si="64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844-26 --locoid 4001 --swversion DE.1.0.8.0 --startMP 300:58594 --initTime 2016-12-26T21:35:27 --startdatetime 2016-12-26T21:37:15 --delay 1 --endMP 204:673 --enddatetime 2016-12-26T21:56:19 --enforcementcount 0 &gt;&gt;C:\Users\stu\Documents\GitHub\eaglep3-reporting\EC\2016-12-26-refined-times.txt</v>
      </c>
      <c r="AI201" s="119" t="str">
        <f t="shared" ref="AI201:AI226" si="65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{"issue":{"subject":"","project_id":79,"tracker_id":40,"status_id":1,"priority_id":2,"assigned_to_id":23,"start_date":"2016-12-26","description":"","custom_fields":[{"id":1,"name":"Subdivision","value":"NW"},{"id":4,"name":"Milepost","value":"0.0673"},{"id":17,"name":"Train ID","value":"844-26"},{"id":16,"name":"Locomotive ID","value":"4001"},{"id":130,"name":"Impact","value":""},{"id":150,"name":"Time of Event (Mountain Time)","value":"21:56:19"},{"id":151,"name":"Denver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s="21" customFormat="1" x14ac:dyDescent="0.25">
      <c r="A202" s="37" t="s">
        <v>628</v>
      </c>
      <c r="B202" s="7">
        <v>4002</v>
      </c>
      <c r="C202" s="22" t="s">
        <v>205</v>
      </c>
      <c r="D202" s="22" t="s">
        <v>784</v>
      </c>
      <c r="E202" s="13">
        <v>42730.880289351851</v>
      </c>
      <c r="F202" s="13">
        <v>42730.889756944445</v>
      </c>
      <c r="G202" s="7">
        <v>1</v>
      </c>
      <c r="H202" s="22" t="s">
        <v>750</v>
      </c>
      <c r="I202" s="13">
        <v>42730.898819444446</v>
      </c>
      <c r="J202" s="7">
        <v>0</v>
      </c>
      <c r="K202" s="109" t="str">
        <f t="shared" si="47"/>
        <v>4001/4002</v>
      </c>
      <c r="L202" s="22" t="str">
        <f>VLOOKUP(A202,'Trips&amp;Operators'!$C$1:$G$99999,5,FALSE)</f>
        <v>NEWELL JAMES</v>
      </c>
      <c r="M202" s="6">
        <f t="shared" si="48"/>
        <v>9.0625000011641532E-3</v>
      </c>
      <c r="N202" s="7">
        <f t="shared" si="62"/>
        <v>13.050000001676381</v>
      </c>
      <c r="O202" s="7"/>
      <c r="P202" s="7"/>
      <c r="Q202" s="23"/>
      <c r="R202" s="23"/>
      <c r="S202" s="35">
        <f t="shared" si="49"/>
        <v>1</v>
      </c>
      <c r="T202" s="50" t="str">
        <f t="shared" si="50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20:07:37-700',mode:absolute,to:'2016-12-26 22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2" s="52" t="str">
        <f t="shared" si="52"/>
        <v>N</v>
      </c>
      <c r="X202" s="177">
        <f t="shared" si="63"/>
        <v>1</v>
      </c>
      <c r="Y202" s="67">
        <f t="shared" si="53"/>
        <v>9.7900000000000001E-2</v>
      </c>
      <c r="Z202" s="67">
        <f t="shared" si="54"/>
        <v>5.8914</v>
      </c>
      <c r="AA202" s="67">
        <f t="shared" si="55"/>
        <v>5.7934999999999999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56"/>
        <v>0845-26</v>
      </c>
      <c r="AE202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202" s="88" t="str">
        <f t="shared" si="58"/>
        <v>"C:\Program Files (x86)\AstroGrep\AstroGrep.exe" /spath="%USERPROFILE%\AppData\Local\Temp\OnboardLogs" /stypes="app*4002*20161227*" /stext=" 04:.+((SYSTEM_STATE.+slice.+state.+changed )|(ment ac)|(multiple cpu faults)|(system.+state.+changed )|(\[timeout)|(PRM\|1\|D)|(kpr)|(kdp)|(\|lc)|(penalty))" /e /r /s</v>
      </c>
      <c r="AG202" s="1" t="str">
        <f t="shared" si="59"/>
        <v>NW</v>
      </c>
      <c r="AH202" s="92" t="str">
        <f t="shared" si="64"/>
        <v>"%USERPROFILE%\Documents\GitHub\eaglep3\Utilities\RefineRTDCRunTimes.py" --tripid 845-26 --locoid 4002 --swversion DE.1.0.8.0 --startMP 204:979 --initTime 2016-12-26T21:07:37 --startdatetime 2016-12-26T21:21:15 --delay 1 --endMP 300:58914 --enddatetime 2016-12-26T21:34:18 --enforcementcount 0 &gt;&gt;C:\Users\stu\Documents\GitHub\eaglep3-reporting\EC\2016-12-26-refined-times.txt</v>
      </c>
      <c r="AI202" s="119" t="str">
        <f t="shared" si="65"/>
        <v>echo {"issue":{"subject":"","project_id":79,"tracker_id":40,"status_id":1,"priority_id":2,"assigned_to_id":23,"start_date":"2016-12-26","description":"","custom_fields":[{"id":1,"name":"Subdivision","value":"NW"},{"id":4,"name":"Milepost","value":"5.8914"},{"id":17,"name":"Train ID","value":"845-26"},{"id":16,"name":"Locomotive ID","value":"4002"},{"id":130,"name":"Impact","value":""},{"id":150,"name":"Time of Event (Mountain Time)","value":"21:34:18"},{"id":151,"name":"Denver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7" t="s">
        <v>634</v>
      </c>
      <c r="B203" s="7">
        <v>4002</v>
      </c>
      <c r="C203" s="22" t="s">
        <v>205</v>
      </c>
      <c r="D203" s="22" t="s">
        <v>785</v>
      </c>
      <c r="E203" s="13">
        <v>42730.916203703702</v>
      </c>
      <c r="F203" s="13">
        <v>42730.931400462963</v>
      </c>
      <c r="G203" s="7">
        <v>1</v>
      </c>
      <c r="H203" s="22" t="s">
        <v>786</v>
      </c>
      <c r="I203" s="13">
        <v>42730.940532407411</v>
      </c>
      <c r="J203" s="7">
        <v>0</v>
      </c>
      <c r="K203" s="109" t="str">
        <f t="shared" si="47"/>
        <v>4001/4002</v>
      </c>
      <c r="L203" s="22" t="str">
        <f>VLOOKUP(A203,'Trips&amp;Operators'!$C$1:$G$99999,5,FALSE)</f>
        <v>NEWELL JAMES</v>
      </c>
      <c r="M203" s="6">
        <f t="shared" si="48"/>
        <v>9.1319444472901523E-3</v>
      </c>
      <c r="N203" s="7">
        <f t="shared" si="62"/>
        <v>13.150000004097819</v>
      </c>
      <c r="O203" s="7"/>
      <c r="P203" s="7"/>
      <c r="Q203" s="23"/>
      <c r="R203" s="23"/>
      <c r="S203" s="35">
        <f t="shared" si="49"/>
        <v>1</v>
      </c>
      <c r="T203" s="50" t="str">
        <f t="shared" si="50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20:59:20-700',mode:absolute,to:'2016-12-26 23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3" s="52" t="str">
        <f t="shared" si="52"/>
        <v>N</v>
      </c>
      <c r="X203" s="177">
        <f t="shared" si="63"/>
        <v>2</v>
      </c>
      <c r="Y203" s="67">
        <f t="shared" si="53"/>
        <v>9.5000000000000001E-2</v>
      </c>
      <c r="Z203" s="67">
        <f t="shared" si="54"/>
        <v>5.8905000000000003</v>
      </c>
      <c r="AA203" s="67">
        <f t="shared" si="55"/>
        <v>5.7955000000000005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56"/>
        <v>0847-26</v>
      </c>
      <c r="AE203" s="91" t="str">
        <f t="shared" si="57"/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AF203" s="88" t="str">
        <f t="shared" si="58"/>
        <v>"C:\Program Files (x86)\AstroGrep\AstroGrep.exe" /spath="%USERPROFILE%\AppData\Local\Temp\OnboardLogs" /stypes="app*4002*20161227*" /stext=" 05:.+((SYSTEM_STATE.+slice.+state.+changed )|(ment ac)|(multiple cpu faults)|(system.+state.+changed )|(\[timeout)|(PRM\|1\|D)|(kpr)|(kdp)|(\|lc)|(penalty))" /e /r /s</v>
      </c>
      <c r="AG203" s="1" t="str">
        <f t="shared" si="59"/>
        <v>NW</v>
      </c>
      <c r="AH203" s="92" t="str">
        <f t="shared" si="64"/>
        <v>"%USERPROFILE%\Documents\GitHub\eaglep3\Utilities\RefineRTDCRunTimes.py" --tripid 847-26 --locoid 4002 --swversion DE.1.0.8.0 --startMP 204:950 --initTime 2016-12-26T21:59:20 --startdatetime 2016-12-26T22:21:13 --delay 1 --endMP 300:58905 --enddatetime 2016-12-26T22:34:22 --enforcementcount 0 &gt;&gt;C:\Users\stu\Documents\GitHub\eaglep3-reporting\EC\2016-12-26-refined-times.txt</v>
      </c>
      <c r="AI203" s="119" t="str">
        <f t="shared" si="65"/>
        <v>echo {"issue":{"subject":"","project_id":79,"tracker_id":40,"status_id":1,"priority_id":2,"assigned_to_id":23,"start_date":"2016-12-26","description":"","custom_fields":[{"id":1,"name":"Subdivision","value":"NW"},{"id":4,"name":"Milepost","value":"5.8905"},{"id":17,"name":"Train ID","value":"847-26"},{"id":16,"name":"Locomotive ID","value":"4002"},{"id":130,"name":"Impact","value":""},{"id":150,"name":"Time of Event (Mountain Time)","value":"22:34:22"},{"id":151,"name":"Denver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393</v>
      </c>
      <c r="B204" s="7">
        <v>4030</v>
      </c>
      <c r="C204" s="22" t="s">
        <v>205</v>
      </c>
      <c r="D204" s="22" t="s">
        <v>414</v>
      </c>
      <c r="E204" s="13">
        <v>42730.112199074072</v>
      </c>
      <c r="F204" s="13">
        <v>42730.114918981482</v>
      </c>
      <c r="G204" s="7">
        <v>3</v>
      </c>
      <c r="H204" s="22" t="s">
        <v>338</v>
      </c>
      <c r="I204" s="13">
        <v>42730.121099537035</v>
      </c>
      <c r="J204" s="7">
        <v>0</v>
      </c>
      <c r="K204" s="109" t="str">
        <f t="shared" si="47"/>
        <v>4029/4030</v>
      </c>
      <c r="L204" s="22" t="str">
        <f>VLOOKUP(A204,'Trips&amp;Operators'!$C$1:$G$99999,5,FALSE)</f>
        <v>OUN ZACK</v>
      </c>
      <c r="M204" s="6">
        <f t="shared" si="48"/>
        <v>6.1805555524188094E-3</v>
      </c>
      <c r="N204" s="7">
        <f t="shared" si="62"/>
        <v>8.8999999954830855</v>
      </c>
      <c r="O204" s="7"/>
      <c r="P204" s="7"/>
      <c r="Q204" s="23"/>
      <c r="R204" s="23"/>
      <c r="S204" s="35">
        <f t="shared" si="49"/>
        <v>1</v>
      </c>
      <c r="T204" s="50" t="str">
        <f t="shared" si="50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https://search-rtdc-monitor-bjffxe2xuh6vdkpspy63sjmuny.us-east-1.es.amazonaws.com/_plugin/kibana/#/discover/Steve-Slow-Train-Analysis-(2080s-and-2083s)?_g=(refreshInterval:(display:Off,section:0,value:0),time:(from:'2016-12-26 01:41:34-700',mode:absolute,to:'2016-12-26 03:54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4" s="52" t="str">
        <f t="shared" si="52"/>
        <v>Y</v>
      </c>
      <c r="X204" s="177">
        <f t="shared" si="63"/>
        <v>-545</v>
      </c>
      <c r="Y204" s="67">
        <f t="shared" si="53"/>
        <v>2.3148</v>
      </c>
      <c r="Z204" s="67">
        <f t="shared" si="54"/>
        <v>1.41E-2</v>
      </c>
      <c r="AA204" s="67">
        <f t="shared" si="55"/>
        <v>2.3007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56"/>
        <v>0302-26</v>
      </c>
      <c r="AE204" s="91" t="str">
        <f t="shared" si="57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204" s="88" t="str">
        <f t="shared" si="58"/>
        <v>"C:\Program Files (x86)\AstroGrep\AstroGrep.exe" /spath="%USERPROFILE%\AppData\Local\Temp\OnboardLogs" /stypes="app*4030*20161226*" /stext=" 09:.+((SYSTEM_STATE.+slice.+state.+changed )|(ment ac)|(multiple cpu faults)|(system.+state.+changed )|(\[timeout)|(PRM\|1\|D)|(kpr)|(kdp)|(\|lc)|(penalty))" /e /r /s</v>
      </c>
      <c r="AG204" s="1" t="str">
        <f t="shared" si="59"/>
        <v>Other</v>
      </c>
      <c r="AH204" s="92" t="str">
        <f t="shared" si="64"/>
        <v>"%USERPROFILE%\Documents\GitHub\eaglep3\Utilities\RefineRTDCRunTimes.py" --tripid 302-26 --locoid 4030 --swversion DE.1.0.8.0 --startMP 300:23148 --initTime 2016-12-26T02:41:34 --startdatetime 2016-12-26T02:45:29 --delay 3 --endMP 204:141 --enddatetime 2016-12-26T02:54:23 --enforcementcount 0 &gt;&gt;C:\Users\stu\Documents\GitHub\eaglep3-reporting\EC\2016-12-26-refined-times.txt</v>
      </c>
      <c r="AI204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{"issue":{"subject":"","project_id":79,"tracker_id":40,"status_id":1,"priority_id":2,"assigned_to_id":23,"start_date":"2016-12-26","description":"","custom_fields":[{"id":1,"name":"Subdivision","value":"Other"},{"id":4,"name":"Milepost","value":"0.0141"},{"id":17,"name":"Train ID","value":"302-26"},{"id":16,"name":"Locomotive ID","value":"4030"},{"id":130,"name":"Impact","value":""},{"id":150,"name":"Time of Event (Mountain Time)","value":"02:54:23"},{"id":151,"name":"Denver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611</v>
      </c>
      <c r="B205" s="7">
        <v>4051</v>
      </c>
      <c r="C205" s="22" t="s">
        <v>205</v>
      </c>
      <c r="D205" s="22" t="s">
        <v>274</v>
      </c>
      <c r="E205" s="13">
        <v>42730.77684027778</v>
      </c>
      <c r="F205" s="13">
        <v>25568.708333333332</v>
      </c>
      <c r="G205" s="7">
        <v>1</v>
      </c>
      <c r="H205" s="22" t="s">
        <v>378</v>
      </c>
      <c r="I205" s="13">
        <v>25568.708333333332</v>
      </c>
      <c r="J205" s="7">
        <v>0</v>
      </c>
      <c r="K205" s="109" t="str">
        <f t="shared" ref="K205:K226" si="66">IF(ISEVEN(B205),(B205-1)&amp;"/"&amp;B205,B205&amp;"/"&amp;(B205+1))</f>
        <v>4051/4052</v>
      </c>
      <c r="L205" s="22" t="str">
        <f>VLOOKUP(A205,'Trips&amp;Operators'!$C$1:$G$99999,5,FALSE)</f>
        <v>ADANE ELSHADAY</v>
      </c>
      <c r="M205" s="6">
        <f t="shared" ref="M205:M226" si="67">I205-F205</f>
        <v>0</v>
      </c>
      <c r="N205" s="7">
        <f t="shared" si="62"/>
        <v>0</v>
      </c>
      <c r="O205" s="7"/>
      <c r="P205" s="7"/>
      <c r="Q205" s="23"/>
      <c r="R205" s="23"/>
      <c r="S205" s="35">
        <f t="shared" ref="S205:S226" si="68">SUM(U205:U205)/IF(AG205="EC",12,1)</f>
        <v>1</v>
      </c>
      <c r="T205" s="50" t="str">
        <f t="shared" ref="T205:T226" si="69">IF(ISEVEN(LEFT(AD205,4)),"Southbound","NorthBound")</f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26" si="70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https://search-rtdc-monitor-bjffxe2xuh6vdkpspy63sjmuny.us-east-1.es.amazonaws.com/_plugin/kibana/#/discover/Steve-Slow-Train-Analysis-(2080s-and-2083s)?_g=(refreshInterval:(display:Off,section:0,value:0),time:(from:'2016-12-26 17:38:39-700',mode:absolute,to:'1969-12-31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5" s="52" t="str">
        <f t="shared" ref="W205:W226" si="71">IF(AA205&lt;IF(AG205="EC",23,5.65),"Y","N")</f>
        <v>Y</v>
      </c>
      <c r="X205" s="177">
        <f t="shared" si="63"/>
        <v>1</v>
      </c>
      <c r="Y205" s="67">
        <f t="shared" ref="Y205:Y226" si="72">RIGHT(D205,LEN(D205)-4)/10000</f>
        <v>4.7699999999999999E-2</v>
      </c>
      <c r="Z205" s="67">
        <f t="shared" ref="Z205:Z226" si="73">RIGHT(H205,LEN(H205)-4)/10000</f>
        <v>2.3304</v>
      </c>
      <c r="AA205" s="67">
        <f t="shared" ref="AA205:AA268" si="74">ABS(Z205-Y205)</f>
        <v>2.2827000000000002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ref="AD205:AD226" si="75">IF(LEN(A205)=6,"0"&amp;A205,A205)</f>
        <v>0303-26</v>
      </c>
      <c r="AE205" s="91" t="str">
        <f t="shared" ref="AE205:AE226" si="7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5" s="88" t="str">
        <f t="shared" ref="AF205:AF226" si="77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5" s="1" t="str">
        <f t="shared" ref="AG205:AG226" si="78">IFERROR(IF(VALUE(LEFT(AD205,2))&lt;=2,"EC",IF(OR(VALUE(LEFT(AD205,2))=8,VALUE(LEFT(AD205,2))=18),"NW","Other")),"Other")</f>
        <v>Other</v>
      </c>
      <c r="AH205" s="92" t="str">
        <f t="shared" si="64"/>
        <v>"%USERPROFILE%\Documents\GitHub\eaglep3\Utilities\RefineRTDCRunTimes.py" --tripid 303-26 --locoid 4051 --swversion DE.1.0.8.0 --startMP 204:477 --initTime 2016-12-26T18:38:39 --startdatetime 1969-12-31T17:00:00 --delay 1 --endMP 300:23304 --enddatetime 1969-12-31T17:00:00 --enforcementcount 0 &gt;&gt;C:\Users\stu\Documents\GitHub\eaglep3-reporting\EC\2016-12-26-refined-times.txt</v>
      </c>
      <c r="AI205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ID","value":"303-26"},{"id":16,"name":"Locomotive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454</v>
      </c>
      <c r="B206" s="7">
        <v>4028</v>
      </c>
      <c r="C206" s="22" t="s">
        <v>205</v>
      </c>
      <c r="D206" s="22" t="s">
        <v>705</v>
      </c>
      <c r="E206" s="13">
        <v>42730.137546296297</v>
      </c>
      <c r="F206" s="13">
        <v>42730.141180555554</v>
      </c>
      <c r="G206" s="7">
        <v>5</v>
      </c>
      <c r="H206" s="22" t="s">
        <v>233</v>
      </c>
      <c r="I206" s="13">
        <v>42730.146747685183</v>
      </c>
      <c r="J206" s="7">
        <v>0</v>
      </c>
      <c r="K206" s="109" t="str">
        <f t="shared" si="66"/>
        <v>4027/4028</v>
      </c>
      <c r="L206" s="22" t="str">
        <f>VLOOKUP(A206,'Trips&amp;Operators'!$C$1:$G$99999,5,FALSE)</f>
        <v>MAGEE KENYA</v>
      </c>
      <c r="M206" s="6">
        <f t="shared" si="67"/>
        <v>5.5671296286163852E-3</v>
      </c>
      <c r="N206" s="7">
        <f t="shared" si="62"/>
        <v>8.0166666652075946</v>
      </c>
      <c r="O206" s="7"/>
      <c r="P206" s="7"/>
      <c r="Q206" s="23"/>
      <c r="R206" s="23"/>
      <c r="S206" s="35">
        <f t="shared" si="68"/>
        <v>1</v>
      </c>
      <c r="T206" s="50" t="str">
        <f t="shared" si="69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02:18:04-700',mode:absolute,to:'2016-12-26 04:31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6" s="52" t="str">
        <f t="shared" si="71"/>
        <v>Y</v>
      </c>
      <c r="X206" s="177">
        <f t="shared" si="63"/>
        <v>1</v>
      </c>
      <c r="Y206" s="67">
        <f t="shared" si="72"/>
        <v>1.9336</v>
      </c>
      <c r="Z206" s="67">
        <f t="shared" si="73"/>
        <v>1.4500000000000001E-2</v>
      </c>
      <c r="AA206" s="67">
        <f t="shared" si="74"/>
        <v>1.9191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75"/>
        <v>0304-26</v>
      </c>
      <c r="AE206" s="91" t="str">
        <f t="shared" si="76"/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AF206" s="88" t="str">
        <f t="shared" si="77"/>
        <v>"C:\Program Files (x86)\AstroGrep\AstroGrep.exe" /spath="%USERPROFILE%\AppData\Local\Temp\OnboardLogs" /stypes="app*4028*20161226*" /stext=" 10:.+((SYSTEM_STATE.+slice.+state.+changed )|(ment ac)|(multiple cpu faults)|(system.+state.+changed )|(\[timeout)|(PRM\|1\|D)|(kpr)|(kdp)|(\|lc)|(penalty))" /e /r /s</v>
      </c>
      <c r="AG206" s="1" t="str">
        <f t="shared" si="78"/>
        <v>Other</v>
      </c>
      <c r="AH206" s="92" t="str">
        <f t="shared" si="64"/>
        <v>"%USERPROFILE%\Documents\GitHub\eaglep3\Utilities\RefineRTDCRunTimes.py" --tripid 304-26 --locoid 4028 --swversion DE.1.0.8.0 --startMP 300:19336 --initTime 2016-12-26T03:18:04 --startdatetime 2016-12-26T03:23:18 --delay 5 --endMP 204:145 --enddatetime 2016-12-26T03:31:19 --enforcementcount 0 &gt;&gt;C:\Users\stu\Documents\GitHub\eaglep3-reporting\EC\2016-12-26-refined-times.txt</v>
      </c>
      <c r="AI206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{"issue":{"subject":"","project_id":79,"tracker_id":40,"status_id":1,"priority_id":2,"assigned_to_id":23,"start_date":"2016-12-26","description":"","custom_fields":[{"id":1,"name":"Subdivision","value":"Other"},{"id":4,"name":"Milepost","value":"0.0145"},{"id":17,"name":"Train ID","value":"304-26"},{"id":16,"name":"Locomotive ID","value":"4028"},{"id":130,"name":"Impact","value":""},{"id":150,"name":"Time of Event (Mountain Time)","value":"03:31:19"},{"id":151,"name":"Denver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617</v>
      </c>
      <c r="B207" s="7">
        <v>4029</v>
      </c>
      <c r="C207" s="22" t="s">
        <v>205</v>
      </c>
      <c r="D207" s="22" t="s">
        <v>310</v>
      </c>
      <c r="E207" s="13">
        <v>42730.798587962963</v>
      </c>
      <c r="F207" s="13">
        <v>25568.708333333332</v>
      </c>
      <c r="G207" s="7">
        <v>1</v>
      </c>
      <c r="H207" s="22" t="s">
        <v>376</v>
      </c>
      <c r="I207" s="13">
        <v>25568.708333333332</v>
      </c>
      <c r="J207" s="7">
        <v>0</v>
      </c>
      <c r="K207" s="109" t="str">
        <f t="shared" si="66"/>
        <v>4029/4030</v>
      </c>
      <c r="L207" s="22" t="str">
        <f>VLOOKUP(A207,'Trips&amp;Operators'!$C$1:$G$99999,5,FALSE)</f>
        <v>CRAYTON QUNTRELL</v>
      </c>
      <c r="M207" s="6">
        <f t="shared" si="67"/>
        <v>0</v>
      </c>
      <c r="N207" s="7">
        <f t="shared" si="62"/>
        <v>0</v>
      </c>
      <c r="O207" s="7"/>
      <c r="P207" s="7"/>
      <c r="Q207" s="23"/>
      <c r="R207" s="23"/>
      <c r="S207" s="35">
        <f t="shared" si="68"/>
        <v>1</v>
      </c>
      <c r="T207" s="50" t="str">
        <f t="shared" si="69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18:09:58-700',mode:absolute,to:'1969-12-31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7" s="52" t="str">
        <f t="shared" si="71"/>
        <v>Y</v>
      </c>
      <c r="X207" s="177">
        <f t="shared" si="63"/>
        <v>1</v>
      </c>
      <c r="Y207" s="67">
        <f t="shared" si="72"/>
        <v>4.7300000000000002E-2</v>
      </c>
      <c r="Z207" s="67">
        <f t="shared" si="73"/>
        <v>2.3294999999999999</v>
      </c>
      <c r="AA207" s="67">
        <f t="shared" si="74"/>
        <v>2.2822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75"/>
        <v>0305-26</v>
      </c>
      <c r="AE207" s="91" t="str">
        <f t="shared" si="76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7" s="88" t="str">
        <f t="shared" si="77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7" s="1" t="str">
        <f t="shared" si="78"/>
        <v>Other</v>
      </c>
      <c r="AH207" s="92" t="str">
        <f t="shared" si="64"/>
        <v>"%USERPROFILE%\Documents\GitHub\eaglep3\Utilities\RefineRTDCRunTimes.py" --tripid 305-26 --locoid 4029 --swversion DE.1.0.8.0 --startMP 204:473 --initTime 2016-12-26T19:09:58 --startdatetime 1969-12-31T17:00:00 --delay 1 --endMP 300:23295 --enddatetime 1969-12-31T17:00:00 --enforcementcount 0 &gt;&gt;C:\Users\stu\Documents\GitHub\eaglep3-reporting\EC\2016-12-26-refined-times.txt</v>
      </c>
      <c r="AI207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ID","value":"305-26"},{"id":16,"name":"Locomotive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458</v>
      </c>
      <c r="B208" s="7">
        <v>4015</v>
      </c>
      <c r="C208" s="22" t="s">
        <v>205</v>
      </c>
      <c r="D208" s="22" t="s">
        <v>706</v>
      </c>
      <c r="E208" s="13">
        <v>42730.160011574073</v>
      </c>
      <c r="F208" s="13">
        <v>42730.163495370369</v>
      </c>
      <c r="G208" s="7">
        <v>2</v>
      </c>
      <c r="H208" s="22" t="s">
        <v>266</v>
      </c>
      <c r="I208" s="13">
        <v>42730.163668981484</v>
      </c>
      <c r="J208" s="7">
        <v>0</v>
      </c>
      <c r="K208" s="109" t="str">
        <f t="shared" si="66"/>
        <v>4015/4016</v>
      </c>
      <c r="L208" s="22" t="str">
        <f>VLOOKUP(A208,'Trips&amp;Operators'!$C$1:$G$99999,5,FALSE)</f>
        <v>STARKS ANGELINA</v>
      </c>
      <c r="M208" s="6">
        <f t="shared" si="67"/>
        <v>1.7361111531499773E-4</v>
      </c>
      <c r="N208" s="7">
        <f t="shared" si="62"/>
        <v>0.25000000605359674</v>
      </c>
      <c r="O208" s="7"/>
      <c r="P208" s="7"/>
      <c r="Q208" s="23"/>
      <c r="R208" s="23"/>
      <c r="S208" s="35">
        <f t="shared" si="68"/>
        <v>1</v>
      </c>
      <c r="T208" s="50" t="str">
        <f t="shared" si="69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02:50:25-700',mode:absolute,to:'2016-12-26 04:55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8" s="52" t="str">
        <f t="shared" si="71"/>
        <v>Y</v>
      </c>
      <c r="X208" s="177">
        <f t="shared" si="63"/>
        <v>1</v>
      </c>
      <c r="Y208" s="67">
        <f t="shared" si="72"/>
        <v>2.5122</v>
      </c>
      <c r="Z208" s="67">
        <f t="shared" si="73"/>
        <v>1.61E-2</v>
      </c>
      <c r="AA208" s="67">
        <f t="shared" si="74"/>
        <v>2.4961000000000002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75"/>
        <v>0306-26</v>
      </c>
      <c r="AE208" s="91" t="str">
        <f t="shared" si="76"/>
        <v>aws s3 cp s3://rtdc.mdm.uploadarchive.raw/RTDC4015/ "%USERPROFILE%\AppData\Local\Temp\OnboardLogs"\RTDC4015\2016-12-26 --exclude "*" --recursive --include "*20161226*" &amp; "%USERPROFILE%\Documents\GitHub\mrs-test-scripts\Headless Mode &amp; Sideloading\WalkAndUnGZ.bat" "%USERPROFILE%\AppData\Local\Temp\OnboardLogs"\RTDC4015\2016-12-26 &amp; aws s3 cp s3://rtdc.mdm.uploadarchive.raw/RTDC4015/ "%USERPROFILE%\AppData\Local\Temp\OnboardLogs"\RTDC4015\2016-12-27 --exclude "*" --recursive --include "*20161227*" &amp; "%USERPROFILE%\Documents\GitHub\mrs-test-scripts\Headless Mode &amp; Sideloading\WalkAndUnGZ.bat" "%USERPROFILE%\AppData\Local\Temp\OnboardLogs"\RTDC4015\2016-12-27</v>
      </c>
      <c r="AF208" s="88" t="str">
        <f t="shared" si="77"/>
        <v>"C:\Program Files (x86)\AstroGrep\AstroGrep.exe" /spath="%USERPROFILE%\AppData\Local\Temp\OnboardLogs" /stypes="app*4015*20161226*" /stext=" 10:.+((SYSTEM_STATE.+slice.+state.+changed )|(ment ac)|(multiple cpu faults)|(system.+state.+changed )|(\[timeout)|(PRM\|1\|D)|(kpr)|(kdp)|(\|lc)|(penalty))" /e /r /s</v>
      </c>
      <c r="AG208" s="1" t="str">
        <f t="shared" si="78"/>
        <v>Other</v>
      </c>
      <c r="AH208" s="92" t="str">
        <f t="shared" si="64"/>
        <v>"%USERPROFILE%\Documents\GitHub\eaglep3\Utilities\RefineRTDCRunTimes.py" --tripid 306-26 --locoid 4015 --swversion DE.1.0.8.0 --startMP 300:25122 --initTime 2016-12-26T03:50:25 --startdatetime 2016-12-26T03:55:26 --delay 2 --endMP 204:161 --enddatetime 2016-12-26T03:55:41 --enforcementcount 0 &gt;&gt;C:\Users\stu\Documents\GitHub\eaglep3-reporting\EC\2016-12-26-refined-times.txt</v>
      </c>
      <c r="AI208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{"issue":{"subject":"","project_id":79,"tracker_id":40,"status_id":1,"priority_id":2,"assigned_to_id":23,"start_date":"2016-12-26","description":"","custom_fields":[{"id":1,"name":"Subdivision","value":"Other"},{"id":4,"name":"Milepost","value":"0.0161"},{"id":17,"name":"Train ID","value":"306-26"},{"id":16,"name":"Locomotive ID","value":"4015"},{"id":130,"name":"Impact","value":""},{"id":150,"name":"Time of Event (Mountain Time)","value":"03:55:41"},{"id":151,"name":"Denver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622</v>
      </c>
      <c r="B209" s="7">
        <v>4027</v>
      </c>
      <c r="C209" s="22" t="s">
        <v>205</v>
      </c>
      <c r="D209" s="22" t="s">
        <v>284</v>
      </c>
      <c r="E209" s="13">
        <v>42730.819398148145</v>
      </c>
      <c r="F209" s="13">
        <v>25568.708333333332</v>
      </c>
      <c r="G209" s="7">
        <v>1</v>
      </c>
      <c r="H209" s="22" t="s">
        <v>707</v>
      </c>
      <c r="I209" s="13">
        <v>25568.708333333332</v>
      </c>
      <c r="J209" s="7">
        <v>0</v>
      </c>
      <c r="K209" s="109" t="str">
        <f t="shared" si="66"/>
        <v>4027/4028</v>
      </c>
      <c r="L209" s="22" t="str">
        <f>VLOOKUP(A209,'Trips&amp;Operators'!$C$1:$G$99999,5,FALSE)</f>
        <v>KILLION DAVID</v>
      </c>
      <c r="M209" s="6">
        <f t="shared" si="67"/>
        <v>0</v>
      </c>
      <c r="N209" s="7">
        <f t="shared" si="62"/>
        <v>0</v>
      </c>
      <c r="O209" s="7"/>
      <c r="P209" s="7"/>
      <c r="Q209" s="23"/>
      <c r="R209" s="23"/>
      <c r="S209" s="35">
        <f t="shared" si="68"/>
        <v>1</v>
      </c>
      <c r="T209" s="50" t="str">
        <f t="shared" si="69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18:39:56-700',mode:absolute,to:'1969-12-31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9" s="52" t="str">
        <f t="shared" si="71"/>
        <v>Y</v>
      </c>
      <c r="X209" s="177">
        <f t="shared" si="63"/>
        <v>1</v>
      </c>
      <c r="Y209" s="67">
        <f t="shared" si="72"/>
        <v>4.4200000000000003E-2</v>
      </c>
      <c r="Z209" s="67">
        <f t="shared" si="73"/>
        <v>2.331</v>
      </c>
      <c r="AA209" s="67">
        <f t="shared" si="74"/>
        <v>2.2867999999999999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75"/>
        <v>0307-26</v>
      </c>
      <c r="AE209" s="91" t="str">
        <f t="shared" si="76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9" s="88" t="str">
        <f t="shared" si="77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09" s="1" t="str">
        <f t="shared" si="78"/>
        <v>Other</v>
      </c>
      <c r="AH209" s="92" t="str">
        <f t="shared" si="64"/>
        <v>"%USERPROFILE%\Documents\GitHub\eaglep3\Utilities\RefineRTDCRunTimes.py" --tripid 307-26 --locoid 4027 --swversion DE.1.0.8.0 --startMP 204:442 --initTime 2016-12-26T19:39:56 --startdatetime 1969-12-31T17:00:00 --delay 1 --endMP 300:23310 --enddatetime 1969-12-31T17:00:00 --enforcementcount 0 &gt;&gt;C:\Users\stu\Documents\GitHub\eaglep3-reporting\EC\2016-12-26-refined-times.txt</v>
      </c>
      <c r="AI209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ID","value":"307-26"},{"id":16,"name":"Locomotive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463</v>
      </c>
      <c r="B210" s="7">
        <v>4045</v>
      </c>
      <c r="C210" s="22" t="s">
        <v>205</v>
      </c>
      <c r="D210" s="22" t="s">
        <v>708</v>
      </c>
      <c r="E210" s="13">
        <v>42730.173148148147</v>
      </c>
      <c r="F210" s="13">
        <v>42730.177106481482</v>
      </c>
      <c r="G210" s="7">
        <v>4</v>
      </c>
      <c r="H210" s="22" t="s">
        <v>331</v>
      </c>
      <c r="I210" s="13">
        <v>42730.183634259258</v>
      </c>
      <c r="J210" s="7">
        <v>0</v>
      </c>
      <c r="K210" s="109" t="str">
        <f t="shared" si="66"/>
        <v>4045/4046</v>
      </c>
      <c r="L210" s="22" t="str">
        <f>VLOOKUP(A210,'Trips&amp;Operators'!$C$1:$G$99999,5,FALSE)</f>
        <v>DUNCAN SHEILA</v>
      </c>
      <c r="M210" s="6">
        <f t="shared" si="67"/>
        <v>6.5277777757728472E-3</v>
      </c>
      <c r="N210" s="7">
        <f t="shared" si="62"/>
        <v>9.3999999971129</v>
      </c>
      <c r="O210" s="7"/>
      <c r="P210" s="7"/>
      <c r="Q210" s="23"/>
      <c r="R210" s="23"/>
      <c r="S210" s="35">
        <f t="shared" si="68"/>
        <v>1</v>
      </c>
      <c r="T210" s="50" t="str">
        <f t="shared" si="69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03:09:20-700',mode:absolute,to:'2016-12-26 05:24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0" s="52" t="str">
        <f t="shared" si="71"/>
        <v>Y</v>
      </c>
      <c r="X210" s="177">
        <f t="shared" si="63"/>
        <v>1</v>
      </c>
      <c r="Y210" s="67">
        <f t="shared" si="72"/>
        <v>2.3361999999999998</v>
      </c>
      <c r="Z210" s="67">
        <f t="shared" si="73"/>
        <v>1.5800000000000002E-2</v>
      </c>
      <c r="AA210" s="67">
        <f t="shared" si="74"/>
        <v>2.3203999999999998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75"/>
        <v>0308-26</v>
      </c>
      <c r="AE210" s="91" t="str">
        <f t="shared" si="76"/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AF210" s="88" t="str">
        <f t="shared" si="77"/>
        <v>"C:\Program Files (x86)\AstroGrep\AstroGrep.exe" /spath="%USERPROFILE%\AppData\Local\Temp\OnboardLogs" /stypes="app*4045*20161226*" /stext=" 11:.+((SYSTEM_STATE.+slice.+state.+changed )|(ment ac)|(multiple cpu faults)|(system.+state.+changed )|(\[timeout)|(PRM\|1\|D)|(kpr)|(kdp)|(\|lc)|(penalty))" /e /r /s</v>
      </c>
      <c r="AG210" s="1" t="str">
        <f t="shared" si="78"/>
        <v>Other</v>
      </c>
      <c r="AH210" s="92" t="str">
        <f t="shared" si="64"/>
        <v>"%USERPROFILE%\Documents\GitHub\eaglep3\Utilities\RefineRTDCRunTimes.py" --tripid 308-26 --locoid 4045 --swversion DE.1.0.8.0 --startMP 300:23362 --initTime 2016-12-26T04:09:20 --startdatetime 2016-12-26T04:15:02 --delay 4 --endMP 204:158 --enddatetime 2016-12-26T04:24:26 --enforcementcount 0 &gt;&gt;C:\Users\stu\Documents\GitHub\eaglep3-reporting\EC\2016-12-26-refined-times.txt</v>
      </c>
      <c r="AI210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{"issue":{"subject":"","project_id":79,"tracker_id":40,"status_id":1,"priority_id":2,"assigned_to_id":23,"start_date":"2016-12-26","description":"","custom_fields":[{"id":1,"name":"Subdivision","value":"Other"},{"id":4,"name":"Milepost","value":"0.0158"},{"id":17,"name":"Train ID","value":"308-26"},{"id":16,"name":"Locomotive ID","value":"4045"},{"id":130,"name":"Impact","value":""},{"id":150,"name":"Time of Event (Mountain Time)","value":"04:24:26"},{"id":151,"name":"Denver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452</v>
      </c>
      <c r="B211" s="7">
        <v>4044</v>
      </c>
      <c r="C211" s="22" t="s">
        <v>205</v>
      </c>
      <c r="D211" s="22" t="s">
        <v>674</v>
      </c>
      <c r="E211" s="13">
        <v>42731.028182870374</v>
      </c>
      <c r="F211" s="13">
        <v>42731.029374999998</v>
      </c>
      <c r="G211" s="7">
        <v>1</v>
      </c>
      <c r="H211" s="22" t="s">
        <v>709</v>
      </c>
      <c r="I211" s="13">
        <v>42731.035370370373</v>
      </c>
      <c r="J211" s="7">
        <v>0</v>
      </c>
      <c r="K211" s="109" t="str">
        <f t="shared" si="66"/>
        <v>4043/4044</v>
      </c>
      <c r="L211" s="22" t="str">
        <f>VLOOKUP(A211,'Trips&amp;Operators'!$C$1:$G$99999,5,FALSE)</f>
        <v>CHANDLER KELVIN</v>
      </c>
      <c r="M211" s="6">
        <f t="shared" si="67"/>
        <v>5.9953703748760745E-3</v>
      </c>
      <c r="N211" s="7">
        <f t="shared" si="62"/>
        <v>8.6333333398215473</v>
      </c>
      <c r="O211" s="7"/>
      <c r="P211" s="7"/>
      <c r="Q211" s="23"/>
      <c r="R211" s="23"/>
      <c r="S211" s="35">
        <f t="shared" si="68"/>
        <v>1</v>
      </c>
      <c r="T211" s="50" t="str">
        <f t="shared" si="69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23:40:35-700',mode:absolute,to:'2016-12-27 01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1" s="52" t="str">
        <f t="shared" si="71"/>
        <v>Y</v>
      </c>
      <c r="X211" s="177">
        <f t="shared" si="63"/>
        <v>1</v>
      </c>
      <c r="Y211" s="67">
        <f t="shared" si="72"/>
        <v>4.6899999999999997E-2</v>
      </c>
      <c r="Z211" s="67">
        <f t="shared" si="73"/>
        <v>2.2837000000000001</v>
      </c>
      <c r="AA211" s="67">
        <f t="shared" si="74"/>
        <v>2.2368000000000001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75"/>
        <v>0309-26</v>
      </c>
      <c r="AE211" s="91" t="str">
        <f t="shared" si="76"/>
        <v>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 &amp; aws s3 cp s3://rtdc.mdm.uploadarchive.raw/RTDC4044/ "%USERPROFILE%\AppData\Local\Temp\OnboardLogs"\RTDC4044\2016-12-28 --exclude "*" --recursive --include "*20161228*" &amp; "%USERPROFILE%\Documents\GitHub\mrs-test-scripts\Headless Mode &amp; Sideloading\WalkAndUnGZ.bat" "%USERPROFILE%\AppData\Local\Temp\OnboardLogs"\RTDC4044\2016-12-28</v>
      </c>
      <c r="AF211" s="88" t="str">
        <f t="shared" si="77"/>
        <v>"C:\Program Files (x86)\AstroGrep\AstroGrep.exe" /spath="%USERPROFILE%\AppData\Local\Temp\OnboardLogs" /stypes="app*4044*20161227*" /stext=" 07:.+((SYSTEM_STATE.+slice.+state.+changed )|(ment ac)|(multiple cpu faults)|(system.+state.+changed )|(\[timeout)|(PRM\|1\|D)|(kpr)|(kdp)|(\|lc)|(penalty))" /e /r /s</v>
      </c>
      <c r="AG211" s="1" t="str">
        <f t="shared" si="78"/>
        <v>Other</v>
      </c>
      <c r="AH211" s="92" t="str">
        <f t="shared" si="64"/>
        <v>"%USERPROFILE%\Documents\GitHub\eaglep3\Utilities\RefineRTDCRunTimes.py" --tripid 309-26 --locoid 4044 --swversion DE.1.0.8.0 --startMP 204:469 --initTime 2016-12-27T00:40:35 --startdatetime 2016-12-27T00:42:18 --delay 1 --endMP 300:22837 --enddatetime 2016-12-27T00:50:56 --enforcementcount 0 &gt;&gt;C:\Users\stu\Documents\GitHub\eaglep3-reporting\EC\2016-12-26-refined-times.txt</v>
      </c>
      <c r="AI211" s="119" t="str">
        <f t="shared" si="65"/>
        <v>echo {"issue":{"subject":"","project_id":79,"tracker_id":40,"status_id":1,"priority_id":2,"assigned_to_id":23,"start_date":"2016-12-27","description":"","custom_fields":[{"id":1,"name":"Subdivision","value":"Other"},{"id":4,"name":"Milepost","value":"2.2837"},{"id":17,"name":"Train ID","value":"309-26"},{"id":16,"name":"Locomotive ID","value":"4044"},{"id":130,"name":"Impact","value":""},{"id":150,"name":"Time of Event (Mountain Time)","value":"00:50:56"},{"id":151,"name":"Denver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466</v>
      </c>
      <c r="B212" s="7">
        <v>4052</v>
      </c>
      <c r="C212" s="22" t="s">
        <v>205</v>
      </c>
      <c r="D212" s="22" t="s">
        <v>710</v>
      </c>
      <c r="E212" s="13">
        <v>42730.181921296295</v>
      </c>
      <c r="F212" s="13">
        <v>42730.18310185185</v>
      </c>
      <c r="G212" s="7">
        <v>1</v>
      </c>
      <c r="H212" s="22" t="s">
        <v>711</v>
      </c>
      <c r="I212" s="13">
        <v>42730.191770833335</v>
      </c>
      <c r="J212" s="7">
        <v>0</v>
      </c>
      <c r="K212" s="109" t="str">
        <f t="shared" si="66"/>
        <v>4051/4052</v>
      </c>
      <c r="L212" s="22" t="str">
        <f>VLOOKUP(A212,'Trips&amp;Operators'!$C$1:$G$99999,5,FALSE)</f>
        <v>SHOOK JOHN</v>
      </c>
      <c r="M212" s="6">
        <f t="shared" si="67"/>
        <v>8.668981485243421E-3</v>
      </c>
      <c r="N212" s="7">
        <f t="shared" si="62"/>
        <v>12.483333338750526</v>
      </c>
      <c r="O212" s="7"/>
      <c r="P212" s="7"/>
      <c r="Q212" s="23"/>
      <c r="R212" s="23"/>
      <c r="S212" s="35">
        <f t="shared" si="68"/>
        <v>1</v>
      </c>
      <c r="T212" s="50" t="str">
        <f t="shared" si="69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03:21:58-700',mode:absolute,to:'2016-12-26 05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2" s="52" t="str">
        <f t="shared" si="71"/>
        <v>Y</v>
      </c>
      <c r="X212" s="177">
        <f t="shared" si="63"/>
        <v>1</v>
      </c>
      <c r="Y212" s="67">
        <f t="shared" si="72"/>
        <v>2.2770999999999999</v>
      </c>
      <c r="Z212" s="67">
        <f t="shared" si="73"/>
        <v>1.3599999999999999E-2</v>
      </c>
      <c r="AA212" s="67">
        <f t="shared" si="74"/>
        <v>2.2635000000000001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75"/>
        <v>0310-26</v>
      </c>
      <c r="AE212" s="91" t="str">
        <f t="shared" si="76"/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AF212" s="88" t="str">
        <f t="shared" si="77"/>
        <v>"C:\Program Files (x86)\AstroGrep\AstroGrep.exe" /spath="%USERPROFILE%\AppData\Local\Temp\OnboardLogs" /stypes="app*4052*20161226*" /stext=" 11:.+((SYSTEM_STATE.+slice.+state.+changed )|(ment ac)|(multiple cpu faults)|(system.+state.+changed )|(\[timeout)|(PRM\|1\|D)|(kpr)|(kdp)|(\|lc)|(penalty))" /e /r /s</v>
      </c>
      <c r="AG212" s="1" t="str">
        <f t="shared" si="78"/>
        <v>Other</v>
      </c>
      <c r="AH212" s="92" t="str">
        <f t="shared" si="64"/>
        <v>"%USERPROFILE%\Documents\GitHub\eaglep3\Utilities\RefineRTDCRunTimes.py" --tripid 310-26 --locoid 4052 --swversion DE.1.0.8.0 --startMP 300:22771 --initTime 2016-12-26T04:21:58 --startdatetime 2016-12-26T04:23:40 --delay 1 --endMP 204:136 --enddatetime 2016-12-26T04:36:09 --enforcementcount 0 &gt;&gt;C:\Users\stu\Documents\GitHub\eaglep3-reporting\EC\2016-12-26-refined-times.txt</v>
      </c>
      <c r="AI212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{"issue":{"subject":"","project_id":79,"tracker_id":40,"status_id":1,"priority_id":2,"assigned_to_id":23,"start_date":"2016-12-26","description":"","custom_fields":[{"id":1,"name":"Subdivision","value":"Other"},{"id":4,"name":"Milepost","value":"0.0136"},{"id":17,"name":"Train ID","value":"310-26"},{"id":16,"name":"Locomotive ID","value":"4052"},{"id":130,"name":"Impact","value":""},{"id":150,"name":"Time of Event (Mountain Time)","value":"04:36:09"},{"id":151,"name":"Denver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645</v>
      </c>
      <c r="B213" s="7">
        <v>4031</v>
      </c>
      <c r="C213" s="22" t="s">
        <v>205</v>
      </c>
      <c r="D213" s="22" t="s">
        <v>712</v>
      </c>
      <c r="E213" s="13">
        <v>42731.047951388886</v>
      </c>
      <c r="F213" s="13">
        <v>42731.049351851849</v>
      </c>
      <c r="G213" s="7">
        <v>1</v>
      </c>
      <c r="H213" s="22" t="s">
        <v>713</v>
      </c>
      <c r="I213" s="13">
        <v>42731.054791666669</v>
      </c>
      <c r="J213" s="7">
        <v>0</v>
      </c>
      <c r="K213" s="109" t="str">
        <f t="shared" si="66"/>
        <v>4031/4032</v>
      </c>
      <c r="L213" s="22" t="str">
        <f>VLOOKUP(A213,'Trips&amp;Operators'!$C$1:$G$99999,5,FALSE)</f>
        <v>SMITH MICHAEL</v>
      </c>
      <c r="M213" s="6">
        <f t="shared" si="67"/>
        <v>5.439814820419997E-3</v>
      </c>
      <c r="N213" s="7">
        <f t="shared" si="62"/>
        <v>7.8333333414047956</v>
      </c>
      <c r="O213" s="7"/>
      <c r="P213" s="7"/>
      <c r="Q213" s="23"/>
      <c r="R213" s="23"/>
      <c r="S213" s="35">
        <f t="shared" si="68"/>
        <v>1</v>
      </c>
      <c r="T213" s="50" t="str">
        <f t="shared" si="69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https://search-rtdc-monitor-bjffxe2xuh6vdkpspy63sjmuny.us-east-1.es.amazonaws.com/_plugin/kibana/#/discover/Steve-Slow-Train-Analysis-(2080s-and-2083s)?_g=(refreshInterval:(display:Off,section:0,value:0),time:(from:'2016-12-27 00:09:03-700',mode:absolute,to:'2016-12-27 02:18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3" s="52" t="str">
        <f t="shared" si="71"/>
        <v>Y</v>
      </c>
      <c r="X213" s="177">
        <f t="shared" si="63"/>
        <v>1</v>
      </c>
      <c r="Y213" s="67">
        <f t="shared" si="72"/>
        <v>5.9700000000000003E-2</v>
      </c>
      <c r="Z213" s="67">
        <f t="shared" si="73"/>
        <v>2.2801</v>
      </c>
      <c r="AA213" s="67">
        <f t="shared" si="74"/>
        <v>2.2204000000000002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75"/>
        <v>0311-26</v>
      </c>
      <c r="AE213" s="91" t="str">
        <f t="shared" si="76"/>
        <v>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 &amp; aws s3 cp s3://rtdc.mdm.uploadarchive.raw/RTDC4031/ "%USERPROFILE%\AppData\Local\Temp\OnboardLogs"\RTDC4031\2016-12-28 --exclude "*" --recursive --include "*20161228*" &amp; "%USERPROFILE%\Documents\GitHub\mrs-test-scripts\Headless Mode &amp; Sideloading\WalkAndUnGZ.bat" "%USERPROFILE%\AppData\Local\Temp\OnboardLogs"\RTDC4031\2016-12-28</v>
      </c>
      <c r="AF213" s="88" t="str">
        <f t="shared" si="77"/>
        <v>"C:\Program Files (x86)\AstroGrep\AstroGrep.exe" /spath="%USERPROFILE%\AppData\Local\Temp\OnboardLogs" /stypes="app*4031*20161227*" /stext=" 08:.+((SYSTEM_STATE.+slice.+state.+changed )|(ment ac)|(multiple cpu faults)|(system.+state.+changed )|(\[timeout)|(PRM\|1\|D)|(kpr)|(kdp)|(\|lc)|(penalty))" /e /r /s</v>
      </c>
      <c r="AG213" s="1" t="str">
        <f t="shared" si="78"/>
        <v>Other</v>
      </c>
      <c r="AH213" s="92" t="str">
        <f t="shared" si="64"/>
        <v>"%USERPROFILE%\Documents\GitHub\eaglep3\Utilities\RefineRTDCRunTimes.py" --tripid 311-26 --locoid 4031 --swversion DE.1.0.8.0 --startMP 204:597 --initTime 2016-12-27T01:09:03 --startdatetime 2016-12-27T01:11:04 --delay 1 --endMP 300:22801 --enddatetime 2016-12-27T01:18:54 --enforcementcount 0 &gt;&gt;C:\Users\stu\Documents\GitHub\eaglep3-reporting\EC\2016-12-26-refined-times.txt</v>
      </c>
      <c r="AI213" s="119" t="str">
        <f t="shared" si="65"/>
        <v>echo {"issue":{"subject":"","project_id":79,"tracker_id":40,"status_id":1,"priority_id":2,"assigned_to_id":23,"start_date":"2016-12-27","description":"","custom_fields":[{"id":1,"name":"Subdivision","value":"Other"},{"id":4,"name":"Milepost","value":"2.2801"},{"id":17,"name":"Train ID","value":"311-26"},{"id":16,"name":"Locomotive ID","value":"4031"},{"id":130,"name":"Impact","value":""},{"id":150,"name":"Time of Event (Mountain Time)","value":"01:18:54"},{"id":151,"name":"Denver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647</v>
      </c>
      <c r="B214" s="7">
        <v>4025</v>
      </c>
      <c r="C214" s="22" t="s">
        <v>205</v>
      </c>
      <c r="D214" s="22" t="s">
        <v>230</v>
      </c>
      <c r="E214" s="13">
        <v>42731.067060185182</v>
      </c>
      <c r="F214" s="13">
        <v>25568.708333333332</v>
      </c>
      <c r="G214" s="7">
        <v>1</v>
      </c>
      <c r="H214" s="22" t="s">
        <v>377</v>
      </c>
      <c r="I214" s="13">
        <v>25568.708333333332</v>
      </c>
      <c r="J214" s="7">
        <v>0</v>
      </c>
      <c r="K214" s="109" t="str">
        <f t="shared" si="66"/>
        <v>4025/4026</v>
      </c>
      <c r="L214" s="22" t="str">
        <f>VLOOKUP(A214,'Trips&amp;Operators'!$C$1:$G$99999,5,FALSE)</f>
        <v>STAMBAUGH JAMES</v>
      </c>
      <c r="M214" s="6">
        <f t="shared" si="67"/>
        <v>0</v>
      </c>
      <c r="N214" s="7">
        <f t="shared" si="62"/>
        <v>0</v>
      </c>
      <c r="O214" s="7"/>
      <c r="P214" s="7"/>
      <c r="Q214" s="23"/>
      <c r="R214" s="23"/>
      <c r="S214" s="35">
        <f t="shared" si="68"/>
        <v>1</v>
      </c>
      <c r="T214" s="50" t="str">
        <f t="shared" si="69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https://search-rtdc-monitor-bjffxe2xuh6vdkpspy63sjmuny.us-east-1.es.amazonaws.com/_plugin/kibana/#/discover/Steve-Slow-Train-Analysis-(2080s-and-2083s)?_g=(refreshInterval:(display:Off,section:0,value:0),time:(from:'2016-12-27 00:36:34-700',mode:absolute,to:'1969-12-31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4" s="52" t="str">
        <f t="shared" si="71"/>
        <v>Y</v>
      </c>
      <c r="X214" s="177">
        <f t="shared" si="63"/>
        <v>2</v>
      </c>
      <c r="Y214" s="67">
        <f t="shared" si="72"/>
        <v>4.5999999999999999E-2</v>
      </c>
      <c r="Z214" s="67">
        <f t="shared" si="73"/>
        <v>2.3306</v>
      </c>
      <c r="AA214" s="67">
        <f t="shared" si="74"/>
        <v>2.2846000000000002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75"/>
        <v>0313-26</v>
      </c>
      <c r="AE214" s="91" t="str">
        <f t="shared" si="76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4" s="88" t="str">
        <f t="shared" si="77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14" s="1" t="str">
        <f t="shared" si="78"/>
        <v>Other</v>
      </c>
      <c r="AH214" s="92" t="str">
        <f t="shared" si="64"/>
        <v>"%USERPROFILE%\Documents\GitHub\eaglep3\Utilities\RefineRTDCRunTimes.py" --tripid 313-26 --locoid 4025 --swversion DE.1.0.8.0 --startMP 204:460 --initTime 2016-12-27T01:36:34 --startdatetime 1969-12-31T17:00:00 --delay 1 --endMP 300:23306 --enddatetime 1969-12-31T17:00:00 --enforcementcount 0 &gt;&gt;C:\Users\stu\Documents\GitHub\eaglep3-reporting\EC\2016-12-26-refined-times.txt</v>
      </c>
      <c r="AI214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ID","value":"313-26"},{"id":16,"name":"Locomotive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239</v>
      </c>
      <c r="B215" s="7">
        <v>4018</v>
      </c>
      <c r="C215" s="22" t="s">
        <v>205</v>
      </c>
      <c r="D215" s="22" t="s">
        <v>274</v>
      </c>
      <c r="E215" s="13">
        <v>42730.087060185186</v>
      </c>
      <c r="F215" s="13">
        <v>25568.708333333332</v>
      </c>
      <c r="G215" s="7">
        <v>1</v>
      </c>
      <c r="H215" s="22" t="s">
        <v>415</v>
      </c>
      <c r="I215" s="13">
        <v>25568.708333333332</v>
      </c>
      <c r="J215" s="7">
        <v>0</v>
      </c>
      <c r="K215" s="109" t="str">
        <f t="shared" si="66"/>
        <v>4017/4018</v>
      </c>
      <c r="L215" s="22" t="str">
        <f>VLOOKUP(A215,'Trips&amp;Operators'!$C$1:$G$99999,5,FALSE)</f>
        <v>STAMBAUGH JAMES</v>
      </c>
      <c r="M215" s="6">
        <f t="shared" si="67"/>
        <v>0</v>
      </c>
      <c r="N215" s="7">
        <f t="shared" si="62"/>
        <v>0</v>
      </c>
      <c r="O215" s="7"/>
      <c r="P215" s="7"/>
      <c r="Q215" s="23"/>
      <c r="R215" s="23"/>
      <c r="S215" s="35">
        <f t="shared" si="68"/>
        <v>1</v>
      </c>
      <c r="T215" s="50" t="str">
        <f t="shared" si="69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01:05:22-700',mode:absolute,to:'1969-12-31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5" s="52" t="str">
        <f t="shared" si="71"/>
        <v>Y</v>
      </c>
      <c r="X215" s="177">
        <f t="shared" si="63"/>
        <v>2</v>
      </c>
      <c r="Y215" s="67">
        <f t="shared" si="72"/>
        <v>4.7699999999999999E-2</v>
      </c>
      <c r="Z215" s="67">
        <f t="shared" si="73"/>
        <v>2.3313999999999999</v>
      </c>
      <c r="AA215" s="67">
        <f t="shared" si="74"/>
        <v>2.2837000000000001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75"/>
        <v>0315-25</v>
      </c>
      <c r="AE215" s="91" t="str">
        <f t="shared" si="76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5" s="88" t="str">
        <f t="shared" si="77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5" s="1" t="str">
        <f t="shared" si="78"/>
        <v>Other</v>
      </c>
      <c r="AH215" s="92" t="str">
        <f t="shared" si="64"/>
        <v>"%USERPROFILE%\Documents\GitHub\eaglep3\Utilities\RefineRTDCRunTimes.py" --tripid 315-25 --locoid 4018 --swversion DE.1.0.8.0 --startMP 204:477 --initTime 2016-12-26T02:05:22 --startdatetime 1969-12-31T17:00:00 --delay 1 --endMP 300:23314 --enddatetime 1969-12-31T17:00:00 --enforcementcount 0 &gt;&gt;C:\Users\stu\Documents\GitHub\eaglep3-reporting\EC\2016-12-26-refined-times.txt</v>
      </c>
      <c r="AI215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ID","value":"315-25"},{"id":16,"name":"Locomotive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648</v>
      </c>
      <c r="B216" s="7">
        <v>4046</v>
      </c>
      <c r="C216" s="22" t="s">
        <v>205</v>
      </c>
      <c r="D216" s="22" t="s">
        <v>230</v>
      </c>
      <c r="E216" s="13">
        <v>42731.093148148146</v>
      </c>
      <c r="F216" s="13">
        <v>25568.708333333332</v>
      </c>
      <c r="G216" s="7">
        <v>1</v>
      </c>
      <c r="H216" s="22" t="s">
        <v>714</v>
      </c>
      <c r="I216" s="13">
        <v>25568.708333333332</v>
      </c>
      <c r="J216" s="7">
        <v>0</v>
      </c>
      <c r="K216" s="109" t="str">
        <f t="shared" si="66"/>
        <v>4045/4046</v>
      </c>
      <c r="L216" s="22" t="str">
        <f>VLOOKUP(A216,'Trips&amp;Operators'!$C$1:$G$99999,5,FALSE)</f>
        <v>SIMONEAUX TERA</v>
      </c>
      <c r="M216" s="6">
        <f t="shared" si="67"/>
        <v>0</v>
      </c>
      <c r="N216" s="7">
        <f t="shared" si="62"/>
        <v>0</v>
      </c>
      <c r="O216" s="7"/>
      <c r="P216" s="7"/>
      <c r="Q216" s="23"/>
      <c r="R216" s="23"/>
      <c r="S216" s="35">
        <f t="shared" si="68"/>
        <v>1</v>
      </c>
      <c r="T216" s="50" t="str">
        <f t="shared" si="69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https://search-rtdc-monitor-bjffxe2xuh6vdkpspy63sjmuny.us-east-1.es.amazonaws.com/_plugin/kibana/#/discover/Steve-Slow-Train-Analysis-(2080s-and-2083s)?_g=(refreshInterval:(display:Off,section:0,value:0),time:(from:'2016-12-27 01:14:08-700',mode:absolute,to:'1969-12-31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6" s="52" t="str">
        <f t="shared" si="71"/>
        <v>Y</v>
      </c>
      <c r="X216" s="177">
        <f t="shared" si="63"/>
        <v>0</v>
      </c>
      <c r="Y216" s="67">
        <f t="shared" si="72"/>
        <v>4.5999999999999999E-2</v>
      </c>
      <c r="Z216" s="67">
        <f t="shared" si="73"/>
        <v>2.3170000000000002</v>
      </c>
      <c r="AA216" s="67">
        <f t="shared" si="74"/>
        <v>2.2710000000000004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75"/>
        <v>0315-26</v>
      </c>
      <c r="AE216" s="91" t="str">
        <f t="shared" si="76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6" s="88" t="str">
        <f t="shared" si="77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6" s="1" t="str">
        <f t="shared" si="78"/>
        <v>Other</v>
      </c>
      <c r="AH216" s="92" t="str">
        <f t="shared" si="64"/>
        <v>"%USERPROFILE%\Documents\GitHub\eaglep3\Utilities\RefineRTDCRunTimes.py" --tripid 315-26 --locoid 4046 --swversion DE.1.0.8.0 --startMP 204:460 --initTime 2016-12-27T02:14:08 --startdatetime 1969-12-31T17:00:00 --delay 1 --endMP 300:23170 --enddatetime 1969-12-31T17:00:00 --enforcementcount 0 &gt;&gt;C:\Users\stu\Documents\GitHub\eaglep3-reporting\EC\2016-12-26-refined-times.txt</v>
      </c>
      <c r="AI216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{"issue":{"subject":"","project_id":79,"tracker_id":40,"status_id":1,"priority_id":2,"assigned_to_id":23,"start_date":"1969-12-31","description":"","custom_fields":[{"id":1,"name":"Subdivision","value":"Other"},{"id":4,"name":"Milepost","value":"2.317"},{"id":17,"name":"Train ID","value":"315-26"},{"id":16,"name":"Locomotive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416</v>
      </c>
      <c r="B217" s="7">
        <v>4003</v>
      </c>
      <c r="C217" s="22" t="s">
        <v>205</v>
      </c>
      <c r="D217" s="22" t="s">
        <v>788</v>
      </c>
      <c r="E217" s="13">
        <v>42730.210659722223</v>
      </c>
      <c r="F217" s="13">
        <v>42730.211875000001</v>
      </c>
      <c r="G217" s="7">
        <v>1</v>
      </c>
      <c r="H217" s="22" t="s">
        <v>789</v>
      </c>
      <c r="I217" s="13">
        <v>42730.217569444445</v>
      </c>
      <c r="J217" s="7">
        <v>0</v>
      </c>
      <c r="K217" s="109" t="str">
        <f t="shared" si="66"/>
        <v>4003/4004</v>
      </c>
      <c r="L217" s="22" t="str">
        <f>VLOOKUP(A217,'Trips&amp;Operators'!$C$1:$G$99999,5,FALSE)</f>
        <v>DAVIS WENDY</v>
      </c>
      <c r="M217" s="6">
        <f t="shared" si="67"/>
        <v>5.694444444088731E-3</v>
      </c>
      <c r="N217" s="7">
        <f t="shared" si="62"/>
        <v>8.1999999994877726</v>
      </c>
      <c r="O217" s="7"/>
      <c r="P217" s="7"/>
      <c r="Q217" s="23"/>
      <c r="R217" s="23"/>
      <c r="S217" s="35">
        <f t="shared" si="68"/>
        <v>0</v>
      </c>
      <c r="T217" s="50" t="str">
        <f t="shared" si="69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04:03:21-700',mode:absolute,to:'2016-12-26 06:13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7" s="52" t="str">
        <f t="shared" si="71"/>
        <v>Y</v>
      </c>
      <c r="X217" s="177">
        <f t="shared" si="63"/>
        <v>586</v>
      </c>
      <c r="Y217" s="67">
        <f t="shared" si="72"/>
        <v>3.0424000000000002</v>
      </c>
      <c r="Z217" s="67">
        <f t="shared" si="73"/>
        <v>5.8072999999999997</v>
      </c>
      <c r="AA217" s="67">
        <f t="shared" si="74"/>
        <v>2.7648999999999995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75"/>
        <v>0901-26</v>
      </c>
      <c r="AE217" s="91" t="str">
        <f t="shared" si="76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217" s="88" t="str">
        <f t="shared" si="77"/>
        <v>"C:\Program Files (x86)\AstroGrep\AstroGrep.exe" /spath="%USERPROFILE%\AppData\Local\Temp\OnboardLogs" /stypes="app*4003*20161226*" /stext=" 12:.+((SYSTEM_STATE.+slice.+state.+changed )|(ment ac)|(multiple cpu faults)|(system.+state.+changed )|(\[timeout)|(PRM\|1\|D)|(kpr)|(kdp)|(\|lc)|(penalty))" /e /r /s</v>
      </c>
      <c r="AG217" s="1" t="str">
        <f t="shared" si="78"/>
        <v>Other</v>
      </c>
      <c r="AH217" s="92" t="str">
        <f t="shared" si="64"/>
        <v>"%USERPROFILE%\Documents\GitHub\eaglep3\Utilities\RefineRTDCRunTimes.py" --tripid 901-26 --locoid 4003 --swversion DE.1.0.8.0 --startMP 300:30424 --initTime 2016-12-26T05:03:21 --startdatetime 2016-12-26T05:05:06 --delay 1 --endMP 300:58073 --enddatetime 2016-12-26T05:13:18 --enforcementcount 0 &gt;&gt;C:\Users\stu\Documents\GitHub\eaglep3-reporting\EC\2016-12-26-refined-times.txt</v>
      </c>
      <c r="AI217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{"issue":{"subject":"","project_id":79,"tracker_id":40,"status_id":1,"priority_id":2,"assigned_to_id":23,"start_date":"2016-12-26","description":"","custom_fields":[{"id":1,"name":"Subdivision","value":"Other"},{"id":4,"name":"Milepost","value":"5.8073"},{"id":17,"name":"Train ID","value":"901-26"},{"id":16,"name":"Locomotive ID","value":"4003"},{"id":130,"name":"Impact","value":""},{"id":150,"name":"Time of Event (Mountain Time)","value":"05:13:18"},{"id":151,"name":"Denver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478</v>
      </c>
      <c r="B218" s="7">
        <v>4001</v>
      </c>
      <c r="C218" s="22" t="s">
        <v>205</v>
      </c>
      <c r="D218" s="22" t="s">
        <v>790</v>
      </c>
      <c r="E218" s="13">
        <v>42730.250856481478</v>
      </c>
      <c r="F218" s="13">
        <v>42730.252083333333</v>
      </c>
      <c r="G218" s="7">
        <v>1</v>
      </c>
      <c r="H218" s="22" t="s">
        <v>791</v>
      </c>
      <c r="I218" s="13">
        <v>42730.257974537039</v>
      </c>
      <c r="J218" s="7">
        <v>0</v>
      </c>
      <c r="K218" s="109" t="str">
        <f t="shared" si="66"/>
        <v>4001/4002</v>
      </c>
      <c r="L218" s="22" t="str">
        <f>VLOOKUP(A218,'Trips&amp;Operators'!$C$1:$G$99999,5,FALSE)</f>
        <v>COMELLA JUSTIN</v>
      </c>
      <c r="M218" s="6">
        <f t="shared" si="67"/>
        <v>5.8912037056870759E-3</v>
      </c>
      <c r="N218" s="7">
        <f t="shared" si="62"/>
        <v>8.4833333361893892</v>
      </c>
      <c r="O218" s="7"/>
      <c r="P218" s="7"/>
      <c r="Q218" s="23"/>
      <c r="R218" s="23"/>
      <c r="S218" s="35">
        <f t="shared" si="68"/>
        <v>1</v>
      </c>
      <c r="T218" s="50" t="str">
        <f t="shared" si="69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05:01:14-700',mode:absolute,to:'2016-12-26 07:11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8" s="52" t="str">
        <f t="shared" si="71"/>
        <v>Y</v>
      </c>
      <c r="X218" s="177">
        <f t="shared" si="63"/>
        <v>1</v>
      </c>
      <c r="Y218" s="67">
        <f t="shared" si="72"/>
        <v>2.3458999999999999</v>
      </c>
      <c r="Z218" s="67">
        <f t="shared" si="73"/>
        <v>6.5600000000000006E-2</v>
      </c>
      <c r="AA218" s="67">
        <f t="shared" si="74"/>
        <v>2.2803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75"/>
        <v>0902-26</v>
      </c>
      <c r="AE218" s="91" t="str">
        <f t="shared" si="76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218" s="88" t="str">
        <f t="shared" si="77"/>
        <v>"C:\Program Files (x86)\AstroGrep\AstroGrep.exe" /spath="%USERPROFILE%\AppData\Local\Temp\OnboardLogs" /stypes="app*4001*20161226*" /stext=" 13:.+((SYSTEM_STATE.+slice.+state.+changed )|(ment ac)|(multiple cpu faults)|(system.+state.+changed )|(\[timeout)|(PRM\|1\|D)|(kpr)|(kdp)|(\|lc)|(penalty))" /e /r /s</v>
      </c>
      <c r="AG218" s="1" t="str">
        <f t="shared" si="78"/>
        <v>Other</v>
      </c>
      <c r="AH218" s="92" t="str">
        <f t="shared" si="64"/>
        <v>"%USERPROFILE%\Documents\GitHub\eaglep3\Utilities\RefineRTDCRunTimes.py" --tripid 902-26 --locoid 4001 --swversion DE.1.0.8.0 --startMP 300:23459 --initTime 2016-12-26T06:01:14 --startdatetime 2016-12-26T06:03:00 --delay 1 --endMP 204:656 --enddatetime 2016-12-26T06:11:29 --enforcementcount 0 &gt;&gt;C:\Users\stu\Documents\GitHub\eaglep3-reporting\EC\2016-12-26-refined-times.txt</v>
      </c>
      <c r="AI218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{"issue":{"subject":"","project_id":79,"tracker_id":40,"status_id":1,"priority_id":2,"assigned_to_id":23,"start_date":"2016-12-26","description":"","custom_fields":[{"id":1,"name":"Subdivision","value":"Other"},{"id":4,"name":"Milepost","value":"0.0656"},{"id":17,"name":"Train ID","value":"902-26"},{"id":16,"name":"Locomotive ID","value":"4001"},{"id":130,"name":"Impact","value":""},{"id":150,"name":"Time of Event (Mountain Time)","value":"06:11:29"},{"id":151,"name":"Denver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503</v>
      </c>
      <c r="B219" s="7">
        <v>4003</v>
      </c>
      <c r="C219" s="22" t="s">
        <v>205</v>
      </c>
      <c r="D219" s="22" t="s">
        <v>792</v>
      </c>
      <c r="E219" s="13">
        <v>42730.353206018517</v>
      </c>
      <c r="F219" s="13">
        <v>42730.354398148149</v>
      </c>
      <c r="G219" s="7">
        <v>1</v>
      </c>
      <c r="H219" s="22" t="s">
        <v>793</v>
      </c>
      <c r="I219" s="13">
        <v>42730.360196759262</v>
      </c>
      <c r="J219" s="7">
        <v>0</v>
      </c>
      <c r="K219" s="109" t="str">
        <f t="shared" si="66"/>
        <v>4003/4004</v>
      </c>
      <c r="L219" s="22" t="str">
        <f>VLOOKUP(A219,'Trips&amp;Operators'!$C$1:$G$99999,5,FALSE)</f>
        <v>DAVIS WENDY</v>
      </c>
      <c r="M219" s="6">
        <f t="shared" si="67"/>
        <v>5.7986111132777296E-3</v>
      </c>
      <c r="N219" s="7">
        <f t="shared" si="62"/>
        <v>8.3500000031199306</v>
      </c>
      <c r="O219" s="7"/>
      <c r="P219" s="7"/>
      <c r="Q219" s="23"/>
      <c r="R219" s="23"/>
      <c r="S219" s="35">
        <f t="shared" si="68"/>
        <v>1</v>
      </c>
      <c r="T219" s="50" t="str">
        <f t="shared" si="69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07:28:37-700',mode:absolute,to:'2016-12-26 09:38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9" s="52" t="str">
        <f t="shared" si="71"/>
        <v>Y</v>
      </c>
      <c r="X219" s="177">
        <f t="shared" si="63"/>
        <v>1</v>
      </c>
      <c r="Y219" s="67">
        <f t="shared" si="72"/>
        <v>9.1499999999999998E-2</v>
      </c>
      <c r="Z219" s="67">
        <f t="shared" si="73"/>
        <v>2.5455000000000001</v>
      </c>
      <c r="AA219" s="67">
        <f t="shared" si="74"/>
        <v>2.4540000000000002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75"/>
        <v>0903-26</v>
      </c>
      <c r="AE219" s="91" t="str">
        <f t="shared" si="76"/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AF219" s="88" t="str">
        <f t="shared" si="77"/>
        <v>"C:\Program Files (x86)\AstroGrep\AstroGrep.exe" /spath="%USERPROFILE%\AppData\Local\Temp\OnboardLogs" /stypes="app*4003*20161226*" /stext=" 15:.+((SYSTEM_STATE.+slice.+state.+changed )|(ment ac)|(multiple cpu faults)|(system.+state.+changed )|(\[timeout)|(PRM\|1\|D)|(kpr)|(kdp)|(\|lc)|(penalty))" /e /r /s</v>
      </c>
      <c r="AG219" s="1" t="str">
        <f t="shared" si="78"/>
        <v>Other</v>
      </c>
      <c r="AH219" s="92" t="str">
        <f t="shared" si="64"/>
        <v>"%USERPROFILE%\Documents\GitHub\eaglep3\Utilities\RefineRTDCRunTimes.py" --tripid 903-26 --locoid 4003 --swversion DE.1.0.8.0 --startMP 204:915 --initTime 2016-12-26T08:28:37 --startdatetime 2016-12-26T08:30:20 --delay 1 --endMP 300:25455 --enddatetime 2016-12-26T08:38:41 --enforcementcount 0 &gt;&gt;C:\Users\stu\Documents\GitHub\eaglep3-reporting\EC\2016-12-26-refined-times.txt</v>
      </c>
      <c r="AI219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{"issue":{"subject":"","project_id":79,"tracker_id":40,"status_id":1,"priority_id":2,"assigned_to_id":23,"start_date":"2016-12-26","description":"","custom_fields":[{"id":1,"name":"Subdivision","value":"Other"},{"id":4,"name":"Milepost","value":"2.5455"},{"id":17,"name":"Train ID","value":"903-26"},{"id":16,"name":"Locomotive ID","value":"4003"},{"id":130,"name":"Impact","value":""},{"id":150,"name":"Time of Event (Mountain Time)","value":"08:38:41"},{"id":151,"name":"Denver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567</v>
      </c>
      <c r="B220" s="7">
        <v>4004</v>
      </c>
      <c r="C220" s="22" t="s">
        <v>205</v>
      </c>
      <c r="D220" s="22" t="s">
        <v>794</v>
      </c>
      <c r="E220" s="13">
        <v>42730.636574074073</v>
      </c>
      <c r="F220" s="13">
        <v>42730.639050925929</v>
      </c>
      <c r="G220" s="7">
        <v>3</v>
      </c>
      <c r="H220" s="22" t="s">
        <v>795</v>
      </c>
      <c r="I220" s="13">
        <v>42730.644178240742</v>
      </c>
      <c r="J220" s="7">
        <v>0</v>
      </c>
      <c r="K220" s="109" t="str">
        <f t="shared" si="66"/>
        <v>4003/4004</v>
      </c>
      <c r="L220" s="22" t="str">
        <f>VLOOKUP(A220,'Trips&amp;Operators'!$C$1:$G$99999,5,FALSE)</f>
        <v>NEWELL JAMES</v>
      </c>
      <c r="M220" s="6">
        <f t="shared" si="67"/>
        <v>5.1273148128530011E-3</v>
      </c>
      <c r="N220" s="7">
        <f t="shared" si="62"/>
        <v>7.3833333305083215</v>
      </c>
      <c r="O220" s="7"/>
      <c r="P220" s="7"/>
      <c r="Q220" s="23"/>
      <c r="R220" s="23"/>
      <c r="S220" s="35">
        <f t="shared" si="68"/>
        <v>1</v>
      </c>
      <c r="T220" s="50" t="str">
        <f t="shared" si="69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14:16:40-700',mode:absolute,to:'2016-12-26 16:27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0" s="52" t="str">
        <f t="shared" si="71"/>
        <v>Y</v>
      </c>
      <c r="X220" s="177">
        <f t="shared" si="63"/>
        <v>1</v>
      </c>
      <c r="Y220" s="67">
        <f t="shared" si="72"/>
        <v>2.3161</v>
      </c>
      <c r="Z220" s="67">
        <f t="shared" si="73"/>
        <v>6.5199999999999994E-2</v>
      </c>
      <c r="AA220" s="67">
        <f t="shared" si="74"/>
        <v>2.2509000000000001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75"/>
        <v>0904-26</v>
      </c>
      <c r="AE220" s="91" t="str">
        <f t="shared" si="76"/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AF220" s="88" t="str">
        <f t="shared" si="77"/>
        <v>"C:\Program Files (x86)\AstroGrep\AstroGrep.exe" /spath="%USERPROFILE%\AppData\Local\Temp\OnboardLogs" /stypes="app*4004*20161226*" /stext=" 22:.+((SYSTEM_STATE.+slice.+state.+changed )|(ment ac)|(multiple cpu faults)|(system.+state.+changed )|(\[timeout)|(PRM\|1\|D)|(kpr)|(kdp)|(\|lc)|(penalty))" /e /r /s</v>
      </c>
      <c r="AG220" s="1" t="str">
        <f t="shared" si="78"/>
        <v>Other</v>
      </c>
      <c r="AH220" s="92" t="str">
        <f t="shared" si="64"/>
        <v>"%USERPROFILE%\Documents\GitHub\eaglep3\Utilities\RefineRTDCRunTimes.py" --tripid 904-26 --locoid 4004 --swversion DE.1.0.8.0 --startMP 300:23161 --initTime 2016-12-26T15:16:40 --startdatetime 2016-12-26T15:20:14 --delay 3 --endMP 204:652 --enddatetime 2016-12-26T15:27:37 --enforcementcount 0 &gt;&gt;C:\Users\stu\Documents\GitHub\eaglep3-reporting\EC\2016-12-26-refined-times.txt</v>
      </c>
      <c r="AI220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{"issue":{"subject":"","project_id":79,"tracker_id":40,"status_id":1,"priority_id":2,"assigned_to_id":23,"start_date":"2016-12-26","description":"","custom_fields":[{"id":1,"name":"Subdivision","value":"Other"},{"id":4,"name":"Milepost","value":"0.0652"},{"id":17,"name":"Train ID","value":"904-26"},{"id":16,"name":"Locomotive ID","value":"4004"},{"id":130,"name":"Impact","value":""},{"id":150,"name":"Time of Event (Mountain Time)","value":"15:27:37"},{"id":151,"name":"Denver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615</v>
      </c>
      <c r="B221" s="7">
        <v>4004</v>
      </c>
      <c r="C221" s="22" t="s">
        <v>205</v>
      </c>
      <c r="D221" s="22" t="s">
        <v>768</v>
      </c>
      <c r="E221" s="13">
        <v>42730.795624999999</v>
      </c>
      <c r="F221" s="13">
        <v>25568.708333333332</v>
      </c>
      <c r="G221" s="7">
        <v>0</v>
      </c>
      <c r="H221" s="22" t="s">
        <v>796</v>
      </c>
      <c r="I221" s="13">
        <v>25568.708333333332</v>
      </c>
      <c r="J221" s="7">
        <v>0</v>
      </c>
      <c r="K221" s="109" t="str">
        <f t="shared" si="66"/>
        <v>4003/4004</v>
      </c>
      <c r="L221" s="22" t="str">
        <f>VLOOKUP(A221,'Trips&amp;Operators'!$C$1:$G$99999,5,FALSE)</f>
        <v>NEWELL JAMES</v>
      </c>
      <c r="M221" s="6">
        <f t="shared" si="67"/>
        <v>0</v>
      </c>
      <c r="N221" s="7">
        <f t="shared" si="62"/>
        <v>0</v>
      </c>
      <c r="O221" s="7"/>
      <c r="P221" s="7"/>
      <c r="Q221" s="23"/>
      <c r="R221" s="23"/>
      <c r="S221" s="35">
        <f t="shared" si="68"/>
        <v>0</v>
      </c>
      <c r="T221" s="50" t="str">
        <f t="shared" si="69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18:05:42-700',mode:absolute,to:'1969-12-31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1" s="52" t="str">
        <f t="shared" si="71"/>
        <v>Y</v>
      </c>
      <c r="X221" s="177">
        <f t="shared" si="63"/>
        <v>2</v>
      </c>
      <c r="Y221" s="67">
        <f t="shared" si="72"/>
        <v>5.8596000000000004</v>
      </c>
      <c r="Z221" s="67">
        <f t="shared" si="73"/>
        <v>2.8774000000000002</v>
      </c>
      <c r="AA221" s="67">
        <f t="shared" si="74"/>
        <v>2.9822000000000002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 t="shared" si="75"/>
        <v>0906-26</v>
      </c>
      <c r="AE221" s="91" t="str">
        <f t="shared" si="76"/>
        <v>aws s3 cp s3://rtdc.mdm.uploadarchive.raw/RTDC4004/ "%USERPROFILE%\AppData\Local\Temp\OnboardLogs"\RTDC4004\1969-12-31 --exclude "*" --recursive --include "*19691231*" &amp; "%USERPROFILE%\Documents\GitHub\mrs-test-scripts\Headless Mode &amp; Sideloading\WalkAndUnGZ.bat" "%USERPROFILE%\AppData\Local\Temp\OnboardLogs"\RTDC4004\1969-12-31 &amp; aws s3 cp s3://rtdc.mdm.uploadarchive.raw/RTDC4004/ "%USERPROFILE%\AppData\Local\Temp\OnboardLogs"\RTDC4004\1970-01-01 --exclude "*" --recursive --include "*19700101*" &amp; "%USERPROFILE%\Documents\GitHub\mrs-test-scripts\Headless Mode &amp; Sideloading\WalkAndUnGZ.bat" "%USERPROFILE%\AppData\Local\Temp\OnboardLogs"\RTDC4004\1970-01-01</v>
      </c>
      <c r="AF221" s="88" t="str">
        <f t="shared" si="77"/>
        <v>"C:\Program Files (x86)\AstroGrep\AstroGrep.exe" /spath="%USERPROFILE%\AppData\Local\Temp\OnboardLogs" /stypes="app*4004*19700101*" /stext=" 00:.+((SYSTEM_STATE.+slice.+state.+changed )|(ment ac)|(multiple cpu faults)|(system.+state.+changed )|(\[timeout)|(PRM\|1\|D)|(kpr)|(kdp)|(\|lc)|(penalty))" /e /r /s</v>
      </c>
      <c r="AG221" s="1" t="str">
        <f t="shared" si="78"/>
        <v>Other</v>
      </c>
      <c r="AH221" s="92" t="str">
        <f t="shared" si="64"/>
        <v>"%USERPROFILE%\Documents\GitHub\eaglep3\Utilities\RefineRTDCRunTimes.py" --tripid 906-26 --locoid 4004 --swversion DE.1.0.8.0 --startMP 300:58596 --initTime 2016-12-26T19:05:42 --startdatetime 1969-12-31T17:00:00 --delay 0 --endMP 300:28774 --enddatetime 1969-12-31T17:00:00 --enforcementcount 0 &gt;&gt;C:\Users\stu\Documents\GitHub\eaglep3-reporting\EC\2016-12-26-refined-times.txt</v>
      </c>
      <c r="AI221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{"issue":{"subject":"","project_id":79,"tracker_id":40,"status_id":1,"priority_id":2,"assigned_to_id":23,"start_date":"1969-12-31","description":"","custom_fields":[{"id":1,"name":"Subdivision","value":"Other"},{"id":4,"name":"Milepost","value":"2.8774"},{"id":17,"name":"Train ID","value":"906-26"},{"id":16,"name":"Locomotive ID","value":"4004"},{"id":130,"name":"Impact","value":""},{"id":150,"name":"Time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637</v>
      </c>
      <c r="B222" s="7">
        <v>4001</v>
      </c>
      <c r="C222" s="22" t="s">
        <v>205</v>
      </c>
      <c r="D222" s="22" t="s">
        <v>797</v>
      </c>
      <c r="E222" s="13">
        <v>42730.941759259258</v>
      </c>
      <c r="F222" s="13">
        <v>42730.943078703705</v>
      </c>
      <c r="G222" s="7">
        <v>1</v>
      </c>
      <c r="H222" s="22" t="s">
        <v>798</v>
      </c>
      <c r="I222" s="13">
        <v>42730.94736111111</v>
      </c>
      <c r="J222" s="7">
        <v>0</v>
      </c>
      <c r="K222" s="109" t="str">
        <f t="shared" si="66"/>
        <v>4001/4002</v>
      </c>
      <c r="L222" s="22" t="str">
        <f>VLOOKUP(A222,'Trips&amp;Operators'!$C$1:$G$99999,5,FALSE)</f>
        <v>NEWELL JAMES</v>
      </c>
      <c r="M222" s="6">
        <f t="shared" si="67"/>
        <v>4.2824074043892324E-3</v>
      </c>
      <c r="N222" s="7">
        <f t="shared" si="62"/>
        <v>6.1666666623204947</v>
      </c>
      <c r="O222" s="7"/>
      <c r="P222" s="7"/>
      <c r="Q222" s="23"/>
      <c r="R222" s="23"/>
      <c r="S222" s="35">
        <f t="shared" si="68"/>
        <v>0</v>
      </c>
      <c r="T222" s="50" t="str">
        <f t="shared" si="69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21:36:08-700',mode:absolute,to:'2016-12-26 23:44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2" s="52" t="str">
        <f t="shared" si="71"/>
        <v>Y</v>
      </c>
      <c r="X222" s="177">
        <f t="shared" si="63"/>
        <v>2</v>
      </c>
      <c r="Y222" s="67">
        <f t="shared" si="72"/>
        <v>5.8589000000000002</v>
      </c>
      <c r="Z222" s="67">
        <f t="shared" si="73"/>
        <v>2.1760999999999999</v>
      </c>
      <c r="AA222" s="67">
        <f t="shared" si="74"/>
        <v>3.6828000000000003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 t="shared" si="75"/>
        <v>0908-26</v>
      </c>
      <c r="AE222" s="91" t="str">
        <f t="shared" si="76"/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AF222" s="88" t="str">
        <f t="shared" si="77"/>
        <v>"C:\Program Files (x86)\AstroGrep\AstroGrep.exe" /spath="%USERPROFILE%\AppData\Local\Temp\OnboardLogs" /stypes="app*4001*20161227*" /stext=" 05:.+((SYSTEM_STATE.+slice.+state.+changed )|(ment ac)|(multiple cpu faults)|(system.+state.+changed )|(\[timeout)|(PRM\|1\|D)|(kpr)|(kdp)|(\|lc)|(penalty))" /e /r /s</v>
      </c>
      <c r="AG222" s="1" t="str">
        <f t="shared" si="78"/>
        <v>Other</v>
      </c>
      <c r="AH222" s="92" t="str">
        <f t="shared" si="64"/>
        <v>"%USERPROFILE%\Documents\GitHub\eaglep3\Utilities\RefineRTDCRunTimes.py" --tripid 908-26 --locoid 4001 --swversion DE.1.0.8.0 --startMP 300:58589 --initTime 2016-12-26T22:36:08 --startdatetime 2016-12-26T22:38:02 --delay 1 --endMP 300:21761 --enddatetime 2016-12-26T22:44:12 --enforcementcount 0 &gt;&gt;C:\Users\stu\Documents\GitHub\eaglep3-reporting\EC\2016-12-26-refined-times.txt</v>
      </c>
      <c r="AI222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{"issue":{"subject":"","project_id":79,"tracker_id":40,"status_id":1,"priority_id":2,"assigned_to_id":23,"start_date":"2016-12-26","description":"","custom_fields":[{"id":1,"name":"Subdivision","value":"Other"},{"id":4,"name":"Milepost","value":"2.1761"},{"id":17,"name":"Train ID","value":"908-26"},{"id":16,"name":"Locomotive ID","value":"4001"},{"id":130,"name":"Impact","value":""},{"id":150,"name":"Time of Event (Mountain Time)","value":"22:44:12"},{"id":151,"name":"Denver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441</v>
      </c>
      <c r="B223" s="7">
        <v>4054</v>
      </c>
      <c r="C223" s="22" t="s">
        <v>205</v>
      </c>
      <c r="D223" s="22" t="s">
        <v>715</v>
      </c>
      <c r="E223" s="13">
        <v>42730.694525462961</v>
      </c>
      <c r="F223" s="13">
        <v>42730.695717592593</v>
      </c>
      <c r="G223" s="7">
        <v>1</v>
      </c>
      <c r="H223" s="22" t="s">
        <v>716</v>
      </c>
      <c r="I223" s="13">
        <v>42730.702222222222</v>
      </c>
      <c r="J223" s="7">
        <v>0</v>
      </c>
      <c r="K223" s="109" t="str">
        <f t="shared" si="66"/>
        <v>4053/4054</v>
      </c>
      <c r="L223" s="22" t="str">
        <f>VLOOKUP(A223,'Trips&amp;Operators'!$C$1:$G$99999,5,FALSE)</f>
        <v>CHANDLER KELVIN</v>
      </c>
      <c r="M223" s="6">
        <f t="shared" si="67"/>
        <v>6.5046296294895001E-3</v>
      </c>
      <c r="N223" s="7">
        <f t="shared" si="62"/>
        <v>9.3666666664648801</v>
      </c>
      <c r="O223" s="7"/>
      <c r="P223" s="7"/>
      <c r="Q223" s="23"/>
      <c r="R223" s="23"/>
      <c r="S223" s="35">
        <f t="shared" si="68"/>
        <v>0</v>
      </c>
      <c r="T223" s="50" t="e">
        <f t="shared" si="69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15:40:07-700',mode:absolute,to:'2016-12-26 17:51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3" s="52" t="str">
        <f t="shared" si="71"/>
        <v>Y</v>
      </c>
      <c r="X223" s="177" t="e">
        <f t="shared" si="63"/>
        <v>#VALUE!</v>
      </c>
      <c r="Y223" s="67">
        <f t="shared" si="72"/>
        <v>2.3513999999999999</v>
      </c>
      <c r="Z223" s="67">
        <f t="shared" si="73"/>
        <v>9.0399999999999994E-2</v>
      </c>
      <c r="AA223" s="67">
        <f t="shared" si="74"/>
        <v>2.2610000000000001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 t="shared" si="75"/>
        <v>50-26</v>
      </c>
      <c r="AE223" s="91" t="str">
        <f t="shared" si="76"/>
        <v>aws s3 cp s3://rtdc.mdm.uploadarchive.raw/RTDC4054/ "%USERPROFILE%\AppData\Local\Temp\OnboardLogs"\RTDC4054\2016-12-26 --exclude "*" --recursive --include "*20161226*" &amp; "%USERPROFILE%\Documents\GitHub\mrs-test-scripts\Headless Mode &amp; Sideloading\WalkAndUnGZ.bat" "%USERPROFILE%\AppData\Local\Temp\OnboardLogs"\RTDC4054\2016-12-26 &amp; aws s3 cp s3://rtdc.mdm.uploadarchive.raw/RTDC4054/ "%USERPROFILE%\AppData\Local\Temp\OnboardLogs"\RTDC4054\2016-12-27 --exclude "*" --recursive --include "*20161227*" &amp; "%USERPROFILE%\Documents\GitHub\mrs-test-scripts\Headless Mode &amp; Sideloading\WalkAndUnGZ.bat" "%USERPROFILE%\AppData\Local\Temp\OnboardLogs"\RTDC4054\2016-12-27</v>
      </c>
      <c r="AF223" s="88" t="str">
        <f t="shared" si="77"/>
        <v>"C:\Program Files (x86)\AstroGrep\AstroGrep.exe" /spath="%USERPROFILE%\AppData\Local\Temp\OnboardLogs" /stypes="app*4054*20161226*" /stext=" 23:.+((SYSTEM_STATE.+slice.+state.+changed )|(ment ac)|(multiple cpu faults)|(system.+state.+changed )|(\[timeout)|(PRM\|1\|D)|(kpr)|(kdp)|(\|lc)|(penalty))" /e /r /s</v>
      </c>
      <c r="AG223" s="1" t="str">
        <f t="shared" si="78"/>
        <v>Other</v>
      </c>
      <c r="AH223" s="92" t="str">
        <f t="shared" si="64"/>
        <v>"%USERPROFILE%\Documents\GitHub\eaglep3\Utilities\RefineRTDCRunTimes.py" --tripid 50-26 --locoid 4054 --swversion DE.1.0.8.0 --startMP 300:23514 --initTime 2016-12-26T16:40:07 --startdatetime 2016-12-26T16:41:50 --delay 1 --endMP 204:904 --enddatetime 2016-12-26T16:51:12 --enforcementcount 0 &gt;&gt;C:\Users\stu\Documents\GitHub\eaglep3-reporting\EC\2016-12-26-refined-times.txt</v>
      </c>
      <c r="AI223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{"issue":{"subject":"","project_id":79,"tracker_id":40,"status_id":1,"priority_id":2,"assigned_to_id":23,"start_date":"2016-12-26","description":"","custom_fields":[{"id":1,"name":"Subdivision","value":"Other"},{"id":4,"name":"Milepost","value":"0.0904"},{"id":17,"name":"Train ID","value":"50-26"},{"id":16,"name":"Locomotive ID","value":"4054"},{"id":130,"name":"Impact","value":""},{"id":150,"name":"Time of Event (Mountain Time)","value":"16:51:12"},{"id":151,"name":"Denver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595</v>
      </c>
      <c r="B224" s="7">
        <v>4053</v>
      </c>
      <c r="C224" s="22" t="s">
        <v>205</v>
      </c>
      <c r="D224" s="22" t="s">
        <v>717</v>
      </c>
      <c r="E224" s="13">
        <v>42730.733113425929</v>
      </c>
      <c r="F224" s="13">
        <v>42730.734525462962</v>
      </c>
      <c r="G224" s="7">
        <v>1</v>
      </c>
      <c r="H224" s="22" t="s">
        <v>718</v>
      </c>
      <c r="I224" s="13">
        <v>42730.741215277776</v>
      </c>
      <c r="J224" s="7">
        <v>0</v>
      </c>
      <c r="K224" s="109" t="str">
        <f t="shared" si="66"/>
        <v>4053/4054</v>
      </c>
      <c r="L224" s="22" t="str">
        <f>VLOOKUP(A224,'Trips&amp;Operators'!$C$1:$G$99999,5,FALSE)</f>
        <v>LEVERE CRAIG</v>
      </c>
      <c r="M224" s="6">
        <f t="shared" si="67"/>
        <v>6.6898148143081926E-3</v>
      </c>
      <c r="N224" s="7">
        <f t="shared" si="62"/>
        <v>9.6333333326037973</v>
      </c>
      <c r="O224" s="7"/>
      <c r="P224" s="7"/>
      <c r="Q224" s="23"/>
      <c r="R224" s="23"/>
      <c r="S224" s="35">
        <f t="shared" si="68"/>
        <v>0</v>
      </c>
      <c r="T224" s="50" t="e">
        <f t="shared" si="69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16:35:41-700',mode:absolute,to:'2016-12-26 18:47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24" s="52" t="str">
        <f t="shared" si="71"/>
        <v>Y</v>
      </c>
      <c r="X224" s="177" t="e">
        <f t="shared" si="63"/>
        <v>#VALUE!</v>
      </c>
      <c r="Y224" s="67">
        <f t="shared" si="72"/>
        <v>0.1222</v>
      </c>
      <c r="Z224" s="67">
        <f t="shared" si="73"/>
        <v>2.4068000000000001</v>
      </c>
      <c r="AA224" s="67">
        <f t="shared" si="74"/>
        <v>2.2846000000000002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 t="shared" si="75"/>
        <v>51-26</v>
      </c>
      <c r="AE224" s="91" t="str">
        <f t="shared" si="76"/>
        <v>aws s3 cp s3://rtdc.mdm.uploadarchive.raw/RTDC4053/ "%USERPROFILE%\AppData\Local\Temp\OnboardLogs"\RTDC4053\2016-12-26 --exclude "*" --recursive --include "*20161226*" &amp; "%USERPROFILE%\Documents\GitHub\mrs-test-scripts\Headless Mode &amp; Sideloading\WalkAndUnGZ.bat" "%USERPROFILE%\AppData\Local\Temp\OnboardLogs"\RTDC4053\2016-12-26 &amp; aws s3 cp s3://rtdc.mdm.uploadarchive.raw/RTDC4053/ "%USERPROFILE%\AppData\Local\Temp\OnboardLogs"\RTDC4053\2016-12-27 --exclude "*" --recursive --include "*20161227*" &amp; "%USERPROFILE%\Documents\GitHub\mrs-test-scripts\Headless Mode &amp; Sideloading\WalkAndUnGZ.bat" "%USERPROFILE%\AppData\Local\Temp\OnboardLogs"\RTDC4053\2016-12-27</v>
      </c>
      <c r="AF224" s="88" t="str">
        <f t="shared" si="77"/>
        <v>"C:\Program Files (x86)\AstroGrep\AstroGrep.exe" /spath="%USERPROFILE%\AppData\Local\Temp\OnboardLogs" /stypes="app*4053*20161227*" /stext=" 00:.+((SYSTEM_STATE.+slice.+state.+changed )|(ment ac)|(multiple cpu faults)|(system.+state.+changed )|(\[timeout)|(PRM\|1\|D)|(kpr)|(kdp)|(\|lc)|(penalty))" /e /r /s</v>
      </c>
      <c r="AG224" s="1" t="str">
        <f t="shared" si="78"/>
        <v>Other</v>
      </c>
      <c r="AH224" s="92" t="str">
        <f t="shared" si="64"/>
        <v>"%USERPROFILE%\Documents\GitHub\eaglep3\Utilities\RefineRTDCRunTimes.py" --tripid 51-26 --locoid 4053 --swversion DE.1.0.8.0 --startMP 204:1222 --initTime 2016-12-26T17:35:41 --startdatetime 2016-12-26T17:37:43 --delay 1 --endMP 300:24068 --enddatetime 2016-12-26T17:47:21 --enforcementcount 0 &gt;&gt;C:\Users\stu\Documents\GitHub\eaglep3-reporting\EC\2016-12-26-refined-times.txt</v>
      </c>
      <c r="AI224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{"issue":{"subject":"","project_id":79,"tracker_id":40,"status_id":1,"priority_id":2,"assigned_to_id":23,"start_date":"2016-12-26","description":"","custom_fields":[{"id":1,"name":"Subdivision","value":"Other"},{"id":4,"name":"Milepost","value":"2.4068"},{"id":17,"name":"Train ID","value":"51-26"},{"id":16,"name":"Locomotive ID","value":"4053"},{"id":130,"name":"Impact","value":""},{"id":150,"name":"Time of Event (Mountain Time)","value":"17:47:21"},{"id":151,"name":"Denver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601</v>
      </c>
      <c r="B225" s="7">
        <v>4012</v>
      </c>
      <c r="C225" s="22" t="s">
        <v>205</v>
      </c>
      <c r="D225" s="22" t="s">
        <v>719</v>
      </c>
      <c r="E225" s="13">
        <v>42730.750613425924</v>
      </c>
      <c r="F225" s="13">
        <v>42730.752025462964</v>
      </c>
      <c r="G225" s="7">
        <v>1</v>
      </c>
      <c r="H225" s="22" t="s">
        <v>720</v>
      </c>
      <c r="I225" s="13">
        <v>42730.757870370369</v>
      </c>
      <c r="J225" s="7">
        <v>0</v>
      </c>
      <c r="K225" s="109" t="str">
        <f t="shared" si="66"/>
        <v>4011/4012</v>
      </c>
      <c r="L225" s="22" t="str">
        <f>VLOOKUP(A225,'Trips&amp;Operators'!$C$1:$G$99999,5,FALSE)</f>
        <v>SAFIEF AEIMEN</v>
      </c>
      <c r="M225" s="6">
        <f t="shared" si="67"/>
        <v>5.8449074058444239E-3</v>
      </c>
      <c r="N225" s="7">
        <f t="shared" si="62"/>
        <v>8.4166666644159704</v>
      </c>
      <c r="O225" s="7"/>
      <c r="P225" s="7"/>
      <c r="Q225" s="23"/>
      <c r="R225" s="23"/>
      <c r="S225" s="35">
        <f t="shared" si="68"/>
        <v>0</v>
      </c>
      <c r="T225" s="50" t="e">
        <f t="shared" si="69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17:00:53-700',mode:absolute,to:'2016-12-26 19:11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5" s="52" t="str">
        <f t="shared" si="71"/>
        <v>Y</v>
      </c>
      <c r="X225" s="177" t="e">
        <f t="shared" si="63"/>
        <v>#VALUE!</v>
      </c>
      <c r="Y225" s="67">
        <f t="shared" si="72"/>
        <v>2.2000000000000002</v>
      </c>
      <c r="Z225" s="67">
        <f t="shared" si="73"/>
        <v>9.2299999999999993E-2</v>
      </c>
      <c r="AA225" s="67">
        <f t="shared" si="74"/>
        <v>2.1077000000000004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 t="shared" si="75"/>
        <v>52-26</v>
      </c>
      <c r="AE225" s="91" t="str">
        <f t="shared" si="76"/>
        <v>aws s3 cp s3://rtdc.mdm.uploadarchive.raw/RTDC4012/ "%USERPROFILE%\AppData\Local\Temp\OnboardLogs"\RTDC4012\2016-12-26 --exclude "*" --recursive --include "*20161226*" &amp; "%USERPROFILE%\Documents\GitHub\mrs-test-scripts\Headless Mode &amp; Sideloading\WalkAndUnGZ.bat" "%USERPROFILE%\AppData\Local\Temp\OnboardLogs"\RTDC4012\2016-12-26 &amp; aws s3 cp s3://rtdc.mdm.uploadarchive.raw/RTDC4012/ "%USERPROFILE%\AppData\Local\Temp\OnboardLogs"\RTDC4012\2016-12-27 --exclude "*" --recursive --include "*20161227*" &amp; "%USERPROFILE%\Documents\GitHub\mrs-test-scripts\Headless Mode &amp; Sideloading\WalkAndUnGZ.bat" "%USERPROFILE%\AppData\Local\Temp\OnboardLogs"\RTDC4012\2016-12-27</v>
      </c>
      <c r="AF225" s="88" t="str">
        <f t="shared" si="77"/>
        <v>"C:\Program Files (x86)\AstroGrep\AstroGrep.exe" /spath="%USERPROFILE%\AppData\Local\Temp\OnboardLogs" /stypes="app*4012*20161227*" /stext=" 01:.+((SYSTEM_STATE.+slice.+state.+changed )|(ment ac)|(multiple cpu faults)|(system.+state.+changed )|(\[timeout)|(PRM\|1\|D)|(kpr)|(kdp)|(\|lc)|(penalty))" /e /r /s</v>
      </c>
      <c r="AG225" s="1" t="str">
        <f t="shared" si="78"/>
        <v>Other</v>
      </c>
      <c r="AH225" s="92" t="str">
        <f t="shared" si="64"/>
        <v>"%USERPROFILE%\Documents\GitHub\eaglep3\Utilities\RefineRTDCRunTimes.py" --tripid 52-26 --locoid 4012 --swversion DE.1.0.8.0 --startMP 300:22000 --initTime 2016-12-26T18:00:53 --startdatetime 2016-12-26T18:02:55 --delay 1 --endMP 204:923 --enddatetime 2016-12-26T18:11:20 --enforcementcount 0 &gt;&gt;C:\Users\stu\Documents\GitHub\eaglep3-reporting\EC\2016-12-26-refined-times.txt</v>
      </c>
      <c r="AI225" s="119" t="str">
        <f t="shared" si="65"/>
        <v>echo {"issue":{"subject":"","project_id":79,"tracker_id":40,"status_id":1,"priority_id":2,"assigned_to_id":23,"start_date":"2016-12-26","description":"","custom_fields":[{"id":1,"name":"Subdivision","value":"Other"},{"id":4,"name":"Milepost","value":"0.0923"},{"id":17,"name":"Train ID","value":"52-26"},{"id":16,"name":"Locomotive ID","value":"4012"},{"id":130,"name":"Impact","value":""},{"id":150,"name":"Time of Event (Mountain Time)","value":"18:11:20"},{"id":151,"name":"Denver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588</v>
      </c>
      <c r="B226" s="7">
        <v>4016</v>
      </c>
      <c r="C226" s="22" t="s">
        <v>205</v>
      </c>
      <c r="D226" s="22" t="s">
        <v>787</v>
      </c>
      <c r="E226" s="13">
        <v>42730.708472222221</v>
      </c>
      <c r="F226" s="13">
        <v>25568.708333333332</v>
      </c>
      <c r="G226" s="7">
        <v>1</v>
      </c>
      <c r="H226" s="22" t="s">
        <v>377</v>
      </c>
      <c r="I226" s="13">
        <v>25568.708333333332</v>
      </c>
      <c r="J226" s="7">
        <v>0</v>
      </c>
      <c r="K226" s="109" t="str">
        <f t="shared" si="66"/>
        <v>4015/4016</v>
      </c>
      <c r="L226" s="22" t="str">
        <f>VLOOKUP(A226,'Trips&amp;Operators'!$C$1:$G$99999,5,FALSE)</f>
        <v>BRANDNER MELINDA</v>
      </c>
      <c r="M226" s="6">
        <f t="shared" si="67"/>
        <v>0</v>
      </c>
      <c r="N226" s="7">
        <f t="shared" si="62"/>
        <v>0</v>
      </c>
      <c r="O226" s="7"/>
      <c r="P226" s="7"/>
      <c r="Q226" s="23"/>
      <c r="R226" s="23"/>
      <c r="S226" s="35">
        <f t="shared" si="68"/>
        <v>0</v>
      </c>
      <c r="T226" s="50" t="e">
        <f t="shared" si="69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0"/>
        <v>https://search-rtdc-monitor-bjffxe2xuh6vdkpspy63sjmuny.us-east-1.es.amazonaws.com/_plugin/kibana/#/discover/Steve-Slow-Train-Analysis-(2080s-and-2083s)?_g=(refreshInterval:(display:Off,section:0,value:0),time:(from:'2016-12-26 16:00:12-700',mode:absolute,to:'1969-12-31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6" s="52" t="str">
        <f t="shared" si="71"/>
        <v>Y</v>
      </c>
      <c r="X226" s="177" t="e">
        <f t="shared" si="63"/>
        <v>#VALUE!</v>
      </c>
      <c r="Y226" s="67">
        <f t="shared" si="72"/>
        <v>0.14860000000000001</v>
      </c>
      <c r="Z226" s="67">
        <f t="shared" si="73"/>
        <v>2.3306</v>
      </c>
      <c r="AA226" s="67">
        <f t="shared" si="74"/>
        <v>2.1819999999999999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 t="shared" si="75"/>
        <v>89-26</v>
      </c>
      <c r="AE226" s="91" t="str">
        <f t="shared" si="76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6" s="88" t="str">
        <f t="shared" si="77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26" s="1" t="str">
        <f t="shared" si="78"/>
        <v>Other</v>
      </c>
      <c r="AH226" s="92" t="str">
        <f t="shared" si="64"/>
        <v>"%USERPROFILE%\Documents\GitHub\eaglep3\Utilities\RefineRTDCRunTimes.py" --tripid 89-26 --locoid 4016 --swversion DE.1.0.8.0 --startMP 204:1486 --initTime 2016-12-26T17:00:12 --startdatetime 1969-12-31T17:00:00 --delay 1 --endMP 300:23306 --enddatetime 1969-12-31T17:00:00 --enforcementcount 0 &gt;&gt;C:\Users\stu\Documents\GitHub\eaglep3-reporting\EC\2016-12-26-refined-times.txt</v>
      </c>
      <c r="AI226" s="11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ID","value":"89-26"},{"id":16,"name":"Locomotive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</sheetData>
  <autoFilter ref="A12:AG225">
    <sortState ref="A13:AG231">
      <sortCondition ref="AG13:AG231"/>
      <sortCondition ref="AD13:AD231"/>
    </sortState>
  </autoFilter>
  <sortState ref="A13:AH200">
    <sortCondition ref="AG13:AG200"/>
    <sortCondition ref="AD13:AD200"/>
  </sortState>
  <mergeCells count="1">
    <mergeCell ref="A11:P11"/>
  </mergeCells>
  <conditionalFormatting sqref="W11:W12 W239:X1048576 W13:X226">
    <cfRule type="cellIs" dxfId="10" priority="352" operator="equal">
      <formula>"Y"</formula>
    </cfRule>
  </conditionalFormatting>
  <conditionalFormatting sqref="X239:X1048576 X13:X226">
    <cfRule type="cellIs" dxfId="9" priority="335" operator="greaterThan">
      <formula>1</formula>
    </cfRule>
  </conditionalFormatting>
  <conditionalFormatting sqref="X239:X1048576 X12:X226">
    <cfRule type="cellIs" dxfId="8" priority="332" operator="equal">
      <formula>0</formula>
    </cfRule>
  </conditionalFormatting>
  <conditionalFormatting sqref="A13:S226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AK13:AK226</xm:sqref>
        </x14:dataValidation>
        <x14:dataValidation type="list" allowBlank="1" showInputMessage="1" showErrorMessage="1">
          <x14:formula1>
            <xm:f>'Redmine List Values'!$C$2:$C$15</xm:f>
          </x14:formula1>
          <xm:sqref>AL13:AL226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9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9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COUNTIF($O$7:$O$332,"=Y")</f>
        <v>5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COUNTA($O$7:$O$332)-O2</f>
        <v>32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9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- 2016-12-26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42730.506793981483</v>
      </c>
      <c r="B7" s="31" t="s">
        <v>154</v>
      </c>
      <c r="C7" s="31" t="s">
        <v>433</v>
      </c>
      <c r="D7" s="31" t="s">
        <v>98</v>
      </c>
      <c r="E7" s="31" t="s">
        <v>434</v>
      </c>
      <c r="F7" s="47">
        <v>790</v>
      </c>
      <c r="G7" s="47">
        <v>845</v>
      </c>
      <c r="H7" s="47">
        <v>141162</v>
      </c>
      <c r="I7" s="47">
        <v>145804</v>
      </c>
      <c r="J7" s="31" t="s">
        <v>197</v>
      </c>
      <c r="K7" s="47">
        <v>110617</v>
      </c>
      <c r="L7" s="154" t="s">
        <v>50</v>
      </c>
      <c r="M7" s="155">
        <f t="shared" ref="M7:M43" si="0">CONVERT((I7-K7)/10000,"mi","ft")*IF(L7="Increasing Mileposts (1)",-1,1)</f>
        <v>-18578.736000000001</v>
      </c>
      <c r="N7" s="156" t="str">
        <f>VLOOKUP(C7,'Trips&amp;Operators'!$C$1:$G$99999,5,FALSE)</f>
        <v>ADANE ELSHADAY</v>
      </c>
      <c r="O7" s="183" t="s">
        <v>195</v>
      </c>
      <c r="P7" s="157" t="s">
        <v>817</v>
      </c>
      <c r="Q7" s="31"/>
      <c r="R7" s="100" t="str">
        <f>VLOOKUP(C7,'Train Runs'!$A$13:$AE$9969,31,0)</f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S7" s="103" t="str">
        <f>VLOOKUP(C7,'Train Runs'!$A$13:$AE$9969,22,0)</f>
        <v>https://search-rtdc-monitor-bjffxe2xuh6vdkpspy63sjmuny.us-east-1.es.amazonaws.com/_plugin/kibana/#/discover/Steve-Slow-Train-Analysis-(2080s-and-2083s)?_g=(refreshInterval:(display:Off,section:0,value:0),time:(from:'2016-12-26 10:38:34-700',mode:absolute,to:'2016-12-26 13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7" s="105" t="str">
        <f t="shared" ref="T7:T43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/stypes="*4051*201612261*" /stext=" 19:.+((SYSTEM_STATE.+slice.+state.+changed )|(ment ac)|(multiple cpu faults)|(system.+state.+changed )|(\[timeout)|(PRM\|1\|D)|(kpr)|(kdp)|(\|lc)|(penalty))" /e /r /s</v>
      </c>
      <c r="U7" s="9" t="str">
        <f t="shared" ref="U7:U43" si="2">MID(B7,13,4)</f>
        <v>4051</v>
      </c>
      <c r="V7" s="36">
        <f t="shared" ref="V7:V43" si="3">A7-utc_offset/24</f>
        <v>42730.798460648148</v>
      </c>
      <c r="W7" s="50" t="str">
        <f t="shared" ref="W7:W43" si="4">IF(VALUE(LEFT(IF(LEN(C7)=6,"0"&amp;C7,C7),2))&lt;=2,"EC",IF(OR(VALUE(LEFT(IF(LEN(C7)=6,"0"&amp;C7,C7),2))=8,VALUE(LEFT(IF(LEN(C7)=6,"0"&amp;C7,C7),2))=18),"NW","Other"))</f>
        <v>EC</v>
      </c>
      <c r="X7" s="50" t="str">
        <f t="shared" ref="X7:X43" si="5">IF(AND(E7="TRACK WARRANT AUTHORITY",G7&lt;10),"OMIT","KEEP")</f>
        <v>KEEP</v>
      </c>
      <c r="Y7" s="119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-12-26","description":"","custom_fields":[{"id":1,"name":"Subdivision","value":"EC"},{"id":4,"name":"Milepost","value":"11.0617"},{"id":17,"name":"Train ID","value":"165-26"},{"id":16,"name":"Locomotive ID","value":"4051"},{"id":130,"name":"Impact","value":""},{"id":150,"name":"Time of Event (Mountain Time)","value":"12:09:47"},{"id":151,"name":"Denver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3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"%USERPROFILE%\AppData\Local\Temp\OnboardLogs"\RTDC4051\*4051*201612261*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"%USERPROFILE%\AppData\Local\Temp\OnboardLogs"\RTDC4051\*4051*201612261* &gt;&gt; 42730-slicedisagreementcheck.txt</v>
      </c>
    </row>
    <row r="8" spans="1:30" s="1" customFormat="1" x14ac:dyDescent="0.25">
      <c r="A8" s="36">
        <v>42730.735671296294</v>
      </c>
      <c r="B8" s="31" t="s">
        <v>291</v>
      </c>
      <c r="C8" s="31" t="s">
        <v>442</v>
      </c>
      <c r="D8" s="31" t="s">
        <v>98</v>
      </c>
      <c r="E8" s="31" t="s">
        <v>434</v>
      </c>
      <c r="F8" s="47">
        <v>790</v>
      </c>
      <c r="G8" s="47">
        <v>845</v>
      </c>
      <c r="H8" s="47">
        <v>140560</v>
      </c>
      <c r="I8" s="47">
        <v>145100</v>
      </c>
      <c r="J8" s="31" t="s">
        <v>197</v>
      </c>
      <c r="K8" s="47">
        <v>110617</v>
      </c>
      <c r="L8" s="154" t="s">
        <v>50</v>
      </c>
      <c r="M8" s="155">
        <f t="shared" si="0"/>
        <v>-18207.024000000001</v>
      </c>
      <c r="N8" s="156" t="str">
        <f>VLOOKUP(C8,'Trips&amp;Operators'!$C$1:$G$99999,5,FALSE)</f>
        <v>CHANDLER KELVIN</v>
      </c>
      <c r="O8" s="183" t="s">
        <v>195</v>
      </c>
      <c r="P8" s="157" t="s">
        <v>817</v>
      </c>
      <c r="Q8" s="31"/>
      <c r="R8" s="100" t="str">
        <f>VLOOKUP(C8,'Train Runs'!$A$13:$AE$9969,31,0)</f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S8" s="103" t="str">
        <f>VLOOKUP(C8,'Train Runs'!$A$13:$AE$9969,22,0)</f>
        <v>https://search-rtdc-monitor-bjffxe2xuh6vdkpspy63sjmuny.us-east-1.es.amazonaws.com/_plugin/kibana/#/discover/Steve-Slow-Train-Analysis-(2080s-and-2083s)?_g=(refreshInterval:(display:Off,section:0,value:0),time:(from:'2016-12-26 16:12:14-700',mode:absolute,to:'2016-12-26 18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8" s="105" t="str">
        <f t="shared" si="1"/>
        <v>"C:\Program Files (x86)\AstroGrep\AstroGrep.exe" /spath="%USERPROFILE%\AppData\Local\Temp\OnboardLogs" /stypes="*4044*201612270*" /stext=" 00:.+((SYSTEM_STATE.+slice.+state.+changed )|(ment ac)|(multiple cpu faults)|(system.+state.+changed )|(\[timeout)|(PRM\|1\|D)|(kpr)|(kdp)|(\|lc)|(penalty))" /e /r /s</v>
      </c>
      <c r="U8" s="9" t="str">
        <f t="shared" si="2"/>
        <v>4044</v>
      </c>
      <c r="V8" s="36">
        <f t="shared" si="3"/>
        <v>42731.027337962958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Overspeed","project_id":79,"tracker_id":40,"status_id":1,"priority_id":2,"assigned_to_id":23,"start_date":"2016-12-26","description":"","custom_fields":[{"id":1,"name":"Subdivision","value":"EC"},{"id":4,"name":"Milepost","value":"11.0617"},{"id":17,"name":"Train ID","value":"209-26"},{"id":16,"name":"Locomotive ID","value":"4044"},{"id":130,"name":"Impact","value":""},{"id":150,"name":"Time of Event (Mountain Time)","value":"17:39:22"},{"id":151,"name":"Denver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"%USERPROFILE%\AppData\Local\Temp\OnboardLogs"\RTDC4044\*4044*201612270*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"%USERPROFILE%\AppData\Local\Temp\OnboardLogs"\RTDC4044\*4044*201612270* &gt;&gt; 42730-slicedisagreementcheck.txt</v>
      </c>
    </row>
    <row r="9" spans="1:30" s="1" customFormat="1" x14ac:dyDescent="0.25">
      <c r="A9" s="36">
        <v>42730.463182870371</v>
      </c>
      <c r="B9" s="31" t="s">
        <v>290</v>
      </c>
      <c r="C9" s="31" t="s">
        <v>432</v>
      </c>
      <c r="D9" s="31" t="s">
        <v>49</v>
      </c>
      <c r="E9" s="31" t="s">
        <v>246</v>
      </c>
      <c r="F9" s="47">
        <v>0</v>
      </c>
      <c r="G9" s="47">
        <v>202</v>
      </c>
      <c r="H9" s="47">
        <v>27031</v>
      </c>
      <c r="I9" s="47">
        <v>27316</v>
      </c>
      <c r="J9" s="31" t="s">
        <v>247</v>
      </c>
      <c r="K9" s="47">
        <v>27053</v>
      </c>
      <c r="L9" s="154" t="s">
        <v>50</v>
      </c>
      <c r="M9" s="155">
        <f t="shared" si="0"/>
        <v>-138.864</v>
      </c>
      <c r="N9" s="156" t="str">
        <f>VLOOKUP(C9,'Trips&amp;Operators'!$C$1:$G$99999,5,FALSE)</f>
        <v>STEWART MICHAEL</v>
      </c>
      <c r="O9" s="183" t="s">
        <v>195</v>
      </c>
      <c r="P9" s="157" t="s">
        <v>818</v>
      </c>
      <c r="Q9" s="31"/>
      <c r="R9" s="100" t="str">
        <f>VLOOKUP(C9,'Train Runs'!$A$13:$AE$9969,31,0)</f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S9" s="103" t="str">
        <f>VLOOKUP(C9,'Train Runs'!$A$13:$AE$9969,22,0)</f>
        <v>https://search-rtdc-monitor-bjffxe2xuh6vdkpspy63sjmuny.us-east-1.es.amazonaws.com/_plugin/kibana/#/discover/Steve-Slow-Train-Analysis-(2080s-and-2083s)?_g=(refreshInterval:(display:Off,section:0,value:0),time:(from:'2016-12-26 09:52:30-700',mode:absolute,to:'2016-12-26 12:37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9" s="105" t="str">
        <f t="shared" si="1"/>
        <v>"C:\Program Files (x86)\AstroGrep\AstroGrep.exe" /spath="%USERPROFILE%\AppData\Local\Temp\OnboardLogs" /stypes="*4027*201612261*" /stext=" 18:.+((SYSTEM_STATE.+slice.+state.+changed )|(ment ac)|(multiple cpu faults)|(system.+state.+changed )|(\[timeout)|(PRM\|1\|D)|(kpr)|(kdp)|(\|lc)|(penalty))" /e /r /s</v>
      </c>
      <c r="U9" s="9" t="str">
        <f t="shared" si="2"/>
        <v>4027</v>
      </c>
      <c r="V9" s="36">
        <f t="shared" si="3"/>
        <v>42730.754849537036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arrival","project_id":79,"tracker_id":40,"status_id":1,"priority_id":2,"assigned_to_id":23,"start_date":"2016-12-26","description":"","custom_fields":[{"id":1,"name":"Subdivision","value":"EC"},{"id":4,"name":"Milepost","value":"2.7053"},{"id":17,"name":"Train ID","value":"159-26"},{"id":16,"name":"Locomotive ID","value":"4027"},{"id":130,"name":"Impact","value":""},{"id":150,"name":"Time of Event (Mountain Time)","value":"11:06:59"},{"id":151,"name":"Denver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"%USERPROFILE%\AppData\Local\Temp\OnboardLogs"\RTDC4027\*4027*201612261*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"%USERPROFILE%\AppData\Local\Temp\OnboardLogs"\RTDC4027\*4027*201612261* &gt;&gt; 42730-slicedisagreementcheck.txt</v>
      </c>
    </row>
    <row r="10" spans="1:30" s="1" customFormat="1" x14ac:dyDescent="0.25">
      <c r="A10" s="36">
        <v>42730.301296296297</v>
      </c>
      <c r="B10" s="31" t="s">
        <v>289</v>
      </c>
      <c r="C10" s="31" t="s">
        <v>425</v>
      </c>
      <c r="D10" s="31" t="s">
        <v>98</v>
      </c>
      <c r="E10" s="31" t="s">
        <v>246</v>
      </c>
      <c r="F10" s="47">
        <v>0</v>
      </c>
      <c r="G10" s="47">
        <v>172</v>
      </c>
      <c r="H10" s="47">
        <v>27335</v>
      </c>
      <c r="I10" s="47">
        <v>27180</v>
      </c>
      <c r="J10" s="31" t="s">
        <v>247</v>
      </c>
      <c r="K10" s="47">
        <v>27350</v>
      </c>
      <c r="L10" s="154" t="s">
        <v>51</v>
      </c>
      <c r="M10" s="155">
        <f t="shared" si="0"/>
        <v>-89.76</v>
      </c>
      <c r="N10" s="156" t="str">
        <f>VLOOKUP(C10,'Trips&amp;Operators'!$C$1:$G$99999,5,FALSE)</f>
        <v>MAGEE KENYA</v>
      </c>
      <c r="O10" s="183" t="s">
        <v>195</v>
      </c>
      <c r="P10" s="157" t="s">
        <v>818</v>
      </c>
      <c r="Q10" s="31"/>
      <c r="R10" s="100" t="str">
        <f>VLOOKUP(C10,'Train Runs'!$A$13:$AE$9969,31,0)</f>
        <v>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 &amp; aws s3 cp s3://rtdc.mdm.uploadarchive.raw/RTDC4028/ "%USERPROFILE%\AppData\Local\Temp\OnboardLogs"\RTDC4028\2016-12-27 --exclude "*" --recursive --include "*20161227*" &amp; "%USERPROFILE%\Documents\GitHub\mrs-test-scripts\Headless Mode &amp; Sideloading\WalkAndUnGZ.bat" "%USERPROFILE%\AppData\Local\Temp\OnboardLogs"\RTDC4028\2016-12-27</v>
      </c>
      <c r="S10" s="103" t="str">
        <f>VLOOKUP(C10,'Train Runs'!$A$13:$AE$9969,22,0)</f>
        <v>https://search-rtdc-monitor-bjffxe2xuh6vdkpspy63sjmuny.us-east-1.es.amazonaws.com/_plugin/kibana/#/discover/Steve-Slow-Train-Analysis-(2080s-and-2083s)?_g=(refreshInterval:(display:Off,section:0,value:0),time:(from:'2016-12-26 05:34:58-700',mode:absolute,to:'2016-12-26 08:21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0" s="105" t="str">
        <f t="shared" si="1"/>
        <v>"C:\Program Files (x86)\AstroGrep\AstroGrep.exe" /spath="%USERPROFILE%\AppData\Local\Temp\OnboardLogs" /stypes="*4028*201612261*" /stext=" 14:.+((SYSTEM_STATE.+slice.+state.+changed )|(ment ac)|(multiple cpu faults)|(system.+state.+changed )|(\[timeout)|(PRM\|1\|D)|(kpr)|(kdp)|(\|lc)|(penalty))" /e /r /s</v>
      </c>
      <c r="U10" s="9" t="str">
        <f t="shared" si="2"/>
        <v>4028</v>
      </c>
      <c r="V10" s="36">
        <f t="shared" si="3"/>
        <v>42730.592962962961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arrival","project_id":79,"tracker_id":40,"status_id":1,"priority_id":2,"assigned_to_id":23,"start_date":"2016-12-26","description":"","custom_fields":[{"id":1,"name":"Subdivision","value":"EC"},{"id":4,"name":"Milepost","value":"2.735"},{"id":17,"name":"Train ID","value":"118-26"},{"id":16,"name":"Locomotive ID","value":"4028"},{"id":130,"name":"Impact","value":""},{"id":150,"name":"Time of Event (Mountain Time)","value":"07:13:52"},{"id":151,"name":"Denver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"%USERPROFILE%\AppData\Local\Temp\OnboardLogs"\RTDC4028\*4028*201612261*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"%USERPROFILE%\AppData\Local\Temp\OnboardLogs"\RTDC4028\*4028*201612261* &gt;&gt; 42730-slicedisagreementcheck.txt</v>
      </c>
    </row>
    <row r="11" spans="1:30" s="1" customFormat="1" x14ac:dyDescent="0.25">
      <c r="A11" s="36">
        <v>42730.464895833335</v>
      </c>
      <c r="B11" s="31" t="s">
        <v>290</v>
      </c>
      <c r="C11" s="31" t="s">
        <v>432</v>
      </c>
      <c r="D11" s="31" t="s">
        <v>49</v>
      </c>
      <c r="E11" s="31" t="s">
        <v>246</v>
      </c>
      <c r="F11" s="47">
        <v>350</v>
      </c>
      <c r="G11" s="47">
        <v>401</v>
      </c>
      <c r="H11" s="47">
        <v>32956</v>
      </c>
      <c r="I11" s="47">
        <v>33995</v>
      </c>
      <c r="J11" s="31" t="s">
        <v>247</v>
      </c>
      <c r="K11" s="47">
        <v>33137</v>
      </c>
      <c r="L11" s="154" t="s">
        <v>50</v>
      </c>
      <c r="M11" s="155">
        <f t="shared" si="0"/>
        <v>-453.024</v>
      </c>
      <c r="N11" s="156" t="str">
        <f>VLOOKUP(C11,'Trips&amp;Operators'!$C$1:$G$99999,5,FALSE)</f>
        <v>STEWART MICHAEL</v>
      </c>
      <c r="O11" s="183" t="s">
        <v>195</v>
      </c>
      <c r="P11" s="157" t="s">
        <v>818</v>
      </c>
      <c r="Q11" s="31"/>
      <c r="R11" s="100" t="str">
        <f>VLOOKUP(C11,'Train Runs'!$A$13:$AE$9969,31,0)</f>
        <v>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 &amp; aws s3 cp s3://rtdc.mdm.uploadarchive.raw/RTDC4027/ "%USERPROFILE%\AppData\Local\Temp\OnboardLogs"\RTDC4027\2016-12-27 --exclude "*" --recursive --include "*20161227*" &amp; "%USERPROFILE%\Documents\GitHub\mrs-test-scripts\Headless Mode &amp; Sideloading\WalkAndUnGZ.bat" "%USERPROFILE%\AppData\Local\Temp\OnboardLogs"\RTDC4027\2016-12-27</v>
      </c>
      <c r="S11" s="103" t="str">
        <f>VLOOKUP(C11,'Train Runs'!$A$13:$AE$9969,22,0)</f>
        <v>https://search-rtdc-monitor-bjffxe2xuh6vdkpspy63sjmuny.us-east-1.es.amazonaws.com/_plugin/kibana/#/discover/Steve-Slow-Train-Analysis-(2080s-and-2083s)?_g=(refreshInterval:(display:Off,section:0,value:0),time:(from:'2016-12-26 09:52:30-700',mode:absolute,to:'2016-12-26 12:37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1" s="105" t="str">
        <f t="shared" si="1"/>
        <v>"C:\Program Files (x86)\AstroGrep\AstroGrep.exe" /spath="%USERPROFILE%\AppData\Local\Temp\OnboardLogs" /stypes="*4027*201612261*" /stext=" 18:.+((SYSTEM_STATE.+slice.+state.+changed )|(ment ac)|(multiple cpu faults)|(system.+state.+changed )|(\[timeout)|(PRM\|1\|D)|(kpr)|(kdp)|(\|lc)|(penalty))" /e /r /s</v>
      </c>
      <c r="U11" s="9" t="str">
        <f t="shared" si="2"/>
        <v>4027</v>
      </c>
      <c r="V11" s="36">
        <f t="shared" si="3"/>
        <v>42730.756562499999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{"issue":{"subject":"Early arrival","project_id":79,"tracker_id":40,"status_id":1,"priority_id":2,"assigned_to_id":23,"start_date":"2016-12-26","description":"","custom_fields":[{"id":1,"name":"Subdivision","value":"EC"},{"id":4,"name":"Milepost","value":"3.3137"},{"id":17,"name":"Train ID","value":"159-26"},{"id":16,"name":"Locomotive ID","value":"4027"},{"id":130,"name":"Impact","value":""},{"id":150,"name":"Time of Event (Mountain Time)","value":"11:09:27"},{"id":151,"name":"Denver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"%USERPROFILE%\AppData\Local\Temp\OnboardLogs"\RTDC4027\*4027*201612261*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"%USERPROFILE%\AppData\Local\Temp\OnboardLogs"\RTDC4027\*4027*201612261* &gt;&gt; 42730-slicedisagreementcheck.txt</v>
      </c>
    </row>
    <row r="12" spans="1:30" s="1" customFormat="1" x14ac:dyDescent="0.25">
      <c r="A12" s="36">
        <v>42730.393819444442</v>
      </c>
      <c r="B12" s="31" t="s">
        <v>259</v>
      </c>
      <c r="C12" s="31" t="s">
        <v>430</v>
      </c>
      <c r="D12" s="31" t="s">
        <v>49</v>
      </c>
      <c r="E12" s="31" t="s">
        <v>246</v>
      </c>
      <c r="F12" s="47">
        <v>0</v>
      </c>
      <c r="G12" s="47">
        <v>224</v>
      </c>
      <c r="H12" s="47">
        <v>33385</v>
      </c>
      <c r="I12" s="47">
        <v>33132</v>
      </c>
      <c r="J12" s="31" t="s">
        <v>247</v>
      </c>
      <c r="K12" s="47">
        <v>33257</v>
      </c>
      <c r="L12" s="154" t="s">
        <v>51</v>
      </c>
      <c r="M12" s="155">
        <f t="shared" si="0"/>
        <v>-66</v>
      </c>
      <c r="N12" s="156" t="str">
        <f>VLOOKUP(C12,'Trips&amp;Operators'!$C$1:$G$99999,5,FALSE)</f>
        <v>DUNCAN SHEILA</v>
      </c>
      <c r="O12" s="183" t="s">
        <v>195</v>
      </c>
      <c r="P12" s="157" t="s">
        <v>818</v>
      </c>
      <c r="Q12" s="31"/>
      <c r="R12" s="100" t="str">
        <f>VLOOKUP(C12,'Train Runs'!$A$13:$AE$9969,31,0)</f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S12" s="103" t="str">
        <f>VLOOKUP(C12,'Train Runs'!$A$13:$AE$9969,22,0)</f>
        <v>https://search-rtdc-monitor-bjffxe2xuh6vdkpspy63sjmuny.us-east-1.es.amazonaws.com/_plugin/kibana/#/discover/Steve-Slow-Train-Analysis-(2080s-and-2083s)?_g=(refreshInterval:(display:Off,section:0,value:0),time:(from:'2016-12-26 07:48:29-700',mode:absolute,to:'2016-12-26 10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2" s="105" t="str">
        <f t="shared" si="1"/>
        <v>"C:\Program Files (x86)\AstroGrep\AstroGrep.exe" /spath="%USERPROFILE%\AppData\Local\Temp\OnboardLogs" /stypes="*4045*201612261*" /stext=" 16:.+((SYSTEM_STATE.+slice.+state.+changed )|(ment ac)|(multiple cpu faults)|(system.+state.+changed )|(\[timeout)|(PRM\|1\|D)|(kpr)|(kdp)|(\|lc)|(penalty))" /e /r /s</v>
      </c>
      <c r="U12" s="9" t="str">
        <f t="shared" si="2"/>
        <v>4045</v>
      </c>
      <c r="V12" s="36">
        <f t="shared" si="3"/>
        <v>42730.685486111106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{"issue":{"subject":"Early arrival","project_id":79,"tracker_id":40,"status_id":1,"priority_id":2,"assigned_to_id":23,"start_date":"2016-12-26","description":"","custom_fields":[{"id":1,"name":"Subdivision","value":"EC"},{"id":4,"name":"Milepost","value":"3.3257"},{"id":17,"name":"Train ID","value":"136-26"},{"id":16,"name":"Locomotive ID","value":"4045"},{"id":130,"name":"Impact","value":""},{"id":150,"name":"Time of Event (Mountain Time)","value":"09:27:06"},{"id":151,"name":"Denver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"%USERPROFILE%\AppData\Local\Temp\OnboardLogs"\RTDC4045\*4045*201612261*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"%USERPROFILE%\AppData\Local\Temp\OnboardLogs"\RTDC4045\*4045*201612261* &gt;&gt; 42730-slicedisagreementcheck.txt</v>
      </c>
    </row>
    <row r="13" spans="1:30" s="1" customFormat="1" x14ac:dyDescent="0.25">
      <c r="A13" s="36">
        <v>42730.396956018521</v>
      </c>
      <c r="B13" s="31" t="s">
        <v>344</v>
      </c>
      <c r="C13" s="31" t="s">
        <v>431</v>
      </c>
      <c r="D13" s="31" t="s">
        <v>98</v>
      </c>
      <c r="E13" s="31" t="s">
        <v>196</v>
      </c>
      <c r="F13" s="47">
        <v>150</v>
      </c>
      <c r="G13" s="47">
        <v>204</v>
      </c>
      <c r="H13" s="47">
        <v>3278</v>
      </c>
      <c r="I13" s="47">
        <v>3613</v>
      </c>
      <c r="J13" s="31" t="s">
        <v>197</v>
      </c>
      <c r="K13" s="47">
        <v>0</v>
      </c>
      <c r="L13" s="154" t="s">
        <v>50</v>
      </c>
      <c r="M13" s="155">
        <f t="shared" si="0"/>
        <v>-1907.664</v>
      </c>
      <c r="N13" s="156" t="str">
        <f>VLOOKUP(C13,'Trips&amp;Operators'!$C$1:$G$99999,5,FALSE)</f>
        <v>STARKS ANGELINA</v>
      </c>
      <c r="O13" s="183" t="s">
        <v>195</v>
      </c>
      <c r="P13" s="157"/>
      <c r="Q13" s="31"/>
      <c r="R13" s="100" t="str">
        <f>VLOOKUP(C13,'Train Runs'!$A$13:$AE$9969,31,0)</f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S13" s="103" t="str">
        <f>VLOOKUP(C13,'Train Runs'!$A$13:$AE$9969,22,0)</f>
        <v>https://search-rtdc-monitor-bjffxe2xuh6vdkpspy63sjmuny.us-east-1.es.amazonaws.com/_plugin/kibana/#/discover/Steve-Slow-Train-Analysis-(2080s-and-2083s)?_g=(refreshInterval:(display:Off,section:0,value:0),time:(from:'2016-12-26 08:24:03-700',mode:absolute,to:'2016-12-26 11:07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3" s="105" t="str">
        <f t="shared" si="1"/>
        <v>"C:\Program Files (x86)\AstroGrep\AstroGrep.exe" /spath="%USERPROFILE%\AppData\Local\Temp\OnboardLogs" /stypes="*4025*201612261*" /stext=" 16:.+((SYSTEM_STATE.+slice.+state.+changed )|(ment ac)|(multiple cpu faults)|(system.+state.+changed )|(\[timeout)|(PRM\|1\|D)|(kpr)|(kdp)|(\|lc)|(penalty))" /e /r /s</v>
      </c>
      <c r="U13" s="9" t="str">
        <f t="shared" si="2"/>
        <v>4025</v>
      </c>
      <c r="V13" s="36">
        <f t="shared" si="3"/>
        <v>42730.688622685186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{"issue":{"subject":"","project_id":79,"tracker_id":40,"status_id":1,"priority_id":2,"assigned_to_id":23,"start_date":"2016-12-26","description":"","custom_fields":[{"id":1,"name":"Subdivision","value":"EC"},{"id":4,"name":"Milepost","value":"0"},{"id":17,"name":"Train ID","value":"147-26"},{"id":16,"name":"Locomotive ID","value":"4025"},{"id":130,"name":"Impact","value":""},{"id":150,"name":"Time of Event (Mountain Time)","value":"09:31:37"},{"id":151,"name":"Denver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"%USERPROFILE%\AppData\Local\Temp\OnboardLogs"\RTDC4025\*4025*201612261*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"%USERPROFILE%\AppData\Local\Temp\OnboardLogs"\RTDC4025\*4025*201612261* &gt;&gt; 42730-slicedisagreementcheck.txt</v>
      </c>
    </row>
    <row r="14" spans="1:30" s="1" customFormat="1" x14ac:dyDescent="0.25">
      <c r="A14" s="36">
        <v>42730.774016203701</v>
      </c>
      <c r="B14" s="31" t="s">
        <v>155</v>
      </c>
      <c r="C14" s="31" t="s">
        <v>445</v>
      </c>
      <c r="D14" s="31" t="s">
        <v>49</v>
      </c>
      <c r="E14" s="31" t="s">
        <v>196</v>
      </c>
      <c r="F14" s="47">
        <v>150</v>
      </c>
      <c r="G14" s="47">
        <v>234</v>
      </c>
      <c r="H14" s="47">
        <v>5298</v>
      </c>
      <c r="I14" s="47">
        <v>4836</v>
      </c>
      <c r="J14" s="31" t="s">
        <v>197</v>
      </c>
      <c r="K14" s="47">
        <v>4677</v>
      </c>
      <c r="L14" s="154" t="s">
        <v>51</v>
      </c>
      <c r="M14" s="155">
        <f t="shared" si="0"/>
        <v>83.951999999999998</v>
      </c>
      <c r="N14" s="156" t="str">
        <f>VLOOKUP(C14,'Trips&amp;Operators'!$C$1:$G$99999,5,FALSE)</f>
        <v>ADANE ELSHADAY</v>
      </c>
      <c r="O14" s="183" t="s">
        <v>195</v>
      </c>
      <c r="P14" s="157"/>
      <c r="Q14" s="31"/>
      <c r="R14" s="100" t="str">
        <f>VLOOKUP(C14,'Train Runs'!$A$13:$AE$9969,31,0)</f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S14" s="103" t="str">
        <f>VLOOKUP(C14,'Train Runs'!$A$13:$AE$9969,22,0)</f>
        <v>https://search-rtdc-monitor-bjffxe2xuh6vdkpspy63sjmuny.us-east-1.es.amazonaws.com/_plugin/kibana/#/discover/Steve-Slow-Train-Analysis-(2080s-and-2083s)?_g=(refreshInterval:(display:Off,section:0,value:0),time:(from:'2016-12-26 16:38:52-700',mode:absolute,to:'2016-12-26 19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14" s="105" t="str">
        <f t="shared" si="1"/>
        <v>"C:\Program Files (x86)\AstroGrep\AstroGrep.exe" /spath="%USERPROFILE%\AppData\Local\Temp\OnboardLogs" /stypes="*4052*201612270*" /stext=" 01:.+((SYSTEM_STATE.+slice.+state.+changed )|(ment ac)|(multiple cpu faults)|(system.+state.+changed )|(\[timeout)|(PRM\|1\|D)|(kpr)|(kdp)|(\|lc)|(penalty))" /e /r /s</v>
      </c>
      <c r="U14" s="9" t="str">
        <f t="shared" si="2"/>
        <v>4052</v>
      </c>
      <c r="V14" s="36">
        <f t="shared" si="3"/>
        <v>42731.065682870365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{"issue":{"subject":"","project_id":79,"tracker_id":40,"status_id":1,"priority_id":2,"assigned_to_id":23,"start_date":"2016-12-26","description":"","custom_fields":[{"id":1,"name":"Subdivision","value":"EC"},{"id":4,"name":"Milepost","value":"0.4677"},{"id":17,"name":"Train ID","value":"208-26"},{"id":16,"name":"Locomotive ID","value":"4052"},{"id":130,"name":"Impact","value":""},{"id":150,"name":"Time of Event (Mountain Time)","value":"18:34:35"},{"id":151,"name":"Denver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"%USERPROFILE%\AppData\Local\Temp\OnboardLogs"\RTDC4052\*4052*201612270*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"%USERPROFILE%\AppData\Local\Temp\OnboardLogs"\RTDC4052\*4052*201612270* &gt;&gt; 42730-slicedisagreementcheck.txt</v>
      </c>
    </row>
    <row r="15" spans="1:30" s="1" customFormat="1" x14ac:dyDescent="0.25">
      <c r="A15" s="36">
        <v>42730.877939814818</v>
      </c>
      <c r="B15" s="31" t="s">
        <v>291</v>
      </c>
      <c r="C15" s="31" t="s">
        <v>449</v>
      </c>
      <c r="D15" s="31" t="s">
        <v>49</v>
      </c>
      <c r="E15" s="31" t="s">
        <v>196</v>
      </c>
      <c r="F15" s="47">
        <v>400</v>
      </c>
      <c r="G15" s="47">
        <v>527</v>
      </c>
      <c r="H15" s="47">
        <v>17089</v>
      </c>
      <c r="I15" s="47">
        <v>17917</v>
      </c>
      <c r="J15" s="31" t="s">
        <v>197</v>
      </c>
      <c r="K15" s="47">
        <v>17867</v>
      </c>
      <c r="L15" s="154" t="s">
        <v>50</v>
      </c>
      <c r="M15" s="155">
        <f t="shared" si="0"/>
        <v>-26.4</v>
      </c>
      <c r="N15" s="156" t="str">
        <f>VLOOKUP(C15,'Trips&amp;Operators'!$C$1:$G$99999,5,FALSE)</f>
        <v>CHANDLER KELVIN</v>
      </c>
      <c r="O15" s="183" t="s">
        <v>195</v>
      </c>
      <c r="P15" s="157"/>
      <c r="Q15" s="31"/>
      <c r="R15" s="100" t="str">
        <f>VLOOKUP(C15,'Train Runs'!$A$13:$AE$9969,31,0)</f>
        <v>aws s3 cp s3://rtdc.mdm.uploadarchive.raw/RTDC4044/ "%USERPROFILE%\AppData\Local\Temp\OnboardLogs"\RTDC4044\2016-12-26 --exclude "*" --recursive --include "*20161226*" &amp; "%USERPROFILE%\Documents\GitHub\mrs-test-scripts\Headless Mode &amp; Sideloading\WalkAndUnGZ.bat" "%USERPROFILE%\AppData\Local\Temp\OnboardLogs"\RTDC4044\2016-12-26 &amp; 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</v>
      </c>
      <c r="S15" s="103" t="str">
        <f>VLOOKUP(C15,'Train Runs'!$A$13:$AE$9969,22,0)</f>
        <v>https://search-rtdc-monitor-bjffxe2xuh6vdkpspy63sjmuny.us-east-1.es.amazonaws.com/_plugin/kibana/#/discover/Steve-Slow-Train-Analysis-(2080s-and-2083s)?_g=(refreshInterval:(display:Off,section:0,value:0),time:(from:'2016-12-26 19:56:23-700',mode:absolute,to:'2016-12-26 22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5" s="105" t="str">
        <f t="shared" si="1"/>
        <v>"C:\Program Files (x86)\AstroGrep\AstroGrep.exe" /spath="%USERPROFILE%\AppData\Local\Temp\OnboardLogs" /stypes="*4044*201612270*" /stext=" 04:.+((SYSTEM_STATE.+slice.+state.+changed )|(ment ac)|(multiple cpu faults)|(system.+state.+changed )|(\[timeout)|(PRM\|1\|D)|(kpr)|(kdp)|(\|lc)|(penalty))" /e /r /s</v>
      </c>
      <c r="U15" s="9" t="str">
        <f t="shared" si="2"/>
        <v>4044</v>
      </c>
      <c r="V15" s="36">
        <f t="shared" si="3"/>
        <v>42731.169606481482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{"issue":{"subject":"","project_id":79,"tracker_id":40,"status_id":1,"priority_id":2,"assigned_to_id":23,"start_date":"2016-12-26","description":"","custom_fields":[{"id":1,"name":"Subdivision","value":"EC"},{"id":4,"name":"Milepost","value":"1.7867"},{"id":17,"name":"Train ID","value":"229-26"},{"id":16,"name":"Locomotive ID","value":"4044"},{"id":130,"name":"Impact","value":""},{"id":150,"name":"Time of Event (Mountain Time)","value":"21:04:14"},{"id":151,"name":"Denver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"%USERPROFILE%\AppData\Local\Temp\OnboardLogs"\RTDC4044\*4044*201612270*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"%USERPROFILE%\AppData\Local\Temp\OnboardLogs"\RTDC4044\*4044*201612270* &gt;&gt; 42730-slicedisagreementcheck.txt</v>
      </c>
    </row>
    <row r="16" spans="1:30" s="1" customFormat="1" x14ac:dyDescent="0.25">
      <c r="A16" s="36">
        <v>42730.50885416667</v>
      </c>
      <c r="B16" s="31" t="s">
        <v>345</v>
      </c>
      <c r="C16" s="31" t="s">
        <v>435</v>
      </c>
      <c r="D16" s="31" t="s">
        <v>98</v>
      </c>
      <c r="E16" s="31" t="s">
        <v>196</v>
      </c>
      <c r="F16" s="47">
        <v>350</v>
      </c>
      <c r="G16" s="47">
        <v>400</v>
      </c>
      <c r="H16" s="47">
        <v>229501</v>
      </c>
      <c r="I16" s="47">
        <v>228611</v>
      </c>
      <c r="J16" s="31" t="s">
        <v>197</v>
      </c>
      <c r="K16" s="47">
        <v>232107</v>
      </c>
      <c r="L16" s="154" t="s">
        <v>51</v>
      </c>
      <c r="M16" s="155">
        <f t="shared" si="0"/>
        <v>-1845.8879999999999</v>
      </c>
      <c r="N16" s="156" t="str">
        <f>VLOOKUP(C16,'Trips&amp;Operators'!$C$1:$G$99999,5,FALSE)</f>
        <v>DAVIS MICHAEL</v>
      </c>
      <c r="O16" s="183" t="s">
        <v>195</v>
      </c>
      <c r="P16" s="157"/>
      <c r="Q16" s="31"/>
      <c r="R16" s="100" t="str">
        <f>VLOOKUP(C16,'Train Runs'!$A$13:$AE$9969,31,0)</f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S16" s="103" t="str">
        <f>VLOOKUP(C16,'Train Runs'!$A$13:$AE$9969,22,0)</f>
        <v>https://search-rtdc-monitor-bjffxe2xuh6vdkpspy63sjmuny.us-east-1.es.amazonaws.com/_plugin/kibana/#/discover/Steve-Slow-Train-Analysis-(2080s-and-2083s)?_g=(refreshInterval:(display:Off,section:0,value:0),time:(from:'2016-12-26 11:05:38-700',mode:absolute,to:'2016-12-26 13:51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6" s="105" t="str">
        <f t="shared" si="1"/>
        <v>"C:\Program Files (x86)\AstroGrep\AstroGrep.exe" /spath="%USERPROFILE%\AppData\Local\Temp\OnboardLogs" /stypes="*4026*201612261*" /stext=" 19:.+((SYSTEM_STATE.+slice.+state.+changed )|(ment ac)|(multiple cpu faults)|(system.+state.+changed )|(\[timeout)|(PRM\|1\|D)|(kpr)|(kdp)|(\|lc)|(penalty))" /e /r /s</v>
      </c>
      <c r="U16" s="9" t="str">
        <f t="shared" si="2"/>
        <v>4026</v>
      </c>
      <c r="V16" s="36">
        <f t="shared" si="3"/>
        <v>42730.800520833334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{"issue":{"subject":"","project_id":79,"tracker_id":40,"status_id":1,"priority_id":2,"assigned_to_id":23,"start_date":"2016-12-26","description":"","custom_fields":[{"id":1,"name":"Subdivision","value":"EC"},{"id":4,"name":"Milepost","value":"23.2107"},{"id":17,"name":"Train ID","value":"162-26"},{"id":16,"name":"Locomotive ID","value":"4026"},{"id":130,"name":"Impact","value":""},{"id":150,"name":"Time of Event (Mountain Time)","value":"12:12:45"},{"id":151,"name":"Denver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"%USERPROFILE%\AppData\Local\Temp\OnboardLogs"\RTDC4026\*4026*201612261*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"%USERPROFILE%\AppData\Local\Temp\OnboardLogs"\RTDC4026\*4026*201612261* &gt;&gt; 42730-slicedisagreementcheck.txt</v>
      </c>
    </row>
    <row r="17" spans="1:30" s="1" customFormat="1" x14ac:dyDescent="0.25">
      <c r="A17" s="36">
        <v>42730.224143518521</v>
      </c>
      <c r="B17" s="31" t="s">
        <v>257</v>
      </c>
      <c r="C17" s="31" t="s">
        <v>417</v>
      </c>
      <c r="D17" s="31" t="s">
        <v>49</v>
      </c>
      <c r="E17" s="31" t="s">
        <v>198</v>
      </c>
      <c r="F17" s="47">
        <v>0</v>
      </c>
      <c r="G17" s="47">
        <v>689</v>
      </c>
      <c r="H17" s="47">
        <v>145361</v>
      </c>
      <c r="I17" s="47">
        <v>142334</v>
      </c>
      <c r="J17" s="31" t="s">
        <v>199</v>
      </c>
      <c r="K17" s="47">
        <v>144312</v>
      </c>
      <c r="L17" s="154" t="s">
        <v>51</v>
      </c>
      <c r="M17" s="155">
        <f t="shared" si="0"/>
        <v>-1044.384</v>
      </c>
      <c r="N17" s="156" t="str">
        <f>VLOOKUP(C17,'Trips&amp;Operators'!$C$1:$G$99999,5,FALSE)</f>
        <v>STARKS ANGELINA</v>
      </c>
      <c r="O17" s="183" t="s">
        <v>227</v>
      </c>
      <c r="P17" s="157" t="s">
        <v>822</v>
      </c>
      <c r="Q17" s="31"/>
      <c r="R17" s="100" t="str">
        <f>VLOOKUP(C17,'Train Runs'!$A$13:$AE$9969,31,0)</f>
        <v>aws s3 cp s3://rtdc.mdm.uploadarchive.raw/RTDC4015/ "%USERPROFILE%\AppData\Local\Temp\OnboardLogs"\RTDC4015\2016-12-26 --exclude "*" --recursive --include "*20161226*" &amp; "%USERPROFILE%\Documents\GitHub\mrs-test-scripts\Headless Mode &amp; Sideloading\WalkAndUnGZ.bat" "%USERPROFILE%\AppData\Local\Temp\OnboardLogs"\RTDC4015\2016-12-26 &amp; aws s3 cp s3://rtdc.mdm.uploadarchive.raw/RTDC4015/ "%USERPROFILE%\AppData\Local\Temp\OnboardLogs"\RTDC4015\2016-12-27 --exclude "*" --recursive --include "*20161227*" &amp; "%USERPROFILE%\Documents\GitHub\mrs-test-scripts\Headless Mode &amp; Sideloading\WalkAndUnGZ.bat" "%USERPROFILE%\AppData\Local\Temp\OnboardLogs"\RTDC4015\2016-12-27</v>
      </c>
      <c r="S17" s="103" t="str">
        <f>VLOOKUP(C17,'Train Runs'!$A$13:$AE$9969,22,0)</f>
        <v>https://search-rtdc-monitor-bjffxe2xuh6vdkpspy63sjmuny.us-east-1.es.amazonaws.com/_plugin/kibana/#/discover/Steve-Slow-Train-Analysis-(2080s-and-2083s)?_g=(refreshInterval:(display:Off,section:0,value:0),time:(from:'2016-12-26 04:07:54-700',mode:absolute,to:'2016-12-26 06:54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7" s="105" t="str">
        <f t="shared" si="1"/>
        <v>"C:\Program Files (x86)\AstroGrep\AstroGrep.exe" /spath="%USERPROFILE%\AppData\Local\Temp\OnboardLogs" /stypes="*4015*201612261*" /stext=" 12:.+((SYSTEM_STATE.+slice.+state.+changed )|(ment ac)|(multiple cpu faults)|(system.+state.+changed )|(\[timeout)|(PRM\|1\|D)|(kpr)|(kdp)|(\|lc)|(penalty))" /e /r /s</v>
      </c>
      <c r="U17" s="9" t="str">
        <f t="shared" si="2"/>
        <v>4015</v>
      </c>
      <c r="V17" s="36">
        <f t="shared" si="3"/>
        <v>42730.515810185185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{"issue":{"subject":"Wi-MAX data drop","project_id":79,"tracker_id":40,"status_id":1,"priority_id":2,"assigned_to_id":23,"start_date":"2016-12-26","description":"","custom_fields":[{"id":1,"name":"Subdivision","value":"EC"},{"id":4,"name":"Milepost","value":"14.4312"},{"id":17,"name":"Train ID","value":"106-26"},{"id":16,"name":"Locomotive ID","value":"4015"},{"id":130,"name":"Impact","value":""},{"id":150,"name":"Time of Event (Mountain Time)","value":"05:22:46"},{"id":151,"name":"Denver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"%USERPROFILE%\AppData\Local\Temp\OnboardLogs"\RTDC4015\*4015*201612261*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"%USERPROFILE%\AppData\Local\Temp\OnboardLogs"\RTDC4015\*4015*201612261* &gt;&gt; 42730-slicedisagreementcheck.txt</v>
      </c>
    </row>
    <row r="18" spans="1:30" s="1" customFormat="1" x14ac:dyDescent="0.25">
      <c r="A18" s="36">
        <v>42730.959247685183</v>
      </c>
      <c r="B18" s="31" t="s">
        <v>345</v>
      </c>
      <c r="C18" s="31" t="s">
        <v>450</v>
      </c>
      <c r="D18" s="31" t="s">
        <v>49</v>
      </c>
      <c r="E18" s="31" t="s">
        <v>198</v>
      </c>
      <c r="F18" s="47">
        <v>0</v>
      </c>
      <c r="G18" s="47">
        <v>529</v>
      </c>
      <c r="H18" s="47">
        <v>195429</v>
      </c>
      <c r="I18" s="47">
        <v>193686</v>
      </c>
      <c r="J18" s="31" t="s">
        <v>199</v>
      </c>
      <c r="K18" s="47">
        <v>191723</v>
      </c>
      <c r="L18" s="154" t="s">
        <v>51</v>
      </c>
      <c r="M18" s="155">
        <f t="shared" si="0"/>
        <v>1036.4639999999999</v>
      </c>
      <c r="N18" s="156" t="str">
        <f>VLOOKUP(C18,'Trips&amp;Operators'!$C$1:$G$99999,5,FALSE)</f>
        <v>STAMBAUGH JAMES</v>
      </c>
      <c r="O18" s="183" t="s">
        <v>195</v>
      </c>
      <c r="P18" s="157" t="s">
        <v>821</v>
      </c>
      <c r="Q18" s="31"/>
      <c r="R18" s="100" t="str">
        <f>VLOOKUP(C18,'Train Runs'!$A$13:$AE$9969,31,0)</f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S18" s="103" t="str">
        <f>VLOOKUP(C18,'Train Runs'!$A$13:$AE$9969,22,0)</f>
        <v>https://search-rtdc-monitor-bjffxe2xuh6vdkpspy63sjmuny.us-east-1.es.amazonaws.com/_plugin/kibana/#/discover/Steve-Slow-Train-Analysis-(2080s-and-2083s)?_g=(refreshInterval:(display:Off,section:0,value:0),time:(from:'2016-12-26 21:52:40-700',mode:absolute,to:'2016-12-27 00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8" s="105" t="str">
        <f t="shared" si="1"/>
        <v>"C:\Program Files (x86)\AstroGrep\AstroGrep.exe" /spath="%USERPROFILE%\AppData\Local\Temp\OnboardLogs" /stypes="*4026*201612270*" /stext=" 06:.+((SYSTEM_STATE.+slice.+state.+changed )|(ment ac)|(multiple cpu faults)|(system.+state.+changed )|(\[timeout)|(PRM\|1\|D)|(kpr)|(kdp)|(\|lc)|(penalty))" /e /r /s</v>
      </c>
      <c r="U18" s="9" t="str">
        <f t="shared" si="2"/>
        <v>4026</v>
      </c>
      <c r="V18" s="36">
        <f t="shared" si="3"/>
        <v>42731.250914351847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{"issue":{"subject":"Pena 4S STOP","project_id":79,"tracker_id":40,"status_id":1,"priority_id":2,"assigned_to_id":23,"start_date":"2016-12-26","description":"","custom_fields":[{"id":1,"name":"Subdivision","value":"EC"},{"id":4,"name":"Milepost","value":"19.1723"},{"id":17,"name":"Train ID","value":"234-26"},{"id":16,"name":"Locomotive ID","value":"4026"},{"id":130,"name":"Impact","value":""},{"id":150,"name":"Time of Event (Mountain Time)","value":"23:01:19"},{"id":151,"name":"Denver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"%USERPROFILE%\AppData\Local\Temp\OnboardLogs"\RTDC4026\*4026*201612270*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"%USERPROFILE%\AppData\Local\Temp\OnboardLogs"\RTDC4026\*4026*201612270* &gt;&gt; 42730-slicedisagreementcheck.txt</v>
      </c>
    </row>
    <row r="19" spans="1:30" s="1" customFormat="1" x14ac:dyDescent="0.25">
      <c r="A19" s="36">
        <v>42730.293379629627</v>
      </c>
      <c r="B19" s="31" t="s">
        <v>345</v>
      </c>
      <c r="C19" s="31" t="s">
        <v>421</v>
      </c>
      <c r="D19" s="31" t="s">
        <v>98</v>
      </c>
      <c r="E19" s="31" t="s">
        <v>422</v>
      </c>
      <c r="F19" s="47">
        <v>0</v>
      </c>
      <c r="G19" s="47">
        <v>582</v>
      </c>
      <c r="H19" s="47">
        <v>191479</v>
      </c>
      <c r="I19" s="47">
        <v>189369</v>
      </c>
      <c r="J19" s="31" t="s">
        <v>423</v>
      </c>
      <c r="K19" s="47">
        <v>191723</v>
      </c>
      <c r="L19" s="154" t="s">
        <v>51</v>
      </c>
      <c r="M19" s="155">
        <f t="shared" si="0"/>
        <v>-1242.912</v>
      </c>
      <c r="N19" s="156" t="str">
        <f>VLOOKUP(C19,'Trips&amp;Operators'!$C$1:$G$99999,5,FALSE)</f>
        <v>STARKS ANGELINA</v>
      </c>
      <c r="O19" s="183" t="s">
        <v>227</v>
      </c>
      <c r="P19" s="157" t="s">
        <v>822</v>
      </c>
      <c r="Q19" s="31"/>
      <c r="R19" s="100" t="str">
        <f>VLOOKUP(C19,'Train Runs'!$A$13:$AE$9969,31,0)</f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S19" s="103" t="str">
        <f>VLOOKUP(C19,'Train Runs'!$A$13:$AE$9969,22,0)</f>
        <v>https://search-rtdc-monitor-bjffxe2xuh6vdkpspy63sjmuny.us-east-1.es.amazonaws.com/_plugin/kibana/#/discover/Steve-Slow-Train-Analysis-(2080s-and-2083s)?_g=(refreshInterval:(display:Off,section:0,value:0),time:(from:'2016-12-26 05:52:52-700',mode:absolute,to:'2016-12-26 08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9" s="105" t="str">
        <f t="shared" si="1"/>
        <v>"C:\Program Files (x86)\AstroGrep\AstroGrep.exe" /spath="%USERPROFILE%\AppData\Local\Temp\OnboardLogs" /stypes="*4026*201612261*" /stext=" 14:.+((SYSTEM_STATE.+slice.+state.+changed )|(ment ac)|(multiple cpu faults)|(system.+state.+changed )|(\[timeout)|(PRM\|1\|D)|(kpr)|(kdp)|(\|lc)|(penalty))" /e /r /s</v>
      </c>
      <c r="U19" s="9" t="str">
        <f t="shared" si="2"/>
        <v>4026</v>
      </c>
      <c r="V19" s="36">
        <f t="shared" si="3"/>
        <v>42730.585046296292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{"issue":{"subject":"Wi-MAX data drop","project_id":79,"tracker_id":40,"status_id":1,"priority_id":2,"assigned_to_id":23,"start_date":"2016-12-26","description":"http://stevetu21.github.io/eaglep3/load_kml.html?kml=http://rtdc.gmaps-snips.s3.amazonaws.com/6dd85c51-1d52-4ad8-a48a-373ba452cb9e.kml","custom_fields":[{"id":1,"name":"Subdivision","value":"EC"},{"id":4,"name":"Milepost","value":"19.1723"},{"id":17,"name":"Train ID","value":"120-26"},{"id":16,"name":"Locomotive ID","value":"4026"},{"id":130,"name":"Impact","value":"Enforcement"},{"id":150,"name":"Time of Event (Mountain Time)","value":"07:02:28"},{"id":151,"name":"Denver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s="21" t="s">
        <v>823</v>
      </c>
      <c r="AA19" s="53" t="s">
        <v>125</v>
      </c>
      <c r="AB19" s="53" t="s">
        <v>138</v>
      </c>
      <c r="AC19" s="138" t="str">
        <f t="shared" si="7"/>
        <v>grep -hSE -A100 "Enforcement Action" "%USERPROFILE%\AppData\Local\Temp\OnboardLogs"\RTDC4026\*4026*201612261*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"%USERPROFILE%\AppData\Local\Temp\OnboardLogs"\RTDC4026\*4026*201612261* &gt;&gt; 42730-slicedisagreementcheck.txt</v>
      </c>
    </row>
    <row r="20" spans="1:30" x14ac:dyDescent="0.25">
      <c r="A20" s="36">
        <v>42730.3356712963</v>
      </c>
      <c r="B20" s="31" t="s">
        <v>293</v>
      </c>
      <c r="C20" s="31" t="s">
        <v>428</v>
      </c>
      <c r="D20" s="31" t="s">
        <v>49</v>
      </c>
      <c r="E20" s="31" t="s">
        <v>258</v>
      </c>
      <c r="F20" s="47">
        <v>100</v>
      </c>
      <c r="G20" s="47">
        <v>449</v>
      </c>
      <c r="H20" s="47">
        <v>68641</v>
      </c>
      <c r="I20" s="47">
        <v>67452</v>
      </c>
      <c r="J20" s="31" t="s">
        <v>247</v>
      </c>
      <c r="K20" s="47">
        <v>66500</v>
      </c>
      <c r="L20" s="154" t="s">
        <v>51</v>
      </c>
      <c r="M20" s="155">
        <f t="shared" si="0"/>
        <v>502.65600000000001</v>
      </c>
      <c r="N20" s="156" t="str">
        <f>VLOOKUP(C20,'Trips&amp;Operators'!$C$1:$G$99999,5,FALSE)</f>
        <v>YANG JAN</v>
      </c>
      <c r="O20" s="183" t="s">
        <v>195</v>
      </c>
      <c r="P20" s="157"/>
      <c r="Q20" s="31"/>
      <c r="R20" s="100" t="str">
        <f>VLOOKUP(C20,'Train Runs'!$A$13:$AE$9969,31,0)</f>
        <v>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 &amp; aws s3 cp s3://rtdc.mdm.uploadarchive.raw/RTDC4043/ "%USERPROFILE%\AppData\Local\Temp\OnboardLogs"\RTDC4043\2016-12-27 --exclude "*" --recursive --include "*20161227*" &amp; "%USERPROFILE%\Documents\GitHub\mrs-test-scripts\Headless Mode &amp; Sideloading\WalkAndUnGZ.bat" "%USERPROFILE%\AppData\Local\Temp\OnboardLogs"\RTDC4043\2016-12-27</v>
      </c>
      <c r="S20" s="103" t="str">
        <f>VLOOKUP(C20,'Train Runs'!$A$13:$AE$9969,22,0)</f>
        <v>https://search-rtdc-monitor-bjffxe2xuh6vdkpspy63sjmuny.us-east-1.es.amazonaws.com/_plugin/kibana/#/discover/Steve-Slow-Train-Analysis-(2080s-and-2083s)?_g=(refreshInterval:(display:Off,section:0,value:0),time:(from:'2016-12-26 06:22:52-700',mode:absolute,to:'2016-12-26 09:20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0" s="105" t="str">
        <f t="shared" si="1"/>
        <v>"C:\Program Files (x86)\AstroGrep\AstroGrep.exe" /spath="%USERPROFILE%\AppData\Local\Temp\OnboardLogs" /stypes="*4043*201612261*" /stext=" 15:.+((SYSTEM_STATE.+slice.+state.+changed )|(ment ac)|(multiple cpu faults)|(system.+state.+changed )|(\[timeout)|(PRM\|1\|D)|(kpr)|(kdp)|(\|lc)|(penalty))" /e /r /s</v>
      </c>
      <c r="U20" s="9" t="str">
        <f t="shared" si="2"/>
        <v>4043</v>
      </c>
      <c r="V20" s="36">
        <f t="shared" si="3"/>
        <v>42730.627337962964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{"issue":{"subject":"","project_id":79,"tracker_id":40,"status_id":1,"priority_id":2,"assigned_to_id":23,"start_date":"2016-12-26","description":"","custom_fields":[{"id":1,"name":"Subdivision","value":"EC"},{"id":4,"name":"Milepost","value":"6.65"},{"id":17,"name":"Train ID","value":"126-26"},{"id":16,"name":"Locomotive ID","value":"4043"},{"id":130,"name":"Impact","value":""},{"id":150,"name":"Time of Event (Mountain Time)","value":"08:03:22"},{"id":151,"name":"Denver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"%USERPROFILE%\AppData\Local\Temp\OnboardLogs"\RTDC4043\*4043*201612261*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"%USERPROFILE%\AppData\Local\Temp\OnboardLogs"\RTDC4043\*4043*201612261* &gt;&gt; 42730-slicedisagreementcheck.txt</v>
      </c>
    </row>
    <row r="21" spans="1:30" x14ac:dyDescent="0.25">
      <c r="A21" s="36">
        <v>42730.535821759258</v>
      </c>
      <c r="B21" s="31" t="s">
        <v>345</v>
      </c>
      <c r="C21" s="31" t="s">
        <v>435</v>
      </c>
      <c r="D21" s="31" t="s">
        <v>49</v>
      </c>
      <c r="E21" s="31" t="s">
        <v>200</v>
      </c>
      <c r="F21" s="47">
        <v>0</v>
      </c>
      <c r="G21" s="47">
        <v>57</v>
      </c>
      <c r="H21" s="47">
        <v>183</v>
      </c>
      <c r="I21" s="47">
        <v>125</v>
      </c>
      <c r="J21" s="31" t="s">
        <v>201</v>
      </c>
      <c r="K21" s="47">
        <v>1</v>
      </c>
      <c r="L21" s="154" t="s">
        <v>51</v>
      </c>
      <c r="M21" s="155">
        <f t="shared" si="0"/>
        <v>65.471999999999994</v>
      </c>
      <c r="N21" s="156" t="str">
        <f>VLOOKUP(C21,'Trips&amp;Operators'!$C$1:$G$99999,5,FALSE)</f>
        <v>DAVIS MICHAEL</v>
      </c>
      <c r="O21" s="183" t="s">
        <v>195</v>
      </c>
      <c r="P21" s="157"/>
      <c r="Q21" s="31"/>
      <c r="R21" s="100" t="str">
        <f>VLOOKUP(C21,'Train Runs'!$A$13:$AE$9969,31,0)</f>
        <v>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 &amp; aws s3 cp s3://rtdc.mdm.uploadarchive.raw/RTDC4026/ "%USERPROFILE%\AppData\Local\Temp\OnboardLogs"\RTDC4026\2016-12-27 --exclude "*" --recursive --include "*20161227*" &amp; "%USERPROFILE%\Documents\GitHub\mrs-test-scripts\Headless Mode &amp; Sideloading\WalkAndUnGZ.bat" "%USERPROFILE%\AppData\Local\Temp\OnboardLogs"\RTDC4026\2016-12-27</v>
      </c>
      <c r="S21" s="103" t="str">
        <f>VLOOKUP(C21,'Train Runs'!$A$13:$AE$9969,22,0)</f>
        <v>https://search-rtdc-monitor-bjffxe2xuh6vdkpspy63sjmuny.us-east-1.es.amazonaws.com/_plugin/kibana/#/discover/Steve-Slow-Train-Analysis-(2080s-and-2083s)?_g=(refreshInterval:(display:Off,section:0,value:0),time:(from:'2016-12-26 11:05:38-700',mode:absolute,to:'2016-12-26 13:51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1" s="105" t="str">
        <f t="shared" si="1"/>
        <v>"C:\Program Files (x86)\AstroGrep\AstroGrep.exe" /spath="%USERPROFILE%\AppData\Local\Temp\OnboardLogs" /stypes="*4026*201612261*" /stext=" 19:.+((SYSTEM_STATE.+slice.+state.+changed )|(ment ac)|(multiple cpu faults)|(system.+state.+changed )|(\[timeout)|(PRM\|1\|D)|(kpr)|(kdp)|(\|lc)|(penalty))" /e /r /s</v>
      </c>
      <c r="U21" s="9" t="str">
        <f t="shared" si="2"/>
        <v>4026</v>
      </c>
      <c r="V21" s="36">
        <f t="shared" si="3"/>
        <v>42730.827488425923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{"issue":{"subject":"","project_id":79,"tracker_id":40,"status_id":1,"priority_id":2,"assigned_to_id":23,"start_date":"2016-12-26","description":"","custom_fields":[{"id":1,"name":"Subdivision","value":"EC"},{"id":4,"name":"Milepost","value":"0.0001"},{"id":17,"name":"Train ID","value":"162-26"},{"id":16,"name":"Locomotive ID","value":"4026"},{"id":130,"name":"Impact","value":""},{"id":150,"name":"Time of Event (Mountain Time)","value":"12:51:35"},{"id":151,"name":"Denver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"%USERPROFILE%\AppData\Local\Temp\OnboardLogs"\RTDC4026\*4026*201612261*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"%USERPROFILE%\AppData\Local\Temp\OnboardLogs"\RTDC4026\*4026*201612261* &gt;&gt; 42730-slicedisagreementcheck.txt</v>
      </c>
    </row>
    <row r="22" spans="1:30" ht="15" customHeight="1" x14ac:dyDescent="0.25">
      <c r="A22" s="36">
        <v>42730.627812500003</v>
      </c>
      <c r="B22" s="31" t="s">
        <v>155</v>
      </c>
      <c r="C22" s="31" t="s">
        <v>438</v>
      </c>
      <c r="D22" s="31" t="s">
        <v>49</v>
      </c>
      <c r="E22" s="31" t="s">
        <v>200</v>
      </c>
      <c r="F22" s="47">
        <v>0</v>
      </c>
      <c r="G22" s="47">
        <v>104</v>
      </c>
      <c r="H22" s="47">
        <v>387</v>
      </c>
      <c r="I22" s="47">
        <v>269</v>
      </c>
      <c r="J22" s="31" t="s">
        <v>201</v>
      </c>
      <c r="K22" s="47">
        <v>1</v>
      </c>
      <c r="L22" s="154" t="s">
        <v>51</v>
      </c>
      <c r="M22" s="155">
        <f t="shared" si="0"/>
        <v>141.50399999999999</v>
      </c>
      <c r="N22" s="156" t="str">
        <f>VLOOKUP(C22,'Trips&amp;Operators'!$C$1:$G$99999,5,FALSE)</f>
        <v>ADANE ELSHADAY</v>
      </c>
      <c r="O22" s="183" t="s">
        <v>195</v>
      </c>
      <c r="P22" s="157"/>
      <c r="Q22" s="31"/>
      <c r="R22" s="100" t="str">
        <f>VLOOKUP(C22,'Train Runs'!$A$13:$AE$9969,31,0)</f>
        <v>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 &amp; aws s3 cp s3://rtdc.mdm.uploadarchive.raw/RTDC4052/ "%USERPROFILE%\AppData\Local\Temp\OnboardLogs"\RTDC4052\2016-12-27 --exclude "*" --recursive --include "*20161227*" &amp; "%USERPROFILE%\Documents\GitHub\mrs-test-scripts\Headless Mode &amp; Sideloading\WalkAndUnGZ.bat" "%USERPROFILE%\AppData\Local\Temp\OnboardLogs"\RTDC4052\2016-12-27</v>
      </c>
      <c r="S22" s="103" t="str">
        <f>VLOOKUP(C22,'Train Runs'!$A$13:$AE$9969,22,0)</f>
        <v>https://search-rtdc-monitor-bjffxe2xuh6vdkpspy63sjmuny.us-east-1.es.amazonaws.com/_plugin/kibana/#/discover/Steve-Slow-Train-Analysis-(2080s-and-2083s)?_g=(refreshInterval:(display:Off,section:0,value:0),time:(from:'2016-12-26 13:06:52-700',mode:absolute,to:'2016-12-26 16:04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2" s="105" t="str">
        <f t="shared" si="1"/>
        <v>"C:\Program Files (x86)\AstroGrep\AstroGrep.exe" /spath="%USERPROFILE%\AppData\Local\Temp\OnboardLogs" /stypes="*4052*201612262*" /stext=" 22:.+((SYSTEM_STATE.+slice.+state.+changed )|(ment ac)|(multiple cpu faults)|(system.+state.+changed )|(\[timeout)|(PRM\|1\|D)|(kpr)|(kdp)|(\|lc)|(penalty))" /e /r /s</v>
      </c>
      <c r="U22" s="9" t="str">
        <f t="shared" si="2"/>
        <v>4052</v>
      </c>
      <c r="V22" s="36">
        <f t="shared" si="3"/>
        <v>42730.919479166667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{"issue":{"subject":"","project_id":79,"tracker_id":40,"status_id":1,"priority_id":2,"assigned_to_id":23,"start_date":"2016-12-26","description":"","custom_fields":[{"id":1,"name":"Subdivision","value":"EC"},{"id":4,"name":"Milepost","value":"0.0001"},{"id":17,"name":"Train ID","value":"180-26"},{"id":16,"name":"Locomotive ID","value":"4052"},{"id":130,"name":"Impact","value":""},{"id":150,"name":"Time of Event (Mountain Time)","value":"15:04:03"},{"id":151,"name":"Denver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"%USERPROFILE%\AppData\Local\Temp\OnboardLogs"\RTDC4052\*4052*201612262*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"%USERPROFILE%\AppData\Local\Temp\OnboardLogs"\RTDC4052\*4052*201612262* &gt;&gt; 42730-slicedisagreementcheck.txt</v>
      </c>
    </row>
    <row r="23" spans="1:30" x14ac:dyDescent="0.25">
      <c r="A23" s="36">
        <v>42730.796307870369</v>
      </c>
      <c r="B23" s="31" t="s">
        <v>381</v>
      </c>
      <c r="C23" s="31" t="s">
        <v>446</v>
      </c>
      <c r="D23" s="31" t="s">
        <v>49</v>
      </c>
      <c r="E23" s="31" t="s">
        <v>200</v>
      </c>
      <c r="F23" s="47">
        <v>0</v>
      </c>
      <c r="G23" s="47">
        <v>39</v>
      </c>
      <c r="H23" s="47">
        <v>152</v>
      </c>
      <c r="I23" s="47">
        <v>125</v>
      </c>
      <c r="J23" s="31" t="s">
        <v>201</v>
      </c>
      <c r="K23" s="47">
        <v>1</v>
      </c>
      <c r="L23" s="154" t="s">
        <v>51</v>
      </c>
      <c r="M23" s="155">
        <f t="shared" si="0"/>
        <v>65.471999999999994</v>
      </c>
      <c r="N23" s="156" t="str">
        <f>VLOOKUP(C23,'Trips&amp;Operators'!$C$1:$G$99999,5,FALSE)</f>
        <v>CRAYTON QUNTRELL</v>
      </c>
      <c r="O23" s="183" t="s">
        <v>195</v>
      </c>
      <c r="P23" s="157"/>
      <c r="Q23" s="31"/>
      <c r="R23" s="100" t="str">
        <f>VLOOKUP(C23,'Train Runs'!$A$13:$AE$9969,31,0)</f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S23" s="103" t="str">
        <f>VLOOKUP(C23,'Train Runs'!$A$13:$AE$9969,22,0)</f>
        <v>https://search-rtdc-monitor-bjffxe2xuh6vdkpspy63sjmuny.us-east-1.es.amazonaws.com/_plugin/kibana/#/discover/Steve-Slow-Train-Analysis-(2080s-and-2083s)?_g=(refreshInterval:(display:Off,section:0,value:0),time:(from:'2016-12-26 17:17:15-700',mode:absolute,to:'2016-12-26 20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3" s="105" t="str">
        <f t="shared" si="1"/>
        <v>"C:\Program Files (x86)\AstroGrep\AstroGrep.exe" /spath="%USERPROFILE%\AppData\Local\Temp\OnboardLogs" /stypes="*4030*201612270*" /stext=" 02:.+((SYSTEM_STATE.+slice.+state.+changed )|(ment ac)|(multiple cpu faults)|(system.+state.+changed )|(\[timeout)|(PRM\|1\|D)|(kpr)|(kdp)|(\|lc)|(penalty))" /e /r /s</v>
      </c>
      <c r="U23" s="9" t="str">
        <f t="shared" si="2"/>
        <v>4030</v>
      </c>
      <c r="V23" s="36">
        <f t="shared" si="3"/>
        <v>42731.087974537033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{"issue":{"subject":"","project_id":79,"tracker_id":40,"status_id":1,"priority_id":2,"assigned_to_id":23,"start_date":"2016-12-26","description":"","custom_fields":[{"id":1,"name":"Subdivision","value":"EC"},{"id":4,"name":"Milepost","value":"0.0001"},{"id":17,"name":"Train ID","value":"212-26"},{"id":16,"name":"Locomotive ID","value":"4030"},{"id":130,"name":"Impact","value":""},{"id":150,"name":"Time of Event (Mountain Time)","value":"19:06:41"},{"id":151,"name":"Denver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"%USERPROFILE%\AppData\Local\Temp\OnboardLogs"\RTDC4030\*4030*201612270*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"%USERPROFILE%\AppData\Local\Temp\OnboardLogs"\RTDC4030\*4030*201612270* &gt;&gt; 42730-slicedisagreementcheck.txt</v>
      </c>
    </row>
    <row r="24" spans="1:30" x14ac:dyDescent="0.25">
      <c r="A24" s="36">
        <v>42731.007418981484</v>
      </c>
      <c r="B24" s="31" t="s">
        <v>259</v>
      </c>
      <c r="C24" s="31" t="s">
        <v>451</v>
      </c>
      <c r="D24" s="31" t="s">
        <v>49</v>
      </c>
      <c r="E24" s="31" t="s">
        <v>200</v>
      </c>
      <c r="F24" s="47">
        <v>0</v>
      </c>
      <c r="G24" s="47">
        <v>103</v>
      </c>
      <c r="H24" s="47">
        <v>418</v>
      </c>
      <c r="I24" s="47">
        <v>291</v>
      </c>
      <c r="J24" s="31" t="s">
        <v>201</v>
      </c>
      <c r="K24" s="47">
        <v>1</v>
      </c>
      <c r="L24" s="154" t="s">
        <v>51</v>
      </c>
      <c r="M24" s="155">
        <f t="shared" si="0"/>
        <v>153.12</v>
      </c>
      <c r="N24" s="156" t="str">
        <f>VLOOKUP(C24,'Trips&amp;Operators'!$C$1:$G$99999,5,FALSE)</f>
        <v>SIMONEAUX TERA</v>
      </c>
      <c r="O24" s="183" t="s">
        <v>195</v>
      </c>
      <c r="P24" s="157"/>
      <c r="Q24" s="31"/>
      <c r="R24" s="100" t="str">
        <f>VLOOKUP(C24,'Train Runs'!$A$13:$AE$9969,31,0)</f>
        <v>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 &amp; aws s3 cp s3://rtdc.mdm.uploadarchive.raw/RTDC4045/ "%USERPROFILE%\AppData\Local\Temp\OnboardLogs"\RTDC4045\2016-12-27 --exclude "*" --recursive --include "*20161227*" &amp; "%USERPROFILE%\Documents\GitHub\mrs-test-scripts\Headless Mode &amp; Sideloading\WalkAndUnGZ.bat" "%USERPROFILE%\AppData\Local\Temp\OnboardLogs"\RTDC4045\2016-12-27</v>
      </c>
      <c r="S24" s="103" t="str">
        <f>VLOOKUP(C24,'Train Runs'!$A$13:$AE$9969,22,0)</f>
        <v>https://search-rtdc-monitor-bjffxe2xuh6vdkpspy63sjmuny.us-east-1.es.amazonaws.com/_plugin/kibana/#/discover/Steve-Slow-Train-Analysis-(2080s-and-2083s)?_g=(refreshInterval:(display:Off,section:0,value:0),time:(from:'2016-12-26 22:16:47-700',mode:absolute,to:'2016-12-27 01:10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4" s="105" t="str">
        <f t="shared" si="1"/>
        <v>"C:\Program Files (x86)\AstroGrep\AstroGrep.exe" /spath="%USERPROFILE%\AppData\Local\Temp\OnboardLogs" /stypes="*4045*201612270*" /stext=" 07:.+((SYSTEM_STATE.+slice.+state.+changed )|(ment ac)|(multiple cpu faults)|(system.+state.+changed )|(\[timeout)|(PRM\|1\|D)|(kpr)|(kdp)|(\|lc)|(penalty))" /e /r /s</v>
      </c>
      <c r="U24" s="9" t="str">
        <f t="shared" si="2"/>
        <v>4045</v>
      </c>
      <c r="V24" s="36">
        <f t="shared" si="3"/>
        <v>42731.299085648148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{"issue":{"subject":"","project_id":79,"tracker_id":40,"status_id":1,"priority_id":2,"assigned_to_id":23,"start_date":"2016-12-27","description":"","custom_fields":[{"id":1,"name":"Subdivision","value":"EC"},{"id":4,"name":"Milepost","value":"0.0001"},{"id":17,"name":"Train ID","value":"236-26"},{"id":16,"name":"Locomotive ID","value":"4045"},{"id":130,"name":"Impact","value":""},{"id":150,"name":"Time of Event (Mountain Time)","value":"00:10:41"},{"id":151,"name":"Denver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"%USERPROFILE%\AppData\Local\Temp\OnboardLogs"\RTDC4045\*4045*201612270*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"%USERPROFILE%\AppData\Local\Temp\OnboardLogs"\RTDC4045\*4045*201612270* &gt;&gt; 42730-slicedisagreementcheck.txt</v>
      </c>
    </row>
    <row r="25" spans="1:30" x14ac:dyDescent="0.25">
      <c r="A25" s="36">
        <v>42730.326608796298</v>
      </c>
      <c r="B25" s="31" t="s">
        <v>292</v>
      </c>
      <c r="C25" s="31" t="s">
        <v>427</v>
      </c>
      <c r="D25" s="31" t="s">
        <v>49</v>
      </c>
      <c r="E25" s="31" t="s">
        <v>200</v>
      </c>
      <c r="F25" s="47">
        <v>0</v>
      </c>
      <c r="G25" s="47">
        <v>148</v>
      </c>
      <c r="H25" s="47">
        <v>232447</v>
      </c>
      <c r="I25" s="47">
        <v>232651</v>
      </c>
      <c r="J25" s="31" t="s">
        <v>201</v>
      </c>
      <c r="K25" s="47">
        <v>233491</v>
      </c>
      <c r="L25" s="154" t="s">
        <v>50</v>
      </c>
      <c r="M25" s="155">
        <f t="shared" si="0"/>
        <v>443.52</v>
      </c>
      <c r="N25" s="156" t="str">
        <f>VLOOKUP(C25,'Trips&amp;Operators'!$C$1:$G$99999,5,FALSE)</f>
        <v>ROBINSON KADDIBA</v>
      </c>
      <c r="O25" s="183" t="s">
        <v>195</v>
      </c>
      <c r="P25" s="157"/>
      <c r="Q25" s="31"/>
      <c r="R25" s="100" t="str">
        <f>VLOOKUP(C25,'Train Runs'!$A$13:$AE$9969,31,0)</f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S25" s="103" t="str">
        <f>VLOOKUP(C25,'Train Runs'!$A$13:$AE$9969,22,0)</f>
        <v>https://search-rtdc-monitor-bjffxe2xuh6vdkpspy63sjmuny.us-east-1.es.amazonaws.com/_plugin/kibana/#/discover/Steve-Slow-Train-Analysis-(2080s-and-2083s)?_g=(refreshInterval:(display:Off,section:0,value:0),time:(from:'2016-12-26 06:11:17-700',mode:absolute,to:'2016-12-26 08:50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5" s="105" t="str">
        <f t="shared" si="1"/>
        <v>"C:\Program Files (x86)\AstroGrep\AstroGrep.exe" /spath="%USERPROFILE%\AppData\Local\Temp\OnboardLogs" /stypes="*4031*201612261*" /stext=" 14:.+((SYSTEM_STATE.+slice.+state.+changed )|(ment ac)|(multiple cpu faults)|(system.+state.+changed )|(\[timeout)|(PRM\|1\|D)|(kpr)|(kdp)|(\|lc)|(penalty))" /e /r /s</v>
      </c>
      <c r="U25" s="9" t="str">
        <f t="shared" si="2"/>
        <v>4031</v>
      </c>
      <c r="V25" s="36">
        <f t="shared" si="3"/>
        <v>42730.618275462963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{"issue":{"subject":"","project_id":79,"tracker_id":40,"status_id":1,"priority_id":2,"assigned_to_id":23,"start_date":"2016-12-26","description":"","custom_fields":[{"id":1,"name":"Subdivision","value":"EC"},{"id":4,"name":"Milepost","value":"23.3491"},{"id":17,"name":"Train ID","value":"129-26"},{"id":16,"name":"Locomotive ID","value":"4031"},{"id":130,"name":"Impact","value":""},{"id":150,"name":"Time of Event (Mountain Time)","value":"07:50:19"},{"id":151,"name":"Denver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"%USERPROFILE%\AppData\Local\Temp\OnboardLogs"\RTDC4031\*4031*201612261*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"%USERPROFILE%\AppData\Local\Temp\OnboardLogs"\RTDC4031\*4031*201612261* &gt;&gt; 42730-slicedisagreementcheck.txt</v>
      </c>
    </row>
    <row r="26" spans="1:30" x14ac:dyDescent="0.25">
      <c r="A26" s="36">
        <v>42730.545925925922</v>
      </c>
      <c r="B26" s="31" t="s">
        <v>292</v>
      </c>
      <c r="C26" s="31" t="s">
        <v>436</v>
      </c>
      <c r="D26" s="31" t="s">
        <v>49</v>
      </c>
      <c r="E26" s="31" t="s">
        <v>200</v>
      </c>
      <c r="F26" s="47">
        <v>0</v>
      </c>
      <c r="G26" s="47">
        <v>86</v>
      </c>
      <c r="H26" s="47">
        <v>233149</v>
      </c>
      <c r="I26" s="47">
        <v>233238</v>
      </c>
      <c r="J26" s="31" t="s">
        <v>201</v>
      </c>
      <c r="K26" s="47">
        <v>233491</v>
      </c>
      <c r="L26" s="154" t="s">
        <v>50</v>
      </c>
      <c r="M26" s="155">
        <f t="shared" si="0"/>
        <v>133.584</v>
      </c>
      <c r="N26" s="156" t="str">
        <f>VLOOKUP(C26,'Trips&amp;Operators'!$C$1:$G$99999,5,FALSE)</f>
        <v>KILLION DAVID</v>
      </c>
      <c r="O26" s="183" t="s">
        <v>195</v>
      </c>
      <c r="P26" s="157"/>
      <c r="Q26" s="31"/>
      <c r="R26" s="100" t="str">
        <f>VLOOKUP(C26,'Train Runs'!$A$13:$AE$9969,31,0)</f>
        <v>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 &amp; aws s3 cp s3://rtdc.mdm.uploadarchive.raw/RTDC4031/ "%USERPROFILE%\AppData\Local\Temp\OnboardLogs"\RTDC4031\2016-12-27 --exclude "*" --recursive --include "*20161227*" &amp; "%USERPROFILE%\Documents\GitHub\mrs-test-scripts\Headless Mode &amp; Sideloading\WalkAndUnGZ.bat" "%USERPROFILE%\AppData\Local\Temp\OnboardLogs"\RTDC4031\2016-12-27</v>
      </c>
      <c r="S26" s="103" t="str">
        <f>VLOOKUP(C26,'Train Runs'!$A$13:$AE$9969,22,0)</f>
        <v>https://search-rtdc-monitor-bjffxe2xuh6vdkpspy63sjmuny.us-east-1.es.amazonaws.com/_plugin/kibana/#/discover/Steve-Slow-Train-Analysis-(2080s-and-2083s)?_g=(refreshInterval:(display:Off,section:0,value:0),time:(from:'2016-12-26 11:22:23-700',mode:absolute,to:'2016-12-26 14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6" s="105" t="str">
        <f t="shared" si="1"/>
        <v>"C:\Program Files (x86)\AstroGrep\AstroGrep.exe" /spath="%USERPROFILE%\AppData\Local\Temp\OnboardLogs" /stypes="*4031*201612262*" /stext=" 20:.+((SYSTEM_STATE.+slice.+state.+changed )|(ment ac)|(multiple cpu faults)|(system.+state.+changed )|(\[timeout)|(PRM\|1\|D)|(kpr)|(kdp)|(\|lc)|(penalty))" /e /r /s</v>
      </c>
      <c r="U26" s="9" t="str">
        <f t="shared" si="2"/>
        <v>4031</v>
      </c>
      <c r="V26" s="36">
        <f t="shared" si="3"/>
        <v>42730.837592592587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{"issue":{"subject":"","project_id":79,"tracker_id":40,"status_id":1,"priority_id":2,"assigned_to_id":23,"start_date":"2016-12-26","description":"","custom_fields":[{"id":1,"name":"Subdivision","value":"EC"},{"id":4,"name":"Milepost","value":"23.3491"},{"id":17,"name":"Train ID","value":"171-26"},{"id":16,"name":"Locomotive ID","value":"4031"},{"id":130,"name":"Impact","value":""},{"id":150,"name":"Time of Event (Mountain Time)","value":"13:06:08"},{"id":151,"name":"Denver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"%USERPROFILE%\AppData\Local\Temp\OnboardLogs"\RTDC4031\*4031*201612262*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"%USERPROFILE%\AppData\Local\Temp\OnboardLogs"\RTDC4031\*4031*201612262* &gt;&gt; 42730-slicedisagreementcheck.txt</v>
      </c>
    </row>
    <row r="27" spans="1:30" x14ac:dyDescent="0.25">
      <c r="A27" s="36">
        <v>42730.660416666666</v>
      </c>
      <c r="B27" s="31" t="s">
        <v>154</v>
      </c>
      <c r="C27" s="31" t="s">
        <v>439</v>
      </c>
      <c r="D27" s="31" t="s">
        <v>49</v>
      </c>
      <c r="E27" s="31" t="s">
        <v>200</v>
      </c>
      <c r="F27" s="47">
        <v>0</v>
      </c>
      <c r="G27" s="47">
        <v>73</v>
      </c>
      <c r="H27" s="47">
        <v>233189</v>
      </c>
      <c r="I27" s="47">
        <v>233264</v>
      </c>
      <c r="J27" s="31" t="s">
        <v>201</v>
      </c>
      <c r="K27" s="47">
        <v>233491</v>
      </c>
      <c r="L27" s="154" t="s">
        <v>50</v>
      </c>
      <c r="M27" s="155">
        <f t="shared" si="0"/>
        <v>119.85599999999999</v>
      </c>
      <c r="N27" s="156" t="str">
        <f>VLOOKUP(C27,'Trips&amp;Operators'!$C$1:$G$99999,5,FALSE)</f>
        <v>ADANE ELSHADAY</v>
      </c>
      <c r="O27" s="183" t="s">
        <v>195</v>
      </c>
      <c r="P27" s="157"/>
      <c r="Q27" s="31"/>
      <c r="R27" s="100" t="str">
        <f>VLOOKUP(C27,'Train Runs'!$A$13:$AE$9969,31,0)</f>
        <v>aws s3 cp s3://rtdc.mdm.uploadarchive.raw/RTDC4051/ "%USERPROFILE%\AppData\Local\Temp\OnboardLogs"\RTDC4051\2016-12-26 --exclude "*" --recursive --include "*20161226*" &amp; "%USERPROFILE%\Documents\GitHub\mrs-test-scripts\Headless Mode &amp; Sideloading\WalkAndUnGZ.bat" "%USERPROFILE%\AppData\Local\Temp\OnboardLogs"\RTDC4051\2016-12-26 &amp; aws s3 cp s3://rtdc.mdm.uploadarchive.raw/RTDC4051/ "%USERPROFILE%\AppData\Local\Temp\OnboardLogs"\RTDC4051\2016-12-27 --exclude "*" --recursive --include "*20161227*" &amp; "%USERPROFILE%\Documents\GitHub\mrs-test-scripts\Headless Mode &amp; Sideloading\WalkAndUnGZ.bat" "%USERPROFILE%\AppData\Local\Temp\OnboardLogs"\RTDC4051\2016-12-27</v>
      </c>
      <c r="S27" s="103" t="str">
        <f>VLOOKUP(C27,'Train Runs'!$A$13:$AE$9969,22,0)</f>
        <v>https://search-rtdc-monitor-bjffxe2xuh6vdkpspy63sjmuny.us-east-1.es.amazonaws.com/_plugin/kibana/#/discover/Steve-Slow-Train-Analysis-(2080s-and-2083s)?_g=(refreshInterval:(display:Off,section:0,value:0),time:(from:'2016-12-26 14:09:20-700',mode:absolute,to:'2016-12-26 16:50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27" s="105" t="str">
        <f t="shared" si="1"/>
        <v>"C:\Program Files (x86)\AstroGrep\AstroGrep.exe" /spath="%USERPROFILE%\AppData\Local\Temp\OnboardLogs" /stypes="*4051*201612262*" /stext=" 22:.+((SYSTEM_STATE.+slice.+state.+changed )|(ment ac)|(multiple cpu faults)|(system.+state.+changed )|(\[timeout)|(PRM\|1\|D)|(kpr)|(kdp)|(\|lc)|(penalty))" /e /r /s</v>
      </c>
      <c r="U27" s="9" t="str">
        <f t="shared" si="2"/>
        <v>4051</v>
      </c>
      <c r="V27" s="36">
        <f t="shared" si="3"/>
        <v>42730.95208333333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{"issue":{"subject":"","project_id":79,"tracker_id":40,"status_id":1,"priority_id":2,"assigned_to_id":23,"start_date":"2016-12-26","description":"","custom_fields":[{"id":1,"name":"Subdivision","value":"EC"},{"id":4,"name":"Milepost","value":"23.3491"},{"id":17,"name":"Train ID","value":"193-26"},{"id":16,"name":"Locomotive ID","value":"4051"},{"id":130,"name":"Impact","value":""},{"id":150,"name":"Time of Event (Mountain Time)","value":"15:51:00"},{"id":151,"name":"Denver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"%USERPROFILE%\AppData\Local\Temp\OnboardLogs"\RTDC4051\*4051*201612262*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"%USERPROFILE%\AppData\Local\Temp\OnboardLogs"\RTDC4051\*4051*201612262* &gt;&gt; 42730-slicedisagreementcheck.txt</v>
      </c>
    </row>
    <row r="28" spans="1:30" ht="15" customHeight="1" x14ac:dyDescent="0.25">
      <c r="A28" s="36">
        <v>42730.857986111114</v>
      </c>
      <c r="B28" s="31" t="s">
        <v>344</v>
      </c>
      <c r="C28" s="31" t="s">
        <v>447</v>
      </c>
      <c r="D28" s="31" t="s">
        <v>49</v>
      </c>
      <c r="E28" s="31" t="s">
        <v>200</v>
      </c>
      <c r="F28" s="47">
        <v>0</v>
      </c>
      <c r="G28" s="47">
        <v>34</v>
      </c>
      <c r="H28" s="47">
        <v>233393</v>
      </c>
      <c r="I28" s="47">
        <v>233419</v>
      </c>
      <c r="J28" s="31" t="s">
        <v>201</v>
      </c>
      <c r="K28" s="47">
        <v>233491</v>
      </c>
      <c r="L28" s="154" t="s">
        <v>50</v>
      </c>
      <c r="M28" s="155">
        <f t="shared" si="0"/>
        <v>38.015999999999998</v>
      </c>
      <c r="N28" s="156" t="str">
        <f>VLOOKUP(C28,'Trips&amp;Operators'!$C$1:$G$99999,5,FALSE)</f>
        <v>STAMBAUGH JAMES</v>
      </c>
      <c r="O28" s="183" t="s">
        <v>195</v>
      </c>
      <c r="P28" s="157"/>
      <c r="Q28" s="31"/>
      <c r="R28" s="100" t="str">
        <f>VLOOKUP(C28,'Train Runs'!$A$13:$AE$9969,31,0)</f>
        <v>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 &amp; aws s3 cp s3://rtdc.mdm.uploadarchive.raw/RTDC4025/ "%USERPROFILE%\AppData\Local\Temp\OnboardLogs"\RTDC4025\2016-12-27 --exclude "*" --recursive --include "*20161227*" &amp; "%USERPROFILE%\Documents\GitHub\mrs-test-scripts\Headless Mode &amp; Sideloading\WalkAndUnGZ.bat" "%USERPROFILE%\AppData\Local\Temp\OnboardLogs"\RTDC4025\2016-12-27</v>
      </c>
      <c r="S28" s="103" t="str">
        <f>VLOOKUP(C28,'Train Runs'!$A$13:$AE$9969,22,0)</f>
        <v>https://search-rtdc-monitor-bjffxe2xuh6vdkpspy63sjmuny.us-east-1.es.amazonaws.com/_plugin/kibana/#/discover/Steve-Slow-Train-Analysis-(2080s-and-2083s)?_g=(refreshInterval:(display:Off,section:0,value:0),time:(from:'2016-12-26 18:55:41-700',mode:absolute,to:'2016-12-26 21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8" s="105" t="str">
        <f t="shared" si="1"/>
        <v>"C:\Program Files (x86)\AstroGrep\AstroGrep.exe" /spath="%USERPROFILE%\AppData\Local\Temp\OnboardLogs" /stypes="*4025*201612270*" /stext=" 03:.+((SYSTEM_STATE.+slice.+state.+changed )|(ment ac)|(multiple cpu faults)|(system.+state.+changed )|(\[timeout)|(PRM\|1\|D)|(kpr)|(kdp)|(\|lc)|(penalty))" /e /r /s</v>
      </c>
      <c r="U28" s="9" t="str">
        <f t="shared" si="2"/>
        <v>4025</v>
      </c>
      <c r="V28" s="36">
        <f t="shared" si="3"/>
        <v>42731.149652777778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{"issue":{"subject":"","project_id":79,"tracker_id":40,"status_id":1,"priority_id":2,"assigned_to_id":23,"start_date":"2016-12-26","description":"","custom_fields":[{"id":1,"name":"Subdivision","value":"EC"},{"id":4,"name":"Milepost","value":"23.3491"},{"id":17,"name":"Train ID","value":"225-26"},{"id":16,"name":"Locomotive ID","value":"4025"},{"id":130,"name":"Impact","value":""},{"id":150,"name":"Time of Event (Mountain Time)","value":"20:35:30"},{"id":151,"name":"Denver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"%USERPROFILE%\AppData\Local\Temp\OnboardLogs"\RTDC4025\*4025*201612270*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"%USERPROFILE%\AppData\Local\Temp\OnboardLogs"\RTDC4025\*4025*201612270* &gt;&gt; 42730-slicedisagreementcheck.txt</v>
      </c>
    </row>
    <row r="29" spans="1:30" ht="15" customHeight="1" x14ac:dyDescent="0.25">
      <c r="A29" s="36">
        <v>42730.743668981479</v>
      </c>
      <c r="B29" s="31" t="s">
        <v>443</v>
      </c>
      <c r="C29" s="31" t="s">
        <v>444</v>
      </c>
      <c r="D29" s="31" t="s">
        <v>49</v>
      </c>
      <c r="E29" s="31" t="s">
        <v>246</v>
      </c>
      <c r="F29" s="47">
        <v>320</v>
      </c>
      <c r="G29" s="47">
        <v>468</v>
      </c>
      <c r="H29" s="47">
        <v>17755</v>
      </c>
      <c r="I29" s="47">
        <v>15926</v>
      </c>
      <c r="J29" s="31" t="s">
        <v>247</v>
      </c>
      <c r="K29" s="47">
        <v>15777</v>
      </c>
      <c r="L29" s="154" t="s">
        <v>51</v>
      </c>
      <c r="M29" s="155">
        <f t="shared" si="0"/>
        <v>78.671999999999997</v>
      </c>
      <c r="N29" s="156" t="str">
        <f>VLOOKUP(C29,'Trips&amp;Operators'!$C$1:$G$99999,5,FALSE)</f>
        <v>ROMERO CHAD</v>
      </c>
      <c r="O29" s="183" t="s">
        <v>227</v>
      </c>
      <c r="P29" s="157" t="s">
        <v>819</v>
      </c>
      <c r="Q29" s="31"/>
      <c r="R29" s="100" t="str">
        <f>VLOOKUP(C29,'Train Runs'!$A$13:$AE$9969,31,0)</f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S29" s="103" t="str">
        <f>VLOOKUP(C29,'Train Runs'!$A$13:$AE$9969,22,0)</f>
        <v>https://search-rtdc-monitor-bjffxe2xuh6vdkpspy63sjmuny.us-east-1.es.amazonaws.com/_plugin/kibana/#/discover/Steve-Slow-Train-Analysis-(2080s-and-2083s)?_g=(refreshInterval:(display:Off,section:0,value:0),time:(from:'2016-12-26 16:36:05-700',mode:absolute,to:'2016-12-26 18:56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9" s="105" t="str">
        <f t="shared" si="1"/>
        <v>"C:\Program Files (x86)\AstroGrep\AstroGrep.exe" /spath="%USERPROFILE%\AppData\Local\Temp\OnboardLogs" /stypes="*4001*201612270*" /stext=" 00:.+((SYSTEM_STATE.+slice.+state.+changed )|(ment ac)|(multiple cpu faults)|(system.+state.+changed )|(\[timeout)|(PRM\|1\|D)|(kpr)|(kdp)|(\|lc)|(penalty))" /e /r /s</v>
      </c>
      <c r="U29" s="9" t="str">
        <f t="shared" si="2"/>
        <v>4001</v>
      </c>
      <c r="V29" s="36">
        <f t="shared" si="3"/>
        <v>42731.035335648143</v>
      </c>
      <c r="W29" s="50" t="str">
        <f t="shared" si="4"/>
        <v>NW</v>
      </c>
      <c r="X29" s="50" t="str">
        <f t="shared" si="5"/>
        <v>KEEP</v>
      </c>
      <c r="Y29" s="119" t="str">
        <f t="shared" si="6"/>
        <v>echo {"issue":{"subject":"Early arrival (41st)","project_id":79,"tracker_id":40,"status_id":1,"priority_id":2,"assigned_to_id":23,"start_date":"2016-12-26","description":"","custom_fields":[{"id":1,"name":"Subdivision","value":"NW"},{"id":4,"name":"Milepost","value":"1.5777"},{"id":17,"name":"Train ID","value":"834-26"},{"id":16,"name":"Locomotive ID","value":"4001"},{"id":130,"name":"Impact","value":""},{"id":150,"name":"Time of Event (Mountain Time)","value":"17:50:53"},{"id":151,"name":"Denver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"%USERPROFILE%\AppData\Local\Temp\OnboardLogs"\RTDC4001\*4001*201612270*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"%USERPROFILE%\AppData\Local\Temp\OnboardLogs"\RTDC4001\*4001*201612270* &gt;&gt; 42730-slicedisagreementcheck.txt</v>
      </c>
    </row>
    <row r="30" spans="1:30" x14ac:dyDescent="0.25">
      <c r="A30" s="36">
        <v>42730.869259259256</v>
      </c>
      <c r="B30" s="31" t="s">
        <v>443</v>
      </c>
      <c r="C30" s="31" t="s">
        <v>448</v>
      </c>
      <c r="D30" s="31" t="s">
        <v>49</v>
      </c>
      <c r="E30" s="31" t="s">
        <v>196</v>
      </c>
      <c r="F30" s="47">
        <v>200</v>
      </c>
      <c r="G30" s="47">
        <v>258</v>
      </c>
      <c r="H30" s="47">
        <v>6421</v>
      </c>
      <c r="I30" s="47">
        <v>5735</v>
      </c>
      <c r="J30" s="31" t="s">
        <v>197</v>
      </c>
      <c r="K30" s="47">
        <v>5782</v>
      </c>
      <c r="L30" s="154" t="s">
        <v>51</v>
      </c>
      <c r="M30" s="155">
        <f t="shared" si="0"/>
        <v>-24.815999999999999</v>
      </c>
      <c r="N30" s="156" t="str">
        <f>VLOOKUP(C30,'Trips&amp;Operators'!$C$1:$G$99999,5,FALSE)</f>
        <v>ROMERO CHAD</v>
      </c>
      <c r="O30" s="183" t="s">
        <v>195</v>
      </c>
      <c r="P30" s="157"/>
      <c r="Q30" s="31"/>
      <c r="R30" s="100" t="str">
        <f>VLOOKUP(C30,'Train Runs'!$A$13:$AE$9969,31,0)</f>
        <v>aws s3 cp s3://rtdc.mdm.uploadarchive.raw/RTDC4001/ "%USERPROFILE%\AppData\Local\Temp\OnboardLogs"\RTDC4001\2016-12-26 --exclude "*" --recursive --include "*20161226*" &amp; "%USERPROFILE%\Documents\GitHub\mrs-test-scripts\Headless Mode &amp; Sideloading\WalkAndUnGZ.bat" "%USERPROFILE%\AppData\Local\Temp\OnboardLogs"\RTDC4001\2016-12-26 &amp; aws s3 cp s3://rtdc.mdm.uploadarchive.raw/RTDC4001/ "%USERPROFILE%\AppData\Local\Temp\OnboardLogs"\RTDC4001\2016-12-27 --exclude "*" --recursive --include "*20161227*" &amp; "%USERPROFILE%\Documents\GitHub\mrs-test-scripts\Headless Mode &amp; Sideloading\WalkAndUnGZ.bat" "%USERPROFILE%\AppData\Local\Temp\OnboardLogs"\RTDC4001\2016-12-27</v>
      </c>
      <c r="S30" s="103" t="str">
        <f>VLOOKUP(C30,'Train Runs'!$A$13:$AE$9969,22,0)</f>
        <v>https://search-rtdc-monitor-bjffxe2xuh6vdkpspy63sjmuny.us-east-1.es.amazonaws.com/_plugin/kibana/#/discover/Steve-Slow-Train-Analysis-(2080s-and-2083s)?_g=(refreshInterval:(display:Off,section:0,value:0),time:(from:'2016-12-26 19:36:29-700',mode:absolute,to:'2016-12-26 21:54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0" s="105" t="str">
        <f t="shared" si="1"/>
        <v>"C:\Program Files (x86)\AstroGrep\AstroGrep.exe" /spath="%USERPROFILE%\AppData\Local\Temp\OnboardLogs" /stypes="*4001*201612270*" /stext=" 03:.+((SYSTEM_STATE.+slice.+state.+changed )|(ment ac)|(multiple cpu faults)|(system.+state.+changed )|(\[timeout)|(PRM\|1\|D)|(kpr)|(kdp)|(\|lc)|(penalty))" /e /r /s</v>
      </c>
      <c r="U30" s="9" t="str">
        <f t="shared" si="2"/>
        <v>4001</v>
      </c>
      <c r="V30" s="36">
        <f t="shared" si="3"/>
        <v>42731.16092592592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{"issue":{"subject":"","project_id":79,"tracker_id":40,"status_id":1,"priority_id":2,"assigned_to_id":23,"start_date":"2016-12-26","description":"","custom_fields":[{"id":1,"name":"Subdivision","value":"NW"},{"id":4,"name":"Milepost","value":"0.5782"},{"id":17,"name":"Train ID","value":"842-26"},{"id":16,"name":"Locomotive ID","value":"4001"},{"id":130,"name":"Impact","value":""},{"id":150,"name":"Time of Event (Mountain Time)","value":"20:51:44"},{"id":151,"name":"Denver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"%USERPROFILE%\AppData\Local\Temp\OnboardLogs"\RTDC4001\*4001*201612270*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"%USERPROFILE%\AppData\Local\Temp\OnboardLogs"\RTDC4001\*4001*201612270* &gt;&gt; 42730-slicedisagreementcheck.txt</v>
      </c>
    </row>
    <row r="31" spans="1:30" x14ac:dyDescent="0.25">
      <c r="A31" s="36">
        <v>42730.226689814815</v>
      </c>
      <c r="B31" s="31" t="s">
        <v>271</v>
      </c>
      <c r="C31" s="31" t="s">
        <v>418</v>
      </c>
      <c r="D31" s="31" t="s">
        <v>49</v>
      </c>
      <c r="E31" s="31" t="s">
        <v>198</v>
      </c>
      <c r="F31" s="47">
        <v>0</v>
      </c>
      <c r="G31" s="47">
        <v>91</v>
      </c>
      <c r="H31" s="47">
        <v>11034</v>
      </c>
      <c r="I31" s="47">
        <v>10895</v>
      </c>
      <c r="J31" s="31" t="s">
        <v>199</v>
      </c>
      <c r="K31" s="47">
        <v>11016</v>
      </c>
      <c r="L31" s="154" t="s">
        <v>51</v>
      </c>
      <c r="M31" s="155">
        <f t="shared" si="0"/>
        <v>-63.887999999999998</v>
      </c>
      <c r="N31" s="156" t="str">
        <f>VLOOKUP(C31,'Trips&amp;Operators'!$C$1:$G$99999,5,FALSE)</f>
        <v>DAVIS WENDY</v>
      </c>
      <c r="O31" s="183" t="s">
        <v>227</v>
      </c>
      <c r="P31" s="157" t="s">
        <v>820</v>
      </c>
      <c r="Q31" s="31"/>
      <c r="R31" s="100" t="str">
        <f>VLOOKUP(C31,'Train Runs'!$A$13:$AE$9969,31,0)</f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S31" s="103" t="str">
        <f>VLOOKUP(C31,'Train Runs'!$A$13:$AE$9969,22,0)</f>
        <v>https://search-rtdc-monitor-bjffxe2xuh6vdkpspy63sjmuny.us-east-1.es.amazonaws.com/_plugin/kibana/#/discover/Steve-Slow-Train-Analysis-(2080s-and-2083s)?_g=(refreshInterval:(display:Off,section:0,value:0),time:(from:'2016-12-26 04:14:45-700',mode:absolute,to:'2016-12-26 06:31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1" s="105" t="str">
        <f t="shared" si="1"/>
        <v>"C:\Program Files (x86)\AstroGrep\AstroGrep.exe" /spath="%USERPROFILE%\AppData\Local\Temp\OnboardLogs" /stypes="*4004*201612261*" /stext=" 12:.+((SYSTEM_STATE.+slice.+state.+changed )|(ment ac)|(multiple cpu faults)|(system.+state.+changed )|(\[timeout)|(PRM\|1\|D)|(kpr)|(kdp)|(\|lc)|(penalty))" /e /r /s</v>
      </c>
      <c r="U31" s="9" t="str">
        <f t="shared" si="2"/>
        <v>4004</v>
      </c>
      <c r="V31" s="36">
        <f t="shared" si="3"/>
        <v>42730.51835648148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{"issue":{"subject":"Poor GPS under I-25","project_id":79,"tracker_id":40,"status_id":1,"priority_id":2,"assigned_to_id":23,"start_date":"2016-12-26","description":"","custom_fields":[{"id":1,"name":"Subdivision","value":"NW"},{"id":4,"name":"Milepost","value":"1.1016"},{"id":17,"name":"Train ID","value":"800-26"},{"id":16,"name":"Locomotive ID","value":"4004"},{"id":130,"name":"Impact","value":""},{"id":150,"name":"Time of Event (Mountain Time)","value":"05:26:26"},{"id":151,"name":"Denver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"%USERPROFILE%\AppData\Local\Temp\OnboardLogs"\RTDC4004\*4004*201612261*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"%USERPROFILE%\AppData\Local\Temp\OnboardLogs"\RTDC4004\*4004*201612261* &gt;&gt; 42730-slicedisagreementcheck.txt</v>
      </c>
    </row>
    <row r="32" spans="1:30" x14ac:dyDescent="0.25">
      <c r="A32" s="36">
        <v>42730.268692129626</v>
      </c>
      <c r="B32" s="31" t="s">
        <v>271</v>
      </c>
      <c r="C32" s="31" t="s">
        <v>420</v>
      </c>
      <c r="D32" s="31" t="s">
        <v>49</v>
      </c>
      <c r="E32" s="31" t="s">
        <v>200</v>
      </c>
      <c r="F32" s="47">
        <v>0</v>
      </c>
      <c r="G32" s="47">
        <v>20</v>
      </c>
      <c r="H32" s="47">
        <v>617</v>
      </c>
      <c r="I32" s="47">
        <v>598</v>
      </c>
      <c r="J32" s="31" t="s">
        <v>201</v>
      </c>
      <c r="K32" s="47">
        <v>575</v>
      </c>
      <c r="L32" s="154" t="s">
        <v>51</v>
      </c>
      <c r="M32" s="155">
        <f t="shared" si="0"/>
        <v>12.144</v>
      </c>
      <c r="N32" s="156" t="str">
        <f>VLOOKUP(C32,'Trips&amp;Operators'!$C$1:$G$99999,5,FALSE)</f>
        <v>DAVIS WENDY</v>
      </c>
      <c r="O32" s="183" t="s">
        <v>195</v>
      </c>
      <c r="P32" s="157"/>
      <c r="Q32" s="31"/>
      <c r="R32" s="100" t="str">
        <f>VLOOKUP(C32,'Train Runs'!$A$13:$AE$9969,31,0)</f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S32" s="103" t="str">
        <f>VLOOKUP(C32,'Train Runs'!$A$13:$AE$9969,22,0)</f>
        <v>https://search-rtdc-monitor-bjffxe2xuh6vdkpspy63sjmuny.us-east-1.es.amazonaws.com/_plugin/kibana/#/discover/Steve-Slow-Train-Analysis-(2080s-and-2083s)?_g=(refreshInterval:(display:Off,section:0,value:0),time:(from:'2016-12-26 05:07:32-700',mode:absolute,to:'2016-12-26 07:26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2" s="105" t="str">
        <f t="shared" si="1"/>
        <v>"C:\Program Files (x86)\AstroGrep\AstroGrep.exe" /spath="%USERPROFILE%\AppData\Local\Temp\OnboardLogs" /stypes="*4004*201612261*" /stext=" 13:.+((SYSTEM_STATE.+slice.+state.+changed )|(ment ac)|(multiple cpu faults)|(system.+state.+changed )|(\[timeout)|(PRM\|1\|D)|(kpr)|(kdp)|(\|lc)|(penalty))" /e /r /s</v>
      </c>
      <c r="U32" s="9" t="str">
        <f t="shared" si="2"/>
        <v>4004</v>
      </c>
      <c r="V32" s="36">
        <f t="shared" si="3"/>
        <v>42730.560358796291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{"issue":{"subject":"","project_id":79,"tracker_id":40,"status_id":1,"priority_id":2,"assigned_to_id":23,"start_date":"2016-12-26","description":"","custom_fields":[{"id":1,"name":"Subdivision","value":"NW"},{"id":4,"name":"Milepost","value":"0.0575"},{"id":17,"name":"Train ID","value":"802-26"},{"id":16,"name":"Locomotive ID","value":"4004"},{"id":130,"name":"Impact","value":""},{"id":150,"name":"Time of Event (Mountain Time)","value":"06:26:55"},{"id":151,"name":"Denver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"%USERPROFILE%\AppData\Local\Temp\OnboardLogs"\RTDC4004\*4004*201612261*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"%USERPROFILE%\AppData\Local\Temp\OnboardLogs"\RTDC4004\*4004*201612261* &gt;&gt; 42730-slicedisagreementcheck.txt</v>
      </c>
    </row>
    <row r="33" spans="1:30" x14ac:dyDescent="0.25">
      <c r="A33" s="36">
        <v>42730.310104166667</v>
      </c>
      <c r="B33" s="31" t="s">
        <v>271</v>
      </c>
      <c r="C33" s="31" t="s">
        <v>426</v>
      </c>
      <c r="D33" s="31" t="s">
        <v>49</v>
      </c>
      <c r="E33" s="31" t="s">
        <v>200</v>
      </c>
      <c r="F33" s="47">
        <v>0</v>
      </c>
      <c r="G33" s="47">
        <v>16</v>
      </c>
      <c r="H33" s="47">
        <v>612</v>
      </c>
      <c r="I33" s="47">
        <v>605</v>
      </c>
      <c r="J33" s="31" t="s">
        <v>201</v>
      </c>
      <c r="K33" s="47">
        <v>575</v>
      </c>
      <c r="L33" s="154" t="s">
        <v>51</v>
      </c>
      <c r="M33" s="155">
        <f t="shared" si="0"/>
        <v>15.84</v>
      </c>
      <c r="N33" s="156" t="str">
        <f>VLOOKUP(C33,'Trips&amp;Operators'!$C$1:$G$99999,5,FALSE)</f>
        <v>DAVIS WENDY</v>
      </c>
      <c r="O33" s="183" t="s">
        <v>195</v>
      </c>
      <c r="P33" s="157"/>
      <c r="Q33" s="31"/>
      <c r="R33" s="100" t="str">
        <f>VLOOKUP(C33,'Train Runs'!$A$13:$AE$9969,31,0)</f>
        <v>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 &amp; aws s3 cp s3://rtdc.mdm.uploadarchive.raw/RTDC4004/ "%USERPROFILE%\AppData\Local\Temp\OnboardLogs"\RTDC4004\2016-12-27 --exclude "*" --recursive --include "*20161227*" &amp; "%USERPROFILE%\Documents\GitHub\mrs-test-scripts\Headless Mode &amp; Sideloading\WalkAndUnGZ.bat" "%USERPROFILE%\AppData\Local\Temp\OnboardLogs"\RTDC4004\2016-12-27</v>
      </c>
      <c r="S33" s="103" t="str">
        <f>VLOOKUP(C33,'Train Runs'!$A$13:$AE$9969,22,0)</f>
        <v>https://search-rtdc-monitor-bjffxe2xuh6vdkpspy63sjmuny.us-east-1.es.amazonaws.com/_plugin/kibana/#/discover/Steve-Slow-Train-Analysis-(2080s-and-2083s)?_g=(refreshInterval:(display:Off,section:0,value:0),time:(from:'2016-12-26 06:07:23-700',mode:absolute,to:'2016-12-26 08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3" s="105" t="str">
        <f t="shared" si="1"/>
        <v>"C:\Program Files (x86)\AstroGrep\AstroGrep.exe" /spath="%USERPROFILE%\AppData\Local\Temp\OnboardLogs" /stypes="*4004*201612261*" /stext=" 14:.+((SYSTEM_STATE.+slice.+state.+changed )|(ment ac)|(multiple cpu faults)|(system.+state.+changed )|(\[timeout)|(PRM\|1\|D)|(kpr)|(kdp)|(\|lc)|(penalty))" /e /r /s</v>
      </c>
      <c r="U33" s="9" t="str">
        <f t="shared" si="2"/>
        <v>4004</v>
      </c>
      <c r="V33" s="36">
        <f t="shared" si="3"/>
        <v>42730.601770833331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{"issue":{"subject":"","project_id":79,"tracker_id":40,"status_id":1,"priority_id":2,"assigned_to_id":23,"start_date":"2016-12-26","description":"","custom_fields":[{"id":1,"name":"Subdivision","value":"NW"},{"id":4,"name":"Milepost","value":"0.0575"},{"id":17,"name":"Train ID","value":"806-26"},{"id":16,"name":"Locomotive ID","value":"4004"},{"id":130,"name":"Impact","value":""},{"id":150,"name":"Time of Event (Mountain Time)","value":"07:26:33"},{"id":151,"name":"Denver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"%USERPROFILE%\AppData\Local\Temp\OnboardLogs"\RTDC4004\*4004*201612261*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"%USERPROFILE%\AppData\Local\Temp\OnboardLogs"\RTDC4004\*4004*201612261* &gt;&gt; 42730-slicedisagreementcheck.txt</v>
      </c>
    </row>
    <row r="34" spans="1:30" x14ac:dyDescent="0.25">
      <c r="A34" s="36">
        <v>42730.254004629627</v>
      </c>
      <c r="B34" s="31" t="s">
        <v>272</v>
      </c>
      <c r="C34" s="31" t="s">
        <v>419</v>
      </c>
      <c r="D34" s="31" t="s">
        <v>98</v>
      </c>
      <c r="E34" s="31" t="s">
        <v>200</v>
      </c>
      <c r="F34" s="47">
        <v>0</v>
      </c>
      <c r="G34" s="47">
        <v>6</v>
      </c>
      <c r="H34" s="47">
        <v>59048</v>
      </c>
      <c r="I34" s="47">
        <v>0</v>
      </c>
      <c r="J34" s="31" t="s">
        <v>201</v>
      </c>
      <c r="K34" s="47">
        <v>59048</v>
      </c>
      <c r="L34" s="154" t="s">
        <v>50</v>
      </c>
      <c r="M34" s="155">
        <f t="shared" si="0"/>
        <v>31177.344000000001</v>
      </c>
      <c r="N34" s="156" t="str">
        <f>VLOOKUP(C34,'Trips&amp;Operators'!$C$1:$G$99999,5,FALSE)</f>
        <v>DAVIS WENDY</v>
      </c>
      <c r="O34" s="183" t="s">
        <v>195</v>
      </c>
      <c r="P34" s="157"/>
      <c r="Q34" s="31"/>
      <c r="R34" s="100" t="str">
        <f>VLOOKUP(C34,'Train Runs'!$A$13:$AE$9969,31,0)</f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S34" s="103" t="str">
        <f>VLOOKUP(C34,'Train Runs'!$A$13:$AE$9969,22,0)</f>
        <v>https://search-rtdc-monitor-bjffxe2xuh6vdkpspy63sjmuny.us-east-1.es.amazonaws.com/_plugin/kibana/#/discover/Steve-Slow-Train-Analysis-(2080s-and-2083s)?_g=(refreshInterval:(display:Off,section:0,value:0),time:(from:'2016-12-26 04:47:42-700',mode:absolute,to:'2016-12-26 07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4" s="105" t="str">
        <f t="shared" si="1"/>
        <v>"C:\Program Files (x86)\AstroGrep\AstroGrep.exe" /spath="%USERPROFILE%\AppData\Local\Temp\OnboardLogs" /stypes="*4003*201612261*" /stext=" 13:.+((SYSTEM_STATE.+slice.+state.+changed )|(ment ac)|(multiple cpu faults)|(system.+state.+changed )|(\[timeout)|(PRM\|1\|D)|(kpr)|(kdp)|(\|lc)|(penalty))" /e /r /s</v>
      </c>
      <c r="U34" s="9" t="str">
        <f t="shared" si="2"/>
        <v>4003</v>
      </c>
      <c r="V34" s="36">
        <f t="shared" si="3"/>
        <v>42730.545671296291</v>
      </c>
      <c r="W34" s="50" t="str">
        <f t="shared" si="4"/>
        <v>NW</v>
      </c>
      <c r="X34" s="50" t="str">
        <f t="shared" si="5"/>
        <v>OMIT</v>
      </c>
      <c r="Y34" s="119" t="str">
        <f t="shared" si="6"/>
        <v>echo {"issue":{"subject":"","project_id":79,"tracker_id":40,"status_id":1,"priority_id":2,"assigned_to_id":23,"start_date":"2016-12-26","description":"","custom_fields":[{"id":1,"name":"Subdivision","value":"NW"},{"id":4,"name":"Milepost","value":"5.9048"},{"id":17,"name":"Train ID","value":"801-26"},{"id":16,"name":"Locomotive ID","value":"4003"},{"id":130,"name":"Impact","value":""},{"id":150,"name":"Time of Event (Mountain Time)","value":"06:05:46"},{"id":151,"name":"Denver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"%USERPROFILE%\AppData\Local\Temp\OnboardLogs"\RTDC4003\*4003*201612261*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"%USERPROFILE%\AppData\Local\Temp\OnboardLogs"\RTDC4003\*4003*201612261* &gt;&gt; 42730-slicedisagreementcheck.txt</v>
      </c>
    </row>
    <row r="35" spans="1:30" x14ac:dyDescent="0.25">
      <c r="A35" s="36">
        <v>42730.295567129629</v>
      </c>
      <c r="B35" s="31" t="s">
        <v>272</v>
      </c>
      <c r="C35" s="31" t="s">
        <v>424</v>
      </c>
      <c r="D35" s="31" t="s">
        <v>49</v>
      </c>
      <c r="E35" s="31" t="s">
        <v>200</v>
      </c>
      <c r="F35" s="47">
        <v>0</v>
      </c>
      <c r="G35" s="47">
        <v>22</v>
      </c>
      <c r="H35" s="47">
        <v>58995</v>
      </c>
      <c r="I35" s="47">
        <v>59016</v>
      </c>
      <c r="J35" s="31" t="s">
        <v>201</v>
      </c>
      <c r="K35" s="47">
        <v>59048</v>
      </c>
      <c r="L35" s="154" t="s">
        <v>50</v>
      </c>
      <c r="M35" s="155">
        <f t="shared" si="0"/>
        <v>16.896000000000001</v>
      </c>
      <c r="N35" s="156" t="str">
        <f>VLOOKUP(C35,'Trips&amp;Operators'!$C$1:$G$99999,5,FALSE)</f>
        <v>DAVIS WENDY</v>
      </c>
      <c r="O35" s="183" t="s">
        <v>195</v>
      </c>
      <c r="P35" s="157"/>
      <c r="Q35" s="31"/>
      <c r="R35" s="100" t="str">
        <f>VLOOKUP(C35,'Train Runs'!$A$13:$AE$9969,31,0)</f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S35" s="103" t="str">
        <f>VLOOKUP(C35,'Train Runs'!$A$13:$AE$9969,22,0)</f>
        <v>https://search-rtdc-monitor-bjffxe2xuh6vdkpspy63sjmuny.us-east-1.es.amazonaws.com/_plugin/kibana/#/discover/Steve-Slow-Train-Analysis-(2080s-and-2083s)?_g=(refreshInterval:(display:Off,section:0,value:0),time:(from:'2016-12-26 05:48:10-700',mode:absolute,to:'2016-12-26 08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5" s="105" t="str">
        <f t="shared" si="1"/>
        <v>"C:\Program Files (x86)\AstroGrep\AstroGrep.exe" /spath="%USERPROFILE%\AppData\Local\Temp\OnboardLogs" /stypes="*4003*201612261*" /stext=" 14:.+((SYSTEM_STATE.+slice.+state.+changed )|(ment ac)|(multiple cpu faults)|(system.+state.+changed )|(\[timeout)|(PRM\|1\|D)|(kpr)|(kdp)|(\|lc)|(penalty))" /e /r /s</v>
      </c>
      <c r="U35" s="9" t="str">
        <f t="shared" si="2"/>
        <v>4003</v>
      </c>
      <c r="V35" s="36">
        <f t="shared" si="3"/>
        <v>42730.587233796294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{"issue":{"subject":"","project_id":79,"tracker_id":40,"status_id":1,"priority_id":2,"assigned_to_id":23,"start_date":"2016-12-26","description":"","custom_fields":[{"id":1,"name":"Subdivision","value":"NW"},{"id":4,"name":"Milepost","value":"5.9048"},{"id":17,"name":"Train ID","value":"805-26"},{"id":16,"name":"Locomotive ID","value":"4003"},{"id":130,"name":"Impact","value":""},{"id":150,"name":"Time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"%USERPROFILE%\AppData\Local\Temp\OnboardLogs"\RTDC4003\*4003*201612261*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"%USERPROFILE%\AppData\Local\Temp\OnboardLogs"\RTDC4003\*4003*201612261* &gt;&gt; 42730-slicedisagreementcheck.txt</v>
      </c>
    </row>
    <row r="36" spans="1:30" x14ac:dyDescent="0.25">
      <c r="A36" s="36">
        <v>42730.296018518522</v>
      </c>
      <c r="B36" s="31" t="s">
        <v>272</v>
      </c>
      <c r="C36" s="31" t="s">
        <v>424</v>
      </c>
      <c r="D36" s="31" t="s">
        <v>49</v>
      </c>
      <c r="E36" s="31" t="s">
        <v>200</v>
      </c>
      <c r="F36" s="47">
        <v>0</v>
      </c>
      <c r="G36" s="47">
        <v>4</v>
      </c>
      <c r="H36" s="47">
        <v>59042</v>
      </c>
      <c r="I36" s="47">
        <v>59048</v>
      </c>
      <c r="J36" s="31" t="s">
        <v>201</v>
      </c>
      <c r="K36" s="47">
        <v>59048</v>
      </c>
      <c r="L36" s="154" t="s">
        <v>50</v>
      </c>
      <c r="M36" s="155">
        <f t="shared" si="0"/>
        <v>0</v>
      </c>
      <c r="N36" s="156" t="str">
        <f>VLOOKUP(C36,'Trips&amp;Operators'!$C$1:$G$99999,5,FALSE)</f>
        <v>DAVIS WENDY</v>
      </c>
      <c r="O36" s="183" t="s">
        <v>195</v>
      </c>
      <c r="P36" s="157"/>
      <c r="Q36" s="31"/>
      <c r="R36" s="100" t="str">
        <f>VLOOKUP(C36,'Train Runs'!$A$13:$AE$9969,31,0)</f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S36" s="103" t="str">
        <f>VLOOKUP(C36,'Train Runs'!$A$13:$AE$9969,22,0)</f>
        <v>https://search-rtdc-monitor-bjffxe2xuh6vdkpspy63sjmuny.us-east-1.es.amazonaws.com/_plugin/kibana/#/discover/Steve-Slow-Train-Analysis-(2080s-and-2083s)?_g=(refreshInterval:(display:Off,section:0,value:0),time:(from:'2016-12-26 05:48:10-700',mode:absolute,to:'2016-12-26 08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6" s="105" t="str">
        <f t="shared" si="1"/>
        <v>"C:\Program Files (x86)\AstroGrep\AstroGrep.exe" /spath="%USERPROFILE%\AppData\Local\Temp\OnboardLogs" /stypes="*4003*201612261*" /stext=" 14:.+((SYSTEM_STATE.+slice.+state.+changed )|(ment ac)|(multiple cpu faults)|(system.+state.+changed )|(\[timeout)|(PRM\|1\|D)|(kpr)|(kdp)|(\|lc)|(penalty))" /e /r /s</v>
      </c>
      <c r="U36" s="9" t="str">
        <f t="shared" si="2"/>
        <v>4003</v>
      </c>
      <c r="V36" s="36">
        <f t="shared" si="3"/>
        <v>42730.587685185186</v>
      </c>
      <c r="W36" s="50" t="str">
        <f t="shared" si="4"/>
        <v>NW</v>
      </c>
      <c r="X36" s="50" t="str">
        <f t="shared" si="5"/>
        <v>OMIT</v>
      </c>
      <c r="Y36" s="119" t="str">
        <f t="shared" si="6"/>
        <v>echo {"issue":{"subject":"","project_id":79,"tracker_id":40,"status_id":1,"priority_id":2,"assigned_to_id":23,"start_date":"2016-12-26","description":"","custom_fields":[{"id":1,"name":"Subdivision","value":"NW"},{"id":4,"name":"Milepost","value":"5.9048"},{"id":17,"name":"Train ID","value":"805-26"},{"id":16,"name":"Locomotive ID","value":"4003"},{"id":130,"name":"Impact","value":""},{"id":150,"name":"Time of Event (Mountain Time)","value":"07:06:16"},{"id":151,"name":"Denver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"%USERPROFILE%\AppData\Local\Temp\OnboardLogs"\RTDC4003\*4003*201612261*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"%USERPROFILE%\AppData\Local\Temp\OnboardLogs"\RTDC4003\*4003*201612261* &gt;&gt; 42730-slicedisagreementcheck.txt</v>
      </c>
    </row>
    <row r="37" spans="1:30" x14ac:dyDescent="0.25">
      <c r="A37" s="36">
        <v>42730.337268518517</v>
      </c>
      <c r="B37" s="31" t="s">
        <v>272</v>
      </c>
      <c r="C37" s="31" t="s">
        <v>429</v>
      </c>
      <c r="D37" s="31" t="s">
        <v>98</v>
      </c>
      <c r="E37" s="31" t="s">
        <v>200</v>
      </c>
      <c r="F37" s="47">
        <v>0</v>
      </c>
      <c r="G37" s="47">
        <v>5</v>
      </c>
      <c r="H37" s="47">
        <v>59048</v>
      </c>
      <c r="I37" s="47">
        <v>59049</v>
      </c>
      <c r="J37" s="31" t="s">
        <v>201</v>
      </c>
      <c r="K37" s="47">
        <v>59048</v>
      </c>
      <c r="L37" s="154" t="s">
        <v>50</v>
      </c>
      <c r="M37" s="155">
        <f t="shared" si="0"/>
        <v>-0.52800000000000002</v>
      </c>
      <c r="N37" s="156" t="str">
        <f>VLOOKUP(C37,'Trips&amp;Operators'!$C$1:$G$99999,5,FALSE)</f>
        <v>DAVIS WENDY</v>
      </c>
      <c r="O37" s="183" t="s">
        <v>195</v>
      </c>
      <c r="P37" s="157"/>
      <c r="Q37" s="31"/>
      <c r="R37" s="100" t="str">
        <f>VLOOKUP(C37,'Train Runs'!$A$13:$AE$9969,31,0)</f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S37" s="103" t="str">
        <f>VLOOKUP(C37,'Train Runs'!$A$13:$AE$9969,22,0)</f>
        <v>https://search-rtdc-monitor-bjffxe2xuh6vdkpspy63sjmuny.us-east-1.es.amazonaws.com/_plugin/kibana/#/discover/Steve-Slow-Train-Analysis-(2080s-and-2083s)?_g=(refreshInterval:(display:Off,section:0,value:0),time:(from:'2016-12-26 06:47:06-700',mode:absolute,to:'2016-12-26 09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7" s="105" t="str">
        <f t="shared" si="1"/>
        <v>"C:\Program Files (x86)\AstroGrep\AstroGrep.exe" /spath="%USERPROFILE%\AppData\Local\Temp\OnboardLogs" /stypes="*4003*201612261*" /stext=" 15:.+((SYSTEM_STATE.+slice.+state.+changed )|(ment ac)|(multiple cpu faults)|(system.+state.+changed )|(\[timeout)|(PRM\|1\|D)|(kpr)|(kdp)|(\|lc)|(penalty))" /e /r /s</v>
      </c>
      <c r="U37" s="9" t="str">
        <f t="shared" si="2"/>
        <v>4003</v>
      </c>
      <c r="V37" s="36">
        <f t="shared" si="3"/>
        <v>42730.628935185181</v>
      </c>
      <c r="W37" s="50" t="str">
        <f t="shared" si="4"/>
        <v>NW</v>
      </c>
      <c r="X37" s="50" t="str">
        <f t="shared" si="5"/>
        <v>OMIT</v>
      </c>
      <c r="Y37" s="119" t="str">
        <f t="shared" si="6"/>
        <v>echo {"issue":{"subject":"","project_id":79,"tracker_id":40,"status_id":1,"priority_id":2,"assigned_to_id":23,"start_date":"2016-12-26","description":"","custom_fields":[{"id":1,"name":"Subdivision","value":"NW"},{"id":4,"name":"Milepost","value":"5.9048"},{"id":17,"name":"Train ID","value":"809-26"},{"id":16,"name":"Locomotive ID","value":"4003"},{"id":130,"name":"Impact","value":""},{"id":150,"name":"Time of Event (Mountain Time)","value":"08:05:40"},{"id":151,"name":"Denver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"%USERPROFILE%\AppData\Local\Temp\OnboardLogs"\RTDC4003\*4003*201612261*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"%USERPROFILE%\AppData\Local\Temp\OnboardLogs"\RTDC4003\*4003*201612261* &gt;&gt; 42730-slicedisagreementcheck.txt</v>
      </c>
    </row>
    <row r="38" spans="1:30" x14ac:dyDescent="0.25">
      <c r="A38" s="36">
        <v>42730.337592592594</v>
      </c>
      <c r="B38" s="31" t="s">
        <v>272</v>
      </c>
      <c r="C38" s="31" t="s">
        <v>429</v>
      </c>
      <c r="D38" s="31" t="s">
        <v>98</v>
      </c>
      <c r="E38" s="31" t="s">
        <v>200</v>
      </c>
      <c r="F38" s="47">
        <v>0</v>
      </c>
      <c r="G38" s="47">
        <v>5</v>
      </c>
      <c r="H38" s="47">
        <v>59049</v>
      </c>
      <c r="I38" s="47">
        <v>0</v>
      </c>
      <c r="J38" s="31" t="s">
        <v>201</v>
      </c>
      <c r="K38" s="47">
        <v>59048</v>
      </c>
      <c r="L38" s="154" t="s">
        <v>50</v>
      </c>
      <c r="M38" s="155">
        <f t="shared" si="0"/>
        <v>31177.344000000001</v>
      </c>
      <c r="N38" s="156" t="str">
        <f>VLOOKUP(C38,'Trips&amp;Operators'!$C$1:$G$99999,5,FALSE)</f>
        <v>DAVIS WENDY</v>
      </c>
      <c r="O38" s="183" t="s">
        <v>195</v>
      </c>
      <c r="P38" s="157"/>
      <c r="Q38" s="31"/>
      <c r="R38" s="100" t="str">
        <f>VLOOKUP(C38,'Train Runs'!$A$13:$AE$9969,31,0)</f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S38" s="103" t="str">
        <f>VLOOKUP(C38,'Train Runs'!$A$13:$AE$9969,22,0)</f>
        <v>https://search-rtdc-monitor-bjffxe2xuh6vdkpspy63sjmuny.us-east-1.es.amazonaws.com/_plugin/kibana/#/discover/Steve-Slow-Train-Analysis-(2080s-and-2083s)?_g=(refreshInterval:(display:Off,section:0,value:0),time:(from:'2016-12-26 06:47:06-700',mode:absolute,to:'2016-12-26 09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8" s="105" t="str">
        <f t="shared" si="1"/>
        <v>"C:\Program Files (x86)\AstroGrep\AstroGrep.exe" /spath="%USERPROFILE%\AppData\Local\Temp\OnboardLogs" /stypes="*4003*201612261*" /stext=" 15:.+((SYSTEM_STATE.+slice.+state.+changed )|(ment ac)|(multiple cpu faults)|(system.+state.+changed )|(\[timeout)|(PRM\|1\|D)|(kpr)|(kdp)|(\|lc)|(penalty))" /e /r /s</v>
      </c>
      <c r="U38" s="9" t="str">
        <f t="shared" si="2"/>
        <v>4003</v>
      </c>
      <c r="V38" s="36">
        <f t="shared" si="3"/>
        <v>42730.629259259258</v>
      </c>
      <c r="W38" s="50" t="str">
        <f t="shared" si="4"/>
        <v>NW</v>
      </c>
      <c r="X38" s="50" t="str">
        <f t="shared" si="5"/>
        <v>OMIT</v>
      </c>
      <c r="Y38" s="119" t="str">
        <f t="shared" si="6"/>
        <v>echo {"issue":{"subject":"","project_id":79,"tracker_id":40,"status_id":1,"priority_id":2,"assigned_to_id":23,"start_date":"2016-12-26","description":"","custom_fields":[{"id":1,"name":"Subdivision","value":"NW"},{"id":4,"name":"Milepost","value":"5.9048"},{"id":17,"name":"Train ID","value":"809-26"},{"id":16,"name":"Locomotive ID","value":"4003"},{"id":130,"name":"Impact","value":""},{"id":150,"name":"Time of Event (Mountain Time)","value":"08:06:08"},{"id":151,"name":"Denver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"%USERPROFILE%\AppData\Local\Temp\OnboardLogs"\RTDC4003\*4003*201612261*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"%USERPROFILE%\AppData\Local\Temp\OnboardLogs"\RTDC4003\*4003*201612261* &gt;&gt; 42730-slicedisagreementcheck.txt</v>
      </c>
    </row>
    <row r="39" spans="1:30" x14ac:dyDescent="0.25">
      <c r="A39" s="36">
        <v>42730.565659722219</v>
      </c>
      <c r="B39" s="31" t="s">
        <v>212</v>
      </c>
      <c r="C39" s="31" t="s">
        <v>437</v>
      </c>
      <c r="D39" s="31" t="s">
        <v>49</v>
      </c>
      <c r="E39" s="31" t="s">
        <v>200</v>
      </c>
      <c r="F39" s="47">
        <v>0</v>
      </c>
      <c r="G39" s="47">
        <v>35</v>
      </c>
      <c r="H39" s="47">
        <v>58924</v>
      </c>
      <c r="I39" s="47">
        <v>58943</v>
      </c>
      <c r="J39" s="31" t="s">
        <v>201</v>
      </c>
      <c r="K39" s="47">
        <v>59048</v>
      </c>
      <c r="L39" s="154" t="s">
        <v>50</v>
      </c>
      <c r="M39" s="155">
        <f t="shared" si="0"/>
        <v>55.44</v>
      </c>
      <c r="N39" s="156" t="str">
        <f>VLOOKUP(C39,'Trips&amp;Operators'!$C$1:$G$99999,5,FALSE)</f>
        <v>ROMERO CHAD</v>
      </c>
      <c r="O39" s="183" t="s">
        <v>195</v>
      </c>
      <c r="P39" s="157"/>
      <c r="Q39" s="31"/>
      <c r="R39" s="100" t="str">
        <f>VLOOKUP(C39,'Train Runs'!$A$13:$AE$9969,31,0)</f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S39" s="103" t="str">
        <f>VLOOKUP(C39,'Train Runs'!$A$13:$AE$9969,22,0)</f>
        <v>https://search-rtdc-monitor-bjffxe2xuh6vdkpspy63sjmuny.us-east-1.es.amazonaws.com/_plugin/kibana/#/discover/Steve-Slow-Train-Analysis-(2080s-and-2083s)?_g=(refreshInterval:(display:Off,section:0,value:0),time:(from:'2016-12-26 12:00:30-700',mode:absolute,to:'2016-12-26 14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9" s="105" t="str">
        <f t="shared" si="1"/>
        <v>"C:\Program Files (x86)\AstroGrep\AstroGrep.exe" /spath="%USERPROFILE%\AppData\Local\Temp\OnboardLogs" /stypes="*4002*201612262*" /stext=" 20:.+((SYSTEM_STATE.+slice.+state.+changed )|(ment ac)|(multiple cpu faults)|(system.+state.+changed )|(\[timeout)|(PRM\|1\|D)|(kpr)|(kdp)|(\|lc)|(penalty))" /e /r /s</v>
      </c>
      <c r="U39" s="9" t="str">
        <f t="shared" si="2"/>
        <v>4002</v>
      </c>
      <c r="V39" s="36">
        <f t="shared" si="3"/>
        <v>42730.857326388883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{"issue":{"subject":"","project_id":79,"tracker_id":40,"status_id":1,"priority_id":2,"assigned_to_id":23,"start_date":"2016-12-26","description":"","custom_fields":[{"id":1,"name":"Subdivision","value":"NW"},{"id":4,"name":"Milepost","value":"5.9048"},{"id":17,"name":"Train ID","value":"821-26"},{"id":16,"name":"Locomotive ID","value":"4002"},{"id":130,"name":"Impact","value":""},{"id":150,"name":"Time of Event (Mountain Time)","value":"13:34:33"},{"id":151,"name":"Denver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"%USERPROFILE%\AppData\Local\Temp\OnboardLogs"\RTDC4002\*4002*201612262*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"%USERPROFILE%\AppData\Local\Temp\OnboardLogs"\RTDC4002\*4002*201612262* &gt;&gt; 42730-slicedisagreementcheck.txt</v>
      </c>
    </row>
    <row r="40" spans="1:30" x14ac:dyDescent="0.25">
      <c r="A40" s="36">
        <v>42730.69023148148</v>
      </c>
      <c r="B40" s="31" t="s">
        <v>212</v>
      </c>
      <c r="C40" s="31" t="s">
        <v>440</v>
      </c>
      <c r="D40" s="31" t="s">
        <v>49</v>
      </c>
      <c r="E40" s="31" t="s">
        <v>200</v>
      </c>
      <c r="F40" s="47">
        <v>0</v>
      </c>
      <c r="G40" s="47">
        <v>52</v>
      </c>
      <c r="H40" s="47">
        <v>58897</v>
      </c>
      <c r="I40" s="47">
        <v>58946</v>
      </c>
      <c r="J40" s="31" t="s">
        <v>201</v>
      </c>
      <c r="K40" s="47">
        <v>59048</v>
      </c>
      <c r="L40" s="154" t="s">
        <v>50</v>
      </c>
      <c r="M40" s="155">
        <f t="shared" si="0"/>
        <v>53.856000000000002</v>
      </c>
      <c r="N40" s="156" t="str">
        <f>VLOOKUP(C40,'Trips&amp;Operators'!$C$1:$G$99999,5,FALSE)</f>
        <v>ROMERO CHAD</v>
      </c>
      <c r="O40" s="183" t="s">
        <v>227</v>
      </c>
      <c r="P40" s="157" t="s">
        <v>923</v>
      </c>
      <c r="Q40" s="31"/>
      <c r="R40" s="100" t="str">
        <f>VLOOKUP(C40,'Train Runs'!$A$13:$AE$9969,31,0)</f>
        <v>aws s3 cp s3://rtdc.mdm.uploadarchive.raw/RTDC4002/ "%USERPROFILE%\AppData\Local\Temp\OnboardLogs"\RTDC4002\2016-12-26 --exclude "*" --recursive --include "*20161226*" &amp; "%USERPROFILE%\Documents\GitHub\mrs-test-scripts\Headless Mode &amp; Sideloading\WalkAndUnGZ.bat" "%USERPROFILE%\AppData\Local\Temp\OnboardLogs"\RTDC4002\2016-12-26 &amp; aws s3 cp s3://rtdc.mdm.uploadarchive.raw/RTDC4002/ "%USERPROFILE%\AppData\Local\Temp\OnboardLogs"\RTDC4002\2016-12-27 --exclude "*" --recursive --include "*20161227*" &amp; "%USERPROFILE%\Documents\GitHub\mrs-test-scripts\Headless Mode &amp; Sideloading\WalkAndUnGZ.bat" "%USERPROFILE%\AppData\Local\Temp\OnboardLogs"\RTDC4002\2016-12-27</v>
      </c>
      <c r="S40" s="103" t="str">
        <f>VLOOKUP(C40,'Train Runs'!$A$13:$AE$9969,22,0)</f>
        <v>https://search-rtdc-monitor-bjffxe2xuh6vdkpspy63sjmuny.us-east-1.es.amazonaws.com/_plugin/kibana/#/discover/Steve-Slow-Train-Analysis-(2080s-and-2083s)?_g=(refreshInterval:(display:Off,section:0,value:0),time:(from:'2016-12-26 14:58:44-700',mode:absolute,to:'2016-12-26 17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40" s="105" t="str">
        <f t="shared" si="1"/>
        <v>"C:\Program Files (x86)\AstroGrep\AstroGrep.exe" /spath="%USERPROFILE%\AppData\Local\Temp\OnboardLogs" /stypes="*4002*201612262*" /stext=" 23:.+((SYSTEM_STATE.+slice.+state.+changed )|(ment ac)|(multiple cpu faults)|(system.+state.+changed )|(\[timeout)|(PRM\|1\|D)|(kpr)|(kdp)|(\|lc)|(penalty))" /e /r /s</v>
      </c>
      <c r="U40" s="9" t="str">
        <f t="shared" si="2"/>
        <v>4002</v>
      </c>
      <c r="V40" s="36">
        <f t="shared" si="3"/>
        <v>42730.981898148144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{"issue":{"subject":"Banner without braking","project_id":79,"tracker_id":40,"status_id":1,"priority_id":2,"assigned_to_id":23,"start_date":"2016-12-26","description":"","custom_fields":[{"id":1,"name":"Subdivision","value":"NW"},{"id":4,"name":"Milepost","value":"5.9048"},{"id":17,"name":"Train ID","value":"829-26"},{"id":16,"name":"Locomotive ID","value":"4002"},{"id":130,"name":"Impact","value":""},{"id":150,"name":"Time of Event (Mountain Time)","value":"16:33:56"},{"id":151,"name":"Denver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"%USERPROFILE%\AppData\Local\Temp\OnboardLogs"\RTDC4002\*4002*201612262*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"%USERPROFILE%\AppData\Local\Temp\OnboardLogs"\RTDC4002\*4002*201612262* &gt;&gt; 42730-slicedisagreementcheck.txt</v>
      </c>
    </row>
    <row r="41" spans="1:30" x14ac:dyDescent="0.25">
      <c r="A41" s="36">
        <v>42731.03087962963</v>
      </c>
      <c r="B41" s="31" t="s">
        <v>291</v>
      </c>
      <c r="C41" s="31" t="s">
        <v>452</v>
      </c>
      <c r="D41" s="31" t="s">
        <v>98</v>
      </c>
      <c r="E41" s="31" t="s">
        <v>196</v>
      </c>
      <c r="F41" s="47">
        <v>200</v>
      </c>
      <c r="G41" s="47">
        <v>254</v>
      </c>
      <c r="H41" s="47">
        <v>5555</v>
      </c>
      <c r="I41" s="47">
        <v>6079</v>
      </c>
      <c r="J41" s="31" t="s">
        <v>197</v>
      </c>
      <c r="K41" s="47">
        <v>4790</v>
      </c>
      <c r="L41" s="154" t="s">
        <v>50</v>
      </c>
      <c r="M41" s="155">
        <f t="shared" si="0"/>
        <v>-680.59199999999987</v>
      </c>
      <c r="N41" s="156" t="str">
        <f>VLOOKUP(C41,'Trips&amp;Operators'!$C$1:$G$99999,5,FALSE)</f>
        <v>CHANDLER KELVIN</v>
      </c>
      <c r="O41" s="183" t="s">
        <v>195</v>
      </c>
      <c r="P41" s="157"/>
      <c r="Q41" s="31"/>
      <c r="R41" s="100" t="str">
        <f>VLOOKUP(C41,'Train Runs'!$A$13:$AE$9969,31,0)</f>
        <v>aws s3 cp s3://rtdc.mdm.uploadarchive.raw/RTDC4044/ "%USERPROFILE%\AppData\Local\Temp\OnboardLogs"\RTDC4044\2016-12-27 --exclude "*" --recursive --include "*20161227*" &amp; "%USERPROFILE%\Documents\GitHub\mrs-test-scripts\Headless Mode &amp; Sideloading\WalkAndUnGZ.bat" "%USERPROFILE%\AppData\Local\Temp\OnboardLogs"\RTDC4044\2016-12-27 &amp; aws s3 cp s3://rtdc.mdm.uploadarchive.raw/RTDC4044/ "%USERPROFILE%\AppData\Local\Temp\OnboardLogs"\RTDC4044\2016-12-28 --exclude "*" --recursive --include "*20161228*" &amp; "%USERPROFILE%\Documents\GitHub\mrs-test-scripts\Headless Mode &amp; Sideloading\WalkAndUnGZ.bat" "%USERPROFILE%\AppData\Local\Temp\OnboardLogs"\RTDC4044\2016-12-28</v>
      </c>
      <c r="S41" s="103" t="str">
        <f>VLOOKUP(C41,'Train Runs'!$A$13:$AE$9969,22,0)</f>
        <v>https://search-rtdc-monitor-bjffxe2xuh6vdkpspy63sjmuny.us-east-1.es.amazonaws.com/_plugin/kibana/#/discover/Steve-Slow-Train-Analysis-(2080s-and-2083s)?_g=(refreshInterval:(display:Off,section:0,value:0),time:(from:'2016-12-26 23:40:35-700',mode:absolute,to:'2016-12-27 01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1" s="105" t="str">
        <f t="shared" si="1"/>
        <v>"C:\Program Files (x86)\AstroGrep\AstroGrep.exe" /spath="%USERPROFILE%\AppData\Local\Temp\OnboardLogs" /stypes="*4044*201612270*" /stext=" 07:.+((SYSTEM_STATE.+slice.+state.+changed )|(ment ac)|(multiple cpu faults)|(system.+state.+changed )|(\[timeout)|(PRM\|1\|D)|(kpr)|(kdp)|(\|lc)|(penalty))" /e /r /s</v>
      </c>
      <c r="U41" s="9" t="str">
        <f t="shared" si="2"/>
        <v>4044</v>
      </c>
      <c r="V41" s="36">
        <f t="shared" si="3"/>
        <v>42731.322546296295</v>
      </c>
      <c r="W41" s="50" t="str">
        <f t="shared" si="4"/>
        <v>Other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{"issue":{"subject":"","project_id":79,"tracker_id":40,"status_id":1,"priority_id":2,"assigned_to_id":23,"start_date":"2016-12-27","description":"","custom_fields":[{"id":1,"name":"Subdivision","value":"Other"},{"id":4,"name":"Milepost","value":"0.479"},{"id":17,"name":"Train ID","value":"309-26"},{"id":16,"name":"Locomotive ID","value":"4044"},{"id":130,"name":"Impact","value":""},{"id":150,"name":"Time of Event (Mountain Time)","value":"00:44:28"},{"id":151,"name":"Denver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"%USERPROFILE%\AppData\Local\Temp\OnboardLogs"\RTDC4044\*4044*201612270*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"%USERPROFILE%\AppData\Local\Temp\OnboardLogs"\RTDC4044\*4044*201612270* &gt;&gt; 42730-slicedisagreementcheck.txt</v>
      </c>
    </row>
    <row r="42" spans="1:30" x14ac:dyDescent="0.25">
      <c r="A42" s="36">
        <v>42730.702222222222</v>
      </c>
      <c r="B42" s="31" t="s">
        <v>354</v>
      </c>
      <c r="C42" s="31" t="s">
        <v>441</v>
      </c>
      <c r="D42" s="31" t="s">
        <v>49</v>
      </c>
      <c r="E42" s="31" t="s">
        <v>200</v>
      </c>
      <c r="F42" s="47">
        <v>0</v>
      </c>
      <c r="G42" s="47">
        <v>36</v>
      </c>
      <c r="H42" s="47">
        <v>921</v>
      </c>
      <c r="I42" s="47">
        <v>872</v>
      </c>
      <c r="J42" s="31" t="s">
        <v>201</v>
      </c>
      <c r="K42" s="47">
        <v>826</v>
      </c>
      <c r="L42" s="154" t="s">
        <v>51</v>
      </c>
      <c r="M42" s="155">
        <f t="shared" si="0"/>
        <v>24.288</v>
      </c>
      <c r="N42" s="156" t="str">
        <f>VLOOKUP(C42,'Trips&amp;Operators'!$C$1:$G$99999,5,FALSE)</f>
        <v>CHANDLER KELVIN</v>
      </c>
      <c r="O42" s="183" t="s">
        <v>195</v>
      </c>
      <c r="P42" s="157"/>
      <c r="Q42" s="31"/>
      <c r="R42" s="100" t="str">
        <f>VLOOKUP(C42,'Train Runs'!$A$13:$AE$9969,31,0)</f>
        <v>aws s3 cp s3://rtdc.mdm.uploadarchive.raw/RTDC4054/ "%USERPROFILE%\AppData\Local\Temp\OnboardLogs"\RTDC4054\2016-12-26 --exclude "*" --recursive --include "*20161226*" &amp; "%USERPROFILE%\Documents\GitHub\mrs-test-scripts\Headless Mode &amp; Sideloading\WalkAndUnGZ.bat" "%USERPROFILE%\AppData\Local\Temp\OnboardLogs"\RTDC4054\2016-12-26 &amp; aws s3 cp s3://rtdc.mdm.uploadarchive.raw/RTDC4054/ "%USERPROFILE%\AppData\Local\Temp\OnboardLogs"\RTDC4054\2016-12-27 --exclude "*" --recursive --include "*20161227*" &amp; "%USERPROFILE%\Documents\GitHub\mrs-test-scripts\Headless Mode &amp; Sideloading\WalkAndUnGZ.bat" "%USERPROFILE%\AppData\Local\Temp\OnboardLogs"\RTDC4054\2016-12-27</v>
      </c>
      <c r="S42" s="103" t="str">
        <f>VLOOKUP(C42,'Train Runs'!$A$13:$AE$9969,22,0)</f>
        <v>https://search-rtdc-monitor-bjffxe2xuh6vdkpspy63sjmuny.us-east-1.es.amazonaws.com/_plugin/kibana/#/discover/Steve-Slow-Train-Analysis-(2080s-and-2083s)?_g=(refreshInterval:(display:Off,section:0,value:0),time:(from:'2016-12-26 15:40:07-700',mode:absolute,to:'2016-12-26 17:51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2" s="105" t="str">
        <f t="shared" si="1"/>
        <v>"C:\Program Files (x86)\AstroGrep\AstroGrep.exe" /spath="%USERPROFILE%\AppData\Local\Temp\OnboardLogs" /stypes="*4054*201612262*" /stext=" 23:.+((SYSTEM_STATE.+slice.+state.+changed )|(ment ac)|(multiple cpu faults)|(system.+state.+changed )|(\[timeout)|(PRM\|1\|D)|(kpr)|(kdp)|(\|lc)|(penalty))" /e /r /s</v>
      </c>
      <c r="U42" s="9" t="str">
        <f t="shared" si="2"/>
        <v>4054</v>
      </c>
      <c r="V42" s="36">
        <f t="shared" si="3"/>
        <v>42730.993888888886</v>
      </c>
      <c r="W42" s="50" t="str">
        <f t="shared" si="4"/>
        <v>Other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{"issue":{"subject":"","project_id":79,"tracker_id":40,"status_id":1,"priority_id":2,"assigned_to_id":23,"start_date":"2016-12-26","description":"","custom_fields":[{"id":1,"name":"Subdivision","value":"Other"},{"id":4,"name":"Milepost","value":"0.0826"},{"id":17,"name":"Train ID","value":"50-26"},{"id":16,"name":"Locomotive ID","value":"4054"},{"id":130,"name":"Impact","value":""},{"id":150,"name":"Time of Event (Mountain Time)","value":"16:51:12"},{"id":151,"name":"Denver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"%USERPROFILE%\AppData\Local\Temp\OnboardLogs"\RTDC4054\*4054*201612262*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"%USERPROFILE%\AppData\Local\Temp\OnboardLogs"\RTDC4054\*4054*201612262* &gt;&gt; 42730-slicedisagreementcheck.txt</v>
      </c>
    </row>
    <row r="43" spans="1:30" x14ac:dyDescent="0.25">
      <c r="A43" s="36">
        <v>42730.217569444445</v>
      </c>
      <c r="B43" s="31" t="s">
        <v>272</v>
      </c>
      <c r="C43" s="31" t="s">
        <v>416</v>
      </c>
      <c r="D43" s="31" t="s">
        <v>98</v>
      </c>
      <c r="E43" s="31" t="s">
        <v>200</v>
      </c>
      <c r="F43" s="47">
        <v>0</v>
      </c>
      <c r="G43" s="47">
        <v>3</v>
      </c>
      <c r="H43" s="47">
        <v>59048</v>
      </c>
      <c r="I43" s="47">
        <v>0</v>
      </c>
      <c r="J43" s="31" t="s">
        <v>201</v>
      </c>
      <c r="K43" s="47">
        <v>59048</v>
      </c>
      <c r="L43" s="154" t="s">
        <v>50</v>
      </c>
      <c r="M43" s="155">
        <f t="shared" si="0"/>
        <v>31177.344000000001</v>
      </c>
      <c r="N43" s="156" t="str">
        <f>VLOOKUP(C43,'Trips&amp;Operators'!$C$1:$G$99999,5,FALSE)</f>
        <v>DAVIS WENDY</v>
      </c>
      <c r="O43" s="183" t="s">
        <v>195</v>
      </c>
      <c r="P43" s="157"/>
      <c r="Q43" s="31"/>
      <c r="R43" s="100" t="str">
        <f>VLOOKUP(C43,'Train Runs'!$A$13:$AE$9969,31,0)</f>
        <v>aws s3 cp s3://rtdc.mdm.uploadarchive.raw/RTDC4003/ "%USERPROFILE%\AppData\Local\Temp\OnboardLogs"\RTDC4003\2016-12-26 --exclude "*" --recursive --include "*20161226*" &amp; "%USERPROFILE%\Documents\GitHub\mrs-test-scripts\Headless Mode &amp; Sideloading\WalkAndUnGZ.bat" "%USERPROFILE%\AppData\Local\Temp\OnboardLogs"\RTDC4003\2016-12-26 &amp; aws s3 cp s3://rtdc.mdm.uploadarchive.raw/RTDC4003/ "%USERPROFILE%\AppData\Local\Temp\OnboardLogs"\RTDC4003\2016-12-27 --exclude "*" --recursive --include "*20161227*" &amp; "%USERPROFILE%\Documents\GitHub\mrs-test-scripts\Headless Mode &amp; Sideloading\WalkAndUnGZ.bat" "%USERPROFILE%\AppData\Local\Temp\OnboardLogs"\RTDC4003\2016-12-27</v>
      </c>
      <c r="S43" s="103" t="str">
        <f>VLOOKUP(C43,'Train Runs'!$A$13:$AE$9969,22,0)</f>
        <v>https://search-rtdc-monitor-bjffxe2xuh6vdkpspy63sjmuny.us-east-1.es.amazonaws.com/_plugin/kibana/#/discover/Steve-Slow-Train-Analysis-(2080s-and-2083s)?_g=(refreshInterval:(display:Off,section:0,value:0),time:(from:'2016-12-26 04:03:21-700',mode:absolute,to:'2016-12-26 06:13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3" s="105" t="str">
        <f t="shared" si="1"/>
        <v>"C:\Program Files (x86)\AstroGrep\AstroGrep.exe" /spath="%USERPROFILE%\AppData\Local\Temp\OnboardLogs" /stypes="*4003*201612261*" /stext=" 12:.+((SYSTEM_STATE.+slice.+state.+changed )|(ment ac)|(multiple cpu faults)|(system.+state.+changed )|(\[timeout)|(PRM\|1\|D)|(kpr)|(kdp)|(\|lc)|(penalty))" /e /r /s</v>
      </c>
      <c r="U43" s="9" t="str">
        <f t="shared" si="2"/>
        <v>4003</v>
      </c>
      <c r="V43" s="36">
        <f t="shared" si="3"/>
        <v>42730.509236111109</v>
      </c>
      <c r="W43" s="50" t="str">
        <f t="shared" si="4"/>
        <v>Other</v>
      </c>
      <c r="X43" s="50" t="str">
        <f t="shared" si="5"/>
        <v>OMIT</v>
      </c>
      <c r="Y43" s="119" t="str">
        <f t="shared" si="6"/>
        <v>echo {"issue":{"subject":"","project_id":79,"tracker_id":40,"status_id":1,"priority_id":2,"assigned_to_id":23,"start_date":"2016-12-26","description":"","custom_fields":[{"id":1,"name":"Subdivision","value":"Other"},{"id":4,"name":"Milepost","value":"5.9048"},{"id":17,"name":"Train ID","value":"901-26"},{"id":16,"name":"Locomotive ID","value":"4003"},{"id":130,"name":"Impact","value":""},{"id":150,"name":"Time of Event (Mountain Time)","value":"05:13:18"},{"id":151,"name":"Denver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"%USERPROFILE%\AppData\Local\Temp\OnboardLogs"\RTDC4003\*4003*201612261*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"%USERPROFILE%\AppData\Local\Temp\OnboardLogs"\RTDC4003\*4003*201612261* &gt;&gt; 42730-slicedisagreementcheck.txt</v>
      </c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44">
      <sortCondition ref="V6:V44"/>
    </sortState>
  </autoFilter>
  <sortState ref="A7:AD43">
    <sortCondition ref="W7:W43"/>
    <sortCondition ref="E7:E43"/>
    <sortCondition ref="K7:K43"/>
    <sortCondition ref="C7:C43"/>
    <sortCondition ref="F7:F43"/>
  </sortState>
  <mergeCells count="1">
    <mergeCell ref="A5:O5"/>
  </mergeCells>
  <conditionalFormatting sqref="O6:P6 R6 O74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E3" sqref="E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5" t="str">
        <f>"Trips that did not appear in PTC Data "&amp;TEXT(Variables!$A$2,"YYYY-mm-dd")</f>
        <v>Trips that did not appear in PTC Data 2016-12-26</v>
      </c>
      <c r="C1" s="185"/>
      <c r="D1" s="185"/>
      <c r="E1" s="185"/>
      <c r="F1" s="185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114</v>
      </c>
      <c r="B3" s="47" t="str">
        <f>A3&amp;"-"&amp;IF(DAY(Variables!$A$2)&lt;10,0,"")&amp;DAY(Variables!$A$2)</f>
        <v>114-26</v>
      </c>
      <c r="C3" s="158"/>
      <c r="D3" s="163"/>
      <c r="E3" s="31" t="s">
        <v>343</v>
      </c>
      <c r="F3" s="22" t="str">
        <f>VLOOKUP(B3,'Trips&amp;Operators'!$C$2:$E$10000,3,FALSE)</f>
        <v>OUN</v>
      </c>
      <c r="G3" s="22" t="str">
        <f>VLOOKUP(B3,'Trips&amp;Operators'!$C$1:$F$10000,4,FALSE)</f>
        <v>ZACK</v>
      </c>
      <c r="H3" s="30" t="str">
        <f>VLOOKUP(B3,'Trips&amp;Operators'!$C$1:$H$10000,5,FALSE)</f>
        <v>OUN ZACK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22114-26%22)),sort:!(Time,asc))</v>
      </c>
      <c r="J3" s="31" t="str">
        <f>VLOOKUP(B3,'Train Runs'!$A$13:$A$99966,1,FALSE)</f>
        <v>114-26</v>
      </c>
      <c r="K3" s="31" t="e">
        <f>IF(VLOOKUP(A3,$K$26:$K$49,1,FALSE),"Cancelled")</f>
        <v>#N/A</v>
      </c>
    </row>
    <row r="4" spans="1:11" x14ac:dyDescent="0.25">
      <c r="A4" s="171">
        <v>240</v>
      </c>
      <c r="B4" s="47" t="str">
        <f>A4&amp;"-"&amp;IF(DAY(Variables!$A$2)&lt;10,0,"")&amp;DAY(Variables!$A$2)</f>
        <v>240-26</v>
      </c>
      <c r="C4" s="158"/>
      <c r="D4" s="163"/>
      <c r="E4" s="31" t="s">
        <v>343</v>
      </c>
      <c r="F4" s="22" t="str">
        <f>VLOOKUP(B4,'Trips&amp;Operators'!$C$2:$E$10000,3,FALSE)</f>
        <v>SMITH</v>
      </c>
      <c r="G4" s="22" t="str">
        <f>VLOOKUP(B4,'Trips&amp;Operators'!$C$1:$F$10000,4,FALSE)</f>
        <v>MICHAEL</v>
      </c>
      <c r="H4" s="30" t="str">
        <f>VLOOKUP(B4,'Trips&amp;Operators'!$C$1:$H$10000,5,FALSE)</f>
        <v>SMITH MICHAEL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22240-26%22)),sort:!(Time,asc))</v>
      </c>
      <c r="J4" s="31" t="str">
        <f>VLOOKUP(B4,'Train Runs'!$A$13:$A$99966,1,FALSE)</f>
        <v>240-26</v>
      </c>
      <c r="K4" s="31" t="e">
        <f>IF(VLOOKUP(A4,$K$26:$K$49,1,FALSE),"Cancelled")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-26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5" s="31" t="e">
        <f>VLOOKUP(B5,'Train Runs'!$A$13:$A$99966,1,FALSE)</f>
        <v>#N/A</v>
      </c>
      <c r="K5" s="31" t="e">
        <f>IF(VLOOKUP(A5,$K$26:$K$49,1,FALSE),"Cancelled")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-26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6" s="31" t="e">
        <f>VLOOKUP(B6,'Train Runs'!$A$13:$A$99966,1,FALSE)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-26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7" s="31" t="e">
        <f>VLOOKUP(B7,'Train Runs'!$A$13:$A$99966,1,FALSE)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-26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8" s="31" t="e">
        <f>VLOOKUP(B8,'Train Runs'!$A$13:$A$99966,1,FALSE)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-26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9" s="31" t="e">
        <f>VLOOKUP(B9,'Train Runs'!$A$13:$A$99966,1,FALSE)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-26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0" s="31" t="e">
        <f>VLOOKUP(B10,'Train Runs'!$A$13:$A$99966,1,FALSE)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-26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1" s="31" t="e">
        <f>VLOOKUP(B11,'Train Runs'!$A$13:$A$99966,1,FALSE)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-26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2" s="31" t="e">
        <f>VLOOKUP(B12,'Train Runs'!$A$13:$A$99966,1,FALSE)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-26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3" s="31" t="e">
        <f>VLOOKUP(B13,'Train Runs'!$A$13:$A$99966,1,FALSE)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-26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4" s="31" t="e">
        <f>VLOOKUP(B14,'Train Runs'!$A$13:$A$99966,1,FALSE)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-26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5" s="31" t="e">
        <f>VLOOKUP(B15,'Train Runs'!$A$13:$A$99966,1,FALSE)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-26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6" s="31" t="e">
        <f>VLOOKUP(B16,'Train Runs'!$A$13:$A$99966,1,FALSE)</f>
        <v>#N/A</v>
      </c>
      <c r="K16" s="31" t="e">
        <f t="shared" si="2"/>
        <v>#N/A</v>
      </c>
    </row>
    <row r="17" spans="1:11" x14ac:dyDescent="0.25">
      <c r="A17" s="171"/>
      <c r="B17" s="47" t="str">
        <f>A17&amp;"-"&amp;IF(DAY(Variables!$A$2)&lt;10,0,"")&amp;DAY(Variables!$A$2)</f>
        <v>-26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7" s="31" t="e">
        <f>VLOOKUP(B17,'Train Runs'!$A$13:$A$99966,1,FALSE)</f>
        <v>#N/A</v>
      </c>
      <c r="K17" s="31" t="e">
        <f t="shared" si="2"/>
        <v>#N/A</v>
      </c>
    </row>
    <row r="18" spans="1:11" x14ac:dyDescent="0.25">
      <c r="A18" s="171"/>
      <c r="B18" s="47" t="str">
        <f>A18&amp;"-"&amp;IF(DAY(Variables!$A$2)&lt;10,0,"")&amp;DAY(Variables!$A$2)</f>
        <v>-26</v>
      </c>
      <c r="C18" s="158"/>
      <c r="D18" s="163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8" s="31" t="e">
        <f>VLOOKUP(B18,'Train Runs'!$A$13:$A$99966,1,FALSE)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252</v>
      </c>
      <c r="G1" s="8" t="s">
        <v>251</v>
      </c>
    </row>
    <row r="2" spans="1:7" x14ac:dyDescent="0.25">
      <c r="A2" s="8">
        <v>42730.046712962961</v>
      </c>
      <c r="B2" s="21" t="s">
        <v>231</v>
      </c>
      <c r="C2" s="21" t="s">
        <v>391</v>
      </c>
      <c r="D2" s="164">
        <v>1810000</v>
      </c>
      <c r="E2" s="21" t="s">
        <v>282</v>
      </c>
      <c r="F2" s="21" t="s">
        <v>250</v>
      </c>
      <c r="G2" s="8" t="str">
        <f>E2&amp;" "&amp;F2</f>
        <v>NEWELL JAMES</v>
      </c>
    </row>
    <row r="3" spans="1:7" x14ac:dyDescent="0.25">
      <c r="A3" s="8">
        <v>42730.047546296293</v>
      </c>
      <c r="B3" s="21" t="s">
        <v>231</v>
      </c>
      <c r="C3" s="21" t="s">
        <v>391</v>
      </c>
      <c r="D3" s="164">
        <v>1810000</v>
      </c>
      <c r="E3" s="21" t="s">
        <v>282</v>
      </c>
      <c r="F3" s="21" t="s">
        <v>250</v>
      </c>
      <c r="G3" s="8" t="str">
        <f t="shared" ref="G3:G66" si="0">E3&amp;" "&amp;F3</f>
        <v>NEWELL JAMES</v>
      </c>
    </row>
    <row r="4" spans="1:7" x14ac:dyDescent="0.25">
      <c r="A4" s="8">
        <v>42730.056909722225</v>
      </c>
      <c r="B4" s="21" t="s">
        <v>380</v>
      </c>
      <c r="C4" s="21" t="s">
        <v>392</v>
      </c>
      <c r="D4" s="164">
        <v>2000000</v>
      </c>
      <c r="E4" s="21" t="s">
        <v>209</v>
      </c>
      <c r="F4" s="21" t="s">
        <v>250</v>
      </c>
      <c r="G4" s="8" t="str">
        <f t="shared" si="0"/>
        <v>STAMBAUGH JAMES</v>
      </c>
    </row>
    <row r="5" spans="1:7" x14ac:dyDescent="0.25">
      <c r="A5" s="8">
        <v>42730.069699074076</v>
      </c>
      <c r="B5" s="21" t="s">
        <v>225</v>
      </c>
      <c r="C5" s="21" t="s">
        <v>238</v>
      </c>
      <c r="D5" s="164">
        <v>2230000</v>
      </c>
      <c r="E5" s="21" t="s">
        <v>281</v>
      </c>
      <c r="F5" s="21" t="s">
        <v>262</v>
      </c>
      <c r="G5" s="8" t="str">
        <f t="shared" si="0"/>
        <v>SMITH MICHAEL</v>
      </c>
    </row>
    <row r="6" spans="1:7" x14ac:dyDescent="0.25">
      <c r="A6" s="8">
        <v>42730.087372685186</v>
      </c>
      <c r="B6" s="21" t="s">
        <v>382</v>
      </c>
      <c r="C6" s="21" t="s">
        <v>239</v>
      </c>
      <c r="D6" s="164">
        <v>2000000</v>
      </c>
      <c r="E6" s="21" t="s">
        <v>209</v>
      </c>
      <c r="F6" s="21" t="s">
        <v>250</v>
      </c>
      <c r="G6" s="8" t="str">
        <f t="shared" si="0"/>
        <v>STAMBAUGH JAMES</v>
      </c>
    </row>
    <row r="7" spans="1:7" x14ac:dyDescent="0.25">
      <c r="A7" s="8">
        <v>42730.114282407405</v>
      </c>
      <c r="B7" s="21" t="s">
        <v>381</v>
      </c>
      <c r="C7" s="21" t="s">
        <v>393</v>
      </c>
      <c r="D7" s="164">
        <v>2110000</v>
      </c>
      <c r="E7" s="21" t="s">
        <v>294</v>
      </c>
      <c r="F7" s="21" t="s">
        <v>295</v>
      </c>
      <c r="G7" s="8" t="str">
        <f t="shared" si="0"/>
        <v>OUN ZACK</v>
      </c>
    </row>
    <row r="8" spans="1:7" x14ac:dyDescent="0.25">
      <c r="A8" s="8">
        <v>42730.13071759259</v>
      </c>
      <c r="B8" s="21" t="s">
        <v>291</v>
      </c>
      <c r="C8" s="21" t="s">
        <v>453</v>
      </c>
      <c r="D8" s="164">
        <v>2110000</v>
      </c>
      <c r="E8" s="21" t="s">
        <v>294</v>
      </c>
      <c r="F8" s="21" t="s">
        <v>295</v>
      </c>
      <c r="G8" s="8" t="str">
        <f t="shared" si="0"/>
        <v>OUN ZACK</v>
      </c>
    </row>
    <row r="9" spans="1:7" ht="15.75" thickBot="1" x14ac:dyDescent="0.3">
      <c r="A9" s="25">
        <v>42730.138888888891</v>
      </c>
      <c r="B9" s="21" t="s">
        <v>289</v>
      </c>
      <c r="C9" s="21" t="s">
        <v>454</v>
      </c>
      <c r="D9" s="164">
        <v>2610000</v>
      </c>
      <c r="E9" s="21" t="s">
        <v>455</v>
      </c>
      <c r="F9" s="21" t="s">
        <v>456</v>
      </c>
      <c r="G9" s="8" t="str">
        <f t="shared" si="0"/>
        <v>MAGEE KENYA</v>
      </c>
    </row>
    <row r="10" spans="1:7" x14ac:dyDescent="0.25">
      <c r="A10" s="8">
        <v>42730.151666666665</v>
      </c>
      <c r="B10" s="21" t="s">
        <v>292</v>
      </c>
      <c r="C10" s="21" t="s">
        <v>457</v>
      </c>
      <c r="D10" s="164">
        <v>2610000</v>
      </c>
      <c r="E10" s="21" t="s">
        <v>455</v>
      </c>
      <c r="F10" s="21" t="s">
        <v>456</v>
      </c>
      <c r="G10" s="8" t="str">
        <f t="shared" si="0"/>
        <v>MAGEE KENYA</v>
      </c>
    </row>
    <row r="11" spans="1:7" x14ac:dyDescent="0.25">
      <c r="A11" s="8">
        <v>42730.161203703705</v>
      </c>
      <c r="B11" s="21" t="s">
        <v>257</v>
      </c>
      <c r="C11" s="21" t="s">
        <v>458</v>
      </c>
      <c r="D11" s="164">
        <v>1110000</v>
      </c>
      <c r="E11" s="21" t="s">
        <v>459</v>
      </c>
      <c r="F11" s="21" t="s">
        <v>460</v>
      </c>
      <c r="G11" s="8" t="str">
        <f t="shared" si="0"/>
        <v>STARKS ANGELINA</v>
      </c>
    </row>
    <row r="12" spans="1:7" x14ac:dyDescent="0.25">
      <c r="A12" s="8">
        <v>42730.170543981483</v>
      </c>
      <c r="B12" s="21" t="s">
        <v>381</v>
      </c>
      <c r="C12" s="21" t="s">
        <v>461</v>
      </c>
      <c r="D12" s="164">
        <v>2110000</v>
      </c>
      <c r="E12" s="21" t="s">
        <v>294</v>
      </c>
      <c r="F12" s="21" t="s">
        <v>295</v>
      </c>
      <c r="G12" s="8" t="str">
        <f t="shared" si="0"/>
        <v>OUN ZACK</v>
      </c>
    </row>
    <row r="13" spans="1:7" x14ac:dyDescent="0.25">
      <c r="A13" s="8">
        <v>42730.175069444442</v>
      </c>
      <c r="B13" s="21" t="s">
        <v>344</v>
      </c>
      <c r="C13" s="21" t="s">
        <v>462</v>
      </c>
      <c r="D13" s="164">
        <v>1110000</v>
      </c>
      <c r="E13" s="21" t="s">
        <v>459</v>
      </c>
      <c r="F13" s="21" t="s">
        <v>460</v>
      </c>
      <c r="G13" s="8" t="str">
        <f t="shared" si="0"/>
        <v>STARKS ANGELINA</v>
      </c>
    </row>
    <row r="14" spans="1:7" x14ac:dyDescent="0.25">
      <c r="A14" s="8">
        <v>42730.176076388889</v>
      </c>
      <c r="B14" s="21" t="s">
        <v>259</v>
      </c>
      <c r="C14" s="21" t="s">
        <v>463</v>
      </c>
      <c r="D14" s="164">
        <v>2680000</v>
      </c>
      <c r="E14" s="21" t="s">
        <v>464</v>
      </c>
      <c r="F14" s="21" t="s">
        <v>465</v>
      </c>
      <c r="G14" s="8" t="str">
        <f t="shared" si="0"/>
        <v>DUNCAN SHEILA</v>
      </c>
    </row>
    <row r="15" spans="1:7" x14ac:dyDescent="0.25">
      <c r="A15" s="8">
        <v>42730.18236111111</v>
      </c>
      <c r="B15" s="21" t="s">
        <v>155</v>
      </c>
      <c r="C15" s="21" t="s">
        <v>466</v>
      </c>
      <c r="D15" s="164">
        <v>2020000</v>
      </c>
      <c r="E15" s="21" t="s">
        <v>350</v>
      </c>
      <c r="F15" s="21" t="s">
        <v>248</v>
      </c>
      <c r="G15" s="8" t="str">
        <f t="shared" si="0"/>
        <v>SHOOK JOHN</v>
      </c>
    </row>
    <row r="16" spans="1:7" x14ac:dyDescent="0.25">
      <c r="A16" s="8">
        <v>42730.185682870368</v>
      </c>
      <c r="B16" s="21" t="s">
        <v>289</v>
      </c>
      <c r="C16" s="21" t="s">
        <v>467</v>
      </c>
      <c r="D16" s="164">
        <v>2610000</v>
      </c>
      <c r="E16" s="21" t="s">
        <v>455</v>
      </c>
      <c r="F16" s="21" t="s">
        <v>456</v>
      </c>
      <c r="G16" s="8" t="str">
        <f t="shared" si="0"/>
        <v>MAGEE KENYA</v>
      </c>
    </row>
    <row r="17" spans="1:7" x14ac:dyDescent="0.25">
      <c r="A17" s="8">
        <v>42730.186192129629</v>
      </c>
      <c r="B17" s="21" t="s">
        <v>229</v>
      </c>
      <c r="C17" s="21" t="s">
        <v>468</v>
      </c>
      <c r="D17" s="164">
        <v>2680000</v>
      </c>
      <c r="E17" s="21" t="s">
        <v>464</v>
      </c>
      <c r="F17" s="21" t="s">
        <v>465</v>
      </c>
      <c r="G17" s="8" t="str">
        <f t="shared" si="0"/>
        <v>DUNCAN SHEILA</v>
      </c>
    </row>
    <row r="18" spans="1:7" x14ac:dyDescent="0.25">
      <c r="A18" s="8">
        <v>42730.194837962961</v>
      </c>
      <c r="B18" s="21" t="s">
        <v>154</v>
      </c>
      <c r="C18" s="21" t="s">
        <v>469</v>
      </c>
      <c r="D18" s="164">
        <v>2020000</v>
      </c>
      <c r="E18" s="21" t="s">
        <v>350</v>
      </c>
      <c r="F18" s="21" t="s">
        <v>248</v>
      </c>
      <c r="G18" s="8" t="str">
        <f t="shared" si="0"/>
        <v>SHOOK JOHN</v>
      </c>
    </row>
    <row r="19" spans="1:7" x14ac:dyDescent="0.25">
      <c r="A19" s="8">
        <v>42730.206296296295</v>
      </c>
      <c r="B19" s="21" t="s">
        <v>291</v>
      </c>
      <c r="C19" s="21" t="s">
        <v>470</v>
      </c>
      <c r="D19" s="164">
        <v>2730000</v>
      </c>
      <c r="E19" s="21" t="s">
        <v>313</v>
      </c>
      <c r="F19" s="21" t="s">
        <v>314</v>
      </c>
      <c r="G19" s="8" t="str">
        <f t="shared" si="0"/>
        <v>YANG JAN</v>
      </c>
    </row>
    <row r="20" spans="1:7" x14ac:dyDescent="0.25">
      <c r="A20" s="8">
        <v>42730.208935185183</v>
      </c>
      <c r="B20" s="21" t="s">
        <v>291</v>
      </c>
      <c r="C20" s="21" t="s">
        <v>470</v>
      </c>
      <c r="D20" s="164">
        <v>2730000</v>
      </c>
      <c r="E20" s="21" t="s">
        <v>313</v>
      </c>
      <c r="F20" s="21" t="s">
        <v>314</v>
      </c>
      <c r="G20" s="8" t="str">
        <f t="shared" si="0"/>
        <v>YANG JAN</v>
      </c>
    </row>
    <row r="21" spans="1:7" x14ac:dyDescent="0.25">
      <c r="A21" s="8">
        <v>42730.211215277777</v>
      </c>
      <c r="B21" s="21" t="s">
        <v>272</v>
      </c>
      <c r="C21" s="21" t="s">
        <v>416</v>
      </c>
      <c r="D21" s="164">
        <v>1990000</v>
      </c>
      <c r="E21" s="21" t="s">
        <v>263</v>
      </c>
      <c r="F21" s="21" t="s">
        <v>347</v>
      </c>
      <c r="G21" s="8" t="str">
        <f t="shared" si="0"/>
        <v>DAVIS WENDY</v>
      </c>
    </row>
    <row r="22" spans="1:7" x14ac:dyDescent="0.25">
      <c r="A22" s="27">
        <v>42730.214259259257</v>
      </c>
      <c r="B22" s="21" t="s">
        <v>257</v>
      </c>
      <c r="C22" s="21" t="s">
        <v>417</v>
      </c>
      <c r="D22" s="164">
        <v>1110000</v>
      </c>
      <c r="E22" s="21" t="s">
        <v>459</v>
      </c>
      <c r="F22" s="21" t="s">
        <v>460</v>
      </c>
      <c r="G22" s="8" t="str">
        <f t="shared" si="0"/>
        <v>STARKS ANGELINA</v>
      </c>
    </row>
    <row r="23" spans="1:7" x14ac:dyDescent="0.25">
      <c r="A23" s="8">
        <v>42730.21565972222</v>
      </c>
      <c r="B23" s="21" t="s">
        <v>329</v>
      </c>
      <c r="C23" s="21" t="s">
        <v>471</v>
      </c>
      <c r="D23" s="164">
        <v>2110000</v>
      </c>
      <c r="E23" s="21" t="s">
        <v>294</v>
      </c>
      <c r="F23" s="21" t="s">
        <v>295</v>
      </c>
      <c r="G23" s="8" t="str">
        <f t="shared" si="0"/>
        <v>OUN ZACK</v>
      </c>
    </row>
    <row r="24" spans="1:7" x14ac:dyDescent="0.25">
      <c r="A24" s="8">
        <v>42730.218993055554</v>
      </c>
      <c r="B24" s="21" t="s">
        <v>271</v>
      </c>
      <c r="C24" s="21" t="s">
        <v>418</v>
      </c>
      <c r="D24" s="164">
        <v>1990000</v>
      </c>
      <c r="E24" s="21" t="s">
        <v>263</v>
      </c>
      <c r="F24" s="21" t="s">
        <v>347</v>
      </c>
      <c r="G24" s="8" t="str">
        <f t="shared" si="0"/>
        <v>DAVIS WENDY</v>
      </c>
    </row>
    <row r="25" spans="1:7" x14ac:dyDescent="0.25">
      <c r="A25" s="8">
        <v>42730.223599537036</v>
      </c>
      <c r="B25" s="21" t="s">
        <v>259</v>
      </c>
      <c r="C25" s="21" t="s">
        <v>472</v>
      </c>
      <c r="D25" s="164">
        <v>2680000</v>
      </c>
      <c r="E25" s="21" t="s">
        <v>464</v>
      </c>
      <c r="F25" s="21" t="s">
        <v>465</v>
      </c>
      <c r="G25" s="8" t="str">
        <f t="shared" si="0"/>
        <v>DUNCAN SHEILA</v>
      </c>
    </row>
    <row r="26" spans="1:7" x14ac:dyDescent="0.25">
      <c r="A26" s="8">
        <v>42730.225972222222</v>
      </c>
      <c r="B26" s="21" t="s">
        <v>155</v>
      </c>
      <c r="C26" s="21" t="s">
        <v>469</v>
      </c>
      <c r="D26" s="164">
        <v>2020000</v>
      </c>
      <c r="E26" s="21" t="s">
        <v>350</v>
      </c>
      <c r="F26" s="21" t="s">
        <v>248</v>
      </c>
      <c r="G26" s="8" t="str">
        <f t="shared" si="0"/>
        <v>SHOOK JOHN</v>
      </c>
    </row>
    <row r="27" spans="1:7" x14ac:dyDescent="0.25">
      <c r="A27" s="8">
        <v>42730.2266087963</v>
      </c>
      <c r="B27" s="21" t="s">
        <v>155</v>
      </c>
      <c r="C27" s="21" t="s">
        <v>473</v>
      </c>
      <c r="D27" s="164">
        <v>2020000</v>
      </c>
      <c r="E27" s="21" t="s">
        <v>350</v>
      </c>
      <c r="F27" s="21" t="s">
        <v>248</v>
      </c>
      <c r="G27" s="8" t="str">
        <f t="shared" si="0"/>
        <v>SHOOK JOHN</v>
      </c>
    </row>
    <row r="28" spans="1:7" x14ac:dyDescent="0.25">
      <c r="A28" s="8">
        <v>42730.227141203701</v>
      </c>
      <c r="B28" s="21" t="s">
        <v>292</v>
      </c>
      <c r="C28" s="21" t="s">
        <v>474</v>
      </c>
      <c r="D28" s="164">
        <v>2140000</v>
      </c>
      <c r="E28" s="21" t="s">
        <v>348</v>
      </c>
      <c r="F28" s="21" t="s">
        <v>349</v>
      </c>
      <c r="G28" s="8" t="str">
        <f t="shared" si="0"/>
        <v>ROBINSON KADDIBA</v>
      </c>
    </row>
    <row r="29" spans="1:7" x14ac:dyDescent="0.25">
      <c r="A29" s="8">
        <v>42730.227442129632</v>
      </c>
      <c r="B29" s="21" t="s">
        <v>290</v>
      </c>
      <c r="C29" s="21" t="s">
        <v>475</v>
      </c>
      <c r="D29" s="164">
        <v>2610000</v>
      </c>
      <c r="E29" s="21" t="s">
        <v>455</v>
      </c>
      <c r="F29" s="21" t="s">
        <v>456</v>
      </c>
      <c r="G29" s="8" t="str">
        <f t="shared" si="0"/>
        <v>MAGEE KENYA</v>
      </c>
    </row>
    <row r="30" spans="1:7" x14ac:dyDescent="0.25">
      <c r="A30" s="8">
        <v>42730.235115740739</v>
      </c>
      <c r="B30" s="21" t="s">
        <v>293</v>
      </c>
      <c r="C30" s="21" t="s">
        <v>476</v>
      </c>
      <c r="D30" s="164">
        <v>2730000</v>
      </c>
      <c r="E30" s="21" t="s">
        <v>313</v>
      </c>
      <c r="F30" s="21" t="s">
        <v>314</v>
      </c>
      <c r="G30" s="8" t="str">
        <f t="shared" si="0"/>
        <v>YANG JAN</v>
      </c>
    </row>
    <row r="31" spans="1:7" x14ac:dyDescent="0.25">
      <c r="A31" s="8">
        <v>42730.2419212963</v>
      </c>
      <c r="B31" s="21" t="s">
        <v>272</v>
      </c>
      <c r="C31" s="21" t="s">
        <v>419</v>
      </c>
      <c r="D31" s="164">
        <v>1990000</v>
      </c>
      <c r="E31" s="21" t="s">
        <v>263</v>
      </c>
      <c r="F31" s="21" t="s">
        <v>347</v>
      </c>
      <c r="G31" s="8" t="str">
        <f t="shared" si="0"/>
        <v>DAVIS WENDY</v>
      </c>
    </row>
    <row r="32" spans="1:7" x14ac:dyDescent="0.25">
      <c r="A32" s="8">
        <v>42730.247627314813</v>
      </c>
      <c r="B32" s="21" t="s">
        <v>344</v>
      </c>
      <c r="C32" s="21" t="s">
        <v>477</v>
      </c>
      <c r="D32" s="164">
        <v>1110000</v>
      </c>
      <c r="E32" s="21" t="s">
        <v>459</v>
      </c>
      <c r="F32" s="21" t="s">
        <v>460</v>
      </c>
      <c r="G32" s="8" t="str">
        <f t="shared" si="0"/>
        <v>STARKS ANGELINA</v>
      </c>
    </row>
    <row r="33" spans="1:7" x14ac:dyDescent="0.25">
      <c r="A33" s="8">
        <v>42730.250127314815</v>
      </c>
      <c r="B33" s="21" t="s">
        <v>443</v>
      </c>
      <c r="C33" s="21" t="s">
        <v>478</v>
      </c>
      <c r="D33" s="164">
        <v>2670000</v>
      </c>
      <c r="E33" s="21" t="s">
        <v>479</v>
      </c>
      <c r="F33" s="21" t="s">
        <v>480</v>
      </c>
      <c r="G33" s="8" t="str">
        <f t="shared" si="0"/>
        <v>COMELLA JUSTIN</v>
      </c>
    </row>
    <row r="34" spans="1:7" x14ac:dyDescent="0.25">
      <c r="A34" s="8">
        <v>42730.251296296294</v>
      </c>
      <c r="B34" s="21" t="s">
        <v>443</v>
      </c>
      <c r="C34" s="21" t="s">
        <v>478</v>
      </c>
      <c r="D34" s="164">
        <v>2670000</v>
      </c>
      <c r="E34" s="21" t="s">
        <v>479</v>
      </c>
      <c r="F34" s="21" t="s">
        <v>480</v>
      </c>
      <c r="G34" s="8" t="str">
        <f t="shared" si="0"/>
        <v>COMELLA JUSTIN</v>
      </c>
    </row>
    <row r="35" spans="1:7" x14ac:dyDescent="0.25">
      <c r="A35" s="8">
        <v>42730.253437500003</v>
      </c>
      <c r="B35" s="21" t="s">
        <v>381</v>
      </c>
      <c r="C35" s="21" t="s">
        <v>481</v>
      </c>
      <c r="D35" s="164">
        <v>2110000</v>
      </c>
      <c r="E35" s="21" t="s">
        <v>294</v>
      </c>
      <c r="F35" s="21" t="s">
        <v>295</v>
      </c>
      <c r="G35" s="8" t="str">
        <f t="shared" si="0"/>
        <v>OUN ZACK</v>
      </c>
    </row>
    <row r="36" spans="1:7" x14ac:dyDescent="0.25">
      <c r="A36" s="8">
        <v>42730.254745370374</v>
      </c>
      <c r="B36" s="21" t="s">
        <v>344</v>
      </c>
      <c r="C36" s="21" t="s">
        <v>477</v>
      </c>
      <c r="D36" s="164">
        <v>1110000</v>
      </c>
      <c r="E36" s="21" t="s">
        <v>459</v>
      </c>
      <c r="F36" s="21" t="s">
        <v>460</v>
      </c>
      <c r="G36" s="8" t="str">
        <f t="shared" si="0"/>
        <v>STARKS ANGELINA</v>
      </c>
    </row>
    <row r="37" spans="1:7" x14ac:dyDescent="0.25">
      <c r="A37" s="8">
        <v>42730.255648148152</v>
      </c>
      <c r="B37" s="21" t="s">
        <v>271</v>
      </c>
      <c r="C37" s="21" t="s">
        <v>420</v>
      </c>
      <c r="D37" s="164">
        <v>1990000</v>
      </c>
      <c r="E37" s="21" t="s">
        <v>263</v>
      </c>
      <c r="F37" s="21" t="s">
        <v>347</v>
      </c>
      <c r="G37" s="8" t="str">
        <f t="shared" si="0"/>
        <v>DAVIS WENDY</v>
      </c>
    </row>
    <row r="38" spans="1:7" x14ac:dyDescent="0.25">
      <c r="A38" s="8">
        <v>42730.258287037039</v>
      </c>
      <c r="B38" s="21" t="s">
        <v>229</v>
      </c>
      <c r="C38" s="21" t="s">
        <v>482</v>
      </c>
      <c r="D38" s="164">
        <v>2680000</v>
      </c>
      <c r="E38" s="21" t="s">
        <v>464</v>
      </c>
      <c r="F38" s="21" t="s">
        <v>465</v>
      </c>
      <c r="G38" s="8" t="str">
        <f t="shared" si="0"/>
        <v>DUNCAN SHEILA</v>
      </c>
    </row>
    <row r="39" spans="1:7" x14ac:dyDescent="0.25">
      <c r="A39" s="8">
        <v>42730.260925925926</v>
      </c>
      <c r="B39" s="21" t="s">
        <v>212</v>
      </c>
      <c r="C39" s="21" t="s">
        <v>483</v>
      </c>
      <c r="D39" s="164">
        <v>2670000</v>
      </c>
      <c r="E39" s="21" t="s">
        <v>479</v>
      </c>
      <c r="F39" s="21" t="s">
        <v>480</v>
      </c>
      <c r="G39" s="8" t="str">
        <f t="shared" si="0"/>
        <v>COMELLA JUSTIN</v>
      </c>
    </row>
    <row r="40" spans="1:7" x14ac:dyDescent="0.25">
      <c r="A40" s="8">
        <v>42730.263680555552</v>
      </c>
      <c r="B40" s="26" t="s">
        <v>234</v>
      </c>
      <c r="C40" s="21" t="s">
        <v>484</v>
      </c>
      <c r="D40" s="164">
        <v>2140000</v>
      </c>
      <c r="E40" s="21" t="s">
        <v>348</v>
      </c>
      <c r="F40" s="21" t="s">
        <v>349</v>
      </c>
      <c r="G40" s="8" t="str">
        <f t="shared" si="0"/>
        <v>ROBINSON KADDIBA</v>
      </c>
    </row>
    <row r="41" spans="1:7" x14ac:dyDescent="0.25">
      <c r="A41" s="8">
        <v>42730.26767361111</v>
      </c>
      <c r="B41" s="21" t="s">
        <v>154</v>
      </c>
      <c r="C41" s="21" t="s">
        <v>485</v>
      </c>
      <c r="D41" s="164">
        <v>2020000</v>
      </c>
      <c r="E41" s="21" t="s">
        <v>350</v>
      </c>
      <c r="F41" s="21" t="s">
        <v>248</v>
      </c>
      <c r="G41" s="8" t="str">
        <f t="shared" si="0"/>
        <v>SHOOK JOHN</v>
      </c>
    </row>
    <row r="42" spans="1:7" x14ac:dyDescent="0.25">
      <c r="A42" s="8">
        <v>42730.274687500001</v>
      </c>
      <c r="B42" s="21" t="s">
        <v>289</v>
      </c>
      <c r="C42" s="21" t="s">
        <v>425</v>
      </c>
      <c r="D42" s="164">
        <v>2610000</v>
      </c>
      <c r="E42" s="21" t="s">
        <v>455</v>
      </c>
      <c r="F42" s="21" t="s">
        <v>456</v>
      </c>
      <c r="G42" s="8" t="str">
        <f t="shared" si="0"/>
        <v>MAGEE KENYA</v>
      </c>
    </row>
    <row r="43" spans="1:7" x14ac:dyDescent="0.25">
      <c r="A43" s="8">
        <v>42730.275208333333</v>
      </c>
      <c r="B43" s="21" t="s">
        <v>291</v>
      </c>
      <c r="C43" s="21" t="s">
        <v>486</v>
      </c>
      <c r="D43" s="164">
        <v>2730000</v>
      </c>
      <c r="E43" s="21" t="s">
        <v>313</v>
      </c>
      <c r="F43" s="21" t="s">
        <v>314</v>
      </c>
      <c r="G43" s="8" t="str">
        <f t="shared" si="0"/>
        <v>YANG JAN</v>
      </c>
    </row>
    <row r="44" spans="1:7" x14ac:dyDescent="0.25">
      <c r="A44" s="8">
        <v>42730.27652777778</v>
      </c>
      <c r="B44" s="21" t="s">
        <v>443</v>
      </c>
      <c r="C44" s="21" t="s">
        <v>487</v>
      </c>
      <c r="D44" s="164">
        <v>2670000</v>
      </c>
      <c r="E44" s="21" t="s">
        <v>479</v>
      </c>
      <c r="F44" s="21" t="s">
        <v>480</v>
      </c>
      <c r="G44" s="8" t="str">
        <f t="shared" si="0"/>
        <v>COMELLA JUSTIN</v>
      </c>
    </row>
    <row r="45" spans="1:7" x14ac:dyDescent="0.25">
      <c r="A45" s="8">
        <v>42730.283819444441</v>
      </c>
      <c r="B45" s="21" t="s">
        <v>272</v>
      </c>
      <c r="C45" s="21" t="s">
        <v>424</v>
      </c>
      <c r="D45" s="164">
        <v>1990000</v>
      </c>
      <c r="E45" s="21" t="s">
        <v>263</v>
      </c>
      <c r="F45" s="21" t="s">
        <v>347</v>
      </c>
      <c r="G45" s="8" t="str">
        <f t="shared" si="0"/>
        <v>DAVIS WENDY</v>
      </c>
    </row>
    <row r="46" spans="1:7" x14ac:dyDescent="0.25">
      <c r="A46" s="8">
        <v>42730.287361111114</v>
      </c>
      <c r="B46" s="21" t="s">
        <v>345</v>
      </c>
      <c r="C46" s="21" t="s">
        <v>421</v>
      </c>
      <c r="D46" s="164">
        <v>1110000</v>
      </c>
      <c r="E46" s="21" t="s">
        <v>459</v>
      </c>
      <c r="F46" s="21" t="s">
        <v>460</v>
      </c>
      <c r="G46" s="8" t="str">
        <f t="shared" si="0"/>
        <v>STARKS ANGELINA</v>
      </c>
    </row>
    <row r="47" spans="1:7" x14ac:dyDescent="0.25">
      <c r="A47" s="8">
        <v>42730.287581018521</v>
      </c>
      <c r="B47" s="21" t="s">
        <v>329</v>
      </c>
      <c r="C47" s="21" t="s">
        <v>488</v>
      </c>
      <c r="D47" s="164">
        <v>2110000</v>
      </c>
      <c r="E47" s="21" t="s">
        <v>294</v>
      </c>
      <c r="F47" s="21" t="s">
        <v>295</v>
      </c>
      <c r="G47" s="8" t="str">
        <f t="shared" si="0"/>
        <v>OUN ZACK</v>
      </c>
    </row>
    <row r="48" spans="1:7" x14ac:dyDescent="0.25">
      <c r="A48" s="8">
        <v>42730.297175925924</v>
      </c>
      <c r="B48" s="21" t="s">
        <v>271</v>
      </c>
      <c r="C48" s="21" t="s">
        <v>426</v>
      </c>
      <c r="D48" s="164">
        <v>1990000</v>
      </c>
      <c r="E48" s="21" t="s">
        <v>263</v>
      </c>
      <c r="F48" s="21" t="s">
        <v>347</v>
      </c>
      <c r="G48" s="8" t="str">
        <f t="shared" si="0"/>
        <v>DAVIS WENDY</v>
      </c>
    </row>
    <row r="49" spans="1:7" x14ac:dyDescent="0.25">
      <c r="A49" s="8">
        <v>42730.297291666669</v>
      </c>
      <c r="B49" s="21" t="s">
        <v>259</v>
      </c>
      <c r="C49" s="21" t="s">
        <v>489</v>
      </c>
      <c r="D49" s="164">
        <v>2680000</v>
      </c>
      <c r="E49" s="21" t="s">
        <v>464</v>
      </c>
      <c r="F49" s="21" t="s">
        <v>465</v>
      </c>
      <c r="G49" s="8" t="str">
        <f t="shared" si="0"/>
        <v>DUNCAN SHEILA</v>
      </c>
    </row>
    <row r="50" spans="1:7" x14ac:dyDescent="0.25">
      <c r="A50" s="8">
        <v>42730.298946759256</v>
      </c>
      <c r="B50" s="21" t="s">
        <v>155</v>
      </c>
      <c r="C50" s="21" t="s">
        <v>490</v>
      </c>
      <c r="D50" s="164">
        <v>2020000</v>
      </c>
      <c r="E50" s="21" t="s">
        <v>350</v>
      </c>
      <c r="F50" s="21" t="s">
        <v>248</v>
      </c>
      <c r="G50" s="8" t="str">
        <f t="shared" si="0"/>
        <v>SHOOK JOHN</v>
      </c>
    </row>
    <row r="51" spans="1:7" x14ac:dyDescent="0.25">
      <c r="A51" s="8">
        <v>42730.298958333333</v>
      </c>
      <c r="B51" s="21" t="s">
        <v>259</v>
      </c>
      <c r="C51" s="21" t="s">
        <v>489</v>
      </c>
      <c r="D51" s="164">
        <v>2680000</v>
      </c>
      <c r="E51" s="21" t="s">
        <v>464</v>
      </c>
      <c r="F51" s="21" t="s">
        <v>465</v>
      </c>
      <c r="G51" s="8" t="str">
        <f t="shared" si="0"/>
        <v>DUNCAN SHEILA</v>
      </c>
    </row>
    <row r="52" spans="1:7" x14ac:dyDescent="0.25">
      <c r="A52" s="8">
        <v>42730.300011574072</v>
      </c>
      <c r="B52" s="21" t="s">
        <v>292</v>
      </c>
      <c r="C52" s="21" t="s">
        <v>427</v>
      </c>
      <c r="D52" s="164">
        <v>2140000</v>
      </c>
      <c r="E52" s="21" t="s">
        <v>348</v>
      </c>
      <c r="F52" s="21" t="s">
        <v>349</v>
      </c>
      <c r="G52" s="8" t="str">
        <f t="shared" si="0"/>
        <v>ROBINSON KADDIBA</v>
      </c>
    </row>
    <row r="53" spans="1:7" x14ac:dyDescent="0.25">
      <c r="A53" s="8">
        <v>42730.304409722223</v>
      </c>
      <c r="B53" s="21" t="s">
        <v>212</v>
      </c>
      <c r="C53" s="21" t="s">
        <v>491</v>
      </c>
      <c r="D53" s="164">
        <v>2670000</v>
      </c>
      <c r="E53" s="21" t="s">
        <v>479</v>
      </c>
      <c r="F53" s="21" t="s">
        <v>480</v>
      </c>
      <c r="G53" s="8" t="str">
        <f t="shared" si="0"/>
        <v>COMELLA JUSTIN</v>
      </c>
    </row>
    <row r="54" spans="1:7" x14ac:dyDescent="0.25">
      <c r="A54" s="8">
        <v>42730.307939814818</v>
      </c>
      <c r="B54" s="21" t="s">
        <v>293</v>
      </c>
      <c r="C54" s="21" t="s">
        <v>428</v>
      </c>
      <c r="D54" s="164">
        <v>2730000</v>
      </c>
      <c r="E54" s="21" t="s">
        <v>313</v>
      </c>
      <c r="F54" s="21" t="s">
        <v>314</v>
      </c>
      <c r="G54" s="8" t="str">
        <f t="shared" si="0"/>
        <v>YANG JAN</v>
      </c>
    </row>
    <row r="55" spans="1:7" x14ac:dyDescent="0.25">
      <c r="A55" s="8">
        <v>42730.308958333335</v>
      </c>
      <c r="B55" s="21" t="s">
        <v>290</v>
      </c>
      <c r="C55" s="21" t="s">
        <v>492</v>
      </c>
      <c r="D55" s="164">
        <v>2610000</v>
      </c>
      <c r="E55" s="21" t="s">
        <v>455</v>
      </c>
      <c r="F55" s="21" t="s">
        <v>456</v>
      </c>
      <c r="G55" s="8" t="str">
        <f t="shared" si="0"/>
        <v>MAGEE KENYA</v>
      </c>
    </row>
    <row r="56" spans="1:7" x14ac:dyDescent="0.25">
      <c r="A56" s="8">
        <v>42730.318124999998</v>
      </c>
      <c r="B56" s="21" t="s">
        <v>443</v>
      </c>
      <c r="C56" s="21" t="s">
        <v>493</v>
      </c>
      <c r="D56" s="164">
        <v>2670000</v>
      </c>
      <c r="E56" s="21" t="s">
        <v>479</v>
      </c>
      <c r="F56" s="21" t="s">
        <v>480</v>
      </c>
      <c r="G56" s="8" t="str">
        <f t="shared" si="0"/>
        <v>COMELLA JUSTIN</v>
      </c>
    </row>
    <row r="57" spans="1:7" x14ac:dyDescent="0.25">
      <c r="A57" s="8">
        <v>42730.319641203707</v>
      </c>
      <c r="B57" s="21" t="s">
        <v>344</v>
      </c>
      <c r="C57" s="21" t="s">
        <v>494</v>
      </c>
      <c r="D57" s="164">
        <v>1110000</v>
      </c>
      <c r="E57" s="21" t="s">
        <v>459</v>
      </c>
      <c r="F57" s="21" t="s">
        <v>460</v>
      </c>
      <c r="G57" s="8" t="str">
        <f t="shared" si="0"/>
        <v>STARKS ANGELINA</v>
      </c>
    </row>
    <row r="58" spans="1:7" x14ac:dyDescent="0.25">
      <c r="A58" s="8">
        <v>42730.32503472222</v>
      </c>
      <c r="B58" s="21" t="s">
        <v>272</v>
      </c>
      <c r="C58" s="21" t="s">
        <v>429</v>
      </c>
      <c r="D58" s="164">
        <v>1990000</v>
      </c>
      <c r="E58" s="21" t="s">
        <v>263</v>
      </c>
      <c r="F58" s="21" t="s">
        <v>347</v>
      </c>
      <c r="G58" s="8" t="str">
        <f t="shared" si="0"/>
        <v>DAVIS WENDY</v>
      </c>
    </row>
    <row r="59" spans="1:7" x14ac:dyDescent="0.25">
      <c r="A59" s="8">
        <v>42730.325486111113</v>
      </c>
      <c r="B59" s="21" t="s">
        <v>381</v>
      </c>
      <c r="C59" s="21" t="s">
        <v>495</v>
      </c>
      <c r="D59" s="164">
        <v>2110000</v>
      </c>
      <c r="E59" s="21" t="s">
        <v>294</v>
      </c>
      <c r="F59" s="21" t="s">
        <v>295</v>
      </c>
      <c r="G59" s="8" t="str">
        <f t="shared" si="0"/>
        <v>OUN ZACK</v>
      </c>
    </row>
    <row r="60" spans="1:7" x14ac:dyDescent="0.25">
      <c r="A60" s="8">
        <v>42730.330370370371</v>
      </c>
      <c r="B60" s="21" t="s">
        <v>229</v>
      </c>
      <c r="C60" s="21" t="s">
        <v>496</v>
      </c>
      <c r="D60" s="164">
        <v>2680000</v>
      </c>
      <c r="E60" s="21" t="s">
        <v>464</v>
      </c>
      <c r="F60" s="21" t="s">
        <v>465</v>
      </c>
      <c r="G60" s="8" t="str">
        <f t="shared" si="0"/>
        <v>DUNCAN SHEILA</v>
      </c>
    </row>
    <row r="61" spans="1:7" x14ac:dyDescent="0.25">
      <c r="A61" s="8">
        <v>42730.335057870368</v>
      </c>
      <c r="B61" s="21" t="s">
        <v>234</v>
      </c>
      <c r="C61" s="21" t="s">
        <v>497</v>
      </c>
      <c r="D61" s="164">
        <v>2140000</v>
      </c>
      <c r="E61" s="21" t="s">
        <v>348</v>
      </c>
      <c r="F61" s="21" t="s">
        <v>349</v>
      </c>
      <c r="G61" s="8" t="str">
        <f t="shared" si="0"/>
        <v>ROBINSON KADDIBA</v>
      </c>
    </row>
    <row r="62" spans="1:7" x14ac:dyDescent="0.25">
      <c r="A62" s="8">
        <v>42730.339131944442</v>
      </c>
      <c r="B62" s="21" t="s">
        <v>271</v>
      </c>
      <c r="C62" s="21" t="s">
        <v>498</v>
      </c>
      <c r="D62" s="164">
        <v>1990000</v>
      </c>
      <c r="E62" s="21" t="s">
        <v>263</v>
      </c>
      <c r="F62" s="21" t="s">
        <v>347</v>
      </c>
      <c r="G62" s="8" t="str">
        <f t="shared" si="0"/>
        <v>DAVIS WENDY</v>
      </c>
    </row>
    <row r="63" spans="1:7" x14ac:dyDescent="0.25">
      <c r="A63" s="8">
        <v>42730.339606481481</v>
      </c>
      <c r="B63" s="21" t="s">
        <v>154</v>
      </c>
      <c r="C63" s="21" t="s">
        <v>499</v>
      </c>
      <c r="D63" s="164">
        <v>2020000</v>
      </c>
      <c r="E63" s="21" t="s">
        <v>350</v>
      </c>
      <c r="F63" s="21" t="s">
        <v>248</v>
      </c>
      <c r="G63" s="8" t="str">
        <f t="shared" si="0"/>
        <v>SHOOK JOHN</v>
      </c>
    </row>
    <row r="64" spans="1:7" x14ac:dyDescent="0.25">
      <c r="A64" s="27">
        <v>42730.346168981479</v>
      </c>
      <c r="B64" s="21" t="s">
        <v>289</v>
      </c>
      <c r="C64" s="21" t="s">
        <v>500</v>
      </c>
      <c r="D64" s="164">
        <v>2610000</v>
      </c>
      <c r="E64" s="21" t="s">
        <v>455</v>
      </c>
      <c r="F64" s="21" t="s">
        <v>456</v>
      </c>
      <c r="G64" s="8" t="str">
        <f t="shared" si="0"/>
        <v>MAGEE KENYA</v>
      </c>
    </row>
    <row r="65" spans="1:7" x14ac:dyDescent="0.25">
      <c r="A65" s="8">
        <v>42730.347233796296</v>
      </c>
      <c r="B65" s="21" t="s">
        <v>212</v>
      </c>
      <c r="C65" s="21" t="s">
        <v>501</v>
      </c>
      <c r="D65" s="164">
        <v>2670000</v>
      </c>
      <c r="E65" s="21" t="s">
        <v>479</v>
      </c>
      <c r="F65" s="21" t="s">
        <v>480</v>
      </c>
      <c r="G65" s="8" t="str">
        <f t="shared" si="0"/>
        <v>COMELLA JUSTIN</v>
      </c>
    </row>
    <row r="66" spans="1:7" x14ac:dyDescent="0.25">
      <c r="A66" s="8">
        <v>42730.349351851852</v>
      </c>
      <c r="B66" s="21" t="s">
        <v>291</v>
      </c>
      <c r="C66" s="21" t="s">
        <v>502</v>
      </c>
      <c r="D66" s="164">
        <v>2730000</v>
      </c>
      <c r="E66" s="21" t="s">
        <v>313</v>
      </c>
      <c r="F66" s="21" t="s">
        <v>314</v>
      </c>
      <c r="G66" s="8" t="str">
        <f t="shared" si="0"/>
        <v>YANG JAN</v>
      </c>
    </row>
    <row r="67" spans="1:7" x14ac:dyDescent="0.25">
      <c r="A67" s="8">
        <v>42730.353541666664</v>
      </c>
      <c r="B67" s="21" t="s">
        <v>272</v>
      </c>
      <c r="C67" s="21" t="s">
        <v>503</v>
      </c>
      <c r="D67" s="164">
        <v>1990000</v>
      </c>
      <c r="E67" s="21" t="s">
        <v>263</v>
      </c>
      <c r="F67" s="21" t="s">
        <v>347</v>
      </c>
      <c r="G67" s="8" t="str">
        <f t="shared" ref="G67:G130" si="1">E67&amp;" "&amp;F67</f>
        <v>DAVIS WENDY</v>
      </c>
    </row>
    <row r="68" spans="1:7" x14ac:dyDescent="0.25">
      <c r="A68" s="8">
        <v>42730.3591087963</v>
      </c>
      <c r="B68" s="21" t="s">
        <v>345</v>
      </c>
      <c r="C68" s="21" t="s">
        <v>504</v>
      </c>
      <c r="D68" s="164">
        <v>1110000</v>
      </c>
      <c r="E68" s="21" t="s">
        <v>459</v>
      </c>
      <c r="F68" s="21" t="s">
        <v>460</v>
      </c>
      <c r="G68" s="8" t="str">
        <f t="shared" si="1"/>
        <v>STARKS ANGELINA</v>
      </c>
    </row>
    <row r="69" spans="1:7" x14ac:dyDescent="0.25">
      <c r="A69" s="8">
        <v>42730.360092592593</v>
      </c>
      <c r="B69" s="21" t="s">
        <v>443</v>
      </c>
      <c r="C69" s="21" t="s">
        <v>505</v>
      </c>
      <c r="D69" s="164">
        <v>2670000</v>
      </c>
      <c r="E69" s="21" t="s">
        <v>479</v>
      </c>
      <c r="F69" s="21" t="s">
        <v>480</v>
      </c>
      <c r="G69" s="8" t="str">
        <f t="shared" si="1"/>
        <v>COMELLA JUSTIN</v>
      </c>
    </row>
    <row r="70" spans="1:7" x14ac:dyDescent="0.25">
      <c r="A70" s="8">
        <v>42730.360763888886</v>
      </c>
      <c r="B70" s="21" t="s">
        <v>329</v>
      </c>
      <c r="C70" s="21" t="s">
        <v>506</v>
      </c>
      <c r="D70" s="164">
        <v>2110000</v>
      </c>
      <c r="E70" s="21" t="s">
        <v>294</v>
      </c>
      <c r="F70" s="21" t="s">
        <v>295</v>
      </c>
      <c r="G70" s="8" t="str">
        <f t="shared" si="1"/>
        <v>OUN ZACK</v>
      </c>
    </row>
    <row r="71" spans="1:7" x14ac:dyDescent="0.25">
      <c r="A71" s="8">
        <v>42730.367395833331</v>
      </c>
      <c r="B71" s="21" t="s">
        <v>259</v>
      </c>
      <c r="C71" s="21" t="s">
        <v>430</v>
      </c>
      <c r="D71" s="164">
        <v>2680000</v>
      </c>
      <c r="E71" s="21" t="s">
        <v>464</v>
      </c>
      <c r="F71" s="21" t="s">
        <v>465</v>
      </c>
      <c r="G71" s="8" t="str">
        <f t="shared" si="1"/>
        <v>DUNCAN SHEILA</v>
      </c>
    </row>
    <row r="72" spans="1:7" x14ac:dyDescent="0.25">
      <c r="A72" s="8">
        <v>42730.370891203704</v>
      </c>
      <c r="B72" s="21" t="s">
        <v>292</v>
      </c>
      <c r="C72" s="21" t="s">
        <v>507</v>
      </c>
      <c r="D72" s="164">
        <v>2140000</v>
      </c>
      <c r="E72" s="21" t="s">
        <v>348</v>
      </c>
      <c r="F72" s="21" t="s">
        <v>349</v>
      </c>
      <c r="G72" s="8" t="str">
        <f t="shared" si="1"/>
        <v>ROBINSON KADDIBA</v>
      </c>
    </row>
    <row r="73" spans="1:7" x14ac:dyDescent="0.25">
      <c r="A73" s="8">
        <v>42730.371527777781</v>
      </c>
      <c r="B73" s="21" t="s">
        <v>155</v>
      </c>
      <c r="C73" s="21" t="s">
        <v>508</v>
      </c>
      <c r="D73" s="164">
        <v>2020000</v>
      </c>
      <c r="E73" s="21" t="s">
        <v>350</v>
      </c>
      <c r="F73" s="21" t="s">
        <v>248</v>
      </c>
      <c r="G73" s="8" t="str">
        <f t="shared" si="1"/>
        <v>SHOOK JOHN</v>
      </c>
    </row>
    <row r="74" spans="1:7" x14ac:dyDescent="0.25">
      <c r="A74" s="8">
        <v>42730.380648148152</v>
      </c>
      <c r="B74" s="21" t="s">
        <v>293</v>
      </c>
      <c r="C74" s="21" t="s">
        <v>509</v>
      </c>
      <c r="D74" s="164">
        <v>2730000</v>
      </c>
      <c r="E74" s="21" t="s">
        <v>313</v>
      </c>
      <c r="F74" s="21" t="s">
        <v>314</v>
      </c>
      <c r="G74" s="8" t="str">
        <f t="shared" si="1"/>
        <v>YANG JAN</v>
      </c>
    </row>
    <row r="75" spans="1:7" x14ac:dyDescent="0.25">
      <c r="A75" s="8">
        <v>42730.3825462963</v>
      </c>
      <c r="B75" s="21" t="s">
        <v>290</v>
      </c>
      <c r="C75" s="21" t="s">
        <v>510</v>
      </c>
      <c r="D75" s="164">
        <v>2610000</v>
      </c>
      <c r="E75" s="21" t="s">
        <v>455</v>
      </c>
      <c r="F75" s="21" t="s">
        <v>456</v>
      </c>
      <c r="G75" s="8" t="str">
        <f t="shared" si="1"/>
        <v>MAGEE KENYA</v>
      </c>
    </row>
    <row r="76" spans="1:7" x14ac:dyDescent="0.25">
      <c r="A76" s="8">
        <v>42730.38857638889</v>
      </c>
      <c r="B76" s="21" t="s">
        <v>212</v>
      </c>
      <c r="C76" s="21" t="s">
        <v>511</v>
      </c>
      <c r="D76" s="164">
        <v>2670000</v>
      </c>
      <c r="E76" s="21" t="s">
        <v>479</v>
      </c>
      <c r="F76" s="21" t="s">
        <v>480</v>
      </c>
      <c r="G76" s="8" t="str">
        <f t="shared" si="1"/>
        <v>COMELLA JUSTIN</v>
      </c>
    </row>
    <row r="77" spans="1:7" x14ac:dyDescent="0.25">
      <c r="A77" s="8">
        <v>42730.392164351855</v>
      </c>
      <c r="B77" s="21" t="s">
        <v>344</v>
      </c>
      <c r="C77" s="21" t="s">
        <v>431</v>
      </c>
      <c r="D77" s="164">
        <v>1110000</v>
      </c>
      <c r="E77" s="21" t="s">
        <v>459</v>
      </c>
      <c r="F77" s="21" t="s">
        <v>460</v>
      </c>
      <c r="G77" s="8" t="str">
        <f t="shared" si="1"/>
        <v>STARKS ANGELINA</v>
      </c>
    </row>
    <row r="78" spans="1:7" x14ac:dyDescent="0.25">
      <c r="A78" s="8">
        <v>42730.398460648146</v>
      </c>
      <c r="B78" s="21" t="s">
        <v>381</v>
      </c>
      <c r="C78" s="21" t="s">
        <v>512</v>
      </c>
      <c r="D78" s="164">
        <v>2110000</v>
      </c>
      <c r="E78" s="21" t="s">
        <v>294</v>
      </c>
      <c r="F78" s="21" t="s">
        <v>295</v>
      </c>
      <c r="G78" s="8" t="str">
        <f t="shared" si="1"/>
        <v>OUN ZACK</v>
      </c>
    </row>
    <row r="79" spans="1:7" x14ac:dyDescent="0.25">
      <c r="A79" s="8">
        <v>42730.401261574072</v>
      </c>
      <c r="B79" s="21" t="s">
        <v>443</v>
      </c>
      <c r="C79" s="21" t="s">
        <v>513</v>
      </c>
      <c r="D79" s="164">
        <v>2670000</v>
      </c>
      <c r="E79" s="21" t="s">
        <v>479</v>
      </c>
      <c r="F79" s="21" t="s">
        <v>480</v>
      </c>
      <c r="G79" s="8" t="str">
        <f t="shared" si="1"/>
        <v>COMELLA JUSTIN</v>
      </c>
    </row>
    <row r="80" spans="1:7" x14ac:dyDescent="0.25">
      <c r="A80" s="8">
        <v>42730.403796296298</v>
      </c>
      <c r="B80" s="21" t="s">
        <v>229</v>
      </c>
      <c r="C80" s="21" t="s">
        <v>514</v>
      </c>
      <c r="D80" s="164">
        <v>2680000</v>
      </c>
      <c r="E80" s="21" t="s">
        <v>464</v>
      </c>
      <c r="F80" s="21" t="s">
        <v>465</v>
      </c>
      <c r="G80" s="8" t="str">
        <f t="shared" si="1"/>
        <v>DUNCAN SHEILA</v>
      </c>
    </row>
    <row r="81" spans="1:7" x14ac:dyDescent="0.25">
      <c r="A81" s="8">
        <v>42730.408726851849</v>
      </c>
      <c r="B81" s="21" t="s">
        <v>234</v>
      </c>
      <c r="C81" s="21" t="s">
        <v>515</v>
      </c>
      <c r="D81" s="164">
        <v>2140000</v>
      </c>
      <c r="E81" s="21" t="s">
        <v>348</v>
      </c>
      <c r="F81" s="21" t="s">
        <v>349</v>
      </c>
      <c r="G81" s="8" t="str">
        <f t="shared" si="1"/>
        <v>ROBINSON KADDIBA</v>
      </c>
    </row>
    <row r="82" spans="1:7" x14ac:dyDescent="0.25">
      <c r="A82" s="8">
        <v>42730.412152777775</v>
      </c>
      <c r="B82" s="21" t="s">
        <v>154</v>
      </c>
      <c r="C82" s="21" t="s">
        <v>516</v>
      </c>
      <c r="D82" s="164">
        <v>2020000</v>
      </c>
      <c r="E82" s="21" t="s">
        <v>350</v>
      </c>
      <c r="F82" s="21" t="s">
        <v>248</v>
      </c>
      <c r="G82" s="8" t="str">
        <f t="shared" si="1"/>
        <v>SHOOK JOHN</v>
      </c>
    </row>
    <row r="83" spans="1:7" x14ac:dyDescent="0.25">
      <c r="A83" s="8">
        <v>42730.413599537038</v>
      </c>
      <c r="B83" s="21" t="s">
        <v>289</v>
      </c>
      <c r="C83" s="21" t="s">
        <v>517</v>
      </c>
      <c r="D83" s="164">
        <v>2610000</v>
      </c>
      <c r="E83" s="21" t="s">
        <v>455</v>
      </c>
      <c r="F83" s="21" t="s">
        <v>456</v>
      </c>
      <c r="G83" s="8" t="str">
        <f t="shared" si="1"/>
        <v>MAGEE KENYA</v>
      </c>
    </row>
    <row r="84" spans="1:7" x14ac:dyDescent="0.25">
      <c r="A84" s="8">
        <v>42730.422974537039</v>
      </c>
      <c r="B84" s="21" t="s">
        <v>291</v>
      </c>
      <c r="C84" s="21" t="s">
        <v>518</v>
      </c>
      <c r="D84" s="164">
        <v>2730000</v>
      </c>
      <c r="E84" s="21" t="s">
        <v>313</v>
      </c>
      <c r="F84" s="21" t="s">
        <v>314</v>
      </c>
      <c r="G84" s="8" t="str">
        <f t="shared" si="1"/>
        <v>YANG JAN</v>
      </c>
    </row>
    <row r="85" spans="1:7" x14ac:dyDescent="0.25">
      <c r="A85" s="8">
        <v>42730.430451388886</v>
      </c>
      <c r="B85" s="21" t="s">
        <v>212</v>
      </c>
      <c r="C85" s="21" t="s">
        <v>519</v>
      </c>
      <c r="D85" s="164">
        <v>2670000</v>
      </c>
      <c r="E85" s="21" t="s">
        <v>479</v>
      </c>
      <c r="F85" s="21" t="s">
        <v>480</v>
      </c>
      <c r="G85" s="8" t="str">
        <f t="shared" si="1"/>
        <v>COMELLA JUSTIN</v>
      </c>
    </row>
    <row r="86" spans="1:7" x14ac:dyDescent="0.25">
      <c r="A86" s="8">
        <v>42730.432789351849</v>
      </c>
      <c r="B86" s="21" t="s">
        <v>345</v>
      </c>
      <c r="C86" s="21" t="s">
        <v>520</v>
      </c>
      <c r="D86" s="164">
        <v>1110000</v>
      </c>
      <c r="E86" s="21" t="s">
        <v>459</v>
      </c>
      <c r="F86" s="21" t="s">
        <v>460</v>
      </c>
      <c r="G86" s="8" t="str">
        <f t="shared" si="1"/>
        <v>STARKS ANGELINA</v>
      </c>
    </row>
    <row r="87" spans="1:7" x14ac:dyDescent="0.25">
      <c r="A87" s="8">
        <v>42730.434050925927</v>
      </c>
      <c r="B87" s="21" t="s">
        <v>329</v>
      </c>
      <c r="C87" s="21" t="s">
        <v>521</v>
      </c>
      <c r="D87" s="164">
        <v>1990000</v>
      </c>
      <c r="E87" s="21" t="s">
        <v>263</v>
      </c>
      <c r="F87" s="21" t="s">
        <v>347</v>
      </c>
      <c r="G87" s="8" t="str">
        <f t="shared" si="1"/>
        <v>DAVIS WENDY</v>
      </c>
    </row>
    <row r="88" spans="1:7" x14ac:dyDescent="0.25">
      <c r="A88" s="8">
        <v>42730.441562499997</v>
      </c>
      <c r="B88" s="21" t="s">
        <v>259</v>
      </c>
      <c r="C88" s="21" t="s">
        <v>522</v>
      </c>
      <c r="D88" s="164">
        <v>2680000</v>
      </c>
      <c r="E88" s="21" t="s">
        <v>464</v>
      </c>
      <c r="F88" s="21" t="s">
        <v>465</v>
      </c>
      <c r="G88" s="8" t="str">
        <f t="shared" si="1"/>
        <v>DUNCAN SHEILA</v>
      </c>
    </row>
    <row r="89" spans="1:7" x14ac:dyDescent="0.25">
      <c r="A89" s="8">
        <v>42730.442384259259</v>
      </c>
      <c r="B89" s="21" t="s">
        <v>443</v>
      </c>
      <c r="C89" s="21" t="s">
        <v>523</v>
      </c>
      <c r="D89" s="164">
        <v>2670000</v>
      </c>
      <c r="E89" s="21" t="s">
        <v>479</v>
      </c>
      <c r="F89" s="21" t="s">
        <v>480</v>
      </c>
      <c r="G89" s="8" t="str">
        <f t="shared" si="1"/>
        <v>COMELLA JUSTIN</v>
      </c>
    </row>
    <row r="90" spans="1:7" x14ac:dyDescent="0.25">
      <c r="A90" s="8">
        <v>42730.444837962961</v>
      </c>
      <c r="B90" s="21" t="s">
        <v>292</v>
      </c>
      <c r="C90" s="21" t="s">
        <v>524</v>
      </c>
      <c r="D90" s="164">
        <v>2140000</v>
      </c>
      <c r="E90" s="21" t="s">
        <v>348</v>
      </c>
      <c r="F90" s="21" t="s">
        <v>349</v>
      </c>
      <c r="G90" s="8" t="str">
        <f t="shared" si="1"/>
        <v>ROBINSON KADDIBA</v>
      </c>
    </row>
    <row r="91" spans="1:7" x14ac:dyDescent="0.25">
      <c r="A91" s="8">
        <v>42730.446423611109</v>
      </c>
      <c r="B91" s="21" t="s">
        <v>155</v>
      </c>
      <c r="C91" s="21" t="s">
        <v>525</v>
      </c>
      <c r="D91" s="164">
        <v>2020000</v>
      </c>
      <c r="E91" s="21" t="s">
        <v>350</v>
      </c>
      <c r="F91" s="21" t="s">
        <v>248</v>
      </c>
      <c r="G91" s="8" t="str">
        <f t="shared" si="1"/>
        <v>SHOOK JOHN</v>
      </c>
    </row>
    <row r="92" spans="1:7" x14ac:dyDescent="0.25">
      <c r="A92" s="8">
        <v>42730.45380787037</v>
      </c>
      <c r="B92" s="21" t="s">
        <v>293</v>
      </c>
      <c r="C92" s="21" t="s">
        <v>526</v>
      </c>
      <c r="D92" s="164">
        <v>2730000</v>
      </c>
      <c r="E92" s="21" t="s">
        <v>313</v>
      </c>
      <c r="F92" s="21" t="s">
        <v>314</v>
      </c>
      <c r="G92" s="8" t="str">
        <f t="shared" si="1"/>
        <v>YANG JAN</v>
      </c>
    </row>
    <row r="93" spans="1:7" x14ac:dyDescent="0.25">
      <c r="A93" s="8">
        <v>42730.453935185185</v>
      </c>
      <c r="B93" s="21" t="s">
        <v>290</v>
      </c>
      <c r="C93" s="21" t="s">
        <v>432</v>
      </c>
      <c r="D93" s="164">
        <v>880000</v>
      </c>
      <c r="E93" s="21" t="s">
        <v>353</v>
      </c>
      <c r="F93" s="21" t="s">
        <v>262</v>
      </c>
      <c r="G93" s="8" t="str">
        <f t="shared" si="1"/>
        <v>STEWART MICHAEL</v>
      </c>
    </row>
    <row r="94" spans="1:7" x14ac:dyDescent="0.25">
      <c r="A94" s="8">
        <v>42730.468171296299</v>
      </c>
      <c r="B94" s="21" t="s">
        <v>344</v>
      </c>
      <c r="C94" s="21" t="s">
        <v>527</v>
      </c>
      <c r="D94" s="164">
        <v>920000</v>
      </c>
      <c r="E94" s="21" t="s">
        <v>263</v>
      </c>
      <c r="F94" s="21" t="s">
        <v>262</v>
      </c>
      <c r="G94" s="8" t="str">
        <f t="shared" si="1"/>
        <v>DAVIS MICHAEL</v>
      </c>
    </row>
    <row r="95" spans="1:7" x14ac:dyDescent="0.25">
      <c r="A95" s="8">
        <v>42730.470555555556</v>
      </c>
      <c r="B95" s="21" t="s">
        <v>212</v>
      </c>
      <c r="C95" s="21" t="s">
        <v>528</v>
      </c>
      <c r="D95" s="164">
        <v>2670000</v>
      </c>
      <c r="E95" s="21" t="s">
        <v>479</v>
      </c>
      <c r="F95" s="21" t="s">
        <v>480</v>
      </c>
      <c r="G95" s="8" t="str">
        <f t="shared" si="1"/>
        <v>COMELLA JUSTIN</v>
      </c>
    </row>
    <row r="96" spans="1:7" x14ac:dyDescent="0.25">
      <c r="A96" s="8">
        <v>42730.473032407404</v>
      </c>
      <c r="B96" s="21" t="s">
        <v>381</v>
      </c>
      <c r="C96" s="21" t="s">
        <v>529</v>
      </c>
      <c r="D96" s="164">
        <v>1990000</v>
      </c>
      <c r="E96" s="21" t="s">
        <v>263</v>
      </c>
      <c r="F96" s="21" t="s">
        <v>347</v>
      </c>
      <c r="G96" s="8" t="str">
        <f t="shared" si="1"/>
        <v>DAVIS WENDY</v>
      </c>
    </row>
    <row r="97" spans="1:7" x14ac:dyDescent="0.25">
      <c r="A97" s="8">
        <v>42730.475914351853</v>
      </c>
      <c r="B97" s="21" t="s">
        <v>229</v>
      </c>
      <c r="C97" s="21" t="s">
        <v>530</v>
      </c>
      <c r="D97" s="164">
        <v>930000</v>
      </c>
      <c r="E97" s="21" t="s">
        <v>531</v>
      </c>
      <c r="F97" s="21" t="s">
        <v>532</v>
      </c>
      <c r="G97" s="8" t="str">
        <f t="shared" si="1"/>
        <v>CLARK KATHLEEN</v>
      </c>
    </row>
    <row r="98" spans="1:7" x14ac:dyDescent="0.25">
      <c r="A98" s="8">
        <v>42730.483032407406</v>
      </c>
      <c r="B98" s="21" t="s">
        <v>234</v>
      </c>
      <c r="C98" s="21" t="s">
        <v>533</v>
      </c>
      <c r="D98" s="164">
        <v>2140000</v>
      </c>
      <c r="E98" s="21" t="s">
        <v>348</v>
      </c>
      <c r="F98" s="21" t="s">
        <v>349</v>
      </c>
      <c r="G98" s="8" t="str">
        <f t="shared" si="1"/>
        <v>ROBINSON KADDIBA</v>
      </c>
    </row>
    <row r="99" spans="1:7" x14ac:dyDescent="0.25">
      <c r="A99" s="8">
        <v>42730.485300925924</v>
      </c>
      <c r="B99" s="21" t="s">
        <v>443</v>
      </c>
      <c r="C99" s="21" t="s">
        <v>534</v>
      </c>
      <c r="D99" s="164">
        <v>2670000</v>
      </c>
      <c r="E99" s="21" t="s">
        <v>479</v>
      </c>
      <c r="F99" s="21" t="s">
        <v>480</v>
      </c>
      <c r="G99" s="8" t="str">
        <f t="shared" si="1"/>
        <v>COMELLA JUSTIN</v>
      </c>
    </row>
    <row r="100" spans="1:7" x14ac:dyDescent="0.25">
      <c r="A100" s="8">
        <v>42730.486145833333</v>
      </c>
      <c r="B100" s="21" t="s">
        <v>154</v>
      </c>
      <c r="C100" s="21" t="s">
        <v>433</v>
      </c>
      <c r="D100" s="164">
        <v>1820000</v>
      </c>
      <c r="E100" s="21" t="s">
        <v>385</v>
      </c>
      <c r="F100" s="21" t="s">
        <v>386</v>
      </c>
      <c r="G100" s="8" t="str">
        <f t="shared" si="1"/>
        <v>ADANE ELSHADAY</v>
      </c>
    </row>
    <row r="101" spans="1:7" x14ac:dyDescent="0.25">
      <c r="A101" s="8">
        <v>42730.495972222219</v>
      </c>
      <c r="B101" s="21" t="s">
        <v>291</v>
      </c>
      <c r="C101" s="21" t="s">
        <v>535</v>
      </c>
      <c r="D101" s="164">
        <v>2250000</v>
      </c>
      <c r="E101" s="21" t="s">
        <v>389</v>
      </c>
      <c r="F101" s="21" t="s">
        <v>390</v>
      </c>
      <c r="G101" s="8" t="str">
        <f t="shared" si="1"/>
        <v>CRAYTON QUNTRELL</v>
      </c>
    </row>
    <row r="102" spans="1:7" x14ac:dyDescent="0.25">
      <c r="A102" s="8">
        <v>42730.496435185189</v>
      </c>
      <c r="B102" s="21" t="s">
        <v>289</v>
      </c>
      <c r="C102" s="21" t="s">
        <v>536</v>
      </c>
      <c r="D102" s="164">
        <v>880000</v>
      </c>
      <c r="E102" s="21" t="s">
        <v>353</v>
      </c>
      <c r="F102" s="21" t="s">
        <v>262</v>
      </c>
      <c r="G102" s="8" t="str">
        <f t="shared" si="1"/>
        <v>STEWART MICHAEL</v>
      </c>
    </row>
    <row r="103" spans="1:7" x14ac:dyDescent="0.25">
      <c r="A103" s="8">
        <v>42730.504745370374</v>
      </c>
      <c r="B103" s="21" t="s">
        <v>345</v>
      </c>
      <c r="C103" s="21" t="s">
        <v>435</v>
      </c>
      <c r="D103" s="164">
        <v>920000</v>
      </c>
      <c r="E103" s="21" t="s">
        <v>263</v>
      </c>
      <c r="F103" s="21" t="s">
        <v>262</v>
      </c>
      <c r="G103" s="8" t="str">
        <f t="shared" si="1"/>
        <v>DAVIS MICHAEL</v>
      </c>
    </row>
    <row r="104" spans="1:7" x14ac:dyDescent="0.25">
      <c r="A104" s="8">
        <v>42730.509722222225</v>
      </c>
      <c r="B104" s="21" t="s">
        <v>329</v>
      </c>
      <c r="C104" s="21" t="s">
        <v>537</v>
      </c>
      <c r="D104" s="164">
        <v>2710000</v>
      </c>
      <c r="E104" s="21" t="s">
        <v>538</v>
      </c>
      <c r="F104" s="21" t="s">
        <v>539</v>
      </c>
      <c r="G104" s="8" t="str">
        <f t="shared" si="1"/>
        <v>SIMMONS SHYHESHA</v>
      </c>
    </row>
    <row r="105" spans="1:7" x14ac:dyDescent="0.25">
      <c r="A105" s="8">
        <v>42730.512673611112</v>
      </c>
      <c r="B105" s="21" t="s">
        <v>212</v>
      </c>
      <c r="C105" s="21" t="s">
        <v>540</v>
      </c>
      <c r="D105" s="164">
        <v>2670000</v>
      </c>
      <c r="E105" s="21" t="s">
        <v>479</v>
      </c>
      <c r="F105" s="21" t="s">
        <v>480</v>
      </c>
      <c r="G105" s="8" t="str">
        <f t="shared" si="1"/>
        <v>COMELLA JUSTIN</v>
      </c>
    </row>
    <row r="106" spans="1:7" x14ac:dyDescent="0.25">
      <c r="A106" s="8">
        <v>42730.514988425923</v>
      </c>
      <c r="B106" s="21" t="s">
        <v>259</v>
      </c>
      <c r="C106" s="21" t="s">
        <v>541</v>
      </c>
      <c r="D106" s="164">
        <v>930000</v>
      </c>
      <c r="E106" s="21" t="s">
        <v>531</v>
      </c>
      <c r="F106" s="21" t="s">
        <v>532</v>
      </c>
      <c r="G106" s="8" t="str">
        <f t="shared" si="1"/>
        <v>CLARK KATHLEEN</v>
      </c>
    </row>
    <row r="107" spans="1:7" x14ac:dyDescent="0.25">
      <c r="A107" s="8">
        <v>42730.516076388885</v>
      </c>
      <c r="B107" s="21" t="s">
        <v>292</v>
      </c>
      <c r="C107" s="21" t="s">
        <v>436</v>
      </c>
      <c r="D107" s="164">
        <v>2030000</v>
      </c>
      <c r="E107" s="21" t="s">
        <v>356</v>
      </c>
      <c r="F107" s="21" t="s">
        <v>249</v>
      </c>
      <c r="G107" s="8" t="str">
        <f t="shared" si="1"/>
        <v>KILLION DAVID</v>
      </c>
    </row>
    <row r="108" spans="1:7" x14ac:dyDescent="0.25">
      <c r="A108" s="8">
        <v>42730.516817129632</v>
      </c>
      <c r="B108" s="21" t="s">
        <v>259</v>
      </c>
      <c r="C108" s="21" t="s">
        <v>541</v>
      </c>
      <c r="D108" s="164">
        <v>930000</v>
      </c>
      <c r="E108" s="21" t="s">
        <v>531</v>
      </c>
      <c r="F108" s="21" t="s">
        <v>532</v>
      </c>
      <c r="G108" s="8" t="str">
        <f t="shared" si="1"/>
        <v>CLARK KATHLEEN</v>
      </c>
    </row>
    <row r="109" spans="1:7" x14ac:dyDescent="0.25">
      <c r="A109" s="8">
        <v>42730.517974537041</v>
      </c>
      <c r="B109" s="21" t="s">
        <v>155</v>
      </c>
      <c r="C109" s="21" t="s">
        <v>542</v>
      </c>
      <c r="D109" s="164">
        <v>1820000</v>
      </c>
      <c r="E109" s="21" t="s">
        <v>385</v>
      </c>
      <c r="F109" s="21" t="s">
        <v>386</v>
      </c>
      <c r="G109" s="8" t="str">
        <f t="shared" si="1"/>
        <v>ADANE ELSHADAY</v>
      </c>
    </row>
    <row r="110" spans="1:7" x14ac:dyDescent="0.25">
      <c r="A110" s="8">
        <v>42730.526238425926</v>
      </c>
      <c r="B110" s="21" t="s">
        <v>443</v>
      </c>
      <c r="C110" s="21" t="s">
        <v>543</v>
      </c>
      <c r="D110" s="164">
        <v>2670000</v>
      </c>
      <c r="E110" s="21" t="s">
        <v>479</v>
      </c>
      <c r="F110" s="21" t="s">
        <v>480</v>
      </c>
      <c r="G110" s="8" t="str">
        <f t="shared" si="1"/>
        <v>COMELLA JUSTIN</v>
      </c>
    </row>
    <row r="111" spans="1:7" x14ac:dyDescent="0.25">
      <c r="A111" s="8">
        <v>42730.529039351852</v>
      </c>
      <c r="B111" s="21" t="s">
        <v>290</v>
      </c>
      <c r="C111" s="21" t="s">
        <v>544</v>
      </c>
      <c r="D111" s="164">
        <v>880000</v>
      </c>
      <c r="E111" s="21" t="s">
        <v>353</v>
      </c>
      <c r="F111" s="21" t="s">
        <v>262</v>
      </c>
      <c r="G111" s="8" t="str">
        <f t="shared" si="1"/>
        <v>STEWART MICHAEL</v>
      </c>
    </row>
    <row r="112" spans="1:7" x14ac:dyDescent="0.25">
      <c r="A112" s="8">
        <v>42730.532407407409</v>
      </c>
      <c r="B112" s="21" t="s">
        <v>293</v>
      </c>
      <c r="C112" s="21" t="s">
        <v>545</v>
      </c>
      <c r="D112" s="164">
        <v>2250000</v>
      </c>
      <c r="E112" s="21" t="s">
        <v>389</v>
      </c>
      <c r="F112" s="21" t="s">
        <v>390</v>
      </c>
      <c r="G112" s="8" t="str">
        <f t="shared" si="1"/>
        <v>CRAYTON QUNTRELL</v>
      </c>
    </row>
    <row r="113" spans="1:7" x14ac:dyDescent="0.25">
      <c r="A113" s="8">
        <v>42730.539050925923</v>
      </c>
      <c r="B113" s="21" t="s">
        <v>344</v>
      </c>
      <c r="C113" s="21" t="s">
        <v>546</v>
      </c>
      <c r="D113" s="164">
        <v>920000</v>
      </c>
      <c r="E113" s="21" t="s">
        <v>263</v>
      </c>
      <c r="F113" s="21" t="s">
        <v>262</v>
      </c>
      <c r="G113" s="8" t="str">
        <f t="shared" si="1"/>
        <v>DAVIS MICHAEL</v>
      </c>
    </row>
    <row r="114" spans="1:7" x14ac:dyDescent="0.25">
      <c r="A114" s="8">
        <v>42730.542511574073</v>
      </c>
      <c r="B114" s="21" t="s">
        <v>212</v>
      </c>
      <c r="C114" s="21" t="s">
        <v>437</v>
      </c>
      <c r="D114" s="164">
        <v>2470000</v>
      </c>
      <c r="E114" s="21" t="s">
        <v>387</v>
      </c>
      <c r="F114" s="21" t="s">
        <v>388</v>
      </c>
      <c r="G114" s="8" t="str">
        <f t="shared" si="1"/>
        <v>ROMERO CHAD</v>
      </c>
    </row>
    <row r="115" spans="1:7" x14ac:dyDescent="0.25">
      <c r="A115" s="8">
        <v>42730.544918981483</v>
      </c>
      <c r="B115" s="21" t="s">
        <v>381</v>
      </c>
      <c r="C115" s="21" t="s">
        <v>547</v>
      </c>
      <c r="D115" s="164">
        <v>2710000</v>
      </c>
      <c r="E115" s="21" t="s">
        <v>538</v>
      </c>
      <c r="F115" s="21" t="s">
        <v>539</v>
      </c>
      <c r="G115" s="8" t="str">
        <f t="shared" si="1"/>
        <v>SIMMONS SHYHESHA</v>
      </c>
    </row>
    <row r="116" spans="1:7" x14ac:dyDescent="0.25">
      <c r="A116" s="8">
        <v>42730.548541666663</v>
      </c>
      <c r="B116" s="21" t="s">
        <v>229</v>
      </c>
      <c r="C116" s="21" t="s">
        <v>548</v>
      </c>
      <c r="D116" s="164">
        <v>930000</v>
      </c>
      <c r="E116" s="21" t="s">
        <v>531</v>
      </c>
      <c r="F116" s="21" t="s">
        <v>532</v>
      </c>
      <c r="G116" s="8" t="str">
        <f t="shared" si="1"/>
        <v>CLARK KATHLEEN</v>
      </c>
    </row>
    <row r="117" spans="1:7" x14ac:dyDescent="0.25">
      <c r="A117" s="8">
        <v>42730.554513888892</v>
      </c>
      <c r="B117" s="21" t="s">
        <v>234</v>
      </c>
      <c r="C117" s="21" t="s">
        <v>549</v>
      </c>
      <c r="D117" s="164">
        <v>2030000</v>
      </c>
      <c r="E117" s="21" t="s">
        <v>356</v>
      </c>
      <c r="F117" s="21" t="s">
        <v>249</v>
      </c>
      <c r="G117" s="8" t="str">
        <f t="shared" si="1"/>
        <v>KILLION DAVID</v>
      </c>
    </row>
    <row r="118" spans="1:7" x14ac:dyDescent="0.25">
      <c r="A118" s="8">
        <v>42730.557557870372</v>
      </c>
      <c r="B118" s="21" t="s">
        <v>154</v>
      </c>
      <c r="C118" s="21" t="s">
        <v>550</v>
      </c>
      <c r="D118" s="164">
        <v>1820000</v>
      </c>
      <c r="E118" s="21" t="s">
        <v>385</v>
      </c>
      <c r="F118" s="21" t="s">
        <v>386</v>
      </c>
      <c r="G118" s="8" t="str">
        <f t="shared" si="1"/>
        <v>ADANE ELSHADAY</v>
      </c>
    </row>
    <row r="119" spans="1:7" x14ac:dyDescent="0.25">
      <c r="A119" s="8">
        <v>42730.567106481481</v>
      </c>
      <c r="B119" s="21" t="s">
        <v>443</v>
      </c>
      <c r="C119" s="21" t="s">
        <v>551</v>
      </c>
      <c r="D119" s="164">
        <v>2470000</v>
      </c>
      <c r="E119" s="21" t="s">
        <v>387</v>
      </c>
      <c r="F119" s="21" t="s">
        <v>388</v>
      </c>
      <c r="G119" s="8" t="str">
        <f t="shared" si="1"/>
        <v>ROMERO CHAD</v>
      </c>
    </row>
    <row r="120" spans="1:7" x14ac:dyDescent="0.25">
      <c r="A120" s="8">
        <v>42730.56863425926</v>
      </c>
      <c r="B120" s="21" t="s">
        <v>289</v>
      </c>
      <c r="C120" s="21" t="s">
        <v>552</v>
      </c>
      <c r="D120" s="164">
        <v>880000</v>
      </c>
      <c r="E120" s="21" t="s">
        <v>353</v>
      </c>
      <c r="F120" s="21" t="s">
        <v>262</v>
      </c>
      <c r="G120" s="8" t="str">
        <f t="shared" si="1"/>
        <v>STEWART MICHAEL</v>
      </c>
    </row>
    <row r="121" spans="1:7" x14ac:dyDescent="0.25">
      <c r="A121" s="8">
        <v>42730.568680555552</v>
      </c>
      <c r="B121" s="21" t="s">
        <v>291</v>
      </c>
      <c r="C121" s="21" t="s">
        <v>553</v>
      </c>
      <c r="D121" s="164">
        <v>2250000</v>
      </c>
      <c r="E121" s="21" t="s">
        <v>389</v>
      </c>
      <c r="F121" s="21" t="s">
        <v>390</v>
      </c>
      <c r="G121" s="8" t="str">
        <f t="shared" si="1"/>
        <v>CRAYTON QUNTRELL</v>
      </c>
    </row>
    <row r="122" spans="1:7" x14ac:dyDescent="0.25">
      <c r="A122" s="8">
        <v>42730.57775462963</v>
      </c>
      <c r="B122" s="26" t="s">
        <v>345</v>
      </c>
      <c r="C122" s="21" t="s">
        <v>554</v>
      </c>
      <c r="D122" s="164">
        <v>920000</v>
      </c>
      <c r="E122" s="21" t="s">
        <v>263</v>
      </c>
      <c r="F122" s="21" t="s">
        <v>262</v>
      </c>
      <c r="G122" s="8" t="str">
        <f t="shared" si="1"/>
        <v>DAVIS MICHAEL</v>
      </c>
    </row>
    <row r="123" spans="1:7" x14ac:dyDescent="0.25">
      <c r="A123" s="8">
        <v>42730.581284722219</v>
      </c>
      <c r="B123" s="21" t="s">
        <v>329</v>
      </c>
      <c r="C123" s="21" t="s">
        <v>555</v>
      </c>
      <c r="D123" s="164">
        <v>2710000</v>
      </c>
      <c r="E123" s="21" t="s">
        <v>538</v>
      </c>
      <c r="F123" s="21" t="s">
        <v>539</v>
      </c>
      <c r="G123" s="8" t="str">
        <f t="shared" si="1"/>
        <v>SIMMONS SHYHESHA</v>
      </c>
    </row>
    <row r="124" spans="1:7" x14ac:dyDescent="0.25">
      <c r="A124" s="8">
        <v>42730.583101851851</v>
      </c>
      <c r="B124" s="21" t="s">
        <v>212</v>
      </c>
      <c r="C124" s="21" t="s">
        <v>556</v>
      </c>
      <c r="D124" s="164">
        <v>2470000</v>
      </c>
      <c r="E124" s="21" t="s">
        <v>387</v>
      </c>
      <c r="F124" s="21" t="s">
        <v>388</v>
      </c>
      <c r="G124" s="8" t="str">
        <f t="shared" si="1"/>
        <v>ROMERO CHAD</v>
      </c>
    </row>
    <row r="125" spans="1:7" x14ac:dyDescent="0.25">
      <c r="A125" s="8">
        <v>42730.586342592593</v>
      </c>
      <c r="B125" s="21" t="s">
        <v>259</v>
      </c>
      <c r="C125" s="21" t="s">
        <v>557</v>
      </c>
      <c r="D125" s="164">
        <v>930000</v>
      </c>
      <c r="E125" s="21" t="s">
        <v>531</v>
      </c>
      <c r="F125" s="21" t="s">
        <v>532</v>
      </c>
      <c r="G125" s="8" t="str">
        <f t="shared" si="1"/>
        <v>CLARK KATHLEEN</v>
      </c>
    </row>
    <row r="126" spans="1:7" x14ac:dyDescent="0.25">
      <c r="A126" s="8">
        <v>42730.588645833333</v>
      </c>
      <c r="B126" s="21" t="s">
        <v>155</v>
      </c>
      <c r="C126" s="21" t="s">
        <v>438</v>
      </c>
      <c r="D126" s="164">
        <v>1820000</v>
      </c>
      <c r="E126" s="21" t="s">
        <v>385</v>
      </c>
      <c r="F126" s="21" t="s">
        <v>386</v>
      </c>
      <c r="G126" s="8" t="str">
        <f t="shared" si="1"/>
        <v>ADANE ELSHADAY</v>
      </c>
    </row>
    <row r="127" spans="1:7" x14ac:dyDescent="0.25">
      <c r="A127" s="8">
        <v>42730.592141203706</v>
      </c>
      <c r="B127" s="21" t="s">
        <v>292</v>
      </c>
      <c r="C127" s="21" t="s">
        <v>558</v>
      </c>
      <c r="D127" s="164">
        <v>2030000</v>
      </c>
      <c r="E127" s="21" t="s">
        <v>356</v>
      </c>
      <c r="F127" s="21" t="s">
        <v>249</v>
      </c>
      <c r="G127" s="8" t="str">
        <f t="shared" si="1"/>
        <v>KILLION DAVID</v>
      </c>
    </row>
    <row r="128" spans="1:7" x14ac:dyDescent="0.25">
      <c r="A128" s="8">
        <v>42730.600219907406</v>
      </c>
      <c r="B128" s="21" t="s">
        <v>290</v>
      </c>
      <c r="C128" s="21" t="s">
        <v>559</v>
      </c>
      <c r="D128" s="164">
        <v>880000</v>
      </c>
      <c r="E128" s="21" t="s">
        <v>353</v>
      </c>
      <c r="F128" s="21" t="s">
        <v>262</v>
      </c>
      <c r="G128" s="8" t="str">
        <f t="shared" si="1"/>
        <v>STEWART MICHAEL</v>
      </c>
    </row>
    <row r="129" spans="1:7" x14ac:dyDescent="0.25">
      <c r="A129" s="8">
        <v>42730.60460648148</v>
      </c>
      <c r="B129" s="21" t="s">
        <v>293</v>
      </c>
      <c r="C129" s="21" t="s">
        <v>560</v>
      </c>
      <c r="D129" s="164">
        <v>2250000</v>
      </c>
      <c r="E129" s="21" t="s">
        <v>389</v>
      </c>
      <c r="F129" s="21" t="s">
        <v>390</v>
      </c>
      <c r="G129" s="8" t="str">
        <f t="shared" si="1"/>
        <v>CRAYTON QUNTRELL</v>
      </c>
    </row>
    <row r="130" spans="1:7" x14ac:dyDescent="0.25">
      <c r="A130" s="8">
        <v>42730.608865740738</v>
      </c>
      <c r="B130" s="21" t="s">
        <v>443</v>
      </c>
      <c r="C130" s="21" t="s">
        <v>561</v>
      </c>
      <c r="D130" s="164">
        <v>2470000</v>
      </c>
      <c r="E130" s="21" t="s">
        <v>387</v>
      </c>
      <c r="F130" s="21" t="s">
        <v>388</v>
      </c>
      <c r="G130" s="8" t="str">
        <f t="shared" si="1"/>
        <v>ROMERO CHAD</v>
      </c>
    </row>
    <row r="131" spans="1:7" x14ac:dyDescent="0.25">
      <c r="A131" s="8">
        <v>42730.612951388888</v>
      </c>
      <c r="B131" s="21" t="s">
        <v>344</v>
      </c>
      <c r="C131" s="21" t="s">
        <v>562</v>
      </c>
      <c r="D131" s="164">
        <v>920000</v>
      </c>
      <c r="E131" s="21" t="s">
        <v>263</v>
      </c>
      <c r="F131" s="21" t="s">
        <v>262</v>
      </c>
      <c r="G131" s="8" t="str">
        <f t="shared" ref="G131:G194" si="2">E131&amp;" "&amp;F131</f>
        <v>DAVIS MICHAEL</v>
      </c>
    </row>
    <row r="132" spans="1:7" x14ac:dyDescent="0.25">
      <c r="A132" s="8">
        <v>42730.617523148147</v>
      </c>
      <c r="B132" s="21" t="s">
        <v>381</v>
      </c>
      <c r="C132" s="21" t="s">
        <v>563</v>
      </c>
      <c r="D132" s="164">
        <v>2710000</v>
      </c>
      <c r="E132" s="21" t="s">
        <v>538</v>
      </c>
      <c r="F132" s="21" t="s">
        <v>539</v>
      </c>
      <c r="G132" s="8" t="str">
        <f t="shared" si="2"/>
        <v>SIMMONS SHYHESHA</v>
      </c>
    </row>
    <row r="133" spans="1:7" x14ac:dyDescent="0.25">
      <c r="A133" s="8">
        <v>42730.62190972222</v>
      </c>
      <c r="B133" s="21" t="s">
        <v>229</v>
      </c>
      <c r="C133" s="21" t="s">
        <v>564</v>
      </c>
      <c r="D133" s="164">
        <v>930000</v>
      </c>
      <c r="E133" s="21" t="s">
        <v>531</v>
      </c>
      <c r="F133" s="21" t="s">
        <v>532</v>
      </c>
      <c r="G133" s="8" t="str">
        <f t="shared" si="2"/>
        <v>CLARK KATHLEEN</v>
      </c>
    </row>
    <row r="134" spans="1:7" x14ac:dyDescent="0.25">
      <c r="A134" s="8">
        <v>42730.623240740744</v>
      </c>
      <c r="B134" s="21" t="s">
        <v>212</v>
      </c>
      <c r="C134" s="21" t="s">
        <v>565</v>
      </c>
      <c r="D134" s="164">
        <v>2470000</v>
      </c>
      <c r="E134" s="21" t="s">
        <v>387</v>
      </c>
      <c r="F134" s="21" t="s">
        <v>388</v>
      </c>
      <c r="G134" s="8" t="str">
        <f t="shared" si="2"/>
        <v>ROMERO CHAD</v>
      </c>
    </row>
    <row r="135" spans="1:7" x14ac:dyDescent="0.25">
      <c r="A135" s="8">
        <v>42730.629074074073</v>
      </c>
      <c r="B135" s="21" t="s">
        <v>234</v>
      </c>
      <c r="C135" s="21" t="s">
        <v>566</v>
      </c>
      <c r="D135" s="164">
        <v>2030000</v>
      </c>
      <c r="E135" s="21" t="s">
        <v>356</v>
      </c>
      <c r="F135" s="21" t="s">
        <v>249</v>
      </c>
      <c r="G135" s="8" t="str">
        <f t="shared" si="2"/>
        <v>KILLION DAVID</v>
      </c>
    </row>
    <row r="136" spans="1:7" x14ac:dyDescent="0.25">
      <c r="A136" s="8">
        <v>42730.631863425922</v>
      </c>
      <c r="B136" s="21" t="s">
        <v>154</v>
      </c>
      <c r="C136" s="21" t="s">
        <v>439</v>
      </c>
      <c r="D136" s="164">
        <v>1820000</v>
      </c>
      <c r="E136" s="21" t="s">
        <v>385</v>
      </c>
      <c r="F136" s="21" t="s">
        <v>386</v>
      </c>
      <c r="G136" s="8" t="str">
        <f t="shared" si="2"/>
        <v>ADANE ELSHADAY</v>
      </c>
    </row>
    <row r="137" spans="1:7" x14ac:dyDescent="0.25">
      <c r="A137" s="8">
        <v>42730.637013888889</v>
      </c>
      <c r="B137" s="21" t="s">
        <v>271</v>
      </c>
      <c r="C137" s="21" t="s">
        <v>567</v>
      </c>
      <c r="D137" s="164">
        <v>1810000</v>
      </c>
      <c r="E137" s="21" t="s">
        <v>282</v>
      </c>
      <c r="F137" s="21" t="s">
        <v>250</v>
      </c>
      <c r="G137" s="8" t="str">
        <f t="shared" si="2"/>
        <v>NEWELL JAMES</v>
      </c>
    </row>
    <row r="138" spans="1:7" x14ac:dyDescent="0.25">
      <c r="A138" s="8">
        <v>42730.641087962962</v>
      </c>
      <c r="B138" s="21" t="s">
        <v>289</v>
      </c>
      <c r="C138" s="21" t="s">
        <v>568</v>
      </c>
      <c r="D138" s="164">
        <v>880000</v>
      </c>
      <c r="E138" s="21" t="s">
        <v>353</v>
      </c>
      <c r="F138" s="21" t="s">
        <v>262</v>
      </c>
      <c r="G138" s="8" t="str">
        <f t="shared" si="2"/>
        <v>STEWART MICHAEL</v>
      </c>
    </row>
    <row r="139" spans="1:7" x14ac:dyDescent="0.25">
      <c r="A139" s="8">
        <v>42730.642164351855</v>
      </c>
      <c r="B139" s="21" t="s">
        <v>291</v>
      </c>
      <c r="C139" s="21" t="s">
        <v>569</v>
      </c>
      <c r="D139" s="164">
        <v>2250000</v>
      </c>
      <c r="E139" s="21" t="s">
        <v>389</v>
      </c>
      <c r="F139" s="21" t="s">
        <v>390</v>
      </c>
      <c r="G139" s="8" t="str">
        <f t="shared" si="2"/>
        <v>CRAYTON QUNTRELL</v>
      </c>
    </row>
    <row r="140" spans="1:7" x14ac:dyDescent="0.25">
      <c r="A140" s="8">
        <v>42730.646736111114</v>
      </c>
      <c r="B140" s="21" t="s">
        <v>272</v>
      </c>
      <c r="C140" s="21" t="s">
        <v>570</v>
      </c>
      <c r="D140" s="164">
        <v>1810000</v>
      </c>
      <c r="E140" s="21" t="s">
        <v>282</v>
      </c>
      <c r="F140" s="21" t="s">
        <v>250</v>
      </c>
      <c r="G140" s="8" t="str">
        <f t="shared" si="2"/>
        <v>NEWELL JAMES</v>
      </c>
    </row>
    <row r="141" spans="1:7" x14ac:dyDescent="0.25">
      <c r="A141" s="8">
        <v>42730.65048611111</v>
      </c>
      <c r="B141" s="21" t="s">
        <v>345</v>
      </c>
      <c r="C141" s="21" t="s">
        <v>571</v>
      </c>
      <c r="D141" s="164">
        <v>920000</v>
      </c>
      <c r="E141" s="21" t="s">
        <v>263</v>
      </c>
      <c r="F141" s="21" t="s">
        <v>262</v>
      </c>
      <c r="G141" s="8" t="str">
        <f t="shared" si="2"/>
        <v>DAVIS MICHAEL</v>
      </c>
    </row>
    <row r="142" spans="1:7" x14ac:dyDescent="0.25">
      <c r="A142" s="8">
        <v>42730.652743055558</v>
      </c>
      <c r="B142" s="21" t="s">
        <v>443</v>
      </c>
      <c r="C142" s="21" t="s">
        <v>572</v>
      </c>
      <c r="D142" s="164">
        <v>2470000</v>
      </c>
      <c r="E142" s="21" t="s">
        <v>387</v>
      </c>
      <c r="F142" s="21" t="s">
        <v>388</v>
      </c>
      <c r="G142" s="8" t="str">
        <f t="shared" si="2"/>
        <v>ROMERO CHAD</v>
      </c>
    </row>
    <row r="143" spans="1:7" x14ac:dyDescent="0.25">
      <c r="A143" s="8">
        <v>42730.653449074074</v>
      </c>
      <c r="B143" s="21" t="s">
        <v>329</v>
      </c>
      <c r="C143" s="21" t="s">
        <v>573</v>
      </c>
      <c r="D143" s="164">
        <v>2710000</v>
      </c>
      <c r="E143" s="21" t="s">
        <v>538</v>
      </c>
      <c r="F143" s="21" t="s">
        <v>539</v>
      </c>
      <c r="G143" s="8" t="str">
        <f t="shared" si="2"/>
        <v>SIMMONS SHYHESHA</v>
      </c>
    </row>
    <row r="144" spans="1:7" x14ac:dyDescent="0.25">
      <c r="A144" s="8">
        <v>42730.658530092594</v>
      </c>
      <c r="B144" s="21" t="s">
        <v>259</v>
      </c>
      <c r="C144" s="21" t="s">
        <v>574</v>
      </c>
      <c r="D144" s="164">
        <v>930000</v>
      </c>
      <c r="E144" s="21" t="s">
        <v>531</v>
      </c>
      <c r="F144" s="21" t="s">
        <v>532</v>
      </c>
      <c r="G144" s="8" t="str">
        <f t="shared" si="2"/>
        <v>CLARK KATHLEEN</v>
      </c>
    </row>
    <row r="145" spans="1:7" x14ac:dyDescent="0.25">
      <c r="A145" s="8">
        <v>42730.662615740737</v>
      </c>
      <c r="B145" s="21" t="s">
        <v>155</v>
      </c>
      <c r="C145" s="21" t="s">
        <v>575</v>
      </c>
      <c r="D145" s="164">
        <v>1820000</v>
      </c>
      <c r="E145" s="21" t="s">
        <v>385</v>
      </c>
      <c r="F145" s="21" t="s">
        <v>386</v>
      </c>
      <c r="G145" s="8" t="str">
        <f t="shared" si="2"/>
        <v>ADANE ELSHADAY</v>
      </c>
    </row>
    <row r="146" spans="1:7" x14ac:dyDescent="0.25">
      <c r="A146" s="8">
        <v>42730.662881944445</v>
      </c>
      <c r="B146" s="21" t="s">
        <v>292</v>
      </c>
      <c r="C146" s="21" t="s">
        <v>576</v>
      </c>
      <c r="D146" s="164">
        <v>2030000</v>
      </c>
      <c r="E146" s="21" t="s">
        <v>356</v>
      </c>
      <c r="F146" s="21" t="s">
        <v>249</v>
      </c>
      <c r="G146" s="8" t="str">
        <f t="shared" si="2"/>
        <v>KILLION DAVID</v>
      </c>
    </row>
    <row r="147" spans="1:7" x14ac:dyDescent="0.25">
      <c r="A147" s="8">
        <v>42730.66642361111</v>
      </c>
      <c r="B147" s="21" t="s">
        <v>212</v>
      </c>
      <c r="C147" s="21" t="s">
        <v>440</v>
      </c>
      <c r="D147" s="164">
        <v>2470000</v>
      </c>
      <c r="E147" s="21" t="s">
        <v>387</v>
      </c>
      <c r="F147" s="21" t="s">
        <v>388</v>
      </c>
      <c r="G147" s="8" t="str">
        <f t="shared" si="2"/>
        <v>ROMERO CHAD</v>
      </c>
    </row>
    <row r="148" spans="1:7" x14ac:dyDescent="0.25">
      <c r="A148" s="8">
        <v>42730.670624999999</v>
      </c>
      <c r="B148" s="21" t="s">
        <v>271</v>
      </c>
      <c r="C148" s="21" t="s">
        <v>577</v>
      </c>
      <c r="D148" s="164">
        <v>1810000</v>
      </c>
      <c r="E148" s="21" t="s">
        <v>282</v>
      </c>
      <c r="F148" s="21" t="s">
        <v>250</v>
      </c>
      <c r="G148" s="8" t="str">
        <f t="shared" si="2"/>
        <v>NEWELL JAMES</v>
      </c>
    </row>
    <row r="149" spans="1:7" x14ac:dyDescent="0.25">
      <c r="A149" s="8">
        <v>42730.67292824074</v>
      </c>
      <c r="B149" s="21" t="s">
        <v>290</v>
      </c>
      <c r="C149" s="21" t="s">
        <v>578</v>
      </c>
      <c r="D149" s="164">
        <v>880000</v>
      </c>
      <c r="E149" s="21" t="s">
        <v>353</v>
      </c>
      <c r="F149" s="21" t="s">
        <v>262</v>
      </c>
      <c r="G149" s="8" t="str">
        <f t="shared" si="2"/>
        <v>STEWART MICHAEL</v>
      </c>
    </row>
    <row r="150" spans="1:7" x14ac:dyDescent="0.25">
      <c r="A150" s="8">
        <v>42730.680347222224</v>
      </c>
      <c r="B150" s="21" t="s">
        <v>293</v>
      </c>
      <c r="C150" s="21" t="s">
        <v>579</v>
      </c>
      <c r="D150" s="164">
        <v>2250000</v>
      </c>
      <c r="E150" s="21" t="s">
        <v>389</v>
      </c>
      <c r="F150" s="21" t="s">
        <v>390</v>
      </c>
      <c r="G150" s="8" t="str">
        <f t="shared" si="2"/>
        <v>CRAYTON QUNTRELL</v>
      </c>
    </row>
    <row r="151" spans="1:7" x14ac:dyDescent="0.25">
      <c r="A151" s="8">
        <v>42730.686215277776</v>
      </c>
      <c r="B151" s="21" t="s">
        <v>272</v>
      </c>
      <c r="C151" s="21" t="s">
        <v>580</v>
      </c>
      <c r="D151" s="164">
        <v>1810000</v>
      </c>
      <c r="E151" s="21" t="s">
        <v>282</v>
      </c>
      <c r="F151" s="21" t="s">
        <v>250</v>
      </c>
      <c r="G151" s="8" t="str">
        <f t="shared" si="2"/>
        <v>NEWELL JAMES</v>
      </c>
    </row>
    <row r="152" spans="1:7" x14ac:dyDescent="0.25">
      <c r="A152" s="8">
        <v>42730.688159722224</v>
      </c>
      <c r="B152" s="21" t="s">
        <v>381</v>
      </c>
      <c r="C152" s="21" t="s">
        <v>581</v>
      </c>
      <c r="D152" s="164">
        <v>2710000</v>
      </c>
      <c r="E152" s="21" t="s">
        <v>538</v>
      </c>
      <c r="F152" s="21" t="s">
        <v>539</v>
      </c>
      <c r="G152" s="8" t="str">
        <f t="shared" si="2"/>
        <v>SIMMONS SHYHESHA</v>
      </c>
    </row>
    <row r="153" spans="1:7" x14ac:dyDescent="0.25">
      <c r="A153" s="8">
        <v>42730.688842592594</v>
      </c>
      <c r="B153" s="21" t="s">
        <v>344</v>
      </c>
      <c r="C153" s="21" t="s">
        <v>571</v>
      </c>
      <c r="D153" s="164">
        <v>920000</v>
      </c>
      <c r="E153" s="21" t="s">
        <v>263</v>
      </c>
      <c r="F153" s="21" t="s">
        <v>262</v>
      </c>
      <c r="G153" s="8" t="str">
        <f t="shared" si="2"/>
        <v>DAVIS MICHAEL</v>
      </c>
    </row>
    <row r="154" spans="1:7" x14ac:dyDescent="0.25">
      <c r="A154" s="8">
        <v>42730.689699074072</v>
      </c>
      <c r="B154" s="21" t="s">
        <v>344</v>
      </c>
      <c r="C154" s="21" t="s">
        <v>582</v>
      </c>
      <c r="D154" s="164">
        <v>920000</v>
      </c>
      <c r="E154" s="21" t="s">
        <v>263</v>
      </c>
      <c r="F154" s="21" t="s">
        <v>262</v>
      </c>
      <c r="G154" s="8" t="str">
        <f t="shared" si="2"/>
        <v>DAVIS MICHAEL</v>
      </c>
    </row>
    <row r="155" spans="1:7" x14ac:dyDescent="0.25">
      <c r="A155" s="8">
        <v>42730.691747685189</v>
      </c>
      <c r="B155" s="21" t="s">
        <v>443</v>
      </c>
      <c r="C155" s="21" t="s">
        <v>583</v>
      </c>
      <c r="D155" s="164">
        <v>2470000</v>
      </c>
      <c r="E155" s="21" t="s">
        <v>387</v>
      </c>
      <c r="F155" s="21" t="s">
        <v>388</v>
      </c>
      <c r="G155" s="8" t="str">
        <f t="shared" si="2"/>
        <v>ROMERO CHAD</v>
      </c>
    </row>
    <row r="156" spans="1:7" x14ac:dyDescent="0.25">
      <c r="A156" s="8">
        <v>42730.694201388891</v>
      </c>
      <c r="B156" s="21" t="s">
        <v>229</v>
      </c>
      <c r="C156" s="21" t="s">
        <v>584</v>
      </c>
      <c r="D156" s="164">
        <v>930000</v>
      </c>
      <c r="E156" s="21" t="s">
        <v>531</v>
      </c>
      <c r="F156" s="21" t="s">
        <v>532</v>
      </c>
      <c r="G156" s="8" t="str">
        <f t="shared" si="2"/>
        <v>CLARK KATHLEEN</v>
      </c>
    </row>
    <row r="157" spans="1:7" x14ac:dyDescent="0.25">
      <c r="A157" s="8">
        <v>42730.694976851853</v>
      </c>
      <c r="B157" s="21" t="s">
        <v>354</v>
      </c>
      <c r="C157" s="21" t="s">
        <v>441</v>
      </c>
      <c r="D157" s="164">
        <v>1800000</v>
      </c>
      <c r="E157" s="21" t="s">
        <v>235</v>
      </c>
      <c r="F157" s="21" t="s">
        <v>253</v>
      </c>
      <c r="G157" s="8" t="str">
        <f t="shared" si="2"/>
        <v>CHANDLER KELVIN</v>
      </c>
    </row>
    <row r="158" spans="1:7" x14ac:dyDescent="0.25">
      <c r="A158" s="8">
        <v>42730.700138888889</v>
      </c>
      <c r="B158" s="21" t="s">
        <v>234</v>
      </c>
      <c r="C158" s="21" t="s">
        <v>585</v>
      </c>
      <c r="D158" s="164">
        <v>2030000</v>
      </c>
      <c r="E158" s="21" t="s">
        <v>356</v>
      </c>
      <c r="F158" s="21" t="s">
        <v>249</v>
      </c>
      <c r="G158" s="8" t="str">
        <f t="shared" si="2"/>
        <v>KILLION DAVID</v>
      </c>
    </row>
    <row r="159" spans="1:7" x14ac:dyDescent="0.25">
      <c r="A159" s="8">
        <v>42730.703958333332</v>
      </c>
      <c r="B159" s="21" t="s">
        <v>154</v>
      </c>
      <c r="C159" s="21" t="s">
        <v>586</v>
      </c>
      <c r="D159" s="164">
        <v>1820000</v>
      </c>
      <c r="E159" s="21" t="s">
        <v>385</v>
      </c>
      <c r="F159" s="21" t="s">
        <v>386</v>
      </c>
      <c r="G159" s="8" t="str">
        <f t="shared" si="2"/>
        <v>ADANE ELSHADAY</v>
      </c>
    </row>
    <row r="160" spans="1:7" x14ac:dyDescent="0.25">
      <c r="A160" s="8">
        <v>42730.706747685188</v>
      </c>
      <c r="B160" s="21" t="s">
        <v>212</v>
      </c>
      <c r="C160" s="21" t="s">
        <v>587</v>
      </c>
      <c r="D160" s="164">
        <v>2470000</v>
      </c>
      <c r="E160" s="21" t="s">
        <v>387</v>
      </c>
      <c r="F160" s="21" t="s">
        <v>388</v>
      </c>
      <c r="G160" s="8" t="str">
        <f t="shared" si="2"/>
        <v>ROMERO CHAD</v>
      </c>
    </row>
    <row r="161" spans="1:7" x14ac:dyDescent="0.25">
      <c r="A161" s="8">
        <v>42730.709085648145</v>
      </c>
      <c r="B161" s="21" t="s">
        <v>242</v>
      </c>
      <c r="C161" s="21" t="s">
        <v>588</v>
      </c>
      <c r="D161" s="164">
        <v>2360000</v>
      </c>
      <c r="E161" s="21" t="s">
        <v>383</v>
      </c>
      <c r="F161" s="21" t="s">
        <v>384</v>
      </c>
      <c r="G161" s="8" t="str">
        <f t="shared" si="2"/>
        <v>BRANDNER MELINDA</v>
      </c>
    </row>
    <row r="162" spans="1:7" x14ac:dyDescent="0.25">
      <c r="A162" s="8">
        <v>42730.712430555555</v>
      </c>
      <c r="B162" s="21" t="s">
        <v>271</v>
      </c>
      <c r="C162" s="21" t="s">
        <v>589</v>
      </c>
      <c r="D162" s="164">
        <v>1810000</v>
      </c>
      <c r="E162" s="21" t="s">
        <v>282</v>
      </c>
      <c r="F162" s="21" t="s">
        <v>250</v>
      </c>
      <c r="G162" s="8" t="str">
        <f t="shared" si="2"/>
        <v>NEWELL JAMES</v>
      </c>
    </row>
    <row r="163" spans="1:7" x14ac:dyDescent="0.25">
      <c r="A163" s="8">
        <v>42730.713437500002</v>
      </c>
      <c r="B163" s="21" t="s">
        <v>289</v>
      </c>
      <c r="C163" s="21" t="s">
        <v>590</v>
      </c>
      <c r="D163" s="164">
        <v>880000</v>
      </c>
      <c r="E163" s="21" t="s">
        <v>353</v>
      </c>
      <c r="F163" s="21" t="s">
        <v>262</v>
      </c>
      <c r="G163" s="8" t="str">
        <f t="shared" si="2"/>
        <v>STEWART MICHAEL</v>
      </c>
    </row>
    <row r="164" spans="1:7" x14ac:dyDescent="0.25">
      <c r="A164" s="8">
        <v>42730.718136574076</v>
      </c>
      <c r="B164" s="21" t="s">
        <v>291</v>
      </c>
      <c r="C164" s="21" t="s">
        <v>442</v>
      </c>
      <c r="D164" s="164">
        <v>1800000</v>
      </c>
      <c r="E164" s="21" t="s">
        <v>235</v>
      </c>
      <c r="F164" s="21" t="s">
        <v>253</v>
      </c>
      <c r="G164" s="8" t="str">
        <f t="shared" si="2"/>
        <v>CHANDLER KELVIN</v>
      </c>
    </row>
    <row r="165" spans="1:7" x14ac:dyDescent="0.25">
      <c r="A165" s="8">
        <v>42730.723749999997</v>
      </c>
      <c r="B165" s="21" t="s">
        <v>345</v>
      </c>
      <c r="C165" s="21" t="s">
        <v>591</v>
      </c>
      <c r="D165" s="164">
        <v>920000</v>
      </c>
      <c r="E165" s="21" t="s">
        <v>263</v>
      </c>
      <c r="F165" s="21" t="s">
        <v>262</v>
      </c>
      <c r="G165" s="8" t="str">
        <f t="shared" si="2"/>
        <v>DAVIS MICHAEL</v>
      </c>
    </row>
    <row r="166" spans="1:7" x14ac:dyDescent="0.25">
      <c r="A166" s="8">
        <v>42730.727025462962</v>
      </c>
      <c r="B166" s="21" t="s">
        <v>329</v>
      </c>
      <c r="C166" s="21" t="s">
        <v>592</v>
      </c>
      <c r="D166" s="164">
        <v>2250000</v>
      </c>
      <c r="E166" s="21" t="s">
        <v>389</v>
      </c>
      <c r="F166" s="21" t="s">
        <v>390</v>
      </c>
      <c r="G166" s="8" t="str">
        <f t="shared" si="2"/>
        <v>CRAYTON QUNTRELL</v>
      </c>
    </row>
    <row r="167" spans="1:7" x14ac:dyDescent="0.25">
      <c r="A167" s="8">
        <v>42730.727418981478</v>
      </c>
      <c r="B167" s="21" t="s">
        <v>272</v>
      </c>
      <c r="C167" s="21" t="s">
        <v>593</v>
      </c>
      <c r="D167" s="164">
        <v>1810000</v>
      </c>
      <c r="E167" s="21" t="s">
        <v>282</v>
      </c>
      <c r="F167" s="21" t="s">
        <v>250</v>
      </c>
      <c r="G167" s="8" t="str">
        <f t="shared" si="2"/>
        <v>NEWELL JAMES</v>
      </c>
    </row>
    <row r="168" spans="1:7" x14ac:dyDescent="0.25">
      <c r="A168" s="8">
        <v>42730.729363425926</v>
      </c>
      <c r="B168" s="21" t="s">
        <v>259</v>
      </c>
      <c r="C168" s="21" t="s">
        <v>594</v>
      </c>
      <c r="D168" s="164">
        <v>930000</v>
      </c>
      <c r="E168" s="21" t="s">
        <v>531</v>
      </c>
      <c r="F168" s="21" t="s">
        <v>532</v>
      </c>
      <c r="G168" s="8" t="str">
        <f t="shared" si="2"/>
        <v>CLARK KATHLEEN</v>
      </c>
    </row>
    <row r="169" spans="1:7" x14ac:dyDescent="0.25">
      <c r="A169" s="8">
        <v>42730.733634259261</v>
      </c>
      <c r="B169" s="21" t="s">
        <v>355</v>
      </c>
      <c r="C169" s="21" t="s">
        <v>595</v>
      </c>
      <c r="D169" s="164">
        <v>1180000</v>
      </c>
      <c r="E169" s="21" t="s">
        <v>596</v>
      </c>
      <c r="F169" s="21" t="s">
        <v>597</v>
      </c>
      <c r="G169" s="8" t="str">
        <f t="shared" si="2"/>
        <v>LEVERE CRAIG</v>
      </c>
    </row>
    <row r="170" spans="1:7" x14ac:dyDescent="0.25">
      <c r="A170" s="8">
        <v>42730.733807870369</v>
      </c>
      <c r="B170" s="21" t="s">
        <v>443</v>
      </c>
      <c r="C170" s="21" t="s">
        <v>444</v>
      </c>
      <c r="D170" s="164">
        <v>2470000</v>
      </c>
      <c r="E170" s="21" t="s">
        <v>387</v>
      </c>
      <c r="F170" s="21" t="s">
        <v>388</v>
      </c>
      <c r="G170" s="8" t="str">
        <f t="shared" si="2"/>
        <v>ROMERO CHAD</v>
      </c>
    </row>
    <row r="171" spans="1:7" x14ac:dyDescent="0.25">
      <c r="A171" s="8">
        <v>42730.735659722224</v>
      </c>
      <c r="B171" s="21" t="s">
        <v>155</v>
      </c>
      <c r="C171" s="21" t="s">
        <v>445</v>
      </c>
      <c r="D171" s="164">
        <v>1820000</v>
      </c>
      <c r="E171" s="21" t="s">
        <v>385</v>
      </c>
      <c r="F171" s="21" t="s">
        <v>386</v>
      </c>
      <c r="G171" s="8" t="str">
        <f t="shared" si="2"/>
        <v>ADANE ELSHADAY</v>
      </c>
    </row>
    <row r="172" spans="1:7" x14ac:dyDescent="0.25">
      <c r="A172" s="8">
        <v>42730.736273148148</v>
      </c>
      <c r="B172" s="21" t="s">
        <v>292</v>
      </c>
      <c r="C172" s="21" t="s">
        <v>598</v>
      </c>
      <c r="D172" s="164">
        <v>2230000</v>
      </c>
      <c r="E172" s="21" t="s">
        <v>281</v>
      </c>
      <c r="F172" s="21" t="s">
        <v>262</v>
      </c>
      <c r="G172" s="8" t="str">
        <f t="shared" si="2"/>
        <v>SMITH MICHAEL</v>
      </c>
    </row>
    <row r="173" spans="1:7" x14ac:dyDescent="0.25">
      <c r="A173" s="8">
        <v>42730.74590277778</v>
      </c>
      <c r="B173" s="21" t="s">
        <v>290</v>
      </c>
      <c r="C173" s="21" t="s">
        <v>599</v>
      </c>
      <c r="D173" s="164">
        <v>2030000</v>
      </c>
      <c r="E173" s="21" t="s">
        <v>356</v>
      </c>
      <c r="F173" s="21" t="s">
        <v>249</v>
      </c>
      <c r="G173" s="8" t="str">
        <f t="shared" si="2"/>
        <v>KILLION DAVID</v>
      </c>
    </row>
    <row r="174" spans="1:7" x14ac:dyDescent="0.25">
      <c r="A174" s="8">
        <v>42730.750937500001</v>
      </c>
      <c r="B174" s="21" t="s">
        <v>212</v>
      </c>
      <c r="C174" s="21" t="s">
        <v>600</v>
      </c>
      <c r="D174" s="164">
        <v>2470000</v>
      </c>
      <c r="E174" s="21" t="s">
        <v>387</v>
      </c>
      <c r="F174" s="21" t="s">
        <v>388</v>
      </c>
      <c r="G174" s="8" t="str">
        <f t="shared" si="2"/>
        <v>ROMERO CHAD</v>
      </c>
    </row>
    <row r="175" spans="1:7" x14ac:dyDescent="0.25">
      <c r="A175" s="8">
        <v>42730.751215277778</v>
      </c>
      <c r="B175" s="21" t="s">
        <v>210</v>
      </c>
      <c r="C175" s="21" t="s">
        <v>601</v>
      </c>
      <c r="D175" s="164">
        <v>2630000</v>
      </c>
      <c r="E175" s="21" t="s">
        <v>351</v>
      </c>
      <c r="F175" s="21" t="s">
        <v>352</v>
      </c>
      <c r="G175" s="8" t="str">
        <f t="shared" si="2"/>
        <v>SAFIEF AEIMEN</v>
      </c>
    </row>
    <row r="176" spans="1:7" x14ac:dyDescent="0.25">
      <c r="A176" s="8">
        <v>42730.753981481481</v>
      </c>
      <c r="B176" s="21" t="s">
        <v>271</v>
      </c>
      <c r="C176" s="21" t="s">
        <v>602</v>
      </c>
      <c r="D176" s="164">
        <v>1810000</v>
      </c>
      <c r="E176" s="21" t="s">
        <v>282</v>
      </c>
      <c r="F176" s="21" t="s">
        <v>250</v>
      </c>
      <c r="G176" s="8" t="str">
        <f t="shared" si="2"/>
        <v>NEWELL JAMES</v>
      </c>
    </row>
    <row r="177" spans="1:7" x14ac:dyDescent="0.25">
      <c r="A177" s="8">
        <v>42730.75545138889</v>
      </c>
      <c r="B177" s="21" t="s">
        <v>293</v>
      </c>
      <c r="C177" s="21" t="s">
        <v>603</v>
      </c>
      <c r="D177" s="164">
        <v>1800000</v>
      </c>
      <c r="E177" s="21" t="s">
        <v>235</v>
      </c>
      <c r="F177" s="21" t="s">
        <v>253</v>
      </c>
      <c r="G177" s="8" t="str">
        <f t="shared" si="2"/>
        <v>CHANDLER KELVIN</v>
      </c>
    </row>
    <row r="178" spans="1:7" x14ac:dyDescent="0.25">
      <c r="A178" s="8">
        <v>42730.758680555555</v>
      </c>
      <c r="B178" s="21" t="s">
        <v>344</v>
      </c>
      <c r="C178" s="21" t="s">
        <v>604</v>
      </c>
      <c r="D178" s="164">
        <v>2000000</v>
      </c>
      <c r="E178" s="21" t="s">
        <v>209</v>
      </c>
      <c r="F178" s="21" t="s">
        <v>250</v>
      </c>
      <c r="G178" s="8" t="str">
        <f t="shared" si="2"/>
        <v>STAMBAUGH JAMES</v>
      </c>
    </row>
    <row r="179" spans="1:7" x14ac:dyDescent="0.25">
      <c r="A179" s="8">
        <v>42730.762476851851</v>
      </c>
      <c r="B179" s="21" t="s">
        <v>381</v>
      </c>
      <c r="C179" s="21" t="s">
        <v>446</v>
      </c>
      <c r="D179" s="164">
        <v>2250000</v>
      </c>
      <c r="E179" s="21" t="s">
        <v>389</v>
      </c>
      <c r="F179" s="21" t="s">
        <v>390</v>
      </c>
      <c r="G179" s="8" t="str">
        <f t="shared" si="2"/>
        <v>CRAYTON QUNTRELL</v>
      </c>
    </row>
    <row r="180" spans="1:7" x14ac:dyDescent="0.25">
      <c r="A180" s="8">
        <v>42730.768819444442</v>
      </c>
      <c r="B180" s="21" t="s">
        <v>344</v>
      </c>
      <c r="C180" s="21" t="s">
        <v>604</v>
      </c>
      <c r="D180" s="164">
        <v>2000000</v>
      </c>
      <c r="E180" s="21" t="s">
        <v>209</v>
      </c>
      <c r="F180" s="21" t="s">
        <v>250</v>
      </c>
      <c r="G180" s="8" t="str">
        <f t="shared" si="2"/>
        <v>STAMBAUGH JAMES</v>
      </c>
    </row>
    <row r="181" spans="1:7" x14ac:dyDescent="0.25">
      <c r="A181" s="8">
        <v>42730.769837962966</v>
      </c>
      <c r="B181" s="21" t="s">
        <v>272</v>
      </c>
      <c r="C181" s="21" t="s">
        <v>605</v>
      </c>
      <c r="D181" s="164">
        <v>1810000</v>
      </c>
      <c r="E181" s="21" t="s">
        <v>282</v>
      </c>
      <c r="F181" s="21" t="s">
        <v>250</v>
      </c>
      <c r="G181" s="8" t="str">
        <f t="shared" si="2"/>
        <v>NEWELL JAMES</v>
      </c>
    </row>
    <row r="182" spans="1:7" x14ac:dyDescent="0.25">
      <c r="A182" s="8">
        <v>42730.770729166667</v>
      </c>
      <c r="B182" s="21" t="s">
        <v>229</v>
      </c>
      <c r="C182" s="21" t="s">
        <v>606</v>
      </c>
      <c r="D182" s="164">
        <v>2720000</v>
      </c>
      <c r="E182" s="21" t="s">
        <v>607</v>
      </c>
      <c r="F182" s="21" t="s">
        <v>608</v>
      </c>
      <c r="G182" s="8" t="str">
        <f t="shared" si="2"/>
        <v>SIMONEAUX TERA</v>
      </c>
    </row>
    <row r="183" spans="1:7" x14ac:dyDescent="0.25">
      <c r="A183" s="8">
        <v>42730.770925925928</v>
      </c>
      <c r="B183" s="21" t="s">
        <v>234</v>
      </c>
      <c r="C183" s="21" t="s">
        <v>609</v>
      </c>
      <c r="D183" s="164">
        <v>2230000</v>
      </c>
      <c r="E183" s="21" t="s">
        <v>281</v>
      </c>
      <c r="F183" s="21" t="s">
        <v>262</v>
      </c>
      <c r="G183" s="8" t="str">
        <f t="shared" si="2"/>
        <v>SMITH MICHAEL</v>
      </c>
    </row>
    <row r="184" spans="1:7" x14ac:dyDescent="0.25">
      <c r="A184" s="8">
        <v>42730.775625000002</v>
      </c>
      <c r="B184" s="21" t="s">
        <v>443</v>
      </c>
      <c r="C184" s="21" t="s">
        <v>610</v>
      </c>
      <c r="D184" s="164">
        <v>2470000</v>
      </c>
      <c r="E184" s="21" t="s">
        <v>387</v>
      </c>
      <c r="F184" s="21" t="s">
        <v>388</v>
      </c>
      <c r="G184" s="8" t="str">
        <f t="shared" si="2"/>
        <v>ROMERO CHAD</v>
      </c>
    </row>
    <row r="185" spans="1:7" x14ac:dyDescent="0.25">
      <c r="A185" s="8">
        <v>42730.777314814812</v>
      </c>
      <c r="B185" s="21" t="s">
        <v>154</v>
      </c>
      <c r="C185" s="21" t="s">
        <v>611</v>
      </c>
      <c r="D185" s="164">
        <v>1820000</v>
      </c>
      <c r="E185" s="21" t="s">
        <v>385</v>
      </c>
      <c r="F185" s="21" t="s">
        <v>386</v>
      </c>
      <c r="G185" s="8" t="str">
        <f t="shared" si="2"/>
        <v>ADANE ELSHADAY</v>
      </c>
    </row>
    <row r="186" spans="1:7" x14ac:dyDescent="0.25">
      <c r="A186" s="8">
        <v>42730.783958333333</v>
      </c>
      <c r="B186" s="21" t="s">
        <v>289</v>
      </c>
      <c r="C186" s="21" t="s">
        <v>612</v>
      </c>
      <c r="D186" s="164">
        <v>2030000</v>
      </c>
      <c r="E186" s="21" t="s">
        <v>356</v>
      </c>
      <c r="F186" s="21" t="s">
        <v>249</v>
      </c>
      <c r="G186" s="8" t="str">
        <f t="shared" si="2"/>
        <v>KILLION DAVID</v>
      </c>
    </row>
    <row r="187" spans="1:7" x14ac:dyDescent="0.25">
      <c r="A187" s="8">
        <v>42730.790173611109</v>
      </c>
      <c r="B187" s="21" t="s">
        <v>291</v>
      </c>
      <c r="C187" s="21" t="s">
        <v>613</v>
      </c>
      <c r="D187" s="164">
        <v>1800000</v>
      </c>
      <c r="E187" s="21" t="s">
        <v>235</v>
      </c>
      <c r="F187" s="21" t="s">
        <v>253</v>
      </c>
      <c r="G187" s="8" t="str">
        <f t="shared" si="2"/>
        <v>CHANDLER KELVIN</v>
      </c>
    </row>
    <row r="188" spans="1:7" x14ac:dyDescent="0.25">
      <c r="A188" s="8">
        <v>42730.791215277779</v>
      </c>
      <c r="B188" s="21" t="s">
        <v>212</v>
      </c>
      <c r="C188" s="21" t="s">
        <v>614</v>
      </c>
      <c r="D188" s="164">
        <v>2470000</v>
      </c>
      <c r="E188" s="21" t="s">
        <v>387</v>
      </c>
      <c r="F188" s="21" t="s">
        <v>388</v>
      </c>
      <c r="G188" s="8" t="str">
        <f t="shared" si="2"/>
        <v>ROMERO CHAD</v>
      </c>
    </row>
    <row r="189" spans="1:7" x14ac:dyDescent="0.25">
      <c r="A189" s="8">
        <v>42730.795902777776</v>
      </c>
      <c r="B189" s="21" t="s">
        <v>271</v>
      </c>
      <c r="C189" s="21" t="s">
        <v>615</v>
      </c>
      <c r="D189" s="164">
        <v>1810000</v>
      </c>
      <c r="E189" s="21" t="s">
        <v>282</v>
      </c>
      <c r="F189" s="21" t="s">
        <v>250</v>
      </c>
      <c r="G189" s="8" t="str">
        <f t="shared" si="2"/>
        <v>NEWELL JAMES</v>
      </c>
    </row>
    <row r="190" spans="1:7" x14ac:dyDescent="0.25">
      <c r="A190" s="8">
        <v>42730.797627314816</v>
      </c>
      <c r="B190" s="21" t="s">
        <v>345</v>
      </c>
      <c r="C190" s="21" t="s">
        <v>616</v>
      </c>
      <c r="D190" s="164">
        <v>2000000</v>
      </c>
      <c r="E190" s="21" t="s">
        <v>209</v>
      </c>
      <c r="F190" s="21" t="s">
        <v>250</v>
      </c>
      <c r="G190" s="8" t="str">
        <f t="shared" si="2"/>
        <v>STAMBAUGH JAMES</v>
      </c>
    </row>
    <row r="191" spans="1:7" x14ac:dyDescent="0.25">
      <c r="A191" s="8">
        <v>42730.799062500002</v>
      </c>
      <c r="B191" s="21" t="s">
        <v>329</v>
      </c>
      <c r="C191" s="21" t="s">
        <v>617</v>
      </c>
      <c r="D191" s="164">
        <v>2250000</v>
      </c>
      <c r="E191" s="21" t="s">
        <v>389</v>
      </c>
      <c r="F191" s="21" t="s">
        <v>390</v>
      </c>
      <c r="G191" s="8" t="str">
        <f t="shared" si="2"/>
        <v>CRAYTON QUNTRELL</v>
      </c>
    </row>
    <row r="192" spans="1:7" x14ac:dyDescent="0.25">
      <c r="A192" s="8">
        <v>42730.805590277778</v>
      </c>
      <c r="B192" s="21" t="s">
        <v>259</v>
      </c>
      <c r="C192" s="21" t="s">
        <v>618</v>
      </c>
      <c r="D192" s="164">
        <v>2720000</v>
      </c>
      <c r="E192" s="21" t="s">
        <v>607</v>
      </c>
      <c r="F192" s="21" t="s">
        <v>608</v>
      </c>
      <c r="G192" s="8" t="str">
        <f t="shared" si="2"/>
        <v>SIMONEAUX TERA</v>
      </c>
    </row>
    <row r="193" spans="1:7" x14ac:dyDescent="0.25">
      <c r="A193" s="8">
        <v>42730.811793981484</v>
      </c>
      <c r="B193" s="21" t="s">
        <v>292</v>
      </c>
      <c r="C193" s="21" t="s">
        <v>619</v>
      </c>
      <c r="D193" s="164">
        <v>2550000</v>
      </c>
      <c r="E193" s="21" t="s">
        <v>213</v>
      </c>
      <c r="F193" s="21" t="s">
        <v>620</v>
      </c>
      <c r="G193" s="8" t="str">
        <f t="shared" si="2"/>
        <v>BADERTSCHER DIANE</v>
      </c>
    </row>
    <row r="194" spans="1:7" x14ac:dyDescent="0.25">
      <c r="A194" s="8">
        <v>42730.81695601852</v>
      </c>
      <c r="B194" s="21" t="s">
        <v>443</v>
      </c>
      <c r="C194" s="21" t="s">
        <v>621</v>
      </c>
      <c r="D194" s="164">
        <v>2470000</v>
      </c>
      <c r="E194" s="21" t="s">
        <v>387</v>
      </c>
      <c r="F194" s="21" t="s">
        <v>388</v>
      </c>
      <c r="G194" s="8" t="str">
        <f t="shared" si="2"/>
        <v>ROMERO CHAD</v>
      </c>
    </row>
    <row r="195" spans="1:7" x14ac:dyDescent="0.25">
      <c r="A195" s="8">
        <v>42730.819803240738</v>
      </c>
      <c r="B195" s="21" t="s">
        <v>290</v>
      </c>
      <c r="C195" s="21" t="s">
        <v>622</v>
      </c>
      <c r="D195" s="164">
        <v>2030000</v>
      </c>
      <c r="E195" s="21" t="s">
        <v>356</v>
      </c>
      <c r="F195" s="21" t="s">
        <v>249</v>
      </c>
      <c r="G195" s="8" t="str">
        <f t="shared" ref="G195:G258" si="3">E195&amp;" "&amp;F195</f>
        <v>KILLION DAVID</v>
      </c>
    </row>
    <row r="196" spans="1:7" x14ac:dyDescent="0.25">
      <c r="A196" s="8">
        <v>42730.829479166663</v>
      </c>
      <c r="B196" s="21" t="s">
        <v>293</v>
      </c>
      <c r="C196" s="21" t="s">
        <v>623</v>
      </c>
      <c r="D196" s="164">
        <v>1800000</v>
      </c>
      <c r="E196" s="21" t="s">
        <v>235</v>
      </c>
      <c r="F196" s="21" t="s">
        <v>253</v>
      </c>
      <c r="G196" s="8" t="str">
        <f t="shared" si="3"/>
        <v>CHANDLER KELVIN</v>
      </c>
    </row>
    <row r="197" spans="1:7" x14ac:dyDescent="0.25">
      <c r="A197" s="8">
        <v>42730.830775462964</v>
      </c>
      <c r="B197" s="21" t="s">
        <v>344</v>
      </c>
      <c r="C197" s="21" t="s">
        <v>447</v>
      </c>
      <c r="D197" s="164">
        <v>2000000</v>
      </c>
      <c r="E197" s="21" t="s">
        <v>209</v>
      </c>
      <c r="F197" s="21" t="s">
        <v>250</v>
      </c>
      <c r="G197" s="8" t="str">
        <f t="shared" si="3"/>
        <v>STAMBAUGH JAMES</v>
      </c>
    </row>
    <row r="198" spans="1:7" x14ac:dyDescent="0.25">
      <c r="A198" s="8">
        <v>42730.832604166666</v>
      </c>
      <c r="B198" s="21" t="s">
        <v>212</v>
      </c>
      <c r="C198" s="21" t="s">
        <v>624</v>
      </c>
      <c r="D198" s="164">
        <v>2470000</v>
      </c>
      <c r="E198" s="21" t="s">
        <v>387</v>
      </c>
      <c r="F198" s="21" t="s">
        <v>388</v>
      </c>
      <c r="G198" s="8" t="str">
        <f t="shared" si="3"/>
        <v>ROMERO CHAD</v>
      </c>
    </row>
    <row r="199" spans="1:7" x14ac:dyDescent="0.25">
      <c r="A199" s="8">
        <v>42730.84238425926</v>
      </c>
      <c r="B199" s="21" t="s">
        <v>234</v>
      </c>
      <c r="C199" s="21" t="s">
        <v>625</v>
      </c>
      <c r="D199" s="164">
        <v>2550000</v>
      </c>
      <c r="E199" s="21" t="s">
        <v>213</v>
      </c>
      <c r="F199" s="21" t="s">
        <v>620</v>
      </c>
      <c r="G199" s="8" t="str">
        <f t="shared" si="3"/>
        <v>BADERTSCHER DIANE</v>
      </c>
    </row>
    <row r="200" spans="1:7" x14ac:dyDescent="0.25">
      <c r="A200" s="8">
        <v>42730.849895833337</v>
      </c>
      <c r="B200" s="21" t="s">
        <v>229</v>
      </c>
      <c r="C200" s="21" t="s">
        <v>626</v>
      </c>
      <c r="D200" s="164">
        <v>2720000</v>
      </c>
      <c r="E200" s="21" t="s">
        <v>607</v>
      </c>
      <c r="F200" s="21" t="s">
        <v>608</v>
      </c>
      <c r="G200" s="8" t="str">
        <f t="shared" si="3"/>
        <v>SIMONEAUX TERA</v>
      </c>
    </row>
    <row r="201" spans="1:7" x14ac:dyDescent="0.25">
      <c r="A201" s="8">
        <v>42730.858981481484</v>
      </c>
      <c r="B201" s="21" t="s">
        <v>443</v>
      </c>
      <c r="C201" s="21" t="s">
        <v>448</v>
      </c>
      <c r="D201" s="164">
        <v>2470000</v>
      </c>
      <c r="E201" s="21" t="s">
        <v>387</v>
      </c>
      <c r="F201" s="21" t="s">
        <v>388</v>
      </c>
      <c r="G201" s="8" t="str">
        <f t="shared" si="3"/>
        <v>ROMERO CHAD</v>
      </c>
    </row>
    <row r="202" spans="1:7" x14ac:dyDescent="0.25">
      <c r="A202" s="27">
        <v>42730.863402777781</v>
      </c>
      <c r="B202" s="21" t="s">
        <v>345</v>
      </c>
      <c r="C202" s="21" t="s">
        <v>627</v>
      </c>
      <c r="D202" s="164">
        <v>2000000</v>
      </c>
      <c r="E202" s="21" t="s">
        <v>209</v>
      </c>
      <c r="F202" s="21" t="s">
        <v>250</v>
      </c>
      <c r="G202" s="8" t="str">
        <f t="shared" si="3"/>
        <v>STAMBAUGH JAMES</v>
      </c>
    </row>
    <row r="203" spans="1:7" x14ac:dyDescent="0.25">
      <c r="A203" s="8">
        <v>42730.872928240744</v>
      </c>
      <c r="B203" s="21" t="s">
        <v>291</v>
      </c>
      <c r="C203" s="21" t="s">
        <v>449</v>
      </c>
      <c r="D203" s="164">
        <v>1800000</v>
      </c>
      <c r="E203" s="21" t="s">
        <v>235</v>
      </c>
      <c r="F203" s="21" t="s">
        <v>253</v>
      </c>
      <c r="G203" s="8" t="str">
        <f t="shared" si="3"/>
        <v>CHANDLER KELVIN</v>
      </c>
    </row>
    <row r="204" spans="1:7" x14ac:dyDescent="0.25">
      <c r="A204" s="8">
        <v>42730.881145833337</v>
      </c>
      <c r="B204" s="21" t="s">
        <v>212</v>
      </c>
      <c r="C204" s="21" t="s">
        <v>628</v>
      </c>
      <c r="D204" s="164">
        <v>1810000</v>
      </c>
      <c r="E204" s="21" t="s">
        <v>282</v>
      </c>
      <c r="F204" s="21" t="s">
        <v>250</v>
      </c>
      <c r="G204" s="8" t="str">
        <f t="shared" si="3"/>
        <v>NEWELL JAMES</v>
      </c>
    </row>
    <row r="205" spans="1:7" x14ac:dyDescent="0.25">
      <c r="A205" s="8">
        <v>42730.88484953704</v>
      </c>
      <c r="B205" s="21" t="s">
        <v>292</v>
      </c>
      <c r="C205" s="21" t="s">
        <v>629</v>
      </c>
      <c r="D205" s="164">
        <v>2230000</v>
      </c>
      <c r="E205" s="21" t="s">
        <v>281</v>
      </c>
      <c r="F205" s="21" t="s">
        <v>262</v>
      </c>
      <c r="G205" s="8" t="str">
        <f t="shared" si="3"/>
        <v>SMITH MICHAEL</v>
      </c>
    </row>
    <row r="206" spans="1:7" x14ac:dyDescent="0.25">
      <c r="A206" s="8">
        <v>42730.889328703706</v>
      </c>
      <c r="B206" s="21" t="s">
        <v>259</v>
      </c>
      <c r="C206" s="21" t="s">
        <v>630</v>
      </c>
      <c r="D206" s="164">
        <v>2720000</v>
      </c>
      <c r="E206" s="21" t="s">
        <v>607</v>
      </c>
      <c r="F206" s="21" t="s">
        <v>608</v>
      </c>
      <c r="G206" s="8" t="str">
        <f t="shared" si="3"/>
        <v>SIMONEAUX TERA</v>
      </c>
    </row>
    <row r="207" spans="1:7" x14ac:dyDescent="0.25">
      <c r="A207" s="8">
        <v>42730.900104166663</v>
      </c>
      <c r="B207" s="21" t="s">
        <v>443</v>
      </c>
      <c r="C207" s="21" t="s">
        <v>631</v>
      </c>
      <c r="D207" s="164">
        <v>1810000</v>
      </c>
      <c r="E207" s="21" t="s">
        <v>282</v>
      </c>
      <c r="F207" s="21" t="s">
        <v>250</v>
      </c>
      <c r="G207" s="8" t="str">
        <f t="shared" si="3"/>
        <v>NEWELL JAMES</v>
      </c>
    </row>
    <row r="208" spans="1:7" x14ac:dyDescent="0.25">
      <c r="A208" s="8">
        <v>42730.90662037037</v>
      </c>
      <c r="B208" s="21" t="s">
        <v>344</v>
      </c>
      <c r="C208" s="21" t="s">
        <v>632</v>
      </c>
      <c r="D208" s="164">
        <v>2000000</v>
      </c>
      <c r="E208" s="21" t="s">
        <v>209</v>
      </c>
      <c r="F208" s="21" t="s">
        <v>250</v>
      </c>
      <c r="G208" s="8" t="str">
        <f t="shared" si="3"/>
        <v>STAMBAUGH JAMES</v>
      </c>
    </row>
    <row r="209" spans="1:7" x14ac:dyDescent="0.25">
      <c r="A209" s="8">
        <v>42730.912175925929</v>
      </c>
      <c r="B209" s="21" t="s">
        <v>293</v>
      </c>
      <c r="C209" s="21" t="s">
        <v>633</v>
      </c>
      <c r="D209" s="164">
        <v>1800000</v>
      </c>
      <c r="E209" s="21" t="s">
        <v>235</v>
      </c>
      <c r="F209" s="21" t="s">
        <v>253</v>
      </c>
      <c r="G209" s="8" t="str">
        <f t="shared" si="3"/>
        <v>CHANDLER KELVIN</v>
      </c>
    </row>
    <row r="210" spans="1:7" x14ac:dyDescent="0.25">
      <c r="A210" s="8">
        <v>42730.916516203702</v>
      </c>
      <c r="B210" s="21" t="s">
        <v>212</v>
      </c>
      <c r="C210" s="21" t="s">
        <v>634</v>
      </c>
      <c r="D210" s="164">
        <v>1810000</v>
      </c>
      <c r="E210" s="21" t="s">
        <v>282</v>
      </c>
      <c r="F210" s="21" t="s">
        <v>250</v>
      </c>
      <c r="G210" s="8" t="str">
        <f t="shared" si="3"/>
        <v>NEWELL JAMES</v>
      </c>
    </row>
    <row r="211" spans="1:7" x14ac:dyDescent="0.25">
      <c r="A211" s="8">
        <v>42730.926817129628</v>
      </c>
      <c r="B211" s="21" t="s">
        <v>234</v>
      </c>
      <c r="C211" s="21" t="s">
        <v>635</v>
      </c>
      <c r="D211" s="164">
        <v>2230000</v>
      </c>
      <c r="E211" s="21" t="s">
        <v>281</v>
      </c>
      <c r="F211" s="21" t="s">
        <v>262</v>
      </c>
      <c r="G211" s="8" t="str">
        <f t="shared" si="3"/>
        <v>SMITH MICHAEL</v>
      </c>
    </row>
    <row r="212" spans="1:7" x14ac:dyDescent="0.25">
      <c r="A212" s="8">
        <v>42730.932719907411</v>
      </c>
      <c r="B212" s="21" t="s">
        <v>229</v>
      </c>
      <c r="C212" s="21" t="s">
        <v>636</v>
      </c>
      <c r="D212" s="164">
        <v>2720000</v>
      </c>
      <c r="E212" s="21" t="s">
        <v>607</v>
      </c>
      <c r="F212" s="21" t="s">
        <v>608</v>
      </c>
      <c r="G212" s="8" t="str">
        <f t="shared" si="3"/>
        <v>SIMONEAUX TERA</v>
      </c>
    </row>
    <row r="213" spans="1:7" x14ac:dyDescent="0.25">
      <c r="A213" s="8">
        <v>42730.942256944443</v>
      </c>
      <c r="B213" s="21" t="s">
        <v>443</v>
      </c>
      <c r="C213" s="21" t="s">
        <v>637</v>
      </c>
      <c r="D213" s="164">
        <v>1810000</v>
      </c>
      <c r="E213" s="21" t="s">
        <v>282</v>
      </c>
      <c r="F213" s="21" t="s">
        <v>250</v>
      </c>
      <c r="G213" s="8" t="str">
        <f t="shared" si="3"/>
        <v>NEWELL JAMES</v>
      </c>
    </row>
    <row r="214" spans="1:7" x14ac:dyDescent="0.25">
      <c r="A214" s="8">
        <v>42730.953715277778</v>
      </c>
      <c r="B214" s="21" t="s">
        <v>345</v>
      </c>
      <c r="C214" s="21" t="s">
        <v>450</v>
      </c>
      <c r="D214" s="164">
        <v>2000000</v>
      </c>
      <c r="E214" s="21" t="s">
        <v>209</v>
      </c>
      <c r="F214" s="21" t="s">
        <v>250</v>
      </c>
      <c r="G214" s="8" t="str">
        <f t="shared" si="3"/>
        <v>STAMBAUGH JAMES</v>
      </c>
    </row>
    <row r="215" spans="1:7" x14ac:dyDescent="0.25">
      <c r="A215" s="8">
        <v>42730.95784722222</v>
      </c>
      <c r="B215" s="21" t="s">
        <v>291</v>
      </c>
      <c r="C215" s="21" t="s">
        <v>638</v>
      </c>
      <c r="D215" s="164">
        <v>1800000</v>
      </c>
      <c r="E215" s="21" t="s">
        <v>235</v>
      </c>
      <c r="F215" s="21" t="s">
        <v>253</v>
      </c>
      <c r="G215" s="8" t="str">
        <f t="shared" si="3"/>
        <v>CHANDLER KELVIN</v>
      </c>
    </row>
    <row r="216" spans="1:7" x14ac:dyDescent="0.25">
      <c r="A216" s="8">
        <v>42730.967094907406</v>
      </c>
      <c r="B216" s="21" t="s">
        <v>292</v>
      </c>
      <c r="C216" s="21" t="s">
        <v>639</v>
      </c>
      <c r="D216" s="164">
        <v>2230000</v>
      </c>
      <c r="E216" s="21" t="s">
        <v>281</v>
      </c>
      <c r="F216" s="21" t="s">
        <v>262</v>
      </c>
      <c r="G216" s="8" t="str">
        <f t="shared" si="3"/>
        <v>SMITH MICHAEL</v>
      </c>
    </row>
    <row r="217" spans="1:7" x14ac:dyDescent="0.25">
      <c r="A217" s="8">
        <v>42730.970347222225</v>
      </c>
      <c r="B217" s="21" t="s">
        <v>259</v>
      </c>
      <c r="C217" s="21" t="s">
        <v>451</v>
      </c>
      <c r="D217" s="164">
        <v>2720000</v>
      </c>
      <c r="E217" s="21" t="s">
        <v>607</v>
      </c>
      <c r="F217" s="21" t="s">
        <v>608</v>
      </c>
      <c r="G217" s="8" t="str">
        <f t="shared" si="3"/>
        <v>SIMONEAUX TERA</v>
      </c>
    </row>
    <row r="218" spans="1:7" x14ac:dyDescent="0.25">
      <c r="A218" s="8">
        <v>42730.993113425924</v>
      </c>
      <c r="B218" s="21" t="s">
        <v>293</v>
      </c>
      <c r="C218" s="21" t="s">
        <v>640</v>
      </c>
      <c r="D218" s="164">
        <v>1800000</v>
      </c>
      <c r="E218" s="21" t="s">
        <v>235</v>
      </c>
      <c r="F218" s="21" t="s">
        <v>253</v>
      </c>
      <c r="G218" s="8" t="str">
        <f t="shared" si="3"/>
        <v>CHANDLER KELVIN</v>
      </c>
    </row>
    <row r="219" spans="1:7" x14ac:dyDescent="0.25">
      <c r="A219" s="8">
        <v>42730.993506944447</v>
      </c>
      <c r="B219" s="21" t="s">
        <v>344</v>
      </c>
      <c r="C219" s="21" t="s">
        <v>641</v>
      </c>
      <c r="D219" s="164">
        <v>2000000</v>
      </c>
      <c r="E219" s="21" t="s">
        <v>209</v>
      </c>
      <c r="F219" s="21" t="s">
        <v>250</v>
      </c>
      <c r="G219" s="8" t="str">
        <f t="shared" si="3"/>
        <v>STAMBAUGH JAMES</v>
      </c>
    </row>
    <row r="220" spans="1:7" x14ac:dyDescent="0.25">
      <c r="A220" s="8">
        <v>42731.008159722223</v>
      </c>
      <c r="B220" s="21" t="s">
        <v>234</v>
      </c>
      <c r="C220" s="21" t="s">
        <v>642</v>
      </c>
      <c r="D220" s="164">
        <v>2230000</v>
      </c>
      <c r="E220" s="21" t="s">
        <v>281</v>
      </c>
      <c r="F220" s="21" t="s">
        <v>262</v>
      </c>
      <c r="G220" s="8" t="str">
        <f t="shared" si="3"/>
        <v>SMITH MICHAEL</v>
      </c>
    </row>
    <row r="221" spans="1:7" x14ac:dyDescent="0.25">
      <c r="A221" s="8">
        <v>42731.018090277779</v>
      </c>
      <c r="B221" s="21" t="s">
        <v>229</v>
      </c>
      <c r="C221" s="21" t="s">
        <v>643</v>
      </c>
      <c r="D221" s="164">
        <v>2720000</v>
      </c>
      <c r="E221" s="21" t="s">
        <v>607</v>
      </c>
      <c r="F221" s="21" t="s">
        <v>608</v>
      </c>
      <c r="G221" s="8" t="str">
        <f t="shared" si="3"/>
        <v>SIMONEAUX TERA</v>
      </c>
    </row>
    <row r="222" spans="1:7" x14ac:dyDescent="0.25">
      <c r="A222" s="8">
        <v>42731.02851851852</v>
      </c>
      <c r="B222" s="21" t="s">
        <v>291</v>
      </c>
      <c r="C222" s="21" t="s">
        <v>452</v>
      </c>
      <c r="D222" s="164">
        <v>1800000</v>
      </c>
      <c r="E222" s="21" t="s">
        <v>235</v>
      </c>
      <c r="F222" s="21" t="s">
        <v>253</v>
      </c>
      <c r="G222" s="8" t="str">
        <f t="shared" si="3"/>
        <v>CHANDLER KELVIN</v>
      </c>
    </row>
    <row r="223" spans="1:7" x14ac:dyDescent="0.25">
      <c r="A223" s="8">
        <v>42731.037395833337</v>
      </c>
      <c r="B223" s="21" t="s">
        <v>345</v>
      </c>
      <c r="C223" s="21" t="s">
        <v>644</v>
      </c>
      <c r="D223" s="164">
        <v>2000000</v>
      </c>
      <c r="E223" s="21" t="s">
        <v>209</v>
      </c>
      <c r="F223" s="21" t="s">
        <v>250</v>
      </c>
      <c r="G223" s="8" t="str">
        <f t="shared" si="3"/>
        <v>STAMBAUGH JAMES</v>
      </c>
    </row>
    <row r="224" spans="1:7" x14ac:dyDescent="0.25">
      <c r="A224" s="8">
        <v>42731.048356481479</v>
      </c>
      <c r="B224" t="s">
        <v>292</v>
      </c>
      <c r="C224" t="s">
        <v>645</v>
      </c>
      <c r="D224" s="164">
        <v>2230000</v>
      </c>
      <c r="E224" t="s">
        <v>281</v>
      </c>
      <c r="F224" s="21" t="s">
        <v>262</v>
      </c>
      <c r="G224" s="8" t="str">
        <f t="shared" si="3"/>
        <v>SMITH MICHAEL</v>
      </c>
    </row>
    <row r="225" spans="1:7" x14ac:dyDescent="0.25">
      <c r="A225" s="8">
        <v>42731.056851851848</v>
      </c>
      <c r="B225" t="s">
        <v>259</v>
      </c>
      <c r="C225" t="s">
        <v>646</v>
      </c>
      <c r="D225" s="164">
        <v>2720000</v>
      </c>
      <c r="E225" t="s">
        <v>607</v>
      </c>
      <c r="F225" s="21" t="s">
        <v>608</v>
      </c>
      <c r="G225" s="8" t="str">
        <f t="shared" si="3"/>
        <v>SIMONEAUX TERA</v>
      </c>
    </row>
    <row r="226" spans="1:7" x14ac:dyDescent="0.25">
      <c r="A226" s="8">
        <v>42731.067523148151</v>
      </c>
      <c r="B226" t="s">
        <v>344</v>
      </c>
      <c r="C226" t="s">
        <v>647</v>
      </c>
      <c r="D226" s="164">
        <v>2000000</v>
      </c>
      <c r="E226" t="s">
        <v>209</v>
      </c>
      <c r="F226" s="21" t="s">
        <v>250</v>
      </c>
      <c r="G226" s="8" t="str">
        <f t="shared" si="3"/>
        <v>STAMBAUGH JAMES</v>
      </c>
    </row>
    <row r="227" spans="1:7" x14ac:dyDescent="0.25">
      <c r="A227" s="8">
        <v>42731.093460648146</v>
      </c>
      <c r="B227" t="s">
        <v>229</v>
      </c>
      <c r="C227" t="s">
        <v>648</v>
      </c>
      <c r="D227" s="164">
        <v>2720000</v>
      </c>
      <c r="E227" t="s">
        <v>607</v>
      </c>
      <c r="F227" s="21" t="s">
        <v>608</v>
      </c>
      <c r="G227" s="8" t="str">
        <f t="shared" si="3"/>
        <v>SIMONEAUX TERA</v>
      </c>
    </row>
    <row r="228" spans="1:7" x14ac:dyDescent="0.25">
      <c r="A228" s="8">
        <v>42728.034085648149</v>
      </c>
      <c r="B228" t="s">
        <v>344</v>
      </c>
      <c r="C228" t="s">
        <v>357</v>
      </c>
      <c r="D228" s="164">
        <v>2270000</v>
      </c>
      <c r="E228" t="s">
        <v>327</v>
      </c>
      <c r="F228" s="21" t="s">
        <v>328</v>
      </c>
      <c r="G228" s="8" t="str">
        <f t="shared" si="3"/>
        <v>BROWN JACOB</v>
      </c>
    </row>
    <row r="229" spans="1:7" x14ac:dyDescent="0.25">
      <c r="A229" s="8">
        <v>42728.037743055553</v>
      </c>
      <c r="B229" t="s">
        <v>257</v>
      </c>
      <c r="C229" t="s">
        <v>346</v>
      </c>
      <c r="D229" s="164">
        <v>2000000</v>
      </c>
      <c r="E229" t="s">
        <v>209</v>
      </c>
      <c r="F229" s="21" t="s">
        <v>250</v>
      </c>
      <c r="G229" s="8" t="str">
        <f t="shared" si="3"/>
        <v>STAMBAUGH JAMES</v>
      </c>
    </row>
    <row r="230" spans="1:7" x14ac:dyDescent="0.25">
      <c r="A230" s="8">
        <v>42728.047465277778</v>
      </c>
      <c r="B230" t="s">
        <v>155</v>
      </c>
      <c r="C230" t="s">
        <v>358</v>
      </c>
      <c r="D230" s="164">
        <v>2220000</v>
      </c>
      <c r="E230" t="s">
        <v>325</v>
      </c>
      <c r="F230" s="21" t="s">
        <v>326</v>
      </c>
      <c r="G230" s="8" t="str">
        <f t="shared" si="3"/>
        <v>HILLS DUSTIN</v>
      </c>
    </row>
    <row r="231" spans="1:7" x14ac:dyDescent="0.25">
      <c r="A231" s="8">
        <v>42728.048321759263</v>
      </c>
      <c r="B231" t="s">
        <v>155</v>
      </c>
      <c r="C231" t="s">
        <v>358</v>
      </c>
      <c r="D231" s="164">
        <v>2220000</v>
      </c>
      <c r="E231" t="s">
        <v>325</v>
      </c>
      <c r="F231" s="21" t="s">
        <v>326</v>
      </c>
      <c r="G231" s="8" t="str">
        <f t="shared" si="3"/>
        <v>HILLS DUSTIN</v>
      </c>
    </row>
    <row r="232" spans="1:7" x14ac:dyDescent="0.25">
      <c r="A232" s="8">
        <v>42728.050104166665</v>
      </c>
      <c r="B232" t="s">
        <v>344</v>
      </c>
      <c r="C232" t="s">
        <v>357</v>
      </c>
      <c r="D232" s="164">
        <v>2270000</v>
      </c>
      <c r="E232" t="s">
        <v>327</v>
      </c>
      <c r="F232" s="21" t="s">
        <v>328</v>
      </c>
      <c r="G232" s="8" t="str">
        <f t="shared" si="3"/>
        <v>BROWN JACOB</v>
      </c>
    </row>
    <row r="233" spans="1:7" x14ac:dyDescent="0.25">
      <c r="A233" s="8">
        <v>42728.050856481481</v>
      </c>
      <c r="B233" t="s">
        <v>292</v>
      </c>
      <c r="C233" t="s">
        <v>359</v>
      </c>
      <c r="D233" s="164">
        <v>2730000</v>
      </c>
      <c r="E233" t="s">
        <v>313</v>
      </c>
      <c r="F233" s="21" t="s">
        <v>314</v>
      </c>
      <c r="G233" s="8" t="str">
        <f t="shared" si="3"/>
        <v>YANG JAN</v>
      </c>
    </row>
    <row r="234" spans="1:7" x14ac:dyDescent="0.25">
      <c r="A234" s="8">
        <v>42728.053159722222</v>
      </c>
      <c r="B234" t="s">
        <v>155</v>
      </c>
      <c r="C234" t="s">
        <v>358</v>
      </c>
      <c r="D234" s="164">
        <v>2220000</v>
      </c>
      <c r="E234" t="s">
        <v>325</v>
      </c>
      <c r="F234" s="21" t="s">
        <v>326</v>
      </c>
      <c r="G234" s="8" t="str">
        <f t="shared" si="3"/>
        <v>HILLS DUSTIN</v>
      </c>
    </row>
    <row r="235" spans="1:7" x14ac:dyDescent="0.25">
      <c r="A235" s="8">
        <v>42728.053981481484</v>
      </c>
      <c r="B235" t="s">
        <v>155</v>
      </c>
      <c r="C235" t="s">
        <v>358</v>
      </c>
      <c r="D235" s="164">
        <v>2220000</v>
      </c>
      <c r="E235" t="s">
        <v>325</v>
      </c>
      <c r="F235" s="21" t="s">
        <v>326</v>
      </c>
      <c r="G235" s="8" t="str">
        <f t="shared" si="3"/>
        <v>HILLS DUSTIN</v>
      </c>
    </row>
    <row r="236" spans="1:7" x14ac:dyDescent="0.25">
      <c r="A236" s="8">
        <v>42728.055081018516</v>
      </c>
      <c r="B236" t="s">
        <v>155</v>
      </c>
      <c r="C236" t="s">
        <v>358</v>
      </c>
      <c r="D236" s="164">
        <v>2220000</v>
      </c>
      <c r="E236" t="s">
        <v>325</v>
      </c>
      <c r="F236" s="21" t="s">
        <v>326</v>
      </c>
      <c r="G236" s="8" t="str">
        <f t="shared" si="3"/>
        <v>HILLS DUSTIN</v>
      </c>
    </row>
    <row r="237" spans="1:7" x14ac:dyDescent="0.25">
      <c r="A237" s="8">
        <v>42728.056018518517</v>
      </c>
      <c r="B237" t="s">
        <v>155</v>
      </c>
      <c r="C237" t="s">
        <v>358</v>
      </c>
      <c r="D237" s="164">
        <v>2220000</v>
      </c>
      <c r="E237" t="s">
        <v>325</v>
      </c>
      <c r="F237" s="21" t="s">
        <v>326</v>
      </c>
      <c r="G237" s="8" t="str">
        <f t="shared" si="3"/>
        <v>HILLS DUSTIN</v>
      </c>
    </row>
    <row r="238" spans="1:7" x14ac:dyDescent="0.25">
      <c r="A238" s="8">
        <v>42728.056562500002</v>
      </c>
      <c r="B238" t="s">
        <v>155</v>
      </c>
      <c r="C238" t="s">
        <v>358</v>
      </c>
      <c r="D238" s="164">
        <v>2220000</v>
      </c>
      <c r="E238" t="s">
        <v>325</v>
      </c>
      <c r="F238" s="21" t="s">
        <v>326</v>
      </c>
      <c r="G238" s="8" t="str">
        <f t="shared" si="3"/>
        <v>HILLS DUSTIN</v>
      </c>
    </row>
    <row r="239" spans="1:7" x14ac:dyDescent="0.25">
      <c r="A239" s="8">
        <v>42728.057442129626</v>
      </c>
      <c r="B239" t="s">
        <v>155</v>
      </c>
      <c r="C239" t="s">
        <v>358</v>
      </c>
      <c r="D239" s="164">
        <v>2220000</v>
      </c>
      <c r="E239" t="s">
        <v>325</v>
      </c>
      <c r="F239" s="21" t="s">
        <v>326</v>
      </c>
      <c r="G239" s="8" t="str">
        <f t="shared" si="3"/>
        <v>HILLS DUSTIN</v>
      </c>
    </row>
    <row r="240" spans="1:7" x14ac:dyDescent="0.25">
      <c r="A240" s="8">
        <v>42728.058125000003</v>
      </c>
      <c r="B240" t="s">
        <v>155</v>
      </c>
      <c r="C240" t="s">
        <v>358</v>
      </c>
      <c r="D240" s="164">
        <v>2220000</v>
      </c>
      <c r="E240" t="s">
        <v>325</v>
      </c>
      <c r="F240" s="21" t="s">
        <v>326</v>
      </c>
      <c r="G240" s="8" t="str">
        <f t="shared" si="3"/>
        <v>HILLS DUSTIN</v>
      </c>
    </row>
    <row r="241" spans="1:7" x14ac:dyDescent="0.25">
      <c r="A241" s="8">
        <v>42728.068344907406</v>
      </c>
      <c r="B241" t="s">
        <v>242</v>
      </c>
      <c r="C241" t="s">
        <v>360</v>
      </c>
      <c r="D241" s="164">
        <v>2000000</v>
      </c>
      <c r="E241" t="s">
        <v>209</v>
      </c>
      <c r="F241" s="21" t="s">
        <v>250</v>
      </c>
      <c r="G241" s="8" t="str">
        <f t="shared" si="3"/>
        <v>STAMBAUGH JAMES</v>
      </c>
    </row>
    <row r="242" spans="1:7" x14ac:dyDescent="0.25">
      <c r="A242" s="8">
        <v>42728.072638888887</v>
      </c>
      <c r="B242" t="s">
        <v>345</v>
      </c>
      <c r="C242" t="s">
        <v>361</v>
      </c>
      <c r="D242" s="164">
        <v>2270000</v>
      </c>
      <c r="E242" t="s">
        <v>327</v>
      </c>
      <c r="F242" s="21" t="s">
        <v>328</v>
      </c>
      <c r="G242" s="8" t="str">
        <f t="shared" si="3"/>
        <v>BROWN JACOB</v>
      </c>
    </row>
    <row r="243" spans="1:7" x14ac:dyDescent="0.25">
      <c r="A243" s="8">
        <v>42728.089687500003</v>
      </c>
      <c r="B243" t="s">
        <v>154</v>
      </c>
      <c r="C243" t="s">
        <v>362</v>
      </c>
      <c r="D243" s="164">
        <v>2220000</v>
      </c>
      <c r="E243" t="s">
        <v>325</v>
      </c>
      <c r="F243" s="21" t="s">
        <v>326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362</v>
      </c>
      <c r="D244" s="164">
        <v>2220000</v>
      </c>
      <c r="E244" t="s">
        <v>325</v>
      </c>
      <c r="F244" s="21" t="s">
        <v>326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344</v>
      </c>
      <c r="C245" t="s">
        <v>363</v>
      </c>
      <c r="D245" s="164">
        <v>2270000</v>
      </c>
      <c r="E245" t="s">
        <v>327</v>
      </c>
      <c r="F245" s="21" t="s">
        <v>328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293</v>
      </c>
      <c r="C246" t="s">
        <v>296</v>
      </c>
      <c r="D246" s="164">
        <v>2000000</v>
      </c>
      <c r="E246" t="s">
        <v>209</v>
      </c>
      <c r="F246" s="21" t="s">
        <v>250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272</v>
      </c>
      <c r="C247" t="s">
        <v>297</v>
      </c>
      <c r="D247" s="164">
        <v>1810000</v>
      </c>
      <c r="E247" t="s">
        <v>282</v>
      </c>
      <c r="F247" s="21" t="s">
        <v>250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298</v>
      </c>
      <c r="D248" s="164">
        <v>2230000</v>
      </c>
      <c r="E248" t="s">
        <v>281</v>
      </c>
      <c r="F248" s="21" t="s">
        <v>262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299</v>
      </c>
      <c r="D249" s="164">
        <v>1800000</v>
      </c>
      <c r="E249" t="s">
        <v>235</v>
      </c>
      <c r="F249" s="21" t="s">
        <v>253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271</v>
      </c>
      <c r="C250" t="s">
        <v>300</v>
      </c>
      <c r="D250" s="164">
        <v>1810000</v>
      </c>
      <c r="E250" t="s">
        <v>282</v>
      </c>
      <c r="F250" s="21" t="s">
        <v>250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291</v>
      </c>
      <c r="C251" t="s">
        <v>301</v>
      </c>
      <c r="D251" s="164">
        <v>2000000</v>
      </c>
      <c r="E251" t="s">
        <v>209</v>
      </c>
      <c r="F251" s="21" t="s">
        <v>250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302</v>
      </c>
      <c r="D252" s="164">
        <v>1800000</v>
      </c>
      <c r="E252" t="s">
        <v>235</v>
      </c>
      <c r="F252" s="21" t="s">
        <v>253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270</v>
      </c>
      <c r="C253" t="s">
        <v>303</v>
      </c>
      <c r="D253" s="164">
        <v>2230000</v>
      </c>
      <c r="E253" t="s">
        <v>281</v>
      </c>
      <c r="F253" s="21" t="s">
        <v>262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272</v>
      </c>
      <c r="C254" t="s">
        <v>304</v>
      </c>
      <c r="D254" s="164">
        <v>1810000</v>
      </c>
      <c r="E254" t="s">
        <v>282</v>
      </c>
      <c r="F254" s="21" t="s">
        <v>250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293</v>
      </c>
      <c r="C255" t="s">
        <v>305</v>
      </c>
      <c r="D255" s="164">
        <v>2000000</v>
      </c>
      <c r="E255" t="s">
        <v>209</v>
      </c>
      <c r="F255" s="21" t="s">
        <v>250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306</v>
      </c>
      <c r="D256" s="164">
        <v>2230000</v>
      </c>
      <c r="E256" t="s">
        <v>281</v>
      </c>
      <c r="F256" s="21" t="s">
        <v>262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291</v>
      </c>
      <c r="C257" t="s">
        <v>307</v>
      </c>
      <c r="D257" s="164">
        <v>2000000</v>
      </c>
      <c r="E257" t="s">
        <v>209</v>
      </c>
      <c r="F257" s="21" t="s">
        <v>250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308</v>
      </c>
      <c r="D258" s="164">
        <v>2110000</v>
      </c>
      <c r="E258" t="s">
        <v>294</v>
      </c>
      <c r="F258" s="21" t="s">
        <v>295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308</v>
      </c>
      <c r="D259" s="164">
        <v>2110000</v>
      </c>
      <c r="E259" t="s">
        <v>294</v>
      </c>
      <c r="F259" s="21" t="s">
        <v>295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231</v>
      </c>
      <c r="C260" t="s">
        <v>238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237</v>
      </c>
      <c r="D261" s="164">
        <v>2530000</v>
      </c>
      <c r="E261" t="s">
        <v>236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239</v>
      </c>
      <c r="D262" s="164">
        <v>2600000</v>
      </c>
      <c r="E262" t="s">
        <v>232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74" customWidth="1"/>
    <col min="2" max="2" width="8.42578125" style="174" bestFit="1" customWidth="1"/>
    <col min="3" max="3" width="12.5703125" style="174" bestFit="1" customWidth="1"/>
    <col min="4" max="4" width="18.5703125" style="153" bestFit="1" customWidth="1"/>
    <col min="5" max="5" width="9.85546875" style="174" bestFit="1" customWidth="1"/>
    <col min="6" max="6" width="9" style="174" bestFit="1" customWidth="1"/>
    <col min="7" max="7" width="8.85546875" style="174" bestFit="1" customWidth="1"/>
    <col min="8" max="8" width="14" style="174" bestFit="1" customWidth="1"/>
    <col min="9" max="9" width="21.140625" style="174" bestFit="1" customWidth="1"/>
    <col min="10" max="10" width="8.7109375" style="174" bestFit="1" customWidth="1"/>
    <col min="11" max="11" width="11.28515625" style="174" bestFit="1" customWidth="1"/>
    <col min="12" max="12" width="11" style="174" bestFit="1" customWidth="1"/>
    <col min="13" max="13" width="11.28515625" style="174" bestFit="1" customWidth="1"/>
    <col min="14" max="14" width="13.7109375" style="174" bestFit="1" customWidth="1"/>
    <col min="15" max="15" width="14.85546875" style="174" bestFit="1" customWidth="1"/>
    <col min="16" max="16" width="16.7109375" style="174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79" t="s">
        <v>165</v>
      </c>
      <c r="B1" s="179" t="s">
        <v>168</v>
      </c>
      <c r="C1" s="179" t="s">
        <v>161</v>
      </c>
      <c r="D1" s="159" t="s">
        <v>173</v>
      </c>
      <c r="E1" s="179" t="s">
        <v>162</v>
      </c>
      <c r="F1" s="179" t="s">
        <v>160</v>
      </c>
      <c r="G1" s="179" t="s">
        <v>158</v>
      </c>
      <c r="H1" s="179" t="s">
        <v>171</v>
      </c>
      <c r="I1" s="179" t="s">
        <v>172</v>
      </c>
      <c r="J1" s="179" t="s">
        <v>166</v>
      </c>
      <c r="K1" s="179" t="s">
        <v>164</v>
      </c>
      <c r="L1" s="179" t="s">
        <v>159</v>
      </c>
      <c r="M1" s="179" t="s">
        <v>169</v>
      </c>
      <c r="N1" s="179" t="s">
        <v>163</v>
      </c>
      <c r="O1" s="179" t="s">
        <v>170</v>
      </c>
      <c r="P1" s="179" t="s">
        <v>167</v>
      </c>
      <c r="Q1"/>
      <c r="R1"/>
    </row>
    <row r="2" spans="1:18" x14ac:dyDescent="0.25">
      <c r="A2" s="169">
        <v>25.21</v>
      </c>
      <c r="B2" s="169">
        <v>0.04</v>
      </c>
      <c r="C2" s="169">
        <v>8.2899999999999991</v>
      </c>
      <c r="D2" s="8">
        <v>42730</v>
      </c>
      <c r="E2" s="169">
        <v>0.38</v>
      </c>
      <c r="F2" s="169" t="s">
        <v>365</v>
      </c>
      <c r="G2" s="169">
        <v>305.52999999999997</v>
      </c>
      <c r="H2" s="169">
        <v>0</v>
      </c>
      <c r="I2" s="169">
        <v>0</v>
      </c>
      <c r="J2" s="169">
        <v>1013.21</v>
      </c>
      <c r="K2" s="169" t="s">
        <v>364</v>
      </c>
      <c r="L2" s="169">
        <v>31.08</v>
      </c>
      <c r="M2" s="169">
        <v>1482735600</v>
      </c>
      <c r="N2" s="169">
        <v>7.61</v>
      </c>
      <c r="O2" s="169">
        <v>286</v>
      </c>
      <c r="P2" s="169">
        <v>5.9</v>
      </c>
      <c r="Q2"/>
      <c r="R2"/>
    </row>
    <row r="3" spans="1:18" x14ac:dyDescent="0.25">
      <c r="A3" s="169">
        <v>25.96</v>
      </c>
      <c r="B3" s="169">
        <v>0.08</v>
      </c>
      <c r="C3" s="169">
        <v>8.7899999999999991</v>
      </c>
      <c r="D3" s="8">
        <v>42730.041666666664</v>
      </c>
      <c r="E3" s="169">
        <v>0.39</v>
      </c>
      <c r="F3" s="169" t="s">
        <v>365</v>
      </c>
      <c r="G3" s="169">
        <v>306.5</v>
      </c>
      <c r="H3" s="169">
        <v>0</v>
      </c>
      <c r="I3" s="169">
        <v>0</v>
      </c>
      <c r="J3" s="169">
        <v>1014.08</v>
      </c>
      <c r="K3" s="169" t="s">
        <v>364</v>
      </c>
      <c r="L3" s="169">
        <v>30.65</v>
      </c>
      <c r="M3" s="169">
        <v>1482739200</v>
      </c>
      <c r="N3" s="169">
        <v>7.36</v>
      </c>
      <c r="O3" s="169">
        <v>301</v>
      </c>
      <c r="P3" s="169">
        <v>4.5199999999999996</v>
      </c>
      <c r="Q3"/>
      <c r="R3"/>
    </row>
    <row r="4" spans="1:18" x14ac:dyDescent="0.25">
      <c r="A4" s="169">
        <v>24.53</v>
      </c>
      <c r="B4" s="169">
        <v>7.0000000000000007E-2</v>
      </c>
      <c r="C4" s="169">
        <v>8.4600000000000009</v>
      </c>
      <c r="D4" s="8">
        <v>42730.083333333336</v>
      </c>
      <c r="E4" s="169">
        <v>0.4</v>
      </c>
      <c r="F4" s="169" t="s">
        <v>365</v>
      </c>
      <c r="G4" s="169">
        <v>307.47000000000003</v>
      </c>
      <c r="H4" s="169">
        <v>0</v>
      </c>
      <c r="I4" s="169">
        <v>0</v>
      </c>
      <c r="J4" s="169">
        <v>1014.99</v>
      </c>
      <c r="K4" s="169" t="s">
        <v>364</v>
      </c>
      <c r="L4" s="169">
        <v>29.55</v>
      </c>
      <c r="M4" s="169">
        <v>1482742800</v>
      </c>
      <c r="N4" s="169">
        <v>6.59</v>
      </c>
      <c r="O4" s="169">
        <v>294</v>
      </c>
      <c r="P4" s="169">
        <v>4.67</v>
      </c>
      <c r="Q4"/>
      <c r="R4"/>
    </row>
    <row r="5" spans="1:18" x14ac:dyDescent="0.25">
      <c r="A5" s="169">
        <v>22.26</v>
      </c>
      <c r="B5" s="169">
        <v>0.06</v>
      </c>
      <c r="C5" s="169">
        <v>7.46</v>
      </c>
      <c r="D5" s="8">
        <v>42730.125</v>
      </c>
      <c r="E5" s="169">
        <v>0.42</v>
      </c>
      <c r="F5" s="169" t="s">
        <v>365</v>
      </c>
      <c r="G5" s="169">
        <v>309.14</v>
      </c>
      <c r="H5" s="169">
        <v>0</v>
      </c>
      <c r="I5" s="169">
        <v>0</v>
      </c>
      <c r="J5" s="169">
        <v>1015.92</v>
      </c>
      <c r="K5" s="169" t="s">
        <v>364</v>
      </c>
      <c r="L5" s="169">
        <v>27.42</v>
      </c>
      <c r="M5" s="169">
        <v>1482746400</v>
      </c>
      <c r="N5" s="169">
        <v>6.07</v>
      </c>
      <c r="O5" s="169">
        <v>286</v>
      </c>
      <c r="P5" s="169">
        <v>4.46</v>
      </c>
      <c r="Q5"/>
      <c r="R5"/>
    </row>
    <row r="6" spans="1:18" x14ac:dyDescent="0.25">
      <c r="A6" s="169">
        <v>22.08</v>
      </c>
      <c r="B6" s="169">
        <v>0.03</v>
      </c>
      <c r="C6" s="169">
        <v>6.87</v>
      </c>
      <c r="D6" s="8">
        <v>42730.166666666664</v>
      </c>
      <c r="E6" s="169">
        <v>0.42</v>
      </c>
      <c r="F6" s="169" t="s">
        <v>365</v>
      </c>
      <c r="G6" s="169">
        <v>311.02999999999997</v>
      </c>
      <c r="H6" s="169">
        <v>0</v>
      </c>
      <c r="I6" s="169">
        <v>0</v>
      </c>
      <c r="J6" s="169">
        <v>1016.87</v>
      </c>
      <c r="K6" s="169" t="s">
        <v>364</v>
      </c>
      <c r="L6" s="169">
        <v>27</v>
      </c>
      <c r="M6" s="169">
        <v>1482750000</v>
      </c>
      <c r="N6" s="169">
        <v>6.16</v>
      </c>
      <c r="O6" s="169">
        <v>282</v>
      </c>
      <c r="P6" s="169">
        <v>4.18</v>
      </c>
      <c r="Q6"/>
      <c r="R6"/>
    </row>
    <row r="7" spans="1:18" x14ac:dyDescent="0.25">
      <c r="A7" s="169">
        <v>25.76</v>
      </c>
      <c r="B7" s="169">
        <v>0.03</v>
      </c>
      <c r="C7" s="169">
        <v>9.44</v>
      </c>
      <c r="D7" s="8">
        <v>42730.208333333336</v>
      </c>
      <c r="E7" s="169">
        <v>0.49</v>
      </c>
      <c r="F7" s="169" t="s">
        <v>365</v>
      </c>
      <c r="G7" s="169">
        <v>312.36</v>
      </c>
      <c r="H7" s="169">
        <v>0</v>
      </c>
      <c r="I7" s="169">
        <v>0</v>
      </c>
      <c r="J7" s="169">
        <v>1017.88</v>
      </c>
      <c r="K7" s="169" t="s">
        <v>364</v>
      </c>
      <c r="L7" s="169">
        <v>25.76</v>
      </c>
      <c r="M7" s="169">
        <v>1482753600</v>
      </c>
      <c r="N7" s="169">
        <v>7.29</v>
      </c>
      <c r="O7" s="169">
        <v>298</v>
      </c>
      <c r="P7" s="169">
        <v>1.75</v>
      </c>
      <c r="Q7"/>
      <c r="R7"/>
    </row>
    <row r="8" spans="1:18" x14ac:dyDescent="0.25">
      <c r="A8" s="169">
        <v>24.15</v>
      </c>
      <c r="B8" s="169">
        <v>0.04</v>
      </c>
      <c r="C8" s="169">
        <v>9.42</v>
      </c>
      <c r="D8" s="8">
        <v>42730.25</v>
      </c>
      <c r="E8" s="169">
        <v>0.53</v>
      </c>
      <c r="F8" s="169" t="s">
        <v>365</v>
      </c>
      <c r="G8" s="169">
        <v>312.92</v>
      </c>
      <c r="H8" s="169">
        <v>0</v>
      </c>
      <c r="I8" s="169">
        <v>0</v>
      </c>
      <c r="J8" s="169">
        <v>1019.15</v>
      </c>
      <c r="K8" s="169" t="s">
        <v>364</v>
      </c>
      <c r="L8" s="169">
        <v>24.15</v>
      </c>
      <c r="M8" s="169">
        <v>1482757200</v>
      </c>
      <c r="N8" s="169">
        <v>6.69</v>
      </c>
      <c r="O8" s="169">
        <v>269</v>
      </c>
      <c r="P8" s="169">
        <v>2.12</v>
      </c>
      <c r="Q8"/>
      <c r="R8"/>
    </row>
    <row r="9" spans="1:18" x14ac:dyDescent="0.25">
      <c r="A9" s="169">
        <v>24.22</v>
      </c>
      <c r="B9" s="169">
        <v>0.06</v>
      </c>
      <c r="C9" s="169">
        <v>9.68</v>
      </c>
      <c r="D9" s="8">
        <v>42730.291666666664</v>
      </c>
      <c r="E9" s="169">
        <v>0.53</v>
      </c>
      <c r="F9" s="169" t="s">
        <v>365</v>
      </c>
      <c r="G9" s="169">
        <v>312.93</v>
      </c>
      <c r="H9" s="169">
        <v>0</v>
      </c>
      <c r="I9" s="169">
        <v>0</v>
      </c>
      <c r="J9" s="169">
        <v>1020.61</v>
      </c>
      <c r="K9" s="169" t="s">
        <v>364</v>
      </c>
      <c r="L9" s="169">
        <v>24.22</v>
      </c>
      <c r="M9" s="169">
        <v>1482760800</v>
      </c>
      <c r="N9" s="169">
        <v>5.74</v>
      </c>
      <c r="O9" s="169">
        <v>281</v>
      </c>
      <c r="P9" s="169">
        <v>2.63</v>
      </c>
      <c r="Q9"/>
      <c r="R9"/>
    </row>
    <row r="10" spans="1:18" x14ac:dyDescent="0.25">
      <c r="A10" s="169">
        <v>24.3</v>
      </c>
      <c r="B10" s="169">
        <v>0.06</v>
      </c>
      <c r="C10" s="169">
        <v>11.83</v>
      </c>
      <c r="D10" s="8">
        <v>42730.333333333336</v>
      </c>
      <c r="E10" s="169">
        <v>0.57999999999999996</v>
      </c>
      <c r="F10" s="169" t="s">
        <v>649</v>
      </c>
      <c r="G10" s="169">
        <v>312.35000000000002</v>
      </c>
      <c r="H10" s="169">
        <v>0</v>
      </c>
      <c r="I10" s="169">
        <v>0</v>
      </c>
      <c r="J10" s="169">
        <v>1021.63</v>
      </c>
      <c r="K10" s="169" t="s">
        <v>364</v>
      </c>
      <c r="L10" s="169">
        <v>24.3</v>
      </c>
      <c r="M10" s="169">
        <v>1482764400</v>
      </c>
      <c r="N10" s="169">
        <v>5.28</v>
      </c>
      <c r="O10" s="169">
        <v>271</v>
      </c>
      <c r="P10" s="169">
        <v>2.5299999999999998</v>
      </c>
      <c r="Q10"/>
      <c r="R10"/>
    </row>
    <row r="11" spans="1:18" x14ac:dyDescent="0.25">
      <c r="A11" s="169">
        <v>23.36</v>
      </c>
      <c r="B11" s="169">
        <v>0.09</v>
      </c>
      <c r="C11" s="169">
        <v>13.92</v>
      </c>
      <c r="D11" s="8">
        <v>42730.375</v>
      </c>
      <c r="E11" s="169">
        <v>0.57999999999999996</v>
      </c>
      <c r="F11" s="169" t="s">
        <v>649</v>
      </c>
      <c r="G11" s="169">
        <v>310.87</v>
      </c>
      <c r="H11" s="169">
        <v>0</v>
      </c>
      <c r="I11" s="169">
        <v>0</v>
      </c>
      <c r="J11" s="169">
        <v>1021.56</v>
      </c>
      <c r="K11" s="169" t="s">
        <v>364</v>
      </c>
      <c r="L11" s="169">
        <v>26.85</v>
      </c>
      <c r="M11" s="169">
        <v>1482768000</v>
      </c>
      <c r="N11" s="169">
        <v>5.07</v>
      </c>
      <c r="O11" s="169">
        <v>261</v>
      </c>
      <c r="P11" s="169">
        <v>3.09</v>
      </c>
      <c r="Q11"/>
      <c r="R11"/>
    </row>
    <row r="12" spans="1:18" x14ac:dyDescent="0.25">
      <c r="A12" s="169">
        <v>34.94</v>
      </c>
      <c r="B12" s="169">
        <v>0.09</v>
      </c>
      <c r="C12" s="169">
        <v>15.79</v>
      </c>
      <c r="D12" s="8">
        <v>42730.416666666664</v>
      </c>
      <c r="E12" s="169">
        <v>0.45</v>
      </c>
      <c r="F12" s="169" t="s">
        <v>649</v>
      </c>
      <c r="G12" s="169">
        <v>308.8</v>
      </c>
      <c r="H12" s="169">
        <v>0</v>
      </c>
      <c r="I12" s="169">
        <v>0</v>
      </c>
      <c r="J12" s="169">
        <v>1021.12</v>
      </c>
      <c r="K12" s="169" t="s">
        <v>364</v>
      </c>
      <c r="L12" s="169">
        <v>34.94</v>
      </c>
      <c r="M12" s="169">
        <v>1482771600</v>
      </c>
      <c r="N12" s="169">
        <v>5</v>
      </c>
      <c r="O12" s="169">
        <v>269</v>
      </c>
      <c r="P12" s="169">
        <v>3</v>
      </c>
      <c r="Q12"/>
      <c r="R12"/>
    </row>
    <row r="13" spans="1:18" x14ac:dyDescent="0.25">
      <c r="A13" s="169">
        <v>38.22</v>
      </c>
      <c r="B13" s="169">
        <v>0.09</v>
      </c>
      <c r="C13" s="169">
        <v>13.89</v>
      </c>
      <c r="D13" s="8">
        <v>42730.458333333336</v>
      </c>
      <c r="E13" s="169">
        <v>0.34</v>
      </c>
      <c r="F13" s="169" t="s">
        <v>649</v>
      </c>
      <c r="G13" s="169">
        <v>307.02999999999997</v>
      </c>
      <c r="H13" s="169">
        <v>0</v>
      </c>
      <c r="I13" s="169">
        <v>0</v>
      </c>
      <c r="J13" s="169">
        <v>1020.85</v>
      </c>
      <c r="K13" s="169" t="s">
        <v>364</v>
      </c>
      <c r="L13" s="169">
        <v>40.24</v>
      </c>
      <c r="M13" s="169">
        <v>1482775200</v>
      </c>
      <c r="N13" s="169">
        <v>4.9800000000000004</v>
      </c>
      <c r="O13" s="169">
        <v>280</v>
      </c>
      <c r="P13" s="169">
        <v>3.38</v>
      </c>
      <c r="Q13"/>
      <c r="R13"/>
    </row>
    <row r="14" spans="1:18" x14ac:dyDescent="0.25">
      <c r="A14" s="169">
        <v>39.229999999999997</v>
      </c>
      <c r="B14" s="169">
        <v>0.09</v>
      </c>
      <c r="C14" s="169">
        <v>11.74</v>
      </c>
      <c r="D14" s="8">
        <v>42730.5</v>
      </c>
      <c r="E14" s="169">
        <v>0.28999999999999998</v>
      </c>
      <c r="F14" s="169" t="s">
        <v>649</v>
      </c>
      <c r="G14" s="169">
        <v>306.45999999999998</v>
      </c>
      <c r="H14" s="169">
        <v>0</v>
      </c>
      <c r="I14" s="169">
        <v>0</v>
      </c>
      <c r="J14" s="169">
        <v>1020.87</v>
      </c>
      <c r="K14" s="169" t="s">
        <v>364</v>
      </c>
      <c r="L14" s="169">
        <v>41.51</v>
      </c>
      <c r="M14" s="169">
        <v>1482778800</v>
      </c>
      <c r="N14" s="169">
        <v>4.9800000000000004</v>
      </c>
      <c r="O14" s="169">
        <v>303</v>
      </c>
      <c r="P14" s="169">
        <v>3.82</v>
      </c>
      <c r="Q14"/>
      <c r="R14"/>
    </row>
    <row r="15" spans="1:18" x14ac:dyDescent="0.25">
      <c r="A15" s="169">
        <v>40.340000000000003</v>
      </c>
      <c r="B15" s="169">
        <v>0.09</v>
      </c>
      <c r="C15" s="169">
        <v>12.46</v>
      </c>
      <c r="D15" s="8">
        <v>42730.541666666664</v>
      </c>
      <c r="E15" s="169">
        <v>0.28000000000000003</v>
      </c>
      <c r="F15" s="169" t="s">
        <v>649</v>
      </c>
      <c r="G15" s="169">
        <v>306.19</v>
      </c>
      <c r="H15" s="169">
        <v>0</v>
      </c>
      <c r="I15" s="169">
        <v>0</v>
      </c>
      <c r="J15" s="169">
        <v>1021.03</v>
      </c>
      <c r="K15" s="169" t="s">
        <v>364</v>
      </c>
      <c r="L15" s="169">
        <v>42.93</v>
      </c>
      <c r="M15" s="169">
        <v>1482782400</v>
      </c>
      <c r="N15" s="169">
        <v>4.9800000000000004</v>
      </c>
      <c r="O15" s="169">
        <v>294</v>
      </c>
      <c r="P15" s="169">
        <v>4.4400000000000004</v>
      </c>
      <c r="Q15"/>
      <c r="R15"/>
    </row>
    <row r="16" spans="1:18" x14ac:dyDescent="0.25">
      <c r="A16" s="169">
        <v>40.340000000000003</v>
      </c>
      <c r="B16" s="169">
        <v>0.09</v>
      </c>
      <c r="C16" s="169">
        <v>12.88</v>
      </c>
      <c r="D16" s="8">
        <v>42730.583333333336</v>
      </c>
      <c r="E16" s="169">
        <v>0.28999999999999998</v>
      </c>
      <c r="F16" s="169" t="s">
        <v>649</v>
      </c>
      <c r="G16" s="169">
        <v>304.42</v>
      </c>
      <c r="H16" s="169">
        <v>0</v>
      </c>
      <c r="I16" s="169">
        <v>0</v>
      </c>
      <c r="J16" s="169">
        <v>1021.29</v>
      </c>
      <c r="K16" s="169" t="s">
        <v>364</v>
      </c>
      <c r="L16" s="169">
        <v>43.3</v>
      </c>
      <c r="M16" s="169">
        <v>1482786000</v>
      </c>
      <c r="N16" s="169">
        <v>5.01</v>
      </c>
      <c r="O16" s="169">
        <v>291</v>
      </c>
      <c r="P16" s="169">
        <v>5.0199999999999996</v>
      </c>
      <c r="Q16"/>
      <c r="R16"/>
    </row>
    <row r="17" spans="1:18" x14ac:dyDescent="0.25">
      <c r="A17" s="169">
        <v>39.950000000000003</v>
      </c>
      <c r="B17" s="169">
        <v>0.15</v>
      </c>
      <c r="C17" s="169">
        <v>12.56</v>
      </c>
      <c r="D17" s="8">
        <v>42730.625</v>
      </c>
      <c r="E17" s="169">
        <v>0.28999999999999998</v>
      </c>
      <c r="F17" s="169" t="s">
        <v>649</v>
      </c>
      <c r="G17" s="169">
        <v>299.08999999999997</v>
      </c>
      <c r="H17" s="169">
        <v>0</v>
      </c>
      <c r="I17" s="169">
        <v>0</v>
      </c>
      <c r="J17" s="169">
        <v>1021.65</v>
      </c>
      <c r="K17" s="169" t="s">
        <v>364</v>
      </c>
      <c r="L17" s="169">
        <v>42.85</v>
      </c>
      <c r="M17" s="169">
        <v>1482789600</v>
      </c>
      <c r="N17" s="169">
        <v>5.1100000000000003</v>
      </c>
      <c r="O17" s="169">
        <v>283</v>
      </c>
      <c r="P17" s="169">
        <v>4.82</v>
      </c>
      <c r="Q17"/>
      <c r="R17"/>
    </row>
    <row r="18" spans="1:18" x14ac:dyDescent="0.25">
      <c r="A18" s="169">
        <v>39.99</v>
      </c>
      <c r="B18" s="169">
        <v>0.15</v>
      </c>
      <c r="C18" s="169">
        <v>11.8</v>
      </c>
      <c r="D18" s="8">
        <v>42730.666666666664</v>
      </c>
      <c r="E18" s="169">
        <v>0.28999999999999998</v>
      </c>
      <c r="F18" s="169" t="s">
        <v>649</v>
      </c>
      <c r="G18" s="169">
        <v>292.24</v>
      </c>
      <c r="H18" s="169">
        <v>0</v>
      </c>
      <c r="I18" s="169">
        <v>0</v>
      </c>
      <c r="J18" s="169">
        <v>1022.16</v>
      </c>
      <c r="K18" s="169" t="s">
        <v>364</v>
      </c>
      <c r="L18" s="169">
        <v>41.77</v>
      </c>
      <c r="M18" s="169">
        <v>1482793200</v>
      </c>
      <c r="N18" s="169">
        <v>5.33</v>
      </c>
      <c r="O18" s="169">
        <v>328</v>
      </c>
      <c r="P18" s="169">
        <v>3.36</v>
      </c>
      <c r="Q18"/>
      <c r="R18"/>
    </row>
    <row r="19" spans="1:18" x14ac:dyDescent="0.25">
      <c r="A19" s="169">
        <v>38.450000000000003</v>
      </c>
      <c r="B19" s="169">
        <v>0.12</v>
      </c>
      <c r="C19" s="169">
        <v>10.51</v>
      </c>
      <c r="D19" s="8">
        <v>42730.708333333336</v>
      </c>
      <c r="E19" s="169">
        <v>0.31</v>
      </c>
      <c r="F19" s="169" t="s">
        <v>365</v>
      </c>
      <c r="G19" s="169">
        <v>288.2</v>
      </c>
      <c r="H19" s="169">
        <v>0</v>
      </c>
      <c r="I19" s="169">
        <v>0</v>
      </c>
      <c r="J19" s="169">
        <v>1022.87</v>
      </c>
      <c r="K19" s="169" t="s">
        <v>364</v>
      </c>
      <c r="L19" s="169">
        <v>38.450000000000003</v>
      </c>
      <c r="M19" s="169">
        <v>1482796800</v>
      </c>
      <c r="N19" s="169">
        <v>5.75</v>
      </c>
      <c r="O19" s="169">
        <v>331</v>
      </c>
      <c r="P19" s="169">
        <v>0.8</v>
      </c>
      <c r="Q19"/>
      <c r="R19"/>
    </row>
    <row r="20" spans="1:18" x14ac:dyDescent="0.25">
      <c r="A20" s="169">
        <v>34.99</v>
      </c>
      <c r="B20" s="169">
        <v>0.06</v>
      </c>
      <c r="C20" s="169">
        <v>10.5</v>
      </c>
      <c r="D20" s="8">
        <v>42730.75</v>
      </c>
      <c r="E20" s="169">
        <v>0.36</v>
      </c>
      <c r="F20" s="169" t="s">
        <v>365</v>
      </c>
      <c r="G20" s="169">
        <v>289.64</v>
      </c>
      <c r="H20" s="169">
        <v>0</v>
      </c>
      <c r="I20" s="169">
        <v>0</v>
      </c>
      <c r="J20" s="169">
        <v>1023.36</v>
      </c>
      <c r="K20" s="169" t="s">
        <v>364</v>
      </c>
      <c r="L20" s="169">
        <v>34.99</v>
      </c>
      <c r="M20" s="169">
        <v>1482800400</v>
      </c>
      <c r="N20" s="169">
        <v>6.56</v>
      </c>
      <c r="O20" s="169">
        <v>343</v>
      </c>
      <c r="P20" s="169">
        <v>1.51</v>
      </c>
      <c r="Q20"/>
      <c r="R20"/>
    </row>
    <row r="21" spans="1:18" x14ac:dyDescent="0.25">
      <c r="A21" s="169">
        <v>31.85</v>
      </c>
      <c r="B21" s="169">
        <v>0.03</v>
      </c>
      <c r="C21" s="169">
        <v>10.72</v>
      </c>
      <c r="D21" s="8">
        <v>42730.791666666664</v>
      </c>
      <c r="E21" s="169">
        <v>0.41</v>
      </c>
      <c r="F21" s="169" t="s">
        <v>365</v>
      </c>
      <c r="G21" s="169">
        <v>293.88</v>
      </c>
      <c r="H21" s="169">
        <v>0</v>
      </c>
      <c r="I21" s="169">
        <v>0</v>
      </c>
      <c r="J21" s="169">
        <v>1024.92</v>
      </c>
      <c r="K21" s="169" t="s">
        <v>364</v>
      </c>
      <c r="L21" s="169">
        <v>31.85</v>
      </c>
      <c r="M21" s="169">
        <v>1482804000</v>
      </c>
      <c r="N21" s="169">
        <v>7.86</v>
      </c>
      <c r="O21" s="169">
        <v>275</v>
      </c>
      <c r="P21" s="169">
        <v>1.42</v>
      </c>
      <c r="Q21"/>
      <c r="R21"/>
    </row>
    <row r="22" spans="1:18" x14ac:dyDescent="0.25">
      <c r="A22" s="169">
        <v>29.27</v>
      </c>
      <c r="B22" s="169">
        <v>0.05</v>
      </c>
      <c r="C22" s="169">
        <v>11.67</v>
      </c>
      <c r="D22" s="8">
        <v>42730.833333333336</v>
      </c>
      <c r="E22" s="169">
        <v>0.47</v>
      </c>
      <c r="F22" s="169" t="s">
        <v>365</v>
      </c>
      <c r="G22" s="169">
        <v>297.22000000000003</v>
      </c>
      <c r="H22" s="169">
        <v>0</v>
      </c>
      <c r="I22" s="169">
        <v>0</v>
      </c>
      <c r="J22" s="169">
        <v>1026.53</v>
      </c>
      <c r="K22" s="169" t="s">
        <v>364</v>
      </c>
      <c r="L22" s="169">
        <v>29.27</v>
      </c>
      <c r="M22" s="169">
        <v>1482807600</v>
      </c>
      <c r="N22" s="169">
        <v>6.62</v>
      </c>
      <c r="O22" s="169">
        <v>274</v>
      </c>
      <c r="P22" s="169">
        <v>1.81</v>
      </c>
      <c r="Q22"/>
      <c r="R22"/>
    </row>
    <row r="23" spans="1:18" x14ac:dyDescent="0.25">
      <c r="A23" s="169">
        <v>27.44</v>
      </c>
      <c r="B23" s="169">
        <v>0.05</v>
      </c>
      <c r="C23" s="169">
        <v>13.06</v>
      </c>
      <c r="D23" s="8">
        <v>42730.875</v>
      </c>
      <c r="E23" s="169">
        <v>0.54</v>
      </c>
      <c r="F23" s="169" t="s">
        <v>365</v>
      </c>
      <c r="G23" s="169">
        <v>298.11</v>
      </c>
      <c r="H23" s="169">
        <v>0</v>
      </c>
      <c r="I23" s="169">
        <v>0</v>
      </c>
      <c r="J23" s="169">
        <v>1027.1099999999999</v>
      </c>
      <c r="K23" s="169" t="s">
        <v>364</v>
      </c>
      <c r="L23" s="169">
        <v>27.44</v>
      </c>
      <c r="M23" s="169">
        <v>1482811200</v>
      </c>
      <c r="N23" s="169">
        <v>5.75</v>
      </c>
      <c r="O23" s="169">
        <v>267</v>
      </c>
      <c r="P23" s="169">
        <v>1.08</v>
      </c>
      <c r="Q23"/>
      <c r="R23"/>
    </row>
    <row r="24" spans="1:18" x14ac:dyDescent="0.25">
      <c r="A24" s="169">
        <v>25.72</v>
      </c>
      <c r="B24" s="169">
        <v>0.04</v>
      </c>
      <c r="C24" s="169">
        <v>11.77</v>
      </c>
      <c r="D24" s="8">
        <v>42730.916666666664</v>
      </c>
      <c r="E24" s="169">
        <v>0.55000000000000004</v>
      </c>
      <c r="F24" s="169" t="s">
        <v>365</v>
      </c>
      <c r="G24" s="169">
        <v>298.08999999999997</v>
      </c>
      <c r="H24" s="169">
        <v>0</v>
      </c>
      <c r="I24" s="169">
        <v>0</v>
      </c>
      <c r="J24" s="169">
        <v>1027.1400000000001</v>
      </c>
      <c r="K24" s="169" t="s">
        <v>364</v>
      </c>
      <c r="L24" s="169">
        <v>25.72</v>
      </c>
      <c r="M24" s="169">
        <v>1482814800</v>
      </c>
      <c r="N24" s="169">
        <v>5.76</v>
      </c>
      <c r="O24" s="169">
        <v>224</v>
      </c>
      <c r="P24" s="169">
        <v>0.94</v>
      </c>
      <c r="Q24"/>
      <c r="R24"/>
    </row>
    <row r="25" spans="1:18" x14ac:dyDescent="0.25">
      <c r="A25" s="169">
        <v>24.92</v>
      </c>
      <c r="B25" s="169">
        <v>0.1</v>
      </c>
      <c r="C25" s="169">
        <v>11.99</v>
      </c>
      <c r="D25" s="8">
        <v>42730.958333333336</v>
      </c>
      <c r="E25" s="169">
        <v>0.56999999999999995</v>
      </c>
      <c r="F25" s="169" t="s">
        <v>365</v>
      </c>
      <c r="G25" s="169">
        <v>298.12</v>
      </c>
      <c r="H25" s="169">
        <v>0</v>
      </c>
      <c r="I25" s="169">
        <v>0</v>
      </c>
      <c r="J25" s="169">
        <v>1027.07</v>
      </c>
      <c r="K25" s="169" t="s">
        <v>364</v>
      </c>
      <c r="L25" s="169">
        <v>24.92</v>
      </c>
      <c r="M25" s="169">
        <v>1482818400</v>
      </c>
      <c r="N25" s="169">
        <v>9.9</v>
      </c>
      <c r="O25" s="169">
        <v>210</v>
      </c>
      <c r="P25" s="169">
        <v>1.22</v>
      </c>
      <c r="Q25"/>
      <c r="R25"/>
    </row>
    <row r="26" spans="1:18" x14ac:dyDescent="0.25">
      <c r="A26" s="169">
        <v>23.39</v>
      </c>
      <c r="B26" s="169">
        <v>7.0000000000000007E-2</v>
      </c>
      <c r="C26" s="169">
        <v>12.79</v>
      </c>
      <c r="D26" s="8">
        <v>42731</v>
      </c>
      <c r="E26" s="169">
        <v>0.63</v>
      </c>
      <c r="F26" s="169" t="s">
        <v>365</v>
      </c>
      <c r="G26" s="169">
        <v>298.52999999999997</v>
      </c>
      <c r="H26" s="169">
        <v>0</v>
      </c>
      <c r="I26" s="169">
        <v>0</v>
      </c>
      <c r="J26" s="169">
        <v>1027.02</v>
      </c>
      <c r="K26" s="169" t="s">
        <v>364</v>
      </c>
      <c r="L26" s="169">
        <v>23.39</v>
      </c>
      <c r="M26" s="169">
        <v>1482822000</v>
      </c>
      <c r="N26" s="169">
        <v>6.78</v>
      </c>
      <c r="O26" s="169">
        <v>315</v>
      </c>
      <c r="P26" s="169">
        <v>1</v>
      </c>
      <c r="Q26"/>
      <c r="R26"/>
    </row>
    <row r="27" spans="1:18" x14ac:dyDescent="0.25">
      <c r="A27" s="169">
        <v>21.9</v>
      </c>
      <c r="B27" s="169">
        <v>0.19</v>
      </c>
      <c r="C27" s="169">
        <v>13.01</v>
      </c>
      <c r="D27" s="8">
        <v>42731.041666666664</v>
      </c>
      <c r="E27" s="169">
        <v>0.68</v>
      </c>
      <c r="F27" s="169" t="s">
        <v>365</v>
      </c>
      <c r="G27" s="169">
        <v>298.94</v>
      </c>
      <c r="H27" s="169">
        <v>0</v>
      </c>
      <c r="I27" s="169">
        <v>0</v>
      </c>
      <c r="J27" s="169">
        <v>1026.94</v>
      </c>
      <c r="K27" s="169" t="s">
        <v>364</v>
      </c>
      <c r="L27" s="169">
        <v>21.9</v>
      </c>
      <c r="M27" s="169">
        <v>1482825600</v>
      </c>
      <c r="N27" s="169">
        <v>9.9</v>
      </c>
      <c r="O27" s="169">
        <v>326</v>
      </c>
      <c r="P27" s="169">
        <v>1.01</v>
      </c>
      <c r="Q27"/>
      <c r="R27"/>
    </row>
    <row r="28" spans="1:18" x14ac:dyDescent="0.25">
      <c r="A28" s="169">
        <v>20.97</v>
      </c>
      <c r="B28" s="169">
        <v>0.22</v>
      </c>
      <c r="C28" s="169">
        <v>12.86</v>
      </c>
      <c r="D28" s="8">
        <v>42731.083333333336</v>
      </c>
      <c r="E28" s="169">
        <v>0.7</v>
      </c>
      <c r="F28" s="169" t="s">
        <v>365</v>
      </c>
      <c r="G28" s="169">
        <v>299.36</v>
      </c>
      <c r="H28" s="169">
        <v>0</v>
      </c>
      <c r="I28" s="169">
        <v>0</v>
      </c>
      <c r="J28" s="169">
        <v>1026.8399999999999</v>
      </c>
      <c r="K28" s="169" t="s">
        <v>364</v>
      </c>
      <c r="L28" s="169">
        <v>20.97</v>
      </c>
      <c r="M28" s="169">
        <v>1482829200</v>
      </c>
      <c r="N28" s="169">
        <v>4.68</v>
      </c>
      <c r="O28" s="169">
        <v>270</v>
      </c>
      <c r="P28" s="169">
        <v>0.96</v>
      </c>
      <c r="Q28"/>
      <c r="R28"/>
    </row>
    <row r="29" spans="1:18" x14ac:dyDescent="0.25">
      <c r="A29" s="169">
        <v>21.29</v>
      </c>
      <c r="B29" s="169">
        <v>0.25</v>
      </c>
      <c r="C29" s="169">
        <v>10.91</v>
      </c>
      <c r="D29" s="8">
        <v>42731.125</v>
      </c>
      <c r="E29" s="169">
        <v>0.64</v>
      </c>
      <c r="F29" s="169" t="s">
        <v>240</v>
      </c>
      <c r="G29" s="169">
        <v>298.94</v>
      </c>
      <c r="H29" s="169">
        <v>0</v>
      </c>
      <c r="I29" s="169">
        <v>0</v>
      </c>
      <c r="J29" s="169">
        <v>1027.2</v>
      </c>
      <c r="K29" s="169" t="s">
        <v>245</v>
      </c>
      <c r="L29" s="169">
        <v>21.29</v>
      </c>
      <c r="M29" s="169">
        <v>1482832800</v>
      </c>
      <c r="N29" s="169">
        <v>6.91</v>
      </c>
      <c r="O29" s="169">
        <v>212</v>
      </c>
      <c r="P29" s="169">
        <v>1.79</v>
      </c>
      <c r="Q29"/>
      <c r="R29"/>
    </row>
    <row r="30" spans="1:18" x14ac:dyDescent="0.25">
      <c r="A30" s="169"/>
      <c r="B30" s="169"/>
      <c r="C30" s="169"/>
      <c r="D30" s="8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</row>
    <row r="31" spans="1:18" x14ac:dyDescent="0.25">
      <c r="A31" s="174" t="s">
        <v>202</v>
      </c>
    </row>
    <row r="33" spans="1:1" x14ac:dyDescent="0.25">
      <c r="A33" s="174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3"/>
  <sheetViews>
    <sheetView workbookViewId="0">
      <selection activeCell="C33" sqref="C33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42730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799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800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801</v>
      </c>
      <c r="J20" t="s">
        <v>87</v>
      </c>
      <c r="M20" s="164" t="s">
        <v>244</v>
      </c>
    </row>
    <row r="21" spans="3:13" x14ac:dyDescent="0.25">
      <c r="C21" t="s">
        <v>802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803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804</v>
      </c>
      <c r="J23" s="29" t="s">
        <v>95</v>
      </c>
      <c r="K23" s="21"/>
      <c r="M23" s="164">
        <v>-7</v>
      </c>
    </row>
    <row r="24" spans="3:13" x14ac:dyDescent="0.25">
      <c r="C24" t="s">
        <v>805</v>
      </c>
      <c r="J24" s="21" t="s">
        <v>108</v>
      </c>
      <c r="K24" s="21"/>
      <c r="M24" s="164" t="s">
        <v>110</v>
      </c>
    </row>
    <row r="25" spans="3:13" x14ac:dyDescent="0.25">
      <c r="C25" t="s">
        <v>806</v>
      </c>
      <c r="J25" t="s">
        <v>151</v>
      </c>
      <c r="M25" s="164" t="b">
        <v>1</v>
      </c>
    </row>
    <row r="26" spans="3:13" x14ac:dyDescent="0.25">
      <c r="C26" t="s">
        <v>807</v>
      </c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C:\Users\stu\Documents\GitHub\eaglep3-reporting\EC\2016-12-26-refined-times.txt</v>
      </c>
    </row>
    <row r="27" spans="3:13" x14ac:dyDescent="0.25">
      <c r="C27" t="s">
        <v>808</v>
      </c>
      <c r="J27" t="s">
        <v>187</v>
      </c>
      <c r="M27" s="164" t="str">
        <f>"C:\Users\stu\Documents\GitHub\eaglep3-reporting\EC\"&amp;TEXT(A2,"YYYY-MM-DD")&amp;"-Enforcements.txt"</f>
        <v>C:\Users\stu\Documents\GitHub\eaglep3-reporting\EC\2016-12-26-Enforcements.txt</v>
      </c>
    </row>
    <row r="28" spans="3:13" x14ac:dyDescent="0.25">
      <c r="C28" t="s">
        <v>809</v>
      </c>
      <c r="J28" t="s">
        <v>188</v>
      </c>
      <c r="M28" s="164" t="str">
        <f>"C:\Users\stu\Documents\GitHub\eaglep3-reporting\EC\"&amp;TEXT(A2,"YYYY-MM-DD")&amp;"-Runs-refined.txt"</f>
        <v>C:\Users\stu\Documents\GitHub\eaglep3-reporting\EC\2016-12-26-Runs-refined.txt</v>
      </c>
    </row>
    <row r="29" spans="3:13" x14ac:dyDescent="0.25">
      <c r="C29" t="s">
        <v>810</v>
      </c>
      <c r="J29" t="s">
        <v>189</v>
      </c>
      <c r="M29" s="164" t="str">
        <f>"C:\Users\stu\Documents\GitHub\eaglep3-reporting\EC\"&amp;TEXT(A2,"YYYY-MM-DD")&amp;"-Trips.txt"</f>
        <v>C:\Users\stu\Documents\GitHub\eaglep3-reporting\EC\2016-12-26-Trips.txt</v>
      </c>
    </row>
    <row r="30" spans="3:13" x14ac:dyDescent="0.25">
      <c r="C30" t="s">
        <v>811</v>
      </c>
      <c r="J30" t="s">
        <v>190</v>
      </c>
      <c r="M30" s="164" t="str">
        <f>"C:\Users\stu\Documents\GitHub\eaglep3-reporting\EC\"&amp;TEXT(A2,"YYYY-MM-DD")&amp;"-Weather.txt"</f>
        <v>C:\Users\stu\Documents\GitHub\eaglep3-reporting\EC\2016-12-26-Weather.txt</v>
      </c>
    </row>
    <row r="31" spans="3:13" x14ac:dyDescent="0.25">
      <c r="C31" t="s">
        <v>812</v>
      </c>
    </row>
    <row r="32" spans="3:13" x14ac:dyDescent="0.25">
      <c r="C32" t="s">
        <v>813</v>
      </c>
    </row>
    <row r="33" spans="3:3" x14ac:dyDescent="0.25">
      <c r="C33" t="s">
        <v>814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824</v>
      </c>
      <c r="B1" t="str">
        <f t="shared" ref="B1:B52" si="0">MID(A1,6,23)</f>
        <v>2016/12/26 10:23:22.107</v>
      </c>
      <c r="C1" t="e">
        <f>ABS(B1-#REF!)</f>
        <v>#REF!</v>
      </c>
    </row>
    <row r="2" spans="1:3" x14ac:dyDescent="0.25">
      <c r="A2" t="s">
        <v>825</v>
      </c>
      <c r="B2" s="21" t="str">
        <f t="shared" si="0"/>
        <v>2016/12/26 12:13:12.127</v>
      </c>
      <c r="C2">
        <f>ABS(B2-B1)</f>
        <v>7.6273379629128613E-2</v>
      </c>
    </row>
    <row r="3" spans="1:3" x14ac:dyDescent="0.25">
      <c r="A3" t="s">
        <v>826</v>
      </c>
      <c r="B3" s="21" t="str">
        <f t="shared" si="0"/>
        <v>2016/12/26 12:13:12.771</v>
      </c>
      <c r="C3" s="21">
        <f t="shared" ref="C3:C52" si="1">ABS(B3-B2)</f>
        <v>7.4537019827403128E-6</v>
      </c>
    </row>
    <row r="4" spans="1:3" x14ac:dyDescent="0.25">
      <c r="A4" t="s">
        <v>827</v>
      </c>
      <c r="B4" s="21" t="str">
        <f t="shared" si="0"/>
        <v>2016/12/26 12:13:13.006</v>
      </c>
      <c r="C4" s="21">
        <f t="shared" si="1"/>
        <v>2.7199057512916625E-6</v>
      </c>
    </row>
    <row r="5" spans="1:3" x14ac:dyDescent="0.25">
      <c r="A5" t="s">
        <v>828</v>
      </c>
      <c r="B5" s="21" t="str">
        <f t="shared" si="0"/>
        <v>2016/12/26 12:22:15.377</v>
      </c>
      <c r="C5" s="21">
        <f t="shared" si="1"/>
        <v>6.2774421312496997E-3</v>
      </c>
    </row>
    <row r="6" spans="1:3" x14ac:dyDescent="0.25">
      <c r="A6" t="s">
        <v>829</v>
      </c>
      <c r="B6" s="21" t="str">
        <f t="shared" si="0"/>
        <v>2016/12/26 12:22:15.490</v>
      </c>
      <c r="C6" s="21">
        <f t="shared" si="1"/>
        <v>1.3078752090223134E-6</v>
      </c>
    </row>
    <row r="7" spans="1:3" x14ac:dyDescent="0.25">
      <c r="A7" t="s">
        <v>830</v>
      </c>
      <c r="B7" s="21" t="str">
        <f t="shared" si="0"/>
        <v>2016/12/26 12:22:16.162</v>
      </c>
      <c r="C7" s="21">
        <f t="shared" si="1"/>
        <v>7.7777731348760426E-6</v>
      </c>
    </row>
    <row r="8" spans="1:3" x14ac:dyDescent="0.25">
      <c r="A8" t="s">
        <v>831</v>
      </c>
      <c r="B8" s="21" t="str">
        <f t="shared" si="0"/>
        <v>2016/12/26 12:26:16.107</v>
      </c>
      <c r="C8" s="21">
        <f t="shared" si="1"/>
        <v>2.7771412060246803E-3</v>
      </c>
    </row>
    <row r="9" spans="1:3" x14ac:dyDescent="0.25">
      <c r="A9" t="s">
        <v>832</v>
      </c>
      <c r="B9" s="21" t="str">
        <f t="shared" si="0"/>
        <v>2016/12/26 12:26:17.013</v>
      </c>
      <c r="C9" s="21">
        <f t="shared" si="1"/>
        <v>1.0486110113561153E-5</v>
      </c>
    </row>
    <row r="10" spans="1:3" x14ac:dyDescent="0.25">
      <c r="A10" t="s">
        <v>833</v>
      </c>
      <c r="B10" s="21" t="str">
        <f t="shared" si="0"/>
        <v>2016/12/26 12:26:17.297</v>
      </c>
      <c r="C10" s="21">
        <f t="shared" si="1"/>
        <v>3.2870375434868038E-6</v>
      </c>
    </row>
    <row r="11" spans="1:3" x14ac:dyDescent="0.25">
      <c r="A11" t="s">
        <v>834</v>
      </c>
      <c r="B11" s="21" t="str">
        <f t="shared" si="0"/>
        <v>2016/12/26 13:05:41.769</v>
      </c>
      <c r="C11" s="21">
        <f t="shared" si="1"/>
        <v>2.7366574075131211E-2</v>
      </c>
    </row>
    <row r="12" spans="1:3" x14ac:dyDescent="0.25">
      <c r="A12" t="s">
        <v>835</v>
      </c>
      <c r="B12" s="21" t="str">
        <f t="shared" si="0"/>
        <v>2016/12/26 13:05:42.005</v>
      </c>
      <c r="C12" s="21">
        <f t="shared" si="1"/>
        <v>2.7314817998558283E-6</v>
      </c>
    </row>
    <row r="13" spans="1:3" x14ac:dyDescent="0.25">
      <c r="A13" t="s">
        <v>836</v>
      </c>
      <c r="B13" s="21" t="str">
        <f t="shared" si="0"/>
        <v>2016/12/26 13:05:43.126</v>
      </c>
      <c r="C13" s="21">
        <f t="shared" si="1"/>
        <v>1.2974538549315184E-5</v>
      </c>
    </row>
    <row r="14" spans="1:3" x14ac:dyDescent="0.25">
      <c r="A14" t="s">
        <v>837</v>
      </c>
      <c r="B14" s="21" t="str">
        <f t="shared" si="0"/>
        <v>2016/12/26 13:26:49.312</v>
      </c>
      <c r="C14" s="21">
        <f t="shared" si="1"/>
        <v>1.4654930550022982E-2</v>
      </c>
    </row>
    <row r="15" spans="1:3" x14ac:dyDescent="0.25">
      <c r="A15" t="s">
        <v>838</v>
      </c>
      <c r="B15" s="21" t="str">
        <f t="shared" si="0"/>
        <v>2016/12/26 13:26:50.010</v>
      </c>
      <c r="C15" s="21">
        <f t="shared" si="1"/>
        <v>8.0787067417986691E-6</v>
      </c>
    </row>
    <row r="16" spans="1:3" x14ac:dyDescent="0.25">
      <c r="A16" t="s">
        <v>839</v>
      </c>
      <c r="B16" s="21" t="str">
        <f t="shared" si="0"/>
        <v>2016/12/26 13:26:50.102</v>
      </c>
      <c r="C16" s="21">
        <f t="shared" si="1"/>
        <v>1.0648145689629018E-6</v>
      </c>
    </row>
    <row r="17" spans="1:3" x14ac:dyDescent="0.25">
      <c r="A17" t="s">
        <v>840</v>
      </c>
      <c r="B17" s="21" t="str">
        <f t="shared" si="0"/>
        <v>2016/12/26 14:02:03.624</v>
      </c>
      <c r="C17" s="21">
        <f t="shared" si="1"/>
        <v>2.446206018794328E-2</v>
      </c>
    </row>
    <row r="18" spans="1:3" x14ac:dyDescent="0.25">
      <c r="A18" t="s">
        <v>841</v>
      </c>
      <c r="B18" s="21" t="str">
        <f t="shared" si="0"/>
        <v>2016/12/26 14:02:04.039</v>
      </c>
      <c r="C18" s="21">
        <f t="shared" si="1"/>
        <v>4.803237970918417E-6</v>
      </c>
    </row>
    <row r="19" spans="1:3" x14ac:dyDescent="0.25">
      <c r="A19" t="s">
        <v>842</v>
      </c>
      <c r="B19" s="21" t="str">
        <f t="shared" si="0"/>
        <v>2016/12/26 14:02:04.571</v>
      </c>
      <c r="C19" s="21">
        <f t="shared" si="1"/>
        <v>6.1574100982397795E-6</v>
      </c>
    </row>
    <row r="20" spans="1:3" x14ac:dyDescent="0.25">
      <c r="A20" t="s">
        <v>843</v>
      </c>
      <c r="B20" s="21" t="str">
        <f t="shared" si="0"/>
        <v>2016/12/26 14:05:32.769</v>
      </c>
      <c r="C20" s="21">
        <f t="shared" si="1"/>
        <v>2.4096990746329539E-3</v>
      </c>
    </row>
    <row r="21" spans="1:3" x14ac:dyDescent="0.25">
      <c r="A21" t="s">
        <v>844</v>
      </c>
      <c r="B21" s="21" t="str">
        <f t="shared" si="0"/>
        <v>2016/12/26 14:05:33.127</v>
      </c>
      <c r="C21" s="21">
        <f t="shared" si="1"/>
        <v>4.1435123421251774E-6</v>
      </c>
    </row>
    <row r="22" spans="1:3" x14ac:dyDescent="0.25">
      <c r="A22" t="s">
        <v>845</v>
      </c>
      <c r="B22" s="21" t="str">
        <f t="shared" si="0"/>
        <v>2016/12/26 14:06:11.770</v>
      </c>
      <c r="C22" s="21">
        <f t="shared" si="1"/>
        <v>4.4725694897351786E-4</v>
      </c>
    </row>
    <row r="23" spans="1:3" x14ac:dyDescent="0.25">
      <c r="A23" t="s">
        <v>846</v>
      </c>
      <c r="B23" s="21" t="str">
        <f t="shared" si="0"/>
        <v>2016/12/26 14:06:12.003</v>
      </c>
      <c r="C23" s="21">
        <f t="shared" si="1"/>
        <v>2.696760930120945E-6</v>
      </c>
    </row>
    <row r="24" spans="1:3" x14ac:dyDescent="0.25">
      <c r="A24" t="s">
        <v>847</v>
      </c>
      <c r="B24" s="21" t="str">
        <f t="shared" si="0"/>
        <v>2016/12/26 14:06:12.122</v>
      </c>
      <c r="C24" s="21">
        <f t="shared" si="1"/>
        <v>1.3773096725344658E-6</v>
      </c>
    </row>
    <row r="25" spans="1:3" x14ac:dyDescent="0.25">
      <c r="A25" t="s">
        <v>848</v>
      </c>
      <c r="B25" s="21" t="str">
        <f t="shared" si="0"/>
        <v>2016/12/26 14:13:42.450</v>
      </c>
      <c r="C25" s="21">
        <f t="shared" si="1"/>
        <v>5.2121296321274713E-3</v>
      </c>
    </row>
    <row r="26" spans="1:3" x14ac:dyDescent="0.25">
      <c r="A26" t="s">
        <v>849</v>
      </c>
      <c r="B26" s="21" t="str">
        <f t="shared" si="0"/>
        <v>2016/12/26 14:13:42.824</v>
      </c>
      <c r="C26" s="21">
        <f t="shared" si="1"/>
        <v>4.3287000153213739E-6</v>
      </c>
    </row>
    <row r="27" spans="1:3" x14ac:dyDescent="0.25">
      <c r="A27" t="s">
        <v>850</v>
      </c>
      <c r="B27" s="21" t="str">
        <f t="shared" si="0"/>
        <v>2016/12/26 14:13:42.921</v>
      </c>
      <c r="C27" s="21">
        <f t="shared" si="1"/>
        <v>1.1226875358261168E-6</v>
      </c>
    </row>
    <row r="28" spans="1:3" x14ac:dyDescent="0.25">
      <c r="A28" t="s">
        <v>851</v>
      </c>
      <c r="B28" s="21" t="str">
        <f t="shared" si="0"/>
        <v>2016/12/26 14:26:28.007</v>
      </c>
      <c r="C28" s="21">
        <f t="shared" si="1"/>
        <v>8.8551620356156491E-3</v>
      </c>
    </row>
    <row r="29" spans="1:3" x14ac:dyDescent="0.25">
      <c r="A29" t="s">
        <v>852</v>
      </c>
      <c r="B29" s="21" t="str">
        <f t="shared" si="0"/>
        <v>2016/12/26 14:26:28.305</v>
      </c>
      <c r="C29" s="21">
        <f t="shared" si="1"/>
        <v>3.4490731195546687E-6</v>
      </c>
    </row>
    <row r="30" spans="1:3" x14ac:dyDescent="0.25">
      <c r="A30" t="s">
        <v>853</v>
      </c>
      <c r="B30" s="21" t="str">
        <f t="shared" si="0"/>
        <v>2016/12/26 14:26:29.098</v>
      </c>
      <c r="C30" s="21">
        <f t="shared" si="1"/>
        <v>9.1782421804964542E-6</v>
      </c>
    </row>
    <row r="31" spans="1:3" x14ac:dyDescent="0.25">
      <c r="A31" t="s">
        <v>854</v>
      </c>
      <c r="B31" s="21" t="str">
        <f t="shared" si="0"/>
        <v>2016/12/26 14:50:09.632</v>
      </c>
      <c r="C31" s="21">
        <f t="shared" si="1"/>
        <v>1.644136574032018E-2</v>
      </c>
    </row>
    <row r="32" spans="1:3" x14ac:dyDescent="0.25">
      <c r="A32" t="s">
        <v>855</v>
      </c>
      <c r="B32" s="21" t="str">
        <f t="shared" si="0"/>
        <v>2016/12/26 14:50:09.920</v>
      </c>
      <c r="C32" s="21">
        <f t="shared" si="1"/>
        <v>3.3333344617858529E-6</v>
      </c>
    </row>
    <row r="33" spans="1:3" x14ac:dyDescent="0.25">
      <c r="A33" t="s">
        <v>856</v>
      </c>
      <c r="B33" s="21" t="str">
        <f t="shared" si="0"/>
        <v>2016/12/26 15:03:02.191</v>
      </c>
      <c r="C33" s="21">
        <f t="shared" si="1"/>
        <v>8.9383217564318329E-3</v>
      </c>
    </row>
    <row r="34" spans="1:3" x14ac:dyDescent="0.25">
      <c r="A34" t="s">
        <v>857</v>
      </c>
      <c r="B34" s="21" t="str">
        <f t="shared" si="0"/>
        <v>2016/12/26 15:03:02.200</v>
      </c>
      <c r="C34" s="21">
        <f t="shared" si="1"/>
        <v>1.0416988516226411E-7</v>
      </c>
    </row>
    <row r="35" spans="1:3" x14ac:dyDescent="0.25">
      <c r="A35" t="s">
        <v>858</v>
      </c>
      <c r="B35" s="21" t="str">
        <f t="shared" si="0"/>
        <v>2016/12/26 15:03:03.054</v>
      </c>
      <c r="C35" s="21">
        <f t="shared" si="1"/>
        <v>9.8842574516311288E-6</v>
      </c>
    </row>
    <row r="36" spans="1:3" x14ac:dyDescent="0.25">
      <c r="A36" t="s">
        <v>859</v>
      </c>
      <c r="B36" s="21" t="str">
        <f t="shared" si="0"/>
        <v>2016/12/26 15:05:37.777</v>
      </c>
      <c r="C36" s="21">
        <f t="shared" si="1"/>
        <v>1.7907754663610831E-3</v>
      </c>
    </row>
    <row r="37" spans="1:3" x14ac:dyDescent="0.25">
      <c r="A37" t="s">
        <v>860</v>
      </c>
      <c r="B37" s="21" t="str">
        <f t="shared" si="0"/>
        <v>2016/12/26 15:05:38.008</v>
      </c>
      <c r="C37" s="21">
        <f t="shared" si="1"/>
        <v>2.6736088329926133E-6</v>
      </c>
    </row>
    <row r="38" spans="1:3" x14ac:dyDescent="0.25">
      <c r="A38" t="s">
        <v>861</v>
      </c>
      <c r="B38" s="21" t="str">
        <f t="shared" si="0"/>
        <v>2016/12/26 15:05:38.130</v>
      </c>
      <c r="C38" s="21">
        <f t="shared" si="1"/>
        <v>1.4120378182269633E-6</v>
      </c>
    </row>
    <row r="39" spans="1:3" x14ac:dyDescent="0.25">
      <c r="A39" t="s">
        <v>862</v>
      </c>
      <c r="B39" s="21" t="str">
        <f t="shared" si="0"/>
        <v>2016/12/26 15:06:02.771</v>
      </c>
      <c r="C39" s="21">
        <f t="shared" si="1"/>
        <v>2.8519675834104419E-4</v>
      </c>
    </row>
    <row r="40" spans="1:3" x14ac:dyDescent="0.25">
      <c r="A40" t="s">
        <v>863</v>
      </c>
      <c r="B40" s="21" t="str">
        <f t="shared" si="0"/>
        <v>2016/12/26 15:06:03.003</v>
      </c>
      <c r="C40" s="21">
        <f t="shared" si="1"/>
        <v>2.6851848815567791E-6</v>
      </c>
    </row>
    <row r="41" spans="1:3" x14ac:dyDescent="0.25">
      <c r="A41" t="s">
        <v>864</v>
      </c>
      <c r="B41" s="21" t="str">
        <f t="shared" si="0"/>
        <v>2016/12/26 15:06:03.121</v>
      </c>
      <c r="C41" s="21">
        <f t="shared" si="1"/>
        <v>1.3657408999279141E-6</v>
      </c>
    </row>
    <row r="42" spans="1:3" x14ac:dyDescent="0.25">
      <c r="A42" t="s">
        <v>865</v>
      </c>
      <c r="B42" s="21" t="str">
        <f t="shared" si="0"/>
        <v>2016/12/26 16:26:53.040</v>
      </c>
      <c r="C42" s="21">
        <f t="shared" si="1"/>
        <v>5.6133321762899868E-2</v>
      </c>
    </row>
    <row r="43" spans="1:3" x14ac:dyDescent="0.25">
      <c r="A43" t="s">
        <v>866</v>
      </c>
      <c r="B43" s="21" t="str">
        <f t="shared" si="0"/>
        <v>2016/12/26 16:26:53.325</v>
      </c>
      <c r="C43" s="21">
        <f t="shared" si="1"/>
        <v>3.2986063160933554E-6</v>
      </c>
    </row>
    <row r="44" spans="1:3" x14ac:dyDescent="0.25">
      <c r="A44" t="s">
        <v>867</v>
      </c>
      <c r="B44" s="21" t="str">
        <f t="shared" si="0"/>
        <v>2016/12/26 16:26:53.993</v>
      </c>
      <c r="C44" s="21">
        <f t="shared" si="1"/>
        <v>7.7314834925346076E-6</v>
      </c>
    </row>
    <row r="45" spans="1:3" x14ac:dyDescent="0.25">
      <c r="A45" t="s">
        <v>868</v>
      </c>
      <c r="B45" s="21" t="str">
        <f t="shared" si="0"/>
        <v>2016/12/26 16:31:24.434</v>
      </c>
      <c r="C45" s="21">
        <f t="shared" si="1"/>
        <v>3.1301041672122665E-3</v>
      </c>
    </row>
    <row r="46" spans="1:3" x14ac:dyDescent="0.25">
      <c r="A46" t="s">
        <v>869</v>
      </c>
      <c r="B46" s="21" t="str">
        <f t="shared" si="0"/>
        <v>2016/12/26 16:31:24.746</v>
      </c>
      <c r="C46" s="21">
        <f t="shared" si="1"/>
        <v>3.6111086956225336E-6</v>
      </c>
    </row>
    <row r="47" spans="1:3" x14ac:dyDescent="0.25">
      <c r="A47" t="s">
        <v>870</v>
      </c>
      <c r="B47" s="21" t="str">
        <f t="shared" si="0"/>
        <v>2016/12/26 16:31:25.520</v>
      </c>
      <c r="C47" s="21">
        <f t="shared" si="1"/>
        <v>8.9583336375653744E-6</v>
      </c>
    </row>
    <row r="48" spans="1:3" x14ac:dyDescent="0.25">
      <c r="A48" t="s">
        <v>871</v>
      </c>
      <c r="B48" s="21" t="str">
        <f t="shared" si="0"/>
        <v>2016/12/26 16:37:32.026</v>
      </c>
      <c r="C48" s="21">
        <f t="shared" si="1"/>
        <v>4.2419675955898128E-3</v>
      </c>
    </row>
    <row r="49" spans="1:3" x14ac:dyDescent="0.25">
      <c r="A49" t="s">
        <v>872</v>
      </c>
      <c r="B49" s="21" t="str">
        <f t="shared" si="0"/>
        <v>2016/12/26 16:50:05.726</v>
      </c>
      <c r="C49" s="21">
        <f t="shared" si="1"/>
        <v>8.7233796293730848E-3</v>
      </c>
    </row>
    <row r="50" spans="1:3" x14ac:dyDescent="0.25">
      <c r="A50" t="s">
        <v>873</v>
      </c>
      <c r="B50" s="21" t="str">
        <f t="shared" si="0"/>
        <v>2016/12/26 18:06:46.737</v>
      </c>
      <c r="C50" s="21">
        <f t="shared" si="1"/>
        <v>5.3252442128723487E-2</v>
      </c>
    </row>
    <row r="51" spans="1:3" x14ac:dyDescent="0.25">
      <c r="A51" t="s">
        <v>874</v>
      </c>
      <c r="B51" s="21" t="str">
        <f t="shared" si="0"/>
        <v>2016/12/26 18:06:46.952</v>
      </c>
      <c r="C51" s="21">
        <f t="shared" si="1"/>
        <v>2.4884284357540309E-6</v>
      </c>
    </row>
    <row r="52" spans="1:3" x14ac:dyDescent="0.25">
      <c r="A52" t="s">
        <v>875</v>
      </c>
      <c r="B52" s="21" t="str">
        <f t="shared" si="0"/>
        <v>2016/12/26 18:06:47.013</v>
      </c>
      <c r="C52" s="21">
        <f t="shared" si="1"/>
        <v>7.0601527113467455E-7</v>
      </c>
    </row>
    <row r="53" spans="1:3" x14ac:dyDescent="0.25">
      <c r="A53" t="s">
        <v>876</v>
      </c>
      <c r="B53" s="21" t="str">
        <f t="shared" ref="B53:B80" si="2">MID(A53,6,23)</f>
        <v>2016/12/26 18:09:08.741</v>
      </c>
      <c r="C53" s="21">
        <f t="shared" ref="C53:C80" si="3">ABS(B53-B52)</f>
        <v>1.6403703702962957E-3</v>
      </c>
    </row>
    <row r="54" spans="1:3" x14ac:dyDescent="0.25">
      <c r="A54" t="s">
        <v>877</v>
      </c>
      <c r="B54" s="21" t="str">
        <f t="shared" si="2"/>
        <v>2016/12/26 18:09:08.958</v>
      </c>
      <c r="C54" s="21">
        <f t="shared" si="3"/>
        <v>2.5115732569247484E-6</v>
      </c>
    </row>
    <row r="55" spans="1:3" x14ac:dyDescent="0.25">
      <c r="A55" t="s">
        <v>878</v>
      </c>
      <c r="B55" s="21" t="str">
        <f t="shared" si="2"/>
        <v>2016/12/26 18:09:08.990</v>
      </c>
      <c r="C55" s="21">
        <f t="shared" si="3"/>
        <v>3.7037534639239311E-7</v>
      </c>
    </row>
    <row r="56" spans="1:3" x14ac:dyDescent="0.25">
      <c r="A56" t="s">
        <v>879</v>
      </c>
      <c r="B56" s="21" t="str">
        <f t="shared" si="2"/>
        <v>2016/12/26 19:09:07.329</v>
      </c>
      <c r="C56" s="21">
        <f t="shared" si="3"/>
        <v>4.1647442129033152E-2</v>
      </c>
    </row>
    <row r="57" spans="1:3" x14ac:dyDescent="0.25">
      <c r="A57" t="s">
        <v>880</v>
      </c>
      <c r="B57" s="21" t="str">
        <f t="shared" si="2"/>
        <v>2016/12/26 19:09:07.338</v>
      </c>
      <c r="C57" s="21">
        <f t="shared" si="3"/>
        <v>1.0416260920464993E-7</v>
      </c>
    </row>
    <row r="58" spans="1:3" x14ac:dyDescent="0.25">
      <c r="A58" t="s">
        <v>881</v>
      </c>
      <c r="B58" s="21" t="str">
        <f t="shared" si="2"/>
        <v>2016/12/26 19:09:08.515</v>
      </c>
      <c r="C58" s="21">
        <f t="shared" si="3"/>
        <v>1.3622688129544258E-5</v>
      </c>
    </row>
    <row r="59" spans="1:3" x14ac:dyDescent="0.25">
      <c r="A59" t="s">
        <v>882</v>
      </c>
      <c r="B59" s="21" t="str">
        <f t="shared" si="2"/>
        <v>2016/12/26 19:09:08.524</v>
      </c>
      <c r="C59" s="21">
        <f t="shared" si="3"/>
        <v>1.0416260920464993E-7</v>
      </c>
    </row>
    <row r="60" spans="1:3" x14ac:dyDescent="0.25">
      <c r="A60" t="s">
        <v>883</v>
      </c>
      <c r="B60" s="21" t="str">
        <f t="shared" si="2"/>
        <v>2016/12/26 19:09:08.602</v>
      </c>
      <c r="C60" s="21">
        <f t="shared" si="3"/>
        <v>9.0277899289503694E-7</v>
      </c>
    </row>
    <row r="61" spans="1:3" x14ac:dyDescent="0.25">
      <c r="A61" t="s">
        <v>884</v>
      </c>
      <c r="B61" s="21" t="str">
        <f t="shared" si="2"/>
        <v>2016/12/26 19:09:08.611</v>
      </c>
      <c r="C61" s="21">
        <f t="shared" si="3"/>
        <v>1.0416988516226411E-7</v>
      </c>
    </row>
    <row r="62" spans="1:3" x14ac:dyDescent="0.25">
      <c r="A62" t="s">
        <v>885</v>
      </c>
      <c r="B62" s="21" t="str">
        <f t="shared" si="2"/>
        <v>2016/12/26 19:12:28.034</v>
      </c>
      <c r="C62" s="21">
        <f t="shared" si="3"/>
        <v>2.3081365725374781E-3</v>
      </c>
    </row>
    <row r="63" spans="1:3" x14ac:dyDescent="0.25">
      <c r="A63" t="s">
        <v>886</v>
      </c>
      <c r="B63" s="21" t="str">
        <f t="shared" si="2"/>
        <v>2016/12/26 19:12:28.532</v>
      </c>
      <c r="C63" s="21">
        <f t="shared" si="3"/>
        <v>5.7638899306766689E-6</v>
      </c>
    </row>
    <row r="64" spans="1:3" x14ac:dyDescent="0.25">
      <c r="A64" t="s">
        <v>887</v>
      </c>
      <c r="B64" s="21" t="str">
        <f t="shared" si="2"/>
        <v>2016/12/26 19:12:28.631</v>
      </c>
      <c r="C64" s="21">
        <f t="shared" si="3"/>
        <v>1.1458323569968343E-6</v>
      </c>
    </row>
    <row r="65" spans="1:3" x14ac:dyDescent="0.25">
      <c r="A65" t="s">
        <v>888</v>
      </c>
      <c r="B65" s="21" t="str">
        <f t="shared" si="2"/>
        <v>2016/12/26 20:06:01.630</v>
      </c>
      <c r="C65" s="21">
        <f t="shared" si="3"/>
        <v>3.7187488422205206E-2</v>
      </c>
    </row>
    <row r="66" spans="1:3" x14ac:dyDescent="0.25">
      <c r="A66" t="s">
        <v>889</v>
      </c>
      <c r="B66" s="21" t="str">
        <f t="shared" si="2"/>
        <v>2016/12/26 20:06:01.920</v>
      </c>
      <c r="C66" s="21">
        <f t="shared" si="3"/>
        <v>3.3564865589141846E-6</v>
      </c>
    </row>
    <row r="67" spans="1:3" x14ac:dyDescent="0.25">
      <c r="A67" t="s">
        <v>890</v>
      </c>
      <c r="B67" s="21" t="str">
        <f t="shared" si="2"/>
        <v>2016/12/26 20:06:01.950</v>
      </c>
      <c r="C67" s="21">
        <f t="shared" si="3"/>
        <v>3.4722324926406145E-7</v>
      </c>
    </row>
    <row r="68" spans="1:3" x14ac:dyDescent="0.25">
      <c r="A68" t="s">
        <v>891</v>
      </c>
      <c r="B68" s="21" t="str">
        <f t="shared" si="2"/>
        <v>2016/12/26 20:33:32.744</v>
      </c>
      <c r="C68" s="21">
        <f t="shared" si="3"/>
        <v>1.9106412037217524E-2</v>
      </c>
    </row>
    <row r="69" spans="1:3" x14ac:dyDescent="0.25">
      <c r="A69" t="s">
        <v>892</v>
      </c>
      <c r="B69" s="21" t="str">
        <f t="shared" si="2"/>
        <v>2016/12/26 20:34:28.130</v>
      </c>
      <c r="C69" s="21">
        <f t="shared" si="3"/>
        <v>6.410416608559899E-4</v>
      </c>
    </row>
    <row r="70" spans="1:3" x14ac:dyDescent="0.25">
      <c r="A70" t="s">
        <v>893</v>
      </c>
      <c r="B70" s="21" t="str">
        <f t="shared" si="2"/>
        <v>2016/12/26 20:34:28.196</v>
      </c>
      <c r="C70" s="21">
        <f t="shared" si="3"/>
        <v>7.6388823799788952E-7</v>
      </c>
    </row>
    <row r="71" spans="1:3" x14ac:dyDescent="0.25">
      <c r="A71" t="s">
        <v>894</v>
      </c>
      <c r="B71" s="21" t="str">
        <f t="shared" si="2"/>
        <v>2016/12/26 22:03:54.999</v>
      </c>
      <c r="C71" s="21">
        <f t="shared" si="3"/>
        <v>6.2115775464917533E-2</v>
      </c>
    </row>
    <row r="72" spans="1:3" x14ac:dyDescent="0.25">
      <c r="A72" t="s">
        <v>895</v>
      </c>
      <c r="B72" s="21" t="str">
        <f t="shared" si="2"/>
        <v>2016/12/26 22:03:55.099</v>
      </c>
      <c r="C72" s="21">
        <f t="shared" si="3"/>
        <v>1.1574084055610001E-6</v>
      </c>
    </row>
    <row r="73" spans="1:3" x14ac:dyDescent="0.25">
      <c r="A73" t="s">
        <v>896</v>
      </c>
      <c r="B73" s="21" t="str">
        <f t="shared" si="2"/>
        <v>2016/12/26 22:03:55.478</v>
      </c>
      <c r="C73" s="21">
        <f t="shared" si="3"/>
        <v>4.3865729821845889E-6</v>
      </c>
    </row>
    <row r="74" spans="1:3" x14ac:dyDescent="0.25">
      <c r="A74" t="s">
        <v>897</v>
      </c>
      <c r="B74" s="21" t="str">
        <f t="shared" si="2"/>
        <v>2016/12/26 22:50:53.315</v>
      </c>
      <c r="C74" s="21">
        <f t="shared" si="3"/>
        <v>3.261385417135898E-2</v>
      </c>
    </row>
    <row r="75" spans="1:3" x14ac:dyDescent="0.25">
      <c r="A75" t="s">
        <v>898</v>
      </c>
      <c r="B75" s="21" t="str">
        <f t="shared" si="2"/>
        <v>2016/12/26 22:50:53.494</v>
      </c>
      <c r="C75" s="21">
        <f t="shared" si="3"/>
        <v>2.0717561710625887E-6</v>
      </c>
    </row>
    <row r="76" spans="1:3" x14ac:dyDescent="0.25">
      <c r="A76" t="s">
        <v>899</v>
      </c>
      <c r="B76" s="21" t="str">
        <f t="shared" si="2"/>
        <v>2016/12/26 22:50:53.588</v>
      </c>
      <c r="C76" s="21">
        <f t="shared" si="3"/>
        <v>1.0879666660912335E-6</v>
      </c>
    </row>
    <row r="77" spans="1:3" x14ac:dyDescent="0.25">
      <c r="A77" t="s">
        <v>900</v>
      </c>
      <c r="B77" s="21" t="str">
        <f t="shared" si="2"/>
        <v>2016/12/26 23:33:49.193</v>
      </c>
      <c r="C77" s="21">
        <f t="shared" si="3"/>
        <v>2.9810243053361773E-2</v>
      </c>
    </row>
    <row r="78" spans="1:3" x14ac:dyDescent="0.25">
      <c r="A78" t="s">
        <v>901</v>
      </c>
      <c r="B78" s="21" t="str">
        <f t="shared" si="2"/>
        <v>2016/12/26 23:33:49.735</v>
      </c>
      <c r="C78" s="21">
        <f t="shared" si="3"/>
        <v>6.2731487560085952E-6</v>
      </c>
    </row>
    <row r="79" spans="1:3" x14ac:dyDescent="0.25">
      <c r="A79" t="s">
        <v>902</v>
      </c>
      <c r="B79" s="21" t="str">
        <f t="shared" si="2"/>
        <v>2016/12/27 00:38:44.165</v>
      </c>
      <c r="C79" s="21">
        <f t="shared" si="3"/>
        <v>4.507442129397532E-2</v>
      </c>
    </row>
    <row r="80" spans="1:3" x14ac:dyDescent="0.25">
      <c r="A80" t="s">
        <v>903</v>
      </c>
      <c r="B80" s="21" t="str">
        <f t="shared" si="2"/>
        <v>2016/12/27 00:38:44.545</v>
      </c>
      <c r="C80" s="21">
        <f t="shared" si="3"/>
        <v>4.3981490307487547E-6</v>
      </c>
    </row>
    <row r="81" spans="1:3" x14ac:dyDescent="0.25">
      <c r="A81" t="s">
        <v>904</v>
      </c>
      <c r="B81" s="21" t="str">
        <f t="shared" ref="B81:B85" si="4">MID(A81,6,23)</f>
        <v>2016/12/27 00:38:44.767</v>
      </c>
      <c r="C81" s="21">
        <f t="shared" ref="C81:C85" si="5">ABS(B81-B80)</f>
        <v>2.5694462237879634E-6</v>
      </c>
    </row>
    <row r="82" spans="1:3" x14ac:dyDescent="0.25">
      <c r="A82" t="s">
        <v>905</v>
      </c>
      <c r="B82" s="21" t="str">
        <f t="shared" si="4"/>
        <v>2016/12/27 00:50:27.399</v>
      </c>
      <c r="C82" s="21">
        <f t="shared" si="5"/>
        <v>8.1323148115188815E-3</v>
      </c>
    </row>
    <row r="83" spans="1:3" x14ac:dyDescent="0.25">
      <c r="A83" t="s">
        <v>906</v>
      </c>
      <c r="B83" s="21" t="str">
        <f t="shared" si="4"/>
        <v>2016/12/27 00:50:27.621</v>
      </c>
      <c r="C83" s="21">
        <f t="shared" si="5"/>
        <v>2.5694462237879634E-6</v>
      </c>
    </row>
    <row r="84" spans="1:3" x14ac:dyDescent="0.25">
      <c r="A84" t="s">
        <v>907</v>
      </c>
      <c r="B84" s="21" t="str">
        <f t="shared" si="4"/>
        <v>2016/12/27 00:50:28.345</v>
      </c>
      <c r="C84" s="21">
        <f t="shared" si="5"/>
        <v>8.3796257968060672E-6</v>
      </c>
    </row>
    <row r="85" spans="1:3" x14ac:dyDescent="0.25">
      <c r="A85" t="s">
        <v>908</v>
      </c>
      <c r="B85" s="21" t="str">
        <f t="shared" si="4"/>
        <v>2016/12/27 01:34:22.005</v>
      </c>
      <c r="C85" s="21">
        <f t="shared" si="5"/>
        <v>3.0482175927318167E-2</v>
      </c>
    </row>
    <row r="86" spans="1:3" x14ac:dyDescent="0.25">
      <c r="A86" t="s">
        <v>909</v>
      </c>
      <c r="B86" s="21" t="str">
        <f t="shared" ref="B86:B87" si="6">MID(A86,6,23)</f>
        <v>2016/12/27 01:34:22.107</v>
      </c>
      <c r="C86" s="21">
        <f t="shared" ref="C86:C87" si="7">ABS(B86-B85)</f>
        <v>1.1805605026893318E-6</v>
      </c>
    </row>
    <row r="87" spans="1:3" x14ac:dyDescent="0.25">
      <c r="A87" t="s">
        <v>910</v>
      </c>
      <c r="B87" s="21" t="str">
        <f t="shared" si="6"/>
        <v>2016/12/27 01:34:22.487</v>
      </c>
      <c r="C87" s="21">
        <f t="shared" si="7"/>
        <v>4.3981417547911406E-6</v>
      </c>
    </row>
    <row r="88" spans="1:3" x14ac:dyDescent="0.25">
      <c r="A88" t="s">
        <v>911</v>
      </c>
      <c r="B88" s="21" t="str">
        <f t="shared" ref="B88:B99" si="8">MID(A88,6,23)</f>
        <v>2016/12/27 02:06:35.860</v>
      </c>
      <c r="C88" s="21">
        <f t="shared" ref="C88:C99" si="9">ABS(B88-B87)</f>
        <v>2.2377002314897254E-2</v>
      </c>
    </row>
    <row r="89" spans="1:3" x14ac:dyDescent="0.25">
      <c r="A89" t="s">
        <v>912</v>
      </c>
      <c r="B89" s="21" t="str">
        <f t="shared" si="8"/>
        <v>2016/12/27 02:06:36.160</v>
      </c>
      <c r="C89" s="21">
        <f t="shared" si="9"/>
        <v>3.4722252166830003E-6</v>
      </c>
    </row>
    <row r="90" spans="1:3" x14ac:dyDescent="0.25">
      <c r="A90" t="s">
        <v>913</v>
      </c>
      <c r="B90" s="21" t="str">
        <f t="shared" si="8"/>
        <v>2016/12/27 02:06:36.337</v>
      </c>
      <c r="C90" s="21">
        <f t="shared" si="9"/>
        <v>2.0486113498918712E-6</v>
      </c>
    </row>
    <row r="91" spans="1:3" x14ac:dyDescent="0.25">
      <c r="A91" t="s">
        <v>914</v>
      </c>
      <c r="B91" s="21" t="str">
        <f t="shared" si="8"/>
        <v>2016/12/27 03:35:23.630</v>
      </c>
      <c r="C91" s="21">
        <f t="shared" si="9"/>
        <v>6.165848379896488E-2</v>
      </c>
    </row>
    <row r="92" spans="1:3" x14ac:dyDescent="0.25">
      <c r="A92" t="s">
        <v>915</v>
      </c>
      <c r="B92" s="21" t="str">
        <f t="shared" si="8"/>
        <v>2016/12/27 03:35:24.511</v>
      </c>
      <c r="C92" s="21">
        <f t="shared" si="9"/>
        <v>1.0196759831160307E-5</v>
      </c>
    </row>
    <row r="93" spans="1:3" x14ac:dyDescent="0.25">
      <c r="A93" t="s">
        <v>916</v>
      </c>
      <c r="B93" s="21" t="str">
        <f t="shared" si="8"/>
        <v>2016/12/27 03:51:26.343</v>
      </c>
      <c r="C93" s="21">
        <f t="shared" si="9"/>
        <v>1.1132314808492083E-2</v>
      </c>
    </row>
    <row r="94" spans="1:3" x14ac:dyDescent="0.25">
      <c r="A94" t="s">
        <v>917</v>
      </c>
      <c r="B94" s="21" t="str">
        <f t="shared" si="8"/>
        <v>2016/12/27 03:51:26.381</v>
      </c>
      <c r="C94" s="21">
        <f t="shared" si="9"/>
        <v>4.3981708586215973E-7</v>
      </c>
    </row>
    <row r="95" spans="1:3" x14ac:dyDescent="0.25">
      <c r="A95" t="s">
        <v>918</v>
      </c>
      <c r="B95" s="21" t="str">
        <f t="shared" si="8"/>
        <v>2016/12/27 03:51:26.614</v>
      </c>
      <c r="C95" s="21">
        <f t="shared" si="9"/>
        <v>2.696760930120945E-6</v>
      </c>
    </row>
    <row r="96" spans="1:3" x14ac:dyDescent="0.25">
      <c r="A96" t="s">
        <v>919</v>
      </c>
      <c r="B96" s="21" t="str">
        <f t="shared" si="8"/>
        <v>2016/12/27 04:03:52.545</v>
      </c>
      <c r="C96" s="21">
        <f t="shared" si="9"/>
        <v>8.6334606457967311E-3</v>
      </c>
    </row>
    <row r="97" spans="1:3" x14ac:dyDescent="0.25">
      <c r="A97" t="s">
        <v>920</v>
      </c>
      <c r="B97" s="21" t="str">
        <f t="shared" si="8"/>
        <v>2016/12/27 04:03:52.729</v>
      </c>
      <c r="C97" s="21">
        <f t="shared" si="9"/>
        <v>2.1296291379258037E-6</v>
      </c>
    </row>
    <row r="98" spans="1:3" x14ac:dyDescent="0.25">
      <c r="A98" t="s">
        <v>921</v>
      </c>
      <c r="B98" s="21" t="str">
        <f t="shared" si="8"/>
        <v>2016/12/27 06:00:56.622</v>
      </c>
      <c r="C98" s="21">
        <f t="shared" si="9"/>
        <v>8.1295057869283482E-2</v>
      </c>
    </row>
    <row r="99" spans="1:3" x14ac:dyDescent="0.25">
      <c r="A99" t="s">
        <v>922</v>
      </c>
      <c r="B99" s="21" t="str">
        <f t="shared" si="8"/>
        <v>2016/12/27 06:00:57.037</v>
      </c>
      <c r="C99" s="21">
        <f t="shared" si="9"/>
        <v>4.8032452468760312E-6</v>
      </c>
    </row>
    <row r="100" spans="1:3" x14ac:dyDescent="0.25">
      <c r="B100" s="21"/>
      <c r="C100" s="21"/>
    </row>
    <row r="101" spans="1:3" x14ac:dyDescent="0.25">
      <c r="B101" s="21"/>
      <c r="C101" s="21"/>
    </row>
    <row r="102" spans="1:3" x14ac:dyDescent="0.25">
      <c r="B102" s="21"/>
      <c r="C102" s="21"/>
    </row>
    <row r="103" spans="1:3" x14ac:dyDescent="0.25">
      <c r="B103" s="21"/>
      <c r="C103" s="21"/>
    </row>
    <row r="104" spans="1:3" x14ac:dyDescent="0.25">
      <c r="B104" s="21"/>
      <c r="C104" s="21"/>
    </row>
    <row r="105" spans="1:3" x14ac:dyDescent="0.25">
      <c r="B105" s="21"/>
      <c r="C105" s="21"/>
    </row>
    <row r="106" spans="1:3" x14ac:dyDescent="0.25">
      <c r="B106" s="21"/>
      <c r="C106" s="21"/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2016-12-27T15:56:46Z</dcterms:modified>
</cp:coreProperties>
</file>