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Runs'!$A$12:$AG$280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3" l="1"/>
  <c r="N19" i="3"/>
  <c r="U19" i="3"/>
  <c r="T19" i="3" s="1"/>
  <c r="V19" i="3"/>
  <c r="W19" i="3"/>
  <c r="X19" i="3"/>
  <c r="Y19" i="3"/>
  <c r="AC19" i="3"/>
  <c r="K14" i="1"/>
  <c r="L14" i="1"/>
  <c r="M14" i="1"/>
  <c r="V14" i="1"/>
  <c r="Y14" i="1"/>
  <c r="Z14" i="1"/>
  <c r="AA14" i="1" s="1"/>
  <c r="AB14" i="1"/>
  <c r="AC14" i="1"/>
  <c r="AD14" i="1"/>
  <c r="AG14" i="1" s="1"/>
  <c r="AE14" i="1"/>
  <c r="AF14" i="1"/>
  <c r="AH14" i="1"/>
  <c r="K15" i="1"/>
  <c r="L15" i="1"/>
  <c r="M15" i="1"/>
  <c r="V15" i="1"/>
  <c r="Y15" i="1"/>
  <c r="AA15" i="1" s="1"/>
  <c r="Z15" i="1"/>
  <c r="AB15" i="1"/>
  <c r="AC15" i="1"/>
  <c r="AD15" i="1"/>
  <c r="T15" i="1" s="1"/>
  <c r="AE15" i="1"/>
  <c r="AF15" i="1"/>
  <c r="AH15" i="1"/>
  <c r="K16" i="1"/>
  <c r="L16" i="1"/>
  <c r="M16" i="1"/>
  <c r="V16" i="1"/>
  <c r="Y16" i="1"/>
  <c r="Z16" i="1"/>
  <c r="AA16" i="1" s="1"/>
  <c r="AB16" i="1"/>
  <c r="AC16" i="1"/>
  <c r="AD16" i="1"/>
  <c r="AG16" i="1" s="1"/>
  <c r="AE16" i="1"/>
  <c r="AF16" i="1"/>
  <c r="AH16" i="1"/>
  <c r="K17" i="1"/>
  <c r="L17" i="1"/>
  <c r="M17" i="1"/>
  <c r="N17" i="1" s="1"/>
  <c r="T17" i="1"/>
  <c r="V17" i="1"/>
  <c r="Y17" i="1"/>
  <c r="AA17" i="1" s="1"/>
  <c r="W17" i="1" s="1"/>
  <c r="Z17" i="1"/>
  <c r="AB17" i="1"/>
  <c r="AC17" i="1"/>
  <c r="AD17" i="1"/>
  <c r="AE17" i="1"/>
  <c r="AF17" i="1"/>
  <c r="AG17" i="1"/>
  <c r="U17" i="1" s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G28" i="1"/>
  <c r="AH28" i="1"/>
  <c r="K29" i="1"/>
  <c r="L29" i="1"/>
  <c r="M29" i="1"/>
  <c r="N29" i="1" s="1"/>
  <c r="V29" i="1"/>
  <c r="Y29" i="1"/>
  <c r="AA29" i="1" s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S7" i="3" s="1"/>
  <c r="Y34" i="1"/>
  <c r="Z34" i="1"/>
  <c r="AB34" i="1"/>
  <c r="AC34" i="1"/>
  <c r="AD34" i="1"/>
  <c r="T34" i="1" s="1"/>
  <c r="AE34" i="1"/>
  <c r="R7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S12" i="3" s="1"/>
  <c r="Y40" i="1"/>
  <c r="Z40" i="1"/>
  <c r="AB40" i="1"/>
  <c r="AC40" i="1"/>
  <c r="AD40" i="1"/>
  <c r="T40" i="1" s="1"/>
  <c r="AE40" i="1"/>
  <c r="R12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R21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P51" i="1" s="1"/>
  <c r="V51" i="1"/>
  <c r="Y51" i="1"/>
  <c r="AB51" i="1"/>
  <c r="AC51" i="1"/>
  <c r="AD51" i="1"/>
  <c r="T51" i="1" s="1"/>
  <c r="AE51" i="1"/>
  <c r="R13" i="3" s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S22" i="3" s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S23" i="3" s="1"/>
  <c r="Y64" i="1"/>
  <c r="Z64" i="1"/>
  <c r="AB64" i="1"/>
  <c r="AC64" i="1"/>
  <c r="AD64" i="1"/>
  <c r="T64" i="1" s="1"/>
  <c r="AE64" i="1"/>
  <c r="R9" i="3" s="1"/>
  <c r="AF64" i="1"/>
  <c r="AH64" i="1"/>
  <c r="K65" i="1"/>
  <c r="L65" i="1"/>
  <c r="M65" i="1"/>
  <c r="N65" i="1" s="1"/>
  <c r="V65" i="1"/>
  <c r="S25" i="3" s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S26" i="3" s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A77" i="1" s="1"/>
  <c r="W77" i="1" s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A78" i="1" s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I86" i="1" s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S8" i="3" s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S14" i="3" s="1"/>
  <c r="Y98" i="1"/>
  <c r="Z98" i="1"/>
  <c r="AB98" i="1"/>
  <c r="AC98" i="1"/>
  <c r="AD98" i="1"/>
  <c r="T98" i="1" s="1"/>
  <c r="AE98" i="1"/>
  <c r="R14" i="3" s="1"/>
  <c r="AF98" i="1"/>
  <c r="AH98" i="1"/>
  <c r="K99" i="1"/>
  <c r="L99" i="1"/>
  <c r="M99" i="1"/>
  <c r="N99" i="1" s="1"/>
  <c r="V99" i="1"/>
  <c r="S16" i="3" s="1"/>
  <c r="Y99" i="1"/>
  <c r="Z99" i="1"/>
  <c r="AB99" i="1"/>
  <c r="AC99" i="1"/>
  <c r="AD99" i="1"/>
  <c r="T99" i="1" s="1"/>
  <c r="AE99" i="1"/>
  <c r="R16" i="3" s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G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R10" i="3" s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11" i="3" s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S18" i="3" s="1"/>
  <c r="Y154" i="1"/>
  <c r="Z154" i="1"/>
  <c r="AB154" i="1"/>
  <c r="AC154" i="1"/>
  <c r="AD154" i="1"/>
  <c r="AE154" i="1"/>
  <c r="R18" i="3" s="1"/>
  <c r="AF154" i="1"/>
  <c r="AH15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1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59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0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1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62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63" i="1"/>
  <c r="K157" i="1"/>
  <c r="L157" i="1"/>
  <c r="M157" i="1"/>
  <c r="N157" i="1" s="1"/>
  <c r="V157" i="1"/>
  <c r="S33" i="3" s="1"/>
  <c r="Y157" i="1"/>
  <c r="Z157" i="1"/>
  <c r="AB157" i="1"/>
  <c r="AC157" i="1"/>
  <c r="AD157" i="1"/>
  <c r="T157" i="1" s="1"/>
  <c r="AE157" i="1"/>
  <c r="R33" i="3" s="1"/>
  <c r="AF157" i="1"/>
  <c r="AH164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6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66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8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R30" i="3" s="1"/>
  <c r="AF162" i="1"/>
  <c r="AH16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2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73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7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7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7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7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7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7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0" i="1"/>
  <c r="K174" i="1"/>
  <c r="L174" i="1"/>
  <c r="M174" i="1"/>
  <c r="N174" i="1" s="1"/>
  <c r="V174" i="1"/>
  <c r="S31" i="3" s="1"/>
  <c r="Y174" i="1"/>
  <c r="Z174" i="1"/>
  <c r="AB174" i="1"/>
  <c r="AC174" i="1"/>
  <c r="AD174" i="1"/>
  <c r="AG174" i="1" s="1"/>
  <c r="AE174" i="1"/>
  <c r="AF174" i="1"/>
  <c r="AH181" i="1"/>
  <c r="K175" i="1"/>
  <c r="L175" i="1"/>
  <c r="M175" i="1"/>
  <c r="N175" i="1" s="1"/>
  <c r="V175" i="1"/>
  <c r="S34" i="3" s="1"/>
  <c r="Y175" i="1"/>
  <c r="AA175" i="1" s="1"/>
  <c r="Z175" i="1"/>
  <c r="AB175" i="1"/>
  <c r="AC175" i="1"/>
  <c r="AD175" i="1"/>
  <c r="AG175" i="1" s="1"/>
  <c r="AE175" i="1"/>
  <c r="R34" i="3" s="1"/>
  <c r="AF175" i="1"/>
  <c r="AH18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8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84" i="1"/>
  <c r="K178" i="1"/>
  <c r="L178" i="1"/>
  <c r="M178" i="1"/>
  <c r="N178" i="1" s="1"/>
  <c r="V178" i="1"/>
  <c r="S27" i="3" s="1"/>
  <c r="Y178" i="1"/>
  <c r="Z178" i="1"/>
  <c r="AB178" i="1"/>
  <c r="AC178" i="1"/>
  <c r="AD178" i="1"/>
  <c r="AG178" i="1" s="1"/>
  <c r="AE178" i="1"/>
  <c r="R27" i="3" s="1"/>
  <c r="AF178" i="1"/>
  <c r="AH18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8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87" i="1"/>
  <c r="K181" i="1"/>
  <c r="L181" i="1"/>
  <c r="M181" i="1"/>
  <c r="N181" i="1" s="1"/>
  <c r="V181" i="1"/>
  <c r="S29" i="3" s="1"/>
  <c r="Y181" i="1"/>
  <c r="Z181" i="1"/>
  <c r="AB181" i="1"/>
  <c r="AC181" i="1"/>
  <c r="AD181" i="1"/>
  <c r="T181" i="1" s="1"/>
  <c r="AE181" i="1"/>
  <c r="R29" i="3" s="1"/>
  <c r="AF181" i="1"/>
  <c r="AH188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8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9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92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9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9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9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9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0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0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0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0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4" i="1"/>
  <c r="K198" i="1"/>
  <c r="L198" i="1"/>
  <c r="M198" i="1"/>
  <c r="N198" i="1" s="1"/>
  <c r="V198" i="1"/>
  <c r="S37" i="3" s="1"/>
  <c r="Y198" i="1"/>
  <c r="Z198" i="1"/>
  <c r="AB198" i="1"/>
  <c r="AC198" i="1"/>
  <c r="AD198" i="1"/>
  <c r="AG198" i="1" s="1"/>
  <c r="AE198" i="1"/>
  <c r="R37" i="3" s="1"/>
  <c r="AF198" i="1"/>
  <c r="AH20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6" i="1"/>
  <c r="K200" i="1"/>
  <c r="L200" i="1"/>
  <c r="M200" i="1"/>
  <c r="N200" i="1" s="1"/>
  <c r="V200" i="1"/>
  <c r="S28" i="3" s="1"/>
  <c r="Y200" i="1"/>
  <c r="Z200" i="1"/>
  <c r="AB200" i="1"/>
  <c r="AC200" i="1"/>
  <c r="AD200" i="1"/>
  <c r="T200" i="1" s="1"/>
  <c r="AE200" i="1"/>
  <c r="R28" i="3" s="1"/>
  <c r="AF200" i="1"/>
  <c r="AH20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9" i="1"/>
  <c r="K207" i="1"/>
  <c r="L207" i="1"/>
  <c r="M207" i="1"/>
  <c r="N207" i="1" s="1"/>
  <c r="V207" i="1"/>
  <c r="S39" i="3" s="1"/>
  <c r="Y207" i="1"/>
  <c r="Z207" i="1"/>
  <c r="AB207" i="1"/>
  <c r="AC207" i="1"/>
  <c r="AD207" i="1"/>
  <c r="AG207" i="1" s="1"/>
  <c r="AE207" i="1"/>
  <c r="R39" i="3" s="1"/>
  <c r="AF207" i="1"/>
  <c r="AH21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M33" i="3"/>
  <c r="N33" i="3"/>
  <c r="U33" i="3"/>
  <c r="T33" i="3" s="1"/>
  <c r="V33" i="3"/>
  <c r="W33" i="3"/>
  <c r="X33" i="3"/>
  <c r="M30" i="3"/>
  <c r="N30" i="3"/>
  <c r="S30" i="3"/>
  <c r="U30" i="3"/>
  <c r="T30" i="3" s="1"/>
  <c r="V30" i="3"/>
  <c r="W30" i="3"/>
  <c r="X30" i="3"/>
  <c r="AC30" i="3"/>
  <c r="M7" i="3"/>
  <c r="N7" i="3"/>
  <c r="U7" i="3"/>
  <c r="AC7" i="3" s="1"/>
  <c r="V7" i="3"/>
  <c r="W7" i="3"/>
  <c r="X7" i="3"/>
  <c r="M20" i="3"/>
  <c r="N20" i="3"/>
  <c r="S20" i="3"/>
  <c r="U20" i="3"/>
  <c r="T20" i="3" s="1"/>
  <c r="V20" i="3"/>
  <c r="W20" i="3"/>
  <c r="X20" i="3"/>
  <c r="M12" i="3"/>
  <c r="N12" i="3"/>
  <c r="U12" i="3"/>
  <c r="T12" i="3" s="1"/>
  <c r="V12" i="3"/>
  <c r="W12" i="3"/>
  <c r="X12" i="3"/>
  <c r="M35" i="3"/>
  <c r="N35" i="3"/>
  <c r="R35" i="3"/>
  <c r="S35" i="3"/>
  <c r="U35" i="3"/>
  <c r="T35" i="3" s="1"/>
  <c r="V35" i="3"/>
  <c r="W35" i="3"/>
  <c r="X35" i="3"/>
  <c r="AC35" i="3"/>
  <c r="M17" i="3"/>
  <c r="N17" i="3"/>
  <c r="S17" i="3"/>
  <c r="U17" i="3"/>
  <c r="AC17" i="3" s="1"/>
  <c r="V17" i="3"/>
  <c r="W17" i="3"/>
  <c r="X17" i="3"/>
  <c r="M13" i="3"/>
  <c r="N13" i="3"/>
  <c r="S13" i="3"/>
  <c r="U13" i="3"/>
  <c r="T13" i="3" s="1"/>
  <c r="V13" i="3"/>
  <c r="W13" i="3"/>
  <c r="X13" i="3"/>
  <c r="M21" i="3"/>
  <c r="N21" i="3"/>
  <c r="S21" i="3"/>
  <c r="U21" i="3"/>
  <c r="T21" i="3" s="1"/>
  <c r="V21" i="3"/>
  <c r="W21" i="3"/>
  <c r="X21" i="3"/>
  <c r="AC21" i="3"/>
  <c r="M25" i="3"/>
  <c r="N25" i="3"/>
  <c r="R25" i="3"/>
  <c r="U25" i="3"/>
  <c r="T25" i="3" s="1"/>
  <c r="V25" i="3"/>
  <c r="W25" i="3"/>
  <c r="X25" i="3"/>
  <c r="AC25" i="3"/>
  <c r="M26" i="3"/>
  <c r="N26" i="3"/>
  <c r="R26" i="3"/>
  <c r="U26" i="3"/>
  <c r="AC26" i="3" s="1"/>
  <c r="V26" i="3"/>
  <c r="W26" i="3"/>
  <c r="X26" i="3"/>
  <c r="M22" i="3"/>
  <c r="N22" i="3"/>
  <c r="R22" i="3"/>
  <c r="U22" i="3"/>
  <c r="T22" i="3" s="1"/>
  <c r="V22" i="3"/>
  <c r="W22" i="3"/>
  <c r="X22" i="3"/>
  <c r="M9" i="3"/>
  <c r="N9" i="3"/>
  <c r="U9" i="3"/>
  <c r="T9" i="3" s="1"/>
  <c r="V9" i="3"/>
  <c r="W9" i="3"/>
  <c r="X9" i="3"/>
  <c r="M23" i="3"/>
  <c r="N23" i="3"/>
  <c r="U23" i="3"/>
  <c r="T23" i="3" s="1"/>
  <c r="V23" i="3"/>
  <c r="W23" i="3"/>
  <c r="X23" i="3"/>
  <c r="AC23" i="3"/>
  <c r="M31" i="3"/>
  <c r="N31" i="3"/>
  <c r="R31" i="3"/>
  <c r="U31" i="3"/>
  <c r="AC31" i="3" s="1"/>
  <c r="V31" i="3"/>
  <c r="W31" i="3"/>
  <c r="X31" i="3"/>
  <c r="M36" i="3"/>
  <c r="N36" i="3"/>
  <c r="R36" i="3"/>
  <c r="U36" i="3"/>
  <c r="T36" i="3" s="1"/>
  <c r="V36" i="3"/>
  <c r="W36" i="3"/>
  <c r="X36" i="3"/>
  <c r="M34" i="3"/>
  <c r="N34" i="3"/>
  <c r="U34" i="3"/>
  <c r="T34" i="3" s="1"/>
  <c r="V34" i="3"/>
  <c r="W34" i="3"/>
  <c r="X34" i="3"/>
  <c r="AC34" i="3"/>
  <c r="M27" i="3"/>
  <c r="N27" i="3"/>
  <c r="U27" i="3"/>
  <c r="T27" i="3" s="1"/>
  <c r="V27" i="3"/>
  <c r="W27" i="3"/>
  <c r="X27" i="3"/>
  <c r="M8" i="3"/>
  <c r="N8" i="3"/>
  <c r="R8" i="3"/>
  <c r="U8" i="3"/>
  <c r="AC8" i="3" s="1"/>
  <c r="V8" i="3"/>
  <c r="W8" i="3"/>
  <c r="X8" i="3"/>
  <c r="M16" i="3"/>
  <c r="N16" i="3"/>
  <c r="U16" i="3"/>
  <c r="T16" i="3" s="1"/>
  <c r="V16" i="3"/>
  <c r="W16" i="3"/>
  <c r="X16" i="3"/>
  <c r="M14" i="3"/>
  <c r="N14" i="3"/>
  <c r="U14" i="3"/>
  <c r="T14" i="3" s="1"/>
  <c r="V14" i="3"/>
  <c r="W14" i="3"/>
  <c r="X14" i="3"/>
  <c r="M39" i="3"/>
  <c r="N39" i="3"/>
  <c r="U39" i="3"/>
  <c r="T39" i="3" s="1"/>
  <c r="V39" i="3"/>
  <c r="W39" i="3"/>
  <c r="X39" i="3"/>
  <c r="AC39" i="3"/>
  <c r="M29" i="3"/>
  <c r="N29" i="3"/>
  <c r="U29" i="3"/>
  <c r="AC29" i="3" s="1"/>
  <c r="V29" i="3"/>
  <c r="W29" i="3"/>
  <c r="X29" i="3"/>
  <c r="M10" i="3"/>
  <c r="N10" i="3"/>
  <c r="S10" i="3"/>
  <c r="U10" i="3"/>
  <c r="T10" i="3" s="1"/>
  <c r="V10" i="3"/>
  <c r="W10" i="3"/>
  <c r="X10" i="3"/>
  <c r="M11" i="3"/>
  <c r="N11" i="3"/>
  <c r="S11" i="3"/>
  <c r="U11" i="3"/>
  <c r="T11" i="3" s="1"/>
  <c r="V11" i="3"/>
  <c r="W11" i="3"/>
  <c r="X11" i="3"/>
  <c r="AC11" i="3"/>
  <c r="M15" i="3"/>
  <c r="N15" i="3"/>
  <c r="S15" i="3"/>
  <c r="U15" i="3"/>
  <c r="T15" i="3" s="1"/>
  <c r="V15" i="3"/>
  <c r="W15" i="3"/>
  <c r="X15" i="3"/>
  <c r="AC15" i="3"/>
  <c r="M37" i="3"/>
  <c r="N37" i="3"/>
  <c r="U37" i="3"/>
  <c r="AC37" i="3" s="1"/>
  <c r="V37" i="3"/>
  <c r="W37" i="3"/>
  <c r="X37" i="3"/>
  <c r="M38" i="3"/>
  <c r="N38" i="3"/>
  <c r="U38" i="3"/>
  <c r="T38" i="3" s="1"/>
  <c r="V38" i="3"/>
  <c r="W38" i="3"/>
  <c r="X38" i="3"/>
  <c r="M28" i="3"/>
  <c r="N28" i="3"/>
  <c r="U28" i="3"/>
  <c r="T28" i="3" s="1"/>
  <c r="V28" i="3"/>
  <c r="W28" i="3"/>
  <c r="X28" i="3"/>
  <c r="M24" i="3"/>
  <c r="N24" i="3"/>
  <c r="R24" i="3"/>
  <c r="S24" i="3"/>
  <c r="U24" i="3"/>
  <c r="T24" i="3" s="1"/>
  <c r="V24" i="3"/>
  <c r="W24" i="3"/>
  <c r="X24" i="3"/>
  <c r="AC24" i="3"/>
  <c r="M18" i="3"/>
  <c r="N18" i="3"/>
  <c r="U18" i="3"/>
  <c r="AC18" i="3" s="1"/>
  <c r="V18" i="3"/>
  <c r="W18" i="3"/>
  <c r="X18" i="3"/>
  <c r="S19" i="3" l="1"/>
  <c r="R19" i="3"/>
  <c r="AC27" i="3"/>
  <c r="S36" i="3"/>
  <c r="T159" i="1"/>
  <c r="X18" i="1"/>
  <c r="AG147" i="1"/>
  <c r="AG88" i="1"/>
  <c r="U88" i="1" s="1"/>
  <c r="S88" i="1" s="1"/>
  <c r="AG57" i="1"/>
  <c r="AI57" i="1" s="1"/>
  <c r="AG20" i="1"/>
  <c r="X49" i="1"/>
  <c r="X21" i="1"/>
  <c r="AG135" i="1"/>
  <c r="X133" i="1"/>
  <c r="AG56" i="1"/>
  <c r="X45" i="1"/>
  <c r="X20" i="1"/>
  <c r="X174" i="1"/>
  <c r="S9" i="3"/>
  <c r="AA174" i="1"/>
  <c r="W174" i="1" s="1"/>
  <c r="T174" i="1"/>
  <c r="AA104" i="1"/>
  <c r="AA102" i="1"/>
  <c r="AG79" i="1"/>
  <c r="AI79" i="1" s="1"/>
  <c r="X77" i="1"/>
  <c r="AA61" i="1"/>
  <c r="AA57" i="1"/>
  <c r="W57" i="1" s="1"/>
  <c r="AA20" i="1"/>
  <c r="W20" i="1" s="1"/>
  <c r="AA19" i="1"/>
  <c r="AA18" i="1"/>
  <c r="X19" i="1"/>
  <c r="W16" i="1"/>
  <c r="AG15" i="1"/>
  <c r="AI15" i="1" s="1"/>
  <c r="T14" i="1"/>
  <c r="U14" i="1" s="1"/>
  <c r="S14" i="1" s="1"/>
  <c r="AI14" i="1"/>
  <c r="AI16" i="1"/>
  <c r="W14" i="1"/>
  <c r="AI17" i="1"/>
  <c r="S17" i="1"/>
  <c r="X16" i="1"/>
  <c r="T16" i="1"/>
  <c r="U16" i="1" s="1"/>
  <c r="S16" i="1" s="1"/>
  <c r="U15" i="1"/>
  <c r="S15" i="1" s="1"/>
  <c r="X15" i="1"/>
  <c r="X17" i="1"/>
  <c r="Y9" i="3"/>
  <c r="T175" i="1"/>
  <c r="T124" i="1"/>
  <c r="AG94" i="1"/>
  <c r="W94" i="1" s="1"/>
  <c r="T85" i="1"/>
  <c r="X56" i="1"/>
  <c r="AA41" i="1"/>
  <c r="AA188" i="1"/>
  <c r="AA187" i="1"/>
  <c r="W187" i="1" s="1"/>
  <c r="AA167" i="1"/>
  <c r="AA166" i="1"/>
  <c r="W166" i="1" s="1"/>
  <c r="T166" i="1"/>
  <c r="U166" i="1" s="1"/>
  <c r="S166" i="1" s="1"/>
  <c r="AI210" i="1"/>
  <c r="AA205" i="1"/>
  <c r="W205" i="1" s="1"/>
  <c r="AA204" i="1"/>
  <c r="AI202" i="1"/>
  <c r="AA154" i="1"/>
  <c r="AA153" i="1"/>
  <c r="AA148" i="1"/>
  <c r="AA131" i="1"/>
  <c r="W131" i="1" s="1"/>
  <c r="AA130" i="1"/>
  <c r="AA129" i="1"/>
  <c r="AA127" i="1"/>
  <c r="AA126" i="1"/>
  <c r="X76" i="1"/>
  <c r="AA75" i="1"/>
  <c r="AA74" i="1"/>
  <c r="AA73" i="1"/>
  <c r="X34" i="1"/>
  <c r="X46" i="1"/>
  <c r="AG189" i="1"/>
  <c r="T167" i="1"/>
  <c r="U167" i="1" s="1"/>
  <c r="S167" i="1" s="1"/>
  <c r="X166" i="1"/>
  <c r="AG131" i="1"/>
  <c r="AG100" i="1"/>
  <c r="AA90" i="1"/>
  <c r="AG75" i="1"/>
  <c r="AG32" i="1"/>
  <c r="AA21" i="1"/>
  <c r="X48" i="1"/>
  <c r="Y38" i="3"/>
  <c r="T199" i="1"/>
  <c r="AA180" i="1"/>
  <c r="AA179" i="1"/>
  <c r="AI162" i="1"/>
  <c r="AG157" i="1"/>
  <c r="AG117" i="1"/>
  <c r="AA114" i="1"/>
  <c r="AI110" i="1"/>
  <c r="AA65" i="1"/>
  <c r="AA48" i="1"/>
  <c r="AA47" i="1"/>
  <c r="W47" i="1" s="1"/>
  <c r="T47" i="1"/>
  <c r="AG24" i="1"/>
  <c r="X33" i="1"/>
  <c r="Y16" i="3"/>
  <c r="Y22" i="3"/>
  <c r="Y25" i="3"/>
  <c r="R17" i="3"/>
  <c r="Y20" i="3"/>
  <c r="R20" i="3"/>
  <c r="W167" i="1"/>
  <c r="X36" i="1"/>
  <c r="X32" i="1"/>
  <c r="Y27" i="3"/>
  <c r="Y18" i="3"/>
  <c r="Y28" i="3"/>
  <c r="Y14" i="3"/>
  <c r="Y12" i="3"/>
  <c r="U199" i="1"/>
  <c r="S199" i="1" s="1"/>
  <c r="AA199" i="1"/>
  <c r="AG181" i="1"/>
  <c r="U181" i="1" s="1"/>
  <c r="S181" i="1" s="1"/>
  <c r="AA156" i="1"/>
  <c r="AA118" i="1"/>
  <c r="AA117" i="1"/>
  <c r="AG92" i="1"/>
  <c r="U92" i="1" s="1"/>
  <c r="S92" i="1" s="1"/>
  <c r="AG68" i="1"/>
  <c r="AG47" i="1"/>
  <c r="X35" i="1"/>
  <c r="X31" i="1"/>
  <c r="R15" i="3"/>
  <c r="T29" i="3"/>
  <c r="R23" i="3"/>
  <c r="T17" i="3"/>
  <c r="AG209" i="1"/>
  <c r="AI212" i="1" s="1"/>
  <c r="AI206" i="1"/>
  <c r="AG197" i="1"/>
  <c r="AI194" i="1"/>
  <c r="AA191" i="1"/>
  <c r="AA177" i="1"/>
  <c r="AI170" i="1"/>
  <c r="T212" i="1"/>
  <c r="U212" i="1" s="1"/>
  <c r="S212" i="1" s="1"/>
  <c r="AA147" i="1"/>
  <c r="AA146" i="1"/>
  <c r="AA122" i="1"/>
  <c r="W122" i="1" s="1"/>
  <c r="AG113" i="1"/>
  <c r="U113" i="1" s="1"/>
  <c r="S113" i="1" s="1"/>
  <c r="X113" i="1"/>
  <c r="AA110" i="1"/>
  <c r="W110" i="1" s="1"/>
  <c r="AI53" i="1"/>
  <c r="AA53" i="1"/>
  <c r="W53" i="1" s="1"/>
  <c r="AA50" i="1"/>
  <c r="AA45" i="1"/>
  <c r="AG36" i="1"/>
  <c r="U36" i="1" s="1"/>
  <c r="S36" i="1" s="1"/>
  <c r="AA33" i="1"/>
  <c r="AA25" i="1"/>
  <c r="S38" i="3"/>
  <c r="Y11" i="3"/>
  <c r="Y29" i="3"/>
  <c r="Y33" i="3"/>
  <c r="U175" i="1"/>
  <c r="S175" i="1" s="1"/>
  <c r="AA212" i="1"/>
  <c r="AA134" i="1"/>
  <c r="AA133" i="1"/>
  <c r="AI117" i="1"/>
  <c r="X117" i="1"/>
  <c r="AA107" i="1"/>
  <c r="AA106" i="1"/>
  <c r="W106" i="1" s="1"/>
  <c r="T102" i="1"/>
  <c r="U102" i="1" s="1"/>
  <c r="S102" i="1" s="1"/>
  <c r="X101" i="1"/>
  <c r="AI94" i="1"/>
  <c r="AC33" i="3"/>
  <c r="Y10" i="3"/>
  <c r="R38" i="3"/>
  <c r="AG191" i="1"/>
  <c r="U191" i="1" s="1"/>
  <c r="S191" i="1" s="1"/>
  <c r="AA185" i="1"/>
  <c r="AA183" i="1"/>
  <c r="W183" i="1" s="1"/>
  <c r="W118" i="1"/>
  <c r="AA113" i="1"/>
  <c r="AG71" i="1"/>
  <c r="AG63" i="1"/>
  <c r="AG50" i="1"/>
  <c r="AA36" i="1"/>
  <c r="W36" i="1" s="1"/>
  <c r="AA201" i="1"/>
  <c r="X198" i="1"/>
  <c r="AA208" i="1"/>
  <c r="AA196" i="1"/>
  <c r="X190" i="1"/>
  <c r="T183" i="1"/>
  <c r="X182" i="1"/>
  <c r="AA172" i="1"/>
  <c r="AA171" i="1"/>
  <c r="AA164" i="1"/>
  <c r="AA163" i="1"/>
  <c r="AA159" i="1"/>
  <c r="W159" i="1" s="1"/>
  <c r="AA158" i="1"/>
  <c r="T158" i="1"/>
  <c r="AA155" i="1"/>
  <c r="AG211" i="1"/>
  <c r="X152" i="1"/>
  <c r="AA151" i="1"/>
  <c r="AA150" i="1"/>
  <c r="AA149" i="1"/>
  <c r="W149" i="1" s="1"/>
  <c r="X145" i="1"/>
  <c r="AG143" i="1"/>
  <c r="U143" i="1" s="1"/>
  <c r="S143" i="1" s="1"/>
  <c r="AA139" i="1"/>
  <c r="AA138" i="1"/>
  <c r="AA137" i="1"/>
  <c r="X125" i="1"/>
  <c r="AA125" i="1"/>
  <c r="AA124" i="1"/>
  <c r="AI122" i="1"/>
  <c r="AA121" i="1"/>
  <c r="AA120" i="1"/>
  <c r="AG114" i="1"/>
  <c r="AI114" i="1" s="1"/>
  <c r="T110" i="1"/>
  <c r="X109" i="1"/>
  <c r="AA99" i="1"/>
  <c r="AA98" i="1"/>
  <c r="X93" i="1"/>
  <c r="T90" i="1"/>
  <c r="U90" i="1" s="1"/>
  <c r="S90" i="1" s="1"/>
  <c r="X89" i="1"/>
  <c r="AA82" i="1"/>
  <c r="AA81" i="1"/>
  <c r="AA71" i="1"/>
  <c r="AA70" i="1"/>
  <c r="AG69" i="1"/>
  <c r="AI69" i="1" s="1"/>
  <c r="X69" i="1"/>
  <c r="AG67" i="1"/>
  <c r="AI67" i="1" s="1"/>
  <c r="AG60" i="1"/>
  <c r="X60" i="1"/>
  <c r="AA59" i="1"/>
  <c r="AG43" i="1"/>
  <c r="AA40" i="1"/>
  <c r="AG39" i="1"/>
  <c r="AI39" i="1" s="1"/>
  <c r="AG35" i="1"/>
  <c r="X213" i="1"/>
  <c r="AA193" i="1"/>
  <c r="AA213" i="1"/>
  <c r="T213" i="1"/>
  <c r="AA207" i="1"/>
  <c r="W207" i="1" s="1"/>
  <c r="W199" i="1"/>
  <c r="AA198" i="1"/>
  <c r="W198" i="1" s="1"/>
  <c r="T198" i="1"/>
  <c r="AA195" i="1"/>
  <c r="W175" i="1"/>
  <c r="U159" i="1"/>
  <c r="S159" i="1" s="1"/>
  <c r="AI157" i="1"/>
  <c r="X212" i="1"/>
  <c r="T141" i="1"/>
  <c r="W102" i="1"/>
  <c r="AA101" i="1"/>
  <c r="W101" i="1" s="1"/>
  <c r="T101" i="1"/>
  <c r="U101" i="1" s="1"/>
  <c r="S101" i="1" s="1"/>
  <c r="AA91" i="1"/>
  <c r="AA87" i="1"/>
  <c r="W56" i="1"/>
  <c r="U50" i="1"/>
  <c r="AA190" i="1"/>
  <c r="T190" i="1"/>
  <c r="U190" i="1" s="1"/>
  <c r="S190" i="1" s="1"/>
  <c r="AI186" i="1"/>
  <c r="AA182" i="1"/>
  <c r="W182" i="1" s="1"/>
  <c r="T182" i="1"/>
  <c r="AI178" i="1"/>
  <c r="AG173" i="1"/>
  <c r="AA169" i="1"/>
  <c r="AG165" i="1"/>
  <c r="U165" i="1" s="1"/>
  <c r="AA161" i="1"/>
  <c r="X158" i="1"/>
  <c r="AG151" i="1"/>
  <c r="W151" i="1" s="1"/>
  <c r="X149" i="1"/>
  <c r="AG144" i="1"/>
  <c r="U144" i="1" s="1"/>
  <c r="S144" i="1" s="1"/>
  <c r="X144" i="1"/>
  <c r="AA143" i="1"/>
  <c r="W143" i="1" s="1"/>
  <c r="AA142" i="1"/>
  <c r="AA141" i="1"/>
  <c r="W141" i="1" s="1"/>
  <c r="AG139" i="1"/>
  <c r="W139" i="1" s="1"/>
  <c r="AG120" i="1"/>
  <c r="AA112" i="1"/>
  <c r="AA109" i="1"/>
  <c r="W109" i="1" s="1"/>
  <c r="T109" i="1"/>
  <c r="AA96" i="1"/>
  <c r="AA93" i="1"/>
  <c r="T93" i="1"/>
  <c r="U93" i="1" s="1"/>
  <c r="S93" i="1" s="1"/>
  <c r="AA89" i="1"/>
  <c r="T89" i="1"/>
  <c r="AA86" i="1"/>
  <c r="W86" i="1" s="1"/>
  <c r="AA69" i="1"/>
  <c r="W69" i="1" s="1"/>
  <c r="X68" i="1"/>
  <c r="AA67" i="1"/>
  <c r="AA66" i="1"/>
  <c r="AG61" i="1"/>
  <c r="AI61" i="1" s="1"/>
  <c r="X61" i="1"/>
  <c r="AA60" i="1"/>
  <c r="AA52" i="1"/>
  <c r="W52" i="1" s="1"/>
  <c r="X44" i="1"/>
  <c r="AA43" i="1"/>
  <c r="AA42" i="1"/>
  <c r="AG40" i="1"/>
  <c r="X40" i="1"/>
  <c r="AA39" i="1"/>
  <c r="AA38" i="1"/>
  <c r="AA37" i="1"/>
  <c r="AA35" i="1"/>
  <c r="W35" i="1" s="1"/>
  <c r="AA32" i="1"/>
  <c r="W32" i="1" s="1"/>
  <c r="W204" i="1"/>
  <c r="W153" i="1"/>
  <c r="W171" i="1"/>
  <c r="AI153" i="1"/>
  <c r="AI149" i="1"/>
  <c r="AI198" i="1"/>
  <c r="U183" i="1"/>
  <c r="S183" i="1" s="1"/>
  <c r="AI182" i="1"/>
  <c r="AI166" i="1"/>
  <c r="T155" i="1"/>
  <c r="U155" i="1" s="1"/>
  <c r="S155" i="1" s="1"/>
  <c r="X204" i="1"/>
  <c r="T203" i="1"/>
  <c r="X153" i="1"/>
  <c r="T149" i="1"/>
  <c r="U149" i="1" s="1"/>
  <c r="S149" i="1" s="1"/>
  <c r="W147" i="1"/>
  <c r="AI137" i="1"/>
  <c r="T207" i="1"/>
  <c r="U207" i="1" s="1"/>
  <c r="S207" i="1" s="1"/>
  <c r="X206" i="1"/>
  <c r="AG201" i="1"/>
  <c r="U201" i="1" s="1"/>
  <c r="S201" i="1" s="1"/>
  <c r="AA197" i="1"/>
  <c r="AG195" i="1"/>
  <c r="U195" i="1" s="1"/>
  <c r="S195" i="1" s="1"/>
  <c r="AA194" i="1"/>
  <c r="W194" i="1" s="1"/>
  <c r="T194" i="1"/>
  <c r="AA192" i="1"/>
  <c r="T187" i="1"/>
  <c r="U187" i="1" s="1"/>
  <c r="S187" i="1" s="1"/>
  <c r="X186" i="1"/>
  <c r="AG185" i="1"/>
  <c r="W185" i="1" s="1"/>
  <c r="AA181" i="1"/>
  <c r="AG179" i="1"/>
  <c r="U179" i="1" s="1"/>
  <c r="S179" i="1" s="1"/>
  <c r="AA178" i="1"/>
  <c r="W178" i="1" s="1"/>
  <c r="T178" i="1"/>
  <c r="U178" i="1" s="1"/>
  <c r="S178" i="1" s="1"/>
  <c r="AA176" i="1"/>
  <c r="T171" i="1"/>
  <c r="U171" i="1" s="1"/>
  <c r="S171" i="1" s="1"/>
  <c r="X170" i="1"/>
  <c r="AG169" i="1"/>
  <c r="W169" i="1" s="1"/>
  <c r="AA165" i="1"/>
  <c r="W165" i="1" s="1"/>
  <c r="AG163" i="1"/>
  <c r="U163" i="1" s="1"/>
  <c r="S163" i="1" s="1"/>
  <c r="AA162" i="1"/>
  <c r="W162" i="1" s="1"/>
  <c r="T162" i="1"/>
  <c r="AA160" i="1"/>
  <c r="AA210" i="1"/>
  <c r="W210" i="1" s="1"/>
  <c r="AA152" i="1"/>
  <c r="T152" i="1"/>
  <c r="AA145" i="1"/>
  <c r="T145" i="1"/>
  <c r="AI141" i="1"/>
  <c r="U141" i="1"/>
  <c r="S141" i="1" s="1"/>
  <c r="X137" i="1"/>
  <c r="U197" i="1"/>
  <c r="S197" i="1" s="1"/>
  <c r="AI190" i="1"/>
  <c r="AI174" i="1"/>
  <c r="W155" i="1"/>
  <c r="AI158" i="1"/>
  <c r="T204" i="1"/>
  <c r="U204" i="1" s="1"/>
  <c r="S204" i="1" s="1"/>
  <c r="T153" i="1"/>
  <c r="U153" i="1" s="1"/>
  <c r="S153" i="1" s="1"/>
  <c r="X141" i="1"/>
  <c r="X136" i="1"/>
  <c r="AG136" i="1"/>
  <c r="T136" i="1"/>
  <c r="W135" i="1"/>
  <c r="AA209" i="1"/>
  <c r="W209" i="1" s="1"/>
  <c r="AA206" i="1"/>
  <c r="W206" i="1" s="1"/>
  <c r="T206" i="1"/>
  <c r="U206" i="1" s="1"/>
  <c r="S206" i="1" s="1"/>
  <c r="AA200" i="1"/>
  <c r="X194" i="1"/>
  <c r="AG193" i="1"/>
  <c r="U193" i="1" s="1"/>
  <c r="AA189" i="1"/>
  <c r="W189" i="1" s="1"/>
  <c r="AA186" i="1"/>
  <c r="W186" i="1" s="1"/>
  <c r="T186" i="1"/>
  <c r="AA184" i="1"/>
  <c r="X178" i="1"/>
  <c r="AG177" i="1"/>
  <c r="U177" i="1" s="1"/>
  <c r="S177" i="1" s="1"/>
  <c r="AA173" i="1"/>
  <c r="AA170" i="1"/>
  <c r="T170" i="1"/>
  <c r="U170" i="1" s="1"/>
  <c r="S170" i="1" s="1"/>
  <c r="AA168" i="1"/>
  <c r="X162" i="1"/>
  <c r="AG161" i="1"/>
  <c r="U161" i="1" s="1"/>
  <c r="AA157" i="1"/>
  <c r="W157" i="1" s="1"/>
  <c r="AA211" i="1"/>
  <c r="W211" i="1" s="1"/>
  <c r="AG152" i="1"/>
  <c r="X148" i="1"/>
  <c r="AG148" i="1"/>
  <c r="U148" i="1" s="1"/>
  <c r="S148" i="1" s="1"/>
  <c r="AG145" i="1"/>
  <c r="T140" i="1"/>
  <c r="X140" i="1"/>
  <c r="AG140" i="1"/>
  <c r="AI140" i="1" s="1"/>
  <c r="W137" i="1"/>
  <c r="T137" i="1"/>
  <c r="U137" i="1" s="1"/>
  <c r="S137" i="1" s="1"/>
  <c r="AI106" i="1"/>
  <c r="AI90" i="1"/>
  <c r="AI77" i="1"/>
  <c r="AA144" i="1"/>
  <c r="AA136" i="1"/>
  <c r="AG133" i="1"/>
  <c r="AG132" i="1"/>
  <c r="U132" i="1" s="1"/>
  <c r="S132" i="1" s="1"/>
  <c r="X132" i="1"/>
  <c r="AA128" i="1"/>
  <c r="T125" i="1"/>
  <c r="U124" i="1"/>
  <c r="AA123" i="1"/>
  <c r="AG121" i="1"/>
  <c r="AI121" i="1" s="1"/>
  <c r="X121" i="1"/>
  <c r="AG116" i="1"/>
  <c r="X114" i="1"/>
  <c r="AA111" i="1"/>
  <c r="T106" i="1"/>
  <c r="U106" i="1" s="1"/>
  <c r="S106" i="1" s="1"/>
  <c r="X105" i="1"/>
  <c r="AG104" i="1"/>
  <c r="U104" i="1" s="1"/>
  <c r="S104" i="1" s="1"/>
  <c r="AA100" i="1"/>
  <c r="W100" i="1" s="1"/>
  <c r="AG98" i="1"/>
  <c r="W98" i="1" s="1"/>
  <c r="AA97" i="1"/>
  <c r="T97" i="1"/>
  <c r="U97" i="1" s="1"/>
  <c r="S97" i="1" s="1"/>
  <c r="AA95" i="1"/>
  <c r="AA85" i="1"/>
  <c r="W85" i="1" s="1"/>
  <c r="AG84" i="1"/>
  <c r="U84" i="1" s="1"/>
  <c r="S84" i="1" s="1"/>
  <c r="X84" i="1"/>
  <c r="AG83" i="1"/>
  <c r="U83" i="1" s="1"/>
  <c r="AG81" i="1"/>
  <c r="W81" i="1" s="1"/>
  <c r="AG80" i="1"/>
  <c r="X80" i="1"/>
  <c r="AA76" i="1"/>
  <c r="T76" i="1"/>
  <c r="AG73" i="1"/>
  <c r="AG72" i="1"/>
  <c r="X72" i="1"/>
  <c r="AA68" i="1"/>
  <c r="W68" i="1" s="1"/>
  <c r="AG65" i="1"/>
  <c r="W65" i="1" s="1"/>
  <c r="AG64" i="1"/>
  <c r="U64" i="1" s="1"/>
  <c r="S64" i="1" s="1"/>
  <c r="X64" i="1"/>
  <c r="W60" i="1"/>
  <c r="U57" i="1"/>
  <c r="S57" i="1" s="1"/>
  <c r="W28" i="1"/>
  <c r="AG25" i="1"/>
  <c r="U25" i="1" s="1"/>
  <c r="X25" i="1"/>
  <c r="T129" i="1"/>
  <c r="W120" i="1"/>
  <c r="U110" i="1"/>
  <c r="S110" i="1" s="1"/>
  <c r="AI102" i="1"/>
  <c r="W90" i="1"/>
  <c r="X86" i="1"/>
  <c r="X85" i="1"/>
  <c r="X81" i="1"/>
  <c r="W79" i="1"/>
  <c r="T77" i="1"/>
  <c r="U77" i="1" s="1"/>
  <c r="S77" i="1" s="1"/>
  <c r="X73" i="1"/>
  <c r="W71" i="1"/>
  <c r="X65" i="1"/>
  <c r="AA63" i="1"/>
  <c r="W63" i="1" s="1"/>
  <c r="AA62" i="1"/>
  <c r="AG59" i="1"/>
  <c r="W59" i="1" s="1"/>
  <c r="X57" i="1"/>
  <c r="AA55" i="1"/>
  <c r="AA54" i="1"/>
  <c r="AG51" i="1"/>
  <c r="U51" i="1" s="1"/>
  <c r="S51" i="1" s="1"/>
  <c r="X51" i="1"/>
  <c r="T48" i="1"/>
  <c r="AG46" i="1"/>
  <c r="U46" i="1" s="1"/>
  <c r="T45" i="1"/>
  <c r="AA44" i="1"/>
  <c r="T44" i="1"/>
  <c r="U40" i="1"/>
  <c r="AA34" i="1"/>
  <c r="T29" i="1"/>
  <c r="AA24" i="1"/>
  <c r="W24" i="1" s="1"/>
  <c r="AA23" i="1"/>
  <c r="AA22" i="1"/>
  <c r="AG21" i="1"/>
  <c r="U21" i="1" s="1"/>
  <c r="AA140" i="1"/>
  <c r="W140" i="1" s="1"/>
  <c r="AA132" i="1"/>
  <c r="AG129" i="1"/>
  <c r="AG128" i="1"/>
  <c r="U128" i="1" s="1"/>
  <c r="S128" i="1" s="1"/>
  <c r="AG125" i="1"/>
  <c r="AI125" i="1" s="1"/>
  <c r="AA119" i="1"/>
  <c r="AA116" i="1"/>
  <c r="AA115" i="1"/>
  <c r="AG112" i="1"/>
  <c r="W112" i="1" s="1"/>
  <c r="AA108" i="1"/>
  <c r="W108" i="1" s="1"/>
  <c r="AA105" i="1"/>
  <c r="W105" i="1" s="1"/>
  <c r="T105" i="1"/>
  <c r="AA103" i="1"/>
  <c r="X97" i="1"/>
  <c r="AG96" i="1"/>
  <c r="W96" i="1" s="1"/>
  <c r="AA92" i="1"/>
  <c r="AA88" i="1"/>
  <c r="AA84" i="1"/>
  <c r="AA83" i="1"/>
  <c r="AA80" i="1"/>
  <c r="AG76" i="1"/>
  <c r="AI76" i="1" s="1"/>
  <c r="AA72" i="1"/>
  <c r="U69" i="1"/>
  <c r="S69" i="1" s="1"/>
  <c r="AA64" i="1"/>
  <c r="W64" i="1" s="1"/>
  <c r="U32" i="1"/>
  <c r="W124" i="1"/>
  <c r="W117" i="1"/>
  <c r="T86" i="1"/>
  <c r="U86" i="1" s="1"/>
  <c r="S86" i="1" s="1"/>
  <c r="AA58" i="1"/>
  <c r="AG55" i="1"/>
  <c r="AI52" i="1"/>
  <c r="AA49" i="1"/>
  <c r="AA46" i="1"/>
  <c r="W46" i="1" s="1"/>
  <c r="AG44" i="1"/>
  <c r="W40" i="1"/>
  <c r="AA31" i="1"/>
  <c r="AA30" i="1"/>
  <c r="AG29" i="1"/>
  <c r="U198" i="1"/>
  <c r="S198" i="1" s="1"/>
  <c r="AI205" i="1"/>
  <c r="U185" i="1"/>
  <c r="S185" i="1" s="1"/>
  <c r="U182" i="1"/>
  <c r="S182" i="1" s="1"/>
  <c r="AI189" i="1"/>
  <c r="U169" i="1"/>
  <c r="S169" i="1" s="1"/>
  <c r="AI173" i="1"/>
  <c r="W213" i="1"/>
  <c r="U194" i="1"/>
  <c r="S194" i="1" s="1"/>
  <c r="AI201" i="1"/>
  <c r="W190" i="1"/>
  <c r="AI185" i="1"/>
  <c r="U162" i="1"/>
  <c r="S162" i="1" s="1"/>
  <c r="AI169" i="1"/>
  <c r="W158" i="1"/>
  <c r="W212" i="1"/>
  <c r="U213" i="1"/>
  <c r="S213" i="1" s="1"/>
  <c r="AI213" i="1"/>
  <c r="AI197" i="1"/>
  <c r="U174" i="1"/>
  <c r="S174" i="1" s="1"/>
  <c r="W170" i="1"/>
  <c r="U158" i="1"/>
  <c r="S158" i="1" s="1"/>
  <c r="AI165" i="1"/>
  <c r="AI161" i="1"/>
  <c r="AI155" i="1"/>
  <c r="AI209" i="1"/>
  <c r="U189" i="1"/>
  <c r="S189" i="1" s="1"/>
  <c r="U186" i="1"/>
  <c r="S186" i="1" s="1"/>
  <c r="AI193" i="1"/>
  <c r="U173" i="1"/>
  <c r="S173" i="1" s="1"/>
  <c r="U157" i="1"/>
  <c r="S157" i="1" s="1"/>
  <c r="U209" i="1"/>
  <c r="S209" i="1" s="1"/>
  <c r="X209" i="1"/>
  <c r="AG208" i="1"/>
  <c r="W208" i="1" s="1"/>
  <c r="X201" i="1"/>
  <c r="AG200" i="1"/>
  <c r="X197" i="1"/>
  <c r="AG196" i="1"/>
  <c r="X193" i="1"/>
  <c r="AG192" i="1"/>
  <c r="X189" i="1"/>
  <c r="AG188" i="1"/>
  <c r="AI188" i="1" s="1"/>
  <c r="X185" i="1"/>
  <c r="AG184" i="1"/>
  <c r="X181" i="1"/>
  <c r="AG180" i="1"/>
  <c r="W180" i="1" s="1"/>
  <c r="X177" i="1"/>
  <c r="AG176" i="1"/>
  <c r="AI176" i="1" s="1"/>
  <c r="X173" i="1"/>
  <c r="AG172" i="1"/>
  <c r="AI172" i="1" s="1"/>
  <c r="X169" i="1"/>
  <c r="AG168" i="1"/>
  <c r="AI168" i="1" s="1"/>
  <c r="X165" i="1"/>
  <c r="AG164" i="1"/>
  <c r="AI164" i="1" s="1"/>
  <c r="X161" i="1"/>
  <c r="AG160" i="1"/>
  <c r="AI160" i="1" s="1"/>
  <c r="X157" i="1"/>
  <c r="AG156" i="1"/>
  <c r="W156" i="1" s="1"/>
  <c r="X211" i="1"/>
  <c r="X203" i="1"/>
  <c r="X208" i="1"/>
  <c r="X200" i="1"/>
  <c r="AI204" i="1"/>
  <c r="X196" i="1"/>
  <c r="AI200" i="1"/>
  <c r="S193" i="1"/>
  <c r="X192" i="1"/>
  <c r="X188" i="1"/>
  <c r="AI192" i="1"/>
  <c r="X184" i="1"/>
  <c r="X180" i="1"/>
  <c r="AI184" i="1"/>
  <c r="X176" i="1"/>
  <c r="X172" i="1"/>
  <c r="X168" i="1"/>
  <c r="S165" i="1"/>
  <c r="X164" i="1"/>
  <c r="S161" i="1"/>
  <c r="X160" i="1"/>
  <c r="X156" i="1"/>
  <c r="AI159" i="1"/>
  <c r="T205" i="1"/>
  <c r="U205" i="1" s="1"/>
  <c r="S205" i="1" s="1"/>
  <c r="U151" i="1"/>
  <c r="S151" i="1" s="1"/>
  <c r="U135" i="1"/>
  <c r="S135" i="1" s="1"/>
  <c r="W127" i="1"/>
  <c r="X207" i="1"/>
  <c r="X199" i="1"/>
  <c r="X195" i="1"/>
  <c r="X191" i="1"/>
  <c r="X187" i="1"/>
  <c r="X183" i="1"/>
  <c r="X179" i="1"/>
  <c r="X175" i="1"/>
  <c r="X171" i="1"/>
  <c r="X167" i="1"/>
  <c r="X163" i="1"/>
  <c r="X159" i="1"/>
  <c r="X155" i="1"/>
  <c r="T210" i="1"/>
  <c r="U210" i="1" s="1"/>
  <c r="S210" i="1" s="1"/>
  <c r="X210" i="1"/>
  <c r="X205" i="1"/>
  <c r="AA203" i="1"/>
  <c r="W203" i="1" s="1"/>
  <c r="U203" i="1"/>
  <c r="S203" i="1" s="1"/>
  <c r="AA202" i="1"/>
  <c r="W202" i="1" s="1"/>
  <c r="T154" i="1"/>
  <c r="X154" i="1"/>
  <c r="AG154" i="1"/>
  <c r="AI127" i="1"/>
  <c r="U211" i="1"/>
  <c r="S211" i="1" s="1"/>
  <c r="T202" i="1"/>
  <c r="U202" i="1" s="1"/>
  <c r="S202" i="1" s="1"/>
  <c r="X202" i="1"/>
  <c r="U147" i="1"/>
  <c r="S147" i="1" s="1"/>
  <c r="U139" i="1"/>
  <c r="S139" i="1" s="1"/>
  <c r="U131" i="1"/>
  <c r="S131" i="1" s="1"/>
  <c r="AI152" i="1"/>
  <c r="X151" i="1"/>
  <c r="AG150" i="1"/>
  <c r="X147" i="1"/>
  <c r="AG146" i="1"/>
  <c r="X143" i="1"/>
  <c r="AG142" i="1"/>
  <c r="W142" i="1" s="1"/>
  <c r="X139" i="1"/>
  <c r="AG138" i="1"/>
  <c r="AI136" i="1"/>
  <c r="X135" i="1"/>
  <c r="AG134" i="1"/>
  <c r="AI132" i="1"/>
  <c r="X131" i="1"/>
  <c r="AG130" i="1"/>
  <c r="AI128" i="1"/>
  <c r="X127" i="1"/>
  <c r="T127" i="1"/>
  <c r="U127" i="1" s="1"/>
  <c r="S127" i="1" s="1"/>
  <c r="AG126" i="1"/>
  <c r="S124" i="1"/>
  <c r="AI124" i="1"/>
  <c r="AI118" i="1"/>
  <c r="AI101" i="1"/>
  <c r="W97" i="1"/>
  <c r="AI151" i="1"/>
  <c r="X150" i="1"/>
  <c r="AI147" i="1"/>
  <c r="X146" i="1"/>
  <c r="AI143" i="1"/>
  <c r="X142" i="1"/>
  <c r="AI139" i="1"/>
  <c r="X138" i="1"/>
  <c r="AI135" i="1"/>
  <c r="X134" i="1"/>
  <c r="AI131" i="1"/>
  <c r="X130" i="1"/>
  <c r="X126" i="1"/>
  <c r="U125" i="1"/>
  <c r="S125" i="1" s="1"/>
  <c r="T123" i="1"/>
  <c r="X123" i="1"/>
  <c r="AG123" i="1"/>
  <c r="X124" i="1"/>
  <c r="AI97" i="1"/>
  <c r="W93" i="1"/>
  <c r="W89" i="1"/>
  <c r="AI109" i="1"/>
  <c r="U109" i="1"/>
  <c r="S109" i="1" s="1"/>
  <c r="AI93" i="1"/>
  <c r="AI89" i="1"/>
  <c r="U89" i="1"/>
  <c r="S89" i="1" s="1"/>
  <c r="X128" i="1"/>
  <c r="AI105" i="1"/>
  <c r="U105" i="1"/>
  <c r="S105" i="1" s="1"/>
  <c r="X122" i="1"/>
  <c r="T122" i="1"/>
  <c r="U122" i="1" s="1"/>
  <c r="S122" i="1" s="1"/>
  <c r="U121" i="1"/>
  <c r="S121" i="1" s="1"/>
  <c r="X118" i="1"/>
  <c r="T118" i="1"/>
  <c r="U118" i="1" s="1"/>
  <c r="S118" i="1" s="1"/>
  <c r="U117" i="1"/>
  <c r="S117" i="1" s="1"/>
  <c r="X110" i="1"/>
  <c r="X106" i="1"/>
  <c r="X102" i="1"/>
  <c r="X98" i="1"/>
  <c r="X94" i="1"/>
  <c r="X90" i="1"/>
  <c r="AI84" i="1"/>
  <c r="S83" i="1"/>
  <c r="AI83" i="1"/>
  <c r="AG82" i="1"/>
  <c r="T82" i="1"/>
  <c r="X82" i="1"/>
  <c r="AI74" i="1"/>
  <c r="AI66" i="1"/>
  <c r="AI58" i="1"/>
  <c r="U120" i="1"/>
  <c r="S120" i="1" s="1"/>
  <c r="U116" i="1"/>
  <c r="S116" i="1" s="1"/>
  <c r="U112" i="1"/>
  <c r="S112" i="1" s="1"/>
  <c r="U108" i="1"/>
  <c r="S108" i="1" s="1"/>
  <c r="U100" i="1"/>
  <c r="S100" i="1" s="1"/>
  <c r="U85" i="1"/>
  <c r="S85" i="1" s="1"/>
  <c r="W78" i="1"/>
  <c r="U75" i="1"/>
  <c r="S75" i="1" s="1"/>
  <c r="W70" i="1"/>
  <c r="U67" i="1"/>
  <c r="S67" i="1" s="1"/>
  <c r="W62" i="1"/>
  <c r="W54" i="1"/>
  <c r="X120" i="1"/>
  <c r="AG119" i="1"/>
  <c r="X116" i="1"/>
  <c r="AG115" i="1"/>
  <c r="X112" i="1"/>
  <c r="AG111" i="1"/>
  <c r="X108" i="1"/>
  <c r="AG107" i="1"/>
  <c r="X104" i="1"/>
  <c r="AG103" i="1"/>
  <c r="X100" i="1"/>
  <c r="AG99" i="1"/>
  <c r="X96" i="1"/>
  <c r="AG95" i="1"/>
  <c r="W95" i="1" s="1"/>
  <c r="X92" i="1"/>
  <c r="AG91" i="1"/>
  <c r="X88" i="1"/>
  <c r="AG87" i="1"/>
  <c r="AI78" i="1"/>
  <c r="AI70" i="1"/>
  <c r="AI62" i="1"/>
  <c r="AI54" i="1"/>
  <c r="AI120" i="1"/>
  <c r="X119" i="1"/>
  <c r="AI116" i="1"/>
  <c r="X115" i="1"/>
  <c r="X111" i="1"/>
  <c r="AI108" i="1"/>
  <c r="X107" i="1"/>
  <c r="X103" i="1"/>
  <c r="AI100" i="1"/>
  <c r="X99" i="1"/>
  <c r="AI96" i="1"/>
  <c r="X95" i="1"/>
  <c r="X91" i="1"/>
  <c r="AI88" i="1"/>
  <c r="X87" i="1"/>
  <c r="AI85" i="1"/>
  <c r="W74" i="1"/>
  <c r="U71" i="1"/>
  <c r="S71" i="1" s="1"/>
  <c r="W66" i="1"/>
  <c r="U63" i="1"/>
  <c r="S63" i="1" s="1"/>
  <c r="W58" i="1"/>
  <c r="U55" i="1"/>
  <c r="S55" i="1" s="1"/>
  <c r="X78" i="1"/>
  <c r="T78" i="1"/>
  <c r="U78" i="1" s="1"/>
  <c r="S78" i="1" s="1"/>
  <c r="AI75" i="1"/>
  <c r="X74" i="1"/>
  <c r="T74" i="1"/>
  <c r="U74" i="1" s="1"/>
  <c r="S74" i="1" s="1"/>
  <c r="AI71" i="1"/>
  <c r="X70" i="1"/>
  <c r="T70" i="1"/>
  <c r="U70" i="1" s="1"/>
  <c r="S70" i="1" s="1"/>
  <c r="X66" i="1"/>
  <c r="T66" i="1"/>
  <c r="U66" i="1" s="1"/>
  <c r="S66" i="1" s="1"/>
  <c r="AI63" i="1"/>
  <c r="X62" i="1"/>
  <c r="T62" i="1"/>
  <c r="U62" i="1" s="1"/>
  <c r="S62" i="1" s="1"/>
  <c r="AI59" i="1"/>
  <c r="X58" i="1"/>
  <c r="T58" i="1"/>
  <c r="U58" i="1" s="1"/>
  <c r="S58" i="1" s="1"/>
  <c r="AI55" i="1"/>
  <c r="X54" i="1"/>
  <c r="T54" i="1"/>
  <c r="U54" i="1" s="1"/>
  <c r="S54" i="1" s="1"/>
  <c r="AI51" i="1"/>
  <c r="S50" i="1"/>
  <c r="AI50" i="1"/>
  <c r="W48" i="1"/>
  <c r="W45" i="1"/>
  <c r="U20" i="1"/>
  <c r="U80" i="1"/>
  <c r="S80" i="1" s="1"/>
  <c r="U72" i="1"/>
  <c r="S72" i="1" s="1"/>
  <c r="U68" i="1"/>
  <c r="S68" i="1" s="1"/>
  <c r="U60" i="1"/>
  <c r="S60" i="1" s="1"/>
  <c r="U56" i="1"/>
  <c r="S56" i="1" s="1"/>
  <c r="AI48" i="1"/>
  <c r="U48" i="1"/>
  <c r="S48" i="1" s="1"/>
  <c r="AI45" i="1"/>
  <c r="U45" i="1"/>
  <c r="S45" i="1" s="1"/>
  <c r="T52" i="1"/>
  <c r="U52" i="1" s="1"/>
  <c r="S52" i="1" s="1"/>
  <c r="AA51" i="1"/>
  <c r="W50" i="1"/>
  <c r="U28" i="1"/>
  <c r="S28" i="1" s="1"/>
  <c r="X83" i="1"/>
  <c r="AI80" i="1"/>
  <c r="X79" i="1"/>
  <c r="X75" i="1"/>
  <c r="AI72" i="1"/>
  <c r="X71" i="1"/>
  <c r="AI68" i="1"/>
  <c r="X67" i="1"/>
  <c r="AI64" i="1"/>
  <c r="X63" i="1"/>
  <c r="AI60" i="1"/>
  <c r="X59" i="1"/>
  <c r="AI56" i="1"/>
  <c r="X55" i="1"/>
  <c r="T53" i="1"/>
  <c r="U53" i="1" s="1"/>
  <c r="S53" i="1" s="1"/>
  <c r="X53" i="1"/>
  <c r="X52" i="1"/>
  <c r="U35" i="1"/>
  <c r="S35" i="1" s="1"/>
  <c r="U24" i="1"/>
  <c r="S24" i="1" s="1"/>
  <c r="X50" i="1"/>
  <c r="AG49" i="1"/>
  <c r="AI47" i="1"/>
  <c r="AI44" i="1"/>
  <c r="X43" i="1"/>
  <c r="AG42" i="1"/>
  <c r="AI40" i="1"/>
  <c r="S40" i="1"/>
  <c r="X39" i="1"/>
  <c r="AG38" i="1"/>
  <c r="W38" i="1" s="1"/>
  <c r="AG34" i="1"/>
  <c r="W34" i="1" s="1"/>
  <c r="AI32" i="1"/>
  <c r="S32" i="1"/>
  <c r="AG31" i="1"/>
  <c r="AI29" i="1"/>
  <c r="X28" i="1"/>
  <c r="AG27" i="1"/>
  <c r="AI25" i="1"/>
  <c r="S25" i="1"/>
  <c r="X24" i="1"/>
  <c r="AG23" i="1"/>
  <c r="AI21" i="1"/>
  <c r="S21" i="1"/>
  <c r="AG19" i="1"/>
  <c r="AI46" i="1"/>
  <c r="S46" i="1"/>
  <c r="AI43" i="1"/>
  <c r="X42" i="1"/>
  <c r="AG41" i="1"/>
  <c r="X38" i="1"/>
  <c r="AG37" i="1"/>
  <c r="AI35" i="1"/>
  <c r="AG33" i="1"/>
  <c r="AG30" i="1"/>
  <c r="AI28" i="1"/>
  <c r="X27" i="1"/>
  <c r="AG26" i="1"/>
  <c r="AI24" i="1"/>
  <c r="X23" i="1"/>
  <c r="AG22" i="1"/>
  <c r="AI20" i="1"/>
  <c r="S20" i="1"/>
  <c r="AG18" i="1"/>
  <c r="W18" i="1" s="1"/>
  <c r="X41" i="1"/>
  <c r="X37" i="1"/>
  <c r="X30" i="1"/>
  <c r="X26" i="1"/>
  <c r="X22" i="1"/>
  <c r="T18" i="3"/>
  <c r="Y15" i="3"/>
  <c r="T31" i="3"/>
  <c r="Y21" i="3"/>
  <c r="Y13" i="3"/>
  <c r="Y17" i="3"/>
  <c r="Y34" i="3"/>
  <c r="Y36" i="3"/>
  <c r="Y31" i="3"/>
  <c r="Y30" i="3"/>
  <c r="Y24" i="3"/>
  <c r="AC28" i="3"/>
  <c r="Y37" i="3"/>
  <c r="Y39" i="3"/>
  <c r="AC14" i="3"/>
  <c r="Y8" i="3"/>
  <c r="Y23" i="3"/>
  <c r="AC9" i="3"/>
  <c r="Y26" i="3"/>
  <c r="Y35" i="3"/>
  <c r="AC12" i="3"/>
  <c r="Y7" i="3"/>
  <c r="T37" i="3"/>
  <c r="T8" i="3"/>
  <c r="T26" i="3"/>
  <c r="T7" i="3"/>
  <c r="AC38" i="3"/>
  <c r="AC10" i="3"/>
  <c r="AC16" i="3"/>
  <c r="AC36" i="3"/>
  <c r="AC22" i="3"/>
  <c r="AC13" i="3"/>
  <c r="AC20" i="3"/>
  <c r="R32" i="3"/>
  <c r="M32" i="3"/>
  <c r="N32" i="3"/>
  <c r="U32" i="3"/>
  <c r="AC32" i="3" s="1"/>
  <c r="V32" i="3"/>
  <c r="W32" i="3"/>
  <c r="X32" i="3"/>
  <c r="W83" i="1" l="1"/>
  <c r="U152" i="1"/>
  <c r="S152" i="1" s="1"/>
  <c r="W173" i="1"/>
  <c r="U96" i="1"/>
  <c r="S96" i="1" s="1"/>
  <c r="W92" i="1"/>
  <c r="U79" i="1"/>
  <c r="S79" i="1" s="1"/>
  <c r="AI113" i="1"/>
  <c r="W196" i="1"/>
  <c r="AI177" i="1"/>
  <c r="AI181" i="1"/>
  <c r="W25" i="1"/>
  <c r="W104" i="1"/>
  <c r="U94" i="1"/>
  <c r="S94" i="1" s="1"/>
  <c r="U39" i="1"/>
  <c r="S39" i="1" s="1"/>
  <c r="W181" i="1"/>
  <c r="AI92" i="1"/>
  <c r="W82" i="1"/>
  <c r="U114" i="1"/>
  <c r="S114" i="1" s="1"/>
  <c r="W88" i="1"/>
  <c r="W15" i="1"/>
  <c r="W144" i="1"/>
  <c r="W201" i="1"/>
  <c r="W113" i="1"/>
  <c r="W39" i="1"/>
  <c r="W75" i="1"/>
  <c r="U29" i="1"/>
  <c r="S29" i="1" s="1"/>
  <c r="U44" i="1"/>
  <c r="S44" i="1" s="1"/>
  <c r="W80" i="1"/>
  <c r="W43" i="1"/>
  <c r="W121" i="1"/>
  <c r="U47" i="1"/>
  <c r="S47" i="1" s="1"/>
  <c r="AI36" i="1"/>
  <c r="U43" i="1"/>
  <c r="S43" i="1" s="1"/>
  <c r="U61" i="1"/>
  <c r="S61" i="1" s="1"/>
  <c r="W132" i="1"/>
  <c r="W136" i="1"/>
  <c r="W31" i="1"/>
  <c r="U76" i="1"/>
  <c r="S76" i="1" s="1"/>
  <c r="AI104" i="1"/>
  <c r="AI112" i="1"/>
  <c r="W123" i="1"/>
  <c r="W197" i="1"/>
  <c r="W61" i="1"/>
  <c r="W51" i="1"/>
  <c r="W103" i="1"/>
  <c r="U59" i="1"/>
  <c r="S59" i="1" s="1"/>
  <c r="AI144" i="1"/>
  <c r="AI148" i="1"/>
  <c r="W116" i="1"/>
  <c r="W133" i="1"/>
  <c r="W67" i="1"/>
  <c r="W191" i="1"/>
  <c r="W72" i="1"/>
  <c r="W84" i="1"/>
  <c r="W114" i="1"/>
  <c r="U136" i="1"/>
  <c r="S136" i="1" s="1"/>
  <c r="W148" i="1"/>
  <c r="AI180" i="1"/>
  <c r="AI196" i="1"/>
  <c r="W152" i="1"/>
  <c r="W195" i="1"/>
  <c r="AI208" i="1"/>
  <c r="AI156" i="1"/>
  <c r="W29" i="1"/>
  <c r="W21" i="1"/>
  <c r="U65" i="1"/>
  <c r="S65" i="1" s="1"/>
  <c r="AI65" i="1"/>
  <c r="U73" i="1"/>
  <c r="S73" i="1" s="1"/>
  <c r="AI73" i="1"/>
  <c r="U145" i="1"/>
  <c r="S145" i="1" s="1"/>
  <c r="AI145" i="1"/>
  <c r="W161" i="1"/>
  <c r="W163" i="1"/>
  <c r="U129" i="1"/>
  <c r="S129" i="1" s="1"/>
  <c r="AI129" i="1"/>
  <c r="W55" i="1"/>
  <c r="U81" i="1"/>
  <c r="S81" i="1" s="1"/>
  <c r="AI81" i="1"/>
  <c r="U98" i="1"/>
  <c r="S98" i="1" s="1"/>
  <c r="AI98" i="1"/>
  <c r="U133" i="1"/>
  <c r="S133" i="1" s="1"/>
  <c r="AI133" i="1"/>
  <c r="U140" i="1"/>
  <c r="S140" i="1" s="1"/>
  <c r="W193" i="1"/>
  <c r="W145" i="1"/>
  <c r="W73" i="1"/>
  <c r="W44" i="1"/>
  <c r="W125" i="1"/>
  <c r="W76" i="1"/>
  <c r="W128" i="1"/>
  <c r="W177" i="1"/>
  <c r="W129" i="1"/>
  <c r="W179" i="1"/>
  <c r="AI26" i="1"/>
  <c r="U26" i="1"/>
  <c r="S26" i="1" s="1"/>
  <c r="AI41" i="1"/>
  <c r="U41" i="1"/>
  <c r="S41" i="1" s="1"/>
  <c r="U91" i="1"/>
  <c r="S91" i="1" s="1"/>
  <c r="AI91" i="1"/>
  <c r="U99" i="1"/>
  <c r="S99" i="1" s="1"/>
  <c r="AI99" i="1"/>
  <c r="U107" i="1"/>
  <c r="S107" i="1" s="1"/>
  <c r="AI107" i="1"/>
  <c r="W91" i="1"/>
  <c r="AI126" i="1"/>
  <c r="U126" i="1"/>
  <c r="S126" i="1" s="1"/>
  <c r="AI167" i="1"/>
  <c r="U160" i="1"/>
  <c r="S160" i="1" s="1"/>
  <c r="AI175" i="1"/>
  <c r="U168" i="1"/>
  <c r="S168" i="1" s="1"/>
  <c r="AI183" i="1"/>
  <c r="U176" i="1"/>
  <c r="S176" i="1" s="1"/>
  <c r="AI191" i="1"/>
  <c r="U184" i="1"/>
  <c r="S184" i="1" s="1"/>
  <c r="AI199" i="1"/>
  <c r="U192" i="1"/>
  <c r="S192" i="1" s="1"/>
  <c r="AI207" i="1"/>
  <c r="U200" i="1"/>
  <c r="S200" i="1" s="1"/>
  <c r="W176" i="1"/>
  <c r="AI18" i="1"/>
  <c r="U18" i="1"/>
  <c r="S18" i="1" s="1"/>
  <c r="AI30" i="1"/>
  <c r="U30" i="1"/>
  <c r="S30" i="1" s="1"/>
  <c r="AI37" i="1"/>
  <c r="U37" i="1"/>
  <c r="S37" i="1" s="1"/>
  <c r="AI19" i="1"/>
  <c r="U19" i="1"/>
  <c r="S19" i="1" s="1"/>
  <c r="AI27" i="1"/>
  <c r="U27" i="1"/>
  <c r="S27" i="1" s="1"/>
  <c r="AI34" i="1"/>
  <c r="U34" i="1"/>
  <c r="S34" i="1" s="1"/>
  <c r="AI38" i="1"/>
  <c r="U38" i="1"/>
  <c r="S38" i="1" s="1"/>
  <c r="AI49" i="1"/>
  <c r="U49" i="1"/>
  <c r="S49" i="1" s="1"/>
  <c r="W49" i="1"/>
  <c r="W19" i="1"/>
  <c r="W41" i="1"/>
  <c r="W26" i="1"/>
  <c r="U115" i="1"/>
  <c r="S115" i="1" s="1"/>
  <c r="AI115" i="1"/>
  <c r="AI130" i="1"/>
  <c r="U130" i="1"/>
  <c r="S130" i="1" s="1"/>
  <c r="AI134" i="1"/>
  <c r="U134" i="1"/>
  <c r="S134" i="1" s="1"/>
  <c r="AI138" i="1"/>
  <c r="U138" i="1"/>
  <c r="S138" i="1" s="1"/>
  <c r="AI142" i="1"/>
  <c r="U142" i="1"/>
  <c r="S142" i="1" s="1"/>
  <c r="AI146" i="1"/>
  <c r="U146" i="1"/>
  <c r="S146" i="1" s="1"/>
  <c r="AI150" i="1"/>
  <c r="U150" i="1"/>
  <c r="S150" i="1" s="1"/>
  <c r="W130" i="1"/>
  <c r="W146" i="1"/>
  <c r="AI22" i="1"/>
  <c r="U22" i="1"/>
  <c r="S22" i="1" s="1"/>
  <c r="AI33" i="1"/>
  <c r="U33" i="1"/>
  <c r="S33" i="1" s="1"/>
  <c r="AI23" i="1"/>
  <c r="U23" i="1"/>
  <c r="S23" i="1" s="1"/>
  <c r="AI31" i="1"/>
  <c r="U31" i="1"/>
  <c r="S31" i="1" s="1"/>
  <c r="AI42" i="1"/>
  <c r="U42" i="1"/>
  <c r="S42" i="1" s="1"/>
  <c r="W37" i="1"/>
  <c r="W22" i="1"/>
  <c r="W27" i="1"/>
  <c r="U87" i="1"/>
  <c r="S87" i="1" s="1"/>
  <c r="AI87" i="1"/>
  <c r="U95" i="1"/>
  <c r="S95" i="1" s="1"/>
  <c r="AI95" i="1"/>
  <c r="U103" i="1"/>
  <c r="S103" i="1" s="1"/>
  <c r="AI103" i="1"/>
  <c r="U111" i="1"/>
  <c r="S111" i="1" s="1"/>
  <c r="AI111" i="1"/>
  <c r="U82" i="1"/>
  <c r="S82" i="1" s="1"/>
  <c r="AI82" i="1"/>
  <c r="W115" i="1"/>
  <c r="W87" i="1"/>
  <c r="W107" i="1"/>
  <c r="U123" i="1"/>
  <c r="S123" i="1" s="1"/>
  <c r="AI123" i="1"/>
  <c r="W134" i="1"/>
  <c r="W150" i="1"/>
  <c r="AI163" i="1"/>
  <c r="U156" i="1"/>
  <c r="S156" i="1" s="1"/>
  <c r="AI171" i="1"/>
  <c r="U164" i="1"/>
  <c r="S164" i="1" s="1"/>
  <c r="AI179" i="1"/>
  <c r="U172" i="1"/>
  <c r="S172" i="1" s="1"/>
  <c r="AI187" i="1"/>
  <c r="U180" i="1"/>
  <c r="S180" i="1" s="1"/>
  <c r="AI195" i="1"/>
  <c r="U188" i="1"/>
  <c r="S188" i="1" s="1"/>
  <c r="AI203" i="1"/>
  <c r="U196" i="1"/>
  <c r="S196" i="1" s="1"/>
  <c r="AI211" i="1"/>
  <c r="U208" i="1"/>
  <c r="S208" i="1" s="1"/>
  <c r="W164" i="1"/>
  <c r="W168" i="1"/>
  <c r="W172" i="1"/>
  <c r="W160" i="1"/>
  <c r="W192" i="1"/>
  <c r="W30" i="1"/>
  <c r="W33" i="1"/>
  <c r="W23" i="1"/>
  <c r="W42" i="1"/>
  <c r="U119" i="1"/>
  <c r="S119" i="1" s="1"/>
  <c r="AI119" i="1"/>
  <c r="W99" i="1"/>
  <c r="W119" i="1"/>
  <c r="W111" i="1"/>
  <c r="U154" i="1"/>
  <c r="S154" i="1" s="1"/>
  <c r="AI154" i="1"/>
  <c r="W126" i="1"/>
  <c r="W138" i="1"/>
  <c r="W154" i="1"/>
  <c r="W184" i="1"/>
  <c r="W200" i="1"/>
  <c r="W188" i="1"/>
  <c r="S32" i="3"/>
  <c r="Y32" i="3"/>
  <c r="T32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AC13" i="1"/>
  <c r="AB13" i="1"/>
  <c r="Z13" i="1"/>
  <c r="Y13" i="1"/>
  <c r="V13" i="1"/>
  <c r="M13" i="1"/>
  <c r="L13" i="1"/>
  <c r="K13" i="1"/>
  <c r="X14" i="1" l="1"/>
  <c r="F9" i="6"/>
  <c r="AA13" i="1"/>
  <c r="F13" i="6"/>
  <c r="AG13" i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AI13" i="1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4" i="6" s="1"/>
  <c r="G53" i="4"/>
  <c r="H4" i="6" s="1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<sst xmlns="http://schemas.openxmlformats.org/spreadsheetml/2006/main" count="2148" uniqueCount="786">
  <si>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</si>
  <si>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</si>
  <si>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</si>
  <si>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</si>
  <si>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</si>
  <si>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</si>
  <si>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</si>
  <si>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</si>
  <si>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</si>
  <si>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</si>
  <si>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</si>
  <si>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</si>
  <si>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</si>
  <si>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</si>
  <si>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</si>
  <si>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</si>
  <si>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</si>
  <si>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</si>
  <si>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</si>
  <si>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</si>
  <si>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</si>
  <si>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</si>
  <si>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</si>
  <si>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</si>
  <si>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</si>
  <si>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</si>
  <si>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</si>
  <si>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</si>
  <si>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</si>
  <si>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</si>
  <si>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</si>
  <si>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</si>
  <si>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</si>
  <si>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</si>
  <si>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</si>
  <si>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</si>
  <si>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</si>
  <si>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</si>
  <si>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</si>
  <si>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</si>
  <si>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</si>
  <si>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</si>
  <si>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</si>
  <si>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</si>
  <si>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</si>
  <si>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</si>
  <si>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</si>
  <si>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</si>
  <si>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</si>
  <si>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</si>
  <si>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</si>
  <si>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</si>
  <si>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</si>
  <si>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</si>
  <si>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</si>
  <si>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</si>
  <si>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</si>
  <si>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</si>
  <si>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</si>
  <si>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</si>
  <si>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</si>
  <si>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</si>
  <si>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</si>
  <si>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</si>
  <si>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</si>
  <si>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</si>
  <si>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</si>
  <si>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</si>
  <si>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</si>
  <si>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</si>
  <si>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</si>
  <si>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</si>
  <si>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</si>
  <si>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</si>
  <si>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</si>
  <si>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</si>
  <si>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</si>
  <si>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</si>
  <si>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</si>
  <si>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</si>
  <si>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</si>
  <si>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</si>
  <si>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</si>
  <si>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</si>
  <si>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</si>
  <si>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</si>
  <si>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</si>
  <si>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</si>
  <si>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</si>
  <si>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</si>
  <si>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</si>
  <si>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</si>
  <si>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</si>
  <si>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</si>
  <si>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</si>
  <si>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</si>
  <si>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</si>
  <si>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</si>
  <si>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</si>
  <si>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</si>
  <si>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</si>
  <si>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</si>
  <si>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</si>
  <si>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</si>
  <si>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</si>
  <si>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</si>
  <si>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</si>
  <si>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</si>
  <si>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</si>
  <si>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</si>
  <si>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</si>
  <si>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</si>
  <si>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</si>
  <si>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</si>
  <si>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</si>
  <si>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</si>
  <si>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</si>
  <si>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</si>
  <si>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</si>
  <si>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</si>
  <si>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</si>
  <si>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</si>
  <si>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</si>
  <si>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</si>
  <si>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</si>
  <si>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</si>
  <si>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</si>
  <si>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</si>
  <si>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</si>
  <si>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</si>
  <si>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</si>
  <si>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</si>
  <si>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</si>
  <si>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</si>
  <si>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</si>
  <si>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</si>
  <si>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</si>
  <si>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</si>
  <si>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</si>
  <si>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</si>
  <si>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</si>
  <si>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</si>
  <si>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</si>
  <si>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</si>
  <si>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</si>
  <si>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</si>
  <si>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</si>
  <si>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</si>
  <si>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</si>
  <si>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</si>
  <si>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</si>
  <si>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</si>
  <si>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</si>
  <si>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</si>
  <si>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</si>
  <si>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</si>
  <si>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</si>
  <si>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</si>
  <si>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</si>
  <si>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</si>
  <si>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</si>
  <si>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</si>
  <si>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</si>
  <si>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</si>
  <si>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</si>
  <si>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</si>
  <si>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</si>
  <si>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</si>
  <si>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</si>
  <si>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</si>
  <si>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</si>
  <si>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</si>
  <si>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</si>
  <si>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</si>
  <si>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</si>
  <si>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</si>
  <si>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</si>
  <si>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</si>
  <si>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</si>
  <si>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</si>
  <si>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</si>
  <si>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</si>
  <si>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</si>
  <si>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</si>
  <si>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</si>
  <si>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</si>
  <si>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</si>
  <si>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</si>
  <si>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</si>
  <si>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</si>
  <si>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</si>
  <si>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</si>
  <si>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</si>
  <si>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</si>
  <si>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</si>
  <si>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</si>
  <si>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</si>
  <si>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</si>
  <si>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</si>
  <si>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</si>
  <si>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</si>
  <si>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</si>
  <si>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</si>
  <si>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</si>
  <si>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</si>
  <si>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</si>
  <si>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</si>
  <si>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</si>
  <si>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</si>
  <si>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</si>
  <si>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</si>
  <si>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</si>
  <si>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</si>
  <si>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</si>
  <si>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</si>
  <si>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</si>
  <si>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rtdc.l.rtdc.4032:itc</t>
  </si>
  <si>
    <t>rtdc.l.rtdc.4031:itc</t>
  </si>
  <si>
    <t>204:233314</t>
  </si>
  <si>
    <t>Enforcements Text</t>
  </si>
  <si>
    <t>Runs-Refined Text</t>
  </si>
  <si>
    <t>Trips Text</t>
  </si>
  <si>
    <t>Weather Text</t>
  </si>
  <si>
    <t>204:232985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</si>
  <si>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</si>
  <si>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</si>
  <si>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</si>
  <si>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</si>
  <si>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</si>
  <si>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</si>
  <si>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</si>
  <si>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</si>
  <si>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</si>
  <si>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</si>
  <si>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</si>
  <si>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</si>
  <si>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</si>
  <si>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204:232982</t>
  </si>
  <si>
    <t>204:134</t>
  </si>
  <si>
    <t>204:457</t>
  </si>
  <si>
    <t>204:232978</t>
  </si>
  <si>
    <t>204:466</t>
  </si>
  <si>
    <t>204:233295</t>
  </si>
  <si>
    <t>204:446</t>
  </si>
  <si>
    <t>204:233299</t>
  </si>
  <si>
    <t>204:167</t>
  </si>
  <si>
    <t>204:160</t>
  </si>
  <si>
    <t>204:232979</t>
  </si>
  <si>
    <t>204:460</t>
  </si>
  <si>
    <t>204:233306</t>
  </si>
  <si>
    <t>204:233289</t>
  </si>
  <si>
    <t>204:233291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</si>
  <si>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</si>
  <si>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</si>
  <si>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</si>
  <si>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</si>
  <si>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</si>
  <si>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</si>
  <si>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</si>
  <si>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</si>
  <si>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</si>
  <si>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</si>
  <si>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</si>
  <si>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</si>
  <si>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</si>
  <si>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</si>
  <si>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</si>
  <si>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</si>
  <si>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</si>
  <si>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</si>
  <si>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204:232977</t>
  </si>
  <si>
    <t>204:232998</t>
  </si>
  <si>
    <t>204:233301</t>
  </si>
  <si>
    <t>204:232994</t>
  </si>
  <si>
    <t>204:475</t>
  </si>
  <si>
    <t>204:233315</t>
  </si>
  <si>
    <t>204:232971</t>
  </si>
  <si>
    <t>204:232991</t>
  </si>
  <si>
    <t>204:471</t>
  </si>
  <si>
    <t>AWS CP Commands</t>
  </si>
  <si>
    <t>rtdc.l.rtdc.4045:itc</t>
  </si>
  <si>
    <t>rtdc.l.rtdc.4012:itc</t>
  </si>
  <si>
    <t>rtdc.l.rtdc.4011:itc</t>
  </si>
  <si>
    <t>204:232965</t>
  </si>
  <si>
    <t>204:444</t>
  </si>
  <si>
    <t>204:232987</t>
  </si>
  <si>
    <t>KILLION</t>
  </si>
  <si>
    <t>BRUDER</t>
  </si>
  <si>
    <t>clear-day</t>
  </si>
  <si>
    <t>204:156</t>
  </si>
  <si>
    <t>204:233000</t>
  </si>
  <si>
    <t>204:233308</t>
  </si>
  <si>
    <t>rtdc.l.rtdc.4029:itc</t>
  </si>
  <si>
    <t>ACKERMAN</t>
  </si>
  <si>
    <t>rtdc.l.rtdc.4026:itc</t>
  </si>
  <si>
    <t>rtdc.l.rtdc.4025:itc</t>
  </si>
  <si>
    <t>rtdc.l.rtdc.4030:itc</t>
  </si>
  <si>
    <t>BERLING</t>
  </si>
  <si>
    <t>204:139</t>
  </si>
  <si>
    <t>204:233317</t>
  </si>
  <si>
    <t>204:232981</t>
  </si>
  <si>
    <t>204:233278</t>
  </si>
  <si>
    <t>204:232972</t>
  </si>
  <si>
    <t>204:233304</t>
  </si>
  <si>
    <t>300:58615</t>
  </si>
  <si>
    <t>204:712</t>
  </si>
  <si>
    <t>300:58956</t>
  </si>
  <si>
    <t>300:58649</t>
  </si>
  <si>
    <t>204:484</t>
  </si>
  <si>
    <t>204:233337</t>
  </si>
  <si>
    <t>Early arrival</t>
  </si>
  <si>
    <t>Pena 4S STOP, cleared afterward</t>
  </si>
  <si>
    <t>rtdc.l.rtdc.4002:itc</t>
  </si>
  <si>
    <t>rtdc.l.rtdc.4054:itc</t>
  </si>
  <si>
    <t>SPECTOR</t>
  </si>
  <si>
    <t>GRASTON</t>
  </si>
  <si>
    <t>rtdc.l.rtdc.4053:itc</t>
  </si>
  <si>
    <t>ROCHA</t>
  </si>
  <si>
    <t>rtdc.l.rtdc.4021:itc</t>
  </si>
  <si>
    <t>HELVIE</t>
  </si>
  <si>
    <t>DELGADO</t>
  </si>
  <si>
    <t>MATTHEWS</t>
  </si>
  <si>
    <t>rtdc.l.rtdc.4022:itc</t>
  </si>
  <si>
    <t>204:233282</t>
  </si>
  <si>
    <t>204:232983</t>
  </si>
  <si>
    <t>204:449</t>
  </si>
  <si>
    <t>204:232974</t>
  </si>
  <si>
    <t>204:158</t>
  </si>
  <si>
    <t>204:233311</t>
  </si>
  <si>
    <t>204:233307</t>
  </si>
  <si>
    <t>204:232986</t>
  </si>
  <si>
    <t>204:233004</t>
  </si>
  <si>
    <t>204:232975</t>
  </si>
  <si>
    <t>204:138</t>
  </si>
  <si>
    <t>204:232990</t>
  </si>
  <si>
    <t>204:233334</t>
  </si>
  <si>
    <t>204:437</t>
  </si>
  <si>
    <t>204:232967</t>
  </si>
  <si>
    <t>300:23304</t>
  </si>
  <si>
    <t>204:974</t>
  </si>
  <si>
    <t>204:144</t>
  </si>
  <si>
    <t>204:969</t>
  </si>
  <si>
    <t>204:671</t>
  </si>
  <si>
    <t>300:58613</t>
  </si>
  <si>
    <t>300:58941</t>
  </si>
  <si>
    <t>204:1000</t>
  </si>
  <si>
    <t>300:58636</t>
  </si>
  <si>
    <t>300:58643</t>
  </si>
  <si>
    <t>204:979</t>
  </si>
  <si>
    <t>300:58928</t>
  </si>
  <si>
    <t>204:710</t>
  </si>
  <si>
    <t>204:172</t>
  </si>
  <si>
    <t>300:58641</t>
  </si>
  <si>
    <t>rtdc.l.rtdc.4016:itc</t>
  </si>
  <si>
    <t>rtdc.l.rtdc.4015:itc</t>
  </si>
  <si>
    <t>216-18</t>
  </si>
  <si>
    <t>843-18</t>
  </si>
  <si>
    <t>54-18</t>
  </si>
  <si>
    <t>BRANNON</t>
  </si>
  <si>
    <t>GEBRETEKLE</t>
  </si>
  <si>
    <t>HAITHCOX</t>
  </si>
  <si>
    <t>HILLS</t>
  </si>
  <si>
    <t>STORY</t>
  </si>
  <si>
    <t>PINCURA</t>
  </si>
  <si>
    <t>838-18</t>
  </si>
  <si>
    <t>303-18</t>
  </si>
  <si>
    <t>839-18</t>
  </si>
  <si>
    <t>221-18</t>
  </si>
  <si>
    <t>841-18</t>
  </si>
  <si>
    <t>218-18</t>
  </si>
  <si>
    <t>305-18</t>
  </si>
  <si>
    <t>906-18</t>
  </si>
  <si>
    <t>220-18</t>
  </si>
  <si>
    <t>223-18</t>
  </si>
  <si>
    <t>307-18</t>
  </si>
  <si>
    <t>840-18</t>
  </si>
  <si>
    <t>222-18</t>
  </si>
  <si>
    <t>225-18</t>
  </si>
  <si>
    <t>224-18</t>
  </si>
  <si>
    <t>227-18</t>
  </si>
  <si>
    <t>842-18</t>
  </si>
  <si>
    <t>226-18</t>
  </si>
  <si>
    <t>229-18</t>
  </si>
  <si>
    <t>845-18</t>
  </si>
  <si>
    <t>CANFIELD</t>
  </si>
  <si>
    <t>228-18</t>
  </si>
  <si>
    <t>231-18</t>
  </si>
  <si>
    <t>844-18</t>
  </si>
  <si>
    <t>230-18</t>
  </si>
  <si>
    <t>233-18</t>
  </si>
  <si>
    <t>847-18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</si>
  <si>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</si>
  <si>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</si>
  <si>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</si>
  <si>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</si>
  <si>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</si>
  <si>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</si>
  <si>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</si>
  <si>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</si>
  <si>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</si>
  <si>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</si>
  <si>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</si>
  <si>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</si>
  <si>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</si>
  <si>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</si>
  <si>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</si>
  <si>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precipType</t>
  </si>
  <si>
    <t>rain</t>
  </si>
  <si>
    <t>Drizzle</t>
  </si>
  <si>
    <t>204:132</t>
  </si>
  <si>
    <t>204:233280</t>
  </si>
  <si>
    <t>204:739</t>
  </si>
  <si>
    <t>204:233319</t>
  </si>
  <si>
    <t>204:232984</t>
  </si>
  <si>
    <t>204:233329</t>
  </si>
  <si>
    <t>204:462</t>
  </si>
  <si>
    <t>204:416</t>
  </si>
  <si>
    <t>204:233326</t>
  </si>
  <si>
    <t>204:233298</t>
  </si>
  <si>
    <t>204:232955</t>
  </si>
  <si>
    <t>204:438</t>
  </si>
  <si>
    <t>204:480</t>
  </si>
  <si>
    <t>300:23219</t>
  </si>
  <si>
    <t>300:23301</t>
  </si>
  <si>
    <t>204:986</t>
  </si>
  <si>
    <t>300:58668</t>
  </si>
  <si>
    <t>300:58604</t>
  </si>
  <si>
    <t>204:995</t>
  </si>
  <si>
    <t>300:58670</t>
  </si>
  <si>
    <t>204:988</t>
  </si>
  <si>
    <t>204:701</t>
  </si>
  <si>
    <t>300:58965</t>
  </si>
  <si>
    <t>300:58952</t>
  </si>
  <si>
    <t>204:706</t>
  </si>
  <si>
    <t>204:696</t>
  </si>
  <si>
    <t>300:58933</t>
  </si>
  <si>
    <t>204:983</t>
  </si>
  <si>
    <t>204:715</t>
  </si>
  <si>
    <t>802-19</t>
  </si>
  <si>
    <t>807-19</t>
  </si>
  <si>
    <t>122-19</t>
  </si>
  <si>
    <t>128-19</t>
  </si>
  <si>
    <t>811-19</t>
  </si>
  <si>
    <t>136-19</t>
  </si>
  <si>
    <t>139-19</t>
  </si>
  <si>
    <t>Unknown (0)</t>
  </si>
  <si>
    <t>153-19</t>
  </si>
  <si>
    <t>155-19</t>
  </si>
  <si>
    <t>150-19</t>
  </si>
  <si>
    <t>152-19</t>
  </si>
  <si>
    <t>819-19</t>
  </si>
  <si>
    <t>820-19</t>
  </si>
  <si>
    <t>823-19</t>
  </si>
  <si>
    <t>180-19</t>
  </si>
  <si>
    <t>187-19</t>
  </si>
  <si>
    <t>186-19</t>
  </si>
  <si>
    <t>904-19</t>
  </si>
  <si>
    <t>826-19</t>
  </si>
  <si>
    <t>201-19</t>
  </si>
  <si>
    <t>rtdc.l.rtdc.4013:itc</t>
  </si>
  <si>
    <t>218-19</t>
  </si>
  <si>
    <t>843-19</t>
  </si>
  <si>
    <t>845-19</t>
  </si>
  <si>
    <t>226-19</t>
  </si>
  <si>
    <t>244-19</t>
  </si>
  <si>
    <t>Y</t>
  </si>
  <si>
    <t>rtdc.l.rtdc.4014:itc</t>
  </si>
  <si>
    <t>105-19</t>
  </si>
  <si>
    <t>MAELZER</t>
  </si>
  <si>
    <t>107-19</t>
  </si>
  <si>
    <t>109-19</t>
  </si>
  <si>
    <t>111-19</t>
  </si>
  <si>
    <t>901-19</t>
  </si>
  <si>
    <t>STARKS</t>
  </si>
  <si>
    <t>113-19</t>
  </si>
  <si>
    <t>STRICKLAND</t>
  </si>
  <si>
    <t>106-19</t>
  </si>
  <si>
    <t>800-19</t>
  </si>
  <si>
    <t>115-19</t>
  </si>
  <si>
    <t>108-19</t>
  </si>
  <si>
    <t>110-19</t>
  </si>
  <si>
    <t>117-19</t>
  </si>
  <si>
    <t>801-19</t>
  </si>
  <si>
    <t>119-19</t>
  </si>
  <si>
    <t>112-19</t>
  </si>
  <si>
    <t>114-19</t>
  </si>
  <si>
    <t>121-19</t>
  </si>
  <si>
    <t>116-19</t>
  </si>
  <si>
    <t>803-19</t>
  </si>
  <si>
    <t>123-19</t>
  </si>
  <si>
    <t>118-19</t>
  </si>
  <si>
    <t>804-19</t>
  </si>
  <si>
    <t>125-19</t>
  </si>
  <si>
    <t>120-19</t>
  </si>
  <si>
    <t>805-19</t>
  </si>
  <si>
    <t>127-19</t>
  </si>
  <si>
    <t>806-19</t>
  </si>
  <si>
    <t>129-19</t>
  </si>
  <si>
    <t>124-19</t>
  </si>
  <si>
    <t>131-19</t>
  </si>
  <si>
    <t>126-19</t>
  </si>
  <si>
    <t>808-19</t>
  </si>
  <si>
    <t>133-19</t>
  </si>
  <si>
    <t>809-19</t>
  </si>
  <si>
    <t>135-19</t>
  </si>
  <si>
    <t>130-19</t>
  </si>
  <si>
    <t>810-19</t>
  </si>
  <si>
    <t>137-19</t>
  </si>
  <si>
    <t>132-19</t>
  </si>
  <si>
    <t>903-19</t>
  </si>
  <si>
    <t>134-19</t>
  </si>
  <si>
    <t>812-19</t>
  </si>
  <si>
    <t>141-19</t>
  </si>
  <si>
    <t>143-19</t>
  </si>
  <si>
    <t>813-19</t>
  </si>
  <si>
    <t>138-19</t>
  </si>
  <si>
    <t>145-19</t>
  </si>
  <si>
    <t>JACKSON</t>
  </si>
  <si>
    <t>147-19</t>
  </si>
  <si>
    <t>140-19</t>
  </si>
  <si>
    <t>142-19</t>
  </si>
  <si>
    <t>814-19</t>
  </si>
  <si>
    <t>149-19</t>
  </si>
  <si>
    <t>144-19</t>
  </si>
  <si>
    <t>151-19</t>
  </si>
  <si>
    <t>815-19</t>
  </si>
  <si>
    <t>146-19</t>
  </si>
  <si>
    <t>LEWIS</t>
  </si>
  <si>
    <t>148-19</t>
  </si>
  <si>
    <t>816-19</t>
  </si>
  <si>
    <t>157-19</t>
  </si>
  <si>
    <t>159-19</t>
  </si>
  <si>
    <t>DE LA ROSA</t>
  </si>
  <si>
    <t>817-19</t>
  </si>
  <si>
    <t>154-19</t>
  </si>
  <si>
    <t>51-19</t>
  </si>
  <si>
    <t>161-19</t>
  </si>
  <si>
    <t>156-19</t>
  </si>
  <si>
    <t>163-19</t>
  </si>
  <si>
    <t>158-19</t>
  </si>
  <si>
    <t>818-19</t>
  </si>
  <si>
    <t>165-19</t>
  </si>
  <si>
    <t>ADANE</t>
  </si>
  <si>
    <t>53-19</t>
  </si>
  <si>
    <t>160-19</t>
  </si>
  <si>
    <t>167-19</t>
  </si>
  <si>
    <t>STAMBAUGH</t>
  </si>
  <si>
    <t>162-19</t>
  </si>
  <si>
    <t>169-19</t>
  </si>
  <si>
    <t>164-19</t>
  </si>
  <si>
    <t>171-19</t>
  </si>
  <si>
    <t>166-19</t>
  </si>
  <si>
    <t>168-19</t>
  </si>
  <si>
    <t>173-19</t>
  </si>
  <si>
    <t>175-19</t>
  </si>
  <si>
    <t>BARTLETT</t>
  </si>
  <si>
    <t>170-19</t>
  </si>
  <si>
    <t>177-19</t>
  </si>
  <si>
    <t>172-19</t>
  </si>
  <si>
    <t>821-19</t>
  </si>
  <si>
    <t>MOSES</t>
  </si>
  <si>
    <t>179-19</t>
  </si>
  <si>
    <t>ARVIDSON</t>
  </si>
  <si>
    <t>174-19</t>
  </si>
  <si>
    <t>822-19</t>
  </si>
  <si>
    <t>181-19</t>
  </si>
  <si>
    <t>PUGH</t>
  </si>
  <si>
    <t>176-19</t>
  </si>
  <si>
    <t>183-19</t>
  </si>
  <si>
    <t>178-19</t>
  </si>
  <si>
    <t>185-19</t>
  </si>
  <si>
    <t>182-19</t>
  </si>
  <si>
    <t>824-19</t>
  </si>
  <si>
    <t>189-19</t>
  </si>
  <si>
    <t>184-19</t>
  </si>
  <si>
    <t>191-19</t>
  </si>
  <si>
    <t>193-19</t>
  </si>
  <si>
    <t>188-19</t>
  </si>
  <si>
    <t>825-19</t>
  </si>
  <si>
    <t>195-19</t>
  </si>
  <si>
    <t>YOUNG</t>
  </si>
  <si>
    <t>190-19</t>
  </si>
  <si>
    <t>197-19</t>
  </si>
  <si>
    <t>827-19</t>
  </si>
  <si>
    <t>192-19</t>
  </si>
  <si>
    <t>199-19</t>
  </si>
  <si>
    <t>194-19</t>
  </si>
  <si>
    <t>828-19</t>
  </si>
  <si>
    <t>829-19</t>
  </si>
  <si>
    <t>196-19</t>
  </si>
  <si>
    <t>203-19</t>
  </si>
  <si>
    <t>198-19</t>
  </si>
  <si>
    <t>830-19</t>
  </si>
  <si>
    <t>205-19</t>
  </si>
  <si>
    <t>831-19</t>
  </si>
  <si>
    <t>200-19</t>
  </si>
  <si>
    <t>207-19</t>
  </si>
  <si>
    <t>202-19</t>
  </si>
  <si>
    <t>832-19</t>
  </si>
  <si>
    <t>204-19</t>
  </si>
  <si>
    <t>rtdc.l.rtdc.4008:itc</t>
  </si>
  <si>
    <t>YANAI-19</t>
  </si>
  <si>
    <t>833-19</t>
  </si>
  <si>
    <t>209-19</t>
  </si>
  <si>
    <t>211-19</t>
  </si>
  <si>
    <t>206-19</t>
  </si>
  <si>
    <t>834-19</t>
  </si>
  <si>
    <t>213-19</t>
  </si>
  <si>
    <t>835-19</t>
  </si>
  <si>
    <t>208-19</t>
  </si>
  <si>
    <t>215-19</t>
  </si>
  <si>
    <t>61-19</t>
  </si>
  <si>
    <t>210-19</t>
  </si>
  <si>
    <t>836-19</t>
  </si>
  <si>
    <t>217-19</t>
  </si>
  <si>
    <t>212-19</t>
  </si>
  <si>
    <t>837-19</t>
  </si>
  <si>
    <t>214-19</t>
  </si>
  <si>
    <t>219-19</t>
  </si>
  <si>
    <t>838-19</t>
  </si>
  <si>
    <t>839-19</t>
  </si>
  <si>
    <t>303-19</t>
  </si>
  <si>
    <t>216-19</t>
  </si>
  <si>
    <t>221-19</t>
  </si>
  <si>
    <t>906-19</t>
  </si>
  <si>
    <t>305-19</t>
  </si>
  <si>
    <t>841-19</t>
  </si>
  <si>
    <t>220-19</t>
  </si>
  <si>
    <t>223-19</t>
  </si>
  <si>
    <t>840-19</t>
  </si>
  <si>
    <t>307-19</t>
  </si>
  <si>
    <t>222-19</t>
  </si>
  <si>
    <t>225-19</t>
  </si>
  <si>
    <t>224-19</t>
  </si>
  <si>
    <t>227-19</t>
  </si>
  <si>
    <t>842-19</t>
  </si>
  <si>
    <t>229-19</t>
  </si>
  <si>
    <t>231-19</t>
  </si>
  <si>
    <t>228-19</t>
  </si>
  <si>
    <t>844-19</t>
  </si>
  <si>
    <t>230-19</t>
  </si>
  <si>
    <t>233-19</t>
  </si>
  <si>
    <t>232-19</t>
  </si>
  <si>
    <t>847-19</t>
  </si>
  <si>
    <t>235-19</t>
  </si>
  <si>
    <t>908-19</t>
  </si>
  <si>
    <t>234-19</t>
  </si>
  <si>
    <t>237-19</t>
  </si>
  <si>
    <t>239-19</t>
  </si>
  <si>
    <t>236-19</t>
  </si>
  <si>
    <t>241-19</t>
  </si>
  <si>
    <t>240-19</t>
  </si>
  <si>
    <t>243-19</t>
  </si>
  <si>
    <t>309-19</t>
  </si>
  <si>
    <t>Light Rain</t>
  </si>
  <si>
    <t>204:642</t>
  </si>
  <si>
    <t>204:232675</t>
  </si>
  <si>
    <t>204:646</t>
  </si>
  <si>
    <t>204:329</t>
  </si>
  <si>
    <t>204:772</t>
  </si>
  <si>
    <t>204:233274</t>
  </si>
  <si>
    <t>204:477</t>
  </si>
  <si>
    <t>204:233259</t>
  </si>
  <si>
    <t>204:232973</t>
  </si>
  <si>
    <t>204:232996</t>
  </si>
  <si>
    <t>204:92</t>
  </si>
  <si>
    <t>204:233285</t>
  </si>
  <si>
    <t>204:232976</t>
  </si>
  <si>
    <t>204:233342</t>
  </si>
  <si>
    <t>204:1051</t>
  </si>
  <si>
    <t>204:233318</t>
  </si>
  <si>
    <t>204:194</t>
  </si>
  <si>
    <t>204:230492</t>
  </si>
  <si>
    <t>204:233026</t>
  </si>
  <si>
    <t>204:500</t>
  </si>
  <si>
    <t>204:233197</t>
  </si>
  <si>
    <t>204:232888</t>
  </si>
  <si>
    <t>204:489</t>
  </si>
  <si>
    <t>204:233213</t>
  </si>
  <si>
    <t>204:232891</t>
  </si>
  <si>
    <t>204:478</t>
  </si>
  <si>
    <t>204:232989</t>
  </si>
  <si>
    <t>204:232963</t>
  </si>
  <si>
    <t>204:233245</t>
  </si>
  <si>
    <t>204:233286</t>
  </si>
  <si>
    <t>204:233346</t>
  </si>
  <si>
    <t>204:233266</t>
  </si>
  <si>
    <t>204:232948</t>
  </si>
  <si>
    <t>204:232988</t>
  </si>
  <si>
    <t>204:232993</t>
  </si>
  <si>
    <t>204:440</t>
  </si>
  <si>
    <t>204:233310</t>
  </si>
  <si>
    <t>204:232964</t>
  </si>
  <si>
    <t>204:180</t>
  </si>
  <si>
    <t>204:233345</t>
  </si>
  <si>
    <t>204:232969</t>
  </si>
  <si>
    <t>204:429</t>
  </si>
  <si>
    <t>204:233341</t>
  </si>
  <si>
    <t>204:233302</t>
  </si>
  <si>
    <t>204:169</t>
  </si>
  <si>
    <t>204:233011</t>
  </si>
  <si>
    <t>204:427</t>
  </si>
  <si>
    <t>204:174</t>
  </si>
  <si>
    <t>204:232960</t>
  </si>
  <si>
    <t>204:200</t>
  </si>
  <si>
    <t>204:232968</t>
  </si>
  <si>
    <t>204:495</t>
  </si>
  <si>
    <t>204:233287</t>
  </si>
  <si>
    <t>204:233270</t>
  </si>
  <si>
    <t>204:232649</t>
  </si>
  <si>
    <t>204:233323</t>
  </si>
  <si>
    <t>204:232679</t>
  </si>
  <si>
    <t>204:129</t>
  </si>
  <si>
    <t>204:734</t>
  </si>
  <si>
    <t>300:23308</t>
  </si>
  <si>
    <t>300:23220</t>
  </si>
  <si>
    <t>300:24207</t>
  </si>
  <si>
    <t>300:24193</t>
  </si>
  <si>
    <t>204:708</t>
  </si>
  <si>
    <t>204:999</t>
  </si>
  <si>
    <t>300:58617</t>
  </si>
  <si>
    <t>204:68</t>
  </si>
  <si>
    <t>204:383</t>
  </si>
  <si>
    <t>204:699</t>
  </si>
  <si>
    <t>204:993</t>
  </si>
  <si>
    <t>300:58811</t>
  </si>
  <si>
    <t>300:58984</t>
  </si>
  <si>
    <t>204:1014</t>
  </si>
  <si>
    <t>300:58976</t>
  </si>
  <si>
    <t>300:58073</t>
  </si>
  <si>
    <t>300:58655</t>
  </si>
  <si>
    <t>204:664</t>
  </si>
  <si>
    <t>204:976</t>
  </si>
  <si>
    <t>300:58990</t>
  </si>
  <si>
    <t>300:58675</t>
  </si>
  <si>
    <t>204:692</t>
  </si>
  <si>
    <t>300:58967</t>
  </si>
  <si>
    <t>300:58656</t>
  </si>
  <si>
    <t>204:677</t>
  </si>
  <si>
    <t>204:978</t>
  </si>
  <si>
    <t>300:58666</t>
  </si>
  <si>
    <t>300:58971</t>
  </si>
  <si>
    <t>300:58664</t>
  </si>
  <si>
    <t>204:1130</t>
  </si>
  <si>
    <t>300:58982</t>
  </si>
  <si>
    <t>300:58973</t>
  </si>
  <si>
    <t>204:698</t>
  </si>
  <si>
    <t>204:948</t>
  </si>
  <si>
    <t>300:58632</t>
  </si>
  <si>
    <t>204:666</t>
  </si>
  <si>
    <t>204:719</t>
  </si>
  <si>
    <t>204:941</t>
  </si>
  <si>
    <t>300:58948</t>
  </si>
  <si>
    <t>300:58672</t>
  </si>
  <si>
    <t>300:58660</t>
  </si>
  <si>
    <t>204:680</t>
  </si>
  <si>
    <t>204:992</t>
  </si>
  <si>
    <t>204:687</t>
  </si>
  <si>
    <t>300:58960</t>
  </si>
  <si>
    <t>300:58943</t>
  </si>
  <si>
    <t>300:24226</t>
  </si>
  <si>
    <t>300:23275</t>
  </si>
  <si>
    <t>204:829</t>
  </si>
  <si>
    <t>300:29121</t>
  </si>
  <si>
    <t>300:21812</t>
  </si>
  <si>
    <t>300:23427</t>
  </si>
  <si>
    <t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t>
  </si>
  <si>
    <t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t>
  </si>
  <si>
    <t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t>
  </si>
  <si>
    <t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t>
  </si>
  <si>
    <t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t>
  </si>
  <si>
    <t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t>
  </si>
  <si>
    <t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t>
  </si>
  <si>
    <t>Switch 1000022 @ MP23.0436 was aligned reverse, taking the train from MAIN 1 to MAIN 2. However, when the train was at MP22.9853, a prompt displayed asking if it was OK to change from MAIN 1 to MAIN 2. The operator clicked yes, and then the train was enforced. The main question here... why was the prompt displayed in the first place?</t>
  </si>
  <si>
    <t>Onboard showed -OK TO CHANGE FROM MAIN 1 TO MAIN 2?- prompt</t>
  </si>
  <si>
    <t>Extended stay at Peoria - single track Form S?</t>
  </si>
  <si>
    <t>Annulled due to Form S?</t>
  </si>
  <si>
    <t>101-19</t>
  </si>
  <si>
    <t>102-19</t>
  </si>
  <si>
    <t>103-19</t>
  </si>
  <si>
    <t>104-19</t>
  </si>
  <si>
    <t>Ran ATC only due to TMDS network upgrades</t>
  </si>
  <si>
    <t>40th 4S STOP, cleared afterward</t>
  </si>
  <si>
    <t>Wi-MAX outage</t>
  </si>
  <si>
    <t>http://stevetu21.github.io/eaglep3/load_kml.html?kml=http://rtdc.gmaps-snips.s3.amazonaws.com/962b2111-8cf8-4887-8f20-f0654cf5278e.kml</t>
  </si>
  <si>
    <t>http://stevetu21.github.io/eaglep3/load_kml.html?kml=http://rtdc.gmaps-snips.s3.amazonaws.com/54e1837a-939d-4e1d-bbf9-f9e24358b983.kml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</si>
</sst>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54e1837a-939d-4e1d-bbf9-f9e24358b983.kml" TargetMode="External"/><Relationship Id="rId1" Type="http://schemas.openxmlformats.org/officeDocument/2006/relationships/hyperlink" Target="http://stevetu21.github.io/eaglep3/load_kml.html?kml=http://rtdc.gmaps-snips.s3.amazonaws.com/962b2111-8cf8-4887-8f20-f0654cf5278e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0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8" customWidth="1"/>
    <col min="22" max="22" width="5.7109375" style="96" customWidth="1"/>
    <col min="23" max="23" width="3.85546875" style="20" customWidth="1"/>
    <col min="24" max="24" width="6.5703125" style="172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5"/>
      <c r="V1" s="40"/>
      <c r="W1" s="41"/>
      <c r="X1" s="168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42662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42662</v>
      </c>
      <c r="S2" s="72"/>
      <c r="T2" s="73"/>
      <c r="U2" s="176"/>
      <c r="V2" s="94" t="s">
        <v>8</v>
      </c>
      <c r="W2" s="75"/>
      <c r="X2" s="169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7"/>
      <c r="V3" s="42" t="s">
        <v>11</v>
      </c>
      <c r="W3" s="43" t="s">
        <v>12</v>
      </c>
      <c r="X3" s="170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142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8"/>
      <c r="V4" s="45" t="s">
        <v>15</v>
      </c>
      <c r="W4" s="43" t="s">
        <v>15</v>
      </c>
      <c r="X4" s="170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COUNTIFS($N$13:$N$9413,"&gt;0",$AG$13:$AG$9413,I1)</f>
        <v>137</v>
      </c>
      <c r="K5" s="44"/>
      <c r="L5" s="44"/>
      <c r="M5" s="45">
        <f>AVERAGEIFS($N$13:$N$9413,$AG$13:$AG$9413,I1)</f>
        <v>38.563260341039346</v>
      </c>
      <c r="N5" s="43">
        <f t="array" ref="N5">MIN(IF($AG$13:$AG$9413=I1,IF(ISNUMBER($N$13:$N$9413),IF($N$13:$N$9413&gt;0,$N$13:$N$9413))))</f>
        <v>34.599999999627471</v>
      </c>
      <c r="O5" s="3">
        <f t="array" ref="O5">MAX(IF($AG$13:$AG$9413=I1,IF(ISNUMBER($N$13:$N$9413),IF($N$13:$N$9413&gt;0,$N$13:$N$9413))))</f>
        <v>55.649999995948747</v>
      </c>
      <c r="P5" s="2"/>
      <c r="R5" s="80" t="s">
        <v>17</v>
      </c>
      <c r="S5" s="55">
        <f>COUNTIFS($N$13:$N$9413,"&gt;0",$AG$13:$AG$9413,R1)</f>
        <v>47</v>
      </c>
      <c r="T5" s="44"/>
      <c r="U5" s="178"/>
      <c r="V5" s="45">
        <f>AVERAGEIFS($N$13:$N$9413,$AG$13:$AG$9413,R1)</f>
        <v>15.173049644898979</v>
      </c>
      <c r="W5" s="43">
        <f t="array" ref="W5">MIN(IF($AG$13:$AG$9413=R1,IF(ISNUMBER($N$13:$N$9413),IF($N$13:$N$9413&gt;0,$N$13:$N$9413))))</f>
        <v>13.11666666297242</v>
      </c>
      <c r="X5" s="170">
        <f t="array" ref="X5">MAX(IF($AG$13:$AG$9413=R1,IF(ISNUMBER($N$13:$N$9413),IF($N$13:$N$9413&gt;0,$N$13:$N$9413))))</f>
        <v>19.399999998277053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COUNT($O$13:$O$183)</f>
        <v>0</v>
      </c>
      <c r="K6" s="44"/>
      <c r="L6" s="44"/>
      <c r="M6" s="45">
        <f>IFERROR(AVERAGE($O$13:$O$183),0)</f>
        <v>0</v>
      </c>
      <c r="N6" s="43">
        <f>MIN($O$13:$O$183)</f>
        <v>0</v>
      </c>
      <c r="O6" s="3">
        <f>MAX($O$13:$O$183)</f>
        <v>0</v>
      </c>
      <c r="P6" s="2"/>
      <c r="R6" s="81" t="s">
        <v>43</v>
      </c>
      <c r="S6" s="55">
        <f>COUNT($O$13:$O$183)</f>
        <v>0</v>
      </c>
      <c r="T6" s="44"/>
      <c r="U6" s="178"/>
      <c r="V6" s="45">
        <f>IFERROR(AVERAGE($O$13:$O$183),0)</f>
        <v>0</v>
      </c>
      <c r="W6" s="43">
        <f>MIN($O$13:$O$183)</f>
        <v>0</v>
      </c>
      <c r="X6" s="170">
        <f>MAX($O$13:$O$183)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COUNTIFS($P$13:$P$9413,"&gt;0",$AG$13:$AG$9413,I1)</f>
        <v>5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COUNTIFS($P$13:$P$9413,"&gt;0",$AG$13:$AG$9413,R1)</f>
        <v>0</v>
      </c>
      <c r="T7" s="44"/>
      <c r="U7" s="178"/>
      <c r="V7" s="45" t="s">
        <v>15</v>
      </c>
      <c r="W7" s="43" t="s">
        <v>15</v>
      </c>
      <c r="X7" s="170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38.563260341039346</v>
      </c>
      <c r="N8" s="43">
        <f>N5</f>
        <v>34.599999999627471</v>
      </c>
      <c r="O8" s="3">
        <f>O5</f>
        <v>55.649999995948747</v>
      </c>
      <c r="P8" s="2"/>
      <c r="R8" s="80" t="s">
        <v>16</v>
      </c>
      <c r="S8" s="55">
        <f>S5</f>
        <v>47</v>
      </c>
      <c r="T8" s="44"/>
      <c r="U8" s="178"/>
      <c r="V8" s="45">
        <f>V5</f>
        <v>15.173049644898979</v>
      </c>
      <c r="W8" s="43">
        <f>W5</f>
        <v>13.11666666297242</v>
      </c>
      <c r="X8" s="170">
        <f>X5</f>
        <v>19.399999998277053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52">
        <f>J8/J4</f>
        <v>0.96478873239436624</v>
      </c>
      <c r="K9" s="46"/>
      <c r="L9" s="46"/>
      <c r="M9" s="83"/>
      <c r="N9" s="41"/>
      <c r="O9" s="84"/>
      <c r="P9" s="2"/>
      <c r="R9" s="80" t="s">
        <v>19</v>
      </c>
      <c r="S9" s="152">
        <f>S8/S4</f>
        <v>1</v>
      </c>
      <c r="T9" s="46"/>
      <c r="U9" s="175"/>
      <c r="V9" s="83"/>
      <c r="W9" s="41"/>
      <c r="X9" s="171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8"/>
      <c r="V10" s="95"/>
      <c r="W10" s="20"/>
      <c r="X10" s="172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- 2016-10-19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AVERAGE(S13:S114)</f>
        <v>0.96078431372549022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9" t="s">
        <v>65</v>
      </c>
      <c r="V12" s="97" t="s">
        <v>45</v>
      </c>
      <c r="W12" s="51" t="s">
        <v>23</v>
      </c>
      <c r="X12" s="173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777</v>
      </c>
      <c r="B13" s="7"/>
      <c r="C13" s="22" t="s">
        <v>99</v>
      </c>
      <c r="D13" s="22" t="s">
        <v>655</v>
      </c>
      <c r="E13" s="13">
        <v>42662.182071759256</v>
      </c>
      <c r="F13" s="13"/>
      <c r="G13" s="7"/>
      <c r="H13" s="13"/>
      <c r="I13" s="13"/>
      <c r="J13" s="7">
        <v>0</v>
      </c>
      <c r="K13" s="112" t="str">
        <f>IF(ISEVEN(B13),(B13-1)&amp;"/"&amp;B13,B13&amp;"/"&amp;(B13+1))</f>
        <v>-1/</v>
      </c>
      <c r="L13" s="22" t="e">
        <f>VLOOKUP(A13,'Trips&amp;Operators'!$C$1:$E$10000,3,FALSE)</f>
        <v>#N/A</v>
      </c>
      <c r="M13" s="6">
        <f>I13-F13</f>
        <v>0</v>
      </c>
      <c r="N13" s="7"/>
      <c r="O13" s="7"/>
      <c r="P13" s="7">
        <v>1</v>
      </c>
      <c r="Q13" s="23"/>
      <c r="R13" s="23" t="s">
        <v>781</v>
      </c>
      <c r="S13" s="35">
        <f>SUM(U13:U13)/IF(AG13="EC",12,1)</f>
        <v>0</v>
      </c>
      <c r="T13" s="50" t="str">
        <f>IF(ISEVEN(LEFT(AD13,4)),"Southbound","NorthBound")</f>
        <v>NorthBound</v>
      </c>
      <c r="U13" s="18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https://search-rtdc-monitor-bjffxe2xuh6vdkpspy63sjmuny.us-east-1.es.amazonaws.com/_plugin/kibana/#/discover/Steve-Slow-Train-Analysis-(2080s-and-2083s)?_g=(refreshInterval:(display:Off,section:0,value:0),time:(from:'2016-10-19 03:22:11-0600',mode:absolute,to:'1900-01-00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3" s="52" t="e">
        <f>IF(AA13&lt;IF(AG13="EC",23,5.65),"Y","N")</f>
        <v>#VALUE!</v>
      </c>
      <c r="X13" s="174" t="e">
        <f>VALUE(LEFT(AD13,4))-VALUE(LEFT(AD12,4))</f>
        <v>#VALUE!</v>
      </c>
      <c r="Y13" s="67">
        <f>RIGHT(D13,LEN(D13)-4)/10000</f>
        <v>6.4199999999999993E-2</v>
      </c>
      <c r="Z13" s="67" t="e">
        <f>RIGHT(H13,LEN(H13)-4)/10000</f>
        <v>#VALUE!</v>
      </c>
      <c r="AA13" s="67" t="e">
        <f>ABS(Z13-Y13)</f>
        <v>#VALUE!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>IF(LEN(A13)=6,"0"&amp;A13,A13)</f>
        <v>0101-19</v>
      </c>
      <c r="AE13" s="91" t="str">
        <f t="shared" ref="AE13:AE76" si="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88" t="str">
        <f t="shared" ref="AF13:AF76" si="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 --swversion DE.1.0.7.0 --startMP 204:642 --initTime 2016-10-19T04:22:11 --startdatetime 1900-01-00T00:00:00 --delay  --endMP  --enddatetime 1900-01-00T00:00:00 --enforcementcount 0 &gt;&gt;C:\Users\stu\Documents\GitHub\eaglep3-reporting\EC\2016-10-19-refined-times.txt</v>
      </c>
      <c r="AI13" s="122" t="e">
        <f t="shared" ref="AI13" si="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#VALUE!</v>
      </c>
      <c r="AJ13" s="53"/>
      <c r="AK13" s="53"/>
      <c r="AL13" s="53"/>
    </row>
    <row r="14" spans="1:91" s="1" customFormat="1" x14ac:dyDescent="0.25">
      <c r="A14" s="37" t="s">
        <v>778</v>
      </c>
      <c r="B14" s="7"/>
      <c r="C14" s="22" t="s">
        <v>99</v>
      </c>
      <c r="D14" s="22" t="s">
        <v>655</v>
      </c>
      <c r="E14" s="13">
        <v>42662.182071759256</v>
      </c>
      <c r="F14" s="13"/>
      <c r="G14" s="7"/>
      <c r="H14" s="13"/>
      <c r="I14" s="13"/>
      <c r="J14" s="7">
        <v>0</v>
      </c>
      <c r="K14" s="112" t="str">
        <f t="shared" ref="K14:K17" si="4">IF(ISEVEN(B14),(B14-1)&amp;"/"&amp;B14,B14&amp;"/"&amp;(B14+1))</f>
        <v>-1/</v>
      </c>
      <c r="L14" s="22" t="e">
        <f>VLOOKUP(A14,'Trips&amp;Operators'!$C$1:$E$10000,3,FALSE)</f>
        <v>#N/A</v>
      </c>
      <c r="M14" s="6">
        <f t="shared" ref="M14:M17" si="5">I14-F14</f>
        <v>0</v>
      </c>
      <c r="N14" s="7"/>
      <c r="O14" s="7"/>
      <c r="P14" s="7">
        <v>1</v>
      </c>
      <c r="Q14" s="23"/>
      <c r="R14" s="23" t="s">
        <v>781</v>
      </c>
      <c r="S14" s="35">
        <f t="shared" ref="S14:S17" si="6">SUM(U14:U14)/IF(AG14="EC",12,1)</f>
        <v>0</v>
      </c>
      <c r="T14" s="50" t="str">
        <f t="shared" ref="T14:T17" si="7">IF(ISEVEN(LEFT(AD14,4)),"Southbound","NorthBound")</f>
        <v>Southbound</v>
      </c>
      <c r="U14" s="18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8" t="str">
        <f t="shared" ref="V14:V17" si="8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https://search-rtdc-monitor-bjffxe2xuh6vdkpspy63sjmuny.us-east-1.es.amazonaws.com/_plugin/kibana/#/discover/Steve-Slow-Train-Analysis-(2080s-and-2083s)?_g=(refreshInterval:(display:Off,section:0,value:0),time:(from:'2016-10-19 03:22:11-0600',mode:absolute,to:'1900-01-00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" s="52" t="e">
        <f t="shared" ref="W14:W17" si="9">IF(AA14&lt;IF(AG14="EC",23,5.65),"Y","N")</f>
        <v>#VALUE!</v>
      </c>
      <c r="X14" s="174">
        <f t="shared" ref="X14:X21" si="10">VALUE(LEFT(AD14,4))-VALUE(LEFT(AD13,4))</f>
        <v>1</v>
      </c>
      <c r="Y14" s="67">
        <f t="shared" ref="Y14:Y17" si="11">RIGHT(D14,LEN(D14)-4)/10000</f>
        <v>6.4199999999999993E-2</v>
      </c>
      <c r="Z14" s="67" t="e">
        <f t="shared" ref="Z14:Z17" si="12">RIGHT(H14,LEN(H14)-4)/10000</f>
        <v>#VALUE!</v>
      </c>
      <c r="AA14" s="67" t="e">
        <f t="shared" ref="AA14:AA17" si="13">ABS(Z14-Y14)</f>
        <v>#VALUE!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ref="AD14:AD17" si="14">IF(LEN(A14)=6,"0"&amp;A14,A14)</f>
        <v>0102-19</v>
      </c>
      <c r="AE14" s="91" t="str">
        <f t="shared" si="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" s="88" t="str">
        <f t="shared" si="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4" s="1" t="str">
        <f t="shared" ref="AG14:AG17" si="15">IFERROR(IF(VALUE(LEFT(AD14,2))&lt;=2,"EC",IF(OR(VALUE(LEFT(AD14,2))=8,VALUE(LEFT(AD14,2))=18),"NW","Other")),"Other")</f>
        <v>EC</v>
      </c>
      <c r="AH14" s="92" t="str">
        <f t="shared" ref="AH14:AH1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 --swversion DE.1.0.7.0 --startMP 204:642 --initTime 2016-10-19T04:22:11 --startdatetime 1900-01-00T00:00:00 --delay  --endMP  --enddatetime 1900-01-00T00:00:00 --enforcementcount 0 &gt;&gt;C:\Users\stu\Documents\GitHub\eaglep3-reporting\EC\2016-10-19-refined-times.txt</v>
      </c>
      <c r="AI14" s="122" t="e">
        <f t="shared" ref="AI14:AI1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#VALUE!</v>
      </c>
      <c r="AJ14" s="53"/>
      <c r="AK14" s="53"/>
      <c r="AL14" s="53"/>
    </row>
    <row r="15" spans="1:91" s="1" customFormat="1" x14ac:dyDescent="0.25">
      <c r="A15" s="37" t="s">
        <v>779</v>
      </c>
      <c r="B15" s="7"/>
      <c r="C15" s="22" t="s">
        <v>99</v>
      </c>
      <c r="D15" s="22" t="s">
        <v>655</v>
      </c>
      <c r="E15" s="13">
        <v>42662.182071759256</v>
      </c>
      <c r="F15" s="13"/>
      <c r="G15" s="7"/>
      <c r="H15" s="13"/>
      <c r="I15" s="13"/>
      <c r="J15" s="7">
        <v>0</v>
      </c>
      <c r="K15" s="112" t="str">
        <f t="shared" si="4"/>
        <v>-1/</v>
      </c>
      <c r="L15" s="22" t="e">
        <f>VLOOKUP(A15,'Trips&amp;Operators'!$C$1:$E$10000,3,FALSE)</f>
        <v>#N/A</v>
      </c>
      <c r="M15" s="6">
        <f t="shared" si="5"/>
        <v>0</v>
      </c>
      <c r="N15" s="7"/>
      <c r="O15" s="7"/>
      <c r="P15" s="7">
        <v>1</v>
      </c>
      <c r="Q15" s="23"/>
      <c r="R15" s="23" t="s">
        <v>781</v>
      </c>
      <c r="S15" s="35">
        <f t="shared" si="6"/>
        <v>0</v>
      </c>
      <c r="T15" s="50" t="str">
        <f t="shared" si="7"/>
        <v>NorthBound</v>
      </c>
      <c r="U15" s="18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8" t="str">
        <f t="shared" si="8"/>
        <v>https://search-rtdc-monitor-bjffxe2xuh6vdkpspy63sjmuny.us-east-1.es.amazonaws.com/_plugin/kibana/#/discover/Steve-Slow-Train-Analysis-(2080s-and-2083s)?_g=(refreshInterval:(display:Off,section:0,value:0),time:(from:'2016-10-19 03:22:11-0600',mode:absolute,to:'1900-01-00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" s="52" t="e">
        <f t="shared" si="9"/>
        <v>#VALUE!</v>
      </c>
      <c r="X15" s="174">
        <f t="shared" si="10"/>
        <v>1</v>
      </c>
      <c r="Y15" s="67">
        <f t="shared" si="11"/>
        <v>6.4199999999999993E-2</v>
      </c>
      <c r="Z15" s="67" t="e">
        <f t="shared" si="12"/>
        <v>#VALUE!</v>
      </c>
      <c r="AA15" s="67" t="e">
        <f t="shared" si="13"/>
        <v>#VALUE!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4"/>
        <v>0103-19</v>
      </c>
      <c r="AE15" s="91" t="str">
        <f t="shared" si="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" s="88" t="str">
        <f t="shared" si="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5" s="1" t="str">
        <f t="shared" si="15"/>
        <v>EC</v>
      </c>
      <c r="AH15" s="92" t="str">
        <f t="shared" si="16"/>
        <v>"%USERPROFILE%\Documents\GitHub\eaglep3\Utilities\RefineRTDCRunTimes.py" --tripid 103-19 --locoid  --swversion DE.1.0.7.0 --startMP 204:642 --initTime 2016-10-19T04:22:11 --startdatetime 1900-01-00T00:00:00 --delay  --endMP  --enddatetime 1900-01-00T00:00:00 --enforcementcount 0 &gt;&gt;C:\Users\stu\Documents\GitHub\eaglep3-reporting\EC\2016-10-19-refined-times.txt</v>
      </c>
      <c r="AI15" s="122" t="e">
        <f t="shared" si="17"/>
        <v>#VALUE!</v>
      </c>
      <c r="AJ15" s="53"/>
      <c r="AK15" s="53"/>
      <c r="AL15" s="53"/>
    </row>
    <row r="16" spans="1:91" s="1" customFormat="1" x14ac:dyDescent="0.25">
      <c r="A16" s="37" t="s">
        <v>780</v>
      </c>
      <c r="B16" s="7"/>
      <c r="C16" s="22" t="s">
        <v>99</v>
      </c>
      <c r="D16" s="22" t="s">
        <v>655</v>
      </c>
      <c r="E16" s="13">
        <v>42662.182071759256</v>
      </c>
      <c r="F16" s="13"/>
      <c r="G16" s="7"/>
      <c r="H16" s="13"/>
      <c r="I16" s="13"/>
      <c r="J16" s="7">
        <v>0</v>
      </c>
      <c r="K16" s="112" t="str">
        <f t="shared" si="4"/>
        <v>-1/</v>
      </c>
      <c r="L16" s="22" t="e">
        <f>VLOOKUP(A16,'Trips&amp;Operators'!$C$1:$E$10000,3,FALSE)</f>
        <v>#N/A</v>
      </c>
      <c r="M16" s="6">
        <f t="shared" si="5"/>
        <v>0</v>
      </c>
      <c r="N16" s="7"/>
      <c r="O16" s="7"/>
      <c r="P16" s="7">
        <v>1</v>
      </c>
      <c r="Q16" s="23"/>
      <c r="R16" s="23" t="s">
        <v>781</v>
      </c>
      <c r="S16" s="35">
        <f t="shared" si="6"/>
        <v>0</v>
      </c>
      <c r="T16" s="50" t="str">
        <f t="shared" si="7"/>
        <v>Southbound</v>
      </c>
      <c r="U16" s="18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8" t="str">
        <f t="shared" si="8"/>
        <v>https://search-rtdc-monitor-bjffxe2xuh6vdkpspy63sjmuny.us-east-1.es.amazonaws.com/_plugin/kibana/#/discover/Steve-Slow-Train-Analysis-(2080s-and-2083s)?_g=(refreshInterval:(display:Off,section:0,value:0),time:(from:'2016-10-19 03:22:11-0600',mode:absolute,to:'1900-01-00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6" s="52" t="e">
        <f t="shared" si="9"/>
        <v>#VALUE!</v>
      </c>
      <c r="X16" s="174">
        <f t="shared" si="10"/>
        <v>1</v>
      </c>
      <c r="Y16" s="67">
        <f t="shared" si="11"/>
        <v>6.4199999999999993E-2</v>
      </c>
      <c r="Z16" s="67" t="e">
        <f t="shared" si="12"/>
        <v>#VALUE!</v>
      </c>
      <c r="AA16" s="67" t="e">
        <f t="shared" si="13"/>
        <v>#VALUE!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4"/>
        <v>0104-19</v>
      </c>
      <c r="AE16" s="91" t="str">
        <f t="shared" si="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" s="88" t="str">
        <f t="shared" si="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6" s="1" t="str">
        <f t="shared" si="15"/>
        <v>EC</v>
      </c>
      <c r="AH16" s="92" t="str">
        <f t="shared" si="16"/>
        <v>"%USERPROFILE%\Documents\GitHub\eaglep3\Utilities\RefineRTDCRunTimes.py" --tripid 104-19 --locoid  --swversion DE.1.0.7.0 --startMP 204:642 --initTime 2016-10-19T04:22:11 --startdatetime 1900-01-00T00:00:00 --delay  --endMP  --enddatetime 1900-01-00T00:00:00 --enforcementcount 0 &gt;&gt;C:\Users\stu\Documents\GitHub\eaglep3-reporting\EC\2016-10-19-refined-times.txt</v>
      </c>
      <c r="AI16" s="122" t="e">
        <f t="shared" si="17"/>
        <v>#VALUE!</v>
      </c>
      <c r="AJ16" s="53"/>
      <c r="AK16" s="53"/>
      <c r="AL16" s="53"/>
    </row>
    <row r="17" spans="1:91" s="1" customFormat="1" x14ac:dyDescent="0.25">
      <c r="A17" s="37" t="s">
        <v>467</v>
      </c>
      <c r="B17" s="7">
        <v>4014</v>
      </c>
      <c r="C17" s="22" t="s">
        <v>99</v>
      </c>
      <c r="D17" s="22" t="s">
        <v>655</v>
      </c>
      <c r="E17" s="13">
        <v>42662.182071759256</v>
      </c>
      <c r="F17" s="13">
        <v>42662.184074074074</v>
      </c>
      <c r="G17" s="7">
        <v>1</v>
      </c>
      <c r="H17" s="13" t="s">
        <v>329</v>
      </c>
      <c r="I17" s="13">
        <v>42662.210497685184</v>
      </c>
      <c r="J17" s="7">
        <v>0</v>
      </c>
      <c r="K17" s="112" t="str">
        <f t="shared" si="4"/>
        <v>4013/4014</v>
      </c>
      <c r="L17" s="22" t="str">
        <f>VLOOKUP(A17,'Trips&amp;Operators'!$C$1:$E$10000,3,FALSE)</f>
        <v>MAELZER</v>
      </c>
      <c r="M17" s="6">
        <f t="shared" si="5"/>
        <v>2.6423611110658385E-2</v>
      </c>
      <c r="N17" s="7">
        <f t="shared" ref="N17" si="18">24*60*SUM($M17:$M17)</f>
        <v>38.049999999348074</v>
      </c>
      <c r="O17" s="7"/>
      <c r="P17" s="7"/>
      <c r="Q17" s="23"/>
      <c r="R17" s="23"/>
      <c r="S17" s="35">
        <f t="shared" si="6"/>
        <v>1</v>
      </c>
      <c r="T17" s="50" t="str">
        <f t="shared" si="7"/>
        <v>NorthBound</v>
      </c>
      <c r="U17" s="18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8"/>
        <v>https://search-rtdc-monitor-bjffxe2xuh6vdkpspy63sjmuny.us-east-1.es.amazonaws.com/_plugin/kibana/#/discover/Steve-Slow-Train-Analysis-(2080s-and-2083s)?_g=(refreshInterval:(display:Off,section:0,value:0),time:(from:'2016-10-19 03:22:11-0600',mode:absolute,to:'2016-10-19 06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9"/>
        <v>N</v>
      </c>
      <c r="X17" s="174">
        <f t="shared" si="10"/>
        <v>1</v>
      </c>
      <c r="Y17" s="67">
        <f t="shared" si="11"/>
        <v>6.4199999999999993E-2</v>
      </c>
      <c r="Z17" s="67">
        <f t="shared" si="12"/>
        <v>23.3307</v>
      </c>
      <c r="AA17" s="67">
        <f t="shared" si="13"/>
        <v>23.266500000000001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4"/>
        <v>0105-19</v>
      </c>
      <c r="AE17" s="91" t="str">
        <f t="shared" si="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17" s="88" t="str">
        <f t="shared" si="1"/>
        <v>"C:\Program Files (x86)\AstroGrep\AstroGrep.exe" /spath="%USERPROFILE%\AppData\Local\Temp\OnboardLogs" /stypes="app*4014*20161019*" /stext=" 11:.+((SYSTEM_STATE.+slice.+state.+changed )|(ment ac)|(system.+state.+changed )|(\[timeout)|(PRM\|1\|D)|(kpr)|(kdp)|(\|lc)|(penalty))" /e /r /s</v>
      </c>
      <c r="AG17" s="1" t="str">
        <f t="shared" si="15"/>
        <v>EC</v>
      </c>
      <c r="AH17" s="92" t="str">
        <f t="shared" si="16"/>
        <v>"%USERPROFILE%\Documents\GitHub\eaglep3\Utilities\RefineRTDCRunTimes.py" --tripid 105-19 --locoid 4014 --swversion DE.1.0.7.0 --startMP 204:642 --initTime 2016-10-19T04:22:11 --startdatetime 2016-10-19T04:25:04 --delay 1 --endMP 204:233307 --enddatetime 2016-10-19T05:03:07 --enforcementcount 0 &gt;&gt;C:\Users\stu\Documents\GitHub\eaglep3-reporting\EC\2016-10-19-refined-times.txt</v>
      </c>
      <c r="AI17" s="122" t="str">
        <f t="shared" si="17"/>
        <v>echo {"issue":{"subject":"","project_id":79,"tracker_id":40,"status_id":1,"priority_id":2,"assigned_to_id":23,"start_date":"2016-10-19","description":"","custom_fields":[{"id":1,"name":"Subdivision","value":"EC"},{"id":4,"name":"Milepost","value":"23.3307"},{"id":17,"name":"Train ID","value":"105-19"},{"id":16,"name":"Locomotive ID","value":"4014"},{"id":130,"name":"Impact","value":""},{"id":150,"name":"Time of Event (Mountain Time)","value":"05:03:07"},{"id":151,"name":"Denver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</row>
    <row r="18" spans="1:91" s="1" customFormat="1" x14ac:dyDescent="0.25">
      <c r="A18" s="37" t="s">
        <v>476</v>
      </c>
      <c r="B18" s="7">
        <v>4028</v>
      </c>
      <c r="C18" s="22" t="s">
        <v>99</v>
      </c>
      <c r="D18" s="22" t="s">
        <v>656</v>
      </c>
      <c r="E18" s="13">
        <v>42662.215844907405</v>
      </c>
      <c r="F18" s="13">
        <v>42662.217256944445</v>
      </c>
      <c r="G18" s="7">
        <v>1</v>
      </c>
      <c r="H18" s="13" t="s">
        <v>298</v>
      </c>
      <c r="I18" s="13">
        <v>42662.243067129632</v>
      </c>
      <c r="J18" s="7">
        <v>0</v>
      </c>
      <c r="K18" s="112" t="str">
        <f t="shared" ref="K18:K49" si="19">IF(ISEVEN(B18),(B18-1)&amp;"/"&amp;B18,B18&amp;"/"&amp;(B18+1))</f>
        <v>4027/4028</v>
      </c>
      <c r="L18" s="22" t="str">
        <f>VLOOKUP(A18,'Trips&amp;Operators'!$C$1:$E$10000,3,FALSE)</f>
        <v>MAELZER</v>
      </c>
      <c r="M18" s="6">
        <f t="shared" ref="M18:M49" si="20">I18-F18</f>
        <v>2.5810185186855961E-2</v>
      </c>
      <c r="N18" s="7">
        <f t="shared" ref="N18:N50" si="21">24*60*SUM($M18:$M18)</f>
        <v>37.166666669072583</v>
      </c>
      <c r="O18" s="7"/>
      <c r="P18" s="7"/>
      <c r="Q18" s="23"/>
      <c r="R18" s="23"/>
      <c r="S18" s="35">
        <f t="shared" ref="S18:S49" si="22">SUM(U18:U18)/IF(AG18="EC",12,1)</f>
        <v>1</v>
      </c>
      <c r="T18" s="50" t="str">
        <f t="shared" ref="T18:T49" si="23">IF(ISEVEN(LEFT(AD18,4)),"Southbound","NorthBound")</f>
        <v>Southbound</v>
      </c>
      <c r="U18" s="18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ref="V18:V49" si="24"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https://search-rtdc-monitor-bjffxe2xuh6vdkpspy63sjmuny.us-east-1.es.amazonaws.com/_plugin/kibana/#/discover/Steve-Slow-Train-Analysis-(2080s-and-2083s)?_g=(refreshInterval:(display:Off,section:0,value:0),time:(from:'2016-10-19 04:10:49-0600',mode:absolute,to:'2016-10-19 06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" s="52" t="str">
        <f t="shared" ref="W18:W49" si="25">IF(AA18&lt;IF(AG18="EC",23,5.65),"Y","N")</f>
        <v>N</v>
      </c>
      <c r="X18" s="174">
        <f t="shared" si="10"/>
        <v>1</v>
      </c>
      <c r="Y18" s="67">
        <f t="shared" ref="Y18:Y49" si="26">RIGHT(D18,LEN(D18)-4)/10000</f>
        <v>23.267499999999998</v>
      </c>
      <c r="Z18" s="67">
        <f t="shared" ref="Z18:Z50" si="27">RIGHT(H18,LEN(H18)-4)/10000</f>
        <v>1.3899999999999999E-2</v>
      </c>
      <c r="AA18" s="67">
        <f t="shared" ref="AA18:AA49" si="28">ABS(Z18-Y18)</f>
        <v>23.253599999999999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ref="AD18:AD49" si="29">IF(LEN(A18)=6,"0"&amp;A18,A18)</f>
        <v>0106-19</v>
      </c>
      <c r="AE18" s="91" t="str">
        <f t="shared" si="0"/>
        <v>aws s3 cp s3://rtdc.mdm.uploadarchive.raw/RTDC4028/ "%USERPROFILE%\AppData\Local\Temp\OnboardLogs"\RTDC4028\2016-10-19 --exclude "*" --recursive --include "*20161019*" &amp; "%USERPROFILE%\Documents\GitHub\mrs-test-scripts\Headless Mode &amp; Sideloading\WalkAndUnGZ.bat" "%USERPROFILE%\AppData\Local\Temp\OnboardLogs"\RTDC4028\2016-10-19 &amp; aws s3 cp s3://rtdc.mdm.uploadarchive.raw/RTDC4028/ "%USERPROFILE%\AppData\Local\Temp\OnboardLogs"\RTDC4028\2016-10-20 --exclude "*" --recursive --include "*20161020*" &amp; "%USERPROFILE%\Documents\GitHub\mrs-test-scripts\Headless Mode &amp; Sideloading\WalkAndUnGZ.bat" "%USERPROFILE%\AppData\Local\Temp\OnboardLogs"\RTDC4028\2016-10-20</v>
      </c>
      <c r="AF18" s="88" t="str">
        <f t="shared" si="1"/>
        <v>"C:\Program Files (x86)\AstroGrep\AstroGrep.exe" /spath="%USERPROFILE%\AppData\Local\Temp\OnboardLogs" /stypes="app*4028*20161019*" /stext=" 11:.+((SYSTEM_STATE.+slice.+state.+changed )|(ment ac)|(system.+state.+changed )|(\[timeout)|(PRM\|1\|D)|(kpr)|(kdp)|(\|lc)|(penalty))" /e /r /s</v>
      </c>
      <c r="AG18" s="1" t="str">
        <f t="shared" ref="AG18:AG49" si="30">IFERROR(IF(VALUE(LEFT(AD18,2))&lt;=2,"EC",IF(OR(VALUE(LEFT(AD18,2))=8,VALUE(LEFT(AD18,2))=18),"NW","Other")),"Other")</f>
        <v>EC</v>
      </c>
      <c r="AH18" s="92" t="str">
        <f t="shared" ref="AH18:AH79" si="31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106-19 --locoid 4028 --swversion DE.1.0.7.0 --startMP 204:232675 --initTime 2016-10-19T05:10:49 --startdatetime 2016-10-19T05:12:51 --delay 1 --endMP 204:139 --enddatetime 2016-10-19T05:50:01 --enforcementcount 0 &gt;&gt;C:\Users\stu\Documents\GitHub\eaglep3-reporting\EC\2016-10-19-refined-times.txt</v>
      </c>
      <c r="AI18" s="122" t="str">
        <f t="shared" ref="AI18:AI79" si="32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{"issue":{"subject":"","project_id":79,"tracker_id":40,"status_id":1,"priority_id":2,"assigned_to_id":23,"start_date":"2016-10-19","description":"","custom_fields":[{"id":1,"name":"Subdivision","value":"EC"},{"id":4,"name":"Milepost","value":"0.0139"},{"id":17,"name":"Train ID","value":"106-19"},{"id":16,"name":"Locomotive ID","value":"4028"},{"id":130,"name":"Impact","value":""},{"id":150,"name":"Time of Event (Mountain Time)","value":"05:50:01"},{"id":151,"name":"Denver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469</v>
      </c>
      <c r="B19" s="7">
        <v>4002</v>
      </c>
      <c r="C19" s="22" t="s">
        <v>99</v>
      </c>
      <c r="D19" s="22" t="s">
        <v>657</v>
      </c>
      <c r="E19" s="13">
        <v>42662.189375000002</v>
      </c>
      <c r="F19" s="13">
        <v>42662.191550925927</v>
      </c>
      <c r="G19" s="7">
        <v>1</v>
      </c>
      <c r="H19" s="13" t="s">
        <v>335</v>
      </c>
      <c r="I19" s="13">
        <v>42662.218495370369</v>
      </c>
      <c r="J19" s="7">
        <v>0</v>
      </c>
      <c r="K19" s="112" t="str">
        <f t="shared" si="19"/>
        <v>4001/4002</v>
      </c>
      <c r="L19" s="22" t="str">
        <f>VLOOKUP(A19,'Trips&amp;Operators'!$C$1:$E$10000,3,FALSE)</f>
        <v>ACKERMAN</v>
      </c>
      <c r="M19" s="6">
        <f t="shared" si="20"/>
        <v>2.6944444442051463E-2</v>
      </c>
      <c r="N19" s="7">
        <f t="shared" si="21"/>
        <v>38.799999996554106</v>
      </c>
      <c r="O19" s="7"/>
      <c r="P19" s="7"/>
      <c r="Q19" s="23"/>
      <c r="R19" s="23"/>
      <c r="S19" s="35">
        <f t="shared" si="22"/>
        <v>1</v>
      </c>
      <c r="T19" s="50" t="str">
        <f t="shared" si="23"/>
        <v>NorthBound</v>
      </c>
      <c r="U19" s="18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03:32:42-0600',mode:absolute,to:'2016-10-19 06:14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" s="52" t="str">
        <f t="shared" si="25"/>
        <v>N</v>
      </c>
      <c r="X19" s="174">
        <f t="shared" si="10"/>
        <v>1</v>
      </c>
      <c r="Y19" s="67">
        <f t="shared" si="26"/>
        <v>6.4600000000000005E-2</v>
      </c>
      <c r="Z19" s="67">
        <f t="shared" si="27"/>
        <v>23.333400000000001</v>
      </c>
      <c r="AA19" s="67">
        <f t="shared" si="28"/>
        <v>23.268800000000002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29"/>
        <v>0107-19</v>
      </c>
      <c r="AE19" s="91" t="str">
        <f t="shared" si="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19" s="88" t="str">
        <f t="shared" si="1"/>
        <v>"C:\Program Files (x86)\AstroGrep\AstroGrep.exe" /spath="%USERPROFILE%\AppData\Local\Temp\OnboardLogs" /stypes="app*4002*20161019*" /stext=" 11:.+((SYSTEM_STATE.+slice.+state.+changed )|(ment ac)|(system.+state.+changed )|(\[timeout)|(PRM\|1\|D)|(kpr)|(kdp)|(\|lc)|(penalty))" /e /r /s</v>
      </c>
      <c r="AG19" s="1" t="str">
        <f t="shared" si="30"/>
        <v>EC</v>
      </c>
      <c r="AH19" s="92" t="str">
        <f t="shared" si="31"/>
        <v>"%USERPROFILE%\Documents\GitHub\eaglep3\Utilities\RefineRTDCRunTimes.py" --tripid 107-19 --locoid 4002 --swversion DE.1.0.7.0 --startMP 204:646 --initTime 2016-10-19T04:32:42 --startdatetime 2016-10-19T04:35:50 --delay 1 --endMP 204:233334 --enddatetime 2016-10-19T05:14:38 --enforcementcount 0 &gt;&gt;C:\Users\stu\Documents\GitHub\eaglep3-reporting\EC\2016-10-19-refined-times.txt</v>
      </c>
      <c r="AI19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{"issue":{"subject":"","project_id":79,"tracker_id":40,"status_id":1,"priority_id":2,"assigned_to_id":23,"start_date":"2016-10-19","description":"","custom_fields":[{"id":1,"name":"Subdivision","value":"EC"},{"id":4,"name":"Milepost","value":"23.3334"},{"id":17,"name":"Train ID","value":"107-19"},{"id":16,"name":"Locomotive ID","value":"4002"},{"id":130,"name":"Impact","value":""},{"id":150,"name":"Time of Event (Mountain Time)","value":"05:14:38"},{"id":151,"name":"Denver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479</v>
      </c>
      <c r="B20" s="7">
        <v>4001</v>
      </c>
      <c r="C20" s="22" t="s">
        <v>99</v>
      </c>
      <c r="D20" s="22" t="s">
        <v>324</v>
      </c>
      <c r="E20" s="13">
        <v>42662.220451388886</v>
      </c>
      <c r="F20" s="13">
        <v>42662.226712962962</v>
      </c>
      <c r="G20" s="7">
        <v>1</v>
      </c>
      <c r="H20" s="13" t="s">
        <v>224</v>
      </c>
      <c r="I20" s="13">
        <v>42662.253969907404</v>
      </c>
      <c r="J20" s="7">
        <v>0</v>
      </c>
      <c r="K20" s="112" t="str">
        <f t="shared" si="19"/>
        <v>4001/4002</v>
      </c>
      <c r="L20" s="22" t="str">
        <f>VLOOKUP(A20,'Trips&amp;Operators'!$C$1:$E$10000,3,FALSE)</f>
        <v>ACKERMAN</v>
      </c>
      <c r="M20" s="6">
        <f t="shared" si="20"/>
        <v>2.7256944442342501E-2</v>
      </c>
      <c r="N20" s="7">
        <f t="shared" si="21"/>
        <v>39.249999996973202</v>
      </c>
      <c r="O20" s="7"/>
      <c r="P20" s="7"/>
      <c r="Q20" s="23"/>
      <c r="R20" s="23"/>
      <c r="S20" s="35">
        <f t="shared" si="22"/>
        <v>1</v>
      </c>
      <c r="T20" s="50" t="str">
        <f t="shared" si="23"/>
        <v>Southbound</v>
      </c>
      <c r="U20" s="18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04:17:27-0600',mode:absolute,to:'2016-10-19 07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" s="52" t="str">
        <f t="shared" si="25"/>
        <v>N</v>
      </c>
      <c r="X20" s="174">
        <f t="shared" si="10"/>
        <v>1</v>
      </c>
      <c r="Y20" s="67">
        <f t="shared" si="26"/>
        <v>23.298300000000001</v>
      </c>
      <c r="Z20" s="67">
        <f t="shared" si="27"/>
        <v>1.61E-2</v>
      </c>
      <c r="AA20" s="67">
        <f t="shared" si="28"/>
        <v>23.2822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29"/>
        <v>0108-19</v>
      </c>
      <c r="AE20" s="91" t="str">
        <f t="shared" si="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20" s="88" t="str">
        <f t="shared" si="1"/>
        <v>"C:\Program Files (x86)\AstroGrep\AstroGrep.exe" /spath="%USERPROFILE%\AppData\Local\Temp\OnboardLogs" /stypes="app*4001*20161019*" /stext=" 12:.+((SYSTEM_STATE.+slice.+state.+changed )|(ment ac)|(system.+state.+changed )|(\[timeout)|(PRM\|1\|D)|(kpr)|(kdp)|(\|lc)|(penalty))" /e /r /s</v>
      </c>
      <c r="AG20" s="1" t="str">
        <f t="shared" si="30"/>
        <v>EC</v>
      </c>
      <c r="AH20" s="92" t="str">
        <f t="shared" si="31"/>
        <v>"%USERPROFILE%\Documents\GitHub\eaglep3\Utilities\RefineRTDCRunTimes.py" --tripid 108-19 --locoid 4001 --swversion DE.1.0.7.0 --startMP 204:232983 --initTime 2016-10-19T05:17:27 --startdatetime 2016-10-19T05:26:28 --delay 1 --endMP 204:161 --enddatetime 2016-10-19T06:05:43 --enforcementcount 0 &gt;&gt;C:\Users\stu\Documents\GitHub\eaglep3-reporting\EC\2016-10-19-refined-times.txt</v>
      </c>
      <c r="AI20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{"issue":{"subject":"","project_id":79,"tracker_id":40,"status_id":1,"priority_id":2,"assigned_to_id":23,"start_date":"2016-10-19","description":"","custom_fields":[{"id":1,"name":"Subdivision","value":"EC"},{"id":4,"name":"Milepost","value":"0.0161"},{"id":17,"name":"Train ID","value":"108-19"},{"id":16,"name":"Locomotive ID","value":"4001"},{"id":130,"name":"Impact","value":""},{"id":150,"name":"Time of Event (Mountain Time)","value":"06:05:43"},{"id":151,"name":"Denver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470</v>
      </c>
      <c r="B21" s="7">
        <v>4040</v>
      </c>
      <c r="C21" s="22" t="s">
        <v>99</v>
      </c>
      <c r="D21" s="22" t="s">
        <v>658</v>
      </c>
      <c r="E21" s="13">
        <v>42662.194166666668</v>
      </c>
      <c r="F21" s="13">
        <v>42662.198206018518</v>
      </c>
      <c r="G21" s="7">
        <v>1</v>
      </c>
      <c r="H21" s="13" t="s">
        <v>244</v>
      </c>
      <c r="I21" s="13">
        <v>42662.223958333336</v>
      </c>
      <c r="J21" s="7">
        <v>0</v>
      </c>
      <c r="K21" s="112" t="str">
        <f t="shared" si="19"/>
        <v>4039/4040</v>
      </c>
      <c r="L21" s="22" t="str">
        <f>VLOOKUP(A21,'Trips&amp;Operators'!$C$1:$E$10000,3,FALSE)</f>
        <v>GRASTON</v>
      </c>
      <c r="M21" s="6">
        <f t="shared" si="20"/>
        <v>2.5752314817509614E-2</v>
      </c>
      <c r="N21" s="7">
        <f t="shared" si="21"/>
        <v>37.083333337213844</v>
      </c>
      <c r="O21" s="7"/>
      <c r="P21" s="7"/>
      <c r="Q21" s="23"/>
      <c r="R21" s="23"/>
      <c r="S21" s="35">
        <f t="shared" si="22"/>
        <v>1</v>
      </c>
      <c r="T21" s="50" t="str">
        <f t="shared" si="23"/>
        <v>NorthBound</v>
      </c>
      <c r="U21" s="18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03:39:36-0600',mode:absolute,to:'2016-10-19 06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" s="52" t="str">
        <f t="shared" si="25"/>
        <v>N</v>
      </c>
      <c r="X21" s="174">
        <f t="shared" si="10"/>
        <v>1</v>
      </c>
      <c r="Y21" s="67">
        <f t="shared" si="26"/>
        <v>3.2899999999999999E-2</v>
      </c>
      <c r="Z21" s="67">
        <f t="shared" si="27"/>
        <v>23.329899999999999</v>
      </c>
      <c r="AA21" s="67">
        <f t="shared" si="28"/>
        <v>23.296999999999997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29"/>
        <v>0109-19</v>
      </c>
      <c r="AE21" s="91" t="str">
        <f t="shared" si="0"/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21" s="88" t="str">
        <f t="shared" si="1"/>
        <v>"C:\Program Files (x86)\AstroGrep\AstroGrep.exe" /spath="%USERPROFILE%\AppData\Local\Temp\OnboardLogs" /stypes="app*4040*20161019*" /stext=" 11:.+((SYSTEM_STATE.+slice.+state.+changed )|(ment ac)|(system.+state.+changed )|(\[timeout)|(PRM\|1\|D)|(kpr)|(kdp)|(\|lc)|(penalty))" /e /r /s</v>
      </c>
      <c r="AG21" s="1" t="str">
        <f t="shared" si="30"/>
        <v>EC</v>
      </c>
      <c r="AH21" s="92" t="str">
        <f t="shared" si="31"/>
        <v>"%USERPROFILE%\Documents\GitHub\eaglep3\Utilities\RefineRTDCRunTimes.py" --tripid 109-19 --locoid 4040 --swversion DE.1.0.7.0 --startMP 204:329 --initTime 2016-10-19T04:39:36 --startdatetime 2016-10-19T04:45:25 --delay 1 --endMP 204:233299 --enddatetime 2016-10-19T05:22:30 --enforcementcount 0 &gt;&gt;C:\Users\stu\Documents\GitHub\eaglep3-reporting\EC\2016-10-19-refined-times.txt</v>
      </c>
      <c r="AI21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{"issue":{"subject":"","project_id":79,"tracker_id":40,"status_id":1,"priority_id":2,"assigned_to_id":23,"start_date":"2016-10-19","description":"","custom_fields":[{"id":1,"name":"Subdivision","value":"EC"},{"id":4,"name":"Milepost","value":"23.3299"},{"id":17,"name":"Train ID","value":"109-19"},{"id":16,"name":"Locomotive ID","value":"4040"},{"id":130,"name":"Impact","value":""},{"id":150,"name":"Time of Event (Mountain Time)","value":"05:22:30"},{"id":151,"name":"Denver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480</v>
      </c>
      <c r="B22" s="7">
        <v>4039</v>
      </c>
      <c r="C22" s="22" t="s">
        <v>99</v>
      </c>
      <c r="D22" s="22" t="s">
        <v>237</v>
      </c>
      <c r="E22" s="13">
        <v>42662.225682870368</v>
      </c>
      <c r="F22" s="13">
        <v>42662.237037037034</v>
      </c>
      <c r="G22" s="7">
        <v>1</v>
      </c>
      <c r="H22" s="13" t="s">
        <v>246</v>
      </c>
      <c r="I22" s="13">
        <v>42662.264351851853</v>
      </c>
      <c r="J22" s="7">
        <v>0</v>
      </c>
      <c r="K22" s="112" t="str">
        <f t="shared" si="19"/>
        <v>4039/4040</v>
      </c>
      <c r="L22" s="22" t="str">
        <f>VLOOKUP(A22,'Trips&amp;Operators'!$C$1:$E$10000,3,FALSE)</f>
        <v>GRASTON</v>
      </c>
      <c r="M22" s="6">
        <f t="shared" si="20"/>
        <v>2.7314814818964805E-2</v>
      </c>
      <c r="N22" s="7">
        <f t="shared" si="21"/>
        <v>39.33333333930932</v>
      </c>
      <c r="O22" s="7"/>
      <c r="P22" s="7"/>
      <c r="Q22" s="23"/>
      <c r="R22" s="23"/>
      <c r="S22" s="35">
        <f t="shared" si="22"/>
        <v>1</v>
      </c>
      <c r="T22" s="50" t="str">
        <f t="shared" si="23"/>
        <v>Southbound</v>
      </c>
      <c r="U22" s="18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04:24:59-0600',mode:absolute,to:'2016-10-19 07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" s="52" t="str">
        <f t="shared" si="25"/>
        <v>N</v>
      </c>
      <c r="X22" s="174">
        <f t="shared" ref="X22:X30" si="33">VALUE(LEFT(AD22,4))-VALUE(LEFT(AD21,4))</f>
        <v>1</v>
      </c>
      <c r="Y22" s="67">
        <f t="shared" si="26"/>
        <v>23.298200000000001</v>
      </c>
      <c r="Z22" s="67">
        <f t="shared" si="27"/>
        <v>1.6E-2</v>
      </c>
      <c r="AA22" s="67">
        <f t="shared" si="28"/>
        <v>23.282200000000003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29"/>
        <v>0110-19</v>
      </c>
      <c r="AE22" s="91" t="str">
        <f t="shared" si="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22" s="88" t="str">
        <f t="shared" si="1"/>
        <v>"C:\Program Files (x86)\AstroGrep\AstroGrep.exe" /spath="%USERPROFILE%\AppData\Local\Temp\OnboardLogs" /stypes="app*4039*20161019*" /stext=" 12:.+((SYSTEM_STATE.+slice.+state.+changed )|(ment ac)|(system.+state.+changed )|(\[timeout)|(PRM\|1\|D)|(kpr)|(kdp)|(\|lc)|(penalty))" /e /r /s</v>
      </c>
      <c r="AG22" s="1" t="str">
        <f t="shared" si="30"/>
        <v>EC</v>
      </c>
      <c r="AH22" s="92" t="str">
        <f t="shared" si="31"/>
        <v>"%USERPROFILE%\Documents\GitHub\eaglep3\Utilities\RefineRTDCRunTimes.py" --tripid 110-19 --locoid 4039 --swversion DE.1.0.7.0 --startMP 204:232982 --initTime 2016-10-19T05:24:59 --startdatetime 2016-10-19T05:41:20 --delay 1 --endMP 204:160 --enddatetime 2016-10-19T06:20:40 --enforcementcount 0 &gt;&gt;C:\Users\stu\Documents\GitHub\eaglep3-reporting\EC\2016-10-19-refined-times.txt</v>
      </c>
      <c r="AI22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{"issue":{"subject":"","project_id":79,"tracker_id":40,"status_id":1,"priority_id":2,"assigned_to_id":23,"start_date":"2016-10-19","description":"","custom_fields":[{"id":1,"name":"Subdivision","value":"EC"},{"id":4,"name":"Milepost","value":"0.016"},{"id":17,"name":"Train ID","value":"110-19"},{"id":16,"name":"Locomotive ID","value":"4039"},{"id":130,"name":"Impact","value":""},{"id":150,"name":"Time of Event (Mountain Time)","value":"06:20:40"},{"id":151,"name":"Denver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471</v>
      </c>
      <c r="B23" s="7">
        <v>4046</v>
      </c>
      <c r="C23" s="22" t="s">
        <v>99</v>
      </c>
      <c r="D23" s="22" t="s">
        <v>659</v>
      </c>
      <c r="E23" s="13">
        <v>42662.204108796293</v>
      </c>
      <c r="F23" s="13">
        <v>42662.20857638889</v>
      </c>
      <c r="G23" s="7">
        <v>1</v>
      </c>
      <c r="H23" s="13" t="s">
        <v>660</v>
      </c>
      <c r="I23" s="13">
        <v>42662.233206018522</v>
      </c>
      <c r="J23" s="7">
        <v>0</v>
      </c>
      <c r="K23" s="112" t="str">
        <f t="shared" si="19"/>
        <v>4045/4046</v>
      </c>
      <c r="L23" s="22" t="str">
        <f>VLOOKUP(A23,'Trips&amp;Operators'!$C$1:$E$10000,3,FALSE)</f>
        <v>ROCHA</v>
      </c>
      <c r="M23" s="6">
        <f t="shared" si="20"/>
        <v>2.4629629631817807E-2</v>
      </c>
      <c r="N23" s="7">
        <f t="shared" si="21"/>
        <v>35.466666669817641</v>
      </c>
      <c r="O23" s="7"/>
      <c r="P23" s="7"/>
      <c r="Q23" s="23"/>
      <c r="R23" s="23"/>
      <c r="S23" s="35">
        <f t="shared" si="22"/>
        <v>1</v>
      </c>
      <c r="T23" s="50" t="str">
        <f t="shared" si="23"/>
        <v>NorthBound</v>
      </c>
      <c r="U23" s="18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03:53:55-0600',mode:absolute,to:'2016-10-19 06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" s="52" t="str">
        <f t="shared" si="25"/>
        <v>N</v>
      </c>
      <c r="X23" s="174">
        <f t="shared" si="33"/>
        <v>1</v>
      </c>
      <c r="Y23" s="67">
        <f t="shared" si="26"/>
        <v>7.7200000000000005E-2</v>
      </c>
      <c r="Z23" s="67">
        <f t="shared" si="27"/>
        <v>23.327400000000001</v>
      </c>
      <c r="AA23" s="67">
        <f t="shared" si="28"/>
        <v>23.2502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29"/>
        <v>0111-19</v>
      </c>
      <c r="AE23" s="91" t="str">
        <f t="shared" si="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23" s="88" t="str">
        <f t="shared" si="1"/>
        <v>"C:\Program Files (x86)\AstroGrep\AstroGrep.exe" /spath="%USERPROFILE%\AppData\Local\Temp\OnboardLogs" /stypes="app*4046*20161019*" /stext=" 11:.+((SYSTEM_STATE.+slice.+state.+changed )|(ment ac)|(system.+state.+changed )|(\[timeout)|(PRM\|1\|D)|(kpr)|(kdp)|(\|lc)|(penalty))" /e /r /s</v>
      </c>
      <c r="AG23" s="1" t="str">
        <f t="shared" si="30"/>
        <v>EC</v>
      </c>
      <c r="AH23" s="92" t="str">
        <f t="shared" si="31"/>
        <v>"%USERPROFILE%\Documents\GitHub\eaglep3\Utilities\RefineRTDCRunTimes.py" --tripid 111-19 --locoid 4046 --swversion DE.1.0.7.0 --startMP 204:772 --initTime 2016-10-19T04:53:55 --startdatetime 2016-10-19T05:00:21 --delay 1 --endMP 204:233274 --enddatetime 2016-10-19T05:35:49 --enforcementcount 0 &gt;&gt;C:\Users\stu\Documents\GitHub\eaglep3-reporting\EC\2016-10-19-refined-times.txt</v>
      </c>
      <c r="AI23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{"issue":{"subject":"","project_id":79,"tracker_id":40,"status_id":1,"priority_id":2,"assigned_to_id":23,"start_date":"2016-10-19","description":"","custom_fields":[{"id":1,"name":"Subdivision","value":"EC"},{"id":4,"name":"Milepost","value":"23.3274"},{"id":17,"name":"Train ID","value":"111-19"},{"id":16,"name":"Locomotive ID","value":"4046"},{"id":130,"name":"Impact","value":""},{"id":150,"name":"Time of Event (Mountain Time)","value":"05:35:49"},{"id":151,"name":"Denver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484</v>
      </c>
      <c r="B24" s="7">
        <v>4045</v>
      </c>
      <c r="C24" s="22" t="s">
        <v>99</v>
      </c>
      <c r="D24" s="22" t="s">
        <v>324</v>
      </c>
      <c r="E24" s="13">
        <v>42662.247627314813</v>
      </c>
      <c r="F24" s="13">
        <v>42662.249189814815</v>
      </c>
      <c r="G24" s="7">
        <v>1</v>
      </c>
      <c r="H24" s="13" t="s">
        <v>327</v>
      </c>
      <c r="I24" s="13">
        <v>42662.274525462963</v>
      </c>
      <c r="J24" s="7">
        <v>0</v>
      </c>
      <c r="K24" s="112" t="str">
        <f t="shared" si="19"/>
        <v>4045/4046</v>
      </c>
      <c r="L24" s="22" t="str">
        <f>VLOOKUP(A24,'Trips&amp;Operators'!$C$1:$E$10000,3,FALSE)</f>
        <v>ROCHA</v>
      </c>
      <c r="M24" s="6">
        <f t="shared" si="20"/>
        <v>2.5335648148029577E-2</v>
      </c>
      <c r="N24" s="7">
        <f t="shared" si="21"/>
        <v>36.483333333162591</v>
      </c>
      <c r="O24" s="7"/>
      <c r="P24" s="7"/>
      <c r="Q24" s="23"/>
      <c r="R24" s="23"/>
      <c r="S24" s="35">
        <f t="shared" si="22"/>
        <v>1</v>
      </c>
      <c r="T24" s="50" t="str">
        <f t="shared" si="23"/>
        <v>Southbound</v>
      </c>
      <c r="U24" s="18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04:56:35-0600',mode:absolute,to:'2016-10-19 07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4" s="52" t="str">
        <f t="shared" si="25"/>
        <v>N</v>
      </c>
      <c r="X24" s="174">
        <f t="shared" si="33"/>
        <v>1</v>
      </c>
      <c r="Y24" s="67">
        <f t="shared" si="26"/>
        <v>23.298300000000001</v>
      </c>
      <c r="Z24" s="67">
        <f t="shared" si="27"/>
        <v>1.5800000000000002E-2</v>
      </c>
      <c r="AA24" s="67">
        <f t="shared" si="28"/>
        <v>23.282500000000002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29"/>
        <v>0112-19</v>
      </c>
      <c r="AE24" s="91" t="str">
        <f t="shared" si="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24" s="88" t="str">
        <f t="shared" si="1"/>
        <v>"C:\Program Files (x86)\AstroGrep\AstroGrep.exe" /spath="%USERPROFILE%\AppData\Local\Temp\OnboardLogs" /stypes="app*4045*20161019*" /stext=" 12:.+((SYSTEM_STATE.+slice.+state.+changed )|(ment ac)|(system.+state.+changed )|(\[timeout)|(PRM\|1\|D)|(kpr)|(kdp)|(\|lc)|(penalty))" /e /r /s</v>
      </c>
      <c r="AG24" s="1" t="str">
        <f t="shared" si="30"/>
        <v>EC</v>
      </c>
      <c r="AH24" s="92" t="str">
        <f t="shared" si="31"/>
        <v>"%USERPROFILE%\Documents\GitHub\eaglep3\Utilities\RefineRTDCRunTimes.py" --tripid 112-19 --locoid 4045 --swversion DE.1.0.7.0 --startMP 204:232983 --initTime 2016-10-19T05:56:35 --startdatetime 2016-10-19T05:58:50 --delay 1 --endMP 204:158 --enddatetime 2016-10-19T06:35:19 --enforcementcount 0 &gt;&gt;C:\Users\stu\Documents\GitHub\eaglep3-reporting\EC\2016-10-19-refined-times.txt</v>
      </c>
      <c r="AI24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{"issue":{"subject":"","project_id":79,"tracker_id":40,"status_id":1,"priority_id":2,"assigned_to_id":23,"start_date":"2016-10-19","description":"","custom_fields":[{"id":1,"name":"Subdivision","value":"EC"},{"id":4,"name":"Milepost","value":"0.0158"},{"id":17,"name":"Train ID","value":"112-19"},{"id":16,"name":"Locomotive ID","value":"4045"},{"id":130,"name":"Impact","value":""},{"id":150,"name":"Time of Event (Mountain Time)","value":"06:35:19"},{"id":151,"name":"Denver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474</v>
      </c>
      <c r="B25" s="7">
        <v>4011</v>
      </c>
      <c r="C25" s="22" t="s">
        <v>99</v>
      </c>
      <c r="D25" s="22" t="s">
        <v>661</v>
      </c>
      <c r="E25" s="13">
        <v>42662.209004629629</v>
      </c>
      <c r="F25" s="13">
        <v>42662.218993055554</v>
      </c>
      <c r="G25" s="7">
        <v>1</v>
      </c>
      <c r="H25" s="13" t="s">
        <v>662</v>
      </c>
      <c r="I25" s="13">
        <v>42662.245706018519</v>
      </c>
      <c r="J25" s="7">
        <v>0</v>
      </c>
      <c r="K25" s="112" t="str">
        <f t="shared" si="19"/>
        <v>4011/4012</v>
      </c>
      <c r="L25" s="22" t="str">
        <f>VLOOKUP(A25,'Trips&amp;Operators'!$C$1:$E$10000,3,FALSE)</f>
        <v>STRICKLAND</v>
      </c>
      <c r="M25" s="6">
        <f t="shared" si="20"/>
        <v>2.6712962964666076E-2</v>
      </c>
      <c r="N25" s="7">
        <f t="shared" si="21"/>
        <v>38.466666669119149</v>
      </c>
      <c r="O25" s="7"/>
      <c r="P25" s="7"/>
      <c r="Q25" s="23"/>
      <c r="R25" s="23"/>
      <c r="S25" s="35">
        <f t="shared" si="22"/>
        <v>1</v>
      </c>
      <c r="T25" s="50" t="str">
        <f t="shared" si="23"/>
        <v>NorthBound</v>
      </c>
      <c r="U25" s="18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04:00:58-0600',mode:absolute,to:'2016-10-19 06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5" s="52" t="str">
        <f t="shared" si="25"/>
        <v>N</v>
      </c>
      <c r="X25" s="174">
        <f t="shared" si="33"/>
        <v>1</v>
      </c>
      <c r="Y25" s="67">
        <f t="shared" si="26"/>
        <v>4.7699999999999999E-2</v>
      </c>
      <c r="Z25" s="67">
        <f t="shared" si="27"/>
        <v>23.325900000000001</v>
      </c>
      <c r="AA25" s="67">
        <f t="shared" si="28"/>
        <v>23.278200000000002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29"/>
        <v>0113-19</v>
      </c>
      <c r="AE25" s="91" t="str">
        <f t="shared" si="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25" s="88" t="str">
        <f t="shared" si="1"/>
        <v>"C:\Program Files (x86)\AstroGrep\AstroGrep.exe" /spath="%USERPROFILE%\AppData\Local\Temp\OnboardLogs" /stypes="app*4011*20161019*" /stext=" 11:.+((SYSTEM_STATE.+slice.+state.+changed )|(ment ac)|(system.+state.+changed )|(\[timeout)|(PRM\|1\|D)|(kpr)|(kdp)|(\|lc)|(penalty))" /e /r /s</v>
      </c>
      <c r="AG25" s="1" t="str">
        <f t="shared" si="30"/>
        <v>EC</v>
      </c>
      <c r="AH25" s="92" t="str">
        <f t="shared" si="31"/>
        <v>"%USERPROFILE%\Documents\GitHub\eaglep3\Utilities\RefineRTDCRunTimes.py" --tripid 113-19 --locoid 4011 --swversion DE.1.0.7.0 --startMP 204:477 --initTime 2016-10-19T05:00:58 --startdatetime 2016-10-19T05:15:21 --delay 1 --endMP 204:233259 --enddatetime 2016-10-19T05:53:49 --enforcementcount 0 &gt;&gt;C:\Users\stu\Documents\GitHub\eaglep3-reporting\EC\2016-10-19-refined-times.txt</v>
      </c>
      <c r="AI25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{"issue":{"subject":"","project_id":79,"tracker_id":40,"status_id":1,"priority_id":2,"assigned_to_id":23,"start_date":"2016-10-19","description":"","custom_fields":[{"id":1,"name":"Subdivision","value":"EC"},{"id":4,"name":"Milepost","value":"23.3259"},{"id":17,"name":"Train ID","value":"113-19"},{"id":16,"name":"Locomotive ID","value":"4011"},{"id":130,"name":"Impact","value":""},{"id":150,"name":"Time of Event (Mountain Time)","value":"05:53:49"},{"id":151,"name":"Denver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485</v>
      </c>
      <c r="B26" s="7">
        <v>4012</v>
      </c>
      <c r="C26" s="22" t="s">
        <v>99</v>
      </c>
      <c r="D26" s="22" t="s">
        <v>663</v>
      </c>
      <c r="E26" s="13">
        <v>42662.252268518518</v>
      </c>
      <c r="F26" s="13">
        <v>42662.2578587963</v>
      </c>
      <c r="G26" s="7">
        <v>1</v>
      </c>
      <c r="H26" s="13" t="s">
        <v>245</v>
      </c>
      <c r="I26" s="13">
        <v>42662.286030092589</v>
      </c>
      <c r="J26" s="7">
        <v>0</v>
      </c>
      <c r="K26" s="112" t="str">
        <f t="shared" si="19"/>
        <v>4011/4012</v>
      </c>
      <c r="L26" s="22" t="str">
        <f>VLOOKUP(A26,'Trips&amp;Operators'!$C$1:$E$10000,3,FALSE)</f>
        <v>STRICKLAND</v>
      </c>
      <c r="M26" s="6">
        <f t="shared" si="20"/>
        <v>2.8171296289656311E-2</v>
      </c>
      <c r="N26" s="7">
        <f t="shared" si="21"/>
        <v>40.566666657105088</v>
      </c>
      <c r="O26" s="7"/>
      <c r="P26" s="7"/>
      <c r="Q26" s="23"/>
      <c r="R26" s="23"/>
      <c r="S26" s="35">
        <f t="shared" si="22"/>
        <v>1</v>
      </c>
      <c r="T26" s="50" t="str">
        <f t="shared" si="23"/>
        <v>Southbound</v>
      </c>
      <c r="U26" s="18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05:03:16-0600',mode:absolute,to:'2016-10-19 07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6" s="52" t="str">
        <f t="shared" si="25"/>
        <v>N</v>
      </c>
      <c r="X26" s="174">
        <f t="shared" si="33"/>
        <v>1</v>
      </c>
      <c r="Y26" s="67">
        <f t="shared" si="26"/>
        <v>23.2973</v>
      </c>
      <c r="Z26" s="67">
        <f t="shared" si="27"/>
        <v>1.67E-2</v>
      </c>
      <c r="AA26" s="67">
        <f t="shared" si="28"/>
        <v>23.2806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29"/>
        <v>0114-19</v>
      </c>
      <c r="AE26" s="91" t="str">
        <f t="shared" si="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26" s="88" t="str">
        <f t="shared" si="1"/>
        <v>"C:\Program Files (x86)\AstroGrep\AstroGrep.exe" /spath="%USERPROFILE%\AppData\Local\Temp\OnboardLogs" /stypes="app*4012*20161019*" /stext=" 12:.+((SYSTEM_STATE.+slice.+state.+changed )|(ment ac)|(system.+state.+changed )|(\[timeout)|(PRM\|1\|D)|(kpr)|(kdp)|(\|lc)|(penalty))" /e /r /s</v>
      </c>
      <c r="AG26" s="1" t="str">
        <f t="shared" si="30"/>
        <v>EC</v>
      </c>
      <c r="AH26" s="92" t="str">
        <f t="shared" si="31"/>
        <v>"%USERPROFILE%\Documents\GitHub\eaglep3\Utilities\RefineRTDCRunTimes.py" --tripid 114-19 --locoid 4012 --swversion DE.1.0.7.0 --startMP 204:232973 --initTime 2016-10-19T06:03:16 --startdatetime 2016-10-19T06:11:19 --delay 1 --endMP 204:167 --enddatetime 2016-10-19T06:51:53 --enforcementcount 0 &gt;&gt;C:\Users\stu\Documents\GitHub\eaglep3-reporting\EC\2016-10-19-refined-times.txt</v>
      </c>
      <c r="AI26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{"issue":{"subject":"","project_id":79,"tracker_id":40,"status_id":1,"priority_id":2,"assigned_to_id":23,"start_date":"2016-10-19","description":"","custom_fields":[{"id":1,"name":"Subdivision","value":"EC"},{"id":4,"name":"Milepost","value":"0.0167"},{"id":17,"name":"Train ID","value":"114-19"},{"id":16,"name":"Locomotive ID","value":"4012"},{"id":130,"name":"Impact","value":""},{"id":150,"name":"Time of Event (Mountain Time)","value":"06:51:53"},{"id":151,"name":"Denver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478</v>
      </c>
      <c r="B27" s="7">
        <v>4025</v>
      </c>
      <c r="C27" s="22" t="s">
        <v>99</v>
      </c>
      <c r="D27" s="22" t="s">
        <v>252</v>
      </c>
      <c r="E27" s="13">
        <v>42662.215787037036</v>
      </c>
      <c r="F27" s="13">
        <v>42662.229583333334</v>
      </c>
      <c r="G27" s="7">
        <v>4</v>
      </c>
      <c r="H27" s="13" t="s">
        <v>242</v>
      </c>
      <c r="I27" s="13">
        <v>42662.255706018521</v>
      </c>
      <c r="J27" s="7">
        <v>0</v>
      </c>
      <c r="K27" s="112" t="str">
        <f t="shared" si="19"/>
        <v>4025/4026</v>
      </c>
      <c r="L27" s="22" t="str">
        <f>VLOOKUP(A27,'Trips&amp;Operators'!$C$1:$E$10000,3,FALSE)</f>
        <v>BRANNON</v>
      </c>
      <c r="M27" s="6">
        <f t="shared" si="20"/>
        <v>2.6122685187146999E-2</v>
      </c>
      <c r="N27" s="7">
        <f t="shared" si="21"/>
        <v>37.616666669491678</v>
      </c>
      <c r="O27" s="7"/>
      <c r="P27" s="7"/>
      <c r="Q27" s="23"/>
      <c r="R27" s="23"/>
      <c r="S27" s="35">
        <f t="shared" si="22"/>
        <v>1</v>
      </c>
      <c r="T27" s="50" t="str">
        <f t="shared" si="23"/>
        <v>NorthBound</v>
      </c>
      <c r="U27" s="18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04:10:44-0600',mode:absolute,to:'2016-10-19 07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2" t="str">
        <f t="shared" si="25"/>
        <v>N</v>
      </c>
      <c r="X27" s="174">
        <f t="shared" si="33"/>
        <v>1</v>
      </c>
      <c r="Y27" s="67">
        <f t="shared" si="26"/>
        <v>4.6899999999999997E-2</v>
      </c>
      <c r="Z27" s="67">
        <f t="shared" si="27"/>
        <v>23.329499999999999</v>
      </c>
      <c r="AA27" s="67">
        <f t="shared" si="28"/>
        <v>23.282599999999999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29"/>
        <v>0115-19</v>
      </c>
      <c r="AE27" s="91" t="str">
        <f t="shared" si="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27" s="88" t="str">
        <f t="shared" si="1"/>
        <v>"C:\Program Files (x86)\AstroGrep\AstroGrep.exe" /spath="%USERPROFILE%\AppData\Local\Temp\OnboardLogs" /stypes="app*4025*20161019*" /stext=" 12:.+((SYSTEM_STATE.+slice.+state.+changed )|(ment ac)|(system.+state.+changed )|(\[timeout)|(PRM\|1\|D)|(kpr)|(kdp)|(\|lc)|(penalty))" /e /r /s</v>
      </c>
      <c r="AG27" s="1" t="str">
        <f t="shared" si="30"/>
        <v>EC</v>
      </c>
      <c r="AH27" s="92" t="str">
        <f t="shared" si="31"/>
        <v>"%USERPROFILE%\Documents\GitHub\eaglep3\Utilities\RefineRTDCRunTimes.py" --tripid 115-19 --locoid 4025 --swversion DE.1.0.7.0 --startMP 204:469 --initTime 2016-10-19T05:10:44 --startdatetime 2016-10-19T05:30:36 --delay 4 --endMP 204:233295 --enddatetime 2016-10-19T06:08:13 --enforcementcount 0 &gt;&gt;C:\Users\stu\Documents\GitHub\eaglep3-reporting\EC\2016-10-19-refined-times.txt</v>
      </c>
      <c r="AI27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{"issue":{"subject":"","project_id":79,"tracker_id":40,"status_id":1,"priority_id":2,"assigned_to_id":23,"start_date":"2016-10-19","description":"","custom_fields":[{"id":1,"name":"Subdivision","value":"EC"},{"id":4,"name":"Milepost","value":"23.3295"},{"id":17,"name":"Train ID","value":"115-19"},{"id":16,"name":"Locomotive ID","value":"4025"},{"id":130,"name":"Impact","value":""},{"id":150,"name":"Time of Event (Mountain Time)","value":"06:08:13"},{"id":151,"name":"Denver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487</v>
      </c>
      <c r="B28" s="7">
        <v>4026</v>
      </c>
      <c r="C28" s="22" t="s">
        <v>99</v>
      </c>
      <c r="D28" s="22" t="s">
        <v>300</v>
      </c>
      <c r="E28" s="13">
        <v>42662.261712962965</v>
      </c>
      <c r="F28" s="13">
        <v>42662.268217592595</v>
      </c>
      <c r="G28" s="7">
        <v>2</v>
      </c>
      <c r="H28" s="13" t="s">
        <v>224</v>
      </c>
      <c r="I28" s="13">
        <v>42662.295914351853</v>
      </c>
      <c r="J28" s="7">
        <v>0</v>
      </c>
      <c r="K28" s="112" t="str">
        <f t="shared" si="19"/>
        <v>4025/4026</v>
      </c>
      <c r="L28" s="22" t="str">
        <f>VLOOKUP(A28,'Trips&amp;Operators'!$C$1:$E$10000,3,FALSE)</f>
        <v>BRANNON</v>
      </c>
      <c r="M28" s="6">
        <f t="shared" si="20"/>
        <v>2.7696759258105885E-2</v>
      </c>
      <c r="N28" s="7">
        <f t="shared" si="21"/>
        <v>39.883333331672475</v>
      </c>
      <c r="O28" s="7"/>
      <c r="P28" s="7"/>
      <c r="Q28" s="23"/>
      <c r="R28" s="23"/>
      <c r="S28" s="35">
        <f t="shared" si="22"/>
        <v>1</v>
      </c>
      <c r="T28" s="50" t="str">
        <f t="shared" si="23"/>
        <v>Southbound</v>
      </c>
      <c r="U28" s="18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05:16:52-0600',mode:absolute,to:'2016-10-19 08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2" t="str">
        <f t="shared" si="25"/>
        <v>N</v>
      </c>
      <c r="X28" s="174">
        <f t="shared" si="33"/>
        <v>1</v>
      </c>
      <c r="Y28" s="67">
        <f t="shared" si="26"/>
        <v>23.298100000000002</v>
      </c>
      <c r="Z28" s="67">
        <f t="shared" si="27"/>
        <v>1.61E-2</v>
      </c>
      <c r="AA28" s="67">
        <f t="shared" si="28"/>
        <v>23.282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29"/>
        <v>0116-19</v>
      </c>
      <c r="AE28" s="91" t="str">
        <f t="shared" si="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28" s="88" t="str">
        <f t="shared" si="1"/>
        <v>"C:\Program Files (x86)\AstroGrep\AstroGrep.exe" /spath="%USERPROFILE%\AppData\Local\Temp\OnboardLogs" /stypes="app*4026*20161019*" /stext=" 13:.+((SYSTEM_STATE.+slice.+state.+changed )|(ment ac)|(system.+state.+changed )|(\[timeout)|(PRM\|1\|D)|(kpr)|(kdp)|(\|lc)|(penalty))" /e /r /s</v>
      </c>
      <c r="AG28" s="1" t="str">
        <f t="shared" si="30"/>
        <v>EC</v>
      </c>
      <c r="AH28" s="92" t="str">
        <f t="shared" si="31"/>
        <v>"%USERPROFILE%\Documents\GitHub\eaglep3\Utilities\RefineRTDCRunTimes.py" --tripid 116-19 --locoid 4026 --swversion DE.1.0.7.0 --startMP 204:232981 --initTime 2016-10-19T06:16:52 --startdatetime 2016-10-19T06:26:14 --delay 2 --endMP 204:161 --enddatetime 2016-10-19T07:06:07 --enforcementcount 0 &gt;&gt;C:\Users\stu\Documents\GitHub\eaglep3-reporting\EC\2016-10-19-refined-times.txt</v>
      </c>
      <c r="AI28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{"issue":{"subject":"","project_id":79,"tracker_id":40,"status_id":1,"priority_id":2,"assigned_to_id":23,"start_date":"2016-10-19","description":"","custom_fields":[{"id":1,"name":"Subdivision","value":"EC"},{"id":4,"name":"Milepost","value":"0.0161"},{"id":17,"name":"Train ID","value":"116-19"},{"id":16,"name":"Locomotive ID","value":"4026"},{"id":130,"name":"Impact","value":""},{"id":150,"name":"Time of Event (Mountain Time)","value":"07:06:07"},{"id":151,"name":"Denver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481</v>
      </c>
      <c r="B29" s="7">
        <v>4042</v>
      </c>
      <c r="C29" s="22" t="s">
        <v>99</v>
      </c>
      <c r="D29" s="22" t="s">
        <v>233</v>
      </c>
      <c r="E29" s="13">
        <v>42662.230057870373</v>
      </c>
      <c r="F29" s="13">
        <v>42662.239872685182</v>
      </c>
      <c r="G29" s="7">
        <v>1</v>
      </c>
      <c r="H29" s="13" t="s">
        <v>329</v>
      </c>
      <c r="I29" s="13">
        <v>42662.265243055554</v>
      </c>
      <c r="J29" s="7">
        <v>0</v>
      </c>
      <c r="K29" s="112" t="str">
        <f t="shared" si="19"/>
        <v>4041/4042</v>
      </c>
      <c r="L29" s="22" t="str">
        <f>VLOOKUP(A29,'Trips&amp;Operators'!$C$1:$E$10000,3,FALSE)</f>
        <v>SPECTOR</v>
      </c>
      <c r="M29" s="6">
        <f t="shared" si="20"/>
        <v>2.5370370371092577E-2</v>
      </c>
      <c r="N29" s="7">
        <f t="shared" si="21"/>
        <v>36.53333333437331</v>
      </c>
      <c r="O29" s="7"/>
      <c r="P29" s="7"/>
      <c r="Q29" s="23"/>
      <c r="R29" s="23"/>
      <c r="S29" s="35">
        <f t="shared" si="22"/>
        <v>1</v>
      </c>
      <c r="T29" s="50" t="str">
        <f t="shared" si="23"/>
        <v>NorthBound</v>
      </c>
      <c r="U29" s="18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04:31:17-0600',mode:absolute,to:'2016-10-19 07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25"/>
        <v>N</v>
      </c>
      <c r="X29" s="174">
        <f t="shared" si="33"/>
        <v>1</v>
      </c>
      <c r="Y29" s="67">
        <f t="shared" si="26"/>
        <v>4.53E-2</v>
      </c>
      <c r="Z29" s="67">
        <f t="shared" si="27"/>
        <v>23.3307</v>
      </c>
      <c r="AA29" s="67">
        <f t="shared" si="28"/>
        <v>23.285399999999999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29"/>
        <v>0117-19</v>
      </c>
      <c r="AE29" s="91" t="str">
        <f t="shared" si="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29" s="88" t="str">
        <f t="shared" si="1"/>
        <v>"C:\Program Files (x86)\AstroGrep\AstroGrep.exe" /spath="%USERPROFILE%\AppData\Local\Temp\OnboardLogs" /stypes="app*4042*20161019*" /stext=" 12:.+((SYSTEM_STATE.+slice.+state.+changed )|(ment ac)|(system.+state.+changed )|(\[timeout)|(PRM\|1\|D)|(kpr)|(kdp)|(\|lc)|(penalty))" /e /r /s</v>
      </c>
      <c r="AG29" s="1" t="str">
        <f t="shared" si="30"/>
        <v>EC</v>
      </c>
      <c r="AH29" s="92" t="str">
        <f t="shared" si="31"/>
        <v>"%USERPROFILE%\Documents\GitHub\eaglep3\Utilities\RefineRTDCRunTimes.py" --tripid 117-19 --locoid 4042 --swversion DE.1.0.7.0 --startMP 204:453 --initTime 2016-10-19T05:31:17 --startdatetime 2016-10-19T05:45:25 --delay 1 --endMP 204:233307 --enddatetime 2016-10-19T06:21:57 --enforcementcount 0 &gt;&gt;C:\Users\stu\Documents\GitHub\eaglep3-reporting\EC\2016-10-19-refined-times.txt</v>
      </c>
      <c r="AI29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{"issue":{"subject":"","project_id":79,"tracker_id":40,"status_id":1,"priority_id":2,"assigned_to_id":23,"start_date":"2016-10-19","description":"","custom_fields":[{"id":1,"name":"Subdivision","value":"EC"},{"id":4,"name":"Milepost","value":"23.3307"},{"id":17,"name":"Train ID","value":"117-19"},{"id":16,"name":"Locomotive ID","value":"4042"},{"id":130,"name":"Impact","value":""},{"id":150,"name":"Time of Event (Mountain Time)","value":"06:21:57"},{"id":151,"name":"Denver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490</v>
      </c>
      <c r="B30" s="7">
        <v>4041</v>
      </c>
      <c r="C30" s="22" t="s">
        <v>99</v>
      </c>
      <c r="D30" s="22" t="s">
        <v>664</v>
      </c>
      <c r="E30" s="13">
        <v>42662.276689814818</v>
      </c>
      <c r="F30" s="13">
        <v>42662.278634259259</v>
      </c>
      <c r="G30" s="7">
        <v>1</v>
      </c>
      <c r="H30" s="13" t="s">
        <v>225</v>
      </c>
      <c r="I30" s="13">
        <v>42662.306307870371</v>
      </c>
      <c r="J30" s="7">
        <v>0</v>
      </c>
      <c r="K30" s="112" t="str">
        <f t="shared" si="19"/>
        <v>4041/4042</v>
      </c>
      <c r="L30" s="22" t="str">
        <f>VLOOKUP(A30,'Trips&amp;Operators'!$C$1:$E$10000,3,FALSE)</f>
        <v>SPECTOR</v>
      </c>
      <c r="M30" s="6">
        <f t="shared" si="20"/>
        <v>2.7673611111822538E-2</v>
      </c>
      <c r="N30" s="7">
        <f t="shared" si="21"/>
        <v>39.850000001024455</v>
      </c>
      <c r="O30" s="7"/>
      <c r="P30" s="7"/>
      <c r="Q30" s="23"/>
      <c r="R30" s="23"/>
      <c r="S30" s="35">
        <f t="shared" si="22"/>
        <v>1</v>
      </c>
      <c r="T30" s="50" t="str">
        <f t="shared" si="23"/>
        <v>Southbound</v>
      </c>
      <c r="U30" s="18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05:38:26-0600',mode:absolute,to:'2016-10-19 08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25"/>
        <v>N</v>
      </c>
      <c r="X30" s="174">
        <f t="shared" si="33"/>
        <v>1</v>
      </c>
      <c r="Y30" s="67">
        <f t="shared" si="26"/>
        <v>23.299600000000002</v>
      </c>
      <c r="Z30" s="67">
        <f t="shared" si="27"/>
        <v>1.54E-2</v>
      </c>
      <c r="AA30" s="67">
        <f t="shared" si="28"/>
        <v>23.284200000000002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29"/>
        <v>0118-19</v>
      </c>
      <c r="AE30" s="91" t="str">
        <f t="shared" si="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30" s="88" t="str">
        <f t="shared" si="1"/>
        <v>"C:\Program Files (x86)\AstroGrep\AstroGrep.exe" /spath="%USERPROFILE%\AppData\Local\Temp\OnboardLogs" /stypes="app*4041*20161019*" /stext=" 13:.+((SYSTEM_STATE.+slice.+state.+changed )|(ment ac)|(system.+state.+changed )|(\[timeout)|(PRM\|1\|D)|(kpr)|(kdp)|(\|lc)|(penalty))" /e /r /s</v>
      </c>
      <c r="AG30" s="1" t="str">
        <f t="shared" si="30"/>
        <v>EC</v>
      </c>
      <c r="AH30" s="92" t="str">
        <f t="shared" si="31"/>
        <v>"%USERPROFILE%\Documents\GitHub\eaglep3\Utilities\RefineRTDCRunTimes.py" --tripid 118-19 --locoid 4041 --swversion DE.1.0.7.0 --startMP 204:232996 --initTime 2016-10-19T06:38:26 --startdatetime 2016-10-19T06:41:14 --delay 1 --endMP 204:154 --enddatetime 2016-10-19T07:21:05 --enforcementcount 0 &gt;&gt;C:\Users\stu\Documents\GitHub\eaglep3-reporting\EC\2016-10-19-refined-times.txt</v>
      </c>
      <c r="AI30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{"issue":{"subject":"","project_id":79,"tracker_id":40,"status_id":1,"priority_id":2,"assigned_to_id":23,"start_date":"2016-10-19","description":"","custom_fields":[{"id":1,"name":"Subdivision","value":"EC"},{"id":4,"name":"Milepost","value":"0.0154"},{"id":17,"name":"Train ID","value":"118-19"},{"id":16,"name":"Locomotive ID","value":"4041"},{"id":130,"name":"Impact","value":""},{"id":150,"name":"Time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483</v>
      </c>
      <c r="B31" s="7">
        <v>4014</v>
      </c>
      <c r="C31" s="22" t="s">
        <v>99</v>
      </c>
      <c r="D31" s="22" t="s">
        <v>411</v>
      </c>
      <c r="E31" s="13">
        <v>42662.246932870374</v>
      </c>
      <c r="F31" s="13">
        <v>42662.250335648147</v>
      </c>
      <c r="G31" s="7">
        <v>3</v>
      </c>
      <c r="H31" s="13" t="s">
        <v>218</v>
      </c>
      <c r="I31" s="13">
        <v>42662.275856481479</v>
      </c>
      <c r="J31" s="7">
        <v>0</v>
      </c>
      <c r="K31" s="112" t="str">
        <f t="shared" si="19"/>
        <v>4013/4014</v>
      </c>
      <c r="L31" s="22" t="str">
        <f>VLOOKUP(A31,'Trips&amp;Operators'!$C$1:$E$10000,3,FALSE)</f>
        <v>MAELZER</v>
      </c>
      <c r="M31" s="6">
        <f t="shared" si="20"/>
        <v>2.5520833332848269E-2</v>
      </c>
      <c r="N31" s="7">
        <f t="shared" si="21"/>
        <v>36.749999999301508</v>
      </c>
      <c r="O31" s="7"/>
      <c r="P31" s="7"/>
      <c r="Q31" s="23"/>
      <c r="R31" s="23"/>
      <c r="S31" s="35">
        <f t="shared" si="22"/>
        <v>1</v>
      </c>
      <c r="T31" s="50" t="str">
        <f t="shared" si="23"/>
        <v>NorthBound</v>
      </c>
      <c r="U31" s="18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04:55:35-0600',mode:absolute,to:'2016-10-19 07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25"/>
        <v>N</v>
      </c>
      <c r="X31" s="174">
        <f t="shared" ref="X31:X36" si="34">VALUE(LEFT(AD31,4))-VALUE(LEFT(AD30,4))</f>
        <v>1</v>
      </c>
      <c r="Y31" s="67">
        <f t="shared" si="26"/>
        <v>7.3899999999999993E-2</v>
      </c>
      <c r="Z31" s="67">
        <f t="shared" si="27"/>
        <v>23.331399999999999</v>
      </c>
      <c r="AA31" s="67">
        <f t="shared" si="28"/>
        <v>23.2575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29"/>
        <v>0119-19</v>
      </c>
      <c r="AE31" s="91" t="str">
        <f t="shared" si="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31" s="88" t="str">
        <f t="shared" si="1"/>
        <v>"C:\Program Files (x86)\AstroGrep\AstroGrep.exe" /spath="%USERPROFILE%\AppData\Local\Temp\OnboardLogs" /stypes="app*4014*20161019*" /stext=" 12:.+((SYSTEM_STATE.+slice.+state.+changed )|(ment ac)|(system.+state.+changed )|(\[timeout)|(PRM\|1\|D)|(kpr)|(kdp)|(\|lc)|(penalty))" /e /r /s</v>
      </c>
      <c r="AG31" s="1" t="str">
        <f t="shared" si="30"/>
        <v>EC</v>
      </c>
      <c r="AH31" s="92" t="str">
        <f t="shared" si="31"/>
        <v>"%USERPROFILE%\Documents\GitHub\eaglep3\Utilities\RefineRTDCRunTimes.py" --tripid 119-19 --locoid 4014 --swversion DE.1.0.7.0 --startMP 204:739 --initTime 2016-10-19T05:55:35 --startdatetime 2016-10-19T06:00:29 --delay 3 --endMP 204:233314 --enddatetime 2016-10-19T06:37:14 --enforcementcount 0 &gt;&gt;C:\Users\stu\Documents\GitHub\eaglep3-reporting\EC\2016-10-19-refined-times.txt</v>
      </c>
      <c r="AI31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{"issue":{"subject":"","project_id":79,"tracker_id":40,"status_id":1,"priority_id":2,"assigned_to_id":23,"start_date":"2016-10-19","description":"","custom_fields":[{"id":1,"name":"Subdivision","value":"EC"},{"id":4,"name":"Milepost","value":"23.3314"},{"id":17,"name":"Train ID","value":"119-19"},{"id":16,"name":"Locomotive ID","value":"4014"},{"id":130,"name":"Impact","value":""},{"id":150,"name":"Time of Event (Mountain Time)","value":"06:37:14"},{"id":151,"name":"Denver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493</v>
      </c>
      <c r="B32" s="7">
        <v>4013</v>
      </c>
      <c r="C32" s="22" t="s">
        <v>99</v>
      </c>
      <c r="D32" s="22" t="s">
        <v>285</v>
      </c>
      <c r="E32" s="13">
        <v>42662.281724537039</v>
      </c>
      <c r="F32" s="13">
        <v>42662.289178240739</v>
      </c>
      <c r="G32" s="7">
        <v>1</v>
      </c>
      <c r="H32" s="13" t="s">
        <v>177</v>
      </c>
      <c r="I32" s="13">
        <v>42662.315960648149</v>
      </c>
      <c r="J32" s="7">
        <v>0</v>
      </c>
      <c r="K32" s="112" t="str">
        <f t="shared" si="19"/>
        <v>4013/4014</v>
      </c>
      <c r="L32" s="22" t="str">
        <f>VLOOKUP(A32,'Trips&amp;Operators'!$C$1:$E$10000,3,FALSE)</f>
        <v>MAELZER</v>
      </c>
      <c r="M32" s="6">
        <f t="shared" si="20"/>
        <v>2.6782407410792075E-2</v>
      </c>
      <c r="N32" s="7">
        <f t="shared" si="21"/>
        <v>38.566666671540588</v>
      </c>
      <c r="O32" s="7"/>
      <c r="P32" s="7"/>
      <c r="Q32" s="23"/>
      <c r="R32" s="23"/>
      <c r="S32" s="35">
        <f t="shared" si="22"/>
        <v>1</v>
      </c>
      <c r="T32" s="50" t="str">
        <f t="shared" si="23"/>
        <v>Southbound</v>
      </c>
      <c r="U32" s="18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05:45:41-0600',mode:absolute,to:'2016-10-19 08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25"/>
        <v>N</v>
      </c>
      <c r="X32" s="174">
        <f t="shared" si="34"/>
        <v>1</v>
      </c>
      <c r="Y32" s="67">
        <f t="shared" si="26"/>
        <v>23.2987</v>
      </c>
      <c r="Z32" s="67">
        <f t="shared" si="27"/>
        <v>1.52E-2</v>
      </c>
      <c r="AA32" s="67">
        <f t="shared" si="28"/>
        <v>23.2835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29"/>
        <v>0120-19</v>
      </c>
      <c r="AE32" s="91" t="str">
        <f t="shared" si="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32" s="88" t="str">
        <f t="shared" si="1"/>
        <v>"C:\Program Files (x86)\AstroGrep\AstroGrep.exe" /spath="%USERPROFILE%\AppData\Local\Temp\OnboardLogs" /stypes="app*4013*20161019*" /stext=" 13:.+((SYSTEM_STATE.+slice.+state.+changed )|(ment ac)|(system.+state.+changed )|(\[timeout)|(PRM\|1\|D)|(kpr)|(kdp)|(\|lc)|(penalty))" /e /r /s</v>
      </c>
      <c r="AG32" s="1" t="str">
        <f t="shared" si="30"/>
        <v>EC</v>
      </c>
      <c r="AH32" s="92" t="str">
        <f t="shared" si="31"/>
        <v>"%USERPROFILE%\Documents\GitHub\eaglep3\Utilities\RefineRTDCRunTimes.py" --tripid 120-19 --locoid 4013 --swversion DE.1.0.7.0 --startMP 204:232987 --initTime 2016-10-19T06:45:41 --startdatetime 2016-10-19T06:56:25 --delay 1 --endMP 204:152 --enddatetime 2016-10-19T07:34:59 --enforcementcount 0 &gt;&gt;C:\Users\stu\Documents\GitHub\eaglep3-reporting\EC\2016-10-19-refined-times.txt</v>
      </c>
      <c r="AI32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{"issue":{"subject":"","project_id":79,"tracker_id":40,"status_id":1,"priority_id":2,"assigned_to_id":23,"start_date":"2016-10-19","description":"","custom_fields":[{"id":1,"name":"Subdivision","value":"EC"},{"id":4,"name":"Milepost","value":"0.0152"},{"id":17,"name":"Train ID","value":"120-19"},{"id":16,"name":"Locomotive ID","value":"4013"},{"id":130,"name":"Impact","value":""},{"id":150,"name":"Time of Event (Mountain Time)","value":"07:34:59"},{"id":151,"name":"Denver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486</v>
      </c>
      <c r="B33" s="7">
        <v>4002</v>
      </c>
      <c r="C33" s="22" t="s">
        <v>99</v>
      </c>
      <c r="D33" s="22" t="s">
        <v>661</v>
      </c>
      <c r="E33" s="13">
        <v>42662.255428240744</v>
      </c>
      <c r="F33" s="13">
        <v>42662.260717592595</v>
      </c>
      <c r="G33" s="7">
        <v>1</v>
      </c>
      <c r="H33" s="13" t="s">
        <v>229</v>
      </c>
      <c r="I33" s="13">
        <v>42662.286724537036</v>
      </c>
      <c r="J33" s="7">
        <v>0</v>
      </c>
      <c r="K33" s="112" t="str">
        <f t="shared" si="19"/>
        <v>4001/4002</v>
      </c>
      <c r="L33" s="22" t="str">
        <f>VLOOKUP(A33,'Trips&amp;Operators'!$C$1:$E$10000,3,FALSE)</f>
        <v>ACKERMAN</v>
      </c>
      <c r="M33" s="6">
        <f t="shared" si="20"/>
        <v>2.6006944441178348E-2</v>
      </c>
      <c r="N33" s="7">
        <f t="shared" si="21"/>
        <v>37.449999995296821</v>
      </c>
      <c r="O33" s="7"/>
      <c r="P33" s="7"/>
      <c r="Q33" s="23"/>
      <c r="R33" s="23"/>
      <c r="S33" s="35">
        <f t="shared" si="22"/>
        <v>1</v>
      </c>
      <c r="T33" s="50" t="str">
        <f t="shared" si="23"/>
        <v>NorthBound</v>
      </c>
      <c r="U33" s="18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05:07:49-0600',mode:absolute,to:'2016-10-19 07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2" t="str">
        <f t="shared" si="25"/>
        <v>N</v>
      </c>
      <c r="X33" s="174">
        <f t="shared" si="34"/>
        <v>1</v>
      </c>
      <c r="Y33" s="67">
        <f t="shared" si="26"/>
        <v>4.7699999999999999E-2</v>
      </c>
      <c r="Z33" s="67">
        <f t="shared" si="27"/>
        <v>23.3293</v>
      </c>
      <c r="AA33" s="67">
        <f t="shared" si="28"/>
        <v>23.281600000000001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29"/>
        <v>0121-19</v>
      </c>
      <c r="AE33" s="91" t="str">
        <f t="shared" si="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33" s="88" t="str">
        <f t="shared" si="1"/>
        <v>"C:\Program Files (x86)\AstroGrep\AstroGrep.exe" /spath="%USERPROFILE%\AppData\Local\Temp\OnboardLogs" /stypes="app*4002*20161019*" /stext=" 12:.+((SYSTEM_STATE.+slice.+state.+changed )|(ment ac)|(system.+state.+changed )|(\[timeout)|(PRM\|1\|D)|(kpr)|(kdp)|(\|lc)|(penalty))" /e /r /s</v>
      </c>
      <c r="AG33" s="1" t="str">
        <f t="shared" si="30"/>
        <v>EC</v>
      </c>
      <c r="AH33" s="92" t="str">
        <f t="shared" si="31"/>
        <v>"%USERPROFILE%\Documents\GitHub\eaglep3\Utilities\RefineRTDCRunTimes.py" --tripid 121-19 --locoid 4002 --swversion DE.1.0.7.0 --startMP 204:477 --initTime 2016-10-19T06:07:49 --startdatetime 2016-10-19T06:15:26 --delay 1 --endMP 204:233293 --enddatetime 2016-10-19T06:52:53 --enforcementcount 0 &gt;&gt;C:\Users\stu\Documents\GitHub\eaglep3-reporting\EC\2016-10-19-refined-times.txt</v>
      </c>
      <c r="AI33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{"issue":{"subject":"","project_id":79,"tracker_id":40,"status_id":1,"priority_id":2,"assigned_to_id":23,"start_date":"2016-10-19","description":"","custom_fields":[{"id":1,"name":"Subdivision","value":"EC"},{"id":4,"name":"Milepost","value":"23.3293"},{"id":17,"name":"Train ID","value":"121-19"},{"id":16,"name":"Locomotive ID","value":"4002"},{"id":130,"name":"Impact","value":""},{"id":150,"name":"Time of Event (Mountain Time)","value":"06:52:53"},{"id":151,"name":"Denver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440</v>
      </c>
      <c r="B34" s="7">
        <v>4001</v>
      </c>
      <c r="C34" s="22" t="s">
        <v>99</v>
      </c>
      <c r="D34" s="22" t="s">
        <v>419</v>
      </c>
      <c r="E34" s="13">
        <v>42662.288124999999</v>
      </c>
      <c r="F34" s="13">
        <v>42662.299675925926</v>
      </c>
      <c r="G34" s="7">
        <v>8</v>
      </c>
      <c r="H34" s="13" t="s">
        <v>665</v>
      </c>
      <c r="I34" s="13">
        <v>42662.3280787037</v>
      </c>
      <c r="J34" s="7">
        <v>0</v>
      </c>
      <c r="K34" s="112" t="str">
        <f t="shared" si="19"/>
        <v>4001/4002</v>
      </c>
      <c r="L34" s="22" t="str">
        <f>VLOOKUP(A34,'Trips&amp;Operators'!$C$1:$E$10000,3,FALSE)</f>
        <v>ACKERMAN</v>
      </c>
      <c r="M34" s="6">
        <f t="shared" si="20"/>
        <v>2.8402777774317656E-2</v>
      </c>
      <c r="N34" s="7">
        <f t="shared" si="21"/>
        <v>40.899999995017424</v>
      </c>
      <c r="O34" s="7"/>
      <c r="P34" s="7"/>
      <c r="Q34" s="23"/>
      <c r="R34" s="23"/>
      <c r="S34" s="35">
        <f t="shared" si="22"/>
        <v>1</v>
      </c>
      <c r="T34" s="50" t="str">
        <f t="shared" si="23"/>
        <v>Southbound</v>
      </c>
      <c r="U34" s="18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05:54:54-0600',mode:absolute,to:'2016-10-19 08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2" t="str">
        <f t="shared" si="25"/>
        <v>N</v>
      </c>
      <c r="X34" s="174">
        <f t="shared" si="34"/>
        <v>1</v>
      </c>
      <c r="Y34" s="67">
        <f t="shared" si="26"/>
        <v>23.295500000000001</v>
      </c>
      <c r="Z34" s="67">
        <f t="shared" si="27"/>
        <v>9.1999999999999998E-3</v>
      </c>
      <c r="AA34" s="67">
        <f t="shared" si="28"/>
        <v>23.286300000000001</v>
      </c>
      <c r="AB34" s="64" t="str">
        <f>VLOOKUP(A34,Enforcements!$C$7:$K$21,8,0)</f>
        <v>Bulletin (2)</v>
      </c>
      <c r="AC34" s="60" t="str">
        <f>VLOOKUP(A34,Enforcements!$C$7:$E$21,3,0)</f>
        <v>GRADE CROSSING</v>
      </c>
      <c r="AD34" s="61" t="str">
        <f t="shared" si="29"/>
        <v>0122-19</v>
      </c>
      <c r="AE34" s="91" t="str">
        <f t="shared" si="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34" s="88" t="str">
        <f t="shared" si="1"/>
        <v>"C:\Program Files (x86)\AstroGrep\AstroGrep.exe" /spath="%USERPROFILE%\AppData\Local\Temp\OnboardLogs" /stypes="app*4001*20161019*" /stext=" 13:.+((SYSTEM_STATE.+slice.+state.+changed )|(ment ac)|(system.+state.+changed )|(\[timeout)|(PRM\|1\|D)|(kpr)|(kdp)|(\|lc)|(penalty))" /e /r /s</v>
      </c>
      <c r="AG34" s="1" t="str">
        <f t="shared" si="30"/>
        <v>EC</v>
      </c>
      <c r="AH34" s="92" t="str">
        <f t="shared" si="31"/>
        <v>"%USERPROFILE%\Documents\GitHub\eaglep3\Utilities\RefineRTDCRunTimes.py" --tripid 122-19 --locoid 4001 --swversion DE.1.0.7.0 --startMP 204:232955 --initTime 2016-10-19T06:54:54 --startdatetime 2016-10-19T07:11:32 --delay 8 --endMP 204:92 --enddatetime 2016-10-19T07:52:26 --enforcementcount 0 &gt;&gt;C:\Users\stu\Documents\GitHub\eaglep3-reporting\EC\2016-10-19-refined-times.txt</v>
      </c>
      <c r="AI34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{"issue":{"subject":"","project_id":79,"tracker_id":40,"status_id":1,"priority_id":2,"assigned_to_id":23,"start_date":"2016-10-19","description":"","custom_fields":[{"id":1,"name":"Subdivision","value":"EC"},{"id":4,"name":"Milepost","value":"0.0092"},{"id":17,"name":"Train ID","value":"122-19"},{"id":16,"name":"Locomotive ID","value":"4001"},{"id":130,"name":"Impact","value":""},{"id":150,"name":"Time of Event (Mountain Time)","value":"07:52:26"},{"id":151,"name":"Denver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489</v>
      </c>
      <c r="B35" s="7">
        <v>4040</v>
      </c>
      <c r="C35" s="22" t="s">
        <v>99</v>
      </c>
      <c r="D35" s="22" t="s">
        <v>233</v>
      </c>
      <c r="E35" s="13">
        <v>42662.2659375</v>
      </c>
      <c r="F35" s="13">
        <v>42662.271261574075</v>
      </c>
      <c r="G35" s="7">
        <v>1</v>
      </c>
      <c r="H35" s="13" t="s">
        <v>666</v>
      </c>
      <c r="I35" s="13">
        <v>42662.296226851853</v>
      </c>
      <c r="J35" s="7">
        <v>0</v>
      </c>
      <c r="K35" s="112" t="str">
        <f t="shared" si="19"/>
        <v>4039/4040</v>
      </c>
      <c r="L35" s="22" t="str">
        <f>VLOOKUP(A35,'Trips&amp;Operators'!$C$1:$E$10000,3,FALSE)</f>
        <v>KILLION</v>
      </c>
      <c r="M35" s="6">
        <f t="shared" si="20"/>
        <v>2.4965277778392192E-2</v>
      </c>
      <c r="N35" s="7">
        <f t="shared" si="21"/>
        <v>35.950000000884756</v>
      </c>
      <c r="O35" s="7"/>
      <c r="P35" s="7"/>
      <c r="Q35" s="23"/>
      <c r="R35" s="23"/>
      <c r="S35" s="35">
        <f t="shared" si="22"/>
        <v>1</v>
      </c>
      <c r="T35" s="50" t="str">
        <f t="shared" si="23"/>
        <v>NorthBound</v>
      </c>
      <c r="U35" s="18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05:22:57-0600',mode:absolute,to:'2016-10-19 08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5" s="52" t="str">
        <f t="shared" si="25"/>
        <v>N</v>
      </c>
      <c r="X35" s="174">
        <f t="shared" si="34"/>
        <v>1</v>
      </c>
      <c r="Y35" s="67">
        <f t="shared" si="26"/>
        <v>4.53E-2</v>
      </c>
      <c r="Z35" s="67">
        <f t="shared" si="27"/>
        <v>23.328499999999998</v>
      </c>
      <c r="AA35" s="67">
        <f t="shared" si="28"/>
        <v>23.283199999999997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29"/>
        <v>0123-19</v>
      </c>
      <c r="AE35" s="91" t="str">
        <f t="shared" si="0"/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35" s="88" t="str">
        <f t="shared" si="1"/>
        <v>"C:\Program Files (x86)\AstroGrep\AstroGrep.exe" /spath="%USERPROFILE%\AppData\Local\Temp\OnboardLogs" /stypes="app*4040*20161019*" /stext=" 13:.+((SYSTEM_STATE.+slice.+state.+changed )|(ment ac)|(system.+state.+changed )|(\[timeout)|(PRM\|1\|D)|(kpr)|(kdp)|(\|lc)|(penalty))" /e /r /s</v>
      </c>
      <c r="AG35" s="1" t="str">
        <f t="shared" si="30"/>
        <v>EC</v>
      </c>
      <c r="AH35" s="92" t="str">
        <f t="shared" si="31"/>
        <v>"%USERPROFILE%\Documents\GitHub\eaglep3\Utilities\RefineRTDCRunTimes.py" --tripid 123-19 --locoid 4040 --swversion DE.1.0.7.0 --startMP 204:453 --initTime 2016-10-19T06:22:57 --startdatetime 2016-10-19T06:30:37 --delay 1 --endMP 204:233285 --enddatetime 2016-10-19T07:06:34 --enforcementcount 0 &gt;&gt;C:\Users\stu\Documents\GitHub\eaglep3-reporting\EC\2016-10-19-refined-times.txt</v>
      </c>
      <c r="AI35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{"issue":{"subject":"","project_id":79,"tracker_id":40,"status_id":1,"priority_id":2,"assigned_to_id":23,"start_date":"2016-10-19","description":"","custom_fields":[{"id":1,"name":"Subdivision","value":"EC"},{"id":4,"name":"Milepost","value":"23.3285"},{"id":17,"name":"Train ID","value":"123-19"},{"id":16,"name":"Locomotive ID","value":"4040"},{"id":130,"name":"Impact","value":""},{"id":150,"name":"Time of Event (Mountain Time)","value":"07:06:34"},{"id":151,"name":"Denver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498</v>
      </c>
      <c r="B36" s="7">
        <v>4039</v>
      </c>
      <c r="C36" s="22" t="s">
        <v>99</v>
      </c>
      <c r="D36" s="22" t="s">
        <v>667</v>
      </c>
      <c r="E36" s="13">
        <v>42662.301620370374</v>
      </c>
      <c r="F36" s="13">
        <v>42662.309930555559</v>
      </c>
      <c r="G36" s="7">
        <v>1</v>
      </c>
      <c r="H36" s="13" t="s">
        <v>228</v>
      </c>
      <c r="I36" s="13">
        <v>42662.336655092593</v>
      </c>
      <c r="J36" s="7">
        <v>0</v>
      </c>
      <c r="K36" s="112" t="str">
        <f t="shared" si="19"/>
        <v>4039/4040</v>
      </c>
      <c r="L36" s="22" t="str">
        <f>VLOOKUP(A36,'Trips&amp;Operators'!$C$1:$E$10000,3,FALSE)</f>
        <v>KILLION</v>
      </c>
      <c r="M36" s="6">
        <f t="shared" si="20"/>
        <v>2.6724537034169771E-2</v>
      </c>
      <c r="N36" s="7">
        <f t="shared" si="21"/>
        <v>38.48333332920447</v>
      </c>
      <c r="O36" s="7"/>
      <c r="P36" s="7"/>
      <c r="Q36" s="23"/>
      <c r="R36" s="23"/>
      <c r="S36" s="35">
        <f t="shared" si="22"/>
        <v>1</v>
      </c>
      <c r="T36" s="50" t="str">
        <f t="shared" si="23"/>
        <v>Southbound</v>
      </c>
      <c r="U36" s="18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06:14:20-0600',mode:absolute,to:'2016-10-19 09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2" t="str">
        <f t="shared" si="25"/>
        <v>N</v>
      </c>
      <c r="X36" s="174">
        <f t="shared" si="34"/>
        <v>1</v>
      </c>
      <c r="Y36" s="67">
        <f t="shared" si="26"/>
        <v>23.297599999999999</v>
      </c>
      <c r="Z36" s="67">
        <f t="shared" si="27"/>
        <v>1.49E-2</v>
      </c>
      <c r="AA36" s="67">
        <f t="shared" si="28"/>
        <v>23.282699999999998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29"/>
        <v>0124-19</v>
      </c>
      <c r="AE36" s="91" t="str">
        <f t="shared" si="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36" s="88" t="str">
        <f t="shared" si="1"/>
        <v>"C:\Program Files (x86)\AstroGrep\AstroGrep.exe" /spath="%USERPROFILE%\AppData\Local\Temp\OnboardLogs" /stypes="app*4039*20161019*" /stext=" 14:.+((SYSTEM_STATE.+slice.+state.+changed )|(ment ac)|(system.+state.+changed )|(\[timeout)|(PRM\|1\|D)|(kpr)|(kdp)|(\|lc)|(penalty))" /e /r /s</v>
      </c>
      <c r="AG36" s="1" t="str">
        <f t="shared" si="30"/>
        <v>EC</v>
      </c>
      <c r="AH36" s="92" t="str">
        <f t="shared" si="31"/>
        <v>"%USERPROFILE%\Documents\GitHub\eaglep3\Utilities\RefineRTDCRunTimes.py" --tripid 124-19 --locoid 4039 --swversion DE.1.0.7.0 --startMP 204:232976 --initTime 2016-10-19T07:14:20 --startdatetime 2016-10-19T07:26:18 --delay 1 --endMP 204:149 --enddatetime 2016-10-19T08:04:47 --enforcementcount 0 &gt;&gt;C:\Users\stu\Documents\GitHub\eaglep3-reporting\EC\2016-10-19-refined-times.txt</v>
      </c>
      <c r="AI36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ID","value":"124-19"},{"id":16,"name":"Locomotive ID","value":"4039"},{"id":130,"name":"Impact","value":""},{"id":150,"name":"Time of Event (Mountain Time)","value":"08:04:47"},{"id":151,"name":"Denver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492</v>
      </c>
      <c r="B37" s="7">
        <v>4046</v>
      </c>
      <c r="C37" s="22" t="s">
        <v>99</v>
      </c>
      <c r="D37" s="22" t="s">
        <v>415</v>
      </c>
      <c r="E37" s="13">
        <v>42662.277986111112</v>
      </c>
      <c r="F37" s="13">
        <v>42662.281597222223</v>
      </c>
      <c r="G37" s="7">
        <v>1</v>
      </c>
      <c r="H37" s="13" t="s">
        <v>229</v>
      </c>
      <c r="I37" s="13">
        <v>42662.305856481478</v>
      </c>
      <c r="J37" s="7">
        <v>0</v>
      </c>
      <c r="K37" s="112" t="str">
        <f t="shared" si="19"/>
        <v>4045/4046</v>
      </c>
      <c r="L37" s="22" t="str">
        <f>VLOOKUP(A37,'Trips&amp;Operators'!$C$1:$E$10000,3,FALSE)</f>
        <v>ROCHA</v>
      </c>
      <c r="M37" s="6">
        <f t="shared" si="20"/>
        <v>2.4259259254904464E-2</v>
      </c>
      <c r="N37" s="7">
        <f t="shared" si="21"/>
        <v>34.933333327062428</v>
      </c>
      <c r="O37" s="7"/>
      <c r="P37" s="7"/>
      <c r="Q37" s="23"/>
      <c r="R37" s="23"/>
      <c r="S37" s="35">
        <f t="shared" si="22"/>
        <v>1</v>
      </c>
      <c r="T37" s="50" t="str">
        <f t="shared" si="23"/>
        <v>NorthBound</v>
      </c>
      <c r="U37" s="18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05:40:18-0600',mode:absolute,to:'2016-10-19 08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7" s="52" t="str">
        <f t="shared" si="25"/>
        <v>N</v>
      </c>
      <c r="X37" s="174">
        <f t="shared" ref="X37:X44" si="35">VALUE(LEFT(AD37,4))-VALUE(LEFT(AD36,4))</f>
        <v>1</v>
      </c>
      <c r="Y37" s="67">
        <f t="shared" si="26"/>
        <v>4.6199999999999998E-2</v>
      </c>
      <c r="Z37" s="67">
        <f t="shared" si="27"/>
        <v>23.3293</v>
      </c>
      <c r="AA37" s="67">
        <f t="shared" si="28"/>
        <v>23.283100000000001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29"/>
        <v>0125-19</v>
      </c>
      <c r="AE37" s="91" t="str">
        <f t="shared" si="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37" s="88" t="str">
        <f t="shared" si="1"/>
        <v>"C:\Program Files (x86)\AstroGrep\AstroGrep.exe" /spath="%USERPROFILE%\AppData\Local\Temp\OnboardLogs" /stypes="app*4046*20161019*" /stext=" 13:.+((SYSTEM_STATE.+slice.+state.+changed )|(ment ac)|(system.+state.+changed )|(\[timeout)|(PRM\|1\|D)|(kpr)|(kdp)|(\|lc)|(penalty))" /e /r /s</v>
      </c>
      <c r="AG37" s="1" t="str">
        <f t="shared" si="30"/>
        <v>EC</v>
      </c>
      <c r="AH37" s="92" t="str">
        <f t="shared" si="31"/>
        <v>"%USERPROFILE%\Documents\GitHub\eaglep3\Utilities\RefineRTDCRunTimes.py" --tripid 125-19 --locoid 4046 --swversion DE.1.0.7.0 --startMP 204:462 --initTime 2016-10-19T06:40:18 --startdatetime 2016-10-19T06:45:30 --delay 1 --endMP 204:233293 --enddatetime 2016-10-19T07:20:26 --enforcementcount 0 &gt;&gt;C:\Users\stu\Documents\GitHub\eaglep3-reporting\EC\2016-10-19-refined-times.txt</v>
      </c>
      <c r="AI37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{"issue":{"subject":"","project_id":79,"tracker_id":40,"status_id":1,"priority_id":2,"assigned_to_id":23,"start_date":"2016-10-19","description":"","custom_fields":[{"id":1,"name":"Subdivision","value":"EC"},{"id":4,"name":"Milepost","value":"23.3293"},{"id":17,"name":"Train ID","value":"125-19"},{"id":16,"name":"Locomotive ID","value":"4046"},{"id":130,"name":"Impact","value":""},{"id":150,"name":"Time of Event (Mountain Time)","value":"07:20:26"},{"id":151,"name":"Denver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500</v>
      </c>
      <c r="B38" s="7">
        <v>4045</v>
      </c>
      <c r="C38" s="22" t="s">
        <v>99</v>
      </c>
      <c r="D38" s="22" t="s">
        <v>663</v>
      </c>
      <c r="E38" s="13">
        <v>42662.309837962966</v>
      </c>
      <c r="F38" s="13">
        <v>42662.32068287037</v>
      </c>
      <c r="G38" s="7">
        <v>1</v>
      </c>
      <c r="H38" s="13" t="s">
        <v>409</v>
      </c>
      <c r="I38" s="13">
        <v>42662.346446759257</v>
      </c>
      <c r="J38" s="7">
        <v>0</v>
      </c>
      <c r="K38" s="112" t="str">
        <f t="shared" si="19"/>
        <v>4045/4046</v>
      </c>
      <c r="L38" s="22" t="str">
        <f>VLOOKUP(A38,'Trips&amp;Operators'!$C$1:$E$10000,3,FALSE)</f>
        <v>ROCHA</v>
      </c>
      <c r="M38" s="6">
        <f t="shared" si="20"/>
        <v>2.5763888887013309E-2</v>
      </c>
      <c r="N38" s="7">
        <f t="shared" si="21"/>
        <v>37.099999997299165</v>
      </c>
      <c r="O38" s="7"/>
      <c r="P38" s="7"/>
      <c r="Q38" s="23"/>
      <c r="R38" s="23"/>
      <c r="S38" s="35">
        <f t="shared" si="22"/>
        <v>1</v>
      </c>
      <c r="T38" s="50" t="str">
        <f t="shared" si="23"/>
        <v>Southbound</v>
      </c>
      <c r="U38" s="18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06:26:10-0600',mode:absolute,to:'2016-10-19 09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8" s="52" t="str">
        <f t="shared" si="25"/>
        <v>N</v>
      </c>
      <c r="X38" s="174">
        <f t="shared" si="35"/>
        <v>1</v>
      </c>
      <c r="Y38" s="67">
        <f t="shared" si="26"/>
        <v>23.2973</v>
      </c>
      <c r="Z38" s="67">
        <f t="shared" si="27"/>
        <v>1.32E-2</v>
      </c>
      <c r="AA38" s="67">
        <f t="shared" si="28"/>
        <v>23.284099999999999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29"/>
        <v>0126-19</v>
      </c>
      <c r="AE38" s="91" t="str">
        <f t="shared" si="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38" s="88" t="str">
        <f t="shared" si="1"/>
        <v>"C:\Program Files (x86)\AstroGrep\AstroGrep.exe" /spath="%USERPROFILE%\AppData\Local\Temp\OnboardLogs" /stypes="app*4045*20161019*" /stext=" 14:.+((SYSTEM_STATE.+slice.+state.+changed )|(ment ac)|(system.+state.+changed )|(\[timeout)|(PRM\|1\|D)|(kpr)|(kdp)|(\|lc)|(penalty))" /e /r /s</v>
      </c>
      <c r="AG38" s="1" t="str">
        <f t="shared" si="30"/>
        <v>EC</v>
      </c>
      <c r="AH38" s="92" t="str">
        <f t="shared" si="31"/>
        <v>"%USERPROFILE%\Documents\GitHub\eaglep3\Utilities\RefineRTDCRunTimes.py" --tripid 126-19 --locoid 4045 --swversion DE.1.0.7.0 --startMP 204:232973 --initTime 2016-10-19T07:26:10 --startdatetime 2016-10-19T07:41:47 --delay 1 --endMP 204:132 --enddatetime 2016-10-19T08:18:53 --enforcementcount 0 &gt;&gt;C:\Users\stu\Documents\GitHub\eaglep3-reporting\EC\2016-10-19-refined-times.txt</v>
      </c>
      <c r="AI38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{"issue":{"subject":"","project_id":79,"tracker_id":40,"status_id":1,"priority_id":2,"assigned_to_id":23,"start_date":"2016-10-19","description":"","custom_fields":[{"id":1,"name":"Subdivision","value":"EC"},{"id":4,"name":"Milepost","value":"0.0132"},{"id":17,"name":"Train ID","value":"126-19"},{"id":16,"name":"Locomotive ID","value":"4045"},{"id":130,"name":"Impact","value":""},{"id":150,"name":"Time of Event (Mountain Time)","value":"08:18:53"},{"id":151,"name":"Denver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495</v>
      </c>
      <c r="B39" s="7">
        <v>4011</v>
      </c>
      <c r="C39" s="22" t="s">
        <v>99</v>
      </c>
      <c r="D39" s="22" t="s">
        <v>235</v>
      </c>
      <c r="E39" s="13">
        <v>42662.288356481484</v>
      </c>
      <c r="F39" s="13">
        <v>42662.291932870372</v>
      </c>
      <c r="G39" s="7">
        <v>1</v>
      </c>
      <c r="H39" s="13" t="s">
        <v>668</v>
      </c>
      <c r="I39" s="13">
        <v>42662.318981481483</v>
      </c>
      <c r="J39" s="7">
        <v>0</v>
      </c>
      <c r="K39" s="112" t="str">
        <f t="shared" si="19"/>
        <v>4011/4012</v>
      </c>
      <c r="L39" s="22" t="str">
        <f>VLOOKUP(A39,'Trips&amp;Operators'!$C$1:$E$10000,3,FALSE)</f>
        <v>STRICKLAND</v>
      </c>
      <c r="M39" s="6">
        <f t="shared" si="20"/>
        <v>2.7048611111240461E-2</v>
      </c>
      <c r="N39" s="7">
        <f t="shared" si="21"/>
        <v>38.950000000186265</v>
      </c>
      <c r="O39" s="7"/>
      <c r="P39" s="7"/>
      <c r="Q39" s="23"/>
      <c r="R39" s="23"/>
      <c r="S39" s="35">
        <f t="shared" si="22"/>
        <v>1</v>
      </c>
      <c r="T39" s="50" t="str">
        <f t="shared" si="23"/>
        <v>NorthBound</v>
      </c>
      <c r="U39" s="18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05:55:14-0600',mode:absolute,to:'2016-10-19 08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9" s="52" t="str">
        <f t="shared" si="25"/>
        <v>N</v>
      </c>
      <c r="X39" s="174">
        <f t="shared" si="35"/>
        <v>1</v>
      </c>
      <c r="Y39" s="67">
        <f t="shared" si="26"/>
        <v>4.6399999999999997E-2</v>
      </c>
      <c r="Z39" s="67">
        <f t="shared" si="27"/>
        <v>23.334199999999999</v>
      </c>
      <c r="AA39" s="67">
        <f t="shared" si="28"/>
        <v>23.287800000000001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29"/>
        <v>0127-19</v>
      </c>
      <c r="AE39" s="91" t="str">
        <f t="shared" si="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39" s="88" t="str">
        <f t="shared" si="1"/>
        <v>"C:\Program Files (x86)\AstroGrep\AstroGrep.exe" /spath="%USERPROFILE%\AppData\Local\Temp\OnboardLogs" /stypes="app*4011*20161019*" /stext=" 13:.+((SYSTEM_STATE.+slice.+state.+changed )|(ment ac)|(system.+state.+changed )|(\[timeout)|(PRM\|1\|D)|(kpr)|(kdp)|(\|lc)|(penalty))" /e /r /s</v>
      </c>
      <c r="AG39" s="1" t="str">
        <f t="shared" si="30"/>
        <v>EC</v>
      </c>
      <c r="AH39" s="92" t="str">
        <f t="shared" si="31"/>
        <v>"%USERPROFILE%\Documents\GitHub\eaglep3\Utilities\RefineRTDCRunTimes.py" --tripid 127-19 --locoid 4011 --swversion DE.1.0.7.0 --startMP 204:464 --initTime 2016-10-19T06:55:14 --startdatetime 2016-10-19T07:00:23 --delay 1 --endMP 204:233342 --enddatetime 2016-10-19T07:39:20 --enforcementcount 0 &gt;&gt;C:\Users\stu\Documents\GitHub\eaglep3-reporting\EC\2016-10-19-refined-times.txt</v>
      </c>
      <c r="AI39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{"issue":{"subject":"","project_id":79,"tracker_id":40,"status_id":1,"priority_id":2,"assigned_to_id":23,"start_date":"2016-10-19","description":"","custom_fields":[{"id":1,"name":"Subdivision","value":"EC"},{"id":4,"name":"Milepost","value":"23.3342"},{"id":17,"name":"Train ID","value":"127-19"},{"id":16,"name":"Locomotive ID","value":"4011"},{"id":130,"name":"Impact","value":""},{"id":150,"name":"Time of Event (Mountain Time)","value":"07:39:20"},{"id":151,"name":"Denver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441</v>
      </c>
      <c r="B40" s="7">
        <v>4012</v>
      </c>
      <c r="C40" s="22" t="s">
        <v>99</v>
      </c>
      <c r="D40" s="22" t="s">
        <v>277</v>
      </c>
      <c r="E40" s="13">
        <v>42662.328333333331</v>
      </c>
      <c r="F40" s="13">
        <v>42662.33079861111</v>
      </c>
      <c r="G40" s="7">
        <v>1</v>
      </c>
      <c r="H40" s="13" t="s">
        <v>225</v>
      </c>
      <c r="I40" s="13">
        <v>42662.358206018522</v>
      </c>
      <c r="J40" s="7">
        <v>0</v>
      </c>
      <c r="K40" s="112" t="str">
        <f t="shared" si="19"/>
        <v>4011/4012</v>
      </c>
      <c r="L40" s="22" t="str">
        <f>VLOOKUP(A40,'Trips&amp;Operators'!$C$1:$E$10000,3,FALSE)</f>
        <v>STRICKLAND</v>
      </c>
      <c r="M40" s="6">
        <f t="shared" si="20"/>
        <v>2.7407407411374152E-2</v>
      </c>
      <c r="N40" s="7">
        <f t="shared" si="21"/>
        <v>39.466666672378778</v>
      </c>
      <c r="O40" s="7"/>
      <c r="P40" s="7"/>
      <c r="Q40" s="23"/>
      <c r="R40" s="23"/>
      <c r="S40" s="35">
        <f t="shared" si="22"/>
        <v>1</v>
      </c>
      <c r="T40" s="50" t="str">
        <f t="shared" si="23"/>
        <v>Southbound</v>
      </c>
      <c r="U40" s="18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06:52:48-0600',mode:absolute,to:'2016-10-19 09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0" s="52" t="str">
        <f t="shared" si="25"/>
        <v>N</v>
      </c>
      <c r="X40" s="174">
        <f t="shared" si="35"/>
        <v>1</v>
      </c>
      <c r="Y40" s="67">
        <f t="shared" si="26"/>
        <v>23.299099999999999</v>
      </c>
      <c r="Z40" s="67">
        <f t="shared" si="27"/>
        <v>1.54E-2</v>
      </c>
      <c r="AA40" s="67">
        <f t="shared" si="28"/>
        <v>23.2837</v>
      </c>
      <c r="AB40" s="64" t="str">
        <f>VLOOKUP(A40,Enforcements!$C$7:$K$21,8,0)</f>
        <v>Speed (6)</v>
      </c>
      <c r="AC40" s="60" t="str">
        <f>VLOOKUP(A40,Enforcements!$C$7:$E$21,3,0)</f>
        <v>PERMANENT SPEED RESTRICTION</v>
      </c>
      <c r="AD40" s="61" t="str">
        <f t="shared" si="29"/>
        <v>0128-19</v>
      </c>
      <c r="AE40" s="91" t="str">
        <f t="shared" si="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40" s="88" t="str">
        <f t="shared" si="1"/>
        <v>"C:\Program Files (x86)\AstroGrep\AstroGrep.exe" /spath="%USERPROFILE%\AppData\Local\Temp\OnboardLogs" /stypes="app*4012*20161019*" /stext=" 14:.+((SYSTEM_STATE.+slice.+state.+changed )|(ment ac)|(system.+state.+changed )|(\[timeout)|(PRM\|1\|D)|(kpr)|(kdp)|(\|lc)|(penalty))" /e /r /s</v>
      </c>
      <c r="AG40" s="1" t="str">
        <f t="shared" si="30"/>
        <v>EC</v>
      </c>
      <c r="AH40" s="92" t="str">
        <f t="shared" si="31"/>
        <v>"%USERPROFILE%\Documents\GitHub\eaglep3\Utilities\RefineRTDCRunTimes.py" --tripid 128-19 --locoid 4012 --swversion DE.1.0.7.0 --startMP 204:232991 --initTime 2016-10-19T07:52:48 --startdatetime 2016-10-19T07:56:21 --delay 1 --endMP 204:154 --enddatetime 2016-10-19T08:35:49 --enforcementcount 0 &gt;&gt;C:\Users\stu\Documents\GitHub\eaglep3-reporting\EC\2016-10-19-refined-times.txt</v>
      </c>
      <c r="AI40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{"issue":{"subject":"","project_id":79,"tracker_id":40,"status_id":1,"priority_id":2,"assigned_to_id":23,"start_date":"2016-10-19","description":"","custom_fields":[{"id":1,"name":"Subdivision","value":"EC"},{"id":4,"name":"Milepost","value":"0.0154"},{"id":17,"name":"Train ID","value":"128-19"},{"id":16,"name":"Locomotive ID","value":"4012"},{"id":130,"name":"Impact","value":""},{"id":150,"name":"Time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497</v>
      </c>
      <c r="B41" s="7">
        <v>4025</v>
      </c>
      <c r="C41" s="22" t="s">
        <v>99</v>
      </c>
      <c r="D41" s="22" t="s">
        <v>284</v>
      </c>
      <c r="E41" s="13">
        <v>42662.29892361111</v>
      </c>
      <c r="F41" s="13">
        <v>42662.302372685182</v>
      </c>
      <c r="G41" s="7">
        <v>1</v>
      </c>
      <c r="H41" s="13" t="s">
        <v>272</v>
      </c>
      <c r="I41" s="13">
        <v>42662.327777777777</v>
      </c>
      <c r="J41" s="7">
        <v>0</v>
      </c>
      <c r="K41" s="112" t="str">
        <f t="shared" si="19"/>
        <v>4025/4026</v>
      </c>
      <c r="L41" s="22" t="str">
        <f>VLOOKUP(A41,'Trips&amp;Operators'!$C$1:$E$10000,3,FALSE)</f>
        <v>BRANNON</v>
      </c>
      <c r="M41" s="6">
        <f t="shared" si="20"/>
        <v>2.5405092594155576E-2</v>
      </c>
      <c r="N41" s="7">
        <f t="shared" si="21"/>
        <v>36.58333333558403</v>
      </c>
      <c r="O41" s="7"/>
      <c r="P41" s="7"/>
      <c r="Q41" s="23"/>
      <c r="R41" s="23"/>
      <c r="S41" s="35">
        <f t="shared" si="22"/>
        <v>1</v>
      </c>
      <c r="T41" s="50" t="str">
        <f t="shared" si="23"/>
        <v>NorthBound</v>
      </c>
      <c r="U41" s="18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06:10:27-0600',mode:absolute,to:'2016-10-19 08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1" s="52" t="str">
        <f t="shared" si="25"/>
        <v>N</v>
      </c>
      <c r="X41" s="174">
        <f t="shared" si="35"/>
        <v>1</v>
      </c>
      <c r="Y41" s="67">
        <f t="shared" si="26"/>
        <v>4.4400000000000002E-2</v>
      </c>
      <c r="Z41" s="67">
        <f t="shared" si="27"/>
        <v>23.330100000000002</v>
      </c>
      <c r="AA41" s="67">
        <f t="shared" si="28"/>
        <v>23.285700000000002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29"/>
        <v>0129-19</v>
      </c>
      <c r="AE41" s="91" t="str">
        <f t="shared" si="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41" s="88" t="str">
        <f t="shared" si="1"/>
        <v>"C:\Program Files (x86)\AstroGrep\AstroGrep.exe" /spath="%USERPROFILE%\AppData\Local\Temp\OnboardLogs" /stypes="app*4025*20161019*" /stext=" 13:.+((SYSTEM_STATE.+slice.+state.+changed )|(ment ac)|(system.+state.+changed )|(\[timeout)|(PRM\|1\|D)|(kpr)|(kdp)|(\|lc)|(penalty))" /e /r /s</v>
      </c>
      <c r="AG41" s="1" t="str">
        <f t="shared" si="30"/>
        <v>EC</v>
      </c>
      <c r="AH41" s="92" t="str">
        <f t="shared" si="31"/>
        <v>"%USERPROFILE%\Documents\GitHub\eaglep3\Utilities\RefineRTDCRunTimes.py" --tripid 129-19 --locoid 4025 --swversion DE.1.0.7.0 --startMP 204:444 --initTime 2016-10-19T07:10:27 --startdatetime 2016-10-19T07:15:25 --delay 1 --endMP 204:233301 --enddatetime 2016-10-19T07:52:00 --enforcementcount 0 &gt;&gt;C:\Users\stu\Documents\GitHub\eaglep3-reporting\EC\2016-10-19-refined-times.txt</v>
      </c>
      <c r="AI41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{"issue":{"subject":"","project_id":79,"tracker_id":40,"status_id":1,"priority_id":2,"assigned_to_id":23,"start_date":"2016-10-19","description":"","custom_fields":[{"id":1,"name":"Subdivision","value":"EC"},{"id":4,"name":"Milepost","value":"23.3301"},{"id":17,"name":"Train ID","value":"129-19"},{"id":16,"name":"Locomotive ID","value":"4025"},{"id":130,"name":"Impact","value":""},{"id":150,"name":"Time of Event (Mountain Time)","value":"07:52:00"},{"id":151,"name":"Denver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505</v>
      </c>
      <c r="B42" s="7">
        <v>4026</v>
      </c>
      <c r="C42" s="22" t="s">
        <v>99</v>
      </c>
      <c r="D42" s="22" t="s">
        <v>240</v>
      </c>
      <c r="E42" s="13">
        <v>42662.332407407404</v>
      </c>
      <c r="F42" s="13">
        <v>42662.341469907406</v>
      </c>
      <c r="G42" s="7">
        <v>1</v>
      </c>
      <c r="H42" s="13" t="s">
        <v>182</v>
      </c>
      <c r="I42" s="13">
        <v>42662.36917824074</v>
      </c>
      <c r="J42" s="7">
        <v>0</v>
      </c>
      <c r="K42" s="112" t="str">
        <f t="shared" si="19"/>
        <v>4025/4026</v>
      </c>
      <c r="L42" s="22" t="str">
        <f>VLOOKUP(A42,'Trips&amp;Operators'!$C$1:$E$10000,3,FALSE)</f>
        <v>BRANNON</v>
      </c>
      <c r="M42" s="6">
        <f t="shared" si="20"/>
        <v>2.7708333334885538E-2</v>
      </c>
      <c r="N42" s="7">
        <f t="shared" si="21"/>
        <v>39.900000002235174</v>
      </c>
      <c r="O42" s="7"/>
      <c r="P42" s="7"/>
      <c r="Q42" s="23"/>
      <c r="R42" s="23"/>
      <c r="S42" s="35">
        <f t="shared" si="22"/>
        <v>1</v>
      </c>
      <c r="T42" s="50" t="str">
        <f t="shared" si="23"/>
        <v>Southbound</v>
      </c>
      <c r="U42" s="18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06:58:40-0600',mode:absolute,to:'2016-10-19 09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2" s="52" t="str">
        <f t="shared" si="25"/>
        <v>N</v>
      </c>
      <c r="X42" s="174">
        <f t="shared" si="35"/>
        <v>1</v>
      </c>
      <c r="Y42" s="67">
        <f t="shared" si="26"/>
        <v>23.297799999999999</v>
      </c>
      <c r="Z42" s="67">
        <f t="shared" si="27"/>
        <v>1.41E-2</v>
      </c>
      <c r="AA42" s="67">
        <f t="shared" si="28"/>
        <v>23.2837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29"/>
        <v>0130-19</v>
      </c>
      <c r="AE42" s="91" t="str">
        <f t="shared" si="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42" s="88" t="str">
        <f t="shared" si="1"/>
        <v>"C:\Program Files (x86)\AstroGrep\AstroGrep.exe" /spath="%USERPROFILE%\AppData\Local\Temp\OnboardLogs" /stypes="app*4026*20161019*" /stext=" 14:.+((SYSTEM_STATE.+slice.+state.+changed )|(ment ac)|(system.+state.+changed )|(\[timeout)|(PRM\|1\|D)|(kpr)|(kdp)|(\|lc)|(penalty))" /e /r /s</v>
      </c>
      <c r="AG42" s="1" t="str">
        <f t="shared" si="30"/>
        <v>EC</v>
      </c>
      <c r="AH42" s="92" t="str">
        <f t="shared" si="31"/>
        <v>"%USERPROFILE%\Documents\GitHub\eaglep3\Utilities\RefineRTDCRunTimes.py" --tripid 130-19 --locoid 4026 --swversion DE.1.0.7.0 --startMP 204:232978 --initTime 2016-10-19T07:58:40 --startdatetime 2016-10-19T08:11:43 --delay 1 --endMP 204:141 --enddatetime 2016-10-19T08:51:37 --enforcementcount 0 &gt;&gt;C:\Users\stu\Documents\GitHub\eaglep3-reporting\EC\2016-10-19-refined-times.txt</v>
      </c>
      <c r="AI42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{"issue":{"subject":"","project_id":79,"tracker_id":40,"status_id":1,"priority_id":2,"assigned_to_id":23,"start_date":"2016-10-19","description":"","custom_fields":[{"id":1,"name":"Subdivision","value":"EC"},{"id":4,"name":"Milepost","value":"0.0141"},{"id":17,"name":"Train ID","value":"130-19"},{"id":16,"name":"Locomotive ID","value":"4026"},{"id":130,"name":"Impact","value":""},{"id":150,"name":"Time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499</v>
      </c>
      <c r="B43" s="7">
        <v>4042</v>
      </c>
      <c r="C43" s="22" t="s">
        <v>99</v>
      </c>
      <c r="D43" s="22" t="s">
        <v>233</v>
      </c>
      <c r="E43" s="13">
        <v>42662.309201388889</v>
      </c>
      <c r="F43" s="13">
        <v>42662.31287037037</v>
      </c>
      <c r="G43" s="7">
        <v>1</v>
      </c>
      <c r="H43" s="13" t="s">
        <v>275</v>
      </c>
      <c r="I43" s="13">
        <v>42662.337962962964</v>
      </c>
      <c r="J43" s="7">
        <v>0</v>
      </c>
      <c r="K43" s="112" t="str">
        <f t="shared" si="19"/>
        <v>4041/4042</v>
      </c>
      <c r="L43" s="22" t="str">
        <f>VLOOKUP(A43,'Trips&amp;Operators'!$C$1:$E$10000,3,FALSE)</f>
        <v>SPECTOR</v>
      </c>
      <c r="M43" s="6">
        <f t="shared" si="20"/>
        <v>2.5092592593864538E-2</v>
      </c>
      <c r="N43" s="7">
        <f t="shared" si="21"/>
        <v>36.133333335164934</v>
      </c>
      <c r="O43" s="7"/>
      <c r="P43" s="7"/>
      <c r="Q43" s="23"/>
      <c r="R43" s="23"/>
      <c r="S43" s="35">
        <f t="shared" si="22"/>
        <v>1</v>
      </c>
      <c r="T43" s="50" t="str">
        <f t="shared" si="23"/>
        <v>NorthBound</v>
      </c>
      <c r="U43" s="18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06:25:15-0600',mode:absolute,to:'2016-10-19 09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25"/>
        <v>N</v>
      </c>
      <c r="X43" s="174">
        <f t="shared" si="35"/>
        <v>1</v>
      </c>
      <c r="Y43" s="67">
        <f t="shared" si="26"/>
        <v>4.53E-2</v>
      </c>
      <c r="Z43" s="67">
        <f t="shared" si="27"/>
        <v>23.331499999999998</v>
      </c>
      <c r="AA43" s="67">
        <f t="shared" si="28"/>
        <v>23.286199999999997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29"/>
        <v>0131-19</v>
      </c>
      <c r="AE43" s="91" t="str">
        <f t="shared" si="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43" s="88" t="str">
        <f t="shared" si="1"/>
        <v>"C:\Program Files (x86)\AstroGrep\AstroGrep.exe" /spath="%USERPROFILE%\AppData\Local\Temp\OnboardLogs" /stypes="app*4042*20161019*" /stext=" 14:.+((SYSTEM_STATE.+slice.+state.+changed )|(ment ac)|(system.+state.+changed )|(\[timeout)|(PRM\|1\|D)|(kpr)|(kdp)|(\|lc)|(penalty))" /e /r /s</v>
      </c>
      <c r="AG43" s="1" t="str">
        <f t="shared" si="30"/>
        <v>EC</v>
      </c>
      <c r="AH43" s="92" t="str">
        <f t="shared" si="31"/>
        <v>"%USERPROFILE%\Documents\GitHub\eaglep3\Utilities\RefineRTDCRunTimes.py" --tripid 131-19 --locoid 4042 --swversion DE.1.0.7.0 --startMP 204:453 --initTime 2016-10-19T07:25:15 --startdatetime 2016-10-19T07:30:32 --delay 1 --endMP 204:233315 --enddatetime 2016-10-19T08:06:40 --enforcementcount 0 &gt;&gt;C:\Users\stu\Documents\GitHub\eaglep3-reporting\EC\2016-10-19-refined-times.txt</v>
      </c>
      <c r="AI43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{"issue":{"subject":"","project_id":79,"tracker_id":40,"status_id":1,"priority_id":2,"assigned_to_id":23,"start_date":"2016-10-19","description":"","custom_fields":[{"id":1,"name":"Subdivision","value":"EC"},{"id":4,"name":"Milepost","value":"23.3315"},{"id":17,"name":"Train ID","value":"131-19"},{"id":16,"name":"Locomotive ID","value":"4042"},{"id":130,"name":"Impact","value":""},{"id":150,"name":"Time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508</v>
      </c>
      <c r="B44" s="7">
        <v>4041</v>
      </c>
      <c r="C44" s="22" t="s">
        <v>99</v>
      </c>
      <c r="D44" s="22" t="s">
        <v>290</v>
      </c>
      <c r="E44" s="13">
        <v>42662.3440162037</v>
      </c>
      <c r="F44" s="13">
        <v>42662.351550925923</v>
      </c>
      <c r="G44" s="7">
        <v>1</v>
      </c>
      <c r="H44" s="13" t="s">
        <v>289</v>
      </c>
      <c r="I44" s="13">
        <v>42662.379201388889</v>
      </c>
      <c r="J44" s="7">
        <v>0</v>
      </c>
      <c r="K44" s="112" t="str">
        <f t="shared" si="19"/>
        <v>4041/4042</v>
      </c>
      <c r="L44" s="22" t="str">
        <f>VLOOKUP(A44,'Trips&amp;Operators'!$C$1:$E$10000,3,FALSE)</f>
        <v>SPECTOR</v>
      </c>
      <c r="M44" s="6">
        <f t="shared" si="20"/>
        <v>2.7650462965539191E-2</v>
      </c>
      <c r="N44" s="7">
        <f t="shared" si="21"/>
        <v>39.816666670376435</v>
      </c>
      <c r="O44" s="7"/>
      <c r="P44" s="7"/>
      <c r="Q44" s="23"/>
      <c r="R44" s="23"/>
      <c r="S44" s="35">
        <f t="shared" si="22"/>
        <v>1</v>
      </c>
      <c r="T44" s="50" t="str">
        <f t="shared" si="23"/>
        <v>Southbound</v>
      </c>
      <c r="U44" s="18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07:15:23-0600',mode:absolute,to:'2016-10-19 10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25"/>
        <v>N</v>
      </c>
      <c r="X44" s="174">
        <f t="shared" si="35"/>
        <v>1</v>
      </c>
      <c r="Y44" s="67">
        <f t="shared" si="26"/>
        <v>23.3</v>
      </c>
      <c r="Z44" s="67">
        <f t="shared" si="27"/>
        <v>1.5599999999999999E-2</v>
      </c>
      <c r="AA44" s="67">
        <f t="shared" si="28"/>
        <v>23.284400000000002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29"/>
        <v>0132-19</v>
      </c>
      <c r="AE44" s="91" t="str">
        <f t="shared" si="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44" s="88" t="str">
        <f t="shared" si="1"/>
        <v>"C:\Program Files (x86)\AstroGrep\AstroGrep.exe" /spath="%USERPROFILE%\AppData\Local\Temp\OnboardLogs" /stypes="app*4041*20161019*" /stext=" 15:.+((SYSTEM_STATE.+slice.+state.+changed )|(ment ac)|(system.+state.+changed )|(\[timeout)|(PRM\|1\|D)|(kpr)|(kdp)|(\|lc)|(penalty))" /e /r /s</v>
      </c>
      <c r="AG44" s="1" t="str">
        <f t="shared" si="30"/>
        <v>EC</v>
      </c>
      <c r="AH44" s="92" t="str">
        <f t="shared" si="31"/>
        <v>"%USERPROFILE%\Documents\GitHub\eaglep3\Utilities\RefineRTDCRunTimes.py" --tripid 132-19 --locoid 4041 --swversion DE.1.0.7.0 --startMP 204:233000 --initTime 2016-10-19T08:15:23 --startdatetime 2016-10-19T08:26:14 --delay 1 --endMP 204:156 --enddatetime 2016-10-19T09:06:03 --enforcementcount 0 &gt;&gt;C:\Users\stu\Documents\GitHub\eaglep3-reporting\EC\2016-10-19-refined-times.txt</v>
      </c>
      <c r="AI44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{"issue":{"subject":"","project_id":79,"tracker_id":40,"status_id":1,"priority_id":2,"assigned_to_id":23,"start_date":"2016-10-19","description":"","custom_fields":[{"id":1,"name":"Subdivision","value":"EC"},{"id":4,"name":"Milepost","value":"0.0156"},{"id":17,"name":"Train ID","value":"132-19"},{"id":16,"name":"Locomotive ID","value":"4041"},{"id":130,"name":"Impact","value":""},{"id":150,"name":"Time of Event (Mountain Time)","value":"09:06:03"},{"id":151,"name":"Denver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502</v>
      </c>
      <c r="B45" s="7">
        <v>4014</v>
      </c>
      <c r="C45" s="22" t="s">
        <v>99</v>
      </c>
      <c r="D45" s="22" t="s">
        <v>669</v>
      </c>
      <c r="E45" s="13">
        <v>42662.31832175926</v>
      </c>
      <c r="F45" s="13">
        <v>42662.323194444441</v>
      </c>
      <c r="G45" s="7">
        <v>7</v>
      </c>
      <c r="H45" s="13" t="s">
        <v>670</v>
      </c>
      <c r="I45" s="13">
        <v>42662.34851851852</v>
      </c>
      <c r="J45" s="7">
        <v>0</v>
      </c>
      <c r="K45" s="112" t="str">
        <f t="shared" si="19"/>
        <v>4013/4014</v>
      </c>
      <c r="L45" s="22" t="str">
        <f>VLOOKUP(A45,'Trips&amp;Operators'!$C$1:$E$10000,3,FALSE)</f>
        <v>MAELZER</v>
      </c>
      <c r="M45" s="6">
        <f t="shared" si="20"/>
        <v>2.5324074078525882E-2</v>
      </c>
      <c r="N45" s="7">
        <f t="shared" si="21"/>
        <v>36.46666667307727</v>
      </c>
      <c r="O45" s="7"/>
      <c r="P45" s="7"/>
      <c r="Q45" s="23"/>
      <c r="R45" s="23"/>
      <c r="S45" s="35">
        <f t="shared" si="22"/>
        <v>1</v>
      </c>
      <c r="T45" s="50" t="str">
        <f t="shared" si="23"/>
        <v>NorthBound</v>
      </c>
      <c r="U45" s="18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06:38:23-0600',mode:absolute,to:'2016-10-19 09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5" s="52" t="str">
        <f t="shared" si="25"/>
        <v>N</v>
      </c>
      <c r="X45" s="174">
        <f t="shared" ref="X45:X49" si="36">VALUE(LEFT(AD45,4))-VALUE(LEFT(AD44,4))</f>
        <v>1</v>
      </c>
      <c r="Y45" s="67">
        <f t="shared" si="26"/>
        <v>0.1051</v>
      </c>
      <c r="Z45" s="67">
        <f t="shared" si="27"/>
        <v>23.331800000000001</v>
      </c>
      <c r="AA45" s="67">
        <f t="shared" si="28"/>
        <v>23.226700000000001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29"/>
        <v>0133-19</v>
      </c>
      <c r="AE45" s="91" t="str">
        <f t="shared" si="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45" s="88" t="str">
        <f t="shared" si="1"/>
        <v>"C:\Program Files (x86)\AstroGrep\AstroGrep.exe" /spath="%USERPROFILE%\AppData\Local\Temp\OnboardLogs" /stypes="app*4014*20161019*" /stext=" 14:.+((SYSTEM_STATE.+slice.+state.+changed )|(ment ac)|(system.+state.+changed )|(\[timeout)|(PRM\|1\|D)|(kpr)|(kdp)|(\|lc)|(penalty))" /e /r /s</v>
      </c>
      <c r="AG45" s="1" t="str">
        <f t="shared" si="30"/>
        <v>EC</v>
      </c>
      <c r="AH45" s="92" t="str">
        <f t="shared" si="31"/>
        <v>"%USERPROFILE%\Documents\GitHub\eaglep3\Utilities\RefineRTDCRunTimes.py" --tripid 133-19 --locoid 4014 --swversion DE.1.0.7.0 --startMP 204:1051 --initTime 2016-10-19T07:38:23 --startdatetime 2016-10-19T07:45:24 --delay 7 --endMP 204:233318 --enddatetime 2016-10-19T08:21:52 --enforcementcount 0 &gt;&gt;C:\Users\stu\Documents\GitHub\eaglep3-reporting\EC\2016-10-19-refined-times.txt</v>
      </c>
      <c r="AI45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{"issue":{"subject":"","project_id":79,"tracker_id":40,"status_id":1,"priority_id":2,"assigned_to_id":23,"start_date":"2016-10-19","description":"","custom_fields":[{"id":1,"name":"Subdivision","value":"EC"},{"id":4,"name":"Milepost","value":"23.3318"},{"id":17,"name":"Train ID","value":"133-19"},{"id":16,"name":"Locomotive ID","value":"4014"},{"id":130,"name":"Impact","value":""},{"id":150,"name":"Time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510</v>
      </c>
      <c r="B46" s="7">
        <v>4013</v>
      </c>
      <c r="C46" s="22" t="s">
        <v>99</v>
      </c>
      <c r="D46" s="22" t="s">
        <v>334</v>
      </c>
      <c r="E46" s="13">
        <v>42662.353993055556</v>
      </c>
      <c r="F46" s="13">
        <v>42662.362118055556</v>
      </c>
      <c r="G46" s="7">
        <v>1</v>
      </c>
      <c r="H46" s="13" t="s">
        <v>231</v>
      </c>
      <c r="I46" s="13">
        <v>42662.388877314814</v>
      </c>
      <c r="J46" s="7">
        <v>0</v>
      </c>
      <c r="K46" s="112" t="str">
        <f t="shared" si="19"/>
        <v>4013/4014</v>
      </c>
      <c r="L46" s="22" t="str">
        <f>VLOOKUP(A46,'Trips&amp;Operators'!$C$1:$E$10000,3,FALSE)</f>
        <v>MAELZER</v>
      </c>
      <c r="M46" s="6">
        <f t="shared" si="20"/>
        <v>2.675925925723277E-2</v>
      </c>
      <c r="N46" s="7">
        <f t="shared" si="21"/>
        <v>38.533333330415189</v>
      </c>
      <c r="O46" s="7"/>
      <c r="P46" s="7"/>
      <c r="Q46" s="23"/>
      <c r="R46" s="23"/>
      <c r="S46" s="35">
        <f t="shared" si="22"/>
        <v>1</v>
      </c>
      <c r="T46" s="50" t="str">
        <f t="shared" si="23"/>
        <v>Southbound</v>
      </c>
      <c r="U46" s="18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07:29:45-0600',mode:absolute,to:'2016-10-19 10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6" s="52" t="str">
        <f t="shared" si="25"/>
        <v>N</v>
      </c>
      <c r="X46" s="174">
        <f t="shared" si="36"/>
        <v>1</v>
      </c>
      <c r="Y46" s="67">
        <f t="shared" si="26"/>
        <v>23.298999999999999</v>
      </c>
      <c r="Z46" s="67">
        <f t="shared" si="27"/>
        <v>1.4999999999999999E-2</v>
      </c>
      <c r="AA46" s="67">
        <f t="shared" si="28"/>
        <v>23.283999999999999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29"/>
        <v>0134-19</v>
      </c>
      <c r="AE46" s="91" t="str">
        <f t="shared" si="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46" s="88" t="str">
        <f t="shared" si="1"/>
        <v>"C:\Program Files (x86)\AstroGrep\AstroGrep.exe" /spath="%USERPROFILE%\AppData\Local\Temp\OnboardLogs" /stypes="app*4013*20161019*" /stext=" 15:.+((SYSTEM_STATE.+slice.+state.+changed )|(ment ac)|(system.+state.+changed )|(\[timeout)|(PRM\|1\|D)|(kpr)|(kdp)|(\|lc)|(penalty))" /e /r /s</v>
      </c>
      <c r="AG46" s="1" t="str">
        <f t="shared" si="30"/>
        <v>EC</v>
      </c>
      <c r="AH46" s="92" t="str">
        <f t="shared" si="31"/>
        <v>"%USERPROFILE%\Documents\GitHub\eaglep3\Utilities\RefineRTDCRunTimes.py" --tripid 134-19 --locoid 4013 --swversion DE.1.0.7.0 --startMP 204:232990 --initTime 2016-10-19T08:29:45 --startdatetime 2016-10-19T08:41:27 --delay 1 --endMP 204:150 --enddatetime 2016-10-19T09:19:59 --enforcementcount 0 &gt;&gt;C:\Users\stu\Documents\GitHub\eaglep3-reporting\EC\2016-10-19-refined-times.txt</v>
      </c>
      <c r="AI46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{"issue":{"subject":"","project_id":79,"tracker_id":40,"status_id":1,"priority_id":2,"assigned_to_id":23,"start_date":"2016-10-19","description":"","custom_fields":[{"id":1,"name":"Subdivision","value":"EC"},{"id":4,"name":"Milepost","value":"0.015"},{"id":17,"name":"Train ID","value":"134-19"},{"id":16,"name":"Locomotive ID","value":"4013"},{"id":130,"name":"Impact","value":""},{"id":150,"name":"Time of Event (Mountain Time)","value":"09:19:59"},{"id":151,"name":"Denver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504</v>
      </c>
      <c r="B47" s="7">
        <v>4002</v>
      </c>
      <c r="C47" s="22" t="s">
        <v>99</v>
      </c>
      <c r="D47" s="22" t="s">
        <v>416</v>
      </c>
      <c r="E47" s="13">
        <v>42662.329699074071</v>
      </c>
      <c r="F47" s="13">
        <v>42662.333692129629</v>
      </c>
      <c r="G47" s="7">
        <v>1</v>
      </c>
      <c r="H47" s="13" t="s">
        <v>291</v>
      </c>
      <c r="I47" s="13">
        <v>42662.360231481478</v>
      </c>
      <c r="J47" s="7">
        <v>0</v>
      </c>
      <c r="K47" s="112" t="str">
        <f t="shared" si="19"/>
        <v>4001/4002</v>
      </c>
      <c r="L47" s="22" t="str">
        <f>VLOOKUP(A47,'Trips&amp;Operators'!$C$1:$E$10000,3,FALSE)</f>
        <v>ACKERMAN</v>
      </c>
      <c r="M47" s="6">
        <f t="shared" si="20"/>
        <v>2.6539351849351078E-2</v>
      </c>
      <c r="N47" s="7">
        <f t="shared" si="21"/>
        <v>38.216666663065553</v>
      </c>
      <c r="O47" s="7"/>
      <c r="P47" s="7"/>
      <c r="Q47" s="23"/>
      <c r="R47" s="23"/>
      <c r="S47" s="35">
        <f t="shared" si="22"/>
        <v>1</v>
      </c>
      <c r="T47" s="50" t="str">
        <f t="shared" si="23"/>
        <v>NorthBound</v>
      </c>
      <c r="U47" s="18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06:54:46-0600',mode:absolute,to:'2016-10-19 09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7" s="52" t="str">
        <f t="shared" si="25"/>
        <v>N</v>
      </c>
      <c r="X47" s="174">
        <f t="shared" si="36"/>
        <v>1</v>
      </c>
      <c r="Y47" s="67">
        <f t="shared" si="26"/>
        <v>4.1599999999999998E-2</v>
      </c>
      <c r="Z47" s="67">
        <f t="shared" si="27"/>
        <v>23.3308</v>
      </c>
      <c r="AA47" s="67">
        <f t="shared" si="28"/>
        <v>23.289200000000001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29"/>
        <v>0135-19</v>
      </c>
      <c r="AE47" s="91" t="str">
        <f t="shared" si="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47" s="88" t="str">
        <f t="shared" si="1"/>
        <v>"C:\Program Files (x86)\AstroGrep\AstroGrep.exe" /spath="%USERPROFILE%\AppData\Local\Temp\OnboardLogs" /stypes="app*4002*20161019*" /stext=" 14:.+((SYSTEM_STATE.+slice.+state.+changed )|(ment ac)|(system.+state.+changed )|(\[timeout)|(PRM\|1\|D)|(kpr)|(kdp)|(\|lc)|(penalty))" /e /r /s</v>
      </c>
      <c r="AG47" s="1" t="str">
        <f t="shared" si="30"/>
        <v>EC</v>
      </c>
      <c r="AH47" s="92" t="str">
        <f t="shared" si="31"/>
        <v>"%USERPROFILE%\Documents\GitHub\eaglep3\Utilities\RefineRTDCRunTimes.py" --tripid 135-19 --locoid 4002 --swversion DE.1.0.7.0 --startMP 204:416 --initTime 2016-10-19T07:54:46 --startdatetime 2016-10-19T08:00:31 --delay 1 --endMP 204:233308 --enddatetime 2016-10-19T08:38:44 --enforcementcount 0 &gt;&gt;C:\Users\stu\Documents\GitHub\eaglep3-reporting\EC\2016-10-19-refined-times.txt</v>
      </c>
      <c r="AI47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{"issue":{"subject":"","project_id":79,"tracker_id":40,"status_id":1,"priority_id":2,"assigned_to_id":23,"start_date":"2016-10-19","description":"","custom_fields":[{"id":1,"name":"Subdivision","value":"EC"},{"id":4,"name":"Milepost","value":"23.3308"},{"id":17,"name":"Train ID","value":"135-19"},{"id":16,"name":"Locomotive ID","value":"4002"},{"id":130,"name":"Impact","value":""},{"id":150,"name":"Time of Event (Mountain Time)","value":"08:38:44"},{"id":151,"name":"Denver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443</v>
      </c>
      <c r="B48" s="7">
        <v>4001</v>
      </c>
      <c r="C48" s="22" t="s">
        <v>99</v>
      </c>
      <c r="D48" s="22" t="s">
        <v>271</v>
      </c>
      <c r="E48" s="13">
        <v>42662.361770833333</v>
      </c>
      <c r="F48" s="13">
        <v>42662.372511574074</v>
      </c>
      <c r="G48" s="7">
        <v>1</v>
      </c>
      <c r="H48" s="13" t="s">
        <v>671</v>
      </c>
      <c r="I48" s="13">
        <v>42662.400011574071</v>
      </c>
      <c r="J48" s="7">
        <v>0</v>
      </c>
      <c r="K48" s="112" t="str">
        <f t="shared" si="19"/>
        <v>4001/4002</v>
      </c>
      <c r="L48" s="22" t="str">
        <f>VLOOKUP(A48,'Trips&amp;Operators'!$C$1:$E$10000,3,FALSE)</f>
        <v>ACKERMAN</v>
      </c>
      <c r="M48" s="6">
        <f t="shared" si="20"/>
        <v>2.749999999650754E-2</v>
      </c>
      <c r="N48" s="7">
        <f t="shared" si="21"/>
        <v>39.599999994970858</v>
      </c>
      <c r="O48" s="7"/>
      <c r="P48" s="7"/>
      <c r="Q48" s="23"/>
      <c r="R48" s="23"/>
      <c r="S48" s="35">
        <f t="shared" si="22"/>
        <v>1</v>
      </c>
      <c r="T48" s="50" t="str">
        <f t="shared" si="23"/>
        <v>Southbound</v>
      </c>
      <c r="U48" s="18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07:40:57-0600',mode:absolute,to:'2016-10-19 10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8" s="52" t="str">
        <f t="shared" si="25"/>
        <v>N</v>
      </c>
      <c r="X48" s="174">
        <f t="shared" si="36"/>
        <v>1</v>
      </c>
      <c r="Y48" s="67">
        <f t="shared" si="26"/>
        <v>23.299800000000001</v>
      </c>
      <c r="Z48" s="67">
        <f t="shared" si="27"/>
        <v>1.9400000000000001E-2</v>
      </c>
      <c r="AA48" s="67">
        <f t="shared" si="28"/>
        <v>23.2804</v>
      </c>
      <c r="AB48" s="64" t="str">
        <f>VLOOKUP(A48,Enforcements!$C$7:$K$21,8,0)</f>
        <v>Signal based authority (5)</v>
      </c>
      <c r="AC48" s="60" t="str">
        <f>VLOOKUP(A48,Enforcements!$C$7:$E$21,3,0)</f>
        <v>SIGNAL</v>
      </c>
      <c r="AD48" s="61" t="str">
        <f t="shared" si="29"/>
        <v>0136-19</v>
      </c>
      <c r="AE48" s="91" t="str">
        <f t="shared" si="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48" s="88" t="str">
        <f t="shared" si="1"/>
        <v>"C:\Program Files (x86)\AstroGrep\AstroGrep.exe" /spath="%USERPROFILE%\AppData\Local\Temp\OnboardLogs" /stypes="app*4001*20161019*" /stext=" 15:.+((SYSTEM_STATE.+slice.+state.+changed )|(ment ac)|(system.+state.+changed )|(\[timeout)|(PRM\|1\|D)|(kpr)|(kdp)|(\|lc)|(penalty))" /e /r /s</v>
      </c>
      <c r="AG48" s="1" t="str">
        <f t="shared" si="30"/>
        <v>EC</v>
      </c>
      <c r="AH48" s="92" t="str">
        <f t="shared" si="31"/>
        <v>"%USERPROFILE%\Documents\GitHub\eaglep3\Utilities\RefineRTDCRunTimes.py" --tripid 136-19 --locoid 4001 --swversion DE.1.0.7.0 --startMP 204:232998 --initTime 2016-10-19T08:40:57 --startdatetime 2016-10-19T08:56:25 --delay 1 --endMP 204:194 --enddatetime 2016-10-19T09:36:01 --enforcementcount 0 &gt;&gt;C:\Users\stu\Documents\GitHub\eaglep3-reporting\EC\2016-10-19-refined-times.txt</v>
      </c>
      <c r="AI48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{"issue":{"subject":"","project_id":79,"tracker_id":40,"status_id":1,"priority_id":2,"assigned_to_id":23,"start_date":"2016-10-19","description":"","custom_fields":[{"id":1,"name":"Subdivision","value":"EC"},{"id":4,"name":"Milepost","value":"0.0194"},{"id":17,"name":"Train ID","value":"136-19"},{"id":16,"name":"Locomotive ID","value":"4001"},{"id":130,"name":"Impact","value":""},{"id":150,"name":"Time of Event (Mountain Time)","value":"09:36:01"},{"id":151,"name":"Denver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507</v>
      </c>
      <c r="B49" s="7">
        <v>4040</v>
      </c>
      <c r="C49" s="22" t="s">
        <v>99</v>
      </c>
      <c r="D49" s="22" t="s">
        <v>325</v>
      </c>
      <c r="E49" s="13">
        <v>42662.34039351852</v>
      </c>
      <c r="F49" s="13">
        <v>42662.344097222223</v>
      </c>
      <c r="G49" s="7">
        <v>1</v>
      </c>
      <c r="H49" s="13" t="s">
        <v>272</v>
      </c>
      <c r="I49" s="13">
        <v>42662.36824074074</v>
      </c>
      <c r="J49" s="7">
        <v>0</v>
      </c>
      <c r="K49" s="112" t="str">
        <f t="shared" si="19"/>
        <v>4039/4040</v>
      </c>
      <c r="L49" s="22" t="str">
        <f>VLOOKUP(A49,'Trips&amp;Operators'!$C$1:$E$10000,3,FALSE)</f>
        <v>KILLION</v>
      </c>
      <c r="M49" s="6">
        <f t="shared" si="20"/>
        <v>2.414351851621177E-2</v>
      </c>
      <c r="N49" s="7">
        <f t="shared" si="21"/>
        <v>34.766666663344949</v>
      </c>
      <c r="O49" s="7"/>
      <c r="P49" s="7"/>
      <c r="Q49" s="23"/>
      <c r="R49" s="23"/>
      <c r="S49" s="35">
        <f t="shared" si="22"/>
        <v>1</v>
      </c>
      <c r="T49" s="50" t="str">
        <f t="shared" si="23"/>
        <v>NorthBound</v>
      </c>
      <c r="U49" s="18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https://search-rtdc-monitor-bjffxe2xuh6vdkpspy63sjmuny.us-east-1.es.amazonaws.com/_plugin/kibana/#/discover/Steve-Slow-Train-Analysis-(2080s-and-2083s)?_g=(refreshInterval:(display:Off,section:0,value:0),time:(from:'2016-10-19 07:10:10-0600',mode:absolute,to:'2016-10-19 09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9" s="52" t="str">
        <f t="shared" si="25"/>
        <v>N</v>
      </c>
      <c r="X49" s="174">
        <f t="shared" si="36"/>
        <v>1</v>
      </c>
      <c r="Y49" s="67">
        <f t="shared" si="26"/>
        <v>4.4900000000000002E-2</v>
      </c>
      <c r="Z49" s="67">
        <f t="shared" si="27"/>
        <v>23.330100000000002</v>
      </c>
      <c r="AA49" s="67">
        <f t="shared" si="28"/>
        <v>23.285200000000003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29"/>
        <v>0137-19</v>
      </c>
      <c r="AE49" s="91" t="str">
        <f t="shared" si="0"/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49" s="88" t="str">
        <f t="shared" si="1"/>
        <v>"C:\Program Files (x86)\AstroGrep\AstroGrep.exe" /spath="%USERPROFILE%\AppData\Local\Temp\OnboardLogs" /stypes="app*4040*20161019*" /stext=" 14:.+((SYSTEM_STATE.+slice.+state.+changed )|(ment ac)|(system.+state.+changed )|(\[timeout)|(PRM\|1\|D)|(kpr)|(kdp)|(\|lc)|(penalty))" /e /r /s</v>
      </c>
      <c r="AG49" s="1" t="str">
        <f t="shared" si="30"/>
        <v>EC</v>
      </c>
      <c r="AH49" s="92" t="str">
        <f t="shared" si="31"/>
        <v>"%USERPROFILE%\Documents\GitHub\eaglep3\Utilities\RefineRTDCRunTimes.py" --tripid 137-19 --locoid 4040 --swversion DE.1.0.7.0 --startMP 204:449 --initTime 2016-10-19T08:10:10 --startdatetime 2016-10-19T08:15:30 --delay 1 --endMP 204:233301 --enddatetime 2016-10-19T08:50:16 --enforcementcount 0 &gt;&gt;C:\Users\stu\Documents\GitHub\eaglep3-reporting\EC\2016-10-19-refined-times.txt</v>
      </c>
      <c r="AI49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{"issue":{"subject":"","project_id":79,"tracker_id":40,"status_id":1,"priority_id":2,"assigned_to_id":23,"start_date":"2016-10-19","description":"","custom_fields":[{"id":1,"name":"Subdivision","value":"EC"},{"id":4,"name":"Milepost","value":"23.3301"},{"id":17,"name":"Train ID","value":"137-19"},{"id":16,"name":"Locomotive ID","value":"4040"},{"id":130,"name":"Impact","value":""},{"id":150,"name":"Time of Event (Mountain Time)","value":"08:50:16"},{"id":151,"name":"Denver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515</v>
      </c>
      <c r="B50" s="7">
        <v>4039</v>
      </c>
      <c r="C50" s="22" t="s">
        <v>99</v>
      </c>
      <c r="D50" s="22" t="s">
        <v>237</v>
      </c>
      <c r="E50" s="13">
        <v>42662.374525462961</v>
      </c>
      <c r="F50" s="13">
        <v>42662.382824074077</v>
      </c>
      <c r="G50" s="7">
        <v>1</v>
      </c>
      <c r="H50" s="13" t="s">
        <v>228</v>
      </c>
      <c r="I50" s="13">
        <v>42662.409444444442</v>
      </c>
      <c r="J50" s="7">
        <v>0</v>
      </c>
      <c r="K50" s="112" t="str">
        <f t="shared" ref="K50:K81" si="37">IF(ISEVEN(B50),(B50-1)&amp;"/"&amp;B50,B50&amp;"/"&amp;(B50+1))</f>
        <v>4039/4040</v>
      </c>
      <c r="L50" s="22" t="str">
        <f>VLOOKUP(A50,'Trips&amp;Operators'!$C$1:$E$10000,3,FALSE)</f>
        <v>KILLION</v>
      </c>
      <c r="M50" s="6">
        <f t="shared" ref="M50:M81" si="38">I50-F50</f>
        <v>2.6620370364980772E-2</v>
      </c>
      <c r="N50" s="7">
        <f t="shared" si="21"/>
        <v>38.333333325572312</v>
      </c>
      <c r="O50" s="7"/>
      <c r="P50" s="7"/>
      <c r="Q50" s="23"/>
      <c r="R50" s="23"/>
      <c r="S50" s="35">
        <f t="shared" ref="S50:S81" si="39">SUM(U50:U50)/IF(AG50="EC",12,1)</f>
        <v>1</v>
      </c>
      <c r="T50" s="50" t="str">
        <f t="shared" ref="T50:T81" si="40">IF(ISEVEN(LEFT(AD50,4)),"Southbound","NorthBound")</f>
        <v>Southbound</v>
      </c>
      <c r="U50" s="18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ref="V50:V81" si="41"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https://search-rtdc-monitor-bjffxe2xuh6vdkpspy63sjmuny.us-east-1.es.amazonaws.com/_plugin/kibana/#/discover/Steve-Slow-Train-Analysis-(2080s-and-2083s)?_g=(refreshInterval:(display:Off,section:0,value:0),time:(from:'2016-10-19 07:59:19-0600',mode:absolute,to:'2016-10-19 10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0" s="52" t="str">
        <f t="shared" ref="W50:W81" si="42">IF(AA50&lt;IF(AG50="EC",23,5.65),"Y","N")</f>
        <v>N</v>
      </c>
      <c r="X50" s="174">
        <f t="shared" ref="X50:X81" si="43">VALUE(LEFT(AD50,4))-VALUE(LEFT(AD49,4))</f>
        <v>1</v>
      </c>
      <c r="Y50" s="67">
        <f t="shared" ref="Y50:Y81" si="44">RIGHT(D50,LEN(D50)-4)/10000</f>
        <v>23.298200000000001</v>
      </c>
      <c r="Z50" s="67">
        <f t="shared" si="27"/>
        <v>1.49E-2</v>
      </c>
      <c r="AA50" s="67">
        <f t="shared" ref="AA50:AA81" si="45">ABS(Z50-Y50)</f>
        <v>23.283300000000001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ref="AD50:AD81" si="46">IF(LEN(A50)=6,"0"&amp;A50,A50)</f>
        <v>0138-19</v>
      </c>
      <c r="AE50" s="91" t="str">
        <f t="shared" si="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50" s="88" t="str">
        <f t="shared" si="1"/>
        <v>"C:\Program Files (x86)\AstroGrep\AstroGrep.exe" /spath="%USERPROFILE%\AppData\Local\Temp\OnboardLogs" /stypes="app*4039*20161019*" /stext=" 15:.+((SYSTEM_STATE.+slice.+state.+changed )|(ment ac)|(system.+state.+changed )|(\[timeout)|(PRM\|1\|D)|(kpr)|(kdp)|(\|lc)|(penalty))" /e /r /s</v>
      </c>
      <c r="AG50" s="1" t="str">
        <f t="shared" ref="AG50:AG81" si="47">IFERROR(IF(VALUE(LEFT(AD50,2))&lt;=2,"EC",IF(OR(VALUE(LEFT(AD50,2))=8,VALUE(LEFT(AD50,2))=18),"NW","Other")),"Other")</f>
        <v>EC</v>
      </c>
      <c r="AH50" s="92" t="str">
        <f t="shared" si="31"/>
        <v>"%USERPROFILE%\Documents\GitHub\eaglep3\Utilities\RefineRTDCRunTimes.py" --tripid 138-19 --locoid 4039 --swversion DE.1.0.7.0 --startMP 204:232982 --initTime 2016-10-19T08:59:19 --startdatetime 2016-10-19T09:11:16 --delay 1 --endMP 204:149 --enddatetime 2016-10-19T09:49:36 --enforcementcount 0 &gt;&gt;C:\Users\stu\Documents\GitHub\eaglep3-reporting\EC\2016-10-19-refined-times.txt</v>
      </c>
      <c r="AI50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ID","value":"138-19"},{"id":16,"name":"Locomotive ID","value":"4039"},{"id":130,"name":"Impact","value":""},{"id":150,"name":"Time of Event (Mountain Time)","value":"09:49:36"},{"id":151,"name":"Denver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444</v>
      </c>
      <c r="B51" s="7">
        <v>4046</v>
      </c>
      <c r="C51" s="22" t="s">
        <v>99</v>
      </c>
      <c r="D51" s="22" t="s">
        <v>239</v>
      </c>
      <c r="E51" s="13">
        <v>42662.349027777775</v>
      </c>
      <c r="F51" s="13">
        <v>42662.35460648148</v>
      </c>
      <c r="G51" s="7">
        <v>1</v>
      </c>
      <c r="H51" s="13" t="s">
        <v>672</v>
      </c>
      <c r="I51" s="13">
        <v>42662.378587962965</v>
      </c>
      <c r="J51" s="7">
        <v>0</v>
      </c>
      <c r="K51" s="112" t="str">
        <f t="shared" si="37"/>
        <v>4045/4046</v>
      </c>
      <c r="L51" s="22" t="str">
        <f>VLOOKUP(A51,'Trips&amp;Operators'!$C$1:$E$10000,3,FALSE)</f>
        <v>ROCHA</v>
      </c>
      <c r="M51" s="6">
        <f t="shared" si="38"/>
        <v>2.3981481484952383E-2</v>
      </c>
      <c r="N51" s="7"/>
      <c r="O51" s="7"/>
      <c r="P51" s="7">
        <f>24*60*SUM($M51:$M51)</f>
        <v>34.533333338331431</v>
      </c>
      <c r="Q51" s="23"/>
      <c r="R51" s="23" t="s">
        <v>774</v>
      </c>
      <c r="S51" s="35">
        <f t="shared" si="39"/>
        <v>1</v>
      </c>
      <c r="T51" s="50" t="str">
        <f t="shared" si="40"/>
        <v>NorthBound</v>
      </c>
      <c r="U51" s="18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07:22:36-0600',mode:absolute,to:'2016-10-19 10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1" s="52" t="str">
        <f t="shared" si="42"/>
        <v>Y</v>
      </c>
      <c r="X51" s="174">
        <f t="shared" si="43"/>
        <v>1</v>
      </c>
      <c r="Y51" s="67">
        <f t="shared" si="44"/>
        <v>4.5699999999999998E-2</v>
      </c>
      <c r="Z51" s="67">
        <v>22.990400000000001</v>
      </c>
      <c r="AA51" s="67">
        <f t="shared" si="45"/>
        <v>22.944700000000001</v>
      </c>
      <c r="AB51" s="64" t="str">
        <f>VLOOKUP(A51,Enforcements!$C$7:$K$21,8,0)</f>
        <v>Signal based authority (5)</v>
      </c>
      <c r="AC51" s="60" t="str">
        <f>VLOOKUP(A51,Enforcements!$C$7:$E$21,3,0)</f>
        <v>SIGNAL</v>
      </c>
      <c r="AD51" s="61" t="str">
        <f t="shared" si="46"/>
        <v>0139-19</v>
      </c>
      <c r="AE51" s="91" t="str">
        <f t="shared" si="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51" s="88" t="str">
        <f t="shared" si="1"/>
        <v>"C:\Program Files (x86)\AstroGrep\AstroGrep.exe" /spath="%USERPROFILE%\AppData\Local\Temp\OnboardLogs" /stypes="app*4046*20161019*" /stext=" 15:.+((SYSTEM_STATE.+slice.+state.+changed )|(ment ac)|(system.+state.+changed )|(\[timeout)|(PRM\|1\|D)|(kpr)|(kdp)|(\|lc)|(penalty))" /e /r /s</v>
      </c>
      <c r="AG51" s="1" t="str">
        <f t="shared" si="47"/>
        <v>EC</v>
      </c>
      <c r="AH51" s="92" t="str">
        <f t="shared" si="31"/>
        <v>"%USERPROFILE%\Documents\GitHub\eaglep3\Utilities\RefineRTDCRunTimes.py" --tripid 139-19 --locoid 4046 --swversion DE.1.0.7.0 --startMP 204:457 --initTime 2016-10-19T08:22:36 --startdatetime 2016-10-19T08:30:38 --delay 1 --endMP 204:230492 --enddatetime 2016-10-19T09:05:10 --enforcementcount 0 &gt;&gt;C:\Users\stu\Documents\GitHub\eaglep3-reporting\EC\2016-10-19-refined-times.txt</v>
      </c>
      <c r="AI51" s="122" t="str">
        <f t="shared" si="32"/>
        <v>echo {"issue":{"subject":"Onboard showed -OK TO CHANGE FROM MAIN 1 TO MAIN 2?- prompt","project_id":79,"tracker_id":40,"status_id":1,"priority_id":2,"assigned_to_id":23,"start_date":"2016-10-19","description":"","custom_fields":[{"id":1,"name":"Subdivision","value":"EC"},{"id":4,"name":"Milepost","value":"22.9904"},{"id":17,"name":"Train ID","value":"139-19"},{"id":16,"name":"Locomotive ID","value":"4046"},{"id":130,"name":"Impact","value":""},{"id":150,"name":"Time of Event (Mountain Time)","value":"09:05:10"},{"id":151,"name":"Denver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519</v>
      </c>
      <c r="B52" s="7">
        <v>4045</v>
      </c>
      <c r="C52" s="22" t="s">
        <v>99</v>
      </c>
      <c r="D52" s="22" t="s">
        <v>331</v>
      </c>
      <c r="E52" s="13">
        <v>42662.392118055555</v>
      </c>
      <c r="F52" s="13">
        <v>42662.393564814818</v>
      </c>
      <c r="G52" s="7">
        <v>1</v>
      </c>
      <c r="H52" s="13" t="s">
        <v>298</v>
      </c>
      <c r="I52" s="13">
        <v>42662.422094907408</v>
      </c>
      <c r="J52" s="7">
        <v>0</v>
      </c>
      <c r="K52" s="112" t="str">
        <f t="shared" si="37"/>
        <v>4045/4046</v>
      </c>
      <c r="L52" s="22" t="str">
        <f>VLOOKUP(A52,'Trips&amp;Operators'!$C$1:$E$10000,3,FALSE)</f>
        <v>ROCHA</v>
      </c>
      <c r="M52" s="6">
        <f t="shared" si="38"/>
        <v>2.8530092589790002E-2</v>
      </c>
      <c r="N52" s="7">
        <f t="shared" ref="N52:N83" si="48">24*60*SUM($M52:$M52)</f>
        <v>41.083333329297602</v>
      </c>
      <c r="O52" s="7"/>
      <c r="P52" s="7"/>
      <c r="Q52" s="23"/>
      <c r="R52" s="23"/>
      <c r="S52" s="35">
        <f t="shared" si="39"/>
        <v>1</v>
      </c>
      <c r="T52" s="50" t="str">
        <f t="shared" si="40"/>
        <v>Southbound</v>
      </c>
      <c r="U52" s="18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08:24:39-0600',mode:absolute,to:'2016-10-19 11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2" s="52" t="str">
        <f t="shared" si="42"/>
        <v>N</v>
      </c>
      <c r="X52" s="174">
        <f t="shared" si="43"/>
        <v>1</v>
      </c>
      <c r="Y52" s="67">
        <f t="shared" si="44"/>
        <v>23.3004</v>
      </c>
      <c r="Z52" s="67">
        <f t="shared" ref="Z52:Z83" si="49">RIGHT(H52,LEN(H52)-4)/10000</f>
        <v>1.3899999999999999E-2</v>
      </c>
      <c r="AA52" s="67">
        <f t="shared" si="45"/>
        <v>23.2865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46"/>
        <v>0140-19</v>
      </c>
      <c r="AE52" s="91" t="str">
        <f t="shared" si="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52" s="88" t="str">
        <f t="shared" si="1"/>
        <v>"C:\Program Files (x86)\AstroGrep\AstroGrep.exe" /spath="%USERPROFILE%\AppData\Local\Temp\OnboardLogs" /stypes="app*4045*20161019*" /stext=" 16:.+((SYSTEM_STATE.+slice.+state.+changed )|(ment ac)|(system.+state.+changed )|(\[timeout)|(PRM\|1\|D)|(kpr)|(kdp)|(\|lc)|(penalty))" /e /r /s</v>
      </c>
      <c r="AG52" s="1" t="str">
        <f t="shared" si="47"/>
        <v>EC</v>
      </c>
      <c r="AH52" s="92" t="str">
        <f t="shared" si="31"/>
        <v>"%USERPROFILE%\Documents\GitHub\eaglep3\Utilities\RefineRTDCRunTimes.py" --tripid 140-19 --locoid 4045 --swversion DE.1.0.7.0 --startMP 204:233004 --initTime 2016-10-19T09:24:39 --startdatetime 2016-10-19T09:26:44 --delay 1 --endMP 204:139 --enddatetime 2016-10-19T10:07:49 --enforcementcount 0 &gt;&gt;C:\Users\stu\Documents\GitHub\eaglep3-reporting\EC\2016-10-19-refined-times.txt</v>
      </c>
      <c r="AI52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{"issue":{"subject":"","project_id":79,"tracker_id":40,"status_id":1,"priority_id":2,"assigned_to_id":23,"start_date":"2016-10-19","description":"","custom_fields":[{"id":1,"name":"Subdivision","value":"EC"},{"id":4,"name":"Milepost","value":"0.0139"},{"id":17,"name":"Train ID","value":"140-19"},{"id":16,"name":"Locomotive ID","value":"4045"},{"id":130,"name":"Impact","value":""},{"id":150,"name":"Time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512</v>
      </c>
      <c r="B53" s="7">
        <v>4011</v>
      </c>
      <c r="C53" s="22" t="s">
        <v>99</v>
      </c>
      <c r="D53" s="22" t="s">
        <v>325</v>
      </c>
      <c r="E53" s="13">
        <v>42662.360046296293</v>
      </c>
      <c r="F53" s="13">
        <v>42662.364976851852</v>
      </c>
      <c r="G53" s="7">
        <v>1</v>
      </c>
      <c r="H53" s="13" t="s">
        <v>309</v>
      </c>
      <c r="I53" s="13">
        <v>42662.39135416667</v>
      </c>
      <c r="J53" s="7">
        <v>0</v>
      </c>
      <c r="K53" s="112" t="str">
        <f t="shared" si="37"/>
        <v>4011/4012</v>
      </c>
      <c r="L53" s="22" t="str">
        <f>VLOOKUP(A53,'Trips&amp;Operators'!$C$1:$E$10000,3,FALSE)</f>
        <v>STRICKLAND</v>
      </c>
      <c r="M53" s="6">
        <f t="shared" si="38"/>
        <v>2.6377314818091691E-2</v>
      </c>
      <c r="N53" s="7">
        <f t="shared" si="48"/>
        <v>37.983333338052034</v>
      </c>
      <c r="O53" s="7"/>
      <c r="P53" s="7"/>
      <c r="Q53" s="23"/>
      <c r="R53" s="23"/>
      <c r="S53" s="35">
        <f t="shared" si="39"/>
        <v>1</v>
      </c>
      <c r="T53" s="50" t="str">
        <f t="shared" si="40"/>
        <v>NorthBound</v>
      </c>
      <c r="U53" s="18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07:38:28-0600',mode:absolute,to:'2016-10-19 10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3" s="52" t="str">
        <f t="shared" si="42"/>
        <v>N</v>
      </c>
      <c r="X53" s="174">
        <f t="shared" si="43"/>
        <v>1</v>
      </c>
      <c r="Y53" s="67">
        <f t="shared" si="44"/>
        <v>4.4900000000000002E-2</v>
      </c>
      <c r="Z53" s="67">
        <f t="shared" si="49"/>
        <v>23.3337</v>
      </c>
      <c r="AA53" s="67">
        <f t="shared" si="45"/>
        <v>23.288800000000002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46"/>
        <v>0141-19</v>
      </c>
      <c r="AE53" s="91" t="str">
        <f t="shared" si="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53" s="88" t="str">
        <f t="shared" si="1"/>
        <v>"C:\Program Files (x86)\AstroGrep\AstroGrep.exe" /spath="%USERPROFILE%\AppData\Local\Temp\OnboardLogs" /stypes="app*4011*20161019*" /stext=" 15:.+((SYSTEM_STATE.+slice.+state.+changed )|(ment ac)|(system.+state.+changed )|(\[timeout)|(PRM\|1\|D)|(kpr)|(kdp)|(\|lc)|(penalty))" /e /r /s</v>
      </c>
      <c r="AG53" s="1" t="str">
        <f t="shared" si="47"/>
        <v>EC</v>
      </c>
      <c r="AH53" s="92" t="str">
        <f t="shared" si="31"/>
        <v>"%USERPROFILE%\Documents\GitHub\eaglep3\Utilities\RefineRTDCRunTimes.py" --tripid 141-19 --locoid 4011 --swversion DE.1.0.7.0 --startMP 204:449 --initTime 2016-10-19T08:38:28 --startdatetime 2016-10-19T08:45:34 --delay 1 --endMP 204:233337 --enddatetime 2016-10-19T09:23:33 --enforcementcount 0 &gt;&gt;C:\Users\stu\Documents\GitHub\eaglep3-reporting\EC\2016-10-19-refined-times.txt</v>
      </c>
      <c r="AI53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{"issue":{"subject":"","project_id":79,"tracker_id":40,"status_id":1,"priority_id":2,"assigned_to_id":23,"start_date":"2016-10-19","description":"","custom_fields":[{"id":1,"name":"Subdivision","value":"EC"},{"id":4,"name":"Milepost","value":"23.3337"},{"id":17,"name":"Train ID","value":"141-19"},{"id":16,"name":"Locomotive ID","value":"4011"},{"id":130,"name":"Impact","value":""},{"id":150,"name":"Time of Event (Mountain Time)","value":"09:23:33"},{"id":151,"name":"Denver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520</v>
      </c>
      <c r="B54" s="7">
        <v>4012</v>
      </c>
      <c r="C54" s="22" t="s">
        <v>99</v>
      </c>
      <c r="D54" s="22" t="s">
        <v>673</v>
      </c>
      <c r="E54" s="13">
        <v>42662.398125</v>
      </c>
      <c r="F54" s="13">
        <v>42662.476655092592</v>
      </c>
      <c r="G54" s="7">
        <v>1</v>
      </c>
      <c r="H54" s="13" t="s">
        <v>246</v>
      </c>
      <c r="I54" s="13">
        <v>42662.504930555559</v>
      </c>
      <c r="J54" s="7">
        <v>0</v>
      </c>
      <c r="K54" s="112" t="str">
        <f t="shared" si="37"/>
        <v>4011/4012</v>
      </c>
      <c r="L54" s="22" t="str">
        <f>VLOOKUP(A54,'Trips&amp;Operators'!$C$1:$E$10000,3,FALSE)</f>
        <v>STRICKLAND</v>
      </c>
      <c r="M54" s="6">
        <f t="shared" si="38"/>
        <v>2.8275462966121268E-2</v>
      </c>
      <c r="N54" s="7">
        <f t="shared" si="48"/>
        <v>40.716666671214625</v>
      </c>
      <c r="O54" s="7"/>
      <c r="P54" s="7"/>
      <c r="Q54" s="23"/>
      <c r="R54" s="23"/>
      <c r="S54" s="35">
        <f t="shared" si="39"/>
        <v>1</v>
      </c>
      <c r="T54" s="50" t="str">
        <f t="shared" si="40"/>
        <v>Southbound</v>
      </c>
      <c r="U54" s="18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08:33:18-0600',mode:absolute,to:'2016-10-19 13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4" s="52" t="str">
        <f t="shared" si="42"/>
        <v>N</v>
      </c>
      <c r="X54" s="174">
        <f t="shared" si="43"/>
        <v>1</v>
      </c>
      <c r="Y54" s="67">
        <f t="shared" si="44"/>
        <v>23.302600000000002</v>
      </c>
      <c r="Z54" s="67">
        <f t="shared" si="49"/>
        <v>1.6E-2</v>
      </c>
      <c r="AA54" s="67">
        <f t="shared" si="45"/>
        <v>23.286600000000004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46"/>
        <v>0142-19</v>
      </c>
      <c r="AE54" s="91" t="str">
        <f t="shared" si="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54" s="88" t="str">
        <f t="shared" si="1"/>
        <v>"C:\Program Files (x86)\AstroGrep\AstroGrep.exe" /spath="%USERPROFILE%\AppData\Local\Temp\OnboardLogs" /stypes="app*4012*20161019*" /stext=" 18:.+((SYSTEM_STATE.+slice.+state.+changed )|(ment ac)|(system.+state.+changed )|(\[timeout)|(PRM\|1\|D)|(kpr)|(kdp)|(\|lc)|(penalty))" /e /r /s</v>
      </c>
      <c r="AG54" s="1" t="str">
        <f t="shared" si="47"/>
        <v>EC</v>
      </c>
      <c r="AH54" s="92" t="str">
        <f t="shared" si="31"/>
        <v>"%USERPROFILE%\Documents\GitHub\eaglep3\Utilities\RefineRTDCRunTimes.py" --tripid 142-19 --locoid 4012 --swversion DE.1.0.7.0 --startMP 204:233026 --initTime 2016-10-19T09:33:18 --startdatetime 2016-10-19T11:26:23 --delay 1 --endMP 204:160 --enddatetime 2016-10-19T12:07:06 --enforcementcount 0 &gt;&gt;C:\Users\stu\Documents\GitHub\eaglep3-reporting\EC\2016-10-19-refined-times.txt</v>
      </c>
      <c r="AI54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{"issue":{"subject":"","project_id":79,"tracker_id":40,"status_id":1,"priority_id":2,"assigned_to_id":23,"start_date":"2016-10-19","description":"","custom_fields":[{"id":1,"name":"Subdivision","value":"EC"},{"id":4,"name":"Milepost","value":"0.016"},{"id":17,"name":"Train ID","value":"142-19"},{"id":16,"name":"Locomotive ID","value":"4012"},{"id":130,"name":"Impact","value":""},{"id":150,"name":"Time of Event (Mountain Time)","value":"12:07:06"},{"id":151,"name":"Denver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513</v>
      </c>
      <c r="B55" s="7">
        <v>4025</v>
      </c>
      <c r="C55" s="22" t="s">
        <v>99</v>
      </c>
      <c r="D55" s="22" t="s">
        <v>236</v>
      </c>
      <c r="E55" s="13">
        <v>42662.370752314811</v>
      </c>
      <c r="F55" s="13">
        <v>42662.375185185185</v>
      </c>
      <c r="G55" s="7">
        <v>6</v>
      </c>
      <c r="H55" s="13" t="s">
        <v>218</v>
      </c>
      <c r="I55" s="13">
        <v>42662.402037037034</v>
      </c>
      <c r="J55" s="7">
        <v>0</v>
      </c>
      <c r="K55" s="112" t="str">
        <f t="shared" si="37"/>
        <v>4025/4026</v>
      </c>
      <c r="L55" s="22" t="str">
        <f>VLOOKUP(A55,'Trips&amp;Operators'!$C$1:$E$10000,3,FALSE)</f>
        <v>BRANNON</v>
      </c>
      <c r="M55" s="6">
        <f t="shared" si="38"/>
        <v>2.6851851849642117E-2</v>
      </c>
      <c r="N55" s="7">
        <f t="shared" si="48"/>
        <v>38.666666663484648</v>
      </c>
      <c r="O55" s="7"/>
      <c r="P55" s="7"/>
      <c r="Q55" s="23"/>
      <c r="R55" s="23"/>
      <c r="S55" s="35">
        <f t="shared" si="39"/>
        <v>1</v>
      </c>
      <c r="T55" s="50" t="str">
        <f t="shared" si="40"/>
        <v>NorthBound</v>
      </c>
      <c r="U55" s="18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07:53:53-0600',mode:absolute,to:'2016-10-19 10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5" s="52" t="str">
        <f t="shared" si="42"/>
        <v>N</v>
      </c>
      <c r="X55" s="174">
        <f t="shared" si="43"/>
        <v>1</v>
      </c>
      <c r="Y55" s="67">
        <f t="shared" si="44"/>
        <v>4.5499999999999999E-2</v>
      </c>
      <c r="Z55" s="67">
        <f t="shared" si="49"/>
        <v>23.331399999999999</v>
      </c>
      <c r="AA55" s="67">
        <f t="shared" si="45"/>
        <v>23.285899999999998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46"/>
        <v>0143-19</v>
      </c>
      <c r="AE55" s="91" t="str">
        <f t="shared" si="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55" s="88" t="str">
        <f t="shared" si="1"/>
        <v>"C:\Program Files (x86)\AstroGrep\AstroGrep.exe" /spath="%USERPROFILE%\AppData\Local\Temp\OnboardLogs" /stypes="app*4025*20161019*" /stext=" 15:.+((SYSTEM_STATE.+slice.+state.+changed )|(ment ac)|(system.+state.+changed )|(\[timeout)|(PRM\|1\|D)|(kpr)|(kdp)|(\|lc)|(penalty))" /e /r /s</v>
      </c>
      <c r="AG55" s="1" t="str">
        <f t="shared" si="47"/>
        <v>EC</v>
      </c>
      <c r="AH55" s="92" t="str">
        <f t="shared" si="31"/>
        <v>"%USERPROFILE%\Documents\GitHub\eaglep3\Utilities\RefineRTDCRunTimes.py" --tripid 143-19 --locoid 4025 --swversion DE.1.0.7.0 --startMP 204:455 --initTime 2016-10-19T08:53:53 --startdatetime 2016-10-19T09:00:16 --delay 6 --endMP 204:233314 --enddatetime 2016-10-19T09:38:56 --enforcementcount 0 &gt;&gt;C:\Users\stu\Documents\GitHub\eaglep3-reporting\EC\2016-10-19-refined-times.txt</v>
      </c>
      <c r="AI55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{"issue":{"subject":"","project_id":79,"tracker_id":40,"status_id":1,"priority_id":2,"assigned_to_id":23,"start_date":"2016-10-19","description":"","custom_fields":[{"id":1,"name":"Subdivision","value":"EC"},{"id":4,"name":"Milepost","value":"23.3314"},{"id":17,"name":"Train ID","value":"143-19"},{"id":16,"name":"Locomotive ID","value":"4025"},{"id":130,"name":"Impact","value":""},{"id":150,"name":"Time of Event (Mountain Time)","value":"09:38:56"},{"id":151,"name":"Denver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523</v>
      </c>
      <c r="B56" s="7">
        <v>4026</v>
      </c>
      <c r="C56" s="22" t="s">
        <v>99</v>
      </c>
      <c r="D56" s="22" t="s">
        <v>273</v>
      </c>
      <c r="E56" s="13">
        <v>42662.410254629627</v>
      </c>
      <c r="F56" s="13">
        <v>42662.414131944446</v>
      </c>
      <c r="G56" s="7">
        <v>1</v>
      </c>
      <c r="H56" s="13" t="s">
        <v>298</v>
      </c>
      <c r="I56" s="13">
        <v>42662.44290509259</v>
      </c>
      <c r="J56" s="7">
        <v>0</v>
      </c>
      <c r="K56" s="112" t="str">
        <f t="shared" si="37"/>
        <v>4025/4026</v>
      </c>
      <c r="L56" s="22" t="str">
        <f>VLOOKUP(A56,'Trips&amp;Operators'!$C$1:$E$10000,3,FALSE)</f>
        <v>BRANNON</v>
      </c>
      <c r="M56" s="6">
        <f t="shared" si="38"/>
        <v>2.8773148143955041E-2</v>
      </c>
      <c r="N56" s="7">
        <f t="shared" si="48"/>
        <v>41.433333327295259</v>
      </c>
      <c r="O56" s="7"/>
      <c r="P56" s="7"/>
      <c r="Q56" s="23"/>
      <c r="R56" s="23"/>
      <c r="S56" s="35">
        <f t="shared" si="39"/>
        <v>1</v>
      </c>
      <c r="T56" s="50" t="str">
        <f t="shared" si="40"/>
        <v>Southbound</v>
      </c>
      <c r="U56" s="18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08:50:46-0600',mode:absolute,to:'2016-10-19 11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6" s="52" t="str">
        <f t="shared" si="42"/>
        <v>N</v>
      </c>
      <c r="X56" s="174">
        <f t="shared" si="43"/>
        <v>1</v>
      </c>
      <c r="Y56" s="67">
        <f t="shared" si="44"/>
        <v>23.299399999999999</v>
      </c>
      <c r="Z56" s="67">
        <f t="shared" si="49"/>
        <v>1.3899999999999999E-2</v>
      </c>
      <c r="AA56" s="67">
        <f t="shared" si="45"/>
        <v>23.285499999999999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46"/>
        <v>0144-19</v>
      </c>
      <c r="AE56" s="91" t="str">
        <f t="shared" si="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56" s="88" t="str">
        <f t="shared" si="1"/>
        <v>"C:\Program Files (x86)\AstroGrep\AstroGrep.exe" /spath="%USERPROFILE%\AppData\Local\Temp\OnboardLogs" /stypes="app*4026*20161019*" /stext=" 16:.+((SYSTEM_STATE.+slice.+state.+changed )|(ment ac)|(system.+state.+changed )|(\[timeout)|(PRM\|1\|D)|(kpr)|(kdp)|(\|lc)|(penalty))" /e /r /s</v>
      </c>
      <c r="AG56" s="1" t="str">
        <f t="shared" si="47"/>
        <v>EC</v>
      </c>
      <c r="AH56" s="92" t="str">
        <f t="shared" si="31"/>
        <v>"%USERPROFILE%\Documents\GitHub\eaglep3\Utilities\RefineRTDCRunTimes.py" --tripid 144-19 --locoid 4026 --swversion DE.1.0.7.0 --startMP 204:232994 --initTime 2016-10-19T09:50:46 --startdatetime 2016-10-19T09:56:21 --delay 1 --endMP 204:139 --enddatetime 2016-10-19T10:37:47 --enforcementcount 0 &gt;&gt;C:\Users\stu\Documents\GitHub\eaglep3-reporting\EC\2016-10-19-refined-times.txt</v>
      </c>
      <c r="AI56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{"issue":{"subject":"","project_id":79,"tracker_id":40,"status_id":1,"priority_id":2,"assigned_to_id":23,"start_date":"2016-10-19","description":"","custom_fields":[{"id":1,"name":"Subdivision","value":"EC"},{"id":4,"name":"Milepost","value":"0.0139"},{"id":17,"name":"Train ID","value":"144-19"},{"id":16,"name":"Locomotive ID","value":"4026"},{"id":130,"name":"Impact","value":""},{"id":150,"name":"Time of Event (Mountain Time)","value":"10:37:47"},{"id":151,"name":"Denver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516</v>
      </c>
      <c r="B57" s="7">
        <v>4042</v>
      </c>
      <c r="C57" s="22" t="s">
        <v>99</v>
      </c>
      <c r="D57" s="22" t="s">
        <v>420</v>
      </c>
      <c r="E57" s="13">
        <v>42662.383993055555</v>
      </c>
      <c r="F57" s="13">
        <v>42662.386631944442</v>
      </c>
      <c r="G57" s="7">
        <v>1</v>
      </c>
      <c r="H57" s="13" t="s">
        <v>242</v>
      </c>
      <c r="I57" s="13">
        <v>42662.413761574076</v>
      </c>
      <c r="J57" s="7">
        <v>0</v>
      </c>
      <c r="K57" s="112" t="str">
        <f t="shared" si="37"/>
        <v>4041/4042</v>
      </c>
      <c r="L57" s="22" t="str">
        <f>VLOOKUP(A57,'Trips&amp;Operators'!$C$1:$E$10000,3,FALSE)</f>
        <v>JACKSON</v>
      </c>
      <c r="M57" s="6">
        <f t="shared" si="38"/>
        <v>2.7129629634146113E-2</v>
      </c>
      <c r="N57" s="7">
        <f t="shared" si="48"/>
        <v>39.066666673170403</v>
      </c>
      <c r="O57" s="7"/>
      <c r="P57" s="7"/>
      <c r="Q57" s="23"/>
      <c r="R57" s="23"/>
      <c r="S57" s="35">
        <f t="shared" si="39"/>
        <v>1</v>
      </c>
      <c r="T57" s="50" t="str">
        <f t="shared" si="40"/>
        <v>NorthBound</v>
      </c>
      <c r="U57" s="18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08:12:57-0600',mode:absolute,to:'2016-10-19 10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7" s="52" t="str">
        <f t="shared" si="42"/>
        <v>N</v>
      </c>
      <c r="X57" s="174">
        <f t="shared" si="43"/>
        <v>1</v>
      </c>
      <c r="Y57" s="67">
        <f t="shared" si="44"/>
        <v>4.3799999999999999E-2</v>
      </c>
      <c r="Z57" s="67">
        <f t="shared" si="49"/>
        <v>23.329499999999999</v>
      </c>
      <c r="AA57" s="67">
        <f t="shared" si="45"/>
        <v>23.285699999999999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46"/>
        <v>0145-19</v>
      </c>
      <c r="AE57" s="91" t="str">
        <f t="shared" si="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57" s="88" t="str">
        <f t="shared" si="1"/>
        <v>"C:\Program Files (x86)\AstroGrep\AstroGrep.exe" /spath="%USERPROFILE%\AppData\Local\Temp\OnboardLogs" /stypes="app*4042*20161019*" /stext=" 15:.+((SYSTEM_STATE.+slice.+state.+changed )|(ment ac)|(system.+state.+changed )|(\[timeout)|(PRM\|1\|D)|(kpr)|(kdp)|(\|lc)|(penalty))" /e /r /s</v>
      </c>
      <c r="AG57" s="1" t="str">
        <f t="shared" si="47"/>
        <v>EC</v>
      </c>
      <c r="AH57" s="92" t="str">
        <f t="shared" si="31"/>
        <v>"%USERPROFILE%\Documents\GitHub\eaglep3\Utilities\RefineRTDCRunTimes.py" --tripid 145-19 --locoid 4042 --swversion DE.1.0.7.0 --startMP 204:438 --initTime 2016-10-19T09:12:57 --startdatetime 2016-10-19T09:16:45 --delay 1 --endMP 204:233295 --enddatetime 2016-10-19T09:55:49 --enforcementcount 0 &gt;&gt;C:\Users\stu\Documents\GitHub\eaglep3-reporting\EC\2016-10-19-refined-times.txt</v>
      </c>
      <c r="AI57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{"issue":{"subject":"","project_id":79,"tracker_id":40,"status_id":1,"priority_id":2,"assigned_to_id":23,"start_date":"2016-10-19","description":"","custom_fields":[{"id":1,"name":"Subdivision","value":"EC"},{"id":4,"name":"Milepost","value":"23.3295"},{"id":17,"name":"Train ID","value":"145-19"},{"id":16,"name":"Locomotive ID","value":"4042"},{"id":130,"name":"Impact","value":""},{"id":150,"name":"Time of Event (Mountain Time)","value":"09:55:49"},{"id":151,"name":"Denver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526</v>
      </c>
      <c r="B58" s="7">
        <v>4041</v>
      </c>
      <c r="C58" s="22" t="s">
        <v>99</v>
      </c>
      <c r="D58" s="22" t="s">
        <v>237</v>
      </c>
      <c r="E58" s="13">
        <v>42662.41609953704</v>
      </c>
      <c r="F58" s="13">
        <v>42662.425057870372</v>
      </c>
      <c r="G58" s="7">
        <v>2</v>
      </c>
      <c r="H58" s="13" t="s">
        <v>230</v>
      </c>
      <c r="I58" s="13">
        <v>42662.453587962962</v>
      </c>
      <c r="J58" s="7">
        <v>0</v>
      </c>
      <c r="K58" s="112" t="str">
        <f t="shared" si="37"/>
        <v>4041/4042</v>
      </c>
      <c r="L58" s="22" t="str">
        <f>VLOOKUP(A58,'Trips&amp;Operators'!$C$1:$E$10000,3,FALSE)</f>
        <v>LEWIS</v>
      </c>
      <c r="M58" s="6">
        <f t="shared" si="38"/>
        <v>2.8530092589790002E-2</v>
      </c>
      <c r="N58" s="7">
        <f t="shared" si="48"/>
        <v>41.083333329297602</v>
      </c>
      <c r="O58" s="7"/>
      <c r="P58" s="7"/>
      <c r="Q58" s="23"/>
      <c r="R58" s="23"/>
      <c r="S58" s="35">
        <f t="shared" si="39"/>
        <v>1</v>
      </c>
      <c r="T58" s="50" t="str">
        <f t="shared" si="40"/>
        <v>Southbound</v>
      </c>
      <c r="U58" s="18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08:59:11-0600',mode:absolute,to:'2016-10-19 11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8" s="52" t="str">
        <f t="shared" si="42"/>
        <v>N</v>
      </c>
      <c r="X58" s="174">
        <f t="shared" si="43"/>
        <v>1</v>
      </c>
      <c r="Y58" s="67">
        <f t="shared" si="44"/>
        <v>23.298200000000001</v>
      </c>
      <c r="Z58" s="67">
        <f t="shared" si="49"/>
        <v>1.43E-2</v>
      </c>
      <c r="AA58" s="67">
        <f t="shared" si="45"/>
        <v>23.283900000000003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46"/>
        <v>0146-19</v>
      </c>
      <c r="AE58" s="91" t="str">
        <f t="shared" si="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58" s="88" t="str">
        <f t="shared" si="1"/>
        <v>"C:\Program Files (x86)\AstroGrep\AstroGrep.exe" /spath="%USERPROFILE%\AppData\Local\Temp\OnboardLogs" /stypes="app*4041*20161019*" /stext=" 16:.+((SYSTEM_STATE.+slice.+state.+changed )|(ment ac)|(system.+state.+changed )|(\[timeout)|(PRM\|1\|D)|(kpr)|(kdp)|(\|lc)|(penalty))" /e /r /s</v>
      </c>
      <c r="AG58" s="1" t="str">
        <f t="shared" si="47"/>
        <v>EC</v>
      </c>
      <c r="AH58" s="92" t="str">
        <f t="shared" si="31"/>
        <v>"%USERPROFILE%\Documents\GitHub\eaglep3\Utilities\RefineRTDCRunTimes.py" --tripid 146-19 --locoid 4041 --swversion DE.1.0.7.0 --startMP 204:232982 --initTime 2016-10-19T09:59:11 --startdatetime 2016-10-19T10:12:05 --delay 2 --endMP 204:143 --enddatetime 2016-10-19T10:53:10 --enforcementcount 0 &gt;&gt;C:\Users\stu\Documents\GitHub\eaglep3-reporting\EC\2016-10-19-refined-times.txt</v>
      </c>
      <c r="AI58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{"issue":{"subject":"","project_id":79,"tracker_id":40,"status_id":1,"priority_id":2,"assigned_to_id":23,"start_date":"2016-10-19","description":"","custom_fields":[{"id":1,"name":"Subdivision","value":"EC"},{"id":4,"name":"Milepost","value":"0.0143"},{"id":17,"name":"Train ID","value":"146-19"},{"id":16,"name":"Locomotive ID","value":"4041"},{"id":130,"name":"Impact","value":""},{"id":150,"name":"Time of Event (Mountain Time)","value":"10:53:10"},{"id":151,"name":"Denver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518</v>
      </c>
      <c r="B59" s="7">
        <v>4014</v>
      </c>
      <c r="C59" s="22" t="s">
        <v>99</v>
      </c>
      <c r="D59" s="22" t="s">
        <v>227</v>
      </c>
      <c r="E59" s="13">
        <v>42662.391562500001</v>
      </c>
      <c r="F59" s="13">
        <v>42662.396122685182</v>
      </c>
      <c r="G59" s="7">
        <v>1</v>
      </c>
      <c r="H59" s="13" t="s">
        <v>234</v>
      </c>
      <c r="I59" s="13">
        <v>42662.421956018516</v>
      </c>
      <c r="J59" s="7">
        <v>0</v>
      </c>
      <c r="K59" s="112" t="str">
        <f t="shared" si="37"/>
        <v>4013/4014</v>
      </c>
      <c r="L59" s="22" t="str">
        <f>VLOOKUP(A59,'Trips&amp;Operators'!$C$1:$E$10000,3,FALSE)</f>
        <v>MAELZER</v>
      </c>
      <c r="M59" s="6">
        <f t="shared" si="38"/>
        <v>2.5833333333139308E-2</v>
      </c>
      <c r="N59" s="7">
        <f t="shared" si="48"/>
        <v>37.199999999720603</v>
      </c>
      <c r="O59" s="7"/>
      <c r="P59" s="7"/>
      <c r="Q59" s="23"/>
      <c r="R59" s="23"/>
      <c r="S59" s="35">
        <f t="shared" si="39"/>
        <v>1</v>
      </c>
      <c r="T59" s="50" t="str">
        <f t="shared" si="40"/>
        <v>NorthBound</v>
      </c>
      <c r="U59" s="18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08:23:51-0600',mode:absolute,to:'2016-10-19 11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42"/>
        <v>N</v>
      </c>
      <c r="X59" s="174">
        <f t="shared" si="43"/>
        <v>1</v>
      </c>
      <c r="Y59" s="67">
        <f t="shared" si="44"/>
        <v>4.58E-2</v>
      </c>
      <c r="Z59" s="67">
        <f t="shared" si="49"/>
        <v>23.33</v>
      </c>
      <c r="AA59" s="67">
        <f t="shared" si="45"/>
        <v>23.284199999999998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46"/>
        <v>0147-19</v>
      </c>
      <c r="AE59" s="91" t="str">
        <f t="shared" si="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59" s="88" t="str">
        <f t="shared" si="1"/>
        <v>"C:\Program Files (x86)\AstroGrep\AstroGrep.exe" /spath="%USERPROFILE%\AppData\Local\Temp\OnboardLogs" /stypes="app*4014*20161019*" /stext=" 16:.+((SYSTEM_STATE.+slice.+state.+changed )|(ment ac)|(system.+state.+changed )|(\[timeout)|(PRM\|1\|D)|(kpr)|(kdp)|(\|lc)|(penalty))" /e /r /s</v>
      </c>
      <c r="AG59" s="1" t="str">
        <f t="shared" si="47"/>
        <v>EC</v>
      </c>
      <c r="AH59" s="92" t="str">
        <f t="shared" si="31"/>
        <v>"%USERPROFILE%\Documents\GitHub\eaglep3\Utilities\RefineRTDCRunTimes.py" --tripid 147-19 --locoid 4014 --swversion DE.1.0.7.0 --startMP 204:458 --initTime 2016-10-19T09:23:51 --startdatetime 2016-10-19T09:30:25 --delay 1 --endMP 204:233300 --enddatetime 2016-10-19T10:07:37 --enforcementcount 0 &gt;&gt;C:\Users\stu\Documents\GitHub\eaglep3-reporting\EC\2016-10-19-refined-times.txt</v>
      </c>
      <c r="AI59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{"issue":{"subject":"","project_id":79,"tracker_id":40,"status_id":1,"priority_id":2,"assigned_to_id":23,"start_date":"2016-10-19","description":"","custom_fields":[{"id":1,"name":"Subdivision","value":"EC"},{"id":4,"name":"Milepost","value":"23.33"},{"id":17,"name":"Train ID","value":"147-19"},{"id":16,"name":"Locomotive ID","value":"4014"},{"id":130,"name":"Impact","value":""},{"id":150,"name":"Time of Event (Mountain Time)","value":"10:07:37"},{"id":151,"name":"Denver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528</v>
      </c>
      <c r="B60" s="7">
        <v>4013</v>
      </c>
      <c r="C60" s="22" t="s">
        <v>99</v>
      </c>
      <c r="D60" s="22" t="s">
        <v>300</v>
      </c>
      <c r="E60" s="13">
        <v>42662.430798611109</v>
      </c>
      <c r="F60" s="13">
        <v>42662.435011574074</v>
      </c>
      <c r="G60" s="7">
        <v>1</v>
      </c>
      <c r="H60" s="13" t="s">
        <v>228</v>
      </c>
      <c r="I60" s="13">
        <v>42662.461122685185</v>
      </c>
      <c r="J60" s="7">
        <v>0</v>
      </c>
      <c r="K60" s="112" t="str">
        <f t="shared" si="37"/>
        <v>4013/4014</v>
      </c>
      <c r="L60" s="22" t="str">
        <f>VLOOKUP(A60,'Trips&amp;Operators'!$C$1:$E$10000,3,FALSE)</f>
        <v>MAELZER</v>
      </c>
      <c r="M60" s="6">
        <f t="shared" si="38"/>
        <v>2.6111111110367347E-2</v>
      </c>
      <c r="N60" s="7">
        <f t="shared" si="48"/>
        <v>37.599999998928979</v>
      </c>
      <c r="O60" s="7"/>
      <c r="P60" s="7"/>
      <c r="Q60" s="23"/>
      <c r="R60" s="23"/>
      <c r="S60" s="35">
        <f t="shared" si="39"/>
        <v>1</v>
      </c>
      <c r="T60" s="50" t="str">
        <f t="shared" si="40"/>
        <v>Southbound</v>
      </c>
      <c r="U60" s="18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09:20:21-0600',mode:absolute,to:'2016-10-19 12:04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42"/>
        <v>N</v>
      </c>
      <c r="X60" s="174">
        <f t="shared" si="43"/>
        <v>1</v>
      </c>
      <c r="Y60" s="67">
        <f t="shared" si="44"/>
        <v>23.298100000000002</v>
      </c>
      <c r="Z60" s="67">
        <f t="shared" si="49"/>
        <v>1.49E-2</v>
      </c>
      <c r="AA60" s="67">
        <f t="shared" si="45"/>
        <v>23.283200000000001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46"/>
        <v>0148-19</v>
      </c>
      <c r="AE60" s="91" t="str">
        <f t="shared" si="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60" s="88" t="str">
        <f t="shared" si="1"/>
        <v>"C:\Program Files (x86)\AstroGrep\AstroGrep.exe" /spath="%USERPROFILE%\AppData\Local\Temp\OnboardLogs" /stypes="app*4013*20161019*" /stext=" 17:.+((SYSTEM_STATE.+slice.+state.+changed )|(ment ac)|(system.+state.+changed )|(\[timeout)|(PRM\|1\|D)|(kpr)|(kdp)|(\|lc)|(penalty))" /e /r /s</v>
      </c>
      <c r="AG60" s="1" t="str">
        <f t="shared" si="47"/>
        <v>EC</v>
      </c>
      <c r="AH60" s="92" t="str">
        <f t="shared" si="31"/>
        <v>"%USERPROFILE%\Documents\GitHub\eaglep3\Utilities\RefineRTDCRunTimes.py" --tripid 148-19 --locoid 4013 --swversion DE.1.0.7.0 --startMP 204:232981 --initTime 2016-10-19T10:20:21 --startdatetime 2016-10-19T10:26:25 --delay 1 --endMP 204:149 --enddatetime 2016-10-19T11:04:01 --enforcementcount 0 &gt;&gt;C:\Users\stu\Documents\GitHub\eaglep3-reporting\EC\2016-10-19-refined-times.txt</v>
      </c>
      <c r="AI60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ID","value":"148-19"},{"id":16,"name":"Locomotive ID","value":"4013"},{"id":130,"name":"Impact","value":""},{"id":150,"name":"Time of Event (Mountain Time)","value":"11:04:01"},{"id":151,"name":"Denver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522</v>
      </c>
      <c r="B61" s="7">
        <v>4002</v>
      </c>
      <c r="C61" s="22" t="s">
        <v>99</v>
      </c>
      <c r="D61" s="22" t="s">
        <v>674</v>
      </c>
      <c r="E61" s="13">
        <v>42662.401608796295</v>
      </c>
      <c r="F61" s="13">
        <v>42662.406574074077</v>
      </c>
      <c r="G61" s="7">
        <v>2</v>
      </c>
      <c r="H61" s="13" t="s">
        <v>323</v>
      </c>
      <c r="I61" s="13">
        <v>42662.432083333333</v>
      </c>
      <c r="J61" s="7">
        <v>0</v>
      </c>
      <c r="K61" s="112" t="str">
        <f t="shared" si="37"/>
        <v>4001/4002</v>
      </c>
      <c r="L61" s="22" t="str">
        <f>VLOOKUP(A61,'Trips&amp;Operators'!$C$1:$E$10000,3,FALSE)</f>
        <v>ACKERMAN</v>
      </c>
      <c r="M61" s="6">
        <f t="shared" si="38"/>
        <v>2.5509259256068617E-2</v>
      </c>
      <c r="N61" s="7">
        <f t="shared" si="48"/>
        <v>36.733333328738809</v>
      </c>
      <c r="O61" s="7"/>
      <c r="P61" s="7"/>
      <c r="Q61" s="23"/>
      <c r="R61" s="23"/>
      <c r="S61" s="35">
        <f t="shared" si="39"/>
        <v>1</v>
      </c>
      <c r="T61" s="50" t="str">
        <f t="shared" si="40"/>
        <v>NorthBound</v>
      </c>
      <c r="U61" s="18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08:38:19-0600',mode:absolute,to:'2016-10-19 11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1" s="52" t="str">
        <f t="shared" si="42"/>
        <v>N</v>
      </c>
      <c r="X61" s="174">
        <f t="shared" si="43"/>
        <v>1</v>
      </c>
      <c r="Y61" s="67">
        <f t="shared" si="44"/>
        <v>0.05</v>
      </c>
      <c r="Z61" s="67">
        <f t="shared" si="49"/>
        <v>23.328199999999999</v>
      </c>
      <c r="AA61" s="67">
        <f t="shared" si="45"/>
        <v>23.278199999999998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46"/>
        <v>0149-19</v>
      </c>
      <c r="AE61" s="91" t="str">
        <f t="shared" si="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61" s="88" t="str">
        <f t="shared" si="1"/>
        <v>"C:\Program Files (x86)\AstroGrep\AstroGrep.exe" /spath="%USERPROFILE%\AppData\Local\Temp\OnboardLogs" /stypes="app*4002*20161019*" /stext=" 16:.+((SYSTEM_STATE.+slice.+state.+changed )|(ment ac)|(system.+state.+changed )|(\[timeout)|(PRM\|1\|D)|(kpr)|(kdp)|(\|lc)|(penalty))" /e /r /s</v>
      </c>
      <c r="AG61" s="1" t="str">
        <f t="shared" si="47"/>
        <v>EC</v>
      </c>
      <c r="AH61" s="92" t="str">
        <f t="shared" si="31"/>
        <v>"%USERPROFILE%\Documents\GitHub\eaglep3\Utilities\RefineRTDCRunTimes.py" --tripid 149-19 --locoid 4002 --swversion DE.1.0.7.0 --startMP 204:500 --initTime 2016-10-19T09:38:19 --startdatetime 2016-10-19T09:45:28 --delay 2 --endMP 204:233282 --enddatetime 2016-10-19T10:22:12 --enforcementcount 0 &gt;&gt;C:\Users\stu\Documents\GitHub\eaglep3-reporting\EC\2016-10-19-refined-times.txt</v>
      </c>
      <c r="AI61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{"issue":{"subject":"","project_id":79,"tracker_id":40,"status_id":1,"priority_id":2,"assigned_to_id":23,"start_date":"2016-10-19","description":"","custom_fields":[{"id":1,"name":"Subdivision","value":"EC"},{"id":4,"name":"Milepost","value":"23.3282"},{"id":17,"name":"Train ID","value":"149-19"},{"id":16,"name":"Locomotive ID","value":"4002"},{"id":130,"name":"Impact","value":""},{"id":150,"name":"Time of Event (Mountain Time)","value":"10:22:12"},{"id":151,"name":"Denver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448</v>
      </c>
      <c r="B62" s="7">
        <v>4001</v>
      </c>
      <c r="C62" s="22" t="s">
        <v>99</v>
      </c>
      <c r="D62" s="22" t="s">
        <v>283</v>
      </c>
      <c r="E62" s="13">
        <v>42662.439756944441</v>
      </c>
      <c r="F62" s="13">
        <v>42662.445451388892</v>
      </c>
      <c r="G62" s="7">
        <v>1</v>
      </c>
      <c r="H62" s="13" t="s">
        <v>176</v>
      </c>
      <c r="I62" s="13">
        <v>42662.473009259258</v>
      </c>
      <c r="J62" s="7">
        <v>0</v>
      </c>
      <c r="K62" s="112" t="str">
        <f t="shared" si="37"/>
        <v>4001/4002</v>
      </c>
      <c r="L62" s="22" t="str">
        <f>VLOOKUP(A62,'Trips&amp;Operators'!$C$1:$E$10000,3,FALSE)</f>
        <v>ACKERMAN</v>
      </c>
      <c r="M62" s="6">
        <f t="shared" si="38"/>
        <v>2.7557870365853887E-2</v>
      </c>
      <c r="N62" s="7">
        <f t="shared" si="48"/>
        <v>39.683333326829597</v>
      </c>
      <c r="O62" s="7"/>
      <c r="P62" s="7"/>
      <c r="Q62" s="23"/>
      <c r="R62" s="23"/>
      <c r="S62" s="35">
        <f t="shared" si="39"/>
        <v>1</v>
      </c>
      <c r="T62" s="50" t="str">
        <f t="shared" si="40"/>
        <v>Southbound</v>
      </c>
      <c r="U62" s="18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09:33:15-0600',mode:absolute,to:'2016-10-19 12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2" s="52" t="str">
        <f t="shared" si="42"/>
        <v>N</v>
      </c>
      <c r="X62" s="174">
        <f t="shared" si="43"/>
        <v>1</v>
      </c>
      <c r="Y62" s="67">
        <f t="shared" si="44"/>
        <v>23.296500000000002</v>
      </c>
      <c r="Z62" s="67">
        <f t="shared" si="49"/>
        <v>1.47E-2</v>
      </c>
      <c r="AA62" s="67">
        <f t="shared" si="45"/>
        <v>23.2818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46"/>
        <v>0150-19</v>
      </c>
      <c r="AE62" s="91" t="str">
        <f t="shared" si="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62" s="88" t="str">
        <f t="shared" si="1"/>
        <v>"C:\Program Files (x86)\AstroGrep\AstroGrep.exe" /spath="%USERPROFILE%\AppData\Local\Temp\OnboardLogs" /stypes="app*4001*20161019*" /stext=" 17:.+((SYSTEM_STATE.+slice.+state.+changed )|(ment ac)|(system.+state.+changed )|(\[timeout)|(PRM\|1\|D)|(kpr)|(kdp)|(\|lc)|(penalty))" /e /r /s</v>
      </c>
      <c r="AG62" s="1" t="str">
        <f t="shared" si="47"/>
        <v>EC</v>
      </c>
      <c r="AH62" s="92" t="str">
        <f t="shared" si="31"/>
        <v>"%USERPROFILE%\Documents\GitHub\eaglep3\Utilities\RefineRTDCRunTimes.py" --tripid 150-19 --locoid 4001 --swversion DE.1.0.7.0 --startMP 204:232965 --initTime 2016-10-19T10:33:15 --startdatetime 2016-10-19T10:41:27 --delay 1 --endMP 204:147 --enddatetime 2016-10-19T11:21:08 --enforcementcount 0 &gt;&gt;C:\Users\stu\Documents\GitHub\eaglep3-reporting\EC\2016-10-19-refined-times.txt</v>
      </c>
      <c r="AI62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{"issue":{"subject":"","project_id":79,"tracker_id":40,"status_id":1,"priority_id":2,"assigned_to_id":23,"start_date":"2016-10-19","description":"","custom_fields":[{"id":1,"name":"Subdivision","value":"EC"},{"id":4,"name":"Milepost","value":"0.0147"},{"id":17,"name":"Train ID","value":"150-19"},{"id":16,"name":"Locomotive ID","value":"4001"},{"id":130,"name":"Impact","value":""},{"id":150,"name":"Time of Event (Mountain Time)","value":"11:21:08"},{"id":151,"name":"Denver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524</v>
      </c>
      <c r="B63" s="7">
        <v>4040</v>
      </c>
      <c r="C63" s="22" t="s">
        <v>99</v>
      </c>
      <c r="D63" s="22" t="s">
        <v>239</v>
      </c>
      <c r="E63" s="13">
        <v>42662.411446759259</v>
      </c>
      <c r="F63" s="13">
        <v>42662.416932870372</v>
      </c>
      <c r="G63" s="7">
        <v>1</v>
      </c>
      <c r="H63" s="13" t="s">
        <v>291</v>
      </c>
      <c r="I63" s="13">
        <v>42662.442048611112</v>
      </c>
      <c r="J63" s="7">
        <v>0</v>
      </c>
      <c r="K63" s="112" t="str">
        <f t="shared" si="37"/>
        <v>4039/4040</v>
      </c>
      <c r="L63" s="22" t="str">
        <f>VLOOKUP(A63,'Trips&amp;Operators'!$C$1:$E$10000,3,FALSE)</f>
        <v>KILLION</v>
      </c>
      <c r="M63" s="6">
        <f t="shared" si="38"/>
        <v>2.5115740740147885E-2</v>
      </c>
      <c r="N63" s="7">
        <f t="shared" si="48"/>
        <v>36.166666665812954</v>
      </c>
      <c r="O63" s="7"/>
      <c r="P63" s="7"/>
      <c r="Q63" s="23"/>
      <c r="R63" s="23"/>
      <c r="S63" s="35">
        <f t="shared" si="39"/>
        <v>1</v>
      </c>
      <c r="T63" s="50" t="str">
        <f t="shared" si="40"/>
        <v>NorthBound</v>
      </c>
      <c r="U63" s="18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08:52:29-0600',mode:absolute,to:'2016-10-19 11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3" s="52" t="str">
        <f t="shared" si="42"/>
        <v>N</v>
      </c>
      <c r="X63" s="174">
        <f t="shared" si="43"/>
        <v>1</v>
      </c>
      <c r="Y63" s="67">
        <f t="shared" si="44"/>
        <v>4.5699999999999998E-2</v>
      </c>
      <c r="Z63" s="67">
        <f t="shared" si="49"/>
        <v>23.3308</v>
      </c>
      <c r="AA63" s="67">
        <f t="shared" si="45"/>
        <v>23.2851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46"/>
        <v>0151-19</v>
      </c>
      <c r="AE63" s="91" t="str">
        <f t="shared" si="0"/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63" s="88" t="str">
        <f t="shared" si="1"/>
        <v>"C:\Program Files (x86)\AstroGrep\AstroGrep.exe" /spath="%USERPROFILE%\AppData\Local\Temp\OnboardLogs" /stypes="app*4040*20161019*" /stext=" 16:.+((SYSTEM_STATE.+slice.+state.+changed )|(ment ac)|(system.+state.+changed )|(\[timeout)|(PRM\|1\|D)|(kpr)|(kdp)|(\|lc)|(penalty))" /e /r /s</v>
      </c>
      <c r="AG63" s="1" t="str">
        <f t="shared" si="47"/>
        <v>EC</v>
      </c>
      <c r="AH63" s="92" t="str">
        <f t="shared" si="31"/>
        <v>"%USERPROFILE%\Documents\GitHub\eaglep3\Utilities\RefineRTDCRunTimes.py" --tripid 151-19 --locoid 4040 --swversion DE.1.0.7.0 --startMP 204:457 --initTime 2016-10-19T09:52:29 --startdatetime 2016-10-19T10:00:23 --delay 1 --endMP 204:233308 --enddatetime 2016-10-19T10:36:33 --enforcementcount 0 &gt;&gt;C:\Users\stu\Documents\GitHub\eaglep3-reporting\EC\2016-10-19-refined-times.txt</v>
      </c>
      <c r="AI63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{"issue":{"subject":"","project_id":79,"tracker_id":40,"status_id":1,"priority_id":2,"assigned_to_id":23,"start_date":"2016-10-19","description":"","custom_fields":[{"id":1,"name":"Subdivision","value":"EC"},{"id":4,"name":"Milepost","value":"23.3308"},{"id":17,"name":"Train ID","value":"151-19"},{"id":16,"name":"Locomotive ID","value":"4040"},{"id":130,"name":"Impact","value":""},{"id":150,"name":"Time of Event (Mountain Time)","value":"10:36:33"},{"id":151,"name":"Denver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449</v>
      </c>
      <c r="B64" s="7">
        <v>4039</v>
      </c>
      <c r="C64" s="22" t="s">
        <v>99</v>
      </c>
      <c r="D64" s="22" t="s">
        <v>326</v>
      </c>
      <c r="E64" s="13">
        <v>42662.447395833333</v>
      </c>
      <c r="F64" s="13">
        <v>42662.45579861111</v>
      </c>
      <c r="G64" s="7">
        <v>1</v>
      </c>
      <c r="H64" s="13" t="s">
        <v>228</v>
      </c>
      <c r="I64" s="13">
        <v>42662.484942129631</v>
      </c>
      <c r="J64" s="7">
        <v>0</v>
      </c>
      <c r="K64" s="112" t="str">
        <f t="shared" si="37"/>
        <v>4039/4040</v>
      </c>
      <c r="L64" s="22" t="str">
        <f>VLOOKUP(A64,'Trips&amp;Operators'!$C$1:$E$10000,3,FALSE)</f>
        <v>KILLION</v>
      </c>
      <c r="M64" s="6">
        <f t="shared" si="38"/>
        <v>2.9143518520868383E-2</v>
      </c>
      <c r="N64" s="7">
        <f t="shared" si="48"/>
        <v>41.966666670050472</v>
      </c>
      <c r="O64" s="7"/>
      <c r="P64" s="7"/>
      <c r="Q64" s="23"/>
      <c r="R64" s="23"/>
      <c r="S64" s="35">
        <f t="shared" si="39"/>
        <v>1</v>
      </c>
      <c r="T64" s="50" t="str">
        <f t="shared" si="40"/>
        <v>Southbound</v>
      </c>
      <c r="U64" s="18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09:44:15-0600',mode:absolute,to:'2016-10-19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4" s="52" t="str">
        <f t="shared" si="42"/>
        <v>N</v>
      </c>
      <c r="X64" s="174">
        <f t="shared" si="43"/>
        <v>1</v>
      </c>
      <c r="Y64" s="67">
        <f t="shared" si="44"/>
        <v>23.2974</v>
      </c>
      <c r="Z64" s="67">
        <f t="shared" si="49"/>
        <v>1.49E-2</v>
      </c>
      <c r="AA64" s="67">
        <f t="shared" si="45"/>
        <v>23.282499999999999</v>
      </c>
      <c r="AB64" s="64" t="str">
        <f>VLOOKUP(A64,Enforcements!$C$7:$K$21,8,0)</f>
        <v>Speed (6)</v>
      </c>
      <c r="AC64" s="60" t="str">
        <f>VLOOKUP(A64,Enforcements!$C$7:$E$21,3,0)</f>
        <v>PERMANENT SPEED RESTRICTION</v>
      </c>
      <c r="AD64" s="61" t="str">
        <f t="shared" si="46"/>
        <v>0152-19</v>
      </c>
      <c r="AE64" s="91" t="str">
        <f t="shared" si="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64" s="88" t="str">
        <f t="shared" si="1"/>
        <v>"C:\Program Files (x86)\AstroGrep\AstroGrep.exe" /spath="%USERPROFILE%\AppData\Local\Temp\OnboardLogs" /stypes="app*4039*20161019*" /stext=" 17:.+((SYSTEM_STATE.+slice.+state.+changed )|(ment ac)|(system.+state.+changed )|(\[timeout)|(PRM\|1\|D)|(kpr)|(kdp)|(\|lc)|(penalty))" /e /r /s</v>
      </c>
      <c r="AG64" s="1" t="str">
        <f t="shared" si="47"/>
        <v>EC</v>
      </c>
      <c r="AH64" s="92" t="str">
        <f t="shared" si="31"/>
        <v>"%USERPROFILE%\Documents\GitHub\eaglep3\Utilities\RefineRTDCRunTimes.py" --tripid 152-19 --locoid 4039 --swversion DE.1.0.7.0 --startMP 204:232974 --initTime 2016-10-19T10:44:15 --startdatetime 2016-10-19T10:56:21 --delay 1 --endMP 204:149 --enddatetime 2016-10-19T11:38:19 --enforcementcount 0 &gt;&gt;C:\Users\stu\Documents\GitHub\eaglep3-reporting\EC\2016-10-19-refined-times.txt</v>
      </c>
      <c r="AI64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ID","value":"152-19"},{"id":16,"name":"Locomotive ID","value":"4039"},{"id":130,"name":"Impact","value":""},{"id":150,"name":"Time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446</v>
      </c>
      <c r="B65" s="7">
        <v>4046</v>
      </c>
      <c r="C65" s="22" t="s">
        <v>99</v>
      </c>
      <c r="D65" s="22" t="s">
        <v>252</v>
      </c>
      <c r="E65" s="13">
        <v>42662.425555555557</v>
      </c>
      <c r="F65" s="13">
        <v>42662.42759259259</v>
      </c>
      <c r="G65" s="7">
        <v>0</v>
      </c>
      <c r="H65" s="13" t="s">
        <v>675</v>
      </c>
      <c r="I65" s="13">
        <v>42662.451620370368</v>
      </c>
      <c r="J65" s="7">
        <v>0</v>
      </c>
      <c r="K65" s="112" t="str">
        <f t="shared" si="37"/>
        <v>4045/4046</v>
      </c>
      <c r="L65" s="22" t="str">
        <f>VLOOKUP(A65,'Trips&amp;Operators'!$C$1:$E$10000,3,FALSE)</f>
        <v>ROCHA</v>
      </c>
      <c r="M65" s="6">
        <f t="shared" si="38"/>
        <v>2.4027777777519077E-2</v>
      </c>
      <c r="N65" s="7">
        <f t="shared" si="48"/>
        <v>34.599999999627471</v>
      </c>
      <c r="O65" s="7"/>
      <c r="P65" s="7"/>
      <c r="Q65" s="23"/>
      <c r="R65" s="23"/>
      <c r="S65" s="35">
        <f t="shared" si="39"/>
        <v>1</v>
      </c>
      <c r="T65" s="50" t="str">
        <f t="shared" si="40"/>
        <v>NorthBound</v>
      </c>
      <c r="U65" s="18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09:12:48-0600',mode:absolute,to:'2016-10-19 11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5" s="52" t="str">
        <f t="shared" si="42"/>
        <v>N</v>
      </c>
      <c r="X65" s="174">
        <f t="shared" si="43"/>
        <v>1</v>
      </c>
      <c r="Y65" s="67">
        <f t="shared" si="44"/>
        <v>4.6899999999999997E-2</v>
      </c>
      <c r="Z65" s="67">
        <f t="shared" si="49"/>
        <v>23.319700000000001</v>
      </c>
      <c r="AA65" s="67">
        <f t="shared" si="45"/>
        <v>23.2728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46"/>
        <v>0153-19</v>
      </c>
      <c r="AE65" s="91" t="str">
        <f t="shared" si="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65" s="88" t="str">
        <f t="shared" si="1"/>
        <v>"C:\Program Files (x86)\AstroGrep\AstroGrep.exe" /spath="%USERPROFILE%\AppData\Local\Temp\OnboardLogs" /stypes="app*4046*20161019*" /stext=" 16:.+((SYSTEM_STATE.+slice.+state.+changed )|(ment ac)|(system.+state.+changed )|(\[timeout)|(PRM\|1\|D)|(kpr)|(kdp)|(\|lc)|(penalty))" /e /r /s</v>
      </c>
      <c r="AG65" s="1" t="str">
        <f t="shared" si="47"/>
        <v>EC</v>
      </c>
      <c r="AH65" s="92" t="str">
        <f t="shared" si="31"/>
        <v>"%USERPROFILE%\Documents\GitHub\eaglep3\Utilities\RefineRTDCRunTimes.py" --tripid 153-19 --locoid 4046 --swversion DE.1.0.7.0 --startMP 204:469 --initTime 2016-10-19T10:12:48 --startdatetime 2016-10-19T10:15:44 --delay 0 --endMP 204:233197 --enddatetime 2016-10-19T10:50:20 --enforcementcount 0 &gt;&gt;C:\Users\stu\Documents\GitHub\eaglep3-reporting\EC\2016-10-19-refined-times.txt</v>
      </c>
      <c r="AI65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{"issue":{"subject":"","project_id":79,"tracker_id":40,"status_id":1,"priority_id":2,"assigned_to_id":23,"start_date":"2016-10-19","description":"","custom_fields":[{"id":1,"name":"Subdivision","value":"EC"},{"id":4,"name":"Milepost","value":"23.3197"},{"id":17,"name":"Train ID","value":"153-19"},{"id":16,"name":"Locomotive ID","value":"4046"},{"id":130,"name":"Impact","value":""},{"id":150,"name":"Time of Event (Mountain Time)","value":"10:50:20"},{"id":151,"name":"Denver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534</v>
      </c>
      <c r="B66" s="7">
        <v>4045</v>
      </c>
      <c r="C66" s="22" t="s">
        <v>99</v>
      </c>
      <c r="D66" s="22" t="s">
        <v>676</v>
      </c>
      <c r="E66" s="13">
        <v>42662.458425925928</v>
      </c>
      <c r="F66" s="13">
        <v>42662.466296296298</v>
      </c>
      <c r="G66" s="7">
        <v>1</v>
      </c>
      <c r="H66" s="13" t="s">
        <v>182</v>
      </c>
      <c r="I66" s="13">
        <v>42662.494050925925</v>
      </c>
      <c r="J66" s="7">
        <v>0</v>
      </c>
      <c r="K66" s="112" t="str">
        <f t="shared" si="37"/>
        <v>4045/4046</v>
      </c>
      <c r="L66" s="22" t="str">
        <f>VLOOKUP(A66,'Trips&amp;Operators'!$C$1:$E$10000,3,FALSE)</f>
        <v>ROCHA</v>
      </c>
      <c r="M66" s="6">
        <f t="shared" si="38"/>
        <v>2.7754629627452232E-2</v>
      </c>
      <c r="N66" s="7">
        <f t="shared" si="48"/>
        <v>39.966666663531214</v>
      </c>
      <c r="O66" s="7"/>
      <c r="P66" s="7"/>
      <c r="Q66" s="23"/>
      <c r="R66" s="23"/>
      <c r="S66" s="35">
        <f t="shared" si="39"/>
        <v>1</v>
      </c>
      <c r="T66" s="50" t="str">
        <f t="shared" si="40"/>
        <v>Southbound</v>
      </c>
      <c r="U66" s="18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10:00:08-0600',mode:absolute,to:'2016-10-19 12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6" s="52" t="str">
        <f t="shared" si="42"/>
        <v>N</v>
      </c>
      <c r="X66" s="174">
        <f t="shared" si="43"/>
        <v>1</v>
      </c>
      <c r="Y66" s="67">
        <f t="shared" si="44"/>
        <v>23.288799999999998</v>
      </c>
      <c r="Z66" s="67">
        <f t="shared" si="49"/>
        <v>1.41E-2</v>
      </c>
      <c r="AA66" s="67">
        <f t="shared" si="45"/>
        <v>23.274699999999999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46"/>
        <v>0154-19</v>
      </c>
      <c r="AE66" s="91" t="str">
        <f t="shared" si="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66" s="88" t="str">
        <f t="shared" si="1"/>
        <v>"C:\Program Files (x86)\AstroGrep\AstroGrep.exe" /spath="%USERPROFILE%\AppData\Local\Temp\OnboardLogs" /stypes="app*4045*20161019*" /stext=" 17:.+((SYSTEM_STATE.+slice.+state.+changed )|(ment ac)|(system.+state.+changed )|(\[timeout)|(PRM\|1\|D)|(kpr)|(kdp)|(\|lc)|(penalty))" /e /r /s</v>
      </c>
      <c r="AG66" s="1" t="str">
        <f t="shared" si="47"/>
        <v>EC</v>
      </c>
      <c r="AH66" s="92" t="str">
        <f t="shared" si="31"/>
        <v>"%USERPROFILE%\Documents\GitHub\eaglep3\Utilities\RefineRTDCRunTimes.py" --tripid 154-19 --locoid 4045 --swversion DE.1.0.7.0 --startMP 204:232888 --initTime 2016-10-19T11:00:08 --startdatetime 2016-10-19T11:11:28 --delay 1 --endMP 204:141 --enddatetime 2016-10-19T11:51:26 --enforcementcount 0 &gt;&gt;C:\Users\stu\Documents\GitHub\eaglep3-reporting\EC\2016-10-19-refined-times.txt</v>
      </c>
      <c r="AI66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{"issue":{"subject":"","project_id":79,"tracker_id":40,"status_id":1,"priority_id":2,"assigned_to_id":23,"start_date":"2016-10-19","description":"","custom_fields":[{"id":1,"name":"Subdivision","value":"EC"},{"id":4,"name":"Milepost","value":"0.0141"},{"id":17,"name":"Train ID","value":"154-19"},{"id":16,"name":"Locomotive ID","value":"4045"},{"id":130,"name":"Impact","value":""},{"id":150,"name":"Time of Event (Mountain Time)","value":"11:51:26"},{"id":151,"name":"Denver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447</v>
      </c>
      <c r="B67" s="7">
        <v>4011</v>
      </c>
      <c r="C67" s="22" t="s">
        <v>99</v>
      </c>
      <c r="D67" s="22" t="s">
        <v>677</v>
      </c>
      <c r="E67" s="13">
        <v>42662.438009259262</v>
      </c>
      <c r="F67" s="13">
        <v>42662.43953703704</v>
      </c>
      <c r="G67" s="7">
        <v>1</v>
      </c>
      <c r="H67" s="13" t="s">
        <v>678</v>
      </c>
      <c r="I67" s="13">
        <v>42662.464953703704</v>
      </c>
      <c r="J67" s="7">
        <v>0</v>
      </c>
      <c r="K67" s="112" t="str">
        <f t="shared" si="37"/>
        <v>4011/4012</v>
      </c>
      <c r="L67" s="22" t="str">
        <f>VLOOKUP(A67,'Trips&amp;Operators'!$C$1:$E$10000,3,FALSE)</f>
        <v>STARKS</v>
      </c>
      <c r="M67" s="6">
        <f t="shared" si="38"/>
        <v>2.5416666663659271E-2</v>
      </c>
      <c r="N67" s="7">
        <f t="shared" si="48"/>
        <v>36.59999999566935</v>
      </c>
      <c r="O67" s="7"/>
      <c r="P67" s="7"/>
      <c r="Q67" s="23"/>
      <c r="R67" s="23"/>
      <c r="S67" s="35">
        <f t="shared" si="39"/>
        <v>1</v>
      </c>
      <c r="T67" s="50" t="str">
        <f t="shared" si="40"/>
        <v>NorthBound</v>
      </c>
      <c r="U67" s="18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09:30:44-0600',mode:absolute,to:'2016-10-19 12:09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7" s="52" t="str">
        <f t="shared" si="42"/>
        <v>N</v>
      </c>
      <c r="X67" s="174">
        <f t="shared" si="43"/>
        <v>1</v>
      </c>
      <c r="Y67" s="67">
        <f t="shared" si="44"/>
        <v>4.8899999999999999E-2</v>
      </c>
      <c r="Z67" s="67">
        <f t="shared" si="49"/>
        <v>23.321300000000001</v>
      </c>
      <c r="AA67" s="67">
        <f t="shared" si="45"/>
        <v>23.272400000000001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46"/>
        <v>0155-19</v>
      </c>
      <c r="AE67" s="91" t="str">
        <f t="shared" si="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67" s="88" t="str">
        <f t="shared" si="1"/>
        <v>"C:\Program Files (x86)\AstroGrep\AstroGrep.exe" /spath="%USERPROFILE%\AppData\Local\Temp\OnboardLogs" /stypes="app*4011*20161019*" /stext=" 17:.+((SYSTEM_STATE.+slice.+state.+changed )|(ment ac)|(system.+state.+changed )|(\[timeout)|(PRM\|1\|D)|(kpr)|(kdp)|(\|lc)|(penalty))" /e /r /s</v>
      </c>
      <c r="AG67" s="1" t="str">
        <f t="shared" si="47"/>
        <v>EC</v>
      </c>
      <c r="AH67" s="92" t="str">
        <f t="shared" si="31"/>
        <v>"%USERPROFILE%\Documents\GitHub\eaglep3\Utilities\RefineRTDCRunTimes.py" --tripid 155-19 --locoid 4011 --swversion DE.1.0.7.0 --startMP 204:489 --initTime 2016-10-19T10:30:44 --startdatetime 2016-10-19T10:32:56 --delay 1 --endMP 204:233213 --enddatetime 2016-10-19T11:09:32 --enforcementcount 0 &gt;&gt;C:\Users\stu\Documents\GitHub\eaglep3-reporting\EC\2016-10-19-refined-times.txt</v>
      </c>
      <c r="AI67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{"issue":{"subject":"","project_id":79,"tracker_id":40,"status_id":1,"priority_id":2,"assigned_to_id":23,"start_date":"2016-10-19","description":"","custom_fields":[{"id":1,"name":"Subdivision","value":"EC"},{"id":4,"name":"Milepost","value":"23.3213"},{"id":17,"name":"Train ID","value":"155-19"},{"id":16,"name":"Locomotive ID","value":"4011"},{"id":130,"name":"Impact","value":""},{"id":150,"name":"Time of Event (Mountain Time)","value":"11:09:32"},{"id":151,"name":"Denver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537</v>
      </c>
      <c r="B68" s="7">
        <v>4012</v>
      </c>
      <c r="C68" s="22" t="s">
        <v>99</v>
      </c>
      <c r="D68" s="22" t="s">
        <v>679</v>
      </c>
      <c r="E68" s="13">
        <v>42662.471678240741</v>
      </c>
      <c r="F68" s="13">
        <v>42662.476655092592</v>
      </c>
      <c r="G68" s="7">
        <v>1</v>
      </c>
      <c r="H68" s="13" t="s">
        <v>246</v>
      </c>
      <c r="I68" s="13">
        <v>42662.504930555559</v>
      </c>
      <c r="J68" s="7">
        <v>0</v>
      </c>
      <c r="K68" s="112" t="str">
        <f t="shared" si="37"/>
        <v>4011/4012</v>
      </c>
      <c r="L68" s="22" t="str">
        <f>VLOOKUP(A68,'Trips&amp;Operators'!$C$1:$E$10000,3,FALSE)</f>
        <v>STARKS</v>
      </c>
      <c r="M68" s="6">
        <f t="shared" si="38"/>
        <v>2.8275462966121268E-2</v>
      </c>
      <c r="N68" s="7">
        <f t="shared" si="48"/>
        <v>40.716666671214625</v>
      </c>
      <c r="O68" s="7"/>
      <c r="P68" s="7"/>
      <c r="Q68" s="23"/>
      <c r="R68" s="23"/>
      <c r="S68" s="35">
        <f t="shared" si="39"/>
        <v>1</v>
      </c>
      <c r="T68" s="50" t="str">
        <f t="shared" si="40"/>
        <v>Southbound</v>
      </c>
      <c r="U68" s="18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10:19:13-0600',mode:absolute,to:'2016-10-19 13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52" t="str">
        <f t="shared" si="42"/>
        <v>N</v>
      </c>
      <c r="X68" s="174">
        <f t="shared" si="43"/>
        <v>1</v>
      </c>
      <c r="Y68" s="67">
        <f t="shared" si="44"/>
        <v>23.289100000000001</v>
      </c>
      <c r="Z68" s="67">
        <f t="shared" si="49"/>
        <v>1.6E-2</v>
      </c>
      <c r="AA68" s="67">
        <f t="shared" si="45"/>
        <v>23.273100000000003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46"/>
        <v>0156-19</v>
      </c>
      <c r="AE68" s="91" t="str">
        <f t="shared" si="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68" s="88" t="str">
        <f t="shared" si="1"/>
        <v>"C:\Program Files (x86)\AstroGrep\AstroGrep.exe" /spath="%USERPROFILE%\AppData\Local\Temp\OnboardLogs" /stypes="app*4012*20161019*" /stext=" 18:.+((SYSTEM_STATE.+slice.+state.+changed )|(ment ac)|(system.+state.+changed )|(\[timeout)|(PRM\|1\|D)|(kpr)|(kdp)|(\|lc)|(penalty))" /e /r /s</v>
      </c>
      <c r="AG68" s="1" t="str">
        <f t="shared" si="47"/>
        <v>EC</v>
      </c>
      <c r="AH68" s="92" t="str">
        <f t="shared" si="31"/>
        <v>"%USERPROFILE%\Documents\GitHub\eaglep3\Utilities\RefineRTDCRunTimes.py" --tripid 156-19 --locoid 4012 --swversion DE.1.0.7.0 --startMP 204:232891 --initTime 2016-10-19T11:19:13 --startdatetime 2016-10-19T11:26:23 --delay 1 --endMP 204:160 --enddatetime 2016-10-19T12:07:06 --enforcementcount 0 &gt;&gt;C:\Users\stu\Documents\GitHub\eaglep3-reporting\EC\2016-10-19-refined-times.txt</v>
      </c>
      <c r="AI68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{"issue":{"subject":"","project_id":79,"tracker_id":40,"status_id":1,"priority_id":2,"assigned_to_id":23,"start_date":"2016-10-19","description":"","custom_fields":[{"id":1,"name":"Subdivision","value":"EC"},{"id":4,"name":"Milepost","value":"0.016"},{"id":17,"name":"Train ID","value":"156-19"},{"id":16,"name":"Locomotive ID","value":"4012"},{"id":130,"name":"Impact","value":""},{"id":150,"name":"Time of Event (Mountain Time)","value":"12:07:06"},{"id":151,"name":"Denver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530</v>
      </c>
      <c r="B69" s="7">
        <v>4025</v>
      </c>
      <c r="C69" s="22" t="s">
        <v>99</v>
      </c>
      <c r="D69" s="22" t="s">
        <v>680</v>
      </c>
      <c r="E69" s="13">
        <v>42662.445243055554</v>
      </c>
      <c r="F69" s="13">
        <v>42662.448136574072</v>
      </c>
      <c r="G69" s="7">
        <v>4</v>
      </c>
      <c r="H69" s="13" t="s">
        <v>218</v>
      </c>
      <c r="I69" s="13">
        <v>42662.474409722221</v>
      </c>
      <c r="J69" s="7">
        <v>0</v>
      </c>
      <c r="K69" s="112" t="str">
        <f t="shared" si="37"/>
        <v>4025/4026</v>
      </c>
      <c r="L69" s="22" t="str">
        <f>VLOOKUP(A69,'Trips&amp;Operators'!$C$1:$E$10000,3,FALSE)</f>
        <v>BRANNON</v>
      </c>
      <c r="M69" s="6">
        <f t="shared" si="38"/>
        <v>2.6273148148902692E-2</v>
      </c>
      <c r="N69" s="7">
        <f t="shared" si="48"/>
        <v>37.833333334419876</v>
      </c>
      <c r="O69" s="7"/>
      <c r="P69" s="7"/>
      <c r="Q69" s="23"/>
      <c r="R69" s="23"/>
      <c r="S69" s="35">
        <f t="shared" si="39"/>
        <v>1</v>
      </c>
      <c r="T69" s="50" t="str">
        <f t="shared" si="40"/>
        <v>NorthBound</v>
      </c>
      <c r="U69" s="18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09:41:09-0600',mode:absolute,to:'2016-10-19 12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9" s="52" t="str">
        <f t="shared" si="42"/>
        <v>N</v>
      </c>
      <c r="X69" s="174">
        <f t="shared" si="43"/>
        <v>1</v>
      </c>
      <c r="Y69" s="67">
        <f t="shared" si="44"/>
        <v>4.7800000000000002E-2</v>
      </c>
      <c r="Z69" s="67">
        <f t="shared" si="49"/>
        <v>23.331399999999999</v>
      </c>
      <c r="AA69" s="67">
        <f t="shared" si="45"/>
        <v>23.2836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46"/>
        <v>0157-19</v>
      </c>
      <c r="AE69" s="91" t="str">
        <f t="shared" si="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69" s="88" t="str">
        <f t="shared" si="1"/>
        <v>"C:\Program Files (x86)\AstroGrep\AstroGrep.exe" /spath="%USERPROFILE%\AppData\Local\Temp\OnboardLogs" /stypes="app*4025*20161019*" /stext=" 17:.+((SYSTEM_STATE.+slice.+state.+changed )|(ment ac)|(system.+state.+changed )|(\[timeout)|(PRM\|1\|D)|(kpr)|(kdp)|(\|lc)|(penalty))" /e /r /s</v>
      </c>
      <c r="AG69" s="1" t="str">
        <f t="shared" si="47"/>
        <v>EC</v>
      </c>
      <c r="AH69" s="92" t="str">
        <f t="shared" si="31"/>
        <v>"%USERPROFILE%\Documents\GitHub\eaglep3\Utilities\RefineRTDCRunTimes.py" --tripid 157-19 --locoid 4025 --swversion DE.1.0.7.0 --startMP 204:478 --initTime 2016-10-19T10:41:09 --startdatetime 2016-10-19T10:45:19 --delay 4 --endMP 204:233314 --enddatetime 2016-10-19T11:23:09 --enforcementcount 0 &gt;&gt;C:\Users\stu\Documents\GitHub\eaglep3-reporting\EC\2016-10-19-refined-times.txt</v>
      </c>
      <c r="AI69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{"issue":{"subject":"","project_id":79,"tracker_id":40,"status_id":1,"priority_id":2,"assigned_to_id":23,"start_date":"2016-10-19","description":"","custom_fields":[{"id":1,"name":"Subdivision","value":"EC"},{"id":4,"name":"Milepost","value":"23.3314"},{"id":17,"name":"Train ID","value":"157-19"},{"id":16,"name":"Locomotive ID","value":"4025"},{"id":130,"name":"Impact","value":""},{"id":150,"name":"Time of Event (Mountain Time)","value":"11:23:09"},{"id":151,"name":"Denver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539</v>
      </c>
      <c r="B70" s="7">
        <v>4026</v>
      </c>
      <c r="C70" s="22" t="s">
        <v>99</v>
      </c>
      <c r="D70" s="22" t="s">
        <v>330</v>
      </c>
      <c r="E70" s="13">
        <v>42662.481574074074</v>
      </c>
      <c r="F70" s="13">
        <v>42662.487071759257</v>
      </c>
      <c r="G70" s="7">
        <v>1</v>
      </c>
      <c r="H70" s="13" t="s">
        <v>238</v>
      </c>
      <c r="I70" s="13">
        <v>42662.515532407408</v>
      </c>
      <c r="J70" s="7">
        <v>0</v>
      </c>
      <c r="K70" s="112" t="str">
        <f t="shared" si="37"/>
        <v>4025/4026</v>
      </c>
      <c r="L70" s="22" t="str">
        <f>VLOOKUP(A70,'Trips&amp;Operators'!$C$1:$E$10000,3,FALSE)</f>
        <v>BRANNON</v>
      </c>
      <c r="M70" s="6">
        <f t="shared" si="38"/>
        <v>2.846064815093996E-2</v>
      </c>
      <c r="N70" s="7">
        <f t="shared" si="48"/>
        <v>40.983333337353542</v>
      </c>
      <c r="O70" s="7"/>
      <c r="P70" s="7"/>
      <c r="Q70" s="23"/>
      <c r="R70" s="23"/>
      <c r="S70" s="35">
        <f t="shared" si="39"/>
        <v>1</v>
      </c>
      <c r="T70" s="50" t="str">
        <f t="shared" si="40"/>
        <v>Southbound</v>
      </c>
      <c r="U70" s="18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10:33:28-0600',mode:absolute,to:'2016-10-19 13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0" s="52" t="str">
        <f t="shared" si="42"/>
        <v>N</v>
      </c>
      <c r="X70" s="174">
        <f t="shared" si="43"/>
        <v>1</v>
      </c>
      <c r="Y70" s="67">
        <f t="shared" si="44"/>
        <v>23.2986</v>
      </c>
      <c r="Z70" s="67">
        <f t="shared" si="49"/>
        <v>1.34E-2</v>
      </c>
      <c r="AA70" s="67">
        <f t="shared" si="45"/>
        <v>23.2852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46"/>
        <v>0158-19</v>
      </c>
      <c r="AE70" s="91" t="str">
        <f t="shared" si="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70" s="88" t="str">
        <f t="shared" si="1"/>
        <v>"C:\Program Files (x86)\AstroGrep\AstroGrep.exe" /spath="%USERPROFILE%\AppData\Local\Temp\OnboardLogs" /stypes="app*4026*20161019*" /stext=" 18:.+((SYSTEM_STATE.+slice.+state.+changed )|(ment ac)|(system.+state.+changed )|(\[timeout)|(PRM\|1\|D)|(kpr)|(kdp)|(\|lc)|(penalty))" /e /r /s</v>
      </c>
      <c r="AG70" s="1" t="str">
        <f t="shared" si="47"/>
        <v>EC</v>
      </c>
      <c r="AH70" s="92" t="str">
        <f t="shared" si="31"/>
        <v>"%USERPROFILE%\Documents\GitHub\eaglep3\Utilities\RefineRTDCRunTimes.py" --tripid 158-19 --locoid 4026 --swversion DE.1.0.7.0 --startMP 204:232986 --initTime 2016-10-19T11:33:28 --startdatetime 2016-10-19T11:41:23 --delay 1 --endMP 204:134 --enddatetime 2016-10-19T12:22:22 --enforcementcount 0 &gt;&gt;C:\Users\stu\Documents\GitHub\eaglep3-reporting\EC\2016-10-19-refined-times.txt</v>
      </c>
      <c r="AI70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{"issue":{"subject":"","project_id":79,"tracker_id":40,"status_id":1,"priority_id":2,"assigned_to_id":23,"start_date":"2016-10-19","description":"","custom_fields":[{"id":1,"name":"Subdivision","value":"EC"},{"id":4,"name":"Milepost","value":"0.0134"},{"id":17,"name":"Train ID","value":"158-19"},{"id":16,"name":"Locomotive ID","value":"4026"},{"id":130,"name":"Impact","value":""},{"id":150,"name":"Time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531</v>
      </c>
      <c r="B71" s="7">
        <v>4042</v>
      </c>
      <c r="C71" s="22" t="s">
        <v>99</v>
      </c>
      <c r="D71" s="22" t="s">
        <v>227</v>
      </c>
      <c r="E71" s="13">
        <v>42662.455185185187</v>
      </c>
      <c r="F71" s="13">
        <v>42662.458726851852</v>
      </c>
      <c r="G71" s="7">
        <v>2</v>
      </c>
      <c r="H71" s="13" t="s">
        <v>299</v>
      </c>
      <c r="I71" s="13">
        <v>42662.483402777776</v>
      </c>
      <c r="J71" s="7">
        <v>0</v>
      </c>
      <c r="K71" s="112" t="str">
        <f t="shared" si="37"/>
        <v>4041/4042</v>
      </c>
      <c r="L71" s="22" t="str">
        <f>VLOOKUP(A71,'Trips&amp;Operators'!$C$1:$E$10000,3,FALSE)</f>
        <v>DE LA ROSA</v>
      </c>
      <c r="M71" s="6">
        <f t="shared" si="38"/>
        <v>2.4675925924384501E-2</v>
      </c>
      <c r="N71" s="7">
        <f t="shared" si="48"/>
        <v>35.533333331113681</v>
      </c>
      <c r="O71" s="7"/>
      <c r="P71" s="7"/>
      <c r="Q71" s="23"/>
      <c r="R71" s="23"/>
      <c r="S71" s="35">
        <f t="shared" si="39"/>
        <v>1</v>
      </c>
      <c r="T71" s="50" t="str">
        <f t="shared" si="40"/>
        <v>NorthBound</v>
      </c>
      <c r="U71" s="18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09:55:28-0600',mode:absolute,to:'2016-10-19 12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1" s="52" t="str">
        <f t="shared" si="42"/>
        <v>N</v>
      </c>
      <c r="X71" s="174">
        <f t="shared" si="43"/>
        <v>1</v>
      </c>
      <c r="Y71" s="67">
        <f t="shared" si="44"/>
        <v>4.58E-2</v>
      </c>
      <c r="Z71" s="67">
        <f t="shared" si="49"/>
        <v>23.331700000000001</v>
      </c>
      <c r="AA71" s="67">
        <f t="shared" si="45"/>
        <v>23.285900000000002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46"/>
        <v>0159-19</v>
      </c>
      <c r="AE71" s="91" t="str">
        <f t="shared" si="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71" s="88" t="str">
        <f t="shared" si="1"/>
        <v>"C:\Program Files (x86)\AstroGrep\AstroGrep.exe" /spath="%USERPROFILE%\AppData\Local\Temp\OnboardLogs" /stypes="app*4042*20161019*" /stext=" 17:.+((SYSTEM_STATE.+slice.+state.+changed )|(ment ac)|(system.+state.+changed )|(\[timeout)|(PRM\|1\|D)|(kpr)|(kdp)|(\|lc)|(penalty))" /e /r /s</v>
      </c>
      <c r="AG71" s="1" t="str">
        <f t="shared" si="47"/>
        <v>EC</v>
      </c>
      <c r="AH71" s="92" t="str">
        <f t="shared" si="31"/>
        <v>"%USERPROFILE%\Documents\GitHub\eaglep3\Utilities\RefineRTDCRunTimes.py" --tripid 159-19 --locoid 4042 --swversion DE.1.0.7.0 --startMP 204:458 --initTime 2016-10-19T10:55:28 --startdatetime 2016-10-19T11:00:34 --delay 2 --endMP 204:233317 --enddatetime 2016-10-19T11:36:06 --enforcementcount 0 &gt;&gt;C:\Users\stu\Documents\GitHub\eaglep3-reporting\EC\2016-10-19-refined-times.txt</v>
      </c>
      <c r="AI71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{"issue":{"subject":"","project_id":79,"tracker_id":40,"status_id":1,"priority_id":2,"assigned_to_id":23,"start_date":"2016-10-19","description":"","custom_fields":[{"id":1,"name":"Subdivision","value":"EC"},{"id":4,"name":"Milepost","value":"23.3317"},{"id":17,"name":"Train ID","value":"159-19"},{"id":16,"name":"Locomotive ID","value":"4042"},{"id":130,"name":"Impact","value":""},{"id":150,"name":"Time of Event (Mountain Time)","value":"11:36:06"},{"id":151,"name":"Denver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544</v>
      </c>
      <c r="B72" s="7">
        <v>4041</v>
      </c>
      <c r="C72" s="22" t="s">
        <v>99</v>
      </c>
      <c r="D72" s="22" t="s">
        <v>681</v>
      </c>
      <c r="E72" s="13">
        <v>42662.493449074071</v>
      </c>
      <c r="F72" s="13">
        <v>42662.497546296298</v>
      </c>
      <c r="G72" s="7">
        <v>2</v>
      </c>
      <c r="H72" s="13" t="s">
        <v>224</v>
      </c>
      <c r="I72" s="13">
        <v>42662.524745370371</v>
      </c>
      <c r="J72" s="7">
        <v>0</v>
      </c>
      <c r="K72" s="112" t="str">
        <f t="shared" si="37"/>
        <v>4041/4042</v>
      </c>
      <c r="L72" s="22" t="str">
        <f>VLOOKUP(A72,'Trips&amp;Operators'!$C$1:$E$10000,3,FALSE)</f>
        <v>DE LA ROSA</v>
      </c>
      <c r="M72" s="6">
        <f t="shared" si="38"/>
        <v>2.7199074072996154E-2</v>
      </c>
      <c r="N72" s="7">
        <f t="shared" si="48"/>
        <v>39.166666665114462</v>
      </c>
      <c r="O72" s="7"/>
      <c r="P72" s="7"/>
      <c r="Q72" s="23"/>
      <c r="R72" s="23"/>
      <c r="S72" s="35">
        <f t="shared" si="39"/>
        <v>1</v>
      </c>
      <c r="T72" s="50" t="str">
        <f t="shared" si="40"/>
        <v>Southbound</v>
      </c>
      <c r="U72" s="18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10:50:34-0600',mode:absolute,to:'2016-10-19 13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2" s="52" t="str">
        <f t="shared" si="42"/>
        <v>N</v>
      </c>
      <c r="X72" s="174">
        <f t="shared" si="43"/>
        <v>1</v>
      </c>
      <c r="Y72" s="67">
        <f t="shared" si="44"/>
        <v>23.2989</v>
      </c>
      <c r="Z72" s="67">
        <f t="shared" si="49"/>
        <v>1.61E-2</v>
      </c>
      <c r="AA72" s="67">
        <f t="shared" si="45"/>
        <v>23.282799999999998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46"/>
        <v>0160-19</v>
      </c>
      <c r="AE72" s="91" t="str">
        <f t="shared" si="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72" s="88" t="str">
        <f t="shared" si="1"/>
        <v>"C:\Program Files (x86)\AstroGrep\AstroGrep.exe" /spath="%USERPROFILE%\AppData\Local\Temp\OnboardLogs" /stypes="app*4041*20161019*" /stext=" 18:.+((SYSTEM_STATE.+slice.+state.+changed )|(ment ac)|(system.+state.+changed )|(\[timeout)|(PRM\|1\|D)|(kpr)|(kdp)|(\|lc)|(penalty))" /e /r /s</v>
      </c>
      <c r="AG72" s="1" t="str">
        <f t="shared" si="47"/>
        <v>EC</v>
      </c>
      <c r="AH72" s="92" t="str">
        <f t="shared" si="31"/>
        <v>"%USERPROFILE%\Documents\GitHub\eaglep3\Utilities\RefineRTDCRunTimes.py" --tripid 160-19 --locoid 4041 --swversion DE.1.0.7.0 --startMP 204:232989 --initTime 2016-10-19T11:50:34 --startdatetime 2016-10-19T11:56:28 --delay 2 --endMP 204:161 --enddatetime 2016-10-19T12:35:38 --enforcementcount 0 &gt;&gt;C:\Users\stu\Documents\GitHub\eaglep3-reporting\EC\2016-10-19-refined-times.txt</v>
      </c>
      <c r="AI72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{"issue":{"subject":"","project_id":79,"tracker_id":40,"status_id":1,"priority_id":2,"assigned_to_id":23,"start_date":"2016-10-19","description":"","custom_fields":[{"id":1,"name":"Subdivision","value":"EC"},{"id":4,"name":"Milepost","value":"0.0161"},{"id":17,"name":"Train ID","value":"160-19"},{"id":16,"name":"Locomotive ID","value":"4041"},{"id":130,"name":"Impact","value":""},{"id":150,"name":"Time of Event (Mountain Time)","value":"12:35:38"},{"id":151,"name":"Denver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536</v>
      </c>
      <c r="B73" s="7">
        <v>4014</v>
      </c>
      <c r="C73" s="22" t="s">
        <v>99</v>
      </c>
      <c r="D73" s="22" t="s">
        <v>233</v>
      </c>
      <c r="E73" s="13">
        <v>42662.463437500002</v>
      </c>
      <c r="F73" s="13">
        <v>42662.469201388885</v>
      </c>
      <c r="G73" s="7">
        <v>3</v>
      </c>
      <c r="H73" s="13" t="s">
        <v>195</v>
      </c>
      <c r="I73" s="13">
        <v>42662.495613425926</v>
      </c>
      <c r="J73" s="7">
        <v>0</v>
      </c>
      <c r="K73" s="112" t="str">
        <f t="shared" si="37"/>
        <v>4013/4014</v>
      </c>
      <c r="L73" s="22" t="str">
        <f>VLOOKUP(A73,'Trips&amp;Operators'!$C$1:$E$10000,3,FALSE)</f>
        <v>JACKSON</v>
      </c>
      <c r="M73" s="6">
        <f t="shared" si="38"/>
        <v>2.641203704115469E-2</v>
      </c>
      <c r="N73" s="7">
        <f t="shared" si="48"/>
        <v>38.033333339262754</v>
      </c>
      <c r="O73" s="7"/>
      <c r="P73" s="7"/>
      <c r="Q73" s="23"/>
      <c r="R73" s="23"/>
      <c r="S73" s="35">
        <f t="shared" si="39"/>
        <v>1</v>
      </c>
      <c r="T73" s="50" t="str">
        <f t="shared" si="40"/>
        <v>NorthBound</v>
      </c>
      <c r="U73" s="18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10:07:21-0600',mode:absolute,to:'2016-10-19 12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42"/>
        <v>N</v>
      </c>
      <c r="X73" s="174">
        <f t="shared" si="43"/>
        <v>1</v>
      </c>
      <c r="Y73" s="67">
        <f t="shared" si="44"/>
        <v>4.53E-2</v>
      </c>
      <c r="Z73" s="67">
        <f t="shared" si="49"/>
        <v>23.329699999999999</v>
      </c>
      <c r="AA73" s="67">
        <f t="shared" si="45"/>
        <v>23.284399999999998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46"/>
        <v>0161-19</v>
      </c>
      <c r="AE73" s="91" t="str">
        <f t="shared" si="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73" s="88" t="str">
        <f t="shared" si="1"/>
        <v>"C:\Program Files (x86)\AstroGrep\AstroGrep.exe" /spath="%USERPROFILE%\AppData\Local\Temp\OnboardLogs" /stypes="app*4014*20161019*" /stext=" 17:.+((SYSTEM_STATE.+slice.+state.+changed )|(ment ac)|(system.+state.+changed )|(\[timeout)|(PRM\|1\|D)|(kpr)|(kdp)|(\|lc)|(penalty))" /e /r /s</v>
      </c>
      <c r="AG73" s="1" t="str">
        <f t="shared" si="47"/>
        <v>EC</v>
      </c>
      <c r="AH73" s="92" t="str">
        <f t="shared" si="31"/>
        <v>"%USERPROFILE%\Documents\GitHub\eaglep3\Utilities\RefineRTDCRunTimes.py" --tripid 161-19 --locoid 4014 --swversion DE.1.0.7.0 --startMP 204:453 --initTime 2016-10-19T11:07:21 --startdatetime 2016-10-19T11:15:39 --delay 3 --endMP 204:233297 --enddatetime 2016-10-19T11:53:41 --enforcementcount 0 &gt;&gt;C:\Users\stu\Documents\GitHub\eaglep3-reporting\EC\2016-10-19-refined-times.txt</v>
      </c>
      <c r="AI73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{"issue":{"subject":"","project_id":79,"tracker_id":40,"status_id":1,"priority_id":2,"assigned_to_id":23,"start_date":"2016-10-19","description":"","custom_fields":[{"id":1,"name":"Subdivision","value":"EC"},{"id":4,"name":"Milepost","value":"23.3297"},{"id":17,"name":"Train ID","value":"161-19"},{"id":16,"name":"Locomotive ID","value":"4014"},{"id":130,"name":"Impact","value":""},{"id":150,"name":"Time of Event (Mountain Time)","value":"11:53:41"},{"id":151,"name":"Denver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547</v>
      </c>
      <c r="B74" s="7">
        <v>4013</v>
      </c>
      <c r="C74" s="22" t="s">
        <v>99</v>
      </c>
      <c r="D74" s="22" t="s">
        <v>682</v>
      </c>
      <c r="E74" s="13">
        <v>42662.502256944441</v>
      </c>
      <c r="F74" s="13">
        <v>42662.50818287037</v>
      </c>
      <c r="G74" s="7">
        <v>2</v>
      </c>
      <c r="H74" s="13" t="s">
        <v>289</v>
      </c>
      <c r="I74" s="13">
        <v>42662.537083333336</v>
      </c>
      <c r="J74" s="7">
        <v>0</v>
      </c>
      <c r="K74" s="112" t="str">
        <f t="shared" si="37"/>
        <v>4013/4014</v>
      </c>
      <c r="L74" s="22" t="str">
        <f>VLOOKUP(A74,'Trips&amp;Operators'!$C$1:$E$10000,3,FALSE)</f>
        <v>JACKSON</v>
      </c>
      <c r="M74" s="6">
        <f t="shared" si="38"/>
        <v>2.8900462966703344E-2</v>
      </c>
      <c r="N74" s="7">
        <f t="shared" si="48"/>
        <v>41.616666672052816</v>
      </c>
      <c r="O74" s="7"/>
      <c r="P74" s="7"/>
      <c r="Q74" s="23"/>
      <c r="R74" s="23"/>
      <c r="S74" s="35">
        <f t="shared" si="39"/>
        <v>1</v>
      </c>
      <c r="T74" s="50" t="str">
        <f t="shared" si="40"/>
        <v>Southbound</v>
      </c>
      <c r="U74" s="18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11:03:15-0600',mode:absolute,to:'2016-10-19 13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42"/>
        <v>N</v>
      </c>
      <c r="X74" s="174">
        <f t="shared" si="43"/>
        <v>1</v>
      </c>
      <c r="Y74" s="67">
        <f t="shared" si="44"/>
        <v>23.296299999999999</v>
      </c>
      <c r="Z74" s="67">
        <f t="shared" si="49"/>
        <v>1.5599999999999999E-2</v>
      </c>
      <c r="AA74" s="67">
        <f t="shared" si="45"/>
        <v>23.2807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46"/>
        <v>0162-19</v>
      </c>
      <c r="AE74" s="91" t="str">
        <f t="shared" si="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74" s="88" t="str">
        <f t="shared" si="1"/>
        <v>"C:\Program Files (x86)\AstroGrep\AstroGrep.exe" /spath="%USERPROFILE%\AppData\Local\Temp\OnboardLogs" /stypes="app*4013*20161019*" /stext=" 18:.+((SYSTEM_STATE.+slice.+state.+changed )|(ment ac)|(system.+state.+changed )|(\[timeout)|(PRM\|1\|D)|(kpr)|(kdp)|(\|lc)|(penalty))" /e /r /s</v>
      </c>
      <c r="AG74" s="1" t="str">
        <f t="shared" si="47"/>
        <v>EC</v>
      </c>
      <c r="AH74" s="92" t="str">
        <f t="shared" si="31"/>
        <v>"%USERPROFILE%\Documents\GitHub\eaglep3\Utilities\RefineRTDCRunTimes.py" --tripid 162-19 --locoid 4013 --swversion DE.1.0.7.0 --startMP 204:232963 --initTime 2016-10-19T12:03:15 --startdatetime 2016-10-19T12:11:47 --delay 2 --endMP 204:156 --enddatetime 2016-10-19T12:53:24 --enforcementcount 0 &gt;&gt;C:\Users\stu\Documents\GitHub\eaglep3-reporting\EC\2016-10-19-refined-times.txt</v>
      </c>
      <c r="AI74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{"issue":{"subject":"","project_id":79,"tracker_id":40,"status_id":1,"priority_id":2,"assigned_to_id":23,"start_date":"2016-10-19","description":"","custom_fields":[{"id":1,"name":"Subdivision","value":"EC"},{"id":4,"name":"Milepost","value":"0.0156"},{"id":17,"name":"Train ID","value":"162-19"},{"id":16,"name":"Locomotive ID","value":"4013"},{"id":130,"name":"Impact","value":""},{"id":150,"name":"Time of Event (Mountain Time)","value":"12:53:24"},{"id":151,"name":"Denver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538</v>
      </c>
      <c r="B75" s="7">
        <v>4002</v>
      </c>
      <c r="C75" s="22" t="s">
        <v>99</v>
      </c>
      <c r="D75" s="22" t="s">
        <v>227</v>
      </c>
      <c r="E75" s="13">
        <v>42662.479317129626</v>
      </c>
      <c r="F75" s="13">
        <v>42662.480775462966</v>
      </c>
      <c r="G75" s="7">
        <v>1</v>
      </c>
      <c r="H75" s="13" t="s">
        <v>418</v>
      </c>
      <c r="I75" s="13">
        <v>42662.505613425928</v>
      </c>
      <c r="J75" s="7">
        <v>0</v>
      </c>
      <c r="K75" s="112" t="str">
        <f t="shared" si="37"/>
        <v>4001/4002</v>
      </c>
      <c r="L75" s="22" t="str">
        <f>VLOOKUP(A75,'Trips&amp;Operators'!$C$1:$E$10000,3,FALSE)</f>
        <v>HELVIE</v>
      </c>
      <c r="M75" s="6">
        <f t="shared" si="38"/>
        <v>2.4837962962919846E-2</v>
      </c>
      <c r="N75" s="7">
        <f t="shared" si="48"/>
        <v>35.766666666604578</v>
      </c>
      <c r="O75" s="7"/>
      <c r="P75" s="7"/>
      <c r="Q75" s="23"/>
      <c r="R75" s="23"/>
      <c r="S75" s="35">
        <f t="shared" si="39"/>
        <v>1</v>
      </c>
      <c r="T75" s="50" t="str">
        <f t="shared" si="40"/>
        <v>NorthBound</v>
      </c>
      <c r="U75" s="18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10:30:13-0600',mode:absolute,to:'2016-10-19 13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52" t="str">
        <f t="shared" si="42"/>
        <v>N</v>
      </c>
      <c r="X75" s="174">
        <f t="shared" si="43"/>
        <v>1</v>
      </c>
      <c r="Y75" s="67">
        <f t="shared" si="44"/>
        <v>4.58E-2</v>
      </c>
      <c r="Z75" s="67">
        <f t="shared" si="49"/>
        <v>23.329799999999999</v>
      </c>
      <c r="AA75" s="67">
        <f t="shared" si="45"/>
        <v>23.283999999999999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46"/>
        <v>0163-19</v>
      </c>
      <c r="AE75" s="91" t="str">
        <f t="shared" si="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75" s="88" t="str">
        <f t="shared" si="1"/>
        <v>"C:\Program Files (x86)\AstroGrep\AstroGrep.exe" /spath="%USERPROFILE%\AppData\Local\Temp\OnboardLogs" /stypes="app*4002*20161019*" /stext=" 18:.+((SYSTEM_STATE.+slice.+state.+changed )|(ment ac)|(system.+state.+changed )|(\[timeout)|(PRM\|1\|D)|(kpr)|(kdp)|(\|lc)|(penalty))" /e /r /s</v>
      </c>
      <c r="AG75" s="1" t="str">
        <f t="shared" si="47"/>
        <v>EC</v>
      </c>
      <c r="AH75" s="92" t="str">
        <f t="shared" si="31"/>
        <v>"%USERPROFILE%\Documents\GitHub\eaglep3\Utilities\RefineRTDCRunTimes.py" --tripid 163-19 --locoid 4002 --swversion DE.1.0.7.0 --startMP 204:458 --initTime 2016-10-19T11:30:13 --startdatetime 2016-10-19T11:32:19 --delay 1 --endMP 204:233298 --enddatetime 2016-10-19T12:08:05 --enforcementcount 0 &gt;&gt;C:\Users\stu\Documents\GitHub\eaglep3-reporting\EC\2016-10-19-refined-times.txt</v>
      </c>
      <c r="AI75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{"issue":{"subject":"","project_id":79,"tracker_id":40,"status_id":1,"priority_id":2,"assigned_to_id":23,"start_date":"2016-10-19","description":"","custom_fields":[{"id":1,"name":"Subdivision","value":"EC"},{"id":4,"name":"Milepost","value":"23.3298"},{"id":17,"name":"Train ID","value":"163-19"},{"id":16,"name":"Locomotive ID","value":"4002"},{"id":130,"name":"Impact","value":""},{"id":150,"name":"Time of Event (Mountain Time)","value":"12:08:05"},{"id":151,"name":"Denver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549</v>
      </c>
      <c r="B76" s="7">
        <v>4001</v>
      </c>
      <c r="C76" s="22" t="s">
        <v>99</v>
      </c>
      <c r="D76" s="22" t="s">
        <v>247</v>
      </c>
      <c r="E76" s="13">
        <v>42662.51357638889</v>
      </c>
      <c r="F76" s="13">
        <v>42662.518449074072</v>
      </c>
      <c r="G76" s="7">
        <v>1</v>
      </c>
      <c r="H76" s="13" t="s">
        <v>327</v>
      </c>
      <c r="I76" s="13">
        <v>42662.544583333336</v>
      </c>
      <c r="J76" s="7">
        <v>0</v>
      </c>
      <c r="K76" s="112" t="str">
        <f t="shared" si="37"/>
        <v>4001/4002</v>
      </c>
      <c r="L76" s="22" t="str">
        <f>VLOOKUP(A76,'Trips&amp;Operators'!$C$1:$E$10000,3,FALSE)</f>
        <v>HELVIE</v>
      </c>
      <c r="M76" s="6">
        <f t="shared" si="38"/>
        <v>2.6134259263926651E-2</v>
      </c>
      <c r="N76" s="7">
        <f t="shared" si="48"/>
        <v>37.633333340054378</v>
      </c>
      <c r="O76" s="7"/>
      <c r="P76" s="7"/>
      <c r="Q76" s="23"/>
      <c r="R76" s="23"/>
      <c r="S76" s="35">
        <f t="shared" si="39"/>
        <v>1</v>
      </c>
      <c r="T76" s="50" t="str">
        <f t="shared" si="40"/>
        <v>Southbound</v>
      </c>
      <c r="U76" s="18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11:19:33-0600',mode:absolute,to:'2016-10-19 14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6" s="52" t="str">
        <f t="shared" si="42"/>
        <v>N</v>
      </c>
      <c r="X76" s="174">
        <f t="shared" si="43"/>
        <v>1</v>
      </c>
      <c r="Y76" s="67">
        <f t="shared" si="44"/>
        <v>23.297899999999998</v>
      </c>
      <c r="Z76" s="67">
        <f t="shared" si="49"/>
        <v>1.5800000000000002E-2</v>
      </c>
      <c r="AA76" s="67">
        <f t="shared" si="45"/>
        <v>23.2821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46"/>
        <v>0164-19</v>
      </c>
      <c r="AE76" s="91" t="str">
        <f t="shared" si="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76" s="88" t="str">
        <f t="shared" si="1"/>
        <v>"C:\Program Files (x86)\AstroGrep\AstroGrep.exe" /spath="%USERPROFILE%\AppData\Local\Temp\OnboardLogs" /stypes="app*4001*20161019*" /stext=" 19:.+((SYSTEM_STATE.+slice.+state.+changed )|(ment ac)|(system.+state.+changed )|(\[timeout)|(PRM\|1\|D)|(kpr)|(kdp)|(\|lc)|(penalty))" /e /r /s</v>
      </c>
      <c r="AG76" s="1" t="str">
        <f t="shared" si="47"/>
        <v>EC</v>
      </c>
      <c r="AH76" s="92" t="str">
        <f t="shared" si="31"/>
        <v>"%USERPROFILE%\Documents\GitHub\eaglep3\Utilities\RefineRTDCRunTimes.py" --tripid 164-19 --locoid 4001 --swversion DE.1.0.7.0 --startMP 204:232979 --initTime 2016-10-19T12:19:33 --startdatetime 2016-10-19T12:26:34 --delay 1 --endMP 204:158 --enddatetime 2016-10-19T13:04:12 --enforcementcount 0 &gt;&gt;C:\Users\stu\Documents\GitHub\eaglep3-reporting\EC\2016-10-19-refined-times.txt</v>
      </c>
      <c r="AI76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{"issue":{"subject":"","project_id":79,"tracker_id":40,"status_id":1,"priority_id":2,"assigned_to_id":23,"start_date":"2016-10-19","description":"","custom_fields":[{"id":1,"name":"Subdivision","value":"EC"},{"id":4,"name":"Milepost","value":"0.0158"},{"id":17,"name":"Train ID","value":"164-19"},{"id":16,"name":"Locomotive ID","value":"4001"},{"id":130,"name":"Impact","value":""},{"id":150,"name":"Time of Event (Mountain Time)","value":"13:04:12"},{"id":151,"name":"Denver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541</v>
      </c>
      <c r="B77" s="7">
        <v>4040</v>
      </c>
      <c r="C77" s="22" t="s">
        <v>99</v>
      </c>
      <c r="D77" s="22" t="s">
        <v>661</v>
      </c>
      <c r="E77" s="13">
        <v>42662.488020833334</v>
      </c>
      <c r="F77" s="13">
        <v>42662.490717592591</v>
      </c>
      <c r="G77" s="7">
        <v>1</v>
      </c>
      <c r="H77" s="13" t="s">
        <v>195</v>
      </c>
      <c r="I77" s="13">
        <v>42662.516770833332</v>
      </c>
      <c r="J77" s="7">
        <v>0</v>
      </c>
      <c r="K77" s="112" t="str">
        <f t="shared" si="37"/>
        <v>4039/4040</v>
      </c>
      <c r="L77" s="22" t="str">
        <f>VLOOKUP(A77,'Trips&amp;Operators'!$C$1:$E$10000,3,FALSE)</f>
        <v>ADANE</v>
      </c>
      <c r="M77" s="6">
        <f t="shared" si="38"/>
        <v>2.6053240741021E-2</v>
      </c>
      <c r="N77" s="7">
        <f t="shared" si="48"/>
        <v>37.51666666707024</v>
      </c>
      <c r="O77" s="7"/>
      <c r="P77" s="7"/>
      <c r="Q77" s="23"/>
      <c r="R77" s="23"/>
      <c r="S77" s="35">
        <f t="shared" si="39"/>
        <v>1</v>
      </c>
      <c r="T77" s="50" t="str">
        <f t="shared" si="40"/>
        <v>NorthBound</v>
      </c>
      <c r="U77" s="18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10:42:45-0600',mode:absolute,to:'2016-10-19 13:24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52" t="str">
        <f t="shared" si="42"/>
        <v>N</v>
      </c>
      <c r="X77" s="174">
        <f t="shared" si="43"/>
        <v>1</v>
      </c>
      <c r="Y77" s="67">
        <f t="shared" si="44"/>
        <v>4.7699999999999999E-2</v>
      </c>
      <c r="Z77" s="67">
        <f t="shared" si="49"/>
        <v>23.329699999999999</v>
      </c>
      <c r="AA77" s="67">
        <f t="shared" si="45"/>
        <v>23.282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46"/>
        <v>0165-19</v>
      </c>
      <c r="AE77" s="91" t="str">
        <f t="shared" ref="AE77:AE140" si="5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77" s="88" t="str">
        <f t="shared" ref="AF77:AF140" si="5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/stypes="app*4040*20161019*" /stext=" 18:.+((SYSTEM_STATE.+slice.+state.+changed )|(ment ac)|(system.+state.+changed )|(\[timeout)|(PRM\|1\|D)|(kpr)|(kdp)|(\|lc)|(penalty))" /e /r /s</v>
      </c>
      <c r="AG77" s="1" t="str">
        <f t="shared" si="47"/>
        <v>EC</v>
      </c>
      <c r="AH77" s="92" t="str">
        <f t="shared" si="31"/>
        <v>"%USERPROFILE%\Documents\GitHub\eaglep3\Utilities\RefineRTDCRunTimes.py" --tripid 165-19 --locoid 4040 --swversion DE.1.0.7.0 --startMP 204:477 --initTime 2016-10-19T11:42:45 --startdatetime 2016-10-19T11:46:38 --delay 1 --endMP 204:233297 --enddatetime 2016-10-19T12:24:09 --enforcementcount 0 &gt;&gt;C:\Users\stu\Documents\GitHub\eaglep3-reporting\EC\2016-10-19-refined-times.txt</v>
      </c>
      <c r="AI77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{"issue":{"subject":"","project_id":79,"tracker_id":40,"status_id":1,"priority_id":2,"assigned_to_id":23,"start_date":"2016-10-19","description":"","custom_fields":[{"id":1,"name":"Subdivision","value":"EC"},{"id":4,"name":"Milepost","value":"23.3297"},{"id":17,"name":"Train ID","value":"165-19"},{"id":16,"name":"Locomotive ID","value":"4040"},{"id":130,"name":"Impact","value":""},{"id":150,"name":"Time of Event (Mountain Time)","value":"12:24:09"},{"id":151,"name":"Denver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551</v>
      </c>
      <c r="B78" s="7">
        <v>4039</v>
      </c>
      <c r="C78" s="22" t="s">
        <v>99</v>
      </c>
      <c r="D78" s="22" t="s">
        <v>270</v>
      </c>
      <c r="E78" s="13">
        <v>42662.523900462962</v>
      </c>
      <c r="F78" s="13">
        <v>42662.528819444444</v>
      </c>
      <c r="G78" s="7">
        <v>2</v>
      </c>
      <c r="H78" s="13" t="s">
        <v>226</v>
      </c>
      <c r="I78" s="13">
        <v>42662.557037037041</v>
      </c>
      <c r="J78" s="7">
        <v>0</v>
      </c>
      <c r="K78" s="112" t="str">
        <f t="shared" si="37"/>
        <v>4039/4040</v>
      </c>
      <c r="L78" s="22" t="str">
        <f>VLOOKUP(A78,'Trips&amp;Operators'!$C$1:$E$10000,3,FALSE)</f>
        <v>ADANE</v>
      </c>
      <c r="M78" s="6">
        <f t="shared" si="38"/>
        <v>2.8217592596774921E-2</v>
      </c>
      <c r="N78" s="7">
        <f t="shared" si="48"/>
        <v>40.633333339355886</v>
      </c>
      <c r="O78" s="7"/>
      <c r="P78" s="7"/>
      <c r="Q78" s="23"/>
      <c r="R78" s="23"/>
      <c r="S78" s="35">
        <f t="shared" si="39"/>
        <v>1</v>
      </c>
      <c r="T78" s="50" t="str">
        <f t="shared" si="40"/>
        <v>Southbound</v>
      </c>
      <c r="U78" s="18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11:34:25-0600',mode:absolute,to:'2016-10-19 14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8" s="52" t="str">
        <f t="shared" si="42"/>
        <v>N</v>
      </c>
      <c r="X78" s="174">
        <f t="shared" si="43"/>
        <v>1</v>
      </c>
      <c r="Y78" s="67">
        <f t="shared" si="44"/>
        <v>23.297699999999999</v>
      </c>
      <c r="Z78" s="67">
        <f t="shared" si="49"/>
        <v>1.4500000000000001E-2</v>
      </c>
      <c r="AA78" s="67">
        <f t="shared" si="45"/>
        <v>23.283199999999997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6"/>
        <v>0166-19</v>
      </c>
      <c r="AE78" s="91" t="str">
        <f t="shared" si="5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78" s="88" t="str">
        <f t="shared" si="51"/>
        <v>"C:\Program Files (x86)\AstroGrep\AstroGrep.exe" /spath="%USERPROFILE%\AppData\Local\Temp\OnboardLogs" /stypes="app*4039*20161019*" /stext=" 19:.+((SYSTEM_STATE.+slice.+state.+changed )|(ment ac)|(system.+state.+changed )|(\[timeout)|(PRM\|1\|D)|(kpr)|(kdp)|(\|lc)|(penalty))" /e /r /s</v>
      </c>
      <c r="AG78" s="1" t="str">
        <f t="shared" si="47"/>
        <v>EC</v>
      </c>
      <c r="AH78" s="92" t="str">
        <f t="shared" si="31"/>
        <v>"%USERPROFILE%\Documents\GitHub\eaglep3\Utilities\RefineRTDCRunTimes.py" --tripid 166-19 --locoid 4039 --swversion DE.1.0.7.0 --startMP 204:232977 --initTime 2016-10-19T12:34:25 --startdatetime 2016-10-19T12:41:30 --delay 2 --endMP 204:145 --enddatetime 2016-10-19T13:22:08 --enforcementcount 0 &gt;&gt;C:\Users\stu\Documents\GitHub\eaglep3-reporting\EC\2016-10-19-refined-times.txt</v>
      </c>
      <c r="AI78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{"issue":{"subject":"","project_id":79,"tracker_id":40,"status_id":1,"priority_id":2,"assigned_to_id":23,"start_date":"2016-10-19","description":"","custom_fields":[{"id":1,"name":"Subdivision","value":"EC"},{"id":4,"name":"Milepost","value":"0.0145"},{"id":17,"name":"Train ID","value":"166-19"},{"id":16,"name":"Locomotive ID","value":"4039"},{"id":130,"name":"Impact","value":""},{"id":150,"name":"Time of Event (Mountain Time)","value":"13:22:08"},{"id":151,"name":"Denver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545</v>
      </c>
      <c r="B79" s="7">
        <v>4046</v>
      </c>
      <c r="C79" s="22" t="s">
        <v>99</v>
      </c>
      <c r="D79" s="22" t="s">
        <v>232</v>
      </c>
      <c r="E79" s="13">
        <v>42662.497129629628</v>
      </c>
      <c r="F79" s="13">
        <v>42662.500405092593</v>
      </c>
      <c r="G79" s="7">
        <v>1</v>
      </c>
      <c r="H79" s="13" t="s">
        <v>418</v>
      </c>
      <c r="I79" s="13">
        <v>42662.524768518517</v>
      </c>
      <c r="J79" s="7">
        <v>0</v>
      </c>
      <c r="K79" s="112" t="str">
        <f t="shared" si="37"/>
        <v>4045/4046</v>
      </c>
      <c r="L79" s="22" t="str">
        <f>VLOOKUP(A79,'Trips&amp;Operators'!$C$1:$E$10000,3,FALSE)</f>
        <v>STAMBAUGH</v>
      </c>
      <c r="M79" s="6">
        <f t="shared" si="38"/>
        <v>2.4363425924093463E-2</v>
      </c>
      <c r="N79" s="7">
        <f t="shared" si="48"/>
        <v>35.083333330694586</v>
      </c>
      <c r="O79" s="7"/>
      <c r="P79" s="7"/>
      <c r="Q79" s="23"/>
      <c r="R79" s="23"/>
      <c r="S79" s="35">
        <f t="shared" si="39"/>
        <v>1</v>
      </c>
      <c r="T79" s="50" t="str">
        <f t="shared" si="40"/>
        <v>NorthBound</v>
      </c>
      <c r="U79" s="18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10:55:52-0600',mode:absolute,to:'2016-10-19 13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9" s="52" t="str">
        <f t="shared" si="42"/>
        <v>N</v>
      </c>
      <c r="X79" s="174">
        <f t="shared" si="43"/>
        <v>1</v>
      </c>
      <c r="Y79" s="67">
        <f t="shared" si="44"/>
        <v>4.4699999999999997E-2</v>
      </c>
      <c r="Z79" s="67">
        <f t="shared" si="49"/>
        <v>23.329799999999999</v>
      </c>
      <c r="AA79" s="67">
        <f t="shared" si="45"/>
        <v>23.2851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6"/>
        <v>0167-19</v>
      </c>
      <c r="AE79" s="91" t="str">
        <f t="shared" si="5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79" s="88" t="str">
        <f t="shared" si="51"/>
        <v>"C:\Program Files (x86)\AstroGrep\AstroGrep.exe" /spath="%USERPROFILE%\AppData\Local\Temp\OnboardLogs" /stypes="app*4046*20161019*" /stext=" 18:.+((SYSTEM_STATE.+slice.+state.+changed )|(ment ac)|(system.+state.+changed )|(\[timeout)|(PRM\|1\|D)|(kpr)|(kdp)|(\|lc)|(penalty))" /e /r /s</v>
      </c>
      <c r="AG79" s="1" t="str">
        <f t="shared" si="47"/>
        <v>EC</v>
      </c>
      <c r="AH79" s="92" t="str">
        <f t="shared" si="31"/>
        <v>"%USERPROFILE%\Documents\GitHub\eaglep3\Utilities\RefineRTDCRunTimes.py" --tripid 167-19 --locoid 4046 --swversion DE.1.0.7.0 --startMP 204:447 --initTime 2016-10-19T11:55:52 --startdatetime 2016-10-19T12:00:35 --delay 1 --endMP 204:233298 --enddatetime 2016-10-19T12:35:40 --enforcementcount 0 &gt;&gt;C:\Users\stu\Documents\GitHub\eaglep3-reporting\EC\2016-10-19-refined-times.txt</v>
      </c>
      <c r="AI79" s="122" t="str">
        <f t="shared" si="32"/>
        <v>echo {"issue":{"subject":"","project_id":79,"tracker_id":40,"status_id":1,"priority_id":2,"assigned_to_id":23,"start_date":"2016-10-19","description":"","custom_fields":[{"id":1,"name":"Subdivision","value":"EC"},{"id":4,"name":"Milepost","value":"23.3298"},{"id":17,"name":"Train ID","value":"167-19"},{"id":16,"name":"Locomotive ID","value":"4046"},{"id":130,"name":"Impact","value":""},{"id":150,"name":"Time of Event (Mountain Time)","value":"12:35:40"},{"id":151,"name":"Denver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552</v>
      </c>
      <c r="B80" s="7">
        <v>4045</v>
      </c>
      <c r="C80" s="22" t="s">
        <v>99</v>
      </c>
      <c r="D80" s="22" t="s">
        <v>270</v>
      </c>
      <c r="E80" s="13">
        <v>42662.529074074075</v>
      </c>
      <c r="F80" s="13">
        <v>42662.539444444446</v>
      </c>
      <c r="G80" s="7">
        <v>1</v>
      </c>
      <c r="H80" s="13" t="s">
        <v>228</v>
      </c>
      <c r="I80" s="13">
        <v>42662.56621527778</v>
      </c>
      <c r="J80" s="7">
        <v>0</v>
      </c>
      <c r="K80" s="112" t="str">
        <f t="shared" si="37"/>
        <v>4045/4046</v>
      </c>
      <c r="L80" s="22" t="str">
        <f>VLOOKUP(A80,'Trips&amp;Operators'!$C$1:$E$10000,3,FALSE)</f>
        <v>STAMBAUGH</v>
      </c>
      <c r="M80" s="6">
        <f t="shared" si="38"/>
        <v>2.6770833334012423E-2</v>
      </c>
      <c r="N80" s="7">
        <f t="shared" si="48"/>
        <v>38.550000000977889</v>
      </c>
      <c r="O80" s="7"/>
      <c r="P80" s="7"/>
      <c r="Q80" s="23"/>
      <c r="R80" s="23"/>
      <c r="S80" s="35">
        <f t="shared" si="39"/>
        <v>1</v>
      </c>
      <c r="T80" s="50" t="str">
        <f t="shared" si="40"/>
        <v>Southbound</v>
      </c>
      <c r="U80" s="18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11:41:52-0600',mode:absolute,to:'2016-10-19 14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0" s="52" t="str">
        <f t="shared" si="42"/>
        <v>N</v>
      </c>
      <c r="X80" s="174">
        <f t="shared" si="43"/>
        <v>1</v>
      </c>
      <c r="Y80" s="67">
        <f t="shared" si="44"/>
        <v>23.297699999999999</v>
      </c>
      <c r="Z80" s="67">
        <f t="shared" si="49"/>
        <v>1.49E-2</v>
      </c>
      <c r="AA80" s="67">
        <f t="shared" si="45"/>
        <v>23.282799999999998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6"/>
        <v>0168-19</v>
      </c>
      <c r="AE80" s="91" t="str">
        <f t="shared" si="5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80" s="88" t="str">
        <f t="shared" si="51"/>
        <v>"C:\Program Files (x86)\AstroGrep\AstroGrep.exe" /spath="%USERPROFILE%\AppData\Local\Temp\OnboardLogs" /stypes="app*4045*20161019*" /stext=" 19:.+((SYSTEM_STATE.+slice.+state.+changed )|(ment ac)|(system.+state.+changed )|(\[timeout)|(PRM\|1\|D)|(kpr)|(kdp)|(\|lc)|(penalty))" /e /r /s</v>
      </c>
      <c r="AG80" s="1" t="str">
        <f t="shared" si="47"/>
        <v>EC</v>
      </c>
      <c r="AH80" s="92" t="str">
        <f t="shared" ref="AH80:AH143" si="52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168-19 --locoid 4045 --swversion DE.1.0.7.0 --startMP 204:232977 --initTime 2016-10-19T12:41:52 --startdatetime 2016-10-19T12:56:48 --delay 1 --endMP 204:149 --enddatetime 2016-10-19T13:35:21 --enforcementcount 0 &gt;&gt;C:\Users\stu\Documents\GitHub\eaglep3-reporting\EC\2016-10-19-refined-times.txt</v>
      </c>
      <c r="AI80" s="122" t="str">
        <f t="shared" ref="AI80:AI143" si="53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ID","value":"168-19"},{"id":16,"name":"Locomotive ID","value":"4045"},{"id":130,"name":"Impact","value":""},{"id":150,"name":"Time of Event (Mountain Time)","value":"13:35:21"},{"id":151,"name":"Denver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548</v>
      </c>
      <c r="B81" s="7">
        <v>4011</v>
      </c>
      <c r="C81" s="22" t="s">
        <v>99</v>
      </c>
      <c r="D81" s="22" t="s">
        <v>243</v>
      </c>
      <c r="E81" s="13">
        <v>42662.508645833332</v>
      </c>
      <c r="F81" s="13">
        <v>42662.510960648149</v>
      </c>
      <c r="G81" s="7">
        <v>2</v>
      </c>
      <c r="H81" s="13" t="s">
        <v>683</v>
      </c>
      <c r="I81" s="13">
        <v>42662.536493055559</v>
      </c>
      <c r="J81" s="7">
        <v>0</v>
      </c>
      <c r="K81" s="112" t="str">
        <f t="shared" si="37"/>
        <v>4011/4012</v>
      </c>
      <c r="L81" s="22" t="str">
        <f>VLOOKUP(A81,'Trips&amp;Operators'!$C$1:$E$10000,3,FALSE)</f>
        <v>BRUDER</v>
      </c>
      <c r="M81" s="6">
        <f t="shared" si="38"/>
        <v>2.5532407409627922E-2</v>
      </c>
      <c r="N81" s="7">
        <f t="shared" si="48"/>
        <v>36.766666669864208</v>
      </c>
      <c r="O81" s="7"/>
      <c r="P81" s="7"/>
      <c r="Q81" s="23"/>
      <c r="R81" s="23"/>
      <c r="S81" s="35">
        <f t="shared" si="39"/>
        <v>1</v>
      </c>
      <c r="T81" s="50" t="str">
        <f t="shared" si="40"/>
        <v>NorthBound</v>
      </c>
      <c r="U81" s="18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https://search-rtdc-monitor-bjffxe2xuh6vdkpspy63sjmuny.us-east-1.es.amazonaws.com/_plugin/kibana/#/discover/Steve-Slow-Train-Analysis-(2080s-and-2083s)?_g=(refreshInterval:(display:Off,section:0,value:0),time:(from:'2016-10-19 11:12:27-0600',mode:absolute,to:'2016-10-19 13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1" s="52" t="str">
        <f t="shared" si="42"/>
        <v>N</v>
      </c>
      <c r="X81" s="174">
        <f t="shared" si="43"/>
        <v>1</v>
      </c>
      <c r="Y81" s="67">
        <f t="shared" si="44"/>
        <v>4.4600000000000001E-2</v>
      </c>
      <c r="Z81" s="67">
        <f t="shared" si="49"/>
        <v>23.3245</v>
      </c>
      <c r="AA81" s="67">
        <f t="shared" si="45"/>
        <v>23.279900000000001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6"/>
        <v>0169-19</v>
      </c>
      <c r="AE81" s="91" t="str">
        <f t="shared" si="5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81" s="88" t="str">
        <f t="shared" si="51"/>
        <v>"C:\Program Files (x86)\AstroGrep\AstroGrep.exe" /spath="%USERPROFILE%\AppData\Local\Temp\OnboardLogs" /stypes="app*4011*20161019*" /stext=" 18:.+((SYSTEM_STATE.+slice.+state.+changed )|(ment ac)|(system.+state.+changed )|(\[timeout)|(PRM\|1\|D)|(kpr)|(kdp)|(\|lc)|(penalty))" /e /r /s</v>
      </c>
      <c r="AG81" s="1" t="str">
        <f t="shared" si="47"/>
        <v>EC</v>
      </c>
      <c r="AH81" s="92" t="str">
        <f t="shared" si="52"/>
        <v>"%USERPROFILE%\Documents\GitHub\eaglep3\Utilities\RefineRTDCRunTimes.py" --tripid 169-19 --locoid 4011 --swversion DE.1.0.7.0 --startMP 204:446 --initTime 2016-10-19T12:12:27 --startdatetime 2016-10-19T12:15:47 --delay 2 --endMP 204:233245 --enddatetime 2016-10-19T12:52:33 --enforcementcount 0 &gt;&gt;C:\Users\stu\Documents\GitHub\eaglep3-reporting\EC\2016-10-19-refined-times.txt</v>
      </c>
      <c r="AI81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{"issue":{"subject":"","project_id":79,"tracker_id":40,"status_id":1,"priority_id":2,"assigned_to_id":23,"start_date":"2016-10-19","description":"","custom_fields":[{"id":1,"name":"Subdivision","value":"EC"},{"id":4,"name":"Milepost","value":"23.3245"},{"id":17,"name":"Train ID","value":"169-19"},{"id":16,"name":"Locomotive ID","value":"4011"},{"id":130,"name":"Impact","value":""},{"id":150,"name":"Time of Event (Mountain Time)","value":"12:52:33"},{"id":151,"name":"Denver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556</v>
      </c>
      <c r="B82" s="7">
        <v>4012</v>
      </c>
      <c r="C82" s="22" t="s">
        <v>99</v>
      </c>
      <c r="D82" s="22" t="s">
        <v>330</v>
      </c>
      <c r="E82" s="13">
        <v>42662.544687499998</v>
      </c>
      <c r="F82" s="13">
        <v>42662.549629629626</v>
      </c>
      <c r="G82" s="7">
        <v>2</v>
      </c>
      <c r="H82" s="13" t="s">
        <v>230</v>
      </c>
      <c r="I82" s="13">
        <v>42662.576921296299</v>
      </c>
      <c r="J82" s="7">
        <v>0</v>
      </c>
      <c r="K82" s="112" t="str">
        <f t="shared" ref="K82:K113" si="54">IF(ISEVEN(B82),(B82-1)&amp;"/"&amp;B82,B82&amp;"/"&amp;(B82+1))</f>
        <v>4011/4012</v>
      </c>
      <c r="L82" s="22" t="str">
        <f>VLOOKUP(A82,'Trips&amp;Operators'!$C$1:$E$10000,3,FALSE)</f>
        <v>BRUDER</v>
      </c>
      <c r="M82" s="6">
        <f t="shared" ref="M82:M113" si="55">I82-F82</f>
        <v>2.7291666672681458E-2</v>
      </c>
      <c r="N82" s="7">
        <f t="shared" si="48"/>
        <v>39.3000000086613</v>
      </c>
      <c r="O82" s="7"/>
      <c r="P82" s="7"/>
      <c r="Q82" s="23"/>
      <c r="R82" s="23"/>
      <c r="S82" s="35">
        <f t="shared" ref="S82:S113" si="56">SUM(U82:U82)/IF(AG82="EC",12,1)</f>
        <v>1</v>
      </c>
      <c r="T82" s="50" t="str">
        <f t="shared" ref="T82:T113" si="57">IF(ISEVEN(LEFT(AD82,4)),"Southbound","NorthBound")</f>
        <v>Southbound</v>
      </c>
      <c r="U82" s="18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ref="V82:V113" si="58"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https://search-rtdc-monitor-bjffxe2xuh6vdkpspy63sjmuny.us-east-1.es.amazonaws.com/_plugin/kibana/#/discover/Steve-Slow-Train-Analysis-(2080s-and-2083s)?_g=(refreshInterval:(display:Off,section:0,value:0),time:(from:'2016-10-19 12:04:21-0600',mode:absolute,to:'2016-10-19 14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2" s="52" t="str">
        <f t="shared" ref="W82:W113" si="59">IF(AA82&lt;IF(AG82="EC",23,5.65),"Y","N")</f>
        <v>N</v>
      </c>
      <c r="X82" s="174">
        <f t="shared" ref="X82:X113" si="60">VALUE(LEFT(AD82,4))-VALUE(LEFT(AD81,4))</f>
        <v>1</v>
      </c>
      <c r="Y82" s="67">
        <f t="shared" ref="Y82:Y113" si="61">RIGHT(D82,LEN(D82)-4)/10000</f>
        <v>23.2986</v>
      </c>
      <c r="Z82" s="67">
        <f t="shared" si="49"/>
        <v>1.43E-2</v>
      </c>
      <c r="AA82" s="67">
        <f t="shared" ref="AA82:AA113" si="62">ABS(Z82-Y82)</f>
        <v>23.284300000000002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ref="AD82:AD113" si="63">IF(LEN(A82)=6,"0"&amp;A82,A82)</f>
        <v>0170-19</v>
      </c>
      <c r="AE82" s="91" t="str">
        <f t="shared" si="5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82" s="88" t="str">
        <f t="shared" si="51"/>
        <v>"C:\Program Files (x86)\AstroGrep\AstroGrep.exe" /spath="%USERPROFILE%\AppData\Local\Temp\OnboardLogs" /stypes="app*4012*20161019*" /stext=" 19:.+((SYSTEM_STATE.+slice.+state.+changed )|(ment ac)|(system.+state.+changed )|(\[timeout)|(PRM\|1\|D)|(kpr)|(kdp)|(\|lc)|(penalty))" /e /r /s</v>
      </c>
      <c r="AG82" s="1" t="str">
        <f t="shared" ref="AG82:AG113" si="64">IFERROR(IF(VALUE(LEFT(AD82,2))&lt;=2,"EC",IF(OR(VALUE(LEFT(AD82,2))=8,VALUE(LEFT(AD82,2))=18),"NW","Other")),"Other")</f>
        <v>EC</v>
      </c>
      <c r="AH82" s="92" t="str">
        <f t="shared" si="52"/>
        <v>"%USERPROFILE%\Documents\GitHub\eaglep3\Utilities\RefineRTDCRunTimes.py" --tripid 170-19 --locoid 4012 --swversion DE.1.0.7.0 --startMP 204:232986 --initTime 2016-10-19T13:04:21 --startdatetime 2016-10-19T13:11:28 --delay 2 --endMP 204:143 --enddatetime 2016-10-19T13:50:46 --enforcementcount 0 &gt;&gt;C:\Users\stu\Documents\GitHub\eaglep3-reporting\EC\2016-10-19-refined-times.txt</v>
      </c>
      <c r="AI82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{"issue":{"subject":"","project_id":79,"tracker_id":40,"status_id":1,"priority_id":2,"assigned_to_id":23,"start_date":"2016-10-19","description":"","custom_fields":[{"id":1,"name":"Subdivision","value":"EC"},{"id":4,"name":"Milepost","value":"0.0143"},{"id":17,"name":"Train ID","value":"170-19"},{"id":16,"name":"Locomotive ID","value":"4012"},{"id":130,"name":"Impact","value":""},{"id":150,"name":"Time of Event (Mountain Time)","value":"13:50:46"},{"id":151,"name":"Denver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550</v>
      </c>
      <c r="B83" s="7">
        <v>4025</v>
      </c>
      <c r="C83" s="22" t="s">
        <v>99</v>
      </c>
      <c r="D83" s="22" t="s">
        <v>336</v>
      </c>
      <c r="E83" s="13">
        <v>42662.521307870367</v>
      </c>
      <c r="F83" s="13">
        <v>42662.523020833331</v>
      </c>
      <c r="G83" s="7">
        <v>2</v>
      </c>
      <c r="H83" s="13" t="s">
        <v>234</v>
      </c>
      <c r="I83" s="13">
        <v>42662.548217592594</v>
      </c>
      <c r="J83" s="7">
        <v>0</v>
      </c>
      <c r="K83" s="112" t="str">
        <f t="shared" si="54"/>
        <v>4025/4026</v>
      </c>
      <c r="L83" s="22" t="str">
        <f>VLOOKUP(A83,'Trips&amp;Operators'!$C$1:$E$10000,3,FALSE)</f>
        <v>STORY</v>
      </c>
      <c r="M83" s="6">
        <f t="shared" si="55"/>
        <v>2.5196759263053536E-2</v>
      </c>
      <c r="N83" s="7">
        <f t="shared" si="48"/>
        <v>36.283333338797092</v>
      </c>
      <c r="O83" s="7"/>
      <c r="P83" s="7"/>
      <c r="Q83" s="23"/>
      <c r="R83" s="23"/>
      <c r="S83" s="35">
        <f t="shared" si="56"/>
        <v>1</v>
      </c>
      <c r="T83" s="50" t="str">
        <f t="shared" si="57"/>
        <v>NorthBound</v>
      </c>
      <c r="U83" s="18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11:30:41-0600',mode:absolute,to:'2016-10-19 14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3" s="52" t="str">
        <f t="shared" si="59"/>
        <v>N</v>
      </c>
      <c r="X83" s="174">
        <f t="shared" si="60"/>
        <v>1</v>
      </c>
      <c r="Y83" s="67">
        <f t="shared" si="61"/>
        <v>4.3700000000000003E-2</v>
      </c>
      <c r="Z83" s="67">
        <f t="shared" si="49"/>
        <v>23.33</v>
      </c>
      <c r="AA83" s="67">
        <f t="shared" si="62"/>
        <v>23.286299999999997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63"/>
        <v>0171-19</v>
      </c>
      <c r="AE83" s="91" t="str">
        <f t="shared" si="5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83" s="88" t="str">
        <f t="shared" si="51"/>
        <v>"C:\Program Files (x86)\AstroGrep\AstroGrep.exe" /spath="%USERPROFILE%\AppData\Local\Temp\OnboardLogs" /stypes="app*4025*20161019*" /stext=" 19:.+((SYSTEM_STATE.+slice.+state.+changed )|(ment ac)|(system.+state.+changed )|(\[timeout)|(PRM\|1\|D)|(kpr)|(kdp)|(\|lc)|(penalty))" /e /r /s</v>
      </c>
      <c r="AG83" s="1" t="str">
        <f t="shared" si="64"/>
        <v>EC</v>
      </c>
      <c r="AH83" s="92" t="str">
        <f t="shared" si="52"/>
        <v>"%USERPROFILE%\Documents\GitHub\eaglep3\Utilities\RefineRTDCRunTimes.py" --tripid 171-19 --locoid 4025 --swversion DE.1.0.7.0 --startMP 204:437 --initTime 2016-10-19T12:30:41 --startdatetime 2016-10-19T12:33:09 --delay 2 --endMP 204:233300 --enddatetime 2016-10-19T13:09:26 --enforcementcount 0 &gt;&gt;C:\Users\stu\Documents\GitHub\eaglep3-reporting\EC\2016-10-19-refined-times.txt</v>
      </c>
      <c r="AI83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{"issue":{"subject":"","project_id":79,"tracker_id":40,"status_id":1,"priority_id":2,"assigned_to_id":23,"start_date":"2016-10-19","description":"","custom_fields":[{"id":1,"name":"Subdivision","value":"EC"},{"id":4,"name":"Milepost","value":"23.33"},{"id":17,"name":"Train ID","value":"171-19"},{"id":16,"name":"Locomotive ID","value":"4025"},{"id":130,"name":"Impact","value":""},{"id":150,"name":"Time of Event (Mountain Time)","value":"13:09:26"},{"id":151,"name":"Denver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558</v>
      </c>
      <c r="B84" s="7">
        <v>4026</v>
      </c>
      <c r="C84" s="22" t="s">
        <v>99</v>
      </c>
      <c r="D84" s="22" t="s">
        <v>324</v>
      </c>
      <c r="E84" s="13">
        <v>42662.550208333334</v>
      </c>
      <c r="F84" s="13">
        <v>42662.559930555559</v>
      </c>
      <c r="G84" s="7">
        <v>2</v>
      </c>
      <c r="H84" s="13" t="s">
        <v>228</v>
      </c>
      <c r="I84" s="13">
        <v>42662.58666666667</v>
      </c>
      <c r="J84" s="7">
        <v>0</v>
      </c>
      <c r="K84" s="112" t="str">
        <f t="shared" si="54"/>
        <v>4025/4026</v>
      </c>
      <c r="L84" s="22" t="str">
        <f>VLOOKUP(A84,'Trips&amp;Operators'!$C$1:$E$10000,3,FALSE)</f>
        <v>STORY</v>
      </c>
      <c r="M84" s="6">
        <f t="shared" si="55"/>
        <v>2.6736111110949423E-2</v>
      </c>
      <c r="N84" s="7">
        <f t="shared" ref="N84:N115" si="65">24*60*SUM($M84:$M84)</f>
        <v>38.499999999767169</v>
      </c>
      <c r="O84" s="7"/>
      <c r="P84" s="7"/>
      <c r="Q84" s="23"/>
      <c r="R84" s="23"/>
      <c r="S84" s="35">
        <f t="shared" si="56"/>
        <v>1</v>
      </c>
      <c r="T84" s="50" t="str">
        <f t="shared" si="57"/>
        <v>Southbound</v>
      </c>
      <c r="U84" s="18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12:12:18-0600',mode:absolute,to:'2016-10-19 15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4" s="52" t="str">
        <f t="shared" si="59"/>
        <v>N</v>
      </c>
      <c r="X84" s="174">
        <f t="shared" si="60"/>
        <v>1</v>
      </c>
      <c r="Y84" s="67">
        <f t="shared" si="61"/>
        <v>23.298300000000001</v>
      </c>
      <c r="Z84" s="67">
        <f t="shared" ref="Z84:Z115" si="66">RIGHT(H84,LEN(H84)-4)/10000</f>
        <v>1.49E-2</v>
      </c>
      <c r="AA84" s="67">
        <f t="shared" si="62"/>
        <v>23.2834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63"/>
        <v>0172-19</v>
      </c>
      <c r="AE84" s="91" t="str">
        <f t="shared" si="5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84" s="88" t="str">
        <f t="shared" si="51"/>
        <v>"C:\Program Files (x86)\AstroGrep\AstroGrep.exe" /spath="%USERPROFILE%\AppData\Local\Temp\OnboardLogs" /stypes="app*4026*20161019*" /stext=" 20:.+((SYSTEM_STATE.+slice.+state.+changed )|(ment ac)|(system.+state.+changed )|(\[timeout)|(PRM\|1\|D)|(kpr)|(kdp)|(\|lc)|(penalty))" /e /r /s</v>
      </c>
      <c r="AG84" s="1" t="str">
        <f t="shared" si="64"/>
        <v>EC</v>
      </c>
      <c r="AH84" s="92" t="str">
        <f t="shared" si="52"/>
        <v>"%USERPROFILE%\Documents\GitHub\eaglep3\Utilities\RefineRTDCRunTimes.py" --tripid 172-19 --locoid 4026 --swversion DE.1.0.7.0 --startMP 204:232983 --initTime 2016-10-19T13:12:18 --startdatetime 2016-10-19T13:26:18 --delay 2 --endMP 204:149 --enddatetime 2016-10-19T14:04:48 --enforcementcount 0 &gt;&gt;C:\Users\stu\Documents\GitHub\eaglep3-reporting\EC\2016-10-19-refined-times.txt</v>
      </c>
      <c r="AI84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ID","value":"172-19"},{"id":16,"name":"Locomotive ID","value":"4026"},{"id":130,"name":"Impact","value":""},{"id":150,"name":"Time of Event (Mountain Time)","value":"14:04:48"},{"id":151,"name":"Denver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553</v>
      </c>
      <c r="B85" s="7">
        <v>4042</v>
      </c>
      <c r="C85" s="22" t="s">
        <v>99</v>
      </c>
      <c r="D85" s="22" t="s">
        <v>241</v>
      </c>
      <c r="E85" s="13">
        <v>42662.529247685183</v>
      </c>
      <c r="F85" s="13">
        <v>42662.531585648147</v>
      </c>
      <c r="G85" s="7">
        <v>2</v>
      </c>
      <c r="H85" s="13" t="s">
        <v>684</v>
      </c>
      <c r="I85" s="13">
        <v>42662.557430555556</v>
      </c>
      <c r="J85" s="7">
        <v>0</v>
      </c>
      <c r="K85" s="112" t="str">
        <f t="shared" si="54"/>
        <v>4041/4042</v>
      </c>
      <c r="L85" s="22" t="str">
        <f>VLOOKUP(A85,'Trips&amp;Operators'!$C$1:$E$10000,3,FALSE)</f>
        <v>HILLS</v>
      </c>
      <c r="M85" s="6">
        <f t="shared" si="55"/>
        <v>2.584490740991896E-2</v>
      </c>
      <c r="N85" s="7">
        <f t="shared" si="65"/>
        <v>37.216666670283303</v>
      </c>
      <c r="O85" s="7"/>
      <c r="P85" s="7"/>
      <c r="Q85" s="23"/>
      <c r="R85" s="23"/>
      <c r="S85" s="35">
        <f t="shared" si="56"/>
        <v>1</v>
      </c>
      <c r="T85" s="50" t="str">
        <f t="shared" si="57"/>
        <v>NorthBound</v>
      </c>
      <c r="U85" s="18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11:42:07-0600',mode:absolute,to:'2016-10-19 14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5" s="52" t="str">
        <f t="shared" si="59"/>
        <v>N</v>
      </c>
      <c r="X85" s="174">
        <f t="shared" si="60"/>
        <v>1</v>
      </c>
      <c r="Y85" s="67">
        <f t="shared" si="61"/>
        <v>4.6600000000000003E-2</v>
      </c>
      <c r="Z85" s="67">
        <f t="shared" si="66"/>
        <v>23.328600000000002</v>
      </c>
      <c r="AA85" s="67">
        <f t="shared" si="62"/>
        <v>23.282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63"/>
        <v>0173-19</v>
      </c>
      <c r="AE85" s="91" t="str">
        <f t="shared" si="5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85" s="88" t="str">
        <f t="shared" si="51"/>
        <v>"C:\Program Files (x86)\AstroGrep\AstroGrep.exe" /spath="%USERPROFILE%\AppData\Local\Temp\OnboardLogs" /stypes="app*4042*20161019*" /stext=" 19:.+((SYSTEM_STATE.+slice.+state.+changed )|(ment ac)|(system.+state.+changed )|(\[timeout)|(PRM\|1\|D)|(kpr)|(kdp)|(\|lc)|(penalty))" /e /r /s</v>
      </c>
      <c r="AG85" s="1" t="str">
        <f t="shared" si="64"/>
        <v>EC</v>
      </c>
      <c r="AH85" s="92" t="str">
        <f t="shared" si="52"/>
        <v>"%USERPROFILE%\Documents\GitHub\eaglep3\Utilities\RefineRTDCRunTimes.py" --tripid 173-19 --locoid 4042 --swversion DE.1.0.7.0 --startMP 204:466 --initTime 2016-10-19T12:42:07 --startdatetime 2016-10-19T12:45:29 --delay 2 --endMP 204:233286 --enddatetime 2016-10-19T13:22:42 --enforcementcount 0 &gt;&gt;C:\Users\stu\Documents\GitHub\eaglep3-reporting\EC\2016-10-19-refined-times.txt</v>
      </c>
      <c r="AI85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{"issue":{"subject":"","project_id":79,"tracker_id":40,"status_id":1,"priority_id":2,"assigned_to_id":23,"start_date":"2016-10-19","description":"","custom_fields":[{"id":1,"name":"Subdivision","value":"EC"},{"id":4,"name":"Milepost","value":"23.3286"},{"id":17,"name":"Train ID","value":"173-19"},{"id":16,"name":"Locomotive ID","value":"4042"},{"id":130,"name":"Impact","value":""},{"id":150,"name":"Time of Event (Mountain Time)","value":"13:22:42"},{"id":151,"name":"Denver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563</v>
      </c>
      <c r="B86" s="7">
        <v>4041</v>
      </c>
      <c r="C86" s="22" t="s">
        <v>99</v>
      </c>
      <c r="D86" s="22" t="s">
        <v>276</v>
      </c>
      <c r="E86" s="13">
        <v>42662.565810185188</v>
      </c>
      <c r="F86" s="13">
        <v>42662.570706018516</v>
      </c>
      <c r="G86" s="7">
        <v>1</v>
      </c>
      <c r="H86" s="13" t="s">
        <v>333</v>
      </c>
      <c r="I86" s="13">
        <v>42662.598310185182</v>
      </c>
      <c r="J86" s="7">
        <v>0</v>
      </c>
      <c r="K86" s="112" t="str">
        <f t="shared" si="54"/>
        <v>4041/4042</v>
      </c>
      <c r="L86" s="22" t="str">
        <f>VLOOKUP(A86,'Trips&amp;Operators'!$C$1:$E$10000,3,FALSE)</f>
        <v>HILLS</v>
      </c>
      <c r="M86" s="6">
        <f t="shared" si="55"/>
        <v>2.7604166665696539E-2</v>
      </c>
      <c r="N86" s="7">
        <f t="shared" si="65"/>
        <v>39.749999998603016</v>
      </c>
      <c r="O86" s="7"/>
      <c r="P86" s="7"/>
      <c r="Q86" s="23"/>
      <c r="R86" s="23"/>
      <c r="S86" s="35">
        <f t="shared" si="56"/>
        <v>1</v>
      </c>
      <c r="T86" s="50" t="str">
        <f t="shared" si="57"/>
        <v>Southbound</v>
      </c>
      <c r="U86" s="18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12:34:46-0600',mode:absolute,to:'2016-10-19 15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6" s="52" t="str">
        <f t="shared" si="59"/>
        <v>N</v>
      </c>
      <c r="X86" s="174">
        <f t="shared" si="60"/>
        <v>1</v>
      </c>
      <c r="Y86" s="67">
        <f t="shared" si="61"/>
        <v>23.2971</v>
      </c>
      <c r="Z86" s="67">
        <f t="shared" si="66"/>
        <v>1.38E-2</v>
      </c>
      <c r="AA86" s="67">
        <f t="shared" si="62"/>
        <v>23.283300000000001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63"/>
        <v>0174-19</v>
      </c>
      <c r="AE86" s="91" t="str">
        <f t="shared" si="5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86" s="88" t="str">
        <f t="shared" si="51"/>
        <v>"C:\Program Files (x86)\AstroGrep\AstroGrep.exe" /spath="%USERPROFILE%\AppData\Local\Temp\OnboardLogs" /stypes="app*4041*20161019*" /stext=" 20:.+((SYSTEM_STATE.+slice.+state.+changed )|(ment ac)|(system.+state.+changed )|(\[timeout)|(PRM\|1\|D)|(kpr)|(kdp)|(\|lc)|(penalty))" /e /r /s</v>
      </c>
      <c r="AG86" s="1" t="str">
        <f t="shared" si="64"/>
        <v>EC</v>
      </c>
      <c r="AH86" s="92" t="str">
        <f t="shared" si="52"/>
        <v>"%USERPROFILE%\Documents\GitHub\eaglep3\Utilities\RefineRTDCRunTimes.py" --tripid 174-19 --locoid 4041 --swversion DE.1.0.7.0 --startMP 204:232971 --initTime 2016-10-19T13:34:46 --startdatetime 2016-10-19T13:41:49 --delay 1 --endMP 204:138 --enddatetime 2016-10-19T14:21:34 --enforcementcount 0 &gt;&gt;C:\Users\stu\Documents\GitHub\eaglep3-reporting\EC\2016-10-19-refined-times.txt</v>
      </c>
      <c r="AI86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{"issue":{"subject":"","project_id":79,"tracker_id":40,"status_id":1,"priority_id":2,"assigned_to_id":23,"start_date":"2016-10-19","description":"","custom_fields":[{"id":1,"name":"Subdivision","value":"EC"},{"id":4,"name":"Milepost","value":"0.0138"},{"id":17,"name":"Train ID","value":"174-19"},{"id":16,"name":"Locomotive ID","value":"4041"},{"id":130,"name":"Impact","value":""},{"id":150,"name":"Time of Event (Mountain Time)","value":"14:21:34"},{"id":151,"name":"Denver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554</v>
      </c>
      <c r="B87" s="7">
        <v>4014</v>
      </c>
      <c r="C87" s="22" t="s">
        <v>99</v>
      </c>
      <c r="D87" s="22" t="s">
        <v>421</v>
      </c>
      <c r="E87" s="13">
        <v>42662.539074074077</v>
      </c>
      <c r="F87" s="13">
        <v>42662.541956018518</v>
      </c>
      <c r="G87" s="7">
        <v>2</v>
      </c>
      <c r="H87" s="13" t="s">
        <v>685</v>
      </c>
      <c r="I87" s="13">
        <v>42662.56763888889</v>
      </c>
      <c r="J87" s="7">
        <v>0</v>
      </c>
      <c r="K87" s="112" t="str">
        <f t="shared" si="54"/>
        <v>4013/4014</v>
      </c>
      <c r="L87" s="22" t="str">
        <f>VLOOKUP(A87,'Trips&amp;Operators'!$C$1:$E$10000,3,FALSE)</f>
        <v>BARTLETT</v>
      </c>
      <c r="M87" s="6">
        <f t="shared" si="55"/>
        <v>2.5682870371383615E-2</v>
      </c>
      <c r="N87" s="7">
        <f t="shared" si="65"/>
        <v>36.983333334792405</v>
      </c>
      <c r="O87" s="7"/>
      <c r="P87" s="7"/>
      <c r="Q87" s="23"/>
      <c r="R87" s="23"/>
      <c r="S87" s="35">
        <f t="shared" si="56"/>
        <v>1</v>
      </c>
      <c r="T87" s="50" t="str">
        <f t="shared" si="57"/>
        <v>NorthBound</v>
      </c>
      <c r="U87" s="18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11:56:16-0600',mode:absolute,to:'2016-10-19 14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59"/>
        <v>N</v>
      </c>
      <c r="X87" s="174">
        <f t="shared" si="60"/>
        <v>1</v>
      </c>
      <c r="Y87" s="67">
        <f t="shared" si="61"/>
        <v>4.8000000000000001E-2</v>
      </c>
      <c r="Z87" s="67">
        <f t="shared" si="66"/>
        <v>23.334599999999998</v>
      </c>
      <c r="AA87" s="67">
        <f t="shared" si="62"/>
        <v>23.2866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63"/>
        <v>0175-19</v>
      </c>
      <c r="AE87" s="91" t="str">
        <f t="shared" si="5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87" s="88" t="str">
        <f t="shared" si="51"/>
        <v>"C:\Program Files (x86)\AstroGrep\AstroGrep.exe" /spath="%USERPROFILE%\AppData\Local\Temp\OnboardLogs" /stypes="app*4014*20161019*" /stext=" 19:.+((SYSTEM_STATE.+slice.+state.+changed )|(ment ac)|(system.+state.+changed )|(\[timeout)|(PRM\|1\|D)|(kpr)|(kdp)|(\|lc)|(penalty))" /e /r /s</v>
      </c>
      <c r="AG87" s="1" t="str">
        <f t="shared" si="64"/>
        <v>EC</v>
      </c>
      <c r="AH87" s="92" t="str">
        <f t="shared" si="52"/>
        <v>"%USERPROFILE%\Documents\GitHub\eaglep3\Utilities\RefineRTDCRunTimes.py" --tripid 175-19 --locoid 4014 --swversion DE.1.0.7.0 --startMP 204:480 --initTime 2016-10-19T12:56:16 --startdatetime 2016-10-19T13:00:25 --delay 2 --endMP 204:233346 --enddatetime 2016-10-19T13:37:24 --enforcementcount 0 &gt;&gt;C:\Users\stu\Documents\GitHub\eaglep3-reporting\EC\2016-10-19-refined-times.txt</v>
      </c>
      <c r="AI87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{"issue":{"subject":"","project_id":79,"tracker_id":40,"status_id":1,"priority_id":2,"assigned_to_id":23,"start_date":"2016-10-19","description":"","custom_fields":[{"id":1,"name":"Subdivision","value":"EC"},{"id":4,"name":"Milepost","value":"23.3346"},{"id":17,"name":"Train ID","value":"175-19"},{"id":16,"name":"Locomotive ID","value":"4014"},{"id":130,"name":"Impact","value":""},{"id":150,"name":"Time of Event (Mountain Time)","value":"13:37:24"},{"id":151,"name":"Denver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567</v>
      </c>
      <c r="B88" s="7">
        <v>4013</v>
      </c>
      <c r="C88" s="22" t="s">
        <v>99</v>
      </c>
      <c r="D88" s="22" t="s">
        <v>681</v>
      </c>
      <c r="E88" s="13">
        <v>42662.570370370369</v>
      </c>
      <c r="F88" s="13">
        <v>42662.580879629626</v>
      </c>
      <c r="G88" s="7">
        <v>2</v>
      </c>
      <c r="H88" s="13" t="s">
        <v>226</v>
      </c>
      <c r="I88" s="13">
        <v>42662.609016203707</v>
      </c>
      <c r="J88" s="7">
        <v>0</v>
      </c>
      <c r="K88" s="112" t="str">
        <f t="shared" si="54"/>
        <v>4013/4014</v>
      </c>
      <c r="L88" s="22" t="str">
        <f>VLOOKUP(A88,'Trips&amp;Operators'!$C$1:$E$10000,3,FALSE)</f>
        <v>BARTLETT</v>
      </c>
      <c r="M88" s="6">
        <f t="shared" si="55"/>
        <v>2.8136574081145227E-2</v>
      </c>
      <c r="N88" s="7">
        <f t="shared" si="65"/>
        <v>40.516666676849127</v>
      </c>
      <c r="O88" s="7"/>
      <c r="P88" s="7"/>
      <c r="Q88" s="23"/>
      <c r="R88" s="23"/>
      <c r="S88" s="35">
        <f t="shared" si="56"/>
        <v>1</v>
      </c>
      <c r="T88" s="50" t="str">
        <f t="shared" si="57"/>
        <v>Southbound</v>
      </c>
      <c r="U88" s="18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12:41:20-0600',mode:absolute,to:'2016-10-19 15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59"/>
        <v>N</v>
      </c>
      <c r="X88" s="174">
        <f t="shared" si="60"/>
        <v>1</v>
      </c>
      <c r="Y88" s="67">
        <f t="shared" si="61"/>
        <v>23.2989</v>
      </c>
      <c r="Z88" s="67">
        <f t="shared" si="66"/>
        <v>1.4500000000000001E-2</v>
      </c>
      <c r="AA88" s="67">
        <f t="shared" si="62"/>
        <v>23.284399999999998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63"/>
        <v>0176-19</v>
      </c>
      <c r="AE88" s="91" t="str">
        <f t="shared" si="5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88" s="88" t="str">
        <f t="shared" si="51"/>
        <v>"C:\Program Files (x86)\AstroGrep\AstroGrep.exe" /spath="%USERPROFILE%\AppData\Local\Temp\OnboardLogs" /stypes="app*4013*20161019*" /stext=" 20:.+((SYSTEM_STATE.+slice.+state.+changed )|(ment ac)|(system.+state.+changed )|(\[timeout)|(PRM\|1\|D)|(kpr)|(kdp)|(\|lc)|(penalty))" /e /r /s</v>
      </c>
      <c r="AG88" s="1" t="str">
        <f t="shared" si="64"/>
        <v>EC</v>
      </c>
      <c r="AH88" s="92" t="str">
        <f t="shared" si="52"/>
        <v>"%USERPROFILE%\Documents\GitHub\eaglep3\Utilities\RefineRTDCRunTimes.py" --tripid 176-19 --locoid 4013 --swversion DE.1.0.7.0 --startMP 204:232989 --initTime 2016-10-19T13:41:20 --startdatetime 2016-10-19T13:56:28 --delay 2 --endMP 204:145 --enddatetime 2016-10-19T14:36:59 --enforcementcount 0 &gt;&gt;C:\Users\stu\Documents\GitHub\eaglep3-reporting\EC\2016-10-19-refined-times.txt</v>
      </c>
      <c r="AI88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{"issue":{"subject":"","project_id":79,"tracker_id":40,"status_id":1,"priority_id":2,"assigned_to_id":23,"start_date":"2016-10-19","description":"","custom_fields":[{"id":1,"name":"Subdivision","value":"EC"},{"id":4,"name":"Milepost","value":"0.0145"},{"id":17,"name":"Train ID","value":"176-19"},{"id":16,"name":"Locomotive ID","value":"4013"},{"id":130,"name":"Impact","value":""},{"id":150,"name":"Time of Event (Mountain Time)","value":"14:36:59"},{"id":151,"name":"Denver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557</v>
      </c>
      <c r="B89" s="7">
        <v>4002</v>
      </c>
      <c r="C89" s="22" t="s">
        <v>99</v>
      </c>
      <c r="D89" s="22" t="s">
        <v>232</v>
      </c>
      <c r="E89" s="13">
        <v>42662.548217592594</v>
      </c>
      <c r="F89" s="13">
        <v>42662.552511574075</v>
      </c>
      <c r="G89" s="7">
        <v>1</v>
      </c>
      <c r="H89" s="13" t="s">
        <v>686</v>
      </c>
      <c r="I89" s="13">
        <v>42662.578159722223</v>
      </c>
      <c r="J89" s="7">
        <v>0</v>
      </c>
      <c r="K89" s="112" t="str">
        <f t="shared" si="54"/>
        <v>4001/4002</v>
      </c>
      <c r="L89" s="22" t="str">
        <f>VLOOKUP(A89,'Trips&amp;Operators'!$C$1:$E$10000,3,FALSE)</f>
        <v>HELVIE</v>
      </c>
      <c r="M89" s="6">
        <f t="shared" si="55"/>
        <v>2.5648148148320615E-2</v>
      </c>
      <c r="N89" s="7">
        <f t="shared" si="65"/>
        <v>36.933333333581686</v>
      </c>
      <c r="O89" s="7"/>
      <c r="P89" s="7"/>
      <c r="Q89" s="23"/>
      <c r="R89" s="23"/>
      <c r="S89" s="35">
        <f t="shared" si="56"/>
        <v>1</v>
      </c>
      <c r="T89" s="50" t="str">
        <f t="shared" si="57"/>
        <v>NorthBound</v>
      </c>
      <c r="U89" s="18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12:09:26-0600',mode:absolute,to:'2016-10-19 14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9" s="52" t="str">
        <f t="shared" si="59"/>
        <v>N</v>
      </c>
      <c r="X89" s="174">
        <f t="shared" si="60"/>
        <v>1</v>
      </c>
      <c r="Y89" s="67">
        <f t="shared" si="61"/>
        <v>4.4699999999999997E-2</v>
      </c>
      <c r="Z89" s="67">
        <f t="shared" si="66"/>
        <v>23.326599999999999</v>
      </c>
      <c r="AA89" s="67">
        <f t="shared" si="62"/>
        <v>23.2819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63"/>
        <v>0177-19</v>
      </c>
      <c r="AE89" s="91" t="str">
        <f t="shared" si="5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89" s="88" t="str">
        <f t="shared" si="51"/>
        <v>"C:\Program Files (x86)\AstroGrep\AstroGrep.exe" /spath="%USERPROFILE%\AppData\Local\Temp\OnboardLogs" /stypes="app*4002*20161019*" /stext=" 19:.+((SYSTEM_STATE.+slice.+state.+changed )|(ment ac)|(system.+state.+changed )|(\[timeout)|(PRM\|1\|D)|(kpr)|(kdp)|(\|lc)|(penalty))" /e /r /s</v>
      </c>
      <c r="AG89" s="1" t="str">
        <f t="shared" si="64"/>
        <v>EC</v>
      </c>
      <c r="AH89" s="92" t="str">
        <f t="shared" si="52"/>
        <v>"%USERPROFILE%\Documents\GitHub\eaglep3\Utilities\RefineRTDCRunTimes.py" --tripid 177-19 --locoid 4002 --swversion DE.1.0.7.0 --startMP 204:447 --initTime 2016-10-19T13:09:26 --startdatetime 2016-10-19T13:15:37 --delay 1 --endMP 204:233266 --enddatetime 2016-10-19T13:52:33 --enforcementcount 0 &gt;&gt;C:\Users\stu\Documents\GitHub\eaglep3-reporting\EC\2016-10-19-refined-times.txt</v>
      </c>
      <c r="AI89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{"issue":{"subject":"","project_id":79,"tracker_id":40,"status_id":1,"priority_id":2,"assigned_to_id":23,"start_date":"2016-10-19","description":"","custom_fields":[{"id":1,"name":"Subdivision","value":"EC"},{"id":4,"name":"Milepost","value":"23.3266"},{"id":17,"name":"Train ID","value":"177-19"},{"id":16,"name":"Locomotive ID","value":"4002"},{"id":130,"name":"Impact","value":""},{"id":150,"name":"Time of Event (Mountain Time)","value":"13:52:33"},{"id":151,"name":"Denver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569</v>
      </c>
      <c r="B90" s="7">
        <v>4001</v>
      </c>
      <c r="C90" s="22" t="s">
        <v>99</v>
      </c>
      <c r="D90" s="22" t="s">
        <v>687</v>
      </c>
      <c r="E90" s="13">
        <v>42662.586134259262</v>
      </c>
      <c r="F90" s="13">
        <v>42662.591874999998</v>
      </c>
      <c r="G90" s="7">
        <v>1</v>
      </c>
      <c r="H90" s="13" t="s">
        <v>289</v>
      </c>
      <c r="I90" s="13">
        <v>42662.619050925925</v>
      </c>
      <c r="J90" s="7">
        <v>0</v>
      </c>
      <c r="K90" s="112" t="str">
        <f t="shared" si="54"/>
        <v>4001/4002</v>
      </c>
      <c r="L90" s="22" t="str">
        <f>VLOOKUP(A90,'Trips&amp;Operators'!$C$1:$E$10000,3,FALSE)</f>
        <v>HELVIE</v>
      </c>
      <c r="M90" s="6">
        <f t="shared" si="55"/>
        <v>2.7175925926712807E-2</v>
      </c>
      <c r="N90" s="7">
        <f t="shared" si="65"/>
        <v>39.133333334466442</v>
      </c>
      <c r="O90" s="7"/>
      <c r="P90" s="7"/>
      <c r="Q90" s="23"/>
      <c r="R90" s="23"/>
      <c r="S90" s="35">
        <f t="shared" si="56"/>
        <v>1</v>
      </c>
      <c r="T90" s="50" t="str">
        <f t="shared" si="57"/>
        <v>Southbound</v>
      </c>
      <c r="U90" s="18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13:04:02-0600',mode:absolute,to:'2016-10-19 15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0" s="52" t="str">
        <f t="shared" si="59"/>
        <v>N</v>
      </c>
      <c r="X90" s="174">
        <f t="shared" si="60"/>
        <v>1</v>
      </c>
      <c r="Y90" s="67">
        <f t="shared" si="61"/>
        <v>23.294799999999999</v>
      </c>
      <c r="Z90" s="67">
        <f t="shared" si="66"/>
        <v>1.5599999999999999E-2</v>
      </c>
      <c r="AA90" s="67">
        <f t="shared" si="62"/>
        <v>23.279199999999999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63"/>
        <v>0178-19</v>
      </c>
      <c r="AE90" s="91" t="str">
        <f t="shared" si="5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90" s="88" t="str">
        <f t="shared" si="51"/>
        <v>"C:\Program Files (x86)\AstroGrep\AstroGrep.exe" /spath="%USERPROFILE%\AppData\Local\Temp\OnboardLogs" /stypes="app*4001*20161019*" /stext=" 20:.+((SYSTEM_STATE.+slice.+state.+changed )|(ment ac)|(system.+state.+changed )|(\[timeout)|(PRM\|1\|D)|(kpr)|(kdp)|(\|lc)|(penalty))" /e /r /s</v>
      </c>
      <c r="AG90" s="1" t="str">
        <f t="shared" si="64"/>
        <v>EC</v>
      </c>
      <c r="AH90" s="92" t="str">
        <f t="shared" si="52"/>
        <v>"%USERPROFILE%\Documents\GitHub\eaglep3\Utilities\RefineRTDCRunTimes.py" --tripid 178-19 --locoid 4001 --swversion DE.1.0.7.0 --startMP 204:232948 --initTime 2016-10-19T14:04:02 --startdatetime 2016-10-19T14:12:18 --delay 1 --endMP 204:156 --enddatetime 2016-10-19T14:51:26 --enforcementcount 0 &gt;&gt;C:\Users\stu\Documents\GitHub\eaglep3-reporting\EC\2016-10-19-refined-times.txt</v>
      </c>
      <c r="AI90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{"issue":{"subject":"","project_id":79,"tracker_id":40,"status_id":1,"priority_id":2,"assigned_to_id":23,"start_date":"2016-10-19","description":"","custom_fields":[{"id":1,"name":"Subdivision","value":"EC"},{"id":4,"name":"Milepost","value":"0.0156"},{"id":17,"name":"Train ID","value":"178-19"},{"id":16,"name":"Locomotive ID","value":"4001"},{"id":130,"name":"Impact","value":""},{"id":150,"name":"Time of Event (Mountain Time)","value":"14:51:26"},{"id":151,"name":"Denver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561</v>
      </c>
      <c r="B91" s="7">
        <v>4040</v>
      </c>
      <c r="C91" s="22" t="s">
        <v>99</v>
      </c>
      <c r="D91" s="22" t="s">
        <v>235</v>
      </c>
      <c r="E91" s="13">
        <v>42662.561157407406</v>
      </c>
      <c r="F91" s="13">
        <v>42662.563368055555</v>
      </c>
      <c r="G91" s="7">
        <v>1</v>
      </c>
      <c r="H91" s="13" t="s">
        <v>249</v>
      </c>
      <c r="I91" s="13">
        <v>42662.589930555558</v>
      </c>
      <c r="J91" s="7">
        <v>0</v>
      </c>
      <c r="K91" s="112" t="str">
        <f t="shared" si="54"/>
        <v>4039/4040</v>
      </c>
      <c r="L91" s="22" t="str">
        <f>VLOOKUP(A91,'Trips&amp;Operators'!$C$1:$E$10000,3,FALSE)</f>
        <v>ARVIDSON</v>
      </c>
      <c r="M91" s="6">
        <f t="shared" si="55"/>
        <v>2.6562500002910383E-2</v>
      </c>
      <c r="N91" s="7">
        <f t="shared" si="65"/>
        <v>38.250000004190952</v>
      </c>
      <c r="O91" s="7"/>
      <c r="P91" s="7"/>
      <c r="Q91" s="23"/>
      <c r="R91" s="23"/>
      <c r="S91" s="35">
        <f t="shared" si="56"/>
        <v>1</v>
      </c>
      <c r="T91" s="50" t="str">
        <f t="shared" si="57"/>
        <v>NorthBound</v>
      </c>
      <c r="U91" s="18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12:28:04-0600',mode:absolute,to:'2016-10-19 15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52" t="str">
        <f t="shared" si="59"/>
        <v>N</v>
      </c>
      <c r="X91" s="174">
        <f t="shared" si="60"/>
        <v>1</v>
      </c>
      <c r="Y91" s="67">
        <f t="shared" si="61"/>
        <v>4.6399999999999997E-2</v>
      </c>
      <c r="Z91" s="67">
        <f t="shared" si="66"/>
        <v>23.3306</v>
      </c>
      <c r="AA91" s="67">
        <f t="shared" si="62"/>
        <v>23.284200000000002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63"/>
        <v>0179-19</v>
      </c>
      <c r="AE91" s="91" t="str">
        <f t="shared" si="50"/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91" s="88" t="str">
        <f t="shared" si="51"/>
        <v>"C:\Program Files (x86)\AstroGrep\AstroGrep.exe" /spath="%USERPROFILE%\AppData\Local\Temp\OnboardLogs" /stypes="app*4040*20161019*" /stext=" 20:.+((SYSTEM_STATE.+slice.+state.+changed )|(ment ac)|(system.+state.+changed )|(\[timeout)|(PRM\|1\|D)|(kpr)|(kdp)|(\|lc)|(penalty))" /e /r /s</v>
      </c>
      <c r="AG91" s="1" t="str">
        <f t="shared" si="64"/>
        <v>EC</v>
      </c>
      <c r="AH91" s="92" t="str">
        <f t="shared" si="52"/>
        <v>"%USERPROFILE%\Documents\GitHub\eaglep3\Utilities\RefineRTDCRunTimes.py" --tripid 179-19 --locoid 4040 --swversion DE.1.0.7.0 --startMP 204:464 --initTime 2016-10-19T13:28:04 --startdatetime 2016-10-19T13:31:15 --delay 1 --endMP 204:233306 --enddatetime 2016-10-19T14:09:30 --enforcementcount 0 &gt;&gt;C:\Users\stu\Documents\GitHub\eaglep3-reporting\EC\2016-10-19-refined-times.txt</v>
      </c>
      <c r="AI91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{"issue":{"subject":"","project_id":79,"tracker_id":40,"status_id":1,"priority_id":2,"assigned_to_id":23,"start_date":"2016-10-19","description":"","custom_fields":[{"id":1,"name":"Subdivision","value":"EC"},{"id":4,"name":"Milepost","value":"23.3306"},{"id":17,"name":"Train ID","value":"179-19"},{"id":16,"name":"Locomotive ID","value":"4040"},{"id":130,"name":"Impact","value":""},{"id":150,"name":"Time of Event (Mountain Time)","value":"14:09:30"},{"id":151,"name":"Denver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453</v>
      </c>
      <c r="B92" s="7">
        <v>4039</v>
      </c>
      <c r="C92" s="22" t="s">
        <v>99</v>
      </c>
      <c r="D92" s="22" t="s">
        <v>223</v>
      </c>
      <c r="E92" s="13">
        <v>42662.595833333333</v>
      </c>
      <c r="F92" s="13">
        <v>42662.601597222223</v>
      </c>
      <c r="G92" s="7">
        <v>1</v>
      </c>
      <c r="H92" s="13" t="s">
        <v>289</v>
      </c>
      <c r="I92" s="13">
        <v>42662.630925925929</v>
      </c>
      <c r="J92" s="7">
        <v>0</v>
      </c>
      <c r="K92" s="112" t="str">
        <f t="shared" si="54"/>
        <v>4039/4040</v>
      </c>
      <c r="L92" s="22" t="str">
        <f>VLOOKUP(A92,'Trips&amp;Operators'!$C$1:$E$10000,3,FALSE)</f>
        <v>ARVIDSON</v>
      </c>
      <c r="M92" s="6">
        <f t="shared" si="55"/>
        <v>2.9328703705687076E-2</v>
      </c>
      <c r="N92" s="7">
        <f t="shared" si="65"/>
        <v>42.233333336189389</v>
      </c>
      <c r="O92" s="7"/>
      <c r="P92" s="7"/>
      <c r="Q92" s="23"/>
      <c r="R92" s="23"/>
      <c r="S92" s="35">
        <f t="shared" si="56"/>
        <v>1</v>
      </c>
      <c r="T92" s="50" t="str">
        <f t="shared" si="57"/>
        <v>Southbound</v>
      </c>
      <c r="U92" s="18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13:18:00-0600',mode:absolute,to:'2016-10-19 16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52" t="str">
        <f t="shared" si="59"/>
        <v>N</v>
      </c>
      <c r="X92" s="174">
        <f t="shared" si="60"/>
        <v>1</v>
      </c>
      <c r="Y92" s="67">
        <f t="shared" si="61"/>
        <v>23.298500000000001</v>
      </c>
      <c r="Z92" s="67">
        <f t="shared" si="66"/>
        <v>1.5599999999999999E-2</v>
      </c>
      <c r="AA92" s="67">
        <f t="shared" si="62"/>
        <v>23.282900000000001</v>
      </c>
      <c r="AB92" s="64" t="str">
        <f>VLOOKUP(A92,Enforcements!$C$7:$K$21,8,0)</f>
        <v>Bulletin (2)</v>
      </c>
      <c r="AC92" s="60" t="str">
        <f>VLOOKUP(A92,Enforcements!$C$7:$E$21,3,0)</f>
        <v>GRADE CROSSING</v>
      </c>
      <c r="AD92" s="61" t="str">
        <f t="shared" si="63"/>
        <v>0180-19</v>
      </c>
      <c r="AE92" s="91" t="str">
        <f t="shared" si="5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92" s="88" t="str">
        <f t="shared" si="51"/>
        <v>"C:\Program Files (x86)\AstroGrep\AstroGrep.exe" /spath="%USERPROFILE%\AppData\Local\Temp\OnboardLogs" /stypes="app*4039*20161019*" /stext=" 21:.+((SYSTEM_STATE.+slice.+state.+changed )|(ment ac)|(system.+state.+changed )|(\[timeout)|(PRM\|1\|D)|(kpr)|(kdp)|(\|lc)|(penalty))" /e /r /s</v>
      </c>
      <c r="AG92" s="1" t="str">
        <f t="shared" si="64"/>
        <v>EC</v>
      </c>
      <c r="AH92" s="92" t="str">
        <f t="shared" si="52"/>
        <v>"%USERPROFILE%\Documents\GitHub\eaglep3\Utilities\RefineRTDCRunTimes.py" --tripid 180-19 --locoid 4039 --swversion DE.1.0.7.0 --startMP 204:232985 --initTime 2016-10-19T14:18:00 --startdatetime 2016-10-19T14:26:18 --delay 1 --endMP 204:156 --enddatetime 2016-10-19T15:08:32 --enforcementcount 0 &gt;&gt;C:\Users\stu\Documents\GitHub\eaglep3-reporting\EC\2016-10-19-refined-times.txt</v>
      </c>
      <c r="AI92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{"issue":{"subject":"","project_id":79,"tracker_id":40,"status_id":1,"priority_id":2,"assigned_to_id":23,"start_date":"2016-10-19","description":"","custom_fields":[{"id":1,"name":"Subdivision","value":"EC"},{"id":4,"name":"Milepost","value":"0.0156"},{"id":17,"name":"Train ID","value":"180-19"},{"id":16,"name":"Locomotive ID","value":"4039"},{"id":130,"name":"Impact","value":""},{"id":150,"name":"Time of Event (Mountain Time)","value":"15:08:32"},{"id":151,"name":"Denver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565</v>
      </c>
      <c r="B93" s="7">
        <v>4046</v>
      </c>
      <c r="C93" s="22" t="s">
        <v>99</v>
      </c>
      <c r="D93" s="22" t="s">
        <v>325</v>
      </c>
      <c r="E93" s="13">
        <v>42662.569236111114</v>
      </c>
      <c r="F93" s="13">
        <v>42662.573541666665</v>
      </c>
      <c r="G93" s="7">
        <v>1</v>
      </c>
      <c r="H93" s="13" t="s">
        <v>417</v>
      </c>
      <c r="I93" s="13">
        <v>42662.598865740743</v>
      </c>
      <c r="J93" s="7">
        <v>0</v>
      </c>
      <c r="K93" s="112" t="str">
        <f t="shared" si="54"/>
        <v>4045/4046</v>
      </c>
      <c r="L93" s="22" t="str">
        <f>VLOOKUP(A93,'Trips&amp;Operators'!$C$1:$E$10000,3,FALSE)</f>
        <v>PUGH</v>
      </c>
      <c r="M93" s="6">
        <f t="shared" si="55"/>
        <v>2.5324074078525882E-2</v>
      </c>
      <c r="N93" s="7">
        <f t="shared" si="65"/>
        <v>36.46666667307727</v>
      </c>
      <c r="O93" s="7"/>
      <c r="P93" s="7"/>
      <c r="Q93" s="23"/>
      <c r="R93" s="23"/>
      <c r="S93" s="35">
        <f t="shared" si="56"/>
        <v>1</v>
      </c>
      <c r="T93" s="50" t="str">
        <f t="shared" si="57"/>
        <v>NorthBound</v>
      </c>
      <c r="U93" s="18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12:39:42-0600',mode:absolute,to:'2016-10-19 15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3" s="52" t="str">
        <f t="shared" si="59"/>
        <v>N</v>
      </c>
      <c r="X93" s="174">
        <f t="shared" si="60"/>
        <v>1</v>
      </c>
      <c r="Y93" s="67">
        <f t="shared" si="61"/>
        <v>4.4900000000000002E-2</v>
      </c>
      <c r="Z93" s="67">
        <f t="shared" si="66"/>
        <v>23.332599999999999</v>
      </c>
      <c r="AA93" s="67">
        <f t="shared" si="62"/>
        <v>23.287700000000001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63"/>
        <v>0181-19</v>
      </c>
      <c r="AE93" s="91" t="str">
        <f t="shared" si="5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93" s="88" t="str">
        <f t="shared" si="51"/>
        <v>"C:\Program Files (x86)\AstroGrep\AstroGrep.exe" /spath="%USERPROFILE%\AppData\Local\Temp\OnboardLogs" /stypes="app*4046*20161019*" /stext=" 20:.+((SYSTEM_STATE.+slice.+state.+changed )|(ment ac)|(system.+state.+changed )|(\[timeout)|(PRM\|1\|D)|(kpr)|(kdp)|(\|lc)|(penalty))" /e /r /s</v>
      </c>
      <c r="AG93" s="1" t="str">
        <f t="shared" si="64"/>
        <v>EC</v>
      </c>
      <c r="AH93" s="92" t="str">
        <f t="shared" si="52"/>
        <v>"%USERPROFILE%\Documents\GitHub\eaglep3\Utilities\RefineRTDCRunTimes.py" --tripid 181-19 --locoid 4046 --swversion DE.1.0.7.0 --startMP 204:449 --initTime 2016-10-19T13:39:42 --startdatetime 2016-10-19T13:45:54 --delay 1 --endMP 204:233326 --enddatetime 2016-10-19T14:22:22 --enforcementcount 0 &gt;&gt;C:\Users\stu\Documents\GitHub\eaglep3-reporting\EC\2016-10-19-refined-times.txt</v>
      </c>
      <c r="AI93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{"issue":{"subject":"","project_id":79,"tracker_id":40,"status_id":1,"priority_id":2,"assigned_to_id":23,"start_date":"2016-10-19","description":"","custom_fields":[{"id":1,"name":"Subdivision","value":"EC"},{"id":4,"name":"Milepost","value":"23.3326"},{"id":17,"name":"Train ID","value":"181-19"},{"id":16,"name":"Locomotive ID","value":"4046"},{"id":130,"name":"Impact","value":""},{"id":150,"name":"Time of Event (Mountain Time)","value":"14:22:22"},{"id":151,"name":"Denver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571</v>
      </c>
      <c r="B94" s="7">
        <v>4045</v>
      </c>
      <c r="C94" s="22" t="s">
        <v>99</v>
      </c>
      <c r="D94" s="22" t="s">
        <v>688</v>
      </c>
      <c r="E94" s="13">
        <v>42662.606030092589</v>
      </c>
      <c r="F94" s="13">
        <v>42662.612337962964</v>
      </c>
      <c r="G94" s="7">
        <v>1</v>
      </c>
      <c r="H94" s="13" t="s">
        <v>182</v>
      </c>
      <c r="I94" s="13">
        <v>42662.638715277775</v>
      </c>
      <c r="J94" s="7">
        <v>0</v>
      </c>
      <c r="K94" s="112" t="str">
        <f t="shared" si="54"/>
        <v>4045/4046</v>
      </c>
      <c r="L94" s="22" t="str">
        <f>VLOOKUP(A94,'Trips&amp;Operators'!$C$1:$E$10000,3,FALSE)</f>
        <v>PUGH</v>
      </c>
      <c r="M94" s="6">
        <f t="shared" si="55"/>
        <v>2.6377314810815733E-2</v>
      </c>
      <c r="N94" s="7">
        <f t="shared" si="65"/>
        <v>37.983333327574655</v>
      </c>
      <c r="O94" s="7"/>
      <c r="P94" s="7"/>
      <c r="Q94" s="23"/>
      <c r="R94" s="23"/>
      <c r="S94" s="35">
        <f t="shared" si="56"/>
        <v>1</v>
      </c>
      <c r="T94" s="50" t="str">
        <f t="shared" si="57"/>
        <v>Southbound</v>
      </c>
      <c r="U94" s="18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13:32:41-0600',mode:absolute,to:'2016-10-19 16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4" s="52" t="str">
        <f t="shared" si="59"/>
        <v>N</v>
      </c>
      <c r="X94" s="174">
        <f t="shared" si="60"/>
        <v>1</v>
      </c>
      <c r="Y94" s="67">
        <f t="shared" si="61"/>
        <v>23.2988</v>
      </c>
      <c r="Z94" s="67">
        <f t="shared" si="66"/>
        <v>1.41E-2</v>
      </c>
      <c r="AA94" s="67">
        <f t="shared" si="62"/>
        <v>23.284700000000001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63"/>
        <v>0182-19</v>
      </c>
      <c r="AE94" s="91" t="str">
        <f t="shared" si="5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94" s="88" t="str">
        <f t="shared" si="51"/>
        <v>"C:\Program Files (x86)\AstroGrep\AstroGrep.exe" /spath="%USERPROFILE%\AppData\Local\Temp\OnboardLogs" /stypes="app*4045*20161019*" /stext=" 21:.+((SYSTEM_STATE.+slice.+state.+changed )|(ment ac)|(system.+state.+changed )|(\[timeout)|(PRM\|1\|D)|(kpr)|(kdp)|(\|lc)|(penalty))" /e /r /s</v>
      </c>
      <c r="AG94" s="1" t="str">
        <f t="shared" si="64"/>
        <v>EC</v>
      </c>
      <c r="AH94" s="92" t="str">
        <f t="shared" si="52"/>
        <v>"%USERPROFILE%\Documents\GitHub\eaglep3\Utilities\RefineRTDCRunTimes.py" --tripid 182-19 --locoid 4045 --swversion DE.1.0.7.0 --startMP 204:232988 --initTime 2016-10-19T14:32:41 --startdatetime 2016-10-19T14:41:46 --delay 1 --endMP 204:141 --enddatetime 2016-10-19T15:19:45 --enforcementcount 0 &gt;&gt;C:\Users\stu\Documents\GitHub\eaglep3-reporting\EC\2016-10-19-refined-times.txt</v>
      </c>
      <c r="AI94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{"issue":{"subject":"","project_id":79,"tracker_id":40,"status_id":1,"priority_id":2,"assigned_to_id":23,"start_date":"2016-10-19","description":"","custom_fields":[{"id":1,"name":"Subdivision","value":"EC"},{"id":4,"name":"Milepost","value":"0.0141"},{"id":17,"name":"Train ID","value":"182-19"},{"id":16,"name":"Locomotive ID","value":"4045"},{"id":130,"name":"Impact","value":""},{"id":150,"name":"Time of Event (Mountain Time)","value":"15:19:45"},{"id":151,"name":"Denver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568</v>
      </c>
      <c r="B95" s="7">
        <v>4011</v>
      </c>
      <c r="C95" s="22" t="s">
        <v>99</v>
      </c>
      <c r="D95" s="22" t="s">
        <v>233</v>
      </c>
      <c r="E95" s="13">
        <v>42662.578541666669</v>
      </c>
      <c r="F95" s="13">
        <v>42662.583634259259</v>
      </c>
      <c r="G95" s="7">
        <v>1</v>
      </c>
      <c r="H95" s="13" t="s">
        <v>412</v>
      </c>
      <c r="I95" s="13">
        <v>42662.610162037039</v>
      </c>
      <c r="J95" s="7">
        <v>0</v>
      </c>
      <c r="K95" s="112" t="str">
        <f t="shared" si="54"/>
        <v>4011/4012</v>
      </c>
      <c r="L95" s="22" t="str">
        <f>VLOOKUP(A95,'Trips&amp;Operators'!$C$1:$E$10000,3,FALSE)</f>
        <v>BRUDER</v>
      </c>
      <c r="M95" s="6">
        <f t="shared" si="55"/>
        <v>2.6527777779847383E-2</v>
      </c>
      <c r="N95" s="7">
        <f t="shared" si="65"/>
        <v>38.200000002980232</v>
      </c>
      <c r="O95" s="7"/>
      <c r="P95" s="7"/>
      <c r="Q95" s="23"/>
      <c r="R95" s="23"/>
      <c r="S95" s="35">
        <f t="shared" si="56"/>
        <v>1</v>
      </c>
      <c r="T95" s="50" t="str">
        <f t="shared" si="57"/>
        <v>NorthBound</v>
      </c>
      <c r="U95" s="18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12:53:06-0600',mode:absolute,to:'2016-10-19 15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5" s="52" t="str">
        <f t="shared" si="59"/>
        <v>N</v>
      </c>
      <c r="X95" s="174">
        <f t="shared" si="60"/>
        <v>1</v>
      </c>
      <c r="Y95" s="67">
        <f t="shared" si="61"/>
        <v>4.53E-2</v>
      </c>
      <c r="Z95" s="67">
        <f t="shared" si="66"/>
        <v>23.331900000000001</v>
      </c>
      <c r="AA95" s="67">
        <f t="shared" si="62"/>
        <v>23.2866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63"/>
        <v>0183-19</v>
      </c>
      <c r="AE95" s="91" t="str">
        <f t="shared" si="5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95" s="88" t="str">
        <f t="shared" si="51"/>
        <v>"C:\Program Files (x86)\AstroGrep\AstroGrep.exe" /spath="%USERPROFILE%\AppData\Local\Temp\OnboardLogs" /stypes="app*4011*20161019*" /stext=" 20:.+((SYSTEM_STATE.+slice.+state.+changed )|(ment ac)|(system.+state.+changed )|(\[timeout)|(PRM\|1\|D)|(kpr)|(kdp)|(\|lc)|(penalty))" /e /r /s</v>
      </c>
      <c r="AG95" s="1" t="str">
        <f t="shared" si="64"/>
        <v>EC</v>
      </c>
      <c r="AH95" s="92" t="str">
        <f t="shared" si="52"/>
        <v>"%USERPROFILE%\Documents\GitHub\eaglep3\Utilities\RefineRTDCRunTimes.py" --tripid 183-19 --locoid 4011 --swversion DE.1.0.7.0 --startMP 204:453 --initTime 2016-10-19T13:53:06 --startdatetime 2016-10-19T14:00:26 --delay 1 --endMP 204:233319 --enddatetime 2016-10-19T14:38:38 --enforcementcount 0 &gt;&gt;C:\Users\stu\Documents\GitHub\eaglep3-reporting\EC\2016-10-19-refined-times.txt</v>
      </c>
      <c r="AI95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{"issue":{"subject":"","project_id":79,"tracker_id":40,"status_id":1,"priority_id":2,"assigned_to_id":23,"start_date":"2016-10-19","description":"","custom_fields":[{"id":1,"name":"Subdivision","value":"EC"},{"id":4,"name":"Milepost","value":"23.3319"},{"id":17,"name":"Train ID","value":"183-19"},{"id":16,"name":"Locomotive ID","value":"4011"},{"id":130,"name":"Impact","value":""},{"id":150,"name":"Time of Event (Mountain Time)","value":"14:38:38"},{"id":151,"name":"Denver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574</v>
      </c>
      <c r="B96" s="7">
        <v>4012</v>
      </c>
      <c r="C96" s="22" t="s">
        <v>99</v>
      </c>
      <c r="D96" s="22" t="s">
        <v>689</v>
      </c>
      <c r="E96" s="13">
        <v>42662.612430555557</v>
      </c>
      <c r="F96" s="13">
        <v>42662.622465277775</v>
      </c>
      <c r="G96" s="7">
        <v>1</v>
      </c>
      <c r="H96" s="13" t="s">
        <v>225</v>
      </c>
      <c r="I96" s="13">
        <v>42662.65185185185</v>
      </c>
      <c r="J96" s="7">
        <v>0</v>
      </c>
      <c r="K96" s="112" t="str">
        <f t="shared" si="54"/>
        <v>4011/4012</v>
      </c>
      <c r="L96" s="22" t="str">
        <f>VLOOKUP(A96,'Trips&amp;Operators'!$C$1:$E$10000,3,FALSE)</f>
        <v>BRUDER</v>
      </c>
      <c r="M96" s="6">
        <f t="shared" si="55"/>
        <v>2.9386574075033423E-2</v>
      </c>
      <c r="N96" s="7">
        <f t="shared" si="65"/>
        <v>42.316666668048128</v>
      </c>
      <c r="O96" s="7"/>
      <c r="P96" s="7"/>
      <c r="Q96" s="23"/>
      <c r="R96" s="23"/>
      <c r="S96" s="35">
        <f t="shared" si="56"/>
        <v>1</v>
      </c>
      <c r="T96" s="50" t="str">
        <f t="shared" si="57"/>
        <v>Southbound</v>
      </c>
      <c r="U96" s="18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13:41:54-0600',mode:absolute,to:'2016-10-19 16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6" s="52" t="str">
        <f t="shared" si="59"/>
        <v>N</v>
      </c>
      <c r="X96" s="174">
        <f t="shared" si="60"/>
        <v>1</v>
      </c>
      <c r="Y96" s="67">
        <f t="shared" si="61"/>
        <v>23.299299999999999</v>
      </c>
      <c r="Z96" s="67">
        <f t="shared" si="66"/>
        <v>1.54E-2</v>
      </c>
      <c r="AA96" s="67">
        <f t="shared" si="62"/>
        <v>23.283899999999999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63"/>
        <v>0184-19</v>
      </c>
      <c r="AE96" s="91" t="str">
        <f t="shared" si="5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96" s="88" t="str">
        <f t="shared" si="51"/>
        <v>"C:\Program Files (x86)\AstroGrep\AstroGrep.exe" /spath="%USERPROFILE%\AppData\Local\Temp\OnboardLogs" /stypes="app*4012*20161019*" /stext=" 21:.+((SYSTEM_STATE.+slice.+state.+changed )|(ment ac)|(system.+state.+changed )|(\[timeout)|(PRM\|1\|D)|(kpr)|(kdp)|(\|lc)|(penalty))" /e /r /s</v>
      </c>
      <c r="AG96" s="1" t="str">
        <f t="shared" si="64"/>
        <v>EC</v>
      </c>
      <c r="AH96" s="92" t="str">
        <f t="shared" si="52"/>
        <v>"%USERPROFILE%\Documents\GitHub\eaglep3\Utilities\RefineRTDCRunTimes.py" --tripid 184-19 --locoid 4012 --swversion DE.1.0.7.0 --startMP 204:232993 --initTime 2016-10-19T14:41:54 --startdatetime 2016-10-19T14:56:21 --delay 1 --endMP 204:154 --enddatetime 2016-10-19T15:38:40 --enforcementcount 0 &gt;&gt;C:\Users\stu\Documents\GitHub\eaglep3-reporting\EC\2016-10-19-refined-times.txt</v>
      </c>
      <c r="AI96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{"issue":{"subject":"","project_id":79,"tracker_id":40,"status_id":1,"priority_id":2,"assigned_to_id":23,"start_date":"2016-10-19","description":"","custom_fields":[{"id":1,"name":"Subdivision","value":"EC"},{"id":4,"name":"Milepost","value":"0.0154"},{"id":17,"name":"Train ID","value":"184-19"},{"id":16,"name":"Locomotive ID","value":"4012"},{"id":130,"name":"Impact","value":""},{"id":150,"name":"Time of Event (Mountain Time)","value":"15:38:40"},{"id":151,"name":"Denver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570</v>
      </c>
      <c r="B97" s="7">
        <v>4025</v>
      </c>
      <c r="C97" s="22" t="s">
        <v>99</v>
      </c>
      <c r="D97" s="22" t="s">
        <v>243</v>
      </c>
      <c r="E97" s="13">
        <v>42662.588842592595</v>
      </c>
      <c r="F97" s="13">
        <v>42662.594027777777</v>
      </c>
      <c r="G97" s="7">
        <v>1</v>
      </c>
      <c r="H97" s="13" t="s">
        <v>250</v>
      </c>
      <c r="I97" s="13">
        <v>42662.619606481479</v>
      </c>
      <c r="J97" s="7">
        <v>0</v>
      </c>
      <c r="K97" s="112" t="str">
        <f t="shared" si="54"/>
        <v>4025/4026</v>
      </c>
      <c r="L97" s="22" t="str">
        <f>VLOOKUP(A97,'Trips&amp;Operators'!$C$1:$E$10000,3,FALSE)</f>
        <v>STORY</v>
      </c>
      <c r="M97" s="6">
        <f t="shared" si="55"/>
        <v>2.5578703702194616E-2</v>
      </c>
      <c r="N97" s="7">
        <f t="shared" si="65"/>
        <v>36.833333331160247</v>
      </c>
      <c r="O97" s="7"/>
      <c r="P97" s="7"/>
      <c r="Q97" s="23"/>
      <c r="R97" s="23"/>
      <c r="S97" s="35">
        <f t="shared" si="56"/>
        <v>1</v>
      </c>
      <c r="T97" s="50" t="str">
        <f t="shared" si="57"/>
        <v>NorthBound</v>
      </c>
      <c r="U97" s="18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13:07:56-0600',mode:absolute,to:'2016-10-19 15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7" s="52" t="str">
        <f t="shared" si="59"/>
        <v>N</v>
      </c>
      <c r="X97" s="174">
        <f t="shared" si="60"/>
        <v>1</v>
      </c>
      <c r="Y97" s="67">
        <f t="shared" si="61"/>
        <v>4.4600000000000001E-2</v>
      </c>
      <c r="Z97" s="67">
        <f t="shared" si="66"/>
        <v>23.328900000000001</v>
      </c>
      <c r="AA97" s="67">
        <f t="shared" si="62"/>
        <v>23.284300000000002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63"/>
        <v>0185-19</v>
      </c>
      <c r="AE97" s="91" t="str">
        <f t="shared" si="5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97" s="88" t="str">
        <f t="shared" si="51"/>
        <v>"C:\Program Files (x86)\AstroGrep\AstroGrep.exe" /spath="%USERPROFILE%\AppData\Local\Temp\OnboardLogs" /stypes="app*4025*20161019*" /stext=" 20:.+((SYSTEM_STATE.+slice.+state.+changed )|(ment ac)|(system.+state.+changed )|(\[timeout)|(PRM\|1\|D)|(kpr)|(kdp)|(\|lc)|(penalty))" /e /r /s</v>
      </c>
      <c r="AG97" s="1" t="str">
        <f t="shared" si="64"/>
        <v>EC</v>
      </c>
      <c r="AH97" s="92" t="str">
        <f t="shared" si="52"/>
        <v>"%USERPROFILE%\Documents\GitHub\eaglep3\Utilities\RefineRTDCRunTimes.py" --tripid 185-19 --locoid 4025 --swversion DE.1.0.7.0 --startMP 204:446 --initTime 2016-10-19T14:07:56 --startdatetime 2016-10-19T14:15:24 --delay 1 --endMP 204:233289 --enddatetime 2016-10-19T14:52:14 --enforcementcount 0 &gt;&gt;C:\Users\stu\Documents\GitHub\eaglep3-reporting\EC\2016-10-19-refined-times.txt</v>
      </c>
      <c r="AI97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{"issue":{"subject":"","project_id":79,"tracker_id":40,"status_id":1,"priority_id":2,"assigned_to_id":23,"start_date":"2016-10-19","description":"","custom_fields":[{"id":1,"name":"Subdivision","value":"EC"},{"id":4,"name":"Milepost","value":"23.3289"},{"id":17,"name":"Train ID","value":"185-19"},{"id":16,"name":"Locomotive ID","value":"4025"},{"id":130,"name":"Impact","value":""},{"id":150,"name":"Time of Event (Mountain Time)","value":"14:52:14"},{"id":151,"name":"Denver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455</v>
      </c>
      <c r="B98" s="7">
        <v>4026</v>
      </c>
      <c r="C98" s="22" t="s">
        <v>99</v>
      </c>
      <c r="D98" s="22" t="s">
        <v>337</v>
      </c>
      <c r="E98" s="13">
        <v>42662.623240740744</v>
      </c>
      <c r="F98" s="13">
        <v>42662.633402777778</v>
      </c>
      <c r="G98" s="7">
        <v>2</v>
      </c>
      <c r="H98" s="13" t="s">
        <v>246</v>
      </c>
      <c r="I98" s="13">
        <v>42662.661481481482</v>
      </c>
      <c r="J98" s="7">
        <v>0</v>
      </c>
      <c r="K98" s="112" t="str">
        <f t="shared" si="54"/>
        <v>4025/4026</v>
      </c>
      <c r="L98" s="22" t="str">
        <f>VLOOKUP(A98,'Trips&amp;Operators'!$C$1:$E$10000,3,FALSE)</f>
        <v>STORY</v>
      </c>
      <c r="M98" s="6">
        <f t="shared" si="55"/>
        <v>2.8078703704522923E-2</v>
      </c>
      <c r="N98" s="7">
        <f t="shared" si="65"/>
        <v>40.433333334513009</v>
      </c>
      <c r="O98" s="7"/>
      <c r="P98" s="7"/>
      <c r="Q98" s="23"/>
      <c r="R98" s="23"/>
      <c r="S98" s="35">
        <f t="shared" si="56"/>
        <v>1</v>
      </c>
      <c r="T98" s="50" t="str">
        <f t="shared" si="57"/>
        <v>Southbound</v>
      </c>
      <c r="U98" s="18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13:57:28-0600',mode:absolute,to:'2016-10-19 16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8" s="52" t="str">
        <f t="shared" si="59"/>
        <v>N</v>
      </c>
      <c r="X98" s="174">
        <f t="shared" si="60"/>
        <v>1</v>
      </c>
      <c r="Y98" s="67">
        <f t="shared" si="61"/>
        <v>23.296700000000001</v>
      </c>
      <c r="Z98" s="67">
        <f t="shared" si="66"/>
        <v>1.6E-2</v>
      </c>
      <c r="AA98" s="67">
        <f t="shared" si="62"/>
        <v>23.280700000000003</v>
      </c>
      <c r="AB98" s="64" t="str">
        <f>VLOOKUP(A98,Enforcements!$C$7:$K$21,8,0)</f>
        <v>Signal based authority (5)</v>
      </c>
      <c r="AC98" s="60" t="str">
        <f>VLOOKUP(A98,Enforcements!$C$7:$E$21,3,0)</f>
        <v>SIGNAL</v>
      </c>
      <c r="AD98" s="61" t="str">
        <f t="shared" si="63"/>
        <v>0186-19</v>
      </c>
      <c r="AE98" s="91" t="str">
        <f t="shared" si="5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98" s="88" t="str">
        <f t="shared" si="51"/>
        <v>"C:\Program Files (x86)\AstroGrep\AstroGrep.exe" /spath="%USERPROFILE%\AppData\Local\Temp\OnboardLogs" /stypes="app*4026*20161019*" /stext=" 21:.+((SYSTEM_STATE.+slice.+state.+changed )|(ment ac)|(system.+state.+changed )|(\[timeout)|(PRM\|1\|D)|(kpr)|(kdp)|(\|lc)|(penalty))" /e /r /s</v>
      </c>
      <c r="AG98" s="1" t="str">
        <f t="shared" si="64"/>
        <v>EC</v>
      </c>
      <c r="AH98" s="92" t="str">
        <f t="shared" si="52"/>
        <v>"%USERPROFILE%\Documents\GitHub\eaglep3\Utilities\RefineRTDCRunTimes.py" --tripid 186-19 --locoid 4026 --swversion DE.1.0.7.0 --startMP 204:232967 --initTime 2016-10-19T14:57:28 --startdatetime 2016-10-19T15:12:06 --delay 2 --endMP 204:160 --enddatetime 2016-10-19T15:52:32 --enforcementcount 0 &gt;&gt;C:\Users\stu\Documents\GitHub\eaglep3-reporting\EC\2016-10-19-refined-times.txt</v>
      </c>
      <c r="AI98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{"issue":{"subject":"","project_id":79,"tracker_id":40,"status_id":1,"priority_id":2,"assigned_to_id":23,"start_date":"2016-10-19","description":"","custom_fields":[{"id":1,"name":"Subdivision","value":"EC"},{"id":4,"name":"Milepost","value":"0.016"},{"id":17,"name":"Train ID","value":"186-19"},{"id":16,"name":"Locomotive ID","value":"4026"},{"id":130,"name":"Impact","value":""},{"id":150,"name":"Time of Event (Mountain Time)","value":"15:52:32"},{"id":151,"name":"Denver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454</v>
      </c>
      <c r="B99" s="7">
        <v>4042</v>
      </c>
      <c r="C99" s="22" t="s">
        <v>99</v>
      </c>
      <c r="D99" s="22" t="s">
        <v>690</v>
      </c>
      <c r="E99" s="13">
        <v>42662.600254629629</v>
      </c>
      <c r="F99" s="13">
        <v>42662.605462962965</v>
      </c>
      <c r="G99" s="7">
        <v>1</v>
      </c>
      <c r="H99" s="13" t="s">
        <v>691</v>
      </c>
      <c r="I99" s="13">
        <v>42662.632476851853</v>
      </c>
      <c r="J99" s="7">
        <v>0</v>
      </c>
      <c r="K99" s="112" t="str">
        <f t="shared" si="54"/>
        <v>4041/4042</v>
      </c>
      <c r="L99" s="22" t="str">
        <f>VLOOKUP(A99,'Trips&amp;Operators'!$C$1:$E$10000,3,FALSE)</f>
        <v>HILLS</v>
      </c>
      <c r="M99" s="6">
        <f t="shared" si="55"/>
        <v>2.7013888888177462E-2</v>
      </c>
      <c r="N99" s="7">
        <f t="shared" si="65"/>
        <v>38.899999998975545</v>
      </c>
      <c r="O99" s="7"/>
      <c r="P99" s="7"/>
      <c r="Q99" s="23"/>
      <c r="R99" s="23"/>
      <c r="S99" s="35">
        <f t="shared" si="56"/>
        <v>1</v>
      </c>
      <c r="T99" s="50" t="str">
        <f t="shared" si="57"/>
        <v>NorthBound</v>
      </c>
      <c r="U99" s="18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13:24:22-0600',mode:absolute,to:'2016-10-19 16:10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52" t="str">
        <f t="shared" si="59"/>
        <v>N</v>
      </c>
      <c r="X99" s="174">
        <f t="shared" si="60"/>
        <v>1</v>
      </c>
      <c r="Y99" s="67">
        <f t="shared" si="61"/>
        <v>4.3999999999999997E-2</v>
      </c>
      <c r="Z99" s="67">
        <f t="shared" si="66"/>
        <v>23.331</v>
      </c>
      <c r="AA99" s="67">
        <f t="shared" si="62"/>
        <v>23.286999999999999</v>
      </c>
      <c r="AB99" s="64" t="str">
        <f>VLOOKUP(A99,Enforcements!$C$7:$K$21,8,0)</f>
        <v>Signal based authority (5)</v>
      </c>
      <c r="AC99" s="60" t="str">
        <f>VLOOKUP(A99,Enforcements!$C$7:$E$21,3,0)</f>
        <v>SIGNAL</v>
      </c>
      <c r="AD99" s="61" t="str">
        <f t="shared" si="63"/>
        <v>0187-19</v>
      </c>
      <c r="AE99" s="91" t="str">
        <f t="shared" si="5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99" s="88" t="str">
        <f t="shared" si="51"/>
        <v>"C:\Program Files (x86)\AstroGrep\AstroGrep.exe" /spath="%USERPROFILE%\AppData\Local\Temp\OnboardLogs" /stypes="app*4042*20161019*" /stext=" 21:.+((SYSTEM_STATE.+slice.+state.+changed )|(ment ac)|(system.+state.+changed )|(\[timeout)|(PRM\|1\|D)|(kpr)|(kdp)|(\|lc)|(penalty))" /e /r /s</v>
      </c>
      <c r="AG99" s="1" t="str">
        <f t="shared" si="64"/>
        <v>EC</v>
      </c>
      <c r="AH99" s="92" t="str">
        <f t="shared" si="52"/>
        <v>"%USERPROFILE%\Documents\GitHub\eaglep3\Utilities\RefineRTDCRunTimes.py" --tripid 187-19 --locoid 4042 --swversion DE.1.0.7.0 --startMP 204:440 --initTime 2016-10-19T14:24:22 --startdatetime 2016-10-19T14:31:52 --delay 1 --endMP 204:233310 --enddatetime 2016-10-19T15:10:46 --enforcementcount 0 &gt;&gt;C:\Users\stu\Documents\GitHub\eaglep3-reporting\EC\2016-10-19-refined-times.txt</v>
      </c>
      <c r="AI99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{"issue":{"subject":"","project_id":79,"tracker_id":40,"status_id":1,"priority_id":2,"assigned_to_id":23,"start_date":"2016-10-19","description":"","custom_fields":[{"id":1,"name":"Subdivision","value":"EC"},{"id":4,"name":"Milepost","value":"23.331"},{"id":17,"name":"Train ID","value":"187-19"},{"id":16,"name":"Locomotive ID","value":"4042"},{"id":130,"name":"Impact","value":""},{"id":150,"name":"Time of Event (Mountain Time)","value":"15:10:46"},{"id":151,"name":"Denver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577</v>
      </c>
      <c r="B100" s="7">
        <v>4041</v>
      </c>
      <c r="C100" s="22" t="s">
        <v>99</v>
      </c>
      <c r="D100" s="22" t="s">
        <v>692</v>
      </c>
      <c r="E100" s="13">
        <v>42662.634097222224</v>
      </c>
      <c r="F100" s="13">
        <v>42662.643333333333</v>
      </c>
      <c r="G100" s="7">
        <v>1</v>
      </c>
      <c r="H100" s="13" t="s">
        <v>230</v>
      </c>
      <c r="I100" s="13">
        <v>42662.6721875</v>
      </c>
      <c r="J100" s="7">
        <v>0</v>
      </c>
      <c r="K100" s="112" t="str">
        <f t="shared" si="54"/>
        <v>4041/4042</v>
      </c>
      <c r="L100" s="22" t="str">
        <f>VLOOKUP(A100,'Trips&amp;Operators'!$C$1:$E$10000,3,FALSE)</f>
        <v>HILLS</v>
      </c>
      <c r="M100" s="6">
        <f t="shared" si="55"/>
        <v>2.8854166666860692E-2</v>
      </c>
      <c r="N100" s="7">
        <f t="shared" si="65"/>
        <v>41.550000000279397</v>
      </c>
      <c r="O100" s="7"/>
      <c r="P100" s="7"/>
      <c r="Q100" s="23"/>
      <c r="R100" s="23"/>
      <c r="S100" s="35">
        <f t="shared" si="56"/>
        <v>1</v>
      </c>
      <c r="T100" s="50" t="str">
        <f t="shared" si="57"/>
        <v>Southbound</v>
      </c>
      <c r="U100" s="18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14:13:06-0600',mode:absolute,to:'2016-10-19 17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52" t="str">
        <f t="shared" si="59"/>
        <v>N</v>
      </c>
      <c r="X100" s="174">
        <f t="shared" si="60"/>
        <v>1</v>
      </c>
      <c r="Y100" s="67">
        <f t="shared" si="61"/>
        <v>23.296399999999998</v>
      </c>
      <c r="Z100" s="67">
        <f t="shared" si="66"/>
        <v>1.43E-2</v>
      </c>
      <c r="AA100" s="67">
        <f t="shared" si="62"/>
        <v>23.2821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63"/>
        <v>0188-19</v>
      </c>
      <c r="AE100" s="91" t="str">
        <f t="shared" si="5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100" s="88" t="str">
        <f t="shared" si="51"/>
        <v>"C:\Program Files (x86)\AstroGrep\AstroGrep.exe" /spath="%USERPROFILE%\AppData\Local\Temp\OnboardLogs" /stypes="app*4041*20161019*" /stext=" 22:.+((SYSTEM_STATE.+slice.+state.+changed )|(ment ac)|(system.+state.+changed )|(\[timeout)|(PRM\|1\|D)|(kpr)|(kdp)|(\|lc)|(penalty))" /e /r /s</v>
      </c>
      <c r="AG100" s="1" t="str">
        <f t="shared" si="64"/>
        <v>EC</v>
      </c>
      <c r="AH100" s="92" t="str">
        <f t="shared" si="52"/>
        <v>"%USERPROFILE%\Documents\GitHub\eaglep3\Utilities\RefineRTDCRunTimes.py" --tripid 188-19 --locoid 4041 --swversion DE.1.0.7.0 --startMP 204:232964 --initTime 2016-10-19T15:13:06 --startdatetime 2016-10-19T15:26:24 --delay 1 --endMP 204:143 --enddatetime 2016-10-19T16:07:57 --enforcementcount 0 &gt;&gt;C:\Users\stu\Documents\GitHub\eaglep3-reporting\EC\2016-10-19-refined-times.txt</v>
      </c>
      <c r="AI100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{"issue":{"subject":"","project_id":79,"tracker_id":40,"status_id":1,"priority_id":2,"assigned_to_id":23,"start_date":"2016-10-19","description":"","custom_fields":[{"id":1,"name":"Subdivision","value":"EC"},{"id":4,"name":"Milepost","value":"0.0143"},{"id":17,"name":"Train ID","value":"188-19"},{"id":16,"name":"Locomotive ID","value":"4041"},{"id":130,"name":"Impact","value":""},{"id":150,"name":"Time of Event (Mountain Time)","value":"16:07:57"},{"id":151,"name":"Denver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573</v>
      </c>
      <c r="B101" s="7">
        <v>4014</v>
      </c>
      <c r="C101" s="22" t="s">
        <v>99</v>
      </c>
      <c r="D101" s="22" t="s">
        <v>278</v>
      </c>
      <c r="E101" s="13">
        <v>42662.611284722225</v>
      </c>
      <c r="F101" s="13">
        <v>42662.614918981482</v>
      </c>
      <c r="G101" s="7">
        <v>1</v>
      </c>
      <c r="H101" s="13" t="s">
        <v>328</v>
      </c>
      <c r="I101" s="13">
        <v>42662.640497685185</v>
      </c>
      <c r="J101" s="7">
        <v>0</v>
      </c>
      <c r="K101" s="112" t="str">
        <f t="shared" si="54"/>
        <v>4013/4014</v>
      </c>
      <c r="L101" s="22" t="str">
        <f>VLOOKUP(A101,'Trips&amp;Operators'!$C$1:$E$10000,3,FALSE)</f>
        <v>BARTLETT</v>
      </c>
      <c r="M101" s="6">
        <f t="shared" si="55"/>
        <v>2.5578703702194616E-2</v>
      </c>
      <c r="N101" s="7">
        <f t="shared" si="65"/>
        <v>36.833333331160247</v>
      </c>
      <c r="O101" s="7"/>
      <c r="P101" s="7"/>
      <c r="Q101" s="23"/>
      <c r="R101" s="23"/>
      <c r="S101" s="35">
        <f t="shared" si="56"/>
        <v>1</v>
      </c>
      <c r="T101" s="50" t="str">
        <f t="shared" si="57"/>
        <v>NorthBound</v>
      </c>
      <c r="U101" s="18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13:40:15-0600',mode:absolute,to:'2016-10-19 16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59"/>
        <v>N</v>
      </c>
      <c r="X101" s="174">
        <f t="shared" si="60"/>
        <v>1</v>
      </c>
      <c r="Y101" s="67">
        <f t="shared" si="61"/>
        <v>4.7100000000000003E-2</v>
      </c>
      <c r="Z101" s="67">
        <f t="shared" si="66"/>
        <v>23.331099999999999</v>
      </c>
      <c r="AA101" s="67">
        <f t="shared" si="62"/>
        <v>23.283999999999999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63"/>
        <v>0189-19</v>
      </c>
      <c r="AE101" s="91" t="str">
        <f t="shared" si="5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101" s="88" t="str">
        <f t="shared" si="51"/>
        <v>"C:\Program Files (x86)\AstroGrep\AstroGrep.exe" /spath="%USERPROFILE%\AppData\Local\Temp\OnboardLogs" /stypes="app*4014*20161019*" /stext=" 21:.+((SYSTEM_STATE.+slice.+state.+changed )|(ment ac)|(system.+state.+changed )|(\[timeout)|(PRM\|1\|D)|(kpr)|(kdp)|(\|lc)|(penalty))" /e /r /s</v>
      </c>
      <c r="AG101" s="1" t="str">
        <f t="shared" si="64"/>
        <v>EC</v>
      </c>
      <c r="AH101" s="92" t="str">
        <f t="shared" si="52"/>
        <v>"%USERPROFILE%\Documents\GitHub\eaglep3\Utilities\RefineRTDCRunTimes.py" --tripid 189-19 --locoid 4014 --swversion DE.1.0.7.0 --startMP 204:471 --initTime 2016-10-19T14:40:15 --startdatetime 2016-10-19T14:45:29 --delay 1 --endMP 204:233311 --enddatetime 2016-10-19T15:22:19 --enforcementcount 0 &gt;&gt;C:\Users\stu\Documents\GitHub\eaglep3-reporting\EC\2016-10-19-refined-times.txt</v>
      </c>
      <c r="AI101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{"issue":{"subject":"","project_id":79,"tracker_id":40,"status_id":1,"priority_id":2,"assigned_to_id":23,"start_date":"2016-10-19","description":"","custom_fields":[{"id":1,"name":"Subdivision","value":"EC"},{"id":4,"name":"Milepost","value":"23.3311"},{"id":17,"name":"Train ID","value":"189-19"},{"id":16,"name":"Locomotive ID","value":"4014"},{"id":130,"name":"Impact","value":""},{"id":150,"name":"Time of Event (Mountain Time)","value":"15:22:19"},{"id":151,"name":"Denver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581</v>
      </c>
      <c r="B102" s="7">
        <v>4013</v>
      </c>
      <c r="C102" s="22" t="s">
        <v>99</v>
      </c>
      <c r="D102" s="22" t="s">
        <v>664</v>
      </c>
      <c r="E102" s="13">
        <v>42662.642048611109</v>
      </c>
      <c r="F102" s="13">
        <v>42662.653726851851</v>
      </c>
      <c r="G102" s="7">
        <v>1</v>
      </c>
      <c r="H102" s="13" t="s">
        <v>224</v>
      </c>
      <c r="I102" s="13">
        <v>42662.68105324074</v>
      </c>
      <c r="J102" s="7">
        <v>0</v>
      </c>
      <c r="K102" s="112" t="str">
        <f t="shared" si="54"/>
        <v>4013/4014</v>
      </c>
      <c r="L102" s="22" t="str">
        <f>VLOOKUP(A102,'Trips&amp;Operators'!$C$1:$E$10000,3,FALSE)</f>
        <v>BARTLETT</v>
      </c>
      <c r="M102" s="6">
        <f t="shared" si="55"/>
        <v>2.73263888884685E-2</v>
      </c>
      <c r="N102" s="7">
        <f t="shared" si="65"/>
        <v>39.34999999939464</v>
      </c>
      <c r="O102" s="7"/>
      <c r="P102" s="7"/>
      <c r="Q102" s="23"/>
      <c r="R102" s="23"/>
      <c r="S102" s="35">
        <f t="shared" si="56"/>
        <v>1</v>
      </c>
      <c r="T102" s="50" t="str">
        <f t="shared" si="57"/>
        <v>Southbound</v>
      </c>
      <c r="U102" s="18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14:24:33-0600',mode:absolute,to:'2016-10-19 17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59"/>
        <v>N</v>
      </c>
      <c r="X102" s="174">
        <f t="shared" si="60"/>
        <v>1</v>
      </c>
      <c r="Y102" s="67">
        <f t="shared" si="61"/>
        <v>23.299600000000002</v>
      </c>
      <c r="Z102" s="67">
        <f t="shared" si="66"/>
        <v>1.61E-2</v>
      </c>
      <c r="AA102" s="67">
        <f t="shared" si="62"/>
        <v>23.2835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63"/>
        <v>0190-19</v>
      </c>
      <c r="AE102" s="91" t="str">
        <f t="shared" si="5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102" s="88" t="str">
        <f t="shared" si="51"/>
        <v>"C:\Program Files (x86)\AstroGrep\AstroGrep.exe" /spath="%USERPROFILE%\AppData\Local\Temp\OnboardLogs" /stypes="app*4013*20161019*" /stext=" 22:.+((SYSTEM_STATE.+slice.+state.+changed )|(ment ac)|(system.+state.+changed )|(\[timeout)|(PRM\|1\|D)|(kpr)|(kdp)|(\|lc)|(penalty))" /e /r /s</v>
      </c>
      <c r="AG102" s="1" t="str">
        <f t="shared" si="64"/>
        <v>EC</v>
      </c>
      <c r="AH102" s="92" t="str">
        <f t="shared" si="52"/>
        <v>"%USERPROFILE%\Documents\GitHub\eaglep3\Utilities\RefineRTDCRunTimes.py" --tripid 190-19 --locoid 4013 --swversion DE.1.0.7.0 --startMP 204:232996 --initTime 2016-10-19T15:24:33 --startdatetime 2016-10-19T15:41:22 --delay 1 --endMP 204:161 --enddatetime 2016-10-19T16:20:43 --enforcementcount 0 &gt;&gt;C:\Users\stu\Documents\GitHub\eaglep3-reporting\EC\2016-10-19-refined-times.txt</v>
      </c>
      <c r="AI102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{"issue":{"subject":"","project_id":79,"tracker_id":40,"status_id":1,"priority_id":2,"assigned_to_id":23,"start_date":"2016-10-19","description":"","custom_fields":[{"id":1,"name":"Subdivision","value":"EC"},{"id":4,"name":"Milepost","value":"0.0161"},{"id":17,"name":"Train ID","value":"190-19"},{"id":16,"name":"Locomotive ID","value":"4013"},{"id":130,"name":"Impact","value":""},{"id":150,"name":"Time of Event (Mountain Time)","value":"16:20:43"},{"id":151,"name":"Denver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575</v>
      </c>
      <c r="B103" s="7">
        <v>4002</v>
      </c>
      <c r="C103" s="22" t="s">
        <v>99</v>
      </c>
      <c r="D103" s="22" t="s">
        <v>308</v>
      </c>
      <c r="E103" s="13">
        <v>42662.621076388888</v>
      </c>
      <c r="F103" s="13">
        <v>42662.625532407408</v>
      </c>
      <c r="G103" s="7">
        <v>1</v>
      </c>
      <c r="H103" s="13" t="s">
        <v>301</v>
      </c>
      <c r="I103" s="13">
        <v>42662.652187500003</v>
      </c>
      <c r="J103" s="7">
        <v>0</v>
      </c>
      <c r="K103" s="112" t="str">
        <f t="shared" si="54"/>
        <v>4001/4002</v>
      </c>
      <c r="L103" s="22" t="str">
        <f>VLOOKUP(A103,'Trips&amp;Operators'!$C$1:$E$10000,3,FALSE)</f>
        <v>HELVIE</v>
      </c>
      <c r="M103" s="6">
        <f t="shared" si="55"/>
        <v>2.6655092595319729E-2</v>
      </c>
      <c r="N103" s="7">
        <f t="shared" si="65"/>
        <v>38.38333333726041</v>
      </c>
      <c r="O103" s="7"/>
      <c r="P103" s="7"/>
      <c r="Q103" s="23"/>
      <c r="R103" s="23"/>
      <c r="S103" s="35">
        <f t="shared" si="56"/>
        <v>1</v>
      </c>
      <c r="T103" s="50" t="str">
        <f t="shared" si="57"/>
        <v>NorthBound</v>
      </c>
      <c r="U103" s="18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13:54:21-0600',mode:absolute,to:'2016-10-19 16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3" s="52" t="str">
        <f t="shared" si="59"/>
        <v>N</v>
      </c>
      <c r="X103" s="174">
        <f t="shared" si="60"/>
        <v>1</v>
      </c>
      <c r="Y103" s="67">
        <f t="shared" si="61"/>
        <v>4.8399999999999999E-2</v>
      </c>
      <c r="Z103" s="67">
        <f t="shared" si="66"/>
        <v>23.3278</v>
      </c>
      <c r="AA103" s="67">
        <f t="shared" si="62"/>
        <v>23.279399999999999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63"/>
        <v>0191-19</v>
      </c>
      <c r="AE103" s="91" t="str">
        <f t="shared" si="5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103" s="88" t="str">
        <f t="shared" si="51"/>
        <v>"C:\Program Files (x86)\AstroGrep\AstroGrep.exe" /spath="%USERPROFILE%\AppData\Local\Temp\OnboardLogs" /stypes="app*4002*20161019*" /stext=" 21:.+((SYSTEM_STATE.+slice.+state.+changed )|(ment ac)|(system.+state.+changed )|(\[timeout)|(PRM\|1\|D)|(kpr)|(kdp)|(\|lc)|(penalty))" /e /r /s</v>
      </c>
      <c r="AG103" s="1" t="str">
        <f t="shared" si="64"/>
        <v>EC</v>
      </c>
      <c r="AH103" s="92" t="str">
        <f t="shared" si="52"/>
        <v>"%USERPROFILE%\Documents\GitHub\eaglep3\Utilities\RefineRTDCRunTimes.py" --tripid 191-19 --locoid 4002 --swversion DE.1.0.7.0 --startMP 204:484 --initTime 2016-10-19T14:54:21 --startdatetime 2016-10-19T15:00:46 --delay 1 --endMP 204:233278 --enddatetime 2016-10-19T15:39:09 --enforcementcount 0 &gt;&gt;C:\Users\stu\Documents\GitHub\eaglep3-reporting\EC\2016-10-19-refined-times.txt</v>
      </c>
      <c r="AI103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{"issue":{"subject":"","project_id":79,"tracker_id":40,"status_id":1,"priority_id":2,"assigned_to_id":23,"start_date":"2016-10-19","description":"","custom_fields":[{"id":1,"name":"Subdivision","value":"EC"},{"id":4,"name":"Milepost","value":"23.3278"},{"id":17,"name":"Train ID","value":"191-19"},{"id":16,"name":"Locomotive ID","value":"4002"},{"id":130,"name":"Impact","value":""},{"id":150,"name":"Time of Event (Mountain Time)","value":"15:39:09"},{"id":151,"name":"Denver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584</v>
      </c>
      <c r="B104" s="7">
        <v>4001</v>
      </c>
      <c r="C104" s="22" t="s">
        <v>99</v>
      </c>
      <c r="D104" s="22" t="s">
        <v>302</v>
      </c>
      <c r="E104" s="13">
        <v>42662.660046296296</v>
      </c>
      <c r="F104" s="13">
        <v>42662.6641087963</v>
      </c>
      <c r="G104" s="7">
        <v>2</v>
      </c>
      <c r="H104" s="13" t="s">
        <v>693</v>
      </c>
      <c r="I104" s="13">
        <v>42662.69258101852</v>
      </c>
      <c r="J104" s="7">
        <v>0</v>
      </c>
      <c r="K104" s="112" t="str">
        <f t="shared" si="54"/>
        <v>4001/4002</v>
      </c>
      <c r="L104" s="22" t="str">
        <f>VLOOKUP(A104,'Trips&amp;Operators'!$C$1:$E$10000,3,FALSE)</f>
        <v>HELVIE</v>
      </c>
      <c r="M104" s="6">
        <f t="shared" si="55"/>
        <v>2.8472222220443655E-2</v>
      </c>
      <c r="N104" s="7">
        <f t="shared" si="65"/>
        <v>40.999999997438863</v>
      </c>
      <c r="O104" s="7"/>
      <c r="P104" s="7"/>
      <c r="Q104" s="23"/>
      <c r="R104" s="23"/>
      <c r="S104" s="35">
        <f t="shared" si="56"/>
        <v>1</v>
      </c>
      <c r="T104" s="50" t="str">
        <f t="shared" si="57"/>
        <v>Southbound</v>
      </c>
      <c r="U104" s="18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14:50:28-0600',mode:absolute,to:'2016-10-19 17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4" s="52" t="str">
        <f t="shared" si="59"/>
        <v>N</v>
      </c>
      <c r="X104" s="174">
        <f t="shared" si="60"/>
        <v>1</v>
      </c>
      <c r="Y104" s="67">
        <f t="shared" si="61"/>
        <v>23.2972</v>
      </c>
      <c r="Z104" s="67">
        <f t="shared" si="66"/>
        <v>1.7999999999999999E-2</v>
      </c>
      <c r="AA104" s="67">
        <f t="shared" si="62"/>
        <v>23.279199999999999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63"/>
        <v>0192-19</v>
      </c>
      <c r="AE104" s="91" t="str">
        <f t="shared" si="5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104" s="88" t="str">
        <f t="shared" si="51"/>
        <v>"C:\Program Files (x86)\AstroGrep\AstroGrep.exe" /spath="%USERPROFILE%\AppData\Local\Temp\OnboardLogs" /stypes="app*4001*20161019*" /stext=" 22:.+((SYSTEM_STATE.+slice.+state.+changed )|(ment ac)|(system.+state.+changed )|(\[timeout)|(PRM\|1\|D)|(kpr)|(kdp)|(\|lc)|(penalty))" /e /r /s</v>
      </c>
      <c r="AG104" s="1" t="str">
        <f t="shared" si="64"/>
        <v>EC</v>
      </c>
      <c r="AH104" s="92" t="str">
        <f t="shared" si="52"/>
        <v>"%USERPROFILE%\Documents\GitHub\eaglep3\Utilities\RefineRTDCRunTimes.py" --tripid 192-19 --locoid 4001 --swversion DE.1.0.7.0 --startMP 204:232972 --initTime 2016-10-19T15:50:28 --startdatetime 2016-10-19T15:56:19 --delay 2 --endMP 204:180 --enddatetime 2016-10-19T16:37:19 --enforcementcount 0 &gt;&gt;C:\Users\stu\Documents\GitHub\eaglep3-reporting\EC\2016-10-19-refined-times.txt</v>
      </c>
      <c r="AI104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{"issue":{"subject":"","project_id":79,"tracker_id":40,"status_id":1,"priority_id":2,"assigned_to_id":23,"start_date":"2016-10-19","description":"","custom_fields":[{"id":1,"name":"Subdivision","value":"EC"},{"id":4,"name":"Milepost","value":"0.018"},{"id":17,"name":"Train ID","value":"192-19"},{"id":16,"name":"Locomotive ID","value":"4001"},{"id":130,"name":"Impact","value":""},{"id":150,"name":"Time of Event (Mountain Time)","value":"16:37:19"},{"id":151,"name":"Denver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576</v>
      </c>
      <c r="B105" s="7">
        <v>4040</v>
      </c>
      <c r="C105" s="22" t="s">
        <v>99</v>
      </c>
      <c r="D105" s="22" t="s">
        <v>243</v>
      </c>
      <c r="E105" s="13">
        <v>42662.634004629632</v>
      </c>
      <c r="F105" s="13">
        <v>42662.635787037034</v>
      </c>
      <c r="G105" s="7">
        <v>1</v>
      </c>
      <c r="H105" s="13" t="s">
        <v>694</v>
      </c>
      <c r="I105" s="13">
        <v>42662.661435185182</v>
      </c>
      <c r="J105" s="7">
        <v>0</v>
      </c>
      <c r="K105" s="112" t="str">
        <f t="shared" si="54"/>
        <v>4039/4040</v>
      </c>
      <c r="L105" s="22" t="str">
        <f>VLOOKUP(A105,'Trips&amp;Operators'!$C$1:$E$10000,3,FALSE)</f>
        <v>ARVIDSON</v>
      </c>
      <c r="M105" s="6">
        <f t="shared" si="55"/>
        <v>2.5648148148320615E-2</v>
      </c>
      <c r="N105" s="7">
        <f t="shared" si="65"/>
        <v>36.933333333581686</v>
      </c>
      <c r="O105" s="7"/>
      <c r="P105" s="7"/>
      <c r="Q105" s="23"/>
      <c r="R105" s="23"/>
      <c r="S105" s="35">
        <f t="shared" si="56"/>
        <v>1</v>
      </c>
      <c r="T105" s="50" t="str">
        <f t="shared" si="57"/>
        <v>NorthBound</v>
      </c>
      <c r="U105" s="18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14:12:58-0600',mode:absolute,to:'2016-10-19 16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52" t="str">
        <f t="shared" si="59"/>
        <v>N</v>
      </c>
      <c r="X105" s="174">
        <f t="shared" si="60"/>
        <v>1</v>
      </c>
      <c r="Y105" s="67">
        <f t="shared" si="61"/>
        <v>4.4600000000000001E-2</v>
      </c>
      <c r="Z105" s="67">
        <f t="shared" si="66"/>
        <v>23.334499999999998</v>
      </c>
      <c r="AA105" s="67">
        <f t="shared" si="62"/>
        <v>23.289899999999999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63"/>
        <v>0193-19</v>
      </c>
      <c r="AE105" s="91" t="str">
        <f t="shared" si="50"/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105" s="88" t="str">
        <f t="shared" si="51"/>
        <v>"C:\Program Files (x86)\AstroGrep\AstroGrep.exe" /spath="%USERPROFILE%\AppData\Local\Temp\OnboardLogs" /stypes="app*4040*20161019*" /stext=" 21:.+((SYSTEM_STATE.+slice.+state.+changed )|(ment ac)|(system.+state.+changed )|(\[timeout)|(PRM\|1\|D)|(kpr)|(kdp)|(\|lc)|(penalty))" /e /r /s</v>
      </c>
      <c r="AG105" s="1" t="str">
        <f t="shared" si="64"/>
        <v>EC</v>
      </c>
      <c r="AH105" s="92" t="str">
        <f t="shared" si="52"/>
        <v>"%USERPROFILE%\Documents\GitHub\eaglep3\Utilities\RefineRTDCRunTimes.py" --tripid 193-19 --locoid 4040 --swversion DE.1.0.7.0 --startMP 204:446 --initTime 2016-10-19T15:12:58 --startdatetime 2016-10-19T15:15:32 --delay 1 --endMP 204:233345 --enddatetime 2016-10-19T15:52:28 --enforcementcount 0 &gt;&gt;C:\Users\stu\Documents\GitHub\eaglep3-reporting\EC\2016-10-19-refined-times.txt</v>
      </c>
      <c r="AI105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{"issue":{"subject":"","project_id":79,"tracker_id":40,"status_id":1,"priority_id":2,"assigned_to_id":23,"start_date":"2016-10-19","description":"","custom_fields":[{"id":1,"name":"Subdivision","value":"EC"},{"id":4,"name":"Milepost","value":"23.3345"},{"id":17,"name":"Train ID","value":"193-19"},{"id":16,"name":"Locomotive ID","value":"4040"},{"id":130,"name":"Impact","value":""},{"id":150,"name":"Time of Event (Mountain Time)","value":"15:52:28"},{"id":151,"name":"Denver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586</v>
      </c>
      <c r="B106" s="7">
        <v>4039</v>
      </c>
      <c r="C106" s="22" t="s">
        <v>99</v>
      </c>
      <c r="D106" s="22" t="s">
        <v>695</v>
      </c>
      <c r="E106" s="13">
        <v>42662.670370370368</v>
      </c>
      <c r="F106" s="13">
        <v>42662.674571759257</v>
      </c>
      <c r="G106" s="7">
        <v>1</v>
      </c>
      <c r="H106" s="13" t="s">
        <v>246</v>
      </c>
      <c r="I106" s="13">
        <v>42662.702708333331</v>
      </c>
      <c r="J106" s="7">
        <v>0</v>
      </c>
      <c r="K106" s="112" t="str">
        <f t="shared" si="54"/>
        <v>4039/4040</v>
      </c>
      <c r="L106" s="22" t="str">
        <f>VLOOKUP(A106,'Trips&amp;Operators'!$C$1:$E$10000,3,FALSE)</f>
        <v>ARVIDSON</v>
      </c>
      <c r="M106" s="6">
        <f t="shared" si="55"/>
        <v>2.8136574073869269E-2</v>
      </c>
      <c r="N106" s="7">
        <f t="shared" si="65"/>
        <v>40.516666666371748</v>
      </c>
      <c r="O106" s="7"/>
      <c r="P106" s="7"/>
      <c r="Q106" s="23"/>
      <c r="R106" s="23"/>
      <c r="S106" s="35">
        <f t="shared" si="56"/>
        <v>1</v>
      </c>
      <c r="T106" s="50" t="str">
        <f t="shared" si="57"/>
        <v>Southbound</v>
      </c>
      <c r="U106" s="18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15:05:20-0600',mode:absolute,to:'2016-10-19 17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52" t="str">
        <f t="shared" si="59"/>
        <v>N</v>
      </c>
      <c r="X106" s="174">
        <f t="shared" si="60"/>
        <v>1</v>
      </c>
      <c r="Y106" s="67">
        <f t="shared" si="61"/>
        <v>23.296900000000001</v>
      </c>
      <c r="Z106" s="67">
        <f t="shared" si="66"/>
        <v>1.6E-2</v>
      </c>
      <c r="AA106" s="67">
        <f t="shared" si="62"/>
        <v>23.280900000000003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63"/>
        <v>0194-19</v>
      </c>
      <c r="AE106" s="91" t="str">
        <f t="shared" si="5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106" s="88" t="str">
        <f t="shared" si="51"/>
        <v>"C:\Program Files (x86)\AstroGrep\AstroGrep.exe" /spath="%USERPROFILE%\AppData\Local\Temp\OnboardLogs" /stypes="app*4039*20161019*" /stext=" 22:.+((SYSTEM_STATE.+slice.+state.+changed )|(ment ac)|(system.+state.+changed )|(\[timeout)|(PRM\|1\|D)|(kpr)|(kdp)|(\|lc)|(penalty))" /e /r /s</v>
      </c>
      <c r="AG106" s="1" t="str">
        <f t="shared" si="64"/>
        <v>EC</v>
      </c>
      <c r="AH106" s="92" t="str">
        <f t="shared" si="52"/>
        <v>"%USERPROFILE%\Documents\GitHub\eaglep3\Utilities\RefineRTDCRunTimes.py" --tripid 194-19 --locoid 4039 --swversion DE.1.0.7.0 --startMP 204:232969 --initTime 2016-10-19T16:05:20 --startdatetime 2016-10-19T16:11:23 --delay 1 --endMP 204:160 --enddatetime 2016-10-19T16:51:54 --enforcementcount 0 &gt;&gt;C:\Users\stu\Documents\GitHub\eaglep3-reporting\EC\2016-10-19-refined-times.txt</v>
      </c>
      <c r="AI106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{"issue":{"subject":"","project_id":79,"tracker_id":40,"status_id":1,"priority_id":2,"assigned_to_id":23,"start_date":"2016-10-19","description":"","custom_fields":[{"id":1,"name":"Subdivision","value":"EC"},{"id":4,"name":"Milepost","value":"0.016"},{"id":17,"name":"Train ID","value":"194-19"},{"id":16,"name":"Locomotive ID","value":"4039"},{"id":130,"name":"Impact","value":""},{"id":150,"name":"Time of Event (Mountain Time)","value":"16:51:54"},{"id":151,"name":"Denver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579</v>
      </c>
      <c r="B107" s="7">
        <v>4046</v>
      </c>
      <c r="C107" s="22" t="s">
        <v>99</v>
      </c>
      <c r="D107" s="22" t="s">
        <v>696</v>
      </c>
      <c r="E107" s="13">
        <v>42662.640393518515</v>
      </c>
      <c r="F107" s="13">
        <v>42662.64607638889</v>
      </c>
      <c r="G107" s="7">
        <v>1</v>
      </c>
      <c r="H107" s="13" t="s">
        <v>234</v>
      </c>
      <c r="I107" s="13">
        <v>42662.671493055554</v>
      </c>
      <c r="J107" s="7">
        <v>0</v>
      </c>
      <c r="K107" s="112" t="str">
        <f t="shared" si="54"/>
        <v>4045/4046</v>
      </c>
      <c r="L107" s="22" t="str">
        <f>VLOOKUP(A107,'Trips&amp;Operators'!$C$1:$E$10000,3,FALSE)</f>
        <v>YOUNG</v>
      </c>
      <c r="M107" s="6">
        <f t="shared" si="55"/>
        <v>2.5416666663659271E-2</v>
      </c>
      <c r="N107" s="7">
        <f t="shared" si="65"/>
        <v>36.59999999566935</v>
      </c>
      <c r="O107" s="7"/>
      <c r="P107" s="7"/>
      <c r="Q107" s="23"/>
      <c r="R107" s="23"/>
      <c r="S107" s="35">
        <f t="shared" si="56"/>
        <v>1</v>
      </c>
      <c r="T107" s="50" t="str">
        <f t="shared" si="57"/>
        <v>NorthBound</v>
      </c>
      <c r="U107" s="18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14:22:10-0600',mode:absolute,to:'2016-10-19 17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7" s="52" t="str">
        <f t="shared" si="59"/>
        <v>N</v>
      </c>
      <c r="X107" s="174">
        <f t="shared" si="60"/>
        <v>1</v>
      </c>
      <c r="Y107" s="67">
        <f t="shared" si="61"/>
        <v>4.2900000000000001E-2</v>
      </c>
      <c r="Z107" s="67">
        <f t="shared" si="66"/>
        <v>23.33</v>
      </c>
      <c r="AA107" s="67">
        <f t="shared" si="62"/>
        <v>23.287099999999999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63"/>
        <v>0195-19</v>
      </c>
      <c r="AE107" s="91" t="str">
        <f t="shared" si="5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107" s="88" t="str">
        <f t="shared" si="51"/>
        <v>"C:\Program Files (x86)\AstroGrep\AstroGrep.exe" /spath="%USERPROFILE%\AppData\Local\Temp\OnboardLogs" /stypes="app*4046*20161019*" /stext=" 22:.+((SYSTEM_STATE.+slice.+state.+changed )|(ment ac)|(system.+state.+changed )|(\[timeout)|(PRM\|1\|D)|(kpr)|(kdp)|(\|lc)|(penalty))" /e /r /s</v>
      </c>
      <c r="AG107" s="1" t="str">
        <f t="shared" si="64"/>
        <v>EC</v>
      </c>
      <c r="AH107" s="92" t="str">
        <f t="shared" si="52"/>
        <v>"%USERPROFILE%\Documents\GitHub\eaglep3\Utilities\RefineRTDCRunTimes.py" --tripid 195-19 --locoid 4046 --swversion DE.1.0.7.0 --startMP 204:429 --initTime 2016-10-19T15:22:10 --startdatetime 2016-10-19T15:30:21 --delay 1 --endMP 204:233300 --enddatetime 2016-10-19T16:06:57 --enforcementcount 0 &gt;&gt;C:\Users\stu\Documents\GitHub\eaglep3-reporting\EC\2016-10-19-refined-times.txt</v>
      </c>
      <c r="AI107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{"issue":{"subject":"","project_id":79,"tracker_id":40,"status_id":1,"priority_id":2,"assigned_to_id":23,"start_date":"2016-10-19","description":"","custom_fields":[{"id":1,"name":"Subdivision","value":"EC"},{"id":4,"name":"Milepost","value":"23.33"},{"id":17,"name":"Train ID","value":"195-19"},{"id":16,"name":"Locomotive ID","value":"4046"},{"id":130,"name":"Impact","value":""},{"id":150,"name":"Time of Event (Mountain Time)","value":"16:06:57"},{"id":151,"name":"Denver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589</v>
      </c>
      <c r="B108" s="7">
        <v>4045</v>
      </c>
      <c r="C108" s="22" t="s">
        <v>99</v>
      </c>
      <c r="D108" s="22" t="s">
        <v>681</v>
      </c>
      <c r="E108" s="13">
        <v>42662.678171296298</v>
      </c>
      <c r="F108" s="13">
        <v>42662.685277777775</v>
      </c>
      <c r="G108" s="7">
        <v>3</v>
      </c>
      <c r="H108" s="13" t="s">
        <v>289</v>
      </c>
      <c r="I108" s="13">
        <v>42662.712083333332</v>
      </c>
      <c r="J108" s="7">
        <v>0</v>
      </c>
      <c r="K108" s="112" t="str">
        <f t="shared" si="54"/>
        <v>4045/4046</v>
      </c>
      <c r="L108" s="22" t="str">
        <f>VLOOKUP(A108,'Trips&amp;Operators'!$C$1:$E$10000,3,FALSE)</f>
        <v>YOUNG</v>
      </c>
      <c r="M108" s="6">
        <f t="shared" si="55"/>
        <v>2.6805555557075422E-2</v>
      </c>
      <c r="N108" s="7">
        <f t="shared" si="65"/>
        <v>38.600000002188608</v>
      </c>
      <c r="O108" s="7"/>
      <c r="P108" s="7"/>
      <c r="Q108" s="23"/>
      <c r="R108" s="23"/>
      <c r="S108" s="35">
        <f t="shared" si="56"/>
        <v>1</v>
      </c>
      <c r="T108" s="50" t="str">
        <f t="shared" si="57"/>
        <v>Southbound</v>
      </c>
      <c r="U108" s="18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15:16:34-0600',mode:absolute,to:'2016-10-19 18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8" s="52" t="str">
        <f t="shared" si="59"/>
        <v>N</v>
      </c>
      <c r="X108" s="174">
        <f t="shared" si="60"/>
        <v>1</v>
      </c>
      <c r="Y108" s="67">
        <f t="shared" si="61"/>
        <v>23.2989</v>
      </c>
      <c r="Z108" s="67">
        <f t="shared" si="66"/>
        <v>1.5599999999999999E-2</v>
      </c>
      <c r="AA108" s="67">
        <f t="shared" si="62"/>
        <v>23.283300000000001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63"/>
        <v>0196-19</v>
      </c>
      <c r="AE108" s="91" t="str">
        <f t="shared" si="5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108" s="88" t="str">
        <f t="shared" si="51"/>
        <v>"C:\Program Files (x86)\AstroGrep\AstroGrep.exe" /spath="%USERPROFILE%\AppData\Local\Temp\OnboardLogs" /stypes="app*4045*20161019*" /stext=" 23:.+((SYSTEM_STATE.+slice.+state.+changed )|(ment ac)|(system.+state.+changed )|(\[timeout)|(PRM\|1\|D)|(kpr)|(kdp)|(\|lc)|(penalty))" /e /r /s</v>
      </c>
      <c r="AG108" s="1" t="str">
        <f t="shared" si="64"/>
        <v>EC</v>
      </c>
      <c r="AH108" s="92" t="str">
        <f t="shared" si="52"/>
        <v>"%USERPROFILE%\Documents\GitHub\eaglep3\Utilities\RefineRTDCRunTimes.py" --tripid 196-19 --locoid 4045 --swversion DE.1.0.7.0 --startMP 204:232989 --initTime 2016-10-19T16:16:34 --startdatetime 2016-10-19T16:26:48 --delay 3 --endMP 204:156 --enddatetime 2016-10-19T17:05:24 --enforcementcount 0 &gt;&gt;C:\Users\stu\Documents\GitHub\eaglep3-reporting\EC\2016-10-19-refined-times.txt</v>
      </c>
      <c r="AI108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{"issue":{"subject":"","project_id":79,"tracker_id":40,"status_id":1,"priority_id":2,"assigned_to_id":23,"start_date":"2016-10-19","description":"","custom_fields":[{"id":1,"name":"Subdivision","value":"EC"},{"id":4,"name":"Milepost","value":"0.0156"},{"id":17,"name":"Train ID","value":"196-19"},{"id":16,"name":"Locomotive ID","value":"4045"},{"id":130,"name":"Impact","value":""},{"id":150,"name":"Time of Event (Mountain Time)","value":"17:05:24"},{"id":151,"name":"Denver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582</v>
      </c>
      <c r="B109" s="7">
        <v>4011</v>
      </c>
      <c r="C109" s="22" t="s">
        <v>99</v>
      </c>
      <c r="D109" s="22" t="s">
        <v>253</v>
      </c>
      <c r="E109" s="13">
        <v>42662.653460648151</v>
      </c>
      <c r="F109" s="13">
        <v>42662.656469907408</v>
      </c>
      <c r="G109" s="7">
        <v>1</v>
      </c>
      <c r="H109" s="13" t="s">
        <v>697</v>
      </c>
      <c r="I109" s="13">
        <v>42662.683009259257</v>
      </c>
      <c r="J109" s="7">
        <v>0</v>
      </c>
      <c r="K109" s="112" t="str">
        <f t="shared" si="54"/>
        <v>4011/4012</v>
      </c>
      <c r="L109" s="22" t="str">
        <f>VLOOKUP(A109,'Trips&amp;Operators'!$C$1:$E$10000,3,FALSE)</f>
        <v>BRUDER</v>
      </c>
      <c r="M109" s="6">
        <f t="shared" si="55"/>
        <v>2.6539351849351078E-2</v>
      </c>
      <c r="N109" s="7">
        <f t="shared" si="65"/>
        <v>38.216666663065553</v>
      </c>
      <c r="O109" s="7"/>
      <c r="P109" s="7"/>
      <c r="Q109" s="23"/>
      <c r="R109" s="23"/>
      <c r="S109" s="35">
        <f t="shared" si="56"/>
        <v>1</v>
      </c>
      <c r="T109" s="50" t="str">
        <f t="shared" si="57"/>
        <v>NorthBound</v>
      </c>
      <c r="U109" s="18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14:40:59-0600',mode:absolute,to:'2016-10-19 17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9" s="52" t="str">
        <f t="shared" si="59"/>
        <v>N</v>
      </c>
      <c r="X109" s="174">
        <f t="shared" si="60"/>
        <v>1</v>
      </c>
      <c r="Y109" s="67">
        <f t="shared" si="61"/>
        <v>4.5100000000000001E-2</v>
      </c>
      <c r="Z109" s="67">
        <f t="shared" si="66"/>
        <v>23.334099999999999</v>
      </c>
      <c r="AA109" s="67">
        <f t="shared" si="62"/>
        <v>23.288999999999998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63"/>
        <v>0197-19</v>
      </c>
      <c r="AE109" s="91" t="str">
        <f t="shared" si="5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109" s="88" t="str">
        <f t="shared" si="51"/>
        <v>"C:\Program Files (x86)\AstroGrep\AstroGrep.exe" /spath="%USERPROFILE%\AppData\Local\Temp\OnboardLogs" /stypes="app*4011*20161019*" /stext=" 22:.+((SYSTEM_STATE.+slice.+state.+changed )|(ment ac)|(system.+state.+changed )|(\[timeout)|(PRM\|1\|D)|(kpr)|(kdp)|(\|lc)|(penalty))" /e /r /s</v>
      </c>
      <c r="AG109" s="1" t="str">
        <f t="shared" si="64"/>
        <v>EC</v>
      </c>
      <c r="AH109" s="92" t="str">
        <f t="shared" si="52"/>
        <v>"%USERPROFILE%\Documents\GitHub\eaglep3\Utilities\RefineRTDCRunTimes.py" --tripid 197-19 --locoid 4011 --swversion DE.1.0.7.0 --startMP 204:451 --initTime 2016-10-19T15:40:59 --startdatetime 2016-10-19T15:45:19 --delay 1 --endMP 204:233341 --enddatetime 2016-10-19T16:23:32 --enforcementcount 0 &gt;&gt;C:\Users\stu\Documents\GitHub\eaglep3-reporting\EC\2016-10-19-refined-times.txt</v>
      </c>
      <c r="AI109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{"issue":{"subject":"","project_id":79,"tracker_id":40,"status_id":1,"priority_id":2,"assigned_to_id":23,"start_date":"2016-10-19","description":"","custom_fields":[{"id":1,"name":"Subdivision","value":"EC"},{"id":4,"name":"Milepost","value":"23.3341"},{"id":17,"name":"Train ID","value":"197-19"},{"id":16,"name":"Locomotive ID","value":"4011"},{"id":130,"name":"Impact","value":""},{"id":150,"name":"Time of Event (Mountain Time)","value":"16:23:32"},{"id":151,"name":"Denver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591</v>
      </c>
      <c r="B110" s="7">
        <v>4012</v>
      </c>
      <c r="C110" s="22" t="s">
        <v>99</v>
      </c>
      <c r="D110" s="22" t="s">
        <v>413</v>
      </c>
      <c r="E110" s="13">
        <v>42662.689247685186</v>
      </c>
      <c r="F110" s="13">
        <v>42662.695370370369</v>
      </c>
      <c r="G110" s="7">
        <v>1</v>
      </c>
      <c r="H110" s="13" t="s">
        <v>176</v>
      </c>
      <c r="I110" s="13">
        <v>42662.725462962961</v>
      </c>
      <c r="J110" s="7">
        <v>0</v>
      </c>
      <c r="K110" s="112" t="str">
        <f t="shared" si="54"/>
        <v>4011/4012</v>
      </c>
      <c r="L110" s="22" t="str">
        <f>VLOOKUP(A110,'Trips&amp;Operators'!$C$1:$E$10000,3,FALSE)</f>
        <v>BRUDER</v>
      </c>
      <c r="M110" s="6">
        <f t="shared" si="55"/>
        <v>3.0092592591245193E-2</v>
      </c>
      <c r="N110" s="7">
        <f t="shared" si="65"/>
        <v>43.333333331393078</v>
      </c>
      <c r="O110" s="7"/>
      <c r="P110" s="7"/>
      <c r="Q110" s="23"/>
      <c r="R110" s="23"/>
      <c r="S110" s="35">
        <f t="shared" si="56"/>
        <v>1</v>
      </c>
      <c r="T110" s="50" t="str">
        <f t="shared" si="57"/>
        <v>Southbound</v>
      </c>
      <c r="U110" s="18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15:32:31-0600',mode:absolute,to:'2016-10-19 18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0" s="52" t="str">
        <f t="shared" si="59"/>
        <v>N</v>
      </c>
      <c r="X110" s="174">
        <f t="shared" si="60"/>
        <v>1</v>
      </c>
      <c r="Y110" s="67">
        <f t="shared" si="61"/>
        <v>23.298400000000001</v>
      </c>
      <c r="Z110" s="67">
        <f t="shared" si="66"/>
        <v>1.47E-2</v>
      </c>
      <c r="AA110" s="67">
        <f t="shared" si="62"/>
        <v>23.2837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63"/>
        <v>0198-19</v>
      </c>
      <c r="AE110" s="91" t="str">
        <f t="shared" si="5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110" s="88" t="str">
        <f t="shared" si="51"/>
        <v>"C:\Program Files (x86)\AstroGrep\AstroGrep.exe" /spath="%USERPROFILE%\AppData\Local\Temp\OnboardLogs" /stypes="app*4012*20161019*" /stext=" 23:.+((SYSTEM_STATE.+slice.+state.+changed )|(ment ac)|(system.+state.+changed )|(\[timeout)|(PRM\|1\|D)|(kpr)|(kdp)|(\|lc)|(penalty))" /e /r /s</v>
      </c>
      <c r="AG110" s="1" t="str">
        <f t="shared" si="64"/>
        <v>EC</v>
      </c>
      <c r="AH110" s="92" t="str">
        <f t="shared" si="52"/>
        <v>"%USERPROFILE%\Documents\GitHub\eaglep3\Utilities\RefineRTDCRunTimes.py" --tripid 198-19 --locoid 4012 --swversion DE.1.0.7.0 --startMP 204:232984 --initTime 2016-10-19T16:32:31 --startdatetime 2016-10-19T16:41:20 --delay 1 --endMP 204:147 --enddatetime 2016-10-19T17:24:40 --enforcementcount 0 &gt;&gt;C:\Users\stu\Documents\GitHub\eaglep3-reporting\EC\2016-10-19-refined-times.txt</v>
      </c>
      <c r="AI110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{"issue":{"subject":"","project_id":79,"tracker_id":40,"status_id":1,"priority_id":2,"assigned_to_id":23,"start_date":"2016-10-19","description":"","custom_fields":[{"id":1,"name":"Subdivision","value":"EC"},{"id":4,"name":"Milepost","value":"0.0147"},{"id":17,"name":"Train ID","value":"198-19"},{"id":16,"name":"Locomotive ID","value":"4012"},{"id":130,"name":"Impact","value":""},{"id":150,"name":"Time of Event (Mountain Time)","value":"17:24:40"},{"id":151,"name":"Denver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585</v>
      </c>
      <c r="B111" s="7">
        <v>4025</v>
      </c>
      <c r="C111" s="22" t="s">
        <v>99</v>
      </c>
      <c r="D111" s="22" t="s">
        <v>233</v>
      </c>
      <c r="E111" s="13">
        <v>42662.663171296299</v>
      </c>
      <c r="F111" s="13">
        <v>42662.666898148149</v>
      </c>
      <c r="G111" s="7">
        <v>1</v>
      </c>
      <c r="H111" s="13" t="s">
        <v>698</v>
      </c>
      <c r="I111" s="13">
        <v>42662.691307870373</v>
      </c>
      <c r="J111" s="7">
        <v>0</v>
      </c>
      <c r="K111" s="112" t="str">
        <f t="shared" si="54"/>
        <v>4025/4026</v>
      </c>
      <c r="L111" s="22" t="str">
        <f>VLOOKUP(A111,'Trips&amp;Operators'!$C$1:$E$10000,3,FALSE)</f>
        <v>STORY</v>
      </c>
      <c r="M111" s="6">
        <f t="shared" si="55"/>
        <v>2.4409722223936114E-2</v>
      </c>
      <c r="N111" s="7">
        <f t="shared" si="65"/>
        <v>35.150000002468005</v>
      </c>
      <c r="O111" s="7"/>
      <c r="P111" s="7"/>
      <c r="Q111" s="23"/>
      <c r="R111" s="23"/>
      <c r="S111" s="35">
        <f t="shared" si="56"/>
        <v>1</v>
      </c>
      <c r="T111" s="50" t="str">
        <f t="shared" si="57"/>
        <v>NorthBound</v>
      </c>
      <c r="U111" s="18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14:54:58-0600',mode:absolute,to:'2016-10-19 17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1" s="52" t="str">
        <f t="shared" si="59"/>
        <v>N</v>
      </c>
      <c r="X111" s="174">
        <f t="shared" si="60"/>
        <v>1</v>
      </c>
      <c r="Y111" s="67">
        <f t="shared" si="61"/>
        <v>4.53E-2</v>
      </c>
      <c r="Z111" s="67">
        <f t="shared" si="66"/>
        <v>23.330200000000001</v>
      </c>
      <c r="AA111" s="67">
        <f t="shared" si="62"/>
        <v>23.2849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63"/>
        <v>0199-19</v>
      </c>
      <c r="AE111" s="91" t="str">
        <f t="shared" si="5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111" s="88" t="str">
        <f t="shared" si="51"/>
        <v>"C:\Program Files (x86)\AstroGrep\AstroGrep.exe" /spath="%USERPROFILE%\AppData\Local\Temp\OnboardLogs" /stypes="app*4025*20161019*" /stext=" 22:.+((SYSTEM_STATE.+slice.+state.+changed )|(ment ac)|(system.+state.+changed )|(\[timeout)|(PRM\|1\|D)|(kpr)|(kdp)|(\|lc)|(penalty))" /e /r /s</v>
      </c>
      <c r="AG111" s="1" t="str">
        <f t="shared" si="64"/>
        <v>EC</v>
      </c>
      <c r="AH111" s="92" t="str">
        <f t="shared" si="52"/>
        <v>"%USERPROFILE%\Documents\GitHub\eaglep3\Utilities\RefineRTDCRunTimes.py" --tripid 199-19 --locoid 4025 --swversion DE.1.0.7.0 --startMP 204:453 --initTime 2016-10-19T15:54:58 --startdatetime 2016-10-19T16:00:20 --delay 1 --endMP 204:233302 --enddatetime 2016-10-19T16:35:29 --enforcementcount 0 &gt;&gt;C:\Users\stu\Documents\GitHub\eaglep3-reporting\EC\2016-10-19-refined-times.txt</v>
      </c>
      <c r="AI111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{"issue":{"subject":"","project_id":79,"tracker_id":40,"status_id":1,"priority_id":2,"assigned_to_id":23,"start_date":"2016-10-19","description":"","custom_fields":[{"id":1,"name":"Subdivision","value":"EC"},{"id":4,"name":"Milepost","value":"23.3302"},{"id":17,"name":"Train ID","value":"199-19"},{"id":16,"name":"Locomotive ID","value":"4025"},{"id":130,"name":"Impact","value":""},{"id":150,"name":"Time of Event (Mountain Time)","value":"16:35:29"},{"id":151,"name":"Denver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595</v>
      </c>
      <c r="B112" s="7">
        <v>4026</v>
      </c>
      <c r="C112" s="22" t="s">
        <v>99</v>
      </c>
      <c r="D112" s="22" t="s">
        <v>223</v>
      </c>
      <c r="E112" s="13">
        <v>42662.701423611114</v>
      </c>
      <c r="F112" s="13">
        <v>42662.705752314818</v>
      </c>
      <c r="G112" s="7">
        <v>5</v>
      </c>
      <c r="H112" s="13" t="s">
        <v>230</v>
      </c>
      <c r="I112" s="13">
        <v>42662.732349537036</v>
      </c>
      <c r="J112" s="7">
        <v>0</v>
      </c>
      <c r="K112" s="112" t="str">
        <f t="shared" si="54"/>
        <v>4025/4026</v>
      </c>
      <c r="L112" s="22" t="str">
        <f>VLOOKUP(A112,'Trips&amp;Operators'!$C$1:$E$10000,3,FALSE)</f>
        <v>STORY</v>
      </c>
      <c r="M112" s="6">
        <f t="shared" si="55"/>
        <v>2.6597222218697425E-2</v>
      </c>
      <c r="N112" s="7">
        <f t="shared" si="65"/>
        <v>38.299999994924292</v>
      </c>
      <c r="O112" s="7"/>
      <c r="P112" s="7"/>
      <c r="Q112" s="23"/>
      <c r="R112" s="23"/>
      <c r="S112" s="35">
        <f t="shared" si="56"/>
        <v>1</v>
      </c>
      <c r="T112" s="50" t="str">
        <f t="shared" si="57"/>
        <v>Southbound</v>
      </c>
      <c r="U112" s="18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15:50:03-0600',mode:absolute,to:'2016-10-19 18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2" s="52" t="str">
        <f t="shared" si="59"/>
        <v>N</v>
      </c>
      <c r="X112" s="174">
        <f t="shared" si="60"/>
        <v>1</v>
      </c>
      <c r="Y112" s="67">
        <f t="shared" si="61"/>
        <v>23.298500000000001</v>
      </c>
      <c r="Z112" s="67">
        <f t="shared" si="66"/>
        <v>1.43E-2</v>
      </c>
      <c r="AA112" s="67">
        <f t="shared" si="62"/>
        <v>23.284200000000002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63"/>
        <v>0200-19</v>
      </c>
      <c r="AE112" s="91" t="str">
        <f t="shared" si="5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112" s="88" t="str">
        <f t="shared" si="51"/>
        <v>"C:\Program Files (x86)\AstroGrep\AstroGrep.exe" /spath="%USERPROFILE%\AppData\Local\Temp\OnboardLogs" /stypes="app*4026*20161019*" /stext=" 23:.+((SYSTEM_STATE.+slice.+state.+changed )|(ment ac)|(system.+state.+changed )|(\[timeout)|(PRM\|1\|D)|(kpr)|(kdp)|(\|lc)|(penalty))" /e /r /s</v>
      </c>
      <c r="AG112" s="1" t="str">
        <f t="shared" si="64"/>
        <v>EC</v>
      </c>
      <c r="AH112" s="92" t="str">
        <f t="shared" si="52"/>
        <v>"%USERPROFILE%\Documents\GitHub\eaglep3\Utilities\RefineRTDCRunTimes.py" --tripid 200-19 --locoid 4026 --swversion DE.1.0.7.0 --startMP 204:232985 --initTime 2016-10-19T16:50:03 --startdatetime 2016-10-19T16:56:17 --delay 5 --endMP 204:143 --enddatetime 2016-10-19T17:34:35 --enforcementcount 0 &gt;&gt;C:\Users\stu\Documents\GitHub\eaglep3-reporting\EC\2016-10-19-refined-times.txt</v>
      </c>
      <c r="AI112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{"issue":{"subject":"","project_id":79,"tracker_id":40,"status_id":1,"priority_id":2,"assigned_to_id":23,"start_date":"2016-10-19","description":"","custom_fields":[{"id":1,"name":"Subdivision","value":"EC"},{"id":4,"name":"Milepost","value":"0.0143"},{"id":17,"name":"Train ID","value":"200-19"},{"id":16,"name":"Locomotive ID","value":"4026"},{"id":130,"name":"Impact","value":""},{"id":150,"name":"Time of Event (Mountain Time)","value":"17:34:35"},{"id":151,"name":"Denver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458</v>
      </c>
      <c r="B113" s="7">
        <v>4042</v>
      </c>
      <c r="C113" s="22" t="s">
        <v>99</v>
      </c>
      <c r="D113" s="22" t="s">
        <v>233</v>
      </c>
      <c r="E113" s="13">
        <v>42662.673634259256</v>
      </c>
      <c r="F113" s="13">
        <v>42662.677546296298</v>
      </c>
      <c r="G113" s="7">
        <v>2</v>
      </c>
      <c r="H113" s="13" t="s">
        <v>183</v>
      </c>
      <c r="I113" s="13">
        <v>42662.703634259262</v>
      </c>
      <c r="J113" s="7">
        <v>0</v>
      </c>
      <c r="K113" s="112" t="str">
        <f t="shared" si="54"/>
        <v>4041/4042</v>
      </c>
      <c r="L113" s="22" t="str">
        <f>VLOOKUP(A113,'Trips&amp;Operators'!$C$1:$E$10000,3,FALSE)</f>
        <v>HILLS</v>
      </c>
      <c r="M113" s="6">
        <f t="shared" si="55"/>
        <v>2.6087962964083999E-2</v>
      </c>
      <c r="N113" s="7">
        <f t="shared" si="65"/>
        <v>37.566666668280959</v>
      </c>
      <c r="O113" s="7"/>
      <c r="P113" s="7"/>
      <c r="Q113" s="23"/>
      <c r="R113" s="23"/>
      <c r="S113" s="35">
        <f t="shared" si="56"/>
        <v>1</v>
      </c>
      <c r="T113" s="50" t="str">
        <f t="shared" si="57"/>
        <v>NorthBound</v>
      </c>
      <c r="U113" s="18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https://search-rtdc-monitor-bjffxe2xuh6vdkpspy63sjmuny.us-east-1.es.amazonaws.com/_plugin/kibana/#/discover/Steve-Slow-Train-Analysis-(2080s-and-2083s)?_g=(refreshInterval:(display:Off,section:0,value:0),time:(from:'2016-10-19 15:10:02-0600',mode:absolute,to:'2016-10-19 17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52" t="str">
        <f t="shared" si="59"/>
        <v>N</v>
      </c>
      <c r="X113" s="174">
        <f t="shared" si="60"/>
        <v>1</v>
      </c>
      <c r="Y113" s="67">
        <f t="shared" si="61"/>
        <v>4.53E-2</v>
      </c>
      <c r="Z113" s="67">
        <f t="shared" si="66"/>
        <v>23.331199999999999</v>
      </c>
      <c r="AA113" s="67">
        <f t="shared" si="62"/>
        <v>23.285899999999998</v>
      </c>
      <c r="AB113" s="64" t="str">
        <f>VLOOKUP(A113,Enforcements!$C$7:$K$21,8,0)</f>
        <v>Speed (6)</v>
      </c>
      <c r="AC113" s="60" t="str">
        <f>VLOOKUP(A113,Enforcements!$C$7:$E$21,3,0)</f>
        <v>PERMANENT SPEED RESTRICTION</v>
      </c>
      <c r="AD113" s="61" t="str">
        <f t="shared" si="63"/>
        <v>0201-19</v>
      </c>
      <c r="AE113" s="91" t="str">
        <f t="shared" si="5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113" s="88" t="str">
        <f t="shared" si="51"/>
        <v>"C:\Program Files (x86)\AstroGrep\AstroGrep.exe" /spath="%USERPROFILE%\AppData\Local\Temp\OnboardLogs" /stypes="app*4042*20161019*" /stext=" 22:.+((SYSTEM_STATE.+slice.+state.+changed )|(ment ac)|(system.+state.+changed )|(\[timeout)|(PRM\|1\|D)|(kpr)|(kdp)|(\|lc)|(penalty))" /e /r /s</v>
      </c>
      <c r="AG113" s="1" t="str">
        <f t="shared" si="64"/>
        <v>EC</v>
      </c>
      <c r="AH113" s="92" t="str">
        <f t="shared" si="52"/>
        <v>"%USERPROFILE%\Documents\GitHub\eaglep3\Utilities\RefineRTDCRunTimes.py" --tripid 201-19 --locoid 4042 --swversion DE.1.0.7.0 --startMP 204:453 --initTime 2016-10-19T16:10:02 --startdatetime 2016-10-19T16:15:40 --delay 2 --endMP 204:233312 --enddatetime 2016-10-19T16:53:14 --enforcementcount 0 &gt;&gt;C:\Users\stu\Documents\GitHub\eaglep3-reporting\EC\2016-10-19-refined-times.txt</v>
      </c>
      <c r="AI113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{"issue":{"subject":"","project_id":79,"tracker_id":40,"status_id":1,"priority_id":2,"assigned_to_id":23,"start_date":"2016-10-19","description":"","custom_fields":[{"id":1,"name":"Subdivision","value":"EC"},{"id":4,"name":"Milepost","value":"23.3312"},{"id":17,"name":"Train ID","value":"201-19"},{"id":16,"name":"Locomotive ID","value":"4042"},{"id":130,"name":"Impact","value":""},{"id":150,"name":"Time of Event (Mountain Time)","value":"16:53:14"},{"id":151,"name":"Denver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597</v>
      </c>
      <c r="B114" s="7">
        <v>4041</v>
      </c>
      <c r="C114" s="22" t="s">
        <v>99</v>
      </c>
      <c r="D114" s="22" t="s">
        <v>413</v>
      </c>
      <c r="E114" s="13">
        <v>42662.708182870374</v>
      </c>
      <c r="F114" s="13">
        <v>42662.716284722221</v>
      </c>
      <c r="G114" s="7">
        <v>2</v>
      </c>
      <c r="H114" s="13" t="s">
        <v>699</v>
      </c>
      <c r="I114" s="13">
        <v>42662.744606481479</v>
      </c>
      <c r="J114" s="7">
        <v>0</v>
      </c>
      <c r="K114" s="112" t="str">
        <f t="shared" ref="K114:K145" si="67">IF(ISEVEN(B114),(B114-1)&amp;"/"&amp;B114,B114&amp;"/"&amp;(B114+1))</f>
        <v>4041/4042</v>
      </c>
      <c r="L114" s="22" t="str">
        <f>VLOOKUP(A114,'Trips&amp;Operators'!$C$1:$E$10000,3,FALSE)</f>
        <v>HILLS</v>
      </c>
      <c r="M114" s="6">
        <f t="shared" ref="M114:M145" si="68">I114-F114</f>
        <v>2.8321759258687962E-2</v>
      </c>
      <c r="N114" s="7">
        <f t="shared" si="65"/>
        <v>40.783333332510665</v>
      </c>
      <c r="O114" s="7"/>
      <c r="P114" s="7"/>
      <c r="Q114" s="23"/>
      <c r="R114" s="23"/>
      <c r="S114" s="35">
        <f t="shared" ref="S114:S145" si="69">SUM(U114:U114)/IF(AG114="EC",12,1)</f>
        <v>1</v>
      </c>
      <c r="T114" s="50" t="str">
        <f t="shared" ref="T114:T145" si="70">IF(ISEVEN(LEFT(AD114,4)),"Southbound","NorthBound")</f>
        <v>Southbound</v>
      </c>
      <c r="U114" s="18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ref="V114:V145" si="71"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https://search-rtdc-monitor-bjffxe2xuh6vdkpspy63sjmuny.us-east-1.es.amazonaws.com/_plugin/kibana/#/discover/Steve-Slow-Train-Analysis-(2080s-and-2083s)?_g=(refreshInterval:(display:Off,section:0,value:0),time:(from:'2016-10-19 15:59:47-0600',mode:absolute,to:'2016-10-19 18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52" t="str">
        <f t="shared" ref="W114:W145" si="72">IF(AA114&lt;IF(AG114="EC",23,5.65),"Y","N")</f>
        <v>N</v>
      </c>
      <c r="X114" s="174">
        <f t="shared" ref="X114:X145" si="73">VALUE(LEFT(AD114,4))-VALUE(LEFT(AD113,4))</f>
        <v>1</v>
      </c>
      <c r="Y114" s="67">
        <f t="shared" ref="Y114:Y145" si="74">RIGHT(D114,LEN(D114)-4)/10000</f>
        <v>23.298400000000001</v>
      </c>
      <c r="Z114" s="67">
        <f t="shared" si="66"/>
        <v>1.6899999999999998E-2</v>
      </c>
      <c r="AA114" s="67">
        <f t="shared" ref="AA114:AA145" si="75">ABS(Z114-Y114)</f>
        <v>23.281500000000001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ref="AD114:AD145" si="76">IF(LEN(A114)=6,"0"&amp;A114,A114)</f>
        <v>0202-19</v>
      </c>
      <c r="AE114" s="91" t="str">
        <f t="shared" si="5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114" s="88" t="str">
        <f t="shared" si="51"/>
        <v>"C:\Program Files (x86)\AstroGrep\AstroGrep.exe" /spath="%USERPROFILE%\AppData\Local\Temp\OnboardLogs" /stypes="app*4041*20161019*" /stext=" 23:.+((SYSTEM_STATE.+slice.+state.+changed )|(ment ac)|(system.+state.+changed )|(\[timeout)|(PRM\|1\|D)|(kpr)|(kdp)|(\|lc)|(penalty))" /e /r /s</v>
      </c>
      <c r="AG114" s="1" t="str">
        <f t="shared" ref="AG114:AG145" si="77">IFERROR(IF(VALUE(LEFT(AD114,2))&lt;=2,"EC",IF(OR(VALUE(LEFT(AD114,2))=8,VALUE(LEFT(AD114,2))=18),"NW","Other")),"Other")</f>
        <v>EC</v>
      </c>
      <c r="AH114" s="92" t="str">
        <f t="shared" si="52"/>
        <v>"%USERPROFILE%\Documents\GitHub\eaglep3\Utilities\RefineRTDCRunTimes.py" --tripid 202-19 --locoid 4041 --swversion DE.1.0.7.0 --startMP 204:232984 --initTime 2016-10-19T16:59:47 --startdatetime 2016-10-19T17:11:27 --delay 2 --endMP 204:169 --enddatetime 2016-10-19T17:52:14 --enforcementcount 0 &gt;&gt;C:\Users\stu\Documents\GitHub\eaglep3-reporting\EC\2016-10-19-refined-times.txt</v>
      </c>
      <c r="AI114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{"issue":{"subject":"","project_id":79,"tracker_id":40,"status_id":1,"priority_id":2,"assigned_to_id":23,"start_date":"2016-10-19","description":"","custom_fields":[{"id":1,"name":"Subdivision","value":"EC"},{"id":4,"name":"Milepost","value":"0.0169"},{"id":17,"name":"Train ID","value":"202-19"},{"id":16,"name":"Locomotive ID","value":"4041"},{"id":130,"name":"Impact","value":""},{"id":150,"name":"Time of Event (Mountain Time)","value":"17:52:14"},{"id":151,"name":"Denver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590</v>
      </c>
      <c r="B115" s="7">
        <v>4014</v>
      </c>
      <c r="C115" s="22" t="s">
        <v>99</v>
      </c>
      <c r="D115" s="22" t="s">
        <v>248</v>
      </c>
      <c r="E115" s="13">
        <v>42662.683993055558</v>
      </c>
      <c r="F115" s="13">
        <v>42662.687719907408</v>
      </c>
      <c r="G115" s="7">
        <v>1</v>
      </c>
      <c r="H115" s="13" t="s">
        <v>414</v>
      </c>
      <c r="I115" s="13">
        <v>42662.713946759257</v>
      </c>
      <c r="J115" s="7">
        <v>0</v>
      </c>
      <c r="K115" s="112" t="str">
        <f t="shared" si="67"/>
        <v>4013/4014</v>
      </c>
      <c r="L115" s="22" t="str">
        <f>VLOOKUP(A115,'Trips&amp;Operators'!$C$1:$E$10000,3,FALSE)</f>
        <v>BARTLETT</v>
      </c>
      <c r="M115" s="6">
        <f t="shared" si="68"/>
        <v>2.622685184906004E-2</v>
      </c>
      <c r="N115" s="7">
        <f t="shared" si="65"/>
        <v>37.766666662646458</v>
      </c>
      <c r="O115" s="7"/>
      <c r="P115" s="7"/>
      <c r="Q115" s="23"/>
      <c r="R115" s="23"/>
      <c r="S115" s="35">
        <f t="shared" si="69"/>
        <v>1</v>
      </c>
      <c r="T115" s="50" t="str">
        <f t="shared" si="70"/>
        <v>NorthBound</v>
      </c>
      <c r="U115" s="18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15:24:57-0600',mode:absolute,to:'2016-10-19 18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72"/>
        <v>N</v>
      </c>
      <c r="X115" s="174">
        <f t="shared" si="73"/>
        <v>1</v>
      </c>
      <c r="Y115" s="67">
        <f t="shared" si="74"/>
        <v>4.5999999999999999E-2</v>
      </c>
      <c r="Z115" s="67">
        <f t="shared" si="66"/>
        <v>23.332899999999999</v>
      </c>
      <c r="AA115" s="67">
        <f t="shared" si="75"/>
        <v>23.286899999999999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76"/>
        <v>0203-19</v>
      </c>
      <c r="AE115" s="91" t="str">
        <f t="shared" si="5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115" s="88" t="str">
        <f t="shared" si="51"/>
        <v>"C:\Program Files (x86)\AstroGrep\AstroGrep.exe" /spath="%USERPROFILE%\AppData\Local\Temp\OnboardLogs" /stypes="app*4014*20161019*" /stext=" 23:.+((SYSTEM_STATE.+slice.+state.+changed )|(ment ac)|(system.+state.+changed )|(\[timeout)|(PRM\|1\|D)|(kpr)|(kdp)|(\|lc)|(penalty))" /e /r /s</v>
      </c>
      <c r="AG115" s="1" t="str">
        <f t="shared" si="77"/>
        <v>EC</v>
      </c>
      <c r="AH115" s="92" t="str">
        <f t="shared" si="52"/>
        <v>"%USERPROFILE%\Documents\GitHub\eaglep3\Utilities\RefineRTDCRunTimes.py" --tripid 203-19 --locoid 4014 --swversion DE.1.0.7.0 --startMP 204:460 --initTime 2016-10-19T16:24:57 --startdatetime 2016-10-19T16:30:19 --delay 1 --endMP 204:233329 --enddatetime 2016-10-19T17:08:05 --enforcementcount 0 &gt;&gt;C:\Users\stu\Documents\GitHub\eaglep3-reporting\EC\2016-10-19-refined-times.txt</v>
      </c>
      <c r="AI115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{"issue":{"subject":"","project_id":79,"tracker_id":40,"status_id":1,"priority_id":2,"assigned_to_id":23,"start_date":"2016-10-19","description":"","custom_fields":[{"id":1,"name":"Subdivision","value":"EC"},{"id":4,"name":"Milepost","value":"23.3329"},{"id":17,"name":"Train ID","value":"203-19"},{"id":16,"name":"Locomotive ID","value":"4014"},{"id":130,"name":"Impact","value":""},{"id":150,"name":"Time of Event (Mountain Time)","value":"17:08:05"},{"id":151,"name":"Denver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599</v>
      </c>
      <c r="B116" s="7">
        <v>4013</v>
      </c>
      <c r="C116" s="22" t="s">
        <v>99</v>
      </c>
      <c r="D116" s="22" t="s">
        <v>700</v>
      </c>
      <c r="E116" s="13">
        <v>42662.715729166666</v>
      </c>
      <c r="F116" s="13">
        <v>42662.726759259262</v>
      </c>
      <c r="G116" s="7">
        <v>1</v>
      </c>
      <c r="H116" s="13" t="s">
        <v>246</v>
      </c>
      <c r="I116" s="13">
        <v>42662.755231481482</v>
      </c>
      <c r="J116" s="7">
        <v>0</v>
      </c>
      <c r="K116" s="112" t="str">
        <f t="shared" si="67"/>
        <v>4013/4014</v>
      </c>
      <c r="L116" s="22" t="str">
        <f>VLOOKUP(A116,'Trips&amp;Operators'!$C$1:$E$10000,3,FALSE)</f>
        <v>BARTLETT</v>
      </c>
      <c r="M116" s="6">
        <f t="shared" si="68"/>
        <v>2.8472222220443655E-2</v>
      </c>
      <c r="N116" s="7">
        <f t="shared" ref="N116:N147" si="78">24*60*SUM($M116:$M116)</f>
        <v>40.999999997438863</v>
      </c>
      <c r="O116" s="7"/>
      <c r="P116" s="7"/>
      <c r="Q116" s="23"/>
      <c r="R116" s="23"/>
      <c r="S116" s="35">
        <f t="shared" si="69"/>
        <v>1</v>
      </c>
      <c r="T116" s="50" t="str">
        <f t="shared" si="70"/>
        <v>Southbound</v>
      </c>
      <c r="U116" s="18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16:10:39-0600',mode:absolute,to:'2016-10-19 19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72"/>
        <v>N</v>
      </c>
      <c r="X116" s="174">
        <f t="shared" si="73"/>
        <v>1</v>
      </c>
      <c r="Y116" s="67">
        <f t="shared" si="74"/>
        <v>23.301100000000002</v>
      </c>
      <c r="Z116" s="67">
        <f t="shared" ref="Z116:Z147" si="79">RIGHT(H116,LEN(H116)-4)/10000</f>
        <v>1.6E-2</v>
      </c>
      <c r="AA116" s="67">
        <f t="shared" si="75"/>
        <v>23.285100000000003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76"/>
        <v>0204-19</v>
      </c>
      <c r="AE116" s="91" t="str">
        <f t="shared" si="5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116" s="88" t="str">
        <f t="shared" si="51"/>
        <v>"C:\Program Files (x86)\AstroGrep\AstroGrep.exe" /spath="%USERPROFILE%\AppData\Local\Temp\OnboardLogs" /stypes="app*4013*20161020*" /stext=" 00:.+((SYSTEM_STATE.+slice.+state.+changed )|(ment ac)|(system.+state.+changed )|(\[timeout)|(PRM\|1\|D)|(kpr)|(kdp)|(\|lc)|(penalty))" /e /r /s</v>
      </c>
      <c r="AG116" s="1" t="str">
        <f t="shared" si="77"/>
        <v>EC</v>
      </c>
      <c r="AH116" s="92" t="str">
        <f t="shared" si="52"/>
        <v>"%USERPROFILE%\Documents\GitHub\eaglep3\Utilities\RefineRTDCRunTimes.py" --tripid 204-19 --locoid 4013 --swversion DE.1.0.7.0 --startMP 204:233011 --initTime 2016-10-19T17:10:39 --startdatetime 2016-10-19T17:26:32 --delay 1 --endMP 204:160 --enddatetime 2016-10-19T18:07:32 --enforcementcount 0 &gt;&gt;C:\Users\stu\Documents\GitHub\eaglep3-reporting\EC\2016-10-19-refined-times.txt</v>
      </c>
      <c r="AI116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{"issue":{"subject":"","project_id":79,"tracker_id":40,"status_id":1,"priority_id":2,"assigned_to_id":23,"start_date":"2016-10-19","description":"","custom_fields":[{"id":1,"name":"Subdivision","value":"EC"},{"id":4,"name":"Milepost","value":"0.016"},{"id":17,"name":"Train ID","value":"204-19"},{"id":16,"name":"Locomotive ID","value":"4013"},{"id":130,"name":"Impact","value":""},{"id":150,"name":"Time of Event (Mountain Time)","value":"18:07:32"},{"id":151,"name":"Denver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593</v>
      </c>
      <c r="B117" s="7">
        <v>4002</v>
      </c>
      <c r="C117" s="22" t="s">
        <v>99</v>
      </c>
      <c r="D117" s="22" t="s">
        <v>661</v>
      </c>
      <c r="E117" s="13">
        <v>42662.694895833331</v>
      </c>
      <c r="F117" s="13">
        <v>42662.698148148149</v>
      </c>
      <c r="G117" s="7">
        <v>1</v>
      </c>
      <c r="H117" s="13" t="s">
        <v>195</v>
      </c>
      <c r="I117" s="13">
        <v>42662.722326388888</v>
      </c>
      <c r="J117" s="7">
        <v>0</v>
      </c>
      <c r="K117" s="112" t="str">
        <f t="shared" si="67"/>
        <v>4001/4002</v>
      </c>
      <c r="L117" s="22" t="str">
        <f>VLOOKUP(A117,'Trips&amp;Operators'!$C$1:$E$10000,3,FALSE)</f>
        <v>HELVIE</v>
      </c>
      <c r="M117" s="6">
        <f t="shared" si="68"/>
        <v>2.417824073927477E-2</v>
      </c>
      <c r="N117" s="7">
        <f t="shared" si="78"/>
        <v>34.816666664555669</v>
      </c>
      <c r="O117" s="7"/>
      <c r="P117" s="7"/>
      <c r="Q117" s="23"/>
      <c r="R117" s="23"/>
      <c r="S117" s="35">
        <f t="shared" si="69"/>
        <v>1</v>
      </c>
      <c r="T117" s="50" t="str">
        <f t="shared" si="70"/>
        <v>NorthBound</v>
      </c>
      <c r="U117" s="18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15:40:39-0600',mode:absolute,to:'2016-10-19 18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7" s="52" t="str">
        <f t="shared" si="72"/>
        <v>N</v>
      </c>
      <c r="X117" s="174">
        <f t="shared" si="73"/>
        <v>1</v>
      </c>
      <c r="Y117" s="67">
        <f t="shared" si="74"/>
        <v>4.7699999999999999E-2</v>
      </c>
      <c r="Z117" s="67">
        <f t="shared" si="79"/>
        <v>23.329699999999999</v>
      </c>
      <c r="AA117" s="67">
        <f t="shared" si="75"/>
        <v>23.282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76"/>
        <v>0205-19</v>
      </c>
      <c r="AE117" s="91" t="str">
        <f t="shared" si="5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117" s="88" t="str">
        <f t="shared" si="51"/>
        <v>"C:\Program Files (x86)\AstroGrep\AstroGrep.exe" /spath="%USERPROFILE%\AppData\Local\Temp\OnboardLogs" /stypes="app*4002*20161019*" /stext=" 23:.+((SYSTEM_STATE.+slice.+state.+changed )|(ment ac)|(system.+state.+changed )|(\[timeout)|(PRM\|1\|D)|(kpr)|(kdp)|(\|lc)|(penalty))" /e /r /s</v>
      </c>
      <c r="AG117" s="1" t="str">
        <f t="shared" si="77"/>
        <v>EC</v>
      </c>
      <c r="AH117" s="92" t="str">
        <f t="shared" si="52"/>
        <v>"%USERPROFILE%\Documents\GitHub\eaglep3\Utilities\RefineRTDCRunTimes.py" --tripid 205-19 --locoid 4002 --swversion DE.1.0.7.0 --startMP 204:477 --initTime 2016-10-19T16:40:39 --startdatetime 2016-10-19T16:45:20 --delay 1 --endMP 204:233297 --enddatetime 2016-10-19T17:20:09 --enforcementcount 0 &gt;&gt;C:\Users\stu\Documents\GitHub\eaglep3-reporting\EC\2016-10-19-refined-times.txt</v>
      </c>
      <c r="AI117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{"issue":{"subject":"","project_id":79,"tracker_id":40,"status_id":1,"priority_id":2,"assigned_to_id":23,"start_date":"2016-10-19","description":"","custom_fields":[{"id":1,"name":"Subdivision","value":"EC"},{"id":4,"name":"Milepost","value":"23.3297"},{"id":17,"name":"Train ID","value":"205-19"},{"id":16,"name":"Locomotive ID","value":"4002"},{"id":130,"name":"Impact","value":""},{"id":150,"name":"Time of Event (Mountain Time)","value":"17:20:09"},{"id":151,"name":"Denver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605</v>
      </c>
      <c r="B118" s="7">
        <v>4001</v>
      </c>
      <c r="C118" s="22" t="s">
        <v>99</v>
      </c>
      <c r="D118" s="22" t="s">
        <v>682</v>
      </c>
      <c r="E118" s="13">
        <v>42662.732824074075</v>
      </c>
      <c r="F118" s="13">
        <v>42662.737233796295</v>
      </c>
      <c r="G118" s="7">
        <v>1</v>
      </c>
      <c r="H118" s="13" t="s">
        <v>246</v>
      </c>
      <c r="I118" s="13">
        <v>42662.765543981484</v>
      </c>
      <c r="J118" s="7">
        <v>0</v>
      </c>
      <c r="K118" s="112" t="str">
        <f t="shared" si="67"/>
        <v>4001/4002</v>
      </c>
      <c r="L118" s="22" t="str">
        <f>VLOOKUP(A118,'Trips&amp;Operators'!$C$1:$E$10000,3,FALSE)</f>
        <v>HELVIE</v>
      </c>
      <c r="M118" s="6">
        <f t="shared" si="68"/>
        <v>2.8310185189184267E-2</v>
      </c>
      <c r="N118" s="7">
        <f t="shared" si="78"/>
        <v>40.766666672425345</v>
      </c>
      <c r="O118" s="7"/>
      <c r="P118" s="7"/>
      <c r="Q118" s="23"/>
      <c r="R118" s="23"/>
      <c r="S118" s="35">
        <f t="shared" si="69"/>
        <v>1</v>
      </c>
      <c r="T118" s="50" t="str">
        <f t="shared" si="70"/>
        <v>Southbound</v>
      </c>
      <c r="U118" s="18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16:35:16-0600',mode:absolute,to:'2016-10-19 19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8" s="52" t="str">
        <f t="shared" si="72"/>
        <v>N</v>
      </c>
      <c r="X118" s="174">
        <f t="shared" si="73"/>
        <v>1</v>
      </c>
      <c r="Y118" s="67">
        <f t="shared" si="74"/>
        <v>23.296299999999999</v>
      </c>
      <c r="Z118" s="67">
        <f t="shared" si="79"/>
        <v>1.6E-2</v>
      </c>
      <c r="AA118" s="67">
        <f t="shared" si="75"/>
        <v>23.2803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76"/>
        <v>0206-19</v>
      </c>
      <c r="AE118" s="91" t="str">
        <f t="shared" si="5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118" s="88" t="str">
        <f t="shared" si="51"/>
        <v>"C:\Program Files (x86)\AstroGrep\AstroGrep.exe" /spath="%USERPROFILE%\AppData\Local\Temp\OnboardLogs" /stypes="app*4001*20161020*" /stext=" 00:.+((SYSTEM_STATE.+slice.+state.+changed )|(ment ac)|(system.+state.+changed )|(\[timeout)|(PRM\|1\|D)|(kpr)|(kdp)|(\|lc)|(penalty))" /e /r /s</v>
      </c>
      <c r="AG118" s="1" t="str">
        <f t="shared" si="77"/>
        <v>EC</v>
      </c>
      <c r="AH118" s="92" t="str">
        <f t="shared" si="52"/>
        <v>"%USERPROFILE%\Documents\GitHub\eaglep3\Utilities\RefineRTDCRunTimes.py" --tripid 206-19 --locoid 4001 --swversion DE.1.0.7.0 --startMP 204:232963 --initTime 2016-10-19T17:35:16 --startdatetime 2016-10-19T17:41:37 --delay 1 --endMP 204:160 --enddatetime 2016-10-19T18:22:23 --enforcementcount 0 &gt;&gt;C:\Users\stu\Documents\GitHub\eaglep3-reporting\EC\2016-10-19-refined-times.txt</v>
      </c>
      <c r="AI118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{"issue":{"subject":"","project_id":79,"tracker_id":40,"status_id":1,"priority_id":2,"assigned_to_id":23,"start_date":"2016-10-19","description":"","custom_fields":[{"id":1,"name":"Subdivision","value":"EC"},{"id":4,"name":"Milepost","value":"0.016"},{"id":17,"name":"Train ID","value":"206-19"},{"id":16,"name":"Locomotive ID","value":"4001"},{"id":130,"name":"Impact","value":""},{"id":150,"name":"Time of Event (Mountain Time)","value":"18:22:23"},{"id":151,"name":"Denver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596</v>
      </c>
      <c r="B119" s="7">
        <v>4040</v>
      </c>
      <c r="C119" s="22" t="s">
        <v>99</v>
      </c>
      <c r="D119" s="22" t="s">
        <v>415</v>
      </c>
      <c r="E119" s="13">
        <v>42662.706030092595</v>
      </c>
      <c r="F119" s="13">
        <v>42662.708703703705</v>
      </c>
      <c r="G119" s="7">
        <v>1</v>
      </c>
      <c r="H119" s="13" t="s">
        <v>250</v>
      </c>
      <c r="I119" s="13">
        <v>42662.735034722224</v>
      </c>
      <c r="J119" s="7">
        <v>0</v>
      </c>
      <c r="K119" s="112" t="str">
        <f t="shared" si="67"/>
        <v>4039/4040</v>
      </c>
      <c r="L119" s="22" t="str">
        <f>VLOOKUP(A119,'Trips&amp;Operators'!$C$1:$E$10000,3,FALSE)</f>
        <v>ARVIDSON</v>
      </c>
      <c r="M119" s="6">
        <f t="shared" si="68"/>
        <v>2.6331018518249039E-2</v>
      </c>
      <c r="N119" s="7">
        <f t="shared" si="78"/>
        <v>37.916666666278616</v>
      </c>
      <c r="O119" s="7"/>
      <c r="P119" s="7"/>
      <c r="Q119" s="23"/>
      <c r="R119" s="23"/>
      <c r="S119" s="35">
        <f t="shared" si="69"/>
        <v>1</v>
      </c>
      <c r="T119" s="50" t="str">
        <f t="shared" si="70"/>
        <v>NorthBound</v>
      </c>
      <c r="U119" s="18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15:56:41-0600',mode:absolute,to:'2016-10-19 18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2" t="str">
        <f t="shared" si="72"/>
        <v>N</v>
      </c>
      <c r="X119" s="174">
        <f t="shared" si="73"/>
        <v>1</v>
      </c>
      <c r="Y119" s="67">
        <f t="shared" si="74"/>
        <v>4.6199999999999998E-2</v>
      </c>
      <c r="Z119" s="67">
        <f t="shared" si="79"/>
        <v>23.328900000000001</v>
      </c>
      <c r="AA119" s="67">
        <f t="shared" si="75"/>
        <v>23.282700000000002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76"/>
        <v>0207-19</v>
      </c>
      <c r="AE119" s="91" t="str">
        <f t="shared" si="50"/>
        <v>aws s3 cp s3://rtdc.mdm.uploadarchive.raw/RTDC4040/ "%USERPROFILE%\AppData\Local\Temp\OnboardLogs"\RTDC4040\2016-10-19 --exclude "*" --recursive --include "*20161019*" &amp; "%USERPROFILE%\Documents\GitHub\mrs-test-scripts\Headless Mode &amp; Sideloading\WalkAndUnGZ.bat" "%USERPROFILE%\AppData\Local\Temp\OnboardLogs"\RTDC4040\2016-10-19 &amp; 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</v>
      </c>
      <c r="AF119" s="88" t="str">
        <f t="shared" si="51"/>
        <v>"C:\Program Files (x86)\AstroGrep\AstroGrep.exe" /spath="%USERPROFILE%\AppData\Local\Temp\OnboardLogs" /stypes="app*4040*20161019*" /stext=" 23:.+((SYSTEM_STATE.+slice.+state.+changed )|(ment ac)|(system.+state.+changed )|(\[timeout)|(PRM\|1\|D)|(kpr)|(kdp)|(\|lc)|(penalty))" /e /r /s</v>
      </c>
      <c r="AG119" s="1" t="str">
        <f t="shared" si="77"/>
        <v>EC</v>
      </c>
      <c r="AH119" s="92" t="str">
        <f t="shared" si="52"/>
        <v>"%USERPROFILE%\Documents\GitHub\eaglep3\Utilities\RefineRTDCRunTimes.py" --tripid 207-19 --locoid 4040 --swversion DE.1.0.7.0 --startMP 204:462 --initTime 2016-10-19T16:56:41 --startdatetime 2016-10-19T17:00:32 --delay 1 --endMP 204:233289 --enddatetime 2016-10-19T17:38:27 --enforcementcount 0 &gt;&gt;C:\Users\stu\Documents\GitHub\eaglep3-reporting\EC\2016-10-19-refined-times.txt</v>
      </c>
      <c r="AI119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{"issue":{"subject":"","project_id":79,"tracker_id":40,"status_id":1,"priority_id":2,"assigned_to_id":23,"start_date":"2016-10-19","description":"","custom_fields":[{"id":1,"name":"Subdivision","value":"EC"},{"id":4,"name":"Milepost","value":"23.3289"},{"id":17,"name":"Train ID","value":"207-19"},{"id":16,"name":"Locomotive ID","value":"4040"},{"id":130,"name":"Impact","value":""},{"id":150,"name":"Time of Event (Mountain Time)","value":"17:38:27"},{"id":151,"name":"Denver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609</v>
      </c>
      <c r="B120" s="7">
        <v>4039</v>
      </c>
      <c r="C120" s="22" t="s">
        <v>99</v>
      </c>
      <c r="D120" s="22" t="s">
        <v>689</v>
      </c>
      <c r="E120" s="13">
        <v>42662.743946759256</v>
      </c>
      <c r="F120" s="13">
        <v>42662.747488425928</v>
      </c>
      <c r="G120" s="7">
        <v>1</v>
      </c>
      <c r="H120" s="13" t="s">
        <v>176</v>
      </c>
      <c r="I120" s="13">
        <v>42662.777013888888</v>
      </c>
      <c r="J120" s="7">
        <v>0</v>
      </c>
      <c r="K120" s="112" t="str">
        <f t="shared" si="67"/>
        <v>4039/4040</v>
      </c>
      <c r="L120" s="22" t="str">
        <f>VLOOKUP(A120,'Trips&amp;Operators'!$C$1:$E$10000,3,FALSE)</f>
        <v>ARVIDSON</v>
      </c>
      <c r="M120" s="6">
        <f t="shared" si="68"/>
        <v>2.9525462960009463E-2</v>
      </c>
      <c r="N120" s="7">
        <f t="shared" si="78"/>
        <v>42.516666662413627</v>
      </c>
      <c r="O120" s="7"/>
      <c r="P120" s="7"/>
      <c r="Q120" s="23"/>
      <c r="R120" s="23"/>
      <c r="S120" s="35">
        <f t="shared" si="69"/>
        <v>1</v>
      </c>
      <c r="T120" s="50" t="str">
        <f t="shared" si="70"/>
        <v>Southbound</v>
      </c>
      <c r="U120" s="18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16:51:17-0600',mode:absolute,to:'2016-10-19 19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2" t="str">
        <f t="shared" si="72"/>
        <v>N</v>
      </c>
      <c r="X120" s="174">
        <f t="shared" si="73"/>
        <v>1</v>
      </c>
      <c r="Y120" s="67">
        <f t="shared" si="74"/>
        <v>23.299299999999999</v>
      </c>
      <c r="Z120" s="67">
        <f t="shared" si="79"/>
        <v>1.47E-2</v>
      </c>
      <c r="AA120" s="67">
        <f t="shared" si="75"/>
        <v>23.284599999999998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76"/>
        <v>0208-19</v>
      </c>
      <c r="AE120" s="91" t="str">
        <f t="shared" si="50"/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AF120" s="88" t="str">
        <f t="shared" si="51"/>
        <v>"C:\Program Files (x86)\AstroGrep\AstroGrep.exe" /spath="%USERPROFILE%\AppData\Local\Temp\OnboardLogs" /stypes="app*4039*20161020*" /stext=" 00:.+((SYSTEM_STATE.+slice.+state.+changed )|(ment ac)|(system.+state.+changed )|(\[timeout)|(PRM\|1\|D)|(kpr)|(kdp)|(\|lc)|(penalty))" /e /r /s</v>
      </c>
      <c r="AG120" s="1" t="str">
        <f t="shared" si="77"/>
        <v>EC</v>
      </c>
      <c r="AH120" s="92" t="str">
        <f t="shared" si="52"/>
        <v>"%USERPROFILE%\Documents\GitHub\eaglep3\Utilities\RefineRTDCRunTimes.py" --tripid 208-19 --locoid 4039 --swversion DE.1.0.7.0 --startMP 204:232993 --initTime 2016-10-19T17:51:17 --startdatetime 2016-10-19T17:56:23 --delay 1 --endMP 204:147 --enddatetime 2016-10-19T18:38:54 --enforcementcount 0 &gt;&gt;C:\Users\stu\Documents\GitHub\eaglep3-reporting\EC\2016-10-19-refined-times.txt</v>
      </c>
      <c r="AI120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{"issue":{"subject":"","project_id":79,"tracker_id":40,"status_id":1,"priority_id":2,"assigned_to_id":23,"start_date":"2016-10-19","description":"","custom_fields":[{"id":1,"name":"Subdivision","value":"EC"},{"id":4,"name":"Milepost","value":"0.0147"},{"id":17,"name":"Train ID","value":"208-19"},{"id":16,"name":"Locomotive ID","value":"4039"},{"id":130,"name":"Impact","value":""},{"id":150,"name":"Time of Event (Mountain Time)","value":"18:38:54"},{"id":151,"name":"Denver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603</v>
      </c>
      <c r="B121" s="7">
        <v>4046</v>
      </c>
      <c r="C121" s="22" t="s">
        <v>99</v>
      </c>
      <c r="D121" s="22" t="s">
        <v>252</v>
      </c>
      <c r="E121" s="13">
        <v>42662.719756944447</v>
      </c>
      <c r="F121" s="13">
        <v>42662.72142361111</v>
      </c>
      <c r="G121" s="7">
        <v>1</v>
      </c>
      <c r="H121" s="13" t="s">
        <v>251</v>
      </c>
      <c r="I121" s="13">
        <v>42662.747175925928</v>
      </c>
      <c r="J121" s="7">
        <v>0</v>
      </c>
      <c r="K121" s="112" t="str">
        <f t="shared" si="67"/>
        <v>4045/4046</v>
      </c>
      <c r="L121" s="22" t="str">
        <f>VLOOKUP(A121,'Trips&amp;Operators'!$C$1:$E$10000,3,FALSE)</f>
        <v>STURGEON</v>
      </c>
      <c r="M121" s="6">
        <f t="shared" si="68"/>
        <v>2.5752314817509614E-2</v>
      </c>
      <c r="N121" s="7">
        <f t="shared" si="78"/>
        <v>37.083333337213844</v>
      </c>
      <c r="O121" s="7"/>
      <c r="P121" s="7"/>
      <c r="Q121" s="23"/>
      <c r="R121" s="23"/>
      <c r="S121" s="35">
        <f t="shared" si="69"/>
        <v>1</v>
      </c>
      <c r="T121" s="50" t="str">
        <f t="shared" si="70"/>
        <v>NorthBound</v>
      </c>
      <c r="U121" s="18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16:16:27-0600',mode:absolute,to:'2016-10-19 18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1" s="52" t="str">
        <f t="shared" si="72"/>
        <v>N</v>
      </c>
      <c r="X121" s="174">
        <f t="shared" si="73"/>
        <v>1</v>
      </c>
      <c r="Y121" s="67">
        <f t="shared" si="74"/>
        <v>4.6899999999999997E-2</v>
      </c>
      <c r="Z121" s="67">
        <f t="shared" si="79"/>
        <v>23.3291</v>
      </c>
      <c r="AA121" s="67">
        <f t="shared" si="75"/>
        <v>23.2822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76"/>
        <v>0209-19</v>
      </c>
      <c r="AE121" s="91" t="str">
        <f t="shared" si="5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121" s="88" t="str">
        <f t="shared" si="51"/>
        <v>"C:\Program Files (x86)\AstroGrep\AstroGrep.exe" /spath="%USERPROFILE%\AppData\Local\Temp\OnboardLogs" /stypes="app*4046*20161019*" /stext=" 23:.+((SYSTEM_STATE.+slice.+state.+changed )|(ment ac)|(system.+state.+changed )|(\[timeout)|(PRM\|1\|D)|(kpr)|(kdp)|(\|lc)|(penalty))" /e /r /s</v>
      </c>
      <c r="AG121" s="1" t="str">
        <f t="shared" si="77"/>
        <v>EC</v>
      </c>
      <c r="AH121" s="92" t="str">
        <f t="shared" si="52"/>
        <v>"%USERPROFILE%\Documents\GitHub\eaglep3\Utilities\RefineRTDCRunTimes.py" --tripid 209-19 --locoid 4046 --swversion DE.1.0.7.0 --startMP 204:469 --initTime 2016-10-19T17:16:27 --startdatetime 2016-10-19T17:18:51 --delay 1 --endMP 204:233291 --enddatetime 2016-10-19T17:55:56 --enforcementcount 0 &gt;&gt;C:\Users\stu\Documents\GitHub\eaglep3-reporting\EC\2016-10-19-refined-times.txt</v>
      </c>
      <c r="AI121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{"issue":{"subject":"","project_id":79,"tracker_id":40,"status_id":1,"priority_id":2,"assigned_to_id":23,"start_date":"2016-10-19","description":"","custom_fields":[{"id":1,"name":"Subdivision","value":"EC"},{"id":4,"name":"Milepost","value":"23.3291"},{"id":17,"name":"Train ID","value":"209-19"},{"id":16,"name":"Locomotive ID","value":"4046"},{"id":130,"name":"Impact","value":""},{"id":150,"name":"Time of Event (Mountain Time)","value":"17:55:56"},{"id":151,"name":"Denver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612</v>
      </c>
      <c r="B122" s="7">
        <v>4045</v>
      </c>
      <c r="C122" s="22" t="s">
        <v>99</v>
      </c>
      <c r="D122" s="22" t="s">
        <v>332</v>
      </c>
      <c r="E122" s="13">
        <v>42662.753113425926</v>
      </c>
      <c r="F122" s="13">
        <v>42662.758240740739</v>
      </c>
      <c r="G122" s="7">
        <v>2</v>
      </c>
      <c r="H122" s="13" t="s">
        <v>224</v>
      </c>
      <c r="I122" s="13">
        <v>42662.78601851852</v>
      </c>
      <c r="J122" s="7">
        <v>0</v>
      </c>
      <c r="K122" s="112" t="str">
        <f t="shared" si="67"/>
        <v>4045/4046</v>
      </c>
      <c r="L122" s="22" t="str">
        <f>VLOOKUP(A122,'Trips&amp;Operators'!$C$1:$E$10000,3,FALSE)</f>
        <v>STURGEON</v>
      </c>
      <c r="M122" s="6">
        <f t="shared" si="68"/>
        <v>2.7777777781011537E-2</v>
      </c>
      <c r="N122" s="7">
        <f t="shared" si="78"/>
        <v>40.000000004656613</v>
      </c>
      <c r="O122" s="7"/>
      <c r="P122" s="7"/>
      <c r="Q122" s="23"/>
      <c r="R122" s="23"/>
      <c r="S122" s="35">
        <f t="shared" si="69"/>
        <v>1</v>
      </c>
      <c r="T122" s="50" t="str">
        <f t="shared" si="70"/>
        <v>Southbound</v>
      </c>
      <c r="U122" s="18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17:04:29-0600',mode:absolute,to:'2016-10-19 19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2" s="52" t="str">
        <f t="shared" si="72"/>
        <v>N</v>
      </c>
      <c r="X122" s="174">
        <f t="shared" si="73"/>
        <v>1</v>
      </c>
      <c r="Y122" s="67">
        <f t="shared" si="74"/>
        <v>23.297499999999999</v>
      </c>
      <c r="Z122" s="67">
        <f t="shared" si="79"/>
        <v>1.61E-2</v>
      </c>
      <c r="AA122" s="67">
        <f t="shared" si="75"/>
        <v>23.281399999999998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76"/>
        <v>0210-19</v>
      </c>
      <c r="AE122" s="91" t="str">
        <f t="shared" si="5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122" s="88" t="str">
        <f t="shared" si="51"/>
        <v>"C:\Program Files (x86)\AstroGrep\AstroGrep.exe" /spath="%USERPROFILE%\AppData\Local\Temp\OnboardLogs" /stypes="app*4045*20161020*" /stext=" 00:.+((SYSTEM_STATE.+slice.+state.+changed )|(ment ac)|(system.+state.+changed )|(\[timeout)|(PRM\|1\|D)|(kpr)|(kdp)|(\|lc)|(penalty))" /e /r /s</v>
      </c>
      <c r="AG122" s="1" t="str">
        <f t="shared" si="77"/>
        <v>EC</v>
      </c>
      <c r="AH122" s="92" t="str">
        <f t="shared" si="52"/>
        <v>"%USERPROFILE%\Documents\GitHub\eaglep3\Utilities\RefineRTDCRunTimes.py" --tripid 210-19 --locoid 4045 --swversion DE.1.0.7.0 --startMP 204:232975 --initTime 2016-10-19T18:04:29 --startdatetime 2016-10-19T18:11:52 --delay 2 --endMP 204:161 --enddatetime 2016-10-19T18:51:52 --enforcementcount 0 &gt;&gt;C:\Users\stu\Documents\GitHub\eaglep3-reporting\EC\2016-10-19-refined-times.txt</v>
      </c>
      <c r="AI122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{"issue":{"subject":"","project_id":79,"tracker_id":40,"status_id":1,"priority_id":2,"assigned_to_id":23,"start_date":"2016-10-19","description":"","custom_fields":[{"id":1,"name":"Subdivision","value":"EC"},{"id":4,"name":"Milepost","value":"0.0161"},{"id":17,"name":"Train ID","value":"210-19"},{"id":16,"name":"Locomotive ID","value":"4045"},{"id":130,"name":"Impact","value":""},{"id":150,"name":"Time of Event (Mountain Time)","value":"18:51:52"},{"id":151,"name":"Denver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604</v>
      </c>
      <c r="B123" s="7">
        <v>4011</v>
      </c>
      <c r="C123" s="22" t="s">
        <v>99</v>
      </c>
      <c r="D123" s="22" t="s">
        <v>253</v>
      </c>
      <c r="E123" s="13">
        <v>42662.727743055555</v>
      </c>
      <c r="F123" s="13">
        <v>42662.730636574073</v>
      </c>
      <c r="G123" s="7">
        <v>3</v>
      </c>
      <c r="H123" s="13" t="s">
        <v>275</v>
      </c>
      <c r="I123" s="13">
        <v>42662.755555555559</v>
      </c>
      <c r="J123" s="7">
        <v>0</v>
      </c>
      <c r="K123" s="112" t="str">
        <f t="shared" si="67"/>
        <v>4011/4012</v>
      </c>
      <c r="L123" s="22" t="str">
        <f>VLOOKUP(A123,'Trips&amp;Operators'!$C$1:$E$10000,3,FALSE)</f>
        <v>PUGH</v>
      </c>
      <c r="M123" s="6">
        <f t="shared" si="68"/>
        <v>2.4918981485825498E-2</v>
      </c>
      <c r="N123" s="7">
        <f t="shared" si="78"/>
        <v>35.883333339588717</v>
      </c>
      <c r="O123" s="7"/>
      <c r="P123" s="7"/>
      <c r="Q123" s="23"/>
      <c r="R123" s="23"/>
      <c r="S123" s="35">
        <f t="shared" si="69"/>
        <v>1</v>
      </c>
      <c r="T123" s="50" t="str">
        <f t="shared" si="70"/>
        <v>NorthBound</v>
      </c>
      <c r="U123" s="18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16:27:57-0600',mode:absolute,to:'2016-10-19 19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3" s="52" t="str">
        <f t="shared" si="72"/>
        <v>N</v>
      </c>
      <c r="X123" s="174">
        <f t="shared" si="73"/>
        <v>1</v>
      </c>
      <c r="Y123" s="67">
        <f t="shared" si="74"/>
        <v>4.5100000000000001E-2</v>
      </c>
      <c r="Z123" s="67">
        <f t="shared" si="79"/>
        <v>23.331499999999998</v>
      </c>
      <c r="AA123" s="67">
        <f t="shared" si="75"/>
        <v>23.286399999999997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76"/>
        <v>0211-19</v>
      </c>
      <c r="AE123" s="91" t="str">
        <f t="shared" si="50"/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AF123" s="88" t="str">
        <f t="shared" si="51"/>
        <v>"C:\Program Files (x86)\AstroGrep\AstroGrep.exe" /spath="%USERPROFILE%\AppData\Local\Temp\OnboardLogs" /stypes="app*4011*20161020*" /stext=" 00:.+((SYSTEM_STATE.+slice.+state.+changed )|(ment ac)|(system.+state.+changed )|(\[timeout)|(PRM\|1\|D)|(kpr)|(kdp)|(\|lc)|(penalty))" /e /r /s</v>
      </c>
      <c r="AG123" s="1" t="str">
        <f t="shared" si="77"/>
        <v>EC</v>
      </c>
      <c r="AH123" s="92" t="str">
        <f t="shared" si="52"/>
        <v>"%USERPROFILE%\Documents\GitHub\eaglep3\Utilities\RefineRTDCRunTimes.py" --tripid 211-19 --locoid 4011 --swversion DE.1.0.7.0 --startMP 204:451 --initTime 2016-10-19T17:27:57 --startdatetime 2016-10-19T17:32:07 --delay 3 --endMP 204:233315 --enddatetime 2016-10-19T18:08:00 --enforcementcount 0 &gt;&gt;C:\Users\stu\Documents\GitHub\eaglep3-reporting\EC\2016-10-19-refined-times.txt</v>
      </c>
      <c r="AI123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{"issue":{"subject":"","project_id":79,"tracker_id":40,"status_id":1,"priority_id":2,"assigned_to_id":23,"start_date":"2016-10-19","description":"","custom_fields":[{"id":1,"name":"Subdivision","value":"EC"},{"id":4,"name":"Milepost","value":"23.3315"},{"id":17,"name":"Train ID","value":"211-19"},{"id":16,"name":"Locomotive ID","value":"4011"},{"id":130,"name":"Impact","value":""},{"id":150,"name":"Time of Event (Mountain Time)","value":"18:08:00"},{"id":151,"name":"Denver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615</v>
      </c>
      <c r="B124" s="7">
        <v>4012</v>
      </c>
      <c r="C124" s="22" t="s">
        <v>99</v>
      </c>
      <c r="D124" s="22" t="s">
        <v>277</v>
      </c>
      <c r="E124" s="13">
        <v>42662.759027777778</v>
      </c>
      <c r="F124" s="13">
        <v>42662.768692129626</v>
      </c>
      <c r="G124" s="7">
        <v>1</v>
      </c>
      <c r="H124" s="13" t="s">
        <v>224</v>
      </c>
      <c r="I124" s="13">
        <v>42662.795208333337</v>
      </c>
      <c r="J124" s="7">
        <v>0</v>
      </c>
      <c r="K124" s="112" t="str">
        <f t="shared" si="67"/>
        <v>4011/4012</v>
      </c>
      <c r="L124" s="22" t="str">
        <f>VLOOKUP(A124,'Trips&amp;Operators'!$C$1:$E$10000,3,FALSE)</f>
        <v>PUGH</v>
      </c>
      <c r="M124" s="6">
        <f t="shared" si="68"/>
        <v>2.6516203710343689E-2</v>
      </c>
      <c r="N124" s="7">
        <f t="shared" si="78"/>
        <v>38.183333342894912</v>
      </c>
      <c r="O124" s="7"/>
      <c r="P124" s="7"/>
      <c r="Q124" s="23"/>
      <c r="R124" s="23"/>
      <c r="S124" s="35">
        <f t="shared" si="69"/>
        <v>1</v>
      </c>
      <c r="T124" s="50" t="str">
        <f t="shared" si="70"/>
        <v>Southbound</v>
      </c>
      <c r="U124" s="18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17:13:00-0600',mode:absolute,to:'2016-10-19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4" s="52" t="str">
        <f t="shared" si="72"/>
        <v>N</v>
      </c>
      <c r="X124" s="174">
        <f t="shared" si="73"/>
        <v>1</v>
      </c>
      <c r="Y124" s="67">
        <f t="shared" si="74"/>
        <v>23.299099999999999</v>
      </c>
      <c r="Z124" s="67">
        <f t="shared" si="79"/>
        <v>1.61E-2</v>
      </c>
      <c r="AA124" s="67">
        <f t="shared" si="75"/>
        <v>23.282999999999998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76"/>
        <v>0212-19</v>
      </c>
      <c r="AE124" s="91" t="str">
        <f t="shared" si="50"/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AF124" s="88" t="str">
        <f t="shared" si="51"/>
        <v>"C:\Program Files (x86)\AstroGrep\AstroGrep.exe" /spath="%USERPROFILE%\AppData\Local\Temp\OnboardLogs" /stypes="app*4012*20161020*" /stext=" 01:.+((SYSTEM_STATE.+slice.+state.+changed )|(ment ac)|(system.+state.+changed )|(\[timeout)|(PRM\|1\|D)|(kpr)|(kdp)|(\|lc)|(penalty))" /e /r /s</v>
      </c>
      <c r="AG124" s="1" t="str">
        <f t="shared" si="77"/>
        <v>EC</v>
      </c>
      <c r="AH124" s="92" t="str">
        <f t="shared" si="52"/>
        <v>"%USERPROFILE%\Documents\GitHub\eaglep3\Utilities\RefineRTDCRunTimes.py" --tripid 212-19 --locoid 4012 --swversion DE.1.0.7.0 --startMP 204:232991 --initTime 2016-10-19T18:13:00 --startdatetime 2016-10-19T18:26:55 --delay 1 --endMP 204:161 --enddatetime 2016-10-19T19:05:06 --enforcementcount 0 &gt;&gt;C:\Users\stu\Documents\GitHub\eaglep3-reporting\EC\2016-10-19-refined-times.txt</v>
      </c>
      <c r="AI124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{"issue":{"subject":"","project_id":79,"tracker_id":40,"status_id":1,"priority_id":2,"assigned_to_id":23,"start_date":"2016-10-19","description":"","custom_fields":[{"id":1,"name":"Subdivision","value":"EC"},{"id":4,"name":"Milepost","value":"0.0161"},{"id":17,"name":"Train ID","value":"212-19"},{"id":16,"name":"Locomotive ID","value":"4012"},{"id":130,"name":"Impact","value":""},{"id":150,"name":"Time of Event (Mountain Time)","value":"19:05:06"},{"id":151,"name":"Denver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607</v>
      </c>
      <c r="B125" s="7">
        <v>4025</v>
      </c>
      <c r="C125" s="22" t="s">
        <v>99</v>
      </c>
      <c r="D125" s="22" t="s">
        <v>241</v>
      </c>
      <c r="E125" s="13">
        <v>42662.736701388887</v>
      </c>
      <c r="F125" s="13">
        <v>42662.739814814813</v>
      </c>
      <c r="G125" s="7">
        <v>1</v>
      </c>
      <c r="H125" s="13" t="s">
        <v>410</v>
      </c>
      <c r="I125" s="13">
        <v>42662.764062499999</v>
      </c>
      <c r="J125" s="7">
        <v>0</v>
      </c>
      <c r="K125" s="112" t="str">
        <f t="shared" si="67"/>
        <v>4025/4026</v>
      </c>
      <c r="L125" s="22" t="str">
        <f>VLOOKUP(A125,'Trips&amp;Operators'!$C$1:$E$10000,3,FALSE)</f>
        <v>YANAI</v>
      </c>
      <c r="M125" s="6">
        <f t="shared" si="68"/>
        <v>2.4247685185400769E-2</v>
      </c>
      <c r="N125" s="7">
        <f t="shared" si="78"/>
        <v>34.916666666977108</v>
      </c>
      <c r="O125" s="7"/>
      <c r="P125" s="7"/>
      <c r="Q125" s="23"/>
      <c r="R125" s="23"/>
      <c r="S125" s="35">
        <f t="shared" si="69"/>
        <v>1</v>
      </c>
      <c r="T125" s="50" t="str">
        <f t="shared" si="70"/>
        <v>NorthBound</v>
      </c>
      <c r="U125" s="18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16:40:51-0600',mode:absolute,to:'2016-10-19 19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52" t="str">
        <f t="shared" si="72"/>
        <v>N</v>
      </c>
      <c r="X125" s="174">
        <f t="shared" si="73"/>
        <v>1</v>
      </c>
      <c r="Y125" s="67">
        <f t="shared" si="74"/>
        <v>4.6600000000000003E-2</v>
      </c>
      <c r="Z125" s="67">
        <f t="shared" si="79"/>
        <v>23.327999999999999</v>
      </c>
      <c r="AA125" s="67">
        <f t="shared" si="75"/>
        <v>23.281399999999998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76"/>
        <v>0213-19</v>
      </c>
      <c r="AE125" s="91" t="str">
        <f t="shared" si="5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125" s="88" t="str">
        <f t="shared" si="51"/>
        <v>"C:\Program Files (x86)\AstroGrep\AstroGrep.exe" /spath="%USERPROFILE%\AppData\Local\Temp\OnboardLogs" /stypes="app*4025*20161020*" /stext=" 00:.+((SYSTEM_STATE.+slice.+state.+changed )|(ment ac)|(system.+state.+changed )|(\[timeout)|(PRM\|1\|D)|(kpr)|(kdp)|(\|lc)|(penalty))" /e /r /s</v>
      </c>
      <c r="AG125" s="1" t="str">
        <f t="shared" si="77"/>
        <v>EC</v>
      </c>
      <c r="AH125" s="92" t="str">
        <f t="shared" si="52"/>
        <v>"%USERPROFILE%\Documents\GitHub\eaglep3\Utilities\RefineRTDCRunTimes.py" --tripid 213-19 --locoid 4025 --swversion DE.1.0.7.0 --startMP 204:466 --initTime 2016-10-19T17:40:51 --startdatetime 2016-10-19T17:45:20 --delay 1 --endMP 204:233280 --enddatetime 2016-10-19T18:20:15 --enforcementcount 0 &gt;&gt;C:\Users\stu\Documents\GitHub\eaglep3-reporting\EC\2016-10-19-refined-times.txt</v>
      </c>
      <c r="AI125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{"issue":{"subject":"","project_id":79,"tracker_id":40,"status_id":1,"priority_id":2,"assigned_to_id":23,"start_date":"2016-10-19","description":"","custom_fields":[{"id":1,"name":"Subdivision","value":"EC"},{"id":4,"name":"Milepost","value":"23.328"},{"id":17,"name":"Train ID","value":"213-19"},{"id":16,"name":"Locomotive ID","value":"4025"},{"id":130,"name":"Impact","value":""},{"id":150,"name":"Time of Event (Mountain Time)","value":"18:20:15"},{"id":151,"name":"Denver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617</v>
      </c>
      <c r="B126" s="7">
        <v>4026</v>
      </c>
      <c r="C126" s="22" t="s">
        <v>99</v>
      </c>
      <c r="D126" s="22" t="s">
        <v>276</v>
      </c>
      <c r="E126" s="13">
        <v>42662.765243055554</v>
      </c>
      <c r="F126" s="13">
        <v>42662.778668981482</v>
      </c>
      <c r="G126" s="7">
        <v>1</v>
      </c>
      <c r="H126" s="13" t="s">
        <v>228</v>
      </c>
      <c r="I126" s="13">
        <v>42662.804675925923</v>
      </c>
      <c r="J126" s="7">
        <v>0</v>
      </c>
      <c r="K126" s="112" t="str">
        <f t="shared" si="67"/>
        <v>4025/4026</v>
      </c>
      <c r="L126" s="22" t="str">
        <f>VLOOKUP(A126,'Trips&amp;Operators'!$C$1:$E$10000,3,FALSE)</f>
        <v>YANAI</v>
      </c>
      <c r="M126" s="6">
        <f t="shared" si="68"/>
        <v>2.6006944441178348E-2</v>
      </c>
      <c r="N126" s="7">
        <f t="shared" si="78"/>
        <v>37.449999995296821</v>
      </c>
      <c r="O126" s="7"/>
      <c r="P126" s="7"/>
      <c r="Q126" s="23"/>
      <c r="R126" s="23"/>
      <c r="S126" s="35">
        <f t="shared" si="69"/>
        <v>1</v>
      </c>
      <c r="T126" s="50" t="str">
        <f t="shared" si="70"/>
        <v>Southbound</v>
      </c>
      <c r="U126" s="18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17:21:57-0600',mode:absolute,to:'2016-10-19 20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52" t="str">
        <f t="shared" si="72"/>
        <v>N</v>
      </c>
      <c r="X126" s="174">
        <f t="shared" si="73"/>
        <v>1</v>
      </c>
      <c r="Y126" s="67">
        <f t="shared" si="74"/>
        <v>23.2971</v>
      </c>
      <c r="Z126" s="67">
        <f t="shared" si="79"/>
        <v>1.49E-2</v>
      </c>
      <c r="AA126" s="67">
        <f t="shared" si="75"/>
        <v>23.2822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76"/>
        <v>0214-19</v>
      </c>
      <c r="AE126" s="91" t="str">
        <f t="shared" si="5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126" s="88" t="str">
        <f t="shared" si="51"/>
        <v>"C:\Program Files (x86)\AstroGrep\AstroGrep.exe" /spath="%USERPROFILE%\AppData\Local\Temp\OnboardLogs" /stypes="app*4026*20161020*" /stext=" 01:.+((SYSTEM_STATE.+slice.+state.+changed )|(ment ac)|(system.+state.+changed )|(\[timeout)|(PRM\|1\|D)|(kpr)|(kdp)|(\|lc)|(penalty))" /e /r /s</v>
      </c>
      <c r="AG126" s="1" t="str">
        <f t="shared" si="77"/>
        <v>EC</v>
      </c>
      <c r="AH126" s="92" t="str">
        <f t="shared" si="52"/>
        <v>"%USERPROFILE%\Documents\GitHub\eaglep3\Utilities\RefineRTDCRunTimes.py" --tripid 214-19 --locoid 4026 --swversion DE.1.0.7.0 --startMP 204:232971 --initTime 2016-10-19T18:21:57 --startdatetime 2016-10-19T18:41:17 --delay 1 --endMP 204:149 --enddatetime 2016-10-19T19:18:44 --enforcementcount 0 &gt;&gt;C:\Users\stu\Documents\GitHub\eaglep3-reporting\EC\2016-10-19-refined-times.txt</v>
      </c>
      <c r="AI126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ID","value":"214-19"},{"id":16,"name":"Locomotive ID","value":"4026"},{"id":130,"name":"Impact","value":""},{"id":150,"name":"Time of Event (Mountain Time)","value":"19:18:44"},{"id":151,"name":"Denver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610</v>
      </c>
      <c r="B127" s="7">
        <v>4042</v>
      </c>
      <c r="C127" s="22" t="s">
        <v>99</v>
      </c>
      <c r="D127" s="22" t="s">
        <v>701</v>
      </c>
      <c r="E127" s="13">
        <v>42662.748287037037</v>
      </c>
      <c r="F127" s="13">
        <v>42662.750300925924</v>
      </c>
      <c r="G127" s="7">
        <v>1</v>
      </c>
      <c r="H127" s="13" t="s">
        <v>418</v>
      </c>
      <c r="I127" s="13">
        <v>42662.774884259263</v>
      </c>
      <c r="J127" s="7">
        <v>0</v>
      </c>
      <c r="K127" s="112" t="str">
        <f t="shared" si="67"/>
        <v>4041/4042</v>
      </c>
      <c r="L127" s="22" t="str">
        <f>VLOOKUP(A127,'Trips&amp;Operators'!$C$1:$E$10000,3,FALSE)</f>
        <v>STORY</v>
      </c>
      <c r="M127" s="6">
        <f t="shared" si="68"/>
        <v>2.4583333339251112E-2</v>
      </c>
      <c r="N127" s="7">
        <f t="shared" si="78"/>
        <v>35.400000008521602</v>
      </c>
      <c r="O127" s="7"/>
      <c r="P127" s="7"/>
      <c r="Q127" s="23"/>
      <c r="R127" s="23"/>
      <c r="S127" s="35">
        <f t="shared" si="69"/>
        <v>1</v>
      </c>
      <c r="T127" s="50" t="str">
        <f t="shared" si="70"/>
        <v>NorthBound</v>
      </c>
      <c r="U127" s="18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16:57:32-0600',mode:absolute,to:'2016-10-19 19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52" t="str">
        <f t="shared" si="72"/>
        <v>N</v>
      </c>
      <c r="X127" s="174">
        <f t="shared" si="73"/>
        <v>1</v>
      </c>
      <c r="Y127" s="67">
        <f t="shared" si="74"/>
        <v>4.2700000000000002E-2</v>
      </c>
      <c r="Z127" s="67">
        <f t="shared" si="79"/>
        <v>23.329799999999999</v>
      </c>
      <c r="AA127" s="67">
        <f t="shared" si="75"/>
        <v>23.287099999999999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76"/>
        <v>0215-19</v>
      </c>
      <c r="AE127" s="91" t="str">
        <f t="shared" si="50"/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AF127" s="88" t="str">
        <f t="shared" si="51"/>
        <v>"C:\Program Files (x86)\AstroGrep\AstroGrep.exe" /spath="%USERPROFILE%\AppData\Local\Temp\OnboardLogs" /stypes="app*4042*20161020*" /stext=" 00:.+((SYSTEM_STATE.+slice.+state.+changed )|(ment ac)|(system.+state.+changed )|(\[timeout)|(PRM\|1\|D)|(kpr)|(kdp)|(\|lc)|(penalty))" /e /r /s</v>
      </c>
      <c r="AG127" s="1" t="str">
        <f t="shared" si="77"/>
        <v>EC</v>
      </c>
      <c r="AH127" s="92" t="str">
        <f t="shared" si="52"/>
        <v>"%USERPROFILE%\Documents\GitHub\eaglep3\Utilities\RefineRTDCRunTimes.py" --tripid 215-19 --locoid 4042 --swversion DE.1.0.7.0 --startMP 204:427 --initTime 2016-10-19T17:57:32 --startdatetime 2016-10-19T18:00:26 --delay 1 --endMP 204:233298 --enddatetime 2016-10-19T18:35:50 --enforcementcount 0 &gt;&gt;C:\Users\stu\Documents\GitHub\eaglep3-reporting\EC\2016-10-19-refined-times.txt</v>
      </c>
      <c r="AI127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{"issue":{"subject":"","project_id":79,"tracker_id":40,"status_id":1,"priority_id":2,"assigned_to_id":23,"start_date":"2016-10-19","description":"","custom_fields":[{"id":1,"name":"Subdivision","value":"EC"},{"id":4,"name":"Milepost","value":"23.3298"},{"id":17,"name":"Train ID","value":"215-19"},{"id":16,"name":"Locomotive ID","value":"4042"},{"id":130,"name":"Impact","value":""},{"id":150,"name":"Time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622</v>
      </c>
      <c r="B128" s="7">
        <v>4041</v>
      </c>
      <c r="C128" s="22" t="s">
        <v>99</v>
      </c>
      <c r="D128" s="22" t="s">
        <v>300</v>
      </c>
      <c r="E128" s="13">
        <v>42662.78361111111</v>
      </c>
      <c r="F128" s="13">
        <v>42662.789189814815</v>
      </c>
      <c r="G128" s="7">
        <v>1</v>
      </c>
      <c r="H128" s="13" t="s">
        <v>702</v>
      </c>
      <c r="I128" s="13">
        <v>42662.815995370373</v>
      </c>
      <c r="J128" s="7">
        <v>0</v>
      </c>
      <c r="K128" s="112" t="str">
        <f t="shared" si="67"/>
        <v>4041/4042</v>
      </c>
      <c r="L128" s="22" t="str">
        <f>VLOOKUP(A128,'Trips&amp;Operators'!$C$1:$E$10000,3,FALSE)</f>
        <v>STORY</v>
      </c>
      <c r="M128" s="6">
        <f t="shared" si="68"/>
        <v>2.6805555557075422E-2</v>
      </c>
      <c r="N128" s="7">
        <f t="shared" si="78"/>
        <v>38.600000002188608</v>
      </c>
      <c r="O128" s="7"/>
      <c r="P128" s="7"/>
      <c r="Q128" s="23"/>
      <c r="R128" s="23"/>
      <c r="S128" s="35">
        <f t="shared" si="69"/>
        <v>1</v>
      </c>
      <c r="T128" s="50" t="str">
        <f t="shared" si="70"/>
        <v>Southbound</v>
      </c>
      <c r="U128" s="18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17:48:24-0600',mode:absolute,to:'2016-10-19 20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52" t="str">
        <f t="shared" si="72"/>
        <v>N</v>
      </c>
      <c r="X128" s="174">
        <f t="shared" si="73"/>
        <v>1</v>
      </c>
      <c r="Y128" s="67">
        <f t="shared" si="74"/>
        <v>23.298100000000002</v>
      </c>
      <c r="Z128" s="67">
        <f t="shared" si="79"/>
        <v>1.7399999999999999E-2</v>
      </c>
      <c r="AA128" s="67">
        <f t="shared" si="75"/>
        <v>23.280700000000003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76"/>
        <v>0216-19</v>
      </c>
      <c r="AE128" s="91" t="str">
        <f t="shared" si="50"/>
        <v>aws s3 cp s3://rtdc.mdm.uploadarchive.raw/RTDC4041/ "%USERPROFILE%\AppData\Local\Temp\OnboardLogs"\RTDC4041\2016-10-19 --exclude "*" --recursive --include "*20161019*" &amp; "%USERPROFILE%\Documents\GitHub\mrs-test-scripts\Headless Mode &amp; Sideloading\WalkAndUnGZ.bat" "%USERPROFILE%\AppData\Local\Temp\OnboardLogs"\RTDC4041\2016-10-19 &amp; 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</v>
      </c>
      <c r="AF128" s="88" t="str">
        <f t="shared" si="51"/>
        <v>"C:\Program Files (x86)\AstroGrep\AstroGrep.exe" /spath="%USERPROFILE%\AppData\Local\Temp\OnboardLogs" /stypes="app*4041*20161020*" /stext=" 01:.+((SYSTEM_STATE.+slice.+state.+changed )|(ment ac)|(system.+state.+changed )|(\[timeout)|(PRM\|1\|D)|(kpr)|(kdp)|(\|lc)|(penalty))" /e /r /s</v>
      </c>
      <c r="AG128" s="1" t="str">
        <f t="shared" si="77"/>
        <v>EC</v>
      </c>
      <c r="AH128" s="92" t="str">
        <f t="shared" si="52"/>
        <v>"%USERPROFILE%\Documents\GitHub\eaglep3\Utilities\RefineRTDCRunTimes.py" --tripid 216-19 --locoid 4041 --swversion DE.1.0.7.0 --startMP 204:232981 --initTime 2016-10-19T18:48:24 --startdatetime 2016-10-19T18:56:26 --delay 1 --endMP 204:174 --enddatetime 2016-10-19T19:35:02 --enforcementcount 0 &gt;&gt;C:\Users\stu\Documents\GitHub\eaglep3-reporting\EC\2016-10-19-refined-times.txt</v>
      </c>
      <c r="AI128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{"issue":{"subject":"","project_id":79,"tracker_id":40,"status_id":1,"priority_id":2,"assigned_to_id":23,"start_date":"2016-10-19","description":"","custom_fields":[{"id":1,"name":"Subdivision","value":"EC"},{"id":4,"name":"Milepost","value":"0.0174"},{"id":17,"name":"Train ID","value":"216-19"},{"id":16,"name":"Locomotive ID","value":"4041"},{"id":130,"name":"Impact","value":""},{"id":150,"name":"Time of Event (Mountain Time)","value":"19:35:02"},{"id":151,"name":"Denver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614</v>
      </c>
      <c r="B129" s="7">
        <v>4014</v>
      </c>
      <c r="C129" s="22" t="s">
        <v>99</v>
      </c>
      <c r="D129" s="22" t="s">
        <v>253</v>
      </c>
      <c r="E129" s="13">
        <v>42662.756967592592</v>
      </c>
      <c r="F129" s="13">
        <v>42662.760729166665</v>
      </c>
      <c r="G129" s="7">
        <v>2</v>
      </c>
      <c r="H129" s="13" t="s">
        <v>694</v>
      </c>
      <c r="I129" s="13">
        <v>42662.785000000003</v>
      </c>
      <c r="J129" s="7">
        <v>0</v>
      </c>
      <c r="K129" s="112" t="str">
        <f t="shared" si="67"/>
        <v>4013/4014</v>
      </c>
      <c r="L129" s="22" t="str">
        <f>VLOOKUP(A129,'Trips&amp;Operators'!$C$1:$E$10000,3,FALSE)</f>
        <v>LEVIN</v>
      </c>
      <c r="M129" s="6">
        <f t="shared" si="68"/>
        <v>2.4270833338960074E-2</v>
      </c>
      <c r="N129" s="7">
        <f t="shared" si="78"/>
        <v>34.950000008102506</v>
      </c>
      <c r="O129" s="7"/>
      <c r="P129" s="7"/>
      <c r="Q129" s="23"/>
      <c r="R129" s="23"/>
      <c r="S129" s="35">
        <f t="shared" si="69"/>
        <v>1</v>
      </c>
      <c r="T129" s="50" t="str">
        <f t="shared" si="70"/>
        <v>NorthBound</v>
      </c>
      <c r="U129" s="18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17:10:02-0600',mode:absolute,to:'2016-10-19 19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72"/>
        <v>N</v>
      </c>
      <c r="X129" s="174">
        <f t="shared" si="73"/>
        <v>1</v>
      </c>
      <c r="Y129" s="67">
        <f t="shared" si="74"/>
        <v>4.5100000000000001E-2</v>
      </c>
      <c r="Z129" s="67">
        <f t="shared" si="79"/>
        <v>23.334499999999998</v>
      </c>
      <c r="AA129" s="67">
        <f t="shared" si="75"/>
        <v>23.289399999999997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76"/>
        <v>0217-19</v>
      </c>
      <c r="AE129" s="91" t="str">
        <f t="shared" si="5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129" s="88" t="str">
        <f t="shared" si="51"/>
        <v>"C:\Program Files (x86)\AstroGrep\AstroGrep.exe" /spath="%USERPROFILE%\AppData\Local\Temp\OnboardLogs" /stypes="app*4014*20161020*" /stext=" 00:.+((SYSTEM_STATE.+slice.+state.+changed )|(ment ac)|(system.+state.+changed )|(\[timeout)|(PRM\|1\|D)|(kpr)|(kdp)|(\|lc)|(penalty))" /e /r /s</v>
      </c>
      <c r="AG129" s="1" t="str">
        <f t="shared" si="77"/>
        <v>EC</v>
      </c>
      <c r="AH129" s="92" t="str">
        <f t="shared" si="52"/>
        <v>"%USERPROFILE%\Documents\GitHub\eaglep3\Utilities\RefineRTDCRunTimes.py" --tripid 217-19 --locoid 4014 --swversion DE.1.0.7.0 --startMP 204:451 --initTime 2016-10-19T18:10:02 --startdatetime 2016-10-19T18:15:27 --delay 2 --endMP 204:233345 --enddatetime 2016-10-19T18:50:24 --enforcementcount 0 &gt;&gt;C:\Users\stu\Documents\GitHub\eaglep3-reporting\EC\2016-10-19-refined-times.txt</v>
      </c>
      <c r="AI129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{"issue":{"subject":"","project_id":79,"tracker_id":40,"status_id":1,"priority_id":2,"assigned_to_id":23,"start_date":"2016-10-19","description":"","custom_fields":[{"id":1,"name":"Subdivision","value":"EC"},{"id":4,"name":"Milepost","value":"23.3345"},{"id":17,"name":"Train ID","value":"217-19"},{"id":16,"name":"Locomotive ID","value":"4014"},{"id":130,"name":"Impact","value":""},{"id":150,"name":"Time of Event (Mountain Time)","value":"18:50:24"},{"id":151,"name":"Denver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460</v>
      </c>
      <c r="B130" s="7">
        <v>4013</v>
      </c>
      <c r="C130" s="22" t="s">
        <v>99</v>
      </c>
      <c r="D130" s="22" t="s">
        <v>273</v>
      </c>
      <c r="E130" s="13">
        <v>42662.792222222219</v>
      </c>
      <c r="F130" s="13">
        <v>42662.799687500003</v>
      </c>
      <c r="G130" s="7">
        <v>4</v>
      </c>
      <c r="H130" s="13" t="s">
        <v>176</v>
      </c>
      <c r="I130" s="13">
        <v>42662.826539351852</v>
      </c>
      <c r="J130" s="7">
        <v>0</v>
      </c>
      <c r="K130" s="112" t="str">
        <f t="shared" si="67"/>
        <v>4013/4014</v>
      </c>
      <c r="L130" s="22" t="str">
        <f>VLOOKUP(A130,'Trips&amp;Operators'!$C$1:$E$10000,3,FALSE)</f>
        <v>LEVIN</v>
      </c>
      <c r="M130" s="6">
        <f t="shared" si="68"/>
        <v>2.6851851849642117E-2</v>
      </c>
      <c r="N130" s="7">
        <f t="shared" si="78"/>
        <v>38.666666663484648</v>
      </c>
      <c r="O130" s="7"/>
      <c r="P130" s="7"/>
      <c r="Q130" s="23"/>
      <c r="R130" s="23"/>
      <c r="S130" s="35">
        <f t="shared" si="69"/>
        <v>1</v>
      </c>
      <c r="T130" s="50" t="str">
        <f t="shared" si="70"/>
        <v>Southbound</v>
      </c>
      <c r="U130" s="18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18:00:48-0600',mode:absolute,to:'2016-10-19 20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72"/>
        <v>N</v>
      </c>
      <c r="X130" s="174">
        <f t="shared" si="73"/>
        <v>1</v>
      </c>
      <c r="Y130" s="67">
        <f t="shared" si="74"/>
        <v>23.299399999999999</v>
      </c>
      <c r="Z130" s="67">
        <f t="shared" si="79"/>
        <v>1.47E-2</v>
      </c>
      <c r="AA130" s="67">
        <f t="shared" si="75"/>
        <v>23.284699999999997</v>
      </c>
      <c r="AB130" s="64" t="str">
        <f>VLOOKUP(A130,Enforcements!$C$7:$K$21,8,0)</f>
        <v>Speed (6)</v>
      </c>
      <c r="AC130" s="60" t="str">
        <f>VLOOKUP(A130,Enforcements!$C$7:$E$21,3,0)</f>
        <v>PERMANENT SPEED RESTRICTION</v>
      </c>
      <c r="AD130" s="61" t="str">
        <f t="shared" si="76"/>
        <v>0218-19</v>
      </c>
      <c r="AE130" s="91" t="str">
        <f t="shared" si="5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130" s="88" t="str">
        <f t="shared" si="51"/>
        <v>"C:\Program Files (x86)\AstroGrep\AstroGrep.exe" /spath="%USERPROFILE%\AppData\Local\Temp\OnboardLogs" /stypes="app*4013*20161020*" /stext=" 01:.+((SYSTEM_STATE.+slice.+state.+changed )|(ment ac)|(system.+state.+changed )|(\[timeout)|(PRM\|1\|D)|(kpr)|(kdp)|(\|lc)|(penalty))" /e /r /s</v>
      </c>
      <c r="AG130" s="1" t="str">
        <f t="shared" si="77"/>
        <v>EC</v>
      </c>
      <c r="AH130" s="92" t="str">
        <f t="shared" si="52"/>
        <v>"%USERPROFILE%\Documents\GitHub\eaglep3\Utilities\RefineRTDCRunTimes.py" --tripid 218-19 --locoid 4013 --swversion DE.1.0.7.0 --startMP 204:232994 --initTime 2016-10-19T19:00:48 --startdatetime 2016-10-19T19:11:33 --delay 4 --endMP 204:147 --enddatetime 2016-10-19T19:50:13 --enforcementcount 0 &gt;&gt;C:\Users\stu\Documents\GitHub\eaglep3-reporting\EC\2016-10-19-refined-times.txt</v>
      </c>
      <c r="AI130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{"issue":{"subject":"","project_id":79,"tracker_id":40,"status_id":1,"priority_id":2,"assigned_to_id":23,"start_date":"2016-10-19","description":"","custom_fields":[{"id":1,"name":"Subdivision","value":"EC"},{"id":4,"name":"Milepost","value":"0.0147"},{"id":17,"name":"Train ID","value":"218-19"},{"id":16,"name":"Locomotive ID","value":"4013"},{"id":130,"name":"Impact","value":""},{"id":150,"name":"Time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618</v>
      </c>
      <c r="B131" s="7">
        <v>4002</v>
      </c>
      <c r="C131" s="22" t="s">
        <v>99</v>
      </c>
      <c r="D131" s="22" t="s">
        <v>243</v>
      </c>
      <c r="E131" s="13">
        <v>42662.768368055556</v>
      </c>
      <c r="F131" s="13">
        <v>42662.771041666667</v>
      </c>
      <c r="G131" s="7">
        <v>1</v>
      </c>
      <c r="H131" s="13" t="s">
        <v>251</v>
      </c>
      <c r="I131" s="13">
        <v>42662.798020833332</v>
      </c>
      <c r="J131" s="7">
        <v>0</v>
      </c>
      <c r="K131" s="112" t="str">
        <f t="shared" si="67"/>
        <v>4001/4002</v>
      </c>
      <c r="L131" s="22" t="str">
        <f>VLOOKUP(A131,'Trips&amp;Operators'!$C$1:$E$10000,3,FALSE)</f>
        <v>DELGADO</v>
      </c>
      <c r="M131" s="6">
        <f t="shared" si="68"/>
        <v>2.6979166665114462E-2</v>
      </c>
      <c r="N131" s="7">
        <f t="shared" si="78"/>
        <v>38.849999997764826</v>
      </c>
      <c r="O131" s="7"/>
      <c r="P131" s="7"/>
      <c r="Q131" s="23"/>
      <c r="R131" s="23"/>
      <c r="S131" s="35">
        <f t="shared" si="69"/>
        <v>1</v>
      </c>
      <c r="T131" s="50" t="str">
        <f t="shared" si="70"/>
        <v>NorthBound</v>
      </c>
      <c r="U131" s="18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17:26:27-0600',mode:absolute,to:'2016-10-19 20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1" s="52" t="str">
        <f t="shared" si="72"/>
        <v>N</v>
      </c>
      <c r="X131" s="174">
        <f t="shared" si="73"/>
        <v>1</v>
      </c>
      <c r="Y131" s="67">
        <f t="shared" si="74"/>
        <v>4.4600000000000001E-2</v>
      </c>
      <c r="Z131" s="67">
        <f t="shared" si="79"/>
        <v>23.3291</v>
      </c>
      <c r="AA131" s="67">
        <f t="shared" si="75"/>
        <v>23.284500000000001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76"/>
        <v>0219-19</v>
      </c>
      <c r="AE131" s="91" t="str">
        <f t="shared" si="5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131" s="88" t="str">
        <f t="shared" si="51"/>
        <v>"C:\Program Files (x86)\AstroGrep\AstroGrep.exe" /spath="%USERPROFILE%\AppData\Local\Temp\OnboardLogs" /stypes="app*4002*20161020*" /stext=" 01:.+((SYSTEM_STATE.+slice.+state.+changed )|(ment ac)|(system.+state.+changed )|(\[timeout)|(PRM\|1\|D)|(kpr)|(kdp)|(\|lc)|(penalty))" /e /r /s</v>
      </c>
      <c r="AG131" s="1" t="str">
        <f t="shared" si="77"/>
        <v>EC</v>
      </c>
      <c r="AH131" s="92" t="str">
        <f t="shared" si="52"/>
        <v>"%USERPROFILE%\Documents\GitHub\eaglep3\Utilities\RefineRTDCRunTimes.py" --tripid 219-19 --locoid 4002 --swversion DE.1.0.7.0 --startMP 204:446 --initTime 2016-10-19T18:26:27 --startdatetime 2016-10-19T18:30:18 --delay 1 --endMP 204:233291 --enddatetime 2016-10-19T19:09:09 --enforcementcount 0 &gt;&gt;C:\Users\stu\Documents\GitHub\eaglep3-reporting\EC\2016-10-19-refined-times.txt</v>
      </c>
      <c r="AI131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{"issue":{"subject":"","project_id":79,"tracker_id":40,"status_id":1,"priority_id":2,"assigned_to_id":23,"start_date":"2016-10-19","description":"","custom_fields":[{"id":1,"name":"Subdivision","value":"EC"},{"id":4,"name":"Milepost","value":"23.3291"},{"id":17,"name":"Train ID","value":"219-19"},{"id":16,"name":"Locomotive ID","value":"4002"},{"id":130,"name":"Impact","value":""},{"id":150,"name":"Time of Event (Mountain Time)","value":"19:09:09"},{"id":151,"name":"Denver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627</v>
      </c>
      <c r="B132" s="7">
        <v>4001</v>
      </c>
      <c r="C132" s="22" t="s">
        <v>99</v>
      </c>
      <c r="D132" s="22" t="s">
        <v>703</v>
      </c>
      <c r="E132" s="13">
        <v>42662.803912037038</v>
      </c>
      <c r="F132" s="13">
        <v>42662.809930555559</v>
      </c>
      <c r="G132" s="7">
        <v>1</v>
      </c>
      <c r="H132" s="13" t="s">
        <v>351</v>
      </c>
      <c r="I132" s="13">
        <v>42662.838518518518</v>
      </c>
      <c r="J132" s="7">
        <v>0</v>
      </c>
      <c r="K132" s="112" t="str">
        <f t="shared" si="67"/>
        <v>4001/4002</v>
      </c>
      <c r="L132" s="22" t="str">
        <f>VLOOKUP(A132,'Trips&amp;Operators'!$C$1:$E$10000,3,FALSE)</f>
        <v>DELGADO</v>
      </c>
      <c r="M132" s="6">
        <f t="shared" si="68"/>
        <v>2.8587962959136348E-2</v>
      </c>
      <c r="N132" s="7">
        <f t="shared" si="78"/>
        <v>41.166666661156341</v>
      </c>
      <c r="O132" s="7"/>
      <c r="P132" s="7"/>
      <c r="Q132" s="23"/>
      <c r="R132" s="23"/>
      <c r="S132" s="35">
        <f t="shared" si="69"/>
        <v>1</v>
      </c>
      <c r="T132" s="50" t="str">
        <f t="shared" si="70"/>
        <v>Southbound</v>
      </c>
      <c r="U132" s="18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18:17:38-0600',mode:absolute,to:'2016-10-19 21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2" s="52" t="str">
        <f t="shared" si="72"/>
        <v>N</v>
      </c>
      <c r="X132" s="174">
        <f t="shared" si="73"/>
        <v>1</v>
      </c>
      <c r="Y132" s="67">
        <f t="shared" si="74"/>
        <v>23.295999999999999</v>
      </c>
      <c r="Z132" s="67">
        <f t="shared" si="79"/>
        <v>1.72E-2</v>
      </c>
      <c r="AA132" s="67">
        <f t="shared" si="75"/>
        <v>23.2788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76"/>
        <v>0220-19</v>
      </c>
      <c r="AE132" s="91" t="str">
        <f t="shared" si="5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132" s="88" t="str">
        <f t="shared" si="51"/>
        <v>"C:\Program Files (x86)\AstroGrep\AstroGrep.exe" /spath="%USERPROFILE%\AppData\Local\Temp\OnboardLogs" /stypes="app*4001*20161020*" /stext=" 02:.+((SYSTEM_STATE.+slice.+state.+changed )|(ment ac)|(system.+state.+changed )|(\[timeout)|(PRM\|1\|D)|(kpr)|(kdp)|(\|lc)|(penalty))" /e /r /s</v>
      </c>
      <c r="AG132" s="1" t="str">
        <f t="shared" si="77"/>
        <v>EC</v>
      </c>
      <c r="AH132" s="92" t="str">
        <f t="shared" si="52"/>
        <v>"%USERPROFILE%\Documents\GitHub\eaglep3\Utilities\RefineRTDCRunTimes.py" --tripid 220-19 --locoid 4001 --swversion DE.1.0.7.0 --startMP 204:232960 --initTime 2016-10-19T19:17:38 --startdatetime 2016-10-19T19:26:18 --delay 1 --endMP 204:172 --enddatetime 2016-10-19T20:07:28 --enforcementcount 0 &gt;&gt;C:\Users\stu\Documents\GitHub\eaglep3-reporting\EC\2016-10-19-refined-times.txt</v>
      </c>
      <c r="AI132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{"issue":{"subject":"","project_id":79,"tracker_id":40,"status_id":1,"priority_id":2,"assigned_to_id":23,"start_date":"2016-10-19","description":"","custom_fields":[{"id":1,"name":"Subdivision","value":"EC"},{"id":4,"name":"Milepost","value":"0.0172"},{"id":17,"name":"Train ID","value":"220-19"},{"id":16,"name":"Locomotive ID","value":"4001"},{"id":130,"name":"Impact","value":""},{"id":150,"name":"Time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623</v>
      </c>
      <c r="B133" s="7">
        <v>4046</v>
      </c>
      <c r="C133" s="22" t="s">
        <v>99</v>
      </c>
      <c r="D133" s="22" t="s">
        <v>325</v>
      </c>
      <c r="E133" s="13">
        <v>42662.78769675926</v>
      </c>
      <c r="F133" s="13">
        <v>42662.792210648149</v>
      </c>
      <c r="G133" s="7">
        <v>1</v>
      </c>
      <c r="H133" s="13" t="s">
        <v>229</v>
      </c>
      <c r="I133" s="13">
        <v>42662.818541666667</v>
      </c>
      <c r="J133" s="7">
        <v>0</v>
      </c>
      <c r="K133" s="112" t="str">
        <f t="shared" si="67"/>
        <v>4045/4046</v>
      </c>
      <c r="L133" s="22" t="str">
        <f>VLOOKUP(A133,'Trips&amp;Operators'!$C$1:$E$10000,3,FALSE)</f>
        <v>STURGEON</v>
      </c>
      <c r="M133" s="6">
        <f t="shared" si="68"/>
        <v>2.6331018518249039E-2</v>
      </c>
      <c r="N133" s="7">
        <f t="shared" si="78"/>
        <v>37.916666666278616</v>
      </c>
      <c r="O133" s="7"/>
      <c r="P133" s="7"/>
      <c r="Q133" s="23"/>
      <c r="R133" s="23"/>
      <c r="S133" s="35">
        <f t="shared" si="69"/>
        <v>1</v>
      </c>
      <c r="T133" s="50" t="str">
        <f t="shared" si="70"/>
        <v>NorthBound</v>
      </c>
      <c r="U133" s="18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17:54:17-0600',mode:absolute,to:'2016-10-19 20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3" s="52" t="str">
        <f t="shared" si="72"/>
        <v>N</v>
      </c>
      <c r="X133" s="174">
        <f t="shared" si="73"/>
        <v>1</v>
      </c>
      <c r="Y133" s="67">
        <f t="shared" si="74"/>
        <v>4.4900000000000002E-2</v>
      </c>
      <c r="Z133" s="67">
        <f t="shared" si="79"/>
        <v>23.3293</v>
      </c>
      <c r="AA133" s="67">
        <f t="shared" si="75"/>
        <v>23.284400000000002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76"/>
        <v>0221-19</v>
      </c>
      <c r="AE133" s="91" t="str">
        <f t="shared" si="5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133" s="88" t="str">
        <f t="shared" si="51"/>
        <v>"C:\Program Files (x86)\AstroGrep\AstroGrep.exe" /spath="%USERPROFILE%\AppData\Local\Temp\OnboardLogs" /stypes="app*4046*20161020*" /stext=" 01:.+((SYSTEM_STATE.+slice.+state.+changed )|(ment ac)|(system.+state.+changed )|(\[timeout)|(PRM\|1\|D)|(kpr)|(kdp)|(\|lc)|(penalty))" /e /r /s</v>
      </c>
      <c r="AG133" s="1" t="str">
        <f t="shared" si="77"/>
        <v>EC</v>
      </c>
      <c r="AH133" s="92" t="str">
        <f t="shared" si="52"/>
        <v>"%USERPROFILE%\Documents\GitHub\eaglep3\Utilities\RefineRTDCRunTimes.py" --tripid 221-19 --locoid 4046 --swversion DE.1.0.7.0 --startMP 204:449 --initTime 2016-10-19T18:54:17 --startdatetime 2016-10-19T19:00:47 --delay 1 --endMP 204:233293 --enddatetime 2016-10-19T19:38:42 --enforcementcount 0 &gt;&gt;C:\Users\stu\Documents\GitHub\eaglep3-reporting\EC\2016-10-19-refined-times.txt</v>
      </c>
      <c r="AI133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{"issue":{"subject":"","project_id":79,"tracker_id":40,"status_id":1,"priority_id":2,"assigned_to_id":23,"start_date":"2016-10-19","description":"","custom_fields":[{"id":1,"name":"Subdivision","value":"EC"},{"id":4,"name":"Milepost","value":"23.3293"},{"id":17,"name":"Train ID","value":"221-19"},{"id":16,"name":"Locomotive ID","value":"4046"},{"id":130,"name":"Impact","value":""},{"id":150,"name":"Time of Event (Mountain Time)","value":"19:38:42"},{"id":151,"name":"Denver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631</v>
      </c>
      <c r="B134" s="7">
        <v>4045</v>
      </c>
      <c r="C134" s="22" t="s">
        <v>99</v>
      </c>
      <c r="D134" s="22" t="s">
        <v>681</v>
      </c>
      <c r="E134" s="13">
        <v>42662.822164351855</v>
      </c>
      <c r="F134" s="13">
        <v>42662.830787037034</v>
      </c>
      <c r="G134" s="7">
        <v>1</v>
      </c>
      <c r="H134" s="13" t="s">
        <v>224</v>
      </c>
      <c r="I134" s="13">
        <v>42662.857789351852</v>
      </c>
      <c r="J134" s="7">
        <v>0</v>
      </c>
      <c r="K134" s="112" t="str">
        <f t="shared" si="67"/>
        <v>4045/4046</v>
      </c>
      <c r="L134" s="22" t="str">
        <f>VLOOKUP(A134,'Trips&amp;Operators'!$C$1:$E$10000,3,FALSE)</f>
        <v>STURGEON</v>
      </c>
      <c r="M134" s="6">
        <f t="shared" si="68"/>
        <v>2.7002314818673767E-2</v>
      </c>
      <c r="N134" s="7">
        <f t="shared" si="78"/>
        <v>38.883333338890225</v>
      </c>
      <c r="O134" s="7"/>
      <c r="P134" s="7"/>
      <c r="Q134" s="23"/>
      <c r="R134" s="23"/>
      <c r="S134" s="35">
        <f t="shared" si="69"/>
        <v>1</v>
      </c>
      <c r="T134" s="50" t="str">
        <f t="shared" si="70"/>
        <v>Southbound</v>
      </c>
      <c r="U134" s="18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18:43:55-0600',mode:absolute,to:'2016-10-19 21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4" s="52" t="str">
        <f t="shared" si="72"/>
        <v>N</v>
      </c>
      <c r="X134" s="174">
        <f t="shared" si="73"/>
        <v>1</v>
      </c>
      <c r="Y134" s="67">
        <f t="shared" si="74"/>
        <v>23.2989</v>
      </c>
      <c r="Z134" s="67">
        <f t="shared" si="79"/>
        <v>1.61E-2</v>
      </c>
      <c r="AA134" s="67">
        <f t="shared" si="75"/>
        <v>23.282799999999998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76"/>
        <v>0222-19</v>
      </c>
      <c r="AE134" s="91" t="str">
        <f t="shared" si="5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134" s="88" t="str">
        <f t="shared" si="51"/>
        <v>"C:\Program Files (x86)\AstroGrep\AstroGrep.exe" /spath="%USERPROFILE%\AppData\Local\Temp\OnboardLogs" /stypes="app*4045*20161020*" /stext=" 02:.+((SYSTEM_STATE.+slice.+state.+changed )|(ment ac)|(system.+state.+changed )|(\[timeout)|(PRM\|1\|D)|(kpr)|(kdp)|(\|lc)|(penalty))" /e /r /s</v>
      </c>
      <c r="AG134" s="1" t="str">
        <f t="shared" si="77"/>
        <v>EC</v>
      </c>
      <c r="AH134" s="92" t="str">
        <f t="shared" si="52"/>
        <v>"%USERPROFILE%\Documents\GitHub\eaglep3\Utilities\RefineRTDCRunTimes.py" --tripid 222-19 --locoid 4045 --swversion DE.1.0.7.0 --startMP 204:232989 --initTime 2016-10-19T19:43:55 --startdatetime 2016-10-19T19:56:20 --delay 1 --endMP 204:161 --enddatetime 2016-10-19T20:35:13 --enforcementcount 0 &gt;&gt;C:\Users\stu\Documents\GitHub\eaglep3-reporting\EC\2016-10-19-refined-times.txt</v>
      </c>
      <c r="AI134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{"issue":{"subject":"","project_id":79,"tracker_id":40,"status_id":1,"priority_id":2,"assigned_to_id":23,"start_date":"2016-10-19","description":"","custom_fields":[{"id":1,"name":"Subdivision","value":"EC"},{"id":4,"name":"Milepost","value":"0.0161"},{"id":17,"name":"Train ID","value":"222-19"},{"id":16,"name":"Locomotive ID","value":"4045"},{"id":130,"name":"Impact","value":""},{"id":150,"name":"Time of Event (Mountain Time)","value":"20:35:13"},{"id":151,"name":"Denver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628</v>
      </c>
      <c r="B135" s="7">
        <v>4025</v>
      </c>
      <c r="C135" s="22" t="s">
        <v>99</v>
      </c>
      <c r="D135" s="22" t="s">
        <v>227</v>
      </c>
      <c r="E135" s="13">
        <v>42662.806585648148</v>
      </c>
      <c r="F135" s="13">
        <v>42662.812754629631</v>
      </c>
      <c r="G135" s="7">
        <v>1</v>
      </c>
      <c r="H135" s="13" t="s">
        <v>303</v>
      </c>
      <c r="I135" s="13">
        <v>42662.837175925924</v>
      </c>
      <c r="J135" s="7">
        <v>0</v>
      </c>
      <c r="K135" s="112" t="str">
        <f t="shared" si="67"/>
        <v>4025/4026</v>
      </c>
      <c r="L135" s="22" t="str">
        <f>VLOOKUP(A135,'Trips&amp;Operators'!$C$1:$E$10000,3,FALSE)</f>
        <v>YANAI</v>
      </c>
      <c r="M135" s="6">
        <f t="shared" si="68"/>
        <v>2.4421296293439809E-2</v>
      </c>
      <c r="N135" s="7">
        <f t="shared" si="78"/>
        <v>35.166666662553325</v>
      </c>
      <c r="O135" s="7"/>
      <c r="P135" s="7"/>
      <c r="Q135" s="23"/>
      <c r="R135" s="23"/>
      <c r="S135" s="35">
        <f t="shared" si="69"/>
        <v>1</v>
      </c>
      <c r="T135" s="50" t="str">
        <f t="shared" si="70"/>
        <v>NorthBound</v>
      </c>
      <c r="U135" s="18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18:21:29-0600',mode:absolute,to:'2016-10-19 21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5" s="52" t="str">
        <f t="shared" si="72"/>
        <v>N</v>
      </c>
      <c r="X135" s="174">
        <f t="shared" si="73"/>
        <v>1</v>
      </c>
      <c r="Y135" s="67">
        <f t="shared" si="74"/>
        <v>4.58E-2</v>
      </c>
      <c r="Z135" s="67">
        <f t="shared" si="79"/>
        <v>23.330400000000001</v>
      </c>
      <c r="AA135" s="67">
        <f t="shared" si="75"/>
        <v>23.284600000000001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76"/>
        <v>0223-19</v>
      </c>
      <c r="AE135" s="91" t="str">
        <f t="shared" si="5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135" s="88" t="str">
        <f t="shared" si="51"/>
        <v>"C:\Program Files (x86)\AstroGrep\AstroGrep.exe" /spath="%USERPROFILE%\AppData\Local\Temp\OnboardLogs" /stypes="app*4025*20161020*" /stext=" 02:.+((SYSTEM_STATE.+slice.+state.+changed )|(ment ac)|(system.+state.+changed )|(\[timeout)|(PRM\|1\|D)|(kpr)|(kdp)|(\|lc)|(penalty))" /e /r /s</v>
      </c>
      <c r="AG135" s="1" t="str">
        <f t="shared" si="77"/>
        <v>EC</v>
      </c>
      <c r="AH135" s="92" t="str">
        <f t="shared" si="52"/>
        <v>"%USERPROFILE%\Documents\GitHub\eaglep3\Utilities\RefineRTDCRunTimes.py" --tripid 223-19 --locoid 4025 --swversion DE.1.0.7.0 --startMP 204:458 --initTime 2016-10-19T19:21:29 --startdatetime 2016-10-19T19:30:22 --delay 1 --endMP 204:233304 --enddatetime 2016-10-19T20:05:32 --enforcementcount 0 &gt;&gt;C:\Users\stu\Documents\GitHub\eaglep3-reporting\EC\2016-10-19-refined-times.txt</v>
      </c>
      <c r="AI135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{"issue":{"subject":"","project_id":79,"tracker_id":40,"status_id":1,"priority_id":2,"assigned_to_id":23,"start_date":"2016-10-19","description":"","custom_fields":[{"id":1,"name":"Subdivision","value":"EC"},{"id":4,"name":"Milepost","value":"23.3304"},{"id":17,"name":"Train ID","value":"223-19"},{"id":16,"name":"Locomotive ID","value":"4025"},{"id":130,"name":"Impact","value":""},{"id":150,"name":"Time of Event (Mountain Time)","value":"20:05:32"},{"id":151,"name":"Denver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633</v>
      </c>
      <c r="B136" s="7">
        <v>4026</v>
      </c>
      <c r="C136" s="22" t="s">
        <v>99</v>
      </c>
      <c r="D136" s="22" t="s">
        <v>285</v>
      </c>
      <c r="E136" s="13">
        <v>42662.838449074072</v>
      </c>
      <c r="F136" s="13">
        <v>42662.851782407408</v>
      </c>
      <c r="G136" s="7">
        <v>1</v>
      </c>
      <c r="H136" s="13" t="s">
        <v>177</v>
      </c>
      <c r="I136" s="13">
        <v>42662.877835648149</v>
      </c>
      <c r="J136" s="7">
        <v>0</v>
      </c>
      <c r="K136" s="112" t="str">
        <f t="shared" si="67"/>
        <v>4025/4026</v>
      </c>
      <c r="L136" s="22" t="str">
        <f>VLOOKUP(A136,'Trips&amp;Operators'!$C$1:$E$10000,3,FALSE)</f>
        <v>YANAI</v>
      </c>
      <c r="M136" s="6">
        <f t="shared" si="68"/>
        <v>2.6053240741021E-2</v>
      </c>
      <c r="N136" s="7">
        <f t="shared" si="78"/>
        <v>37.51666666707024</v>
      </c>
      <c r="O136" s="7"/>
      <c r="P136" s="7"/>
      <c r="Q136" s="23"/>
      <c r="R136" s="23"/>
      <c r="S136" s="35">
        <f t="shared" si="69"/>
        <v>1</v>
      </c>
      <c r="T136" s="50" t="str">
        <f t="shared" si="70"/>
        <v>Southbound</v>
      </c>
      <c r="U136" s="18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19:07:22-0600',mode:absolute,to:'2016-10-19 22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6" s="52" t="str">
        <f t="shared" si="72"/>
        <v>N</v>
      </c>
      <c r="X136" s="174">
        <f t="shared" si="73"/>
        <v>1</v>
      </c>
      <c r="Y136" s="67">
        <f t="shared" si="74"/>
        <v>23.2987</v>
      </c>
      <c r="Z136" s="67">
        <f t="shared" si="79"/>
        <v>1.52E-2</v>
      </c>
      <c r="AA136" s="67">
        <f t="shared" si="75"/>
        <v>23.2835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76"/>
        <v>0224-19</v>
      </c>
      <c r="AE136" s="91" t="str">
        <f t="shared" si="5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136" s="88" t="str">
        <f t="shared" si="51"/>
        <v>"C:\Program Files (x86)\AstroGrep\AstroGrep.exe" /spath="%USERPROFILE%\AppData\Local\Temp\OnboardLogs" /stypes="app*4026*20161020*" /stext=" 03:.+((SYSTEM_STATE.+slice.+state.+changed )|(ment ac)|(system.+state.+changed )|(\[timeout)|(PRM\|1\|D)|(kpr)|(kdp)|(\|lc)|(penalty))" /e /r /s</v>
      </c>
      <c r="AG136" s="1" t="str">
        <f t="shared" si="77"/>
        <v>EC</v>
      </c>
      <c r="AH136" s="92" t="str">
        <f t="shared" si="52"/>
        <v>"%USERPROFILE%\Documents\GitHub\eaglep3\Utilities\RefineRTDCRunTimes.py" --tripid 224-19 --locoid 4026 --swversion DE.1.0.7.0 --startMP 204:232987 --initTime 2016-10-19T20:07:22 --startdatetime 2016-10-19T20:26:34 --delay 1 --endMP 204:152 --enddatetime 2016-10-19T21:04:05 --enforcementcount 0 &gt;&gt;C:\Users\stu\Documents\GitHub\eaglep3-reporting\EC\2016-10-19-refined-times.txt</v>
      </c>
      <c r="AI136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{"issue":{"subject":"","project_id":79,"tracker_id":40,"status_id":1,"priority_id":2,"assigned_to_id":23,"start_date":"2016-10-19","description":"","custom_fields":[{"id":1,"name":"Subdivision","value":"EC"},{"id":4,"name":"Milepost","value":"0.0152"},{"id":17,"name":"Train ID","value":"224-19"},{"id":16,"name":"Locomotive ID","value":"4026"},{"id":130,"name":"Impact","value":""},{"id":150,"name":"Time of Event (Mountain Time)","value":"21:04:05"},{"id":151,"name":"Denver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632</v>
      </c>
      <c r="B137" s="7">
        <v>4014</v>
      </c>
      <c r="C137" s="22" t="s">
        <v>99</v>
      </c>
      <c r="D137" s="22" t="s">
        <v>690</v>
      </c>
      <c r="E137" s="13">
        <v>42662.828692129631</v>
      </c>
      <c r="F137" s="13">
        <v>42662.833634259259</v>
      </c>
      <c r="G137" s="7">
        <v>2</v>
      </c>
      <c r="H137" s="13" t="s">
        <v>234</v>
      </c>
      <c r="I137" s="13">
        <v>42662.859143518515</v>
      </c>
      <c r="J137" s="7">
        <v>0</v>
      </c>
      <c r="K137" s="112" t="str">
        <f t="shared" si="67"/>
        <v>4013/4014</v>
      </c>
      <c r="L137" s="22" t="str">
        <f>VLOOKUP(A137,'Trips&amp;Operators'!$C$1:$E$10000,3,FALSE)</f>
        <v>LEVIN</v>
      </c>
      <c r="M137" s="6">
        <f t="shared" si="68"/>
        <v>2.5509259256068617E-2</v>
      </c>
      <c r="N137" s="7">
        <f t="shared" si="78"/>
        <v>36.733333328738809</v>
      </c>
      <c r="O137" s="7"/>
      <c r="P137" s="7"/>
      <c r="Q137" s="23"/>
      <c r="R137" s="23"/>
      <c r="S137" s="35">
        <f t="shared" si="69"/>
        <v>1</v>
      </c>
      <c r="T137" s="50" t="str">
        <f t="shared" si="70"/>
        <v>NorthBound</v>
      </c>
      <c r="U137" s="18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18:53:19-0600',mode:absolute,to:'2016-10-19 21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7" s="52" t="str">
        <f t="shared" si="72"/>
        <v>N</v>
      </c>
      <c r="X137" s="174">
        <f t="shared" si="73"/>
        <v>1</v>
      </c>
      <c r="Y137" s="67">
        <f t="shared" si="74"/>
        <v>4.3999999999999997E-2</v>
      </c>
      <c r="Z137" s="67">
        <f t="shared" si="79"/>
        <v>23.33</v>
      </c>
      <c r="AA137" s="67">
        <f t="shared" si="75"/>
        <v>23.285999999999998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76"/>
        <v>0225-19</v>
      </c>
      <c r="AE137" s="91" t="str">
        <f t="shared" si="5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137" s="88" t="str">
        <f t="shared" si="51"/>
        <v>"C:\Program Files (x86)\AstroGrep\AstroGrep.exe" /spath="%USERPROFILE%\AppData\Local\Temp\OnboardLogs" /stypes="app*4014*20161020*" /stext=" 02:.+((SYSTEM_STATE.+slice.+state.+changed )|(ment ac)|(system.+state.+changed )|(\[timeout)|(PRM\|1\|D)|(kpr)|(kdp)|(\|lc)|(penalty))" /e /r /s</v>
      </c>
      <c r="AG137" s="1" t="str">
        <f t="shared" si="77"/>
        <v>EC</v>
      </c>
      <c r="AH137" s="92" t="str">
        <f t="shared" si="52"/>
        <v>"%USERPROFILE%\Documents\GitHub\eaglep3\Utilities\RefineRTDCRunTimes.py" --tripid 225-19 --locoid 4014 --swversion DE.1.0.7.0 --startMP 204:440 --initTime 2016-10-19T19:53:19 --startdatetime 2016-10-19T20:00:26 --delay 2 --endMP 204:233300 --enddatetime 2016-10-19T20:37:10 --enforcementcount 0 &gt;&gt;C:\Users\stu\Documents\GitHub\eaglep3-reporting\EC\2016-10-19-refined-times.txt</v>
      </c>
      <c r="AI137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{"issue":{"subject":"","project_id":79,"tracker_id":40,"status_id":1,"priority_id":2,"assigned_to_id":23,"start_date":"2016-10-19","description":"","custom_fields":[{"id":1,"name":"Subdivision","value":"EC"},{"id":4,"name":"Milepost","value":"23.33"},{"id":17,"name":"Train ID","value":"225-19"},{"id":16,"name":"Locomotive ID","value":"4014"},{"id":130,"name":"Impact","value":""},{"id":150,"name":"Time of Event (Mountain Time)","value":"20:37:10"},{"id":151,"name":"Denver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463</v>
      </c>
      <c r="B138" s="7">
        <v>4013</v>
      </c>
      <c r="C138" s="22" t="s">
        <v>99</v>
      </c>
      <c r="D138" s="22" t="s">
        <v>247</v>
      </c>
      <c r="E138" s="13">
        <v>42662.869837962964</v>
      </c>
      <c r="F138" s="13">
        <v>42662.872442129628</v>
      </c>
      <c r="G138" s="7">
        <v>1</v>
      </c>
      <c r="H138" s="13" t="s">
        <v>704</v>
      </c>
      <c r="I138" s="13">
        <v>42662.900092592594</v>
      </c>
      <c r="J138" s="7">
        <v>0</v>
      </c>
      <c r="K138" s="112" t="str">
        <f t="shared" si="67"/>
        <v>4013/4014</v>
      </c>
      <c r="L138" s="22" t="str">
        <f>VLOOKUP(A138,'Trips&amp;Operators'!$C$1:$E$10000,3,FALSE)</f>
        <v>LEVIN</v>
      </c>
      <c r="M138" s="6">
        <f t="shared" si="68"/>
        <v>2.7650462965539191E-2</v>
      </c>
      <c r="N138" s="7">
        <f t="shared" si="78"/>
        <v>39.816666670376435</v>
      </c>
      <c r="O138" s="7"/>
      <c r="P138" s="7"/>
      <c r="Q138" s="23"/>
      <c r="R138" s="23"/>
      <c r="S138" s="35">
        <f t="shared" si="69"/>
        <v>1</v>
      </c>
      <c r="T138" s="50" t="str">
        <f t="shared" si="70"/>
        <v>Southbound</v>
      </c>
      <c r="U138" s="18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19:52:34-0600',mode:absolute,to:'2016-10-19 22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8" s="52" t="str">
        <f t="shared" si="72"/>
        <v>N</v>
      </c>
      <c r="X138" s="174">
        <f t="shared" si="73"/>
        <v>1</v>
      </c>
      <c r="Y138" s="67">
        <f t="shared" si="74"/>
        <v>23.297899999999998</v>
      </c>
      <c r="Z138" s="67">
        <f t="shared" si="79"/>
        <v>0.02</v>
      </c>
      <c r="AA138" s="67">
        <f t="shared" si="75"/>
        <v>23.277899999999999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76"/>
        <v>0226-19</v>
      </c>
      <c r="AE138" s="91" t="str">
        <f t="shared" si="5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138" s="88" t="str">
        <f t="shared" si="51"/>
        <v>"C:\Program Files (x86)\AstroGrep\AstroGrep.exe" /spath="%USERPROFILE%\AppData\Local\Temp\OnboardLogs" /stypes="app*4013*20161020*" /stext=" 03:.+((SYSTEM_STATE.+slice.+state.+changed )|(ment ac)|(system.+state.+changed )|(\[timeout)|(PRM\|1\|D)|(kpr)|(kdp)|(\|lc)|(penalty))" /e /r /s</v>
      </c>
      <c r="AG138" s="1" t="str">
        <f t="shared" si="77"/>
        <v>EC</v>
      </c>
      <c r="AH138" s="92" t="str">
        <f t="shared" si="52"/>
        <v>"%USERPROFILE%\Documents\GitHub\eaglep3\Utilities\RefineRTDCRunTimes.py" --tripid 226-19 --locoid 4013 --swversion DE.1.0.7.0 --startMP 204:232979 --initTime 2016-10-19T20:52:34 --startdatetime 2016-10-19T20:56:19 --delay 1 --endMP 204:200 --enddatetime 2016-10-19T21:36:08 --enforcementcount 0 &gt;&gt;C:\Users\stu\Documents\GitHub\eaglep3-reporting\EC\2016-10-19-refined-times.txt</v>
      </c>
      <c r="AI138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{"issue":{"subject":"","project_id":79,"tracker_id":40,"status_id":1,"priority_id":2,"assigned_to_id":23,"start_date":"2016-10-19","description":"","custom_fields":[{"id":1,"name":"Subdivision","value":"EC"},{"id":4,"name":"Milepost","value":"0.02"},{"id":17,"name":"Train ID","value":"226-19"},{"id":16,"name":"Locomotive ID","value":"4013"},{"id":130,"name":"Impact","value":""},{"id":150,"name":"Time of Event (Mountain Time)","value":"21:36:08"},{"id":151,"name":"Denver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634</v>
      </c>
      <c r="B139" s="7">
        <v>4002</v>
      </c>
      <c r="C139" s="22" t="s">
        <v>99</v>
      </c>
      <c r="D139" s="22" t="s">
        <v>278</v>
      </c>
      <c r="E139" s="13">
        <v>42662.843495370369</v>
      </c>
      <c r="F139" s="13">
        <v>42662.854363425926</v>
      </c>
      <c r="G139" s="7">
        <v>1</v>
      </c>
      <c r="H139" s="13" t="s">
        <v>249</v>
      </c>
      <c r="I139" s="13">
        <v>42662.880543981482</v>
      </c>
      <c r="J139" s="7">
        <v>0</v>
      </c>
      <c r="K139" s="112" t="str">
        <f t="shared" si="67"/>
        <v>4001/4002</v>
      </c>
      <c r="L139" s="22" t="str">
        <f>VLOOKUP(A139,'Trips&amp;Operators'!$C$1:$E$10000,3,FALSE)</f>
        <v>DELGADO</v>
      </c>
      <c r="M139" s="6">
        <f t="shared" si="68"/>
        <v>2.6180555556493346E-2</v>
      </c>
      <c r="N139" s="7">
        <f t="shared" si="78"/>
        <v>37.700000001350418</v>
      </c>
      <c r="O139" s="7"/>
      <c r="P139" s="7"/>
      <c r="Q139" s="23"/>
      <c r="R139" s="23"/>
      <c r="S139" s="35">
        <f t="shared" si="69"/>
        <v>1</v>
      </c>
      <c r="T139" s="50" t="str">
        <f t="shared" si="70"/>
        <v>NorthBound</v>
      </c>
      <c r="U139" s="18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19:14:38-0600',mode:absolute,to:'2016-10-19 22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9" s="52" t="str">
        <f t="shared" si="72"/>
        <v>N</v>
      </c>
      <c r="X139" s="174">
        <f t="shared" si="73"/>
        <v>1</v>
      </c>
      <c r="Y139" s="67">
        <f t="shared" si="74"/>
        <v>4.7100000000000003E-2</v>
      </c>
      <c r="Z139" s="67">
        <f t="shared" si="79"/>
        <v>23.3306</v>
      </c>
      <c r="AA139" s="67">
        <f t="shared" si="75"/>
        <v>23.2835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76"/>
        <v>0227-19</v>
      </c>
      <c r="AE139" s="91" t="str">
        <f t="shared" si="5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139" s="88" t="str">
        <f t="shared" si="51"/>
        <v>"C:\Program Files (x86)\AstroGrep\AstroGrep.exe" /spath="%USERPROFILE%\AppData\Local\Temp\OnboardLogs" /stypes="app*4002*20161020*" /stext=" 03:.+((SYSTEM_STATE.+slice.+state.+changed )|(ment ac)|(system.+state.+changed )|(\[timeout)|(PRM\|1\|D)|(kpr)|(kdp)|(\|lc)|(penalty))" /e /r /s</v>
      </c>
      <c r="AG139" s="1" t="str">
        <f t="shared" si="77"/>
        <v>EC</v>
      </c>
      <c r="AH139" s="92" t="str">
        <f t="shared" si="52"/>
        <v>"%USERPROFILE%\Documents\GitHub\eaglep3\Utilities\RefineRTDCRunTimes.py" --tripid 227-19 --locoid 4002 --swversion DE.1.0.7.0 --startMP 204:471 --initTime 2016-10-19T20:14:38 --startdatetime 2016-10-19T20:30:17 --delay 1 --endMP 204:233306 --enddatetime 2016-10-19T21:07:59 --enforcementcount 0 &gt;&gt;C:\Users\stu\Documents\GitHub\eaglep3-reporting\EC\2016-10-19-refined-times.txt</v>
      </c>
      <c r="AI139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{"issue":{"subject":"","project_id":79,"tracker_id":40,"status_id":1,"priority_id":2,"assigned_to_id":23,"start_date":"2016-10-19","description":"","custom_fields":[{"id":1,"name":"Subdivision","value":"EC"},{"id":4,"name":"Milepost","value":"23.3306"},{"id":17,"name":"Train ID","value":"227-19"},{"id":16,"name":"Locomotive ID","value":"4002"},{"id":130,"name":"Impact","value":""},{"id":150,"name":"Time of Event (Mountain Time)","value":"21:07:59"},{"id":151,"name":"Denver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638</v>
      </c>
      <c r="B140" s="7">
        <v>4001</v>
      </c>
      <c r="C140" s="22" t="s">
        <v>99</v>
      </c>
      <c r="D140" s="22" t="s">
        <v>326</v>
      </c>
      <c r="E140" s="13">
        <v>42662.890173611115</v>
      </c>
      <c r="F140" s="13">
        <v>42662.893460648149</v>
      </c>
      <c r="G140" s="7">
        <v>1</v>
      </c>
      <c r="H140" s="13" t="s">
        <v>228</v>
      </c>
      <c r="I140" s="13">
        <v>42662.921423611115</v>
      </c>
      <c r="J140" s="7">
        <v>0</v>
      </c>
      <c r="K140" s="112" t="str">
        <f t="shared" si="67"/>
        <v>4001/4002</v>
      </c>
      <c r="L140" s="22" t="str">
        <f>VLOOKUP(A140,'Trips&amp;Operators'!$C$1:$E$10000,3,FALSE)</f>
        <v>DELGADO</v>
      </c>
      <c r="M140" s="6">
        <f t="shared" si="68"/>
        <v>2.7962962965830229E-2</v>
      </c>
      <c r="N140" s="7">
        <f t="shared" si="78"/>
        <v>40.26666667079553</v>
      </c>
      <c r="O140" s="7"/>
      <c r="P140" s="7"/>
      <c r="Q140" s="23"/>
      <c r="R140" s="23"/>
      <c r="S140" s="35">
        <f t="shared" si="69"/>
        <v>1</v>
      </c>
      <c r="T140" s="50" t="str">
        <f t="shared" si="70"/>
        <v>Southbound</v>
      </c>
      <c r="U140" s="18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20:21:51-0600',mode:absolute,to:'2016-10-19 23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0" s="52" t="str">
        <f t="shared" si="72"/>
        <v>N</v>
      </c>
      <c r="X140" s="174">
        <f t="shared" si="73"/>
        <v>1</v>
      </c>
      <c r="Y140" s="67">
        <f t="shared" si="74"/>
        <v>23.2974</v>
      </c>
      <c r="Z140" s="67">
        <f t="shared" si="79"/>
        <v>1.49E-2</v>
      </c>
      <c r="AA140" s="67">
        <f t="shared" si="75"/>
        <v>23.282499999999999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76"/>
        <v>0228-19</v>
      </c>
      <c r="AE140" s="91" t="str">
        <f t="shared" si="5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140" s="88" t="str">
        <f t="shared" si="51"/>
        <v>"C:\Program Files (x86)\AstroGrep\AstroGrep.exe" /spath="%USERPROFILE%\AppData\Local\Temp\OnboardLogs" /stypes="app*4001*20161020*" /stext=" 04:.+((SYSTEM_STATE.+slice.+state.+changed )|(ment ac)|(system.+state.+changed )|(\[timeout)|(PRM\|1\|D)|(kpr)|(kdp)|(\|lc)|(penalty))" /e /r /s</v>
      </c>
      <c r="AG140" s="1" t="str">
        <f t="shared" si="77"/>
        <v>EC</v>
      </c>
      <c r="AH140" s="92" t="str">
        <f t="shared" si="52"/>
        <v>"%USERPROFILE%\Documents\GitHub\eaglep3\Utilities\RefineRTDCRunTimes.py" --tripid 228-19 --locoid 4001 --swversion DE.1.0.7.0 --startMP 204:232974 --initTime 2016-10-19T21:21:51 --startdatetime 2016-10-19T21:26:35 --delay 1 --endMP 204:149 --enddatetime 2016-10-19T22:06:51 --enforcementcount 0 &gt;&gt;C:\Users\stu\Documents\GitHub\eaglep3-reporting\EC\2016-10-19-refined-times.txt</v>
      </c>
      <c r="AI140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{"issue":{"subject":"","project_id":79,"tracker_id":40,"status_id":1,"priority_id":2,"assigned_to_id":23,"start_date":"2016-10-19","description":"","custom_fields":[{"id":1,"name":"Subdivision","value":"EC"},{"id":4,"name":"Milepost","value":"0.0149"},{"id":17,"name":"Train ID","value":"228-19"},{"id":16,"name":"Locomotive ID","value":"4001"},{"id":130,"name":"Impact","value":""},{"id":150,"name":"Time of Event (Mountain Time)","value":"22:06:51"},{"id":151,"name":"Denver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636</v>
      </c>
      <c r="B141" s="7">
        <v>4046</v>
      </c>
      <c r="C141" s="22" t="s">
        <v>99</v>
      </c>
      <c r="D141" s="22" t="s">
        <v>233</v>
      </c>
      <c r="E141" s="13">
        <v>42662.864074074074</v>
      </c>
      <c r="F141" s="13">
        <v>42662.875219907408</v>
      </c>
      <c r="G141" s="7">
        <v>1</v>
      </c>
      <c r="H141" s="13" t="s">
        <v>250</v>
      </c>
      <c r="I141" s="13">
        <v>42662.901701388888</v>
      </c>
      <c r="J141" s="7">
        <v>0</v>
      </c>
      <c r="K141" s="112" t="str">
        <f t="shared" si="67"/>
        <v>4045/4046</v>
      </c>
      <c r="L141" s="22" t="str">
        <f>VLOOKUP(A141,'Trips&amp;Operators'!$C$1:$E$10000,3,FALSE)</f>
        <v>STURGEON</v>
      </c>
      <c r="M141" s="6">
        <f t="shared" si="68"/>
        <v>2.6481481480004732E-2</v>
      </c>
      <c r="N141" s="7">
        <f t="shared" si="78"/>
        <v>38.133333331206813</v>
      </c>
      <c r="O141" s="7"/>
      <c r="P141" s="7"/>
      <c r="Q141" s="23"/>
      <c r="R141" s="23"/>
      <c r="S141" s="35">
        <f t="shared" si="69"/>
        <v>1</v>
      </c>
      <c r="T141" s="50" t="str">
        <f t="shared" si="70"/>
        <v>NorthBound</v>
      </c>
      <c r="U141" s="18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19:44:16-0600',mode:absolute,to:'2016-10-19 22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1" s="52" t="str">
        <f t="shared" si="72"/>
        <v>N</v>
      </c>
      <c r="X141" s="174">
        <f t="shared" si="73"/>
        <v>1</v>
      </c>
      <c r="Y141" s="67">
        <f t="shared" si="74"/>
        <v>4.53E-2</v>
      </c>
      <c r="Z141" s="67">
        <f t="shared" si="79"/>
        <v>23.328900000000001</v>
      </c>
      <c r="AA141" s="67">
        <f t="shared" si="75"/>
        <v>23.2836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76"/>
        <v>0229-19</v>
      </c>
      <c r="AE141" s="91" t="str">
        <f t="shared" ref="AE141:AE204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141" s="88" t="str">
        <f t="shared" ref="AF141:AF204" si="8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/stypes="app*4046*20161020*" /stext=" 03:.+((SYSTEM_STATE.+slice.+state.+changed )|(ment ac)|(system.+state.+changed )|(\[timeout)|(PRM\|1\|D)|(kpr)|(kdp)|(\|lc)|(penalty))" /e /r /s</v>
      </c>
      <c r="AG141" s="1" t="str">
        <f t="shared" si="77"/>
        <v>EC</v>
      </c>
      <c r="AH141" s="92" t="str">
        <f t="shared" si="52"/>
        <v>"%USERPROFILE%\Documents\GitHub\eaglep3\Utilities\RefineRTDCRunTimes.py" --tripid 229-19 --locoid 4046 --swversion DE.1.0.7.0 --startMP 204:453 --initTime 2016-10-19T20:44:16 --startdatetime 2016-10-19T21:00:19 --delay 1 --endMP 204:233289 --enddatetime 2016-10-19T21:38:27 --enforcementcount 0 &gt;&gt;C:\Users\stu\Documents\GitHub\eaglep3-reporting\EC\2016-10-19-refined-times.txt</v>
      </c>
      <c r="AI141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{"issue":{"subject":"","project_id":79,"tracker_id":40,"status_id":1,"priority_id":2,"assigned_to_id":23,"start_date":"2016-10-19","description":"","custom_fields":[{"id":1,"name":"Subdivision","value":"EC"},{"id":4,"name":"Milepost","value":"23.3289"},{"id":17,"name":"Train ID","value":"229-19"},{"id":16,"name":"Locomotive ID","value":"4046"},{"id":130,"name":"Impact","value":""},{"id":150,"name":"Time of Event (Mountain Time)","value":"21:38:27"},{"id":151,"name":"Denver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640</v>
      </c>
      <c r="B142" s="7">
        <v>4045</v>
      </c>
      <c r="C142" s="22" t="s">
        <v>99</v>
      </c>
      <c r="D142" s="22" t="s">
        <v>223</v>
      </c>
      <c r="E142" s="13">
        <v>42662.903923611113</v>
      </c>
      <c r="F142" s="13">
        <v>42662.914074074077</v>
      </c>
      <c r="G142" s="7">
        <v>1</v>
      </c>
      <c r="H142" s="13" t="s">
        <v>231</v>
      </c>
      <c r="I142" s="13">
        <v>42662.942037037035</v>
      </c>
      <c r="J142" s="7">
        <v>0</v>
      </c>
      <c r="K142" s="112" t="str">
        <f t="shared" si="67"/>
        <v>4045/4046</v>
      </c>
      <c r="L142" s="22" t="str">
        <f>VLOOKUP(A142,'Trips&amp;Operators'!$C$1:$E$10000,3,FALSE)</f>
        <v>STURGEON</v>
      </c>
      <c r="M142" s="6">
        <f t="shared" si="68"/>
        <v>2.7962962958554272E-2</v>
      </c>
      <c r="N142" s="7">
        <f t="shared" si="78"/>
        <v>40.266666660318151</v>
      </c>
      <c r="O142" s="7"/>
      <c r="P142" s="7"/>
      <c r="Q142" s="23"/>
      <c r="R142" s="23"/>
      <c r="S142" s="35">
        <f t="shared" si="69"/>
        <v>1</v>
      </c>
      <c r="T142" s="50" t="str">
        <f t="shared" si="70"/>
        <v>Southbound</v>
      </c>
      <c r="U142" s="18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20:41:39-0600',mode:absolute,to:'2016-10-19 23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2" s="52" t="str">
        <f t="shared" si="72"/>
        <v>N</v>
      </c>
      <c r="X142" s="174">
        <f t="shared" si="73"/>
        <v>1</v>
      </c>
      <c r="Y142" s="67">
        <f t="shared" si="74"/>
        <v>23.298500000000001</v>
      </c>
      <c r="Z142" s="67">
        <f t="shared" si="79"/>
        <v>1.4999999999999999E-2</v>
      </c>
      <c r="AA142" s="67">
        <f t="shared" si="75"/>
        <v>23.2835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76"/>
        <v>0230-19</v>
      </c>
      <c r="AE142" s="91" t="str">
        <f t="shared" si="80"/>
        <v>aws s3 cp s3://rtdc.mdm.uploadarchive.raw/RTDC4045/ "%USERPROFILE%\AppData\Local\Temp\OnboardLogs"\RTDC4045\2016-10-19 --exclude "*" --recursive --include "*20161019*" &amp; "%USERPROFILE%\Documents\GitHub\mrs-test-scripts\Headless Mode &amp; Sideloading\WalkAndUnGZ.bat" "%USERPROFILE%\AppData\Local\Temp\OnboardLogs"\RTDC4045\2016-10-19 &amp; aws s3 cp s3://rtdc.mdm.uploadarchive.raw/RTDC4045/ "%USERPROFILE%\AppData\Local\Temp\OnboardLogs"\RTDC4045\2016-10-20 --exclude "*" --recursive --include "*20161020*" &amp; "%USERPROFILE%\Documents\GitHub\mrs-test-scripts\Headless Mode &amp; Sideloading\WalkAndUnGZ.bat" "%USERPROFILE%\AppData\Local\Temp\OnboardLogs"\RTDC4045\2016-10-20</v>
      </c>
      <c r="AF142" s="88" t="str">
        <f t="shared" si="81"/>
        <v>"C:\Program Files (x86)\AstroGrep\AstroGrep.exe" /spath="%USERPROFILE%\AppData\Local\Temp\OnboardLogs" /stypes="app*4045*20161020*" /stext=" 04:.+((SYSTEM_STATE.+slice.+state.+changed )|(ment ac)|(system.+state.+changed )|(\[timeout)|(PRM\|1\|D)|(kpr)|(kdp)|(\|lc)|(penalty))" /e /r /s</v>
      </c>
      <c r="AG142" s="1" t="str">
        <f t="shared" si="77"/>
        <v>EC</v>
      </c>
      <c r="AH142" s="92" t="str">
        <f t="shared" si="52"/>
        <v>"%USERPROFILE%\Documents\GitHub\eaglep3\Utilities\RefineRTDCRunTimes.py" --tripid 230-19 --locoid 4045 --swversion DE.1.0.7.0 --startMP 204:232985 --initTime 2016-10-19T21:41:39 --startdatetime 2016-10-19T21:56:16 --delay 1 --endMP 204:150 --enddatetime 2016-10-19T22:36:32 --enforcementcount 0 &gt;&gt;C:\Users\stu\Documents\GitHub\eaglep3-reporting\EC\2016-10-19-refined-times.txt</v>
      </c>
      <c r="AI142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{"issue":{"subject":"","project_id":79,"tracker_id":40,"status_id":1,"priority_id":2,"assigned_to_id":23,"start_date":"2016-10-19","description":"","custom_fields":[{"id":1,"name":"Subdivision","value":"EC"},{"id":4,"name":"Milepost","value":"0.015"},{"id":17,"name":"Train ID","value":"230-19"},{"id":16,"name":"Locomotive ID","value":"4045"},{"id":130,"name":"Impact","value":""},{"id":150,"name":"Time of Event (Mountain Time)","value":"22:36:32"},{"id":151,"name":"Denver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637</v>
      </c>
      <c r="B143" s="7">
        <v>4025</v>
      </c>
      <c r="C143" s="22" t="s">
        <v>99</v>
      </c>
      <c r="D143" s="22" t="s">
        <v>243</v>
      </c>
      <c r="E143" s="13">
        <v>42662.881261574075</v>
      </c>
      <c r="F143" s="13">
        <v>42662.896006944444</v>
      </c>
      <c r="G143" s="7">
        <v>0</v>
      </c>
      <c r="H143" s="13" t="s">
        <v>418</v>
      </c>
      <c r="I143" s="13">
        <v>42662.920393518521</v>
      </c>
      <c r="J143" s="7">
        <v>0</v>
      </c>
      <c r="K143" s="112" t="str">
        <f t="shared" si="67"/>
        <v>4025/4026</v>
      </c>
      <c r="L143" s="22" t="str">
        <f>VLOOKUP(A143,'Trips&amp;Operators'!$C$1:$E$10000,3,FALSE)</f>
        <v>YANAI</v>
      </c>
      <c r="M143" s="6">
        <f t="shared" si="68"/>
        <v>2.4386574077652767E-2</v>
      </c>
      <c r="N143" s="7">
        <f t="shared" si="78"/>
        <v>35.116666671819985</v>
      </c>
      <c r="O143" s="7"/>
      <c r="P143" s="7"/>
      <c r="Q143" s="23"/>
      <c r="R143" s="23"/>
      <c r="S143" s="35">
        <f t="shared" si="69"/>
        <v>1</v>
      </c>
      <c r="T143" s="50" t="str">
        <f t="shared" si="70"/>
        <v>NorthBound</v>
      </c>
      <c r="U143" s="18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20:09:01-0600',mode:absolute,to:'2016-10-19 23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3" s="52" t="str">
        <f t="shared" si="72"/>
        <v>N</v>
      </c>
      <c r="X143" s="174">
        <f t="shared" si="73"/>
        <v>1</v>
      </c>
      <c r="Y143" s="67">
        <f t="shared" si="74"/>
        <v>4.4600000000000001E-2</v>
      </c>
      <c r="Z143" s="67">
        <f t="shared" si="79"/>
        <v>23.329799999999999</v>
      </c>
      <c r="AA143" s="67">
        <f t="shared" si="75"/>
        <v>23.2852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76"/>
        <v>0231-19</v>
      </c>
      <c r="AE143" s="91" t="str">
        <f t="shared" si="8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143" s="88" t="str">
        <f t="shared" si="81"/>
        <v>"C:\Program Files (x86)\AstroGrep\AstroGrep.exe" /spath="%USERPROFILE%\AppData\Local\Temp\OnboardLogs" /stypes="app*4025*20161020*" /stext=" 04:.+((SYSTEM_STATE.+slice.+state.+changed )|(ment ac)|(system.+state.+changed )|(\[timeout)|(PRM\|1\|D)|(kpr)|(kdp)|(\|lc)|(penalty))" /e /r /s</v>
      </c>
      <c r="AG143" s="1" t="str">
        <f t="shared" si="77"/>
        <v>EC</v>
      </c>
      <c r="AH143" s="92" t="str">
        <f t="shared" si="52"/>
        <v>"%USERPROFILE%\Documents\GitHub\eaglep3\Utilities\RefineRTDCRunTimes.py" --tripid 231-19 --locoid 4025 --swversion DE.1.0.7.0 --startMP 204:446 --initTime 2016-10-19T21:09:01 --startdatetime 2016-10-19T21:30:15 --delay 0 --endMP 204:233298 --enddatetime 2016-10-19T22:05:22 --enforcementcount 0 &gt;&gt;C:\Users\stu\Documents\GitHub\eaglep3-reporting\EC\2016-10-19-refined-times.txt</v>
      </c>
      <c r="AI143" s="122" t="str">
        <f t="shared" si="53"/>
        <v>echo {"issue":{"subject":"","project_id":79,"tracker_id":40,"status_id":1,"priority_id":2,"assigned_to_id":23,"start_date":"2016-10-19","description":"","custom_fields":[{"id":1,"name":"Subdivision","value":"EC"},{"id":4,"name":"Milepost","value":"23.3298"},{"id":17,"name":"Train ID","value":"231-19"},{"id":16,"name":"Locomotive ID","value":"4025"},{"id":130,"name":"Impact","value":""},{"id":150,"name":"Time of Event (Mountain Time)","value":"22:05:22"},{"id":151,"name":"Denver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642</v>
      </c>
      <c r="B144" s="7">
        <v>4026</v>
      </c>
      <c r="C144" s="22" t="s">
        <v>99</v>
      </c>
      <c r="D144" s="22" t="s">
        <v>705</v>
      </c>
      <c r="E144" s="13">
        <v>42662.923298611109</v>
      </c>
      <c r="F144" s="13">
        <v>42662.934907407405</v>
      </c>
      <c r="G144" s="7">
        <v>1</v>
      </c>
      <c r="H144" s="13" t="s">
        <v>409</v>
      </c>
      <c r="I144" s="13">
        <v>42662.960902777777</v>
      </c>
      <c r="J144" s="7">
        <v>0</v>
      </c>
      <c r="K144" s="112" t="str">
        <f t="shared" si="67"/>
        <v>4025/4026</v>
      </c>
      <c r="L144" s="22" t="str">
        <f>VLOOKUP(A144,'Trips&amp;Operators'!$C$1:$E$10000,3,FALSE)</f>
        <v>YANAI</v>
      </c>
      <c r="M144" s="6">
        <f t="shared" si="68"/>
        <v>2.5995370371674653E-2</v>
      </c>
      <c r="N144" s="7">
        <f t="shared" si="78"/>
        <v>37.433333335211501</v>
      </c>
      <c r="O144" s="7"/>
      <c r="P144" s="7"/>
      <c r="Q144" s="23"/>
      <c r="R144" s="23"/>
      <c r="S144" s="35">
        <f t="shared" si="69"/>
        <v>1</v>
      </c>
      <c r="T144" s="50" t="str">
        <f t="shared" si="70"/>
        <v>Southbound</v>
      </c>
      <c r="U144" s="18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21:09:33-0600',mode:absolute,to:'2016-10-20 00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4" s="52" t="str">
        <f t="shared" si="72"/>
        <v>N</v>
      </c>
      <c r="X144" s="174">
        <f t="shared" si="73"/>
        <v>1</v>
      </c>
      <c r="Y144" s="67">
        <f t="shared" si="74"/>
        <v>23.296800000000001</v>
      </c>
      <c r="Z144" s="67">
        <f t="shared" si="79"/>
        <v>1.32E-2</v>
      </c>
      <c r="AA144" s="67">
        <f t="shared" si="75"/>
        <v>23.2836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76"/>
        <v>0232-19</v>
      </c>
      <c r="AE144" s="91" t="str">
        <f t="shared" si="80"/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AF144" s="88" t="str">
        <f t="shared" si="81"/>
        <v>"C:\Program Files (x86)\AstroGrep\AstroGrep.exe" /spath="%USERPROFILE%\AppData\Local\Temp\OnboardLogs" /stypes="app*4026*20161020*" /stext=" 05:.+((SYSTEM_STATE.+slice.+state.+changed )|(ment ac)|(system.+state.+changed )|(\[timeout)|(PRM\|1\|D)|(kpr)|(kdp)|(\|lc)|(penalty))" /e /r /s</v>
      </c>
      <c r="AG144" s="1" t="str">
        <f t="shared" si="77"/>
        <v>EC</v>
      </c>
      <c r="AH144" s="92" t="str">
        <f t="shared" ref="AH144:AH207" si="8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232-19 --locoid 4026 --swversion DE.1.0.7.0 --startMP 204:232968 --initTime 2016-10-19T22:09:33 --startdatetime 2016-10-19T22:26:16 --delay 1 --endMP 204:132 --enddatetime 2016-10-19T23:03:42 --enforcementcount 0 &gt;&gt;C:\Users\stu\Documents\GitHub\eaglep3-reporting\EC\2016-10-19-refined-times.txt</v>
      </c>
      <c r="AI144" s="122" t="str">
        <f t="shared" ref="AI144:AI207" si="8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{"issue":{"subject":"","project_id":79,"tracker_id":40,"status_id":1,"priority_id":2,"assigned_to_id":23,"start_date":"2016-10-19","description":"","custom_fields":[{"id":1,"name":"Subdivision","value":"EC"},{"id":4,"name":"Milepost","value":"0.0132"},{"id":17,"name":"Train ID","value":"232-19"},{"id":16,"name":"Locomotive ID","value":"4026"},{"id":130,"name":"Impact","value":""},{"id":150,"name":"Time of Event (Mountain Time)","value":"23:03:42"},{"id":151,"name":"Denver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641</v>
      </c>
      <c r="B145" s="7">
        <v>4014</v>
      </c>
      <c r="C145" s="22" t="s">
        <v>99</v>
      </c>
      <c r="D145" s="22" t="s">
        <v>706</v>
      </c>
      <c r="E145" s="13">
        <v>42662.912743055553</v>
      </c>
      <c r="F145" s="13">
        <v>42662.916886574072</v>
      </c>
      <c r="G145" s="7">
        <v>1</v>
      </c>
      <c r="H145" s="13" t="s">
        <v>303</v>
      </c>
      <c r="I145" s="13">
        <v>42662.942384259259</v>
      </c>
      <c r="J145" s="7">
        <v>0</v>
      </c>
      <c r="K145" s="112" t="str">
        <f t="shared" si="67"/>
        <v>4013/4014</v>
      </c>
      <c r="L145" s="22" t="str">
        <f>VLOOKUP(A145,'Trips&amp;Operators'!$C$1:$E$10000,3,FALSE)</f>
        <v>LEVIN</v>
      </c>
      <c r="M145" s="6">
        <f t="shared" si="68"/>
        <v>2.5497685186564922E-2</v>
      </c>
      <c r="N145" s="7">
        <f t="shared" si="78"/>
        <v>36.716666668653488</v>
      </c>
      <c r="O145" s="7"/>
      <c r="P145" s="7"/>
      <c r="Q145" s="23"/>
      <c r="R145" s="23"/>
      <c r="S145" s="35">
        <f t="shared" si="69"/>
        <v>1</v>
      </c>
      <c r="T145" s="50" t="str">
        <f t="shared" si="70"/>
        <v>NorthBound</v>
      </c>
      <c r="U145" s="18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https://search-rtdc-monitor-bjffxe2xuh6vdkpspy63sjmuny.us-east-1.es.amazonaws.com/_plugin/kibana/#/discover/Steve-Slow-Train-Analysis-(2080s-and-2083s)?_g=(refreshInterval:(display:Off,section:0,value:0),time:(from:'2016-10-19 20:54:21-0600',mode:absolute,to:'2016-10-19 23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5" s="52" t="str">
        <f t="shared" si="72"/>
        <v>N</v>
      </c>
      <c r="X145" s="174">
        <f t="shared" si="73"/>
        <v>1</v>
      </c>
      <c r="Y145" s="67">
        <f t="shared" si="74"/>
        <v>4.9500000000000002E-2</v>
      </c>
      <c r="Z145" s="67">
        <f t="shared" si="79"/>
        <v>23.330400000000001</v>
      </c>
      <c r="AA145" s="67">
        <f t="shared" si="75"/>
        <v>23.280900000000003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76"/>
        <v>0233-19</v>
      </c>
      <c r="AE145" s="91" t="str">
        <f t="shared" si="80"/>
        <v>aws s3 cp s3://rtdc.mdm.uploadarchive.raw/RTDC4014/ "%USERPROFILE%\AppData\Local\Temp\OnboardLogs"\RTDC4014\2016-10-19 --exclude "*" --recursive --include "*20161019*" &amp; "%USERPROFILE%\Documents\GitHub\mrs-test-scripts\Headless Mode &amp; Sideloading\WalkAndUnGZ.bat" "%USERPROFILE%\AppData\Local\Temp\OnboardLogs"\RTDC4014\2016-10-19 &amp; 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</v>
      </c>
      <c r="AF145" s="88" t="str">
        <f t="shared" si="81"/>
        <v>"C:\Program Files (x86)\AstroGrep\AstroGrep.exe" /spath="%USERPROFILE%\AppData\Local\Temp\OnboardLogs" /stypes="app*4014*20161020*" /stext=" 04:.+((SYSTEM_STATE.+slice.+state.+changed )|(ment ac)|(system.+state.+changed )|(\[timeout)|(PRM\|1\|D)|(kpr)|(kdp)|(\|lc)|(penalty))" /e /r /s</v>
      </c>
      <c r="AG145" s="1" t="str">
        <f t="shared" si="77"/>
        <v>EC</v>
      </c>
      <c r="AH145" s="92" t="str">
        <f t="shared" si="82"/>
        <v>"%USERPROFILE%\Documents\GitHub\eaglep3\Utilities\RefineRTDCRunTimes.py" --tripid 233-19 --locoid 4014 --swversion DE.1.0.7.0 --startMP 204:495 --initTime 2016-10-19T21:54:21 --startdatetime 2016-10-19T22:00:19 --delay 1 --endMP 204:233304 --enddatetime 2016-10-19T22:37:02 --enforcementcount 0 &gt;&gt;C:\Users\stu\Documents\GitHub\eaglep3-reporting\EC\2016-10-19-refined-times.txt</v>
      </c>
      <c r="AI145" s="122" t="str">
        <f t="shared" si="83"/>
        <v>echo {"issue":{"subject":"","project_id":79,"tracker_id":40,"status_id":1,"priority_id":2,"assigned_to_id":23,"start_date":"2016-10-19","description":"","custom_fields":[{"id":1,"name":"Subdivision","value":"EC"},{"id":4,"name":"Milepost","value":"23.3304"},{"id":17,"name":"Train ID","value":"233-19"},{"id":16,"name":"Locomotive ID","value":"4014"},{"id":130,"name":"Impact","value":""},{"id":150,"name":"Time of Event (Mountain Time)","value":"22:37:02"},{"id":151,"name":"Denver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646</v>
      </c>
      <c r="B146" s="7">
        <v>4013</v>
      </c>
      <c r="C146" s="22" t="s">
        <v>99</v>
      </c>
      <c r="D146" s="22" t="s">
        <v>664</v>
      </c>
      <c r="E146" s="13">
        <v>42662.951041666667</v>
      </c>
      <c r="F146" s="13">
        <v>42662.95585648148</v>
      </c>
      <c r="G146" s="7">
        <v>1</v>
      </c>
      <c r="H146" s="13" t="s">
        <v>327</v>
      </c>
      <c r="I146" s="13">
        <v>42662.988622685189</v>
      </c>
      <c r="J146" s="7">
        <v>0</v>
      </c>
      <c r="K146" s="112" t="str">
        <f t="shared" ref="K146:K177" si="84">IF(ISEVEN(B146),(B146-1)&amp;"/"&amp;B146,B146&amp;"/"&amp;(B146+1))</f>
        <v>4013/4014</v>
      </c>
      <c r="L146" s="22" t="str">
        <f>VLOOKUP(A146,'Trips&amp;Operators'!$C$1:$E$10000,3,FALSE)</f>
        <v>LEVIN</v>
      </c>
      <c r="M146" s="6">
        <f t="shared" ref="M146:M177" si="85">I146-F146</f>
        <v>3.2766203708888497E-2</v>
      </c>
      <c r="N146" s="7">
        <f t="shared" si="78"/>
        <v>47.183333340799436</v>
      </c>
      <c r="O146" s="7"/>
      <c r="P146" s="7"/>
      <c r="Q146" s="23"/>
      <c r="R146" s="23"/>
      <c r="S146" s="35">
        <f t="shared" ref="S146:S177" si="86">SUM(U146:U146)/IF(AG146="EC",12,1)</f>
        <v>1</v>
      </c>
      <c r="T146" s="50" t="str">
        <f t="shared" ref="T146:T177" si="87">IF(ISEVEN(LEFT(AD146,4)),"Southbound","NorthBound")</f>
        <v>Southbound</v>
      </c>
      <c r="U146" s="18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ref="V146:V177" si="88"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https://search-rtdc-monitor-bjffxe2xuh6vdkpspy63sjmuny.us-east-1.es.amazonaws.com/_plugin/kibana/#/discover/Steve-Slow-Train-Analysis-(2080s-and-2083s)?_g=(refreshInterval:(display:Off,section:0,value:0),time:(from:'2016-10-19 21:49:30-0600',mode:absolute,to:'2016-10-20 00:43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6" s="52" t="str">
        <f t="shared" ref="W146:W177" si="89">IF(AA146&lt;IF(AG146="EC",23,5.65),"Y","N")</f>
        <v>N</v>
      </c>
      <c r="X146" s="174">
        <f t="shared" ref="X146:X177" si="90">VALUE(LEFT(AD146,4))-VALUE(LEFT(AD145,4))</f>
        <v>1</v>
      </c>
      <c r="Y146" s="67">
        <f t="shared" ref="Y146:Y177" si="91">RIGHT(D146,LEN(D146)-4)/10000</f>
        <v>23.299600000000002</v>
      </c>
      <c r="Z146" s="67">
        <f t="shared" si="79"/>
        <v>1.5800000000000002E-2</v>
      </c>
      <c r="AA146" s="67">
        <f t="shared" ref="AA146:AA177" si="92">ABS(Z146-Y146)</f>
        <v>23.283800000000003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ref="AD146:AD177" si="93">IF(LEN(A146)=6,"0"&amp;A146,A146)</f>
        <v>0234-19</v>
      </c>
      <c r="AE146" s="91" t="str">
        <f t="shared" si="80"/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AF146" s="88" t="str">
        <f t="shared" si="81"/>
        <v>"C:\Program Files (x86)\AstroGrep\AstroGrep.exe" /spath="%USERPROFILE%\AppData\Local\Temp\OnboardLogs" /stypes="app*4013*20161020*" /stext=" 05:.+((SYSTEM_STATE.+slice.+state.+changed )|(ment ac)|(system.+state.+changed )|(\[timeout)|(PRM\|1\|D)|(kpr)|(kdp)|(\|lc)|(penalty))" /e /r /s</v>
      </c>
      <c r="AG146" s="1" t="str">
        <f t="shared" ref="AG146:AG177" si="94">IFERROR(IF(VALUE(LEFT(AD146,2))&lt;=2,"EC",IF(OR(VALUE(LEFT(AD146,2))=8,VALUE(LEFT(AD146,2))=18),"NW","Other")),"Other")</f>
        <v>EC</v>
      </c>
      <c r="AH146" s="92" t="str">
        <f t="shared" si="82"/>
        <v>"%USERPROFILE%\Documents\GitHub\eaglep3\Utilities\RefineRTDCRunTimes.py" --tripid 234-19 --locoid 4013 --swversion DE.1.0.7.0 --startMP 204:232996 --initTime 2016-10-19T22:49:30 --startdatetime 2016-10-19T22:56:26 --delay 1 --endMP 204:158 --enddatetime 2016-10-19T23:43:37 --enforcementcount 0 &gt;&gt;C:\Users\stu\Documents\GitHub\eaglep3-reporting\EC\2016-10-19-refined-times.txt</v>
      </c>
      <c r="AI146" s="122" t="str">
        <f t="shared" si="83"/>
        <v>echo {"issue":{"subject":"","project_id":79,"tracker_id":40,"status_id":1,"priority_id":2,"assigned_to_id":23,"start_date":"2016-10-19","description":"","custom_fields":[{"id":1,"name":"Subdivision","value":"EC"},{"id":4,"name":"Milepost","value":"0.0158"},{"id":17,"name":"Train ID","value":"234-19"},{"id":16,"name":"Locomotive ID","value":"4013"},{"id":130,"name":"Impact","value":""},{"id":150,"name":"Time of Event (Mountain Time)","value":"23:43:37"},{"id":151,"name":"Denver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644</v>
      </c>
      <c r="B147" s="7">
        <v>4002</v>
      </c>
      <c r="C147" s="22" t="s">
        <v>99</v>
      </c>
      <c r="D147" s="22" t="s">
        <v>253</v>
      </c>
      <c r="E147" s="13">
        <v>42662.930717592593</v>
      </c>
      <c r="F147" s="13">
        <v>42662.937685185185</v>
      </c>
      <c r="G147" s="7">
        <v>2</v>
      </c>
      <c r="H147" s="13" t="s">
        <v>707</v>
      </c>
      <c r="I147" s="13">
        <v>42662.963946759257</v>
      </c>
      <c r="J147" s="7">
        <v>0</v>
      </c>
      <c r="K147" s="112" t="str">
        <f t="shared" si="84"/>
        <v>4001/4002</v>
      </c>
      <c r="L147" s="22" t="str">
        <f>VLOOKUP(A147,'Trips&amp;Operators'!$C$1:$E$10000,3,FALSE)</f>
        <v>DELGADO</v>
      </c>
      <c r="M147" s="6">
        <f t="shared" si="85"/>
        <v>2.626157407212304E-2</v>
      </c>
      <c r="N147" s="7">
        <f t="shared" si="78"/>
        <v>37.816666663857177</v>
      </c>
      <c r="O147" s="7"/>
      <c r="P147" s="7"/>
      <c r="Q147" s="23"/>
      <c r="R147" s="23"/>
      <c r="S147" s="35">
        <f t="shared" si="86"/>
        <v>1</v>
      </c>
      <c r="T147" s="50" t="str">
        <f t="shared" si="87"/>
        <v>NorthBound</v>
      </c>
      <c r="U147" s="18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21:20:14-0600',mode:absolute,to:'2016-10-20 00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7" s="52" t="str">
        <f t="shared" si="89"/>
        <v>N</v>
      </c>
      <c r="X147" s="174">
        <f t="shared" si="90"/>
        <v>1</v>
      </c>
      <c r="Y147" s="67">
        <f t="shared" si="91"/>
        <v>4.5100000000000001E-2</v>
      </c>
      <c r="Z147" s="67">
        <f t="shared" si="79"/>
        <v>23.328700000000001</v>
      </c>
      <c r="AA147" s="67">
        <f t="shared" si="92"/>
        <v>23.2836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93"/>
        <v>0235-19</v>
      </c>
      <c r="AE147" s="91" t="str">
        <f t="shared" si="80"/>
        <v>aws s3 cp s3://rtdc.mdm.uploadarchive.raw/RTDC4002/ "%USERPROFILE%\AppData\Local\Temp\OnboardLogs"\RTDC4002\2016-10-19 --exclude "*" --recursive --include "*20161019*" &amp; "%USERPROFILE%\Documents\GitHub\mrs-test-scripts\Headless Mode &amp; Sideloading\WalkAndUnGZ.bat" "%USERPROFILE%\AppData\Local\Temp\OnboardLogs"\RTDC4002\2016-10-19 &amp; 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</v>
      </c>
      <c r="AF147" s="88" t="str">
        <f t="shared" si="81"/>
        <v>"C:\Program Files (x86)\AstroGrep\AstroGrep.exe" /spath="%USERPROFILE%\AppData\Local\Temp\OnboardLogs" /stypes="app*4002*20161020*" /stext=" 05:.+((SYSTEM_STATE.+slice.+state.+changed )|(ment ac)|(system.+state.+changed )|(\[timeout)|(PRM\|1\|D)|(kpr)|(kdp)|(\|lc)|(penalty))" /e /r /s</v>
      </c>
      <c r="AG147" s="1" t="str">
        <f t="shared" si="94"/>
        <v>EC</v>
      </c>
      <c r="AH147" s="92" t="str">
        <f t="shared" si="82"/>
        <v>"%USERPROFILE%\Documents\GitHub\eaglep3\Utilities\RefineRTDCRunTimes.py" --tripid 235-19 --locoid 4002 --swversion DE.1.0.7.0 --startMP 204:451 --initTime 2016-10-19T22:20:14 --startdatetime 2016-10-19T22:30:16 --delay 2 --endMP 204:233287 --enddatetime 2016-10-19T23:08:05 --enforcementcount 0 &gt;&gt;C:\Users\stu\Documents\GitHub\eaglep3-reporting\EC\2016-10-19-refined-times.txt</v>
      </c>
      <c r="AI147" s="122" t="str">
        <f t="shared" si="83"/>
        <v>echo {"issue":{"subject":"","project_id":79,"tracker_id":40,"status_id":1,"priority_id":2,"assigned_to_id":23,"start_date":"2016-10-19","description":"","custom_fields":[{"id":1,"name":"Subdivision","value":"EC"},{"id":4,"name":"Milepost","value":"23.3287"},{"id":17,"name":"Train ID","value":"235-19"},{"id":16,"name":"Locomotive ID","value":"4002"},{"id":130,"name":"Impact","value":""},{"id":150,"name":"Time of Event (Mountain Time)","value":"23:08:05"},{"id":151,"name":"Denver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649</v>
      </c>
      <c r="B148" s="7">
        <v>4001</v>
      </c>
      <c r="C148" s="22" t="s">
        <v>99</v>
      </c>
      <c r="D148" s="22" t="s">
        <v>705</v>
      </c>
      <c r="E148" s="13">
        <v>42662.973078703704</v>
      </c>
      <c r="F148" s="13">
        <v>42662.976701388892</v>
      </c>
      <c r="G148" s="7">
        <v>1</v>
      </c>
      <c r="H148" s="13" t="s">
        <v>225</v>
      </c>
      <c r="I148" s="13">
        <v>42663.015347222223</v>
      </c>
      <c r="J148" s="7">
        <v>0</v>
      </c>
      <c r="K148" s="112" t="str">
        <f t="shared" si="84"/>
        <v>4001/4002</v>
      </c>
      <c r="L148" s="22" t="str">
        <f>VLOOKUP(A148,'Trips&amp;Operators'!$C$1:$E$10000,3,FALSE)</f>
        <v>DELGADO</v>
      </c>
      <c r="M148" s="6">
        <f t="shared" si="85"/>
        <v>3.8645833330519963E-2</v>
      </c>
      <c r="N148" s="7">
        <f t="shared" ref="N148:N179" si="95">24*60*SUM($M148:$M148)</f>
        <v>55.649999995948747</v>
      </c>
      <c r="O148" s="7"/>
      <c r="P148" s="7"/>
      <c r="Q148" s="23"/>
      <c r="R148" s="23" t="s">
        <v>775</v>
      </c>
      <c r="S148" s="35">
        <f t="shared" si="86"/>
        <v>1</v>
      </c>
      <c r="T148" s="50" t="str">
        <f t="shared" si="87"/>
        <v>Southbound</v>
      </c>
      <c r="U148" s="18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22:21:14-0600',mode:absolute,to:'2016-10-20 01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8" s="52" t="str">
        <f t="shared" si="89"/>
        <v>N</v>
      </c>
      <c r="X148" s="174">
        <f t="shared" si="90"/>
        <v>1</v>
      </c>
      <c r="Y148" s="67">
        <f t="shared" si="91"/>
        <v>23.296800000000001</v>
      </c>
      <c r="Z148" s="67">
        <f t="shared" ref="Z148:Z179" si="96">RIGHT(H148,LEN(H148)-4)/10000</f>
        <v>1.54E-2</v>
      </c>
      <c r="AA148" s="67">
        <f t="shared" si="92"/>
        <v>23.281400000000001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93"/>
        <v>0236-19</v>
      </c>
      <c r="AE148" s="91" t="str">
        <f t="shared" si="80"/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AF148" s="88" t="str">
        <f t="shared" si="81"/>
        <v>"C:\Program Files (x86)\AstroGrep\AstroGrep.exe" /spath="%USERPROFILE%\AppData\Local\Temp\OnboardLogs" /stypes="app*4001*20161020*" /stext=" 06:.+((SYSTEM_STATE.+slice.+state.+changed )|(ment ac)|(system.+state.+changed )|(\[timeout)|(PRM\|1\|D)|(kpr)|(kdp)|(\|lc)|(penalty))" /e /r /s</v>
      </c>
      <c r="AG148" s="1" t="str">
        <f t="shared" si="94"/>
        <v>EC</v>
      </c>
      <c r="AH148" s="92" t="str">
        <f t="shared" si="82"/>
        <v>"%USERPROFILE%\Documents\GitHub\eaglep3\Utilities\RefineRTDCRunTimes.py" --tripid 236-19 --locoid 4001 --swversion DE.1.0.7.0 --startMP 204:232968 --initTime 2016-10-19T23:21:14 --startdatetime 2016-10-19T23:26:27 --delay 1 --endMP 204:154 --enddatetime 2016-10-20T00:22:06 --enforcementcount 0 &gt;&gt;C:\Users\stu\Documents\GitHub\eaglep3-reporting\EC\2016-10-19-refined-times.txt</v>
      </c>
      <c r="AI148" s="122" t="str">
        <f t="shared" si="83"/>
        <v>echo {"issue":{"subject":"Extended stay at Peoria - single track Form S?","project_id":79,"tracker_id":40,"status_id":1,"priority_id":2,"assigned_to_id":23,"start_date":"2016-10-20","description":"","custom_fields":[{"id":1,"name":"Subdivision","value":"EC"},{"id":4,"name":"Milepost","value":"0.0154"},{"id":17,"name":"Train ID","value":"236-19"},{"id":16,"name":"Locomotive ID","value":"4001"},{"id":130,"name":"Impact","value":""},{"id":150,"name":"Time of Event (Mountain Time)","value":"00:22:06"},{"id":151,"name":"Denver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647</v>
      </c>
      <c r="B149" s="7">
        <v>4046</v>
      </c>
      <c r="C149" s="22" t="s">
        <v>99</v>
      </c>
      <c r="D149" s="22" t="s">
        <v>661</v>
      </c>
      <c r="E149" s="13">
        <v>42662.950821759259</v>
      </c>
      <c r="F149" s="13">
        <v>42662.958553240744</v>
      </c>
      <c r="G149" s="7">
        <v>2</v>
      </c>
      <c r="H149" s="13" t="s">
        <v>708</v>
      </c>
      <c r="I149" s="13">
        <v>42662.984907407408</v>
      </c>
      <c r="J149" s="7">
        <v>0</v>
      </c>
      <c r="K149" s="112" t="str">
        <f t="shared" si="84"/>
        <v>4045/4046</v>
      </c>
      <c r="L149" s="22" t="str">
        <f>VLOOKUP(A149,'Trips&amp;Operators'!$C$1:$E$10000,3,FALSE)</f>
        <v>STURGEON</v>
      </c>
      <c r="M149" s="6">
        <f t="shared" si="85"/>
        <v>2.6354166664532386E-2</v>
      </c>
      <c r="N149" s="7">
        <f t="shared" si="95"/>
        <v>37.949999996926636</v>
      </c>
      <c r="O149" s="7"/>
      <c r="P149" s="7"/>
      <c r="Q149" s="23"/>
      <c r="R149" s="23"/>
      <c r="S149" s="35">
        <f t="shared" si="86"/>
        <v>1</v>
      </c>
      <c r="T149" s="50" t="str">
        <f t="shared" si="87"/>
        <v>NorthBound</v>
      </c>
      <c r="U149" s="18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21:49:11-0600',mode:absolute,to:'2016-10-20 00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9" s="52" t="str">
        <f t="shared" si="89"/>
        <v>N</v>
      </c>
      <c r="X149" s="174">
        <f t="shared" si="90"/>
        <v>1</v>
      </c>
      <c r="Y149" s="67">
        <f t="shared" si="91"/>
        <v>4.7699999999999999E-2</v>
      </c>
      <c r="Z149" s="67">
        <f t="shared" si="96"/>
        <v>23.327000000000002</v>
      </c>
      <c r="AA149" s="67">
        <f t="shared" si="92"/>
        <v>23.279300000000003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93"/>
        <v>0237-19</v>
      </c>
      <c r="AE149" s="91" t="str">
        <f t="shared" si="80"/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AF149" s="88" t="str">
        <f t="shared" si="81"/>
        <v>"C:\Program Files (x86)\AstroGrep\AstroGrep.exe" /spath="%USERPROFILE%\AppData\Local\Temp\OnboardLogs" /stypes="app*4046*20161020*" /stext=" 05:.+((SYSTEM_STATE.+slice.+state.+changed )|(ment ac)|(system.+state.+changed )|(\[timeout)|(PRM\|1\|D)|(kpr)|(kdp)|(\|lc)|(penalty))" /e /r /s</v>
      </c>
      <c r="AG149" s="1" t="str">
        <f t="shared" si="94"/>
        <v>EC</v>
      </c>
      <c r="AH149" s="92" t="str">
        <f t="shared" si="82"/>
        <v>"%USERPROFILE%\Documents\GitHub\eaglep3\Utilities\RefineRTDCRunTimes.py" --tripid 237-19 --locoid 4046 --swversion DE.1.0.7.0 --startMP 204:477 --initTime 2016-10-19T22:49:11 --startdatetime 2016-10-19T23:00:19 --delay 2 --endMP 204:233270 --enddatetime 2016-10-19T23:38:16 --enforcementcount 0 &gt;&gt;C:\Users\stu\Documents\GitHub\eaglep3-reporting\EC\2016-10-19-refined-times.txt</v>
      </c>
      <c r="AI149" s="122" t="str">
        <f t="shared" si="83"/>
        <v>echo {"issue":{"subject":"","project_id":79,"tracker_id":40,"status_id":1,"priority_id":2,"assigned_to_id":23,"start_date":"2016-10-19","description":"","custom_fields":[{"id":1,"name":"Subdivision","value":"EC"},{"id":4,"name":"Milepost","value":"23.327"},{"id":17,"name":"Train ID","value":"237-19"},{"id":16,"name":"Locomotive ID","value":"4046"},{"id":130,"name":"Impact","value":""},{"id":150,"name":"Time of Event (Mountain Time)","value":"23:38:16"},{"id":151,"name":"Denver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648</v>
      </c>
      <c r="B150" s="7">
        <v>4025</v>
      </c>
      <c r="C150" s="22" t="s">
        <v>99</v>
      </c>
      <c r="D150" s="22" t="s">
        <v>284</v>
      </c>
      <c r="E150" s="13">
        <v>42662.962777777779</v>
      </c>
      <c r="F150" s="13">
        <v>42662.98878472222</v>
      </c>
      <c r="G150" s="7">
        <v>1</v>
      </c>
      <c r="H150" s="13" t="s">
        <v>703</v>
      </c>
      <c r="I150" s="13">
        <v>42663.014861111114</v>
      </c>
      <c r="J150" s="7">
        <v>0</v>
      </c>
      <c r="K150" s="112" t="str">
        <f t="shared" si="84"/>
        <v>4025/4026</v>
      </c>
      <c r="L150" s="22" t="str">
        <f>VLOOKUP(A150,'Trips&amp;Operators'!$C$1:$E$10000,3,FALSE)</f>
        <v>YANAI</v>
      </c>
      <c r="M150" s="6">
        <f t="shared" si="85"/>
        <v>2.6076388894580305E-2</v>
      </c>
      <c r="N150" s="7">
        <f t="shared" si="95"/>
        <v>37.550000008195639</v>
      </c>
      <c r="O150" s="7"/>
      <c r="P150" s="7"/>
      <c r="Q150" s="23"/>
      <c r="R150" s="23"/>
      <c r="S150" s="35">
        <f t="shared" si="86"/>
        <v>1</v>
      </c>
      <c r="T150" s="50" t="str">
        <f t="shared" si="87"/>
        <v>NorthBound</v>
      </c>
      <c r="U150" s="18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22:06:24-0600',mode:absolute,to:'2016-10-20 01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0" s="52" t="str">
        <f t="shared" si="89"/>
        <v>N</v>
      </c>
      <c r="X150" s="174">
        <f t="shared" si="90"/>
        <v>2</v>
      </c>
      <c r="Y150" s="67">
        <f t="shared" si="91"/>
        <v>4.4400000000000002E-2</v>
      </c>
      <c r="Z150" s="67">
        <f t="shared" si="96"/>
        <v>23.295999999999999</v>
      </c>
      <c r="AA150" s="67">
        <f t="shared" si="92"/>
        <v>23.2516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93"/>
        <v>0239-19</v>
      </c>
      <c r="AE150" s="91" t="str">
        <f t="shared" si="80"/>
        <v>aws s3 cp s3://rtdc.mdm.uploadarchive.raw/RTDC4025/ "%USERPROFILE%\AppData\Local\Temp\OnboardLogs"\RTDC4025\2016-10-19 --exclude "*" --recursive --include "*20161019*" &amp; "%USERPROFILE%\Documents\GitHub\mrs-test-scripts\Headless Mode &amp; Sideloading\WalkAndUnGZ.bat" "%USERPROFILE%\AppData\Local\Temp\OnboardLogs"\RTDC4025\2016-10-19 &amp; aws s3 cp s3://rtdc.mdm.uploadarchive.raw/RTDC4025/ "%USERPROFILE%\AppData\Local\Temp\OnboardLogs"\RTDC4025\2016-10-20 --exclude "*" --recursive --include "*20161020*" &amp; "%USERPROFILE%\Documents\GitHub\mrs-test-scripts\Headless Mode &amp; Sideloading\WalkAndUnGZ.bat" "%USERPROFILE%\AppData\Local\Temp\OnboardLogs"\RTDC4025\2016-10-20</v>
      </c>
      <c r="AF150" s="88" t="str">
        <f t="shared" si="81"/>
        <v>"C:\Program Files (x86)\AstroGrep\AstroGrep.exe" /spath="%USERPROFILE%\AppData\Local\Temp\OnboardLogs" /stypes="app*4025*20161020*" /stext=" 06:.+((SYSTEM_STATE.+slice.+state.+changed )|(ment ac)|(system.+state.+changed )|(\[timeout)|(PRM\|1\|D)|(kpr)|(kdp)|(\|lc)|(penalty))" /e /r /s</v>
      </c>
      <c r="AG150" s="1" t="str">
        <f t="shared" si="94"/>
        <v>EC</v>
      </c>
      <c r="AH150" s="92" t="str">
        <f t="shared" si="82"/>
        <v>"%USERPROFILE%\Documents\GitHub\eaglep3\Utilities\RefineRTDCRunTimes.py" --tripid 239-19 --locoid 4025 --swversion DE.1.0.7.0 --startMP 204:444 --initTime 2016-10-19T23:06:24 --startdatetime 2016-10-19T23:43:51 --delay 1 --endMP 204:232960 --enddatetime 2016-10-20T00:21:24 --enforcementcount 0 &gt;&gt;C:\Users\stu\Documents\GitHub\eaglep3-reporting\EC\2016-10-19-refined-times.txt</v>
      </c>
      <c r="AI150" s="122" t="str">
        <f t="shared" si="83"/>
        <v>echo {"issue":{"subject":"","project_id":79,"tracker_id":40,"status_id":1,"priority_id":2,"assigned_to_id":23,"start_date":"2016-10-20","description":"","custom_fields":[{"id":1,"name":"Subdivision","value":"EC"},{"id":4,"name":"Milepost","value":"23.296"},{"id":17,"name":"Train ID","value":"239-19"},{"id":16,"name":"Locomotive ID","value":"4025"},{"id":130,"name":"Impact","value":""},{"id":150,"name":"Time of Event (Mountain Time)","value":"00:21:24"},{"id":151,"name":"Denver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651</v>
      </c>
      <c r="B151" s="7">
        <v>4026</v>
      </c>
      <c r="C151" s="22" t="s">
        <v>99</v>
      </c>
      <c r="D151" s="22" t="s">
        <v>709</v>
      </c>
      <c r="E151" s="13">
        <v>42663.017928240741</v>
      </c>
      <c r="F151" s="13">
        <v>42663.019861111112</v>
      </c>
      <c r="G151" s="7">
        <v>1</v>
      </c>
      <c r="H151" s="13" t="s">
        <v>298</v>
      </c>
      <c r="I151" s="13">
        <v>42663.04859953704</v>
      </c>
      <c r="J151" s="7">
        <v>0</v>
      </c>
      <c r="K151" s="112" t="str">
        <f t="shared" si="84"/>
        <v>4025/4026</v>
      </c>
      <c r="L151" s="22" t="str">
        <f>VLOOKUP(A151,'Trips&amp;Operators'!$C$1:$E$10000,3,FALSE)</f>
        <v>YANAI</v>
      </c>
      <c r="M151" s="6">
        <f t="shared" si="85"/>
        <v>2.8738425928167999E-2</v>
      </c>
      <c r="N151" s="7">
        <f t="shared" si="95"/>
        <v>41.383333336561918</v>
      </c>
      <c r="O151" s="7"/>
      <c r="P151" s="7"/>
      <c r="Q151" s="23"/>
      <c r="R151" s="23"/>
      <c r="S151" s="35">
        <f t="shared" si="86"/>
        <v>1</v>
      </c>
      <c r="T151" s="50" t="str">
        <f t="shared" si="87"/>
        <v>Southbound</v>
      </c>
      <c r="U151" s="18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23:25:49-0600',mode:absolute,to:'2016-10-20 02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1" s="52" t="str">
        <f t="shared" si="89"/>
        <v>N</v>
      </c>
      <c r="X151" s="174">
        <f t="shared" si="90"/>
        <v>1</v>
      </c>
      <c r="Y151" s="67">
        <f t="shared" si="91"/>
        <v>23.264900000000001</v>
      </c>
      <c r="Z151" s="67">
        <f t="shared" si="96"/>
        <v>1.3899999999999999E-2</v>
      </c>
      <c r="AA151" s="67">
        <f t="shared" si="92"/>
        <v>23.251000000000001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93"/>
        <v>0240-19</v>
      </c>
      <c r="AE151" s="91" t="str">
        <f t="shared" si="80"/>
        <v>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 &amp; aws s3 cp s3://rtdc.mdm.uploadarchive.raw/RTDC4026/ "%USERPROFILE%\AppData\Local\Temp\OnboardLogs"\RTDC4026\2016-10-21 --exclude "*" --recursive --include "*20161021*" &amp; "%USERPROFILE%\Documents\GitHub\mrs-test-scripts\Headless Mode &amp; Sideloading\WalkAndUnGZ.bat" "%USERPROFILE%\AppData\Local\Temp\OnboardLogs"\RTDC4026\2016-10-21</v>
      </c>
      <c r="AF151" s="88" t="str">
        <f t="shared" si="81"/>
        <v>"C:\Program Files (x86)\AstroGrep\AstroGrep.exe" /spath="%USERPROFILE%\AppData\Local\Temp\OnboardLogs" /stypes="app*4026*20161020*" /stext=" 07:.+((SYSTEM_STATE.+slice.+state.+changed )|(ment ac)|(system.+state.+changed )|(\[timeout)|(PRM\|1\|D)|(kpr)|(kdp)|(\|lc)|(penalty))" /e /r /s</v>
      </c>
      <c r="AG151" s="1" t="str">
        <f t="shared" si="94"/>
        <v>EC</v>
      </c>
      <c r="AH151" s="92" t="str">
        <f t="shared" si="82"/>
        <v>"%USERPROFILE%\Documents\GitHub\eaglep3\Utilities\RefineRTDCRunTimes.py" --tripid 240-19 --locoid 4026 --swversion DE.1.0.7.0 --startMP 204:232649 --initTime 2016-10-20T00:25:49 --startdatetime 2016-10-20T00:28:36 --delay 1 --endMP 204:139 --enddatetime 2016-10-20T01:09:59 --enforcementcount 0 &gt;&gt;C:\Users\stu\Documents\GitHub\eaglep3-reporting\EC\2016-10-19-refined-times.txt</v>
      </c>
      <c r="AI151" s="122" t="str">
        <f t="shared" si="83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ID","value":"240-19"},{"id":16,"name":"Locomotive ID","value":"4026"},{"id":130,"name":"Impact","value":""},{"id":150,"name":"Time of Event (Mountain Time)","value":"01:09:59"},{"id":151,"name":"Denver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650</v>
      </c>
      <c r="B152" s="7">
        <v>4014</v>
      </c>
      <c r="C152" s="22" t="s">
        <v>99</v>
      </c>
      <c r="D152" s="22" t="s">
        <v>278</v>
      </c>
      <c r="E152" s="13">
        <v>42662.996435185189</v>
      </c>
      <c r="F152" s="13">
        <v>42663.016724537039</v>
      </c>
      <c r="G152" s="7">
        <v>1</v>
      </c>
      <c r="H152" s="13" t="s">
        <v>710</v>
      </c>
      <c r="I152" s="13">
        <v>42663.044224537036</v>
      </c>
      <c r="J152" s="7">
        <v>0</v>
      </c>
      <c r="K152" s="112" t="str">
        <f t="shared" si="84"/>
        <v>4013/4014</v>
      </c>
      <c r="L152" s="22" t="str">
        <f>VLOOKUP(A152,'Trips&amp;Operators'!$C$1:$E$10000,3,FALSE)</f>
        <v>LEVIN</v>
      </c>
      <c r="M152" s="6">
        <f t="shared" si="85"/>
        <v>2.749999999650754E-2</v>
      </c>
      <c r="N152" s="7">
        <f t="shared" si="95"/>
        <v>39.599999994970858</v>
      </c>
      <c r="O152" s="7"/>
      <c r="P152" s="7"/>
      <c r="Q152" s="23"/>
      <c r="R152" s="23"/>
      <c r="S152" s="35">
        <f t="shared" si="86"/>
        <v>1</v>
      </c>
      <c r="T152" s="50" t="str">
        <f t="shared" si="87"/>
        <v>NorthBound</v>
      </c>
      <c r="U152" s="18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22:54:52-0600',mode:absolute,to:'2016-10-20 02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2" s="52" t="str">
        <f t="shared" si="89"/>
        <v>N</v>
      </c>
      <c r="X152" s="174">
        <f t="shared" si="90"/>
        <v>1</v>
      </c>
      <c r="Y152" s="67">
        <f t="shared" si="91"/>
        <v>4.7100000000000003E-2</v>
      </c>
      <c r="Z152" s="67">
        <f t="shared" si="96"/>
        <v>23.3323</v>
      </c>
      <c r="AA152" s="67">
        <f t="shared" si="92"/>
        <v>23.2852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93"/>
        <v>0241-19</v>
      </c>
      <c r="AE152" s="91" t="str">
        <f t="shared" si="80"/>
        <v>aws s3 cp s3://rtdc.mdm.uploadarchive.raw/RTDC4014/ "%USERPROFILE%\AppData\Local\Temp\OnboardLogs"\RTDC4014\2016-10-20 --exclude "*" --recursive --include "*20161020*" &amp; "%USERPROFILE%\Documents\GitHub\mrs-test-scripts\Headless Mode &amp; Sideloading\WalkAndUnGZ.bat" "%USERPROFILE%\AppData\Local\Temp\OnboardLogs"\RTDC4014\2016-10-20 &amp; aws s3 cp s3://rtdc.mdm.uploadarchive.raw/RTDC4014/ "%USERPROFILE%\AppData\Local\Temp\OnboardLogs"\RTDC4014\2016-10-21 --exclude "*" --recursive --include "*20161021*" &amp; "%USERPROFILE%\Documents\GitHub\mrs-test-scripts\Headless Mode &amp; Sideloading\WalkAndUnGZ.bat" "%USERPROFILE%\AppData\Local\Temp\OnboardLogs"\RTDC4014\2016-10-21</v>
      </c>
      <c r="AF152" s="88" t="str">
        <f t="shared" si="81"/>
        <v>"C:\Program Files (x86)\AstroGrep\AstroGrep.exe" /spath="%USERPROFILE%\AppData\Local\Temp\OnboardLogs" /stypes="app*4014*20161020*" /stext=" 07:.+((SYSTEM_STATE.+slice.+state.+changed )|(ment ac)|(system.+state.+changed )|(\[timeout)|(PRM\|1\|D)|(kpr)|(kdp)|(\|lc)|(penalty))" /e /r /s</v>
      </c>
      <c r="AG152" s="1" t="str">
        <f t="shared" si="94"/>
        <v>EC</v>
      </c>
      <c r="AH152" s="92" t="str">
        <f t="shared" si="82"/>
        <v>"%USERPROFILE%\Documents\GitHub\eaglep3\Utilities\RefineRTDCRunTimes.py" --tripid 241-19 --locoid 4014 --swversion DE.1.0.7.0 --startMP 204:471 --initTime 2016-10-19T23:54:52 --startdatetime 2016-10-20T00:24:05 --delay 1 --endMP 204:233323 --enddatetime 2016-10-20T01:03:41 --enforcementcount 0 &gt;&gt;C:\Users\stu\Documents\GitHub\eaglep3-reporting\EC\2016-10-19-refined-times.txt</v>
      </c>
      <c r="AI152" s="122" t="str">
        <f t="shared" si="83"/>
        <v>echo {"issue":{"subject":"","project_id":79,"tracker_id":40,"status_id":1,"priority_id":2,"assigned_to_id":23,"start_date":"2016-10-20","description":"","custom_fields":[{"id":1,"name":"Subdivision","value":"EC"},{"id":4,"name":"Milepost","value":"23.3323"},{"id":17,"name":"Train ID","value":"241-19"},{"id":16,"name":"Locomotive ID","value":"4014"},{"id":130,"name":"Impact","value":""},{"id":150,"name":"Time of Event (Mountain Time)","value":"01:03:41"},{"id":151,"name":"Denver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652</v>
      </c>
      <c r="B153" s="7">
        <v>4002</v>
      </c>
      <c r="C153" s="22" t="s">
        <v>99</v>
      </c>
      <c r="D153" s="22" t="s">
        <v>278</v>
      </c>
      <c r="E153" s="13">
        <v>42663.018125000002</v>
      </c>
      <c r="F153" s="13">
        <v>42663.022083333337</v>
      </c>
      <c r="G153" s="7">
        <v>4</v>
      </c>
      <c r="H153" s="13" t="s">
        <v>271</v>
      </c>
      <c r="I153" s="13">
        <v>42663.049837962964</v>
      </c>
      <c r="J153" s="7">
        <v>0</v>
      </c>
      <c r="K153" s="112" t="str">
        <f t="shared" si="84"/>
        <v>4001/4002</v>
      </c>
      <c r="L153" s="22" t="str">
        <f>VLOOKUP(A153,'Trips&amp;Operators'!$C$1:$E$10000,3,FALSE)</f>
        <v>DELGADO</v>
      </c>
      <c r="M153" s="6">
        <f t="shared" si="85"/>
        <v>2.7754629627452232E-2</v>
      </c>
      <c r="N153" s="7">
        <f t="shared" si="95"/>
        <v>39.966666663531214</v>
      </c>
      <c r="O153" s="7"/>
      <c r="P153" s="7"/>
      <c r="Q153" s="23"/>
      <c r="R153" s="23"/>
      <c r="S153" s="35">
        <f t="shared" si="86"/>
        <v>1</v>
      </c>
      <c r="T153" s="50" t="str">
        <f t="shared" si="87"/>
        <v>NorthBound</v>
      </c>
      <c r="U153" s="18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23:26:06-0600',mode:absolute,to:'2016-10-20 02:11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52" t="str">
        <f t="shared" si="89"/>
        <v>N</v>
      </c>
      <c r="X153" s="174">
        <f t="shared" si="90"/>
        <v>2</v>
      </c>
      <c r="Y153" s="67">
        <f t="shared" si="91"/>
        <v>4.7100000000000003E-2</v>
      </c>
      <c r="Z153" s="67">
        <f t="shared" si="96"/>
        <v>23.299800000000001</v>
      </c>
      <c r="AA153" s="67">
        <f t="shared" si="92"/>
        <v>23.252700000000001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93"/>
        <v>0243-19</v>
      </c>
      <c r="AE153" s="91" t="str">
        <f t="shared" si="80"/>
        <v>aws s3 cp s3://rtdc.mdm.uploadarchive.raw/RTDC4002/ "%USERPROFILE%\AppData\Local\Temp\OnboardLogs"\RTDC4002\2016-10-20 --exclude "*" --recursive --include "*20161020*" &amp; "%USERPROFILE%\Documents\GitHub\mrs-test-scripts\Headless Mode &amp; Sideloading\WalkAndUnGZ.bat" "%USERPROFILE%\AppData\Local\Temp\OnboardLogs"\RTDC4002\2016-10-20 &amp; aws s3 cp s3://rtdc.mdm.uploadarchive.raw/RTDC4002/ "%USERPROFILE%\AppData\Local\Temp\OnboardLogs"\RTDC4002\2016-10-21 --exclude "*" --recursive --include "*20161021*" &amp; "%USERPROFILE%\Documents\GitHub\mrs-test-scripts\Headless Mode &amp; Sideloading\WalkAndUnGZ.bat" "%USERPROFILE%\AppData\Local\Temp\OnboardLogs"\RTDC4002\2016-10-21</v>
      </c>
      <c r="AF153" s="88" t="str">
        <f t="shared" si="81"/>
        <v>"C:\Program Files (x86)\AstroGrep\AstroGrep.exe" /spath="%USERPROFILE%\AppData\Local\Temp\OnboardLogs" /stypes="app*4002*20161020*" /stext=" 07:.+((SYSTEM_STATE.+slice.+state.+changed )|(ment ac)|(system.+state.+changed )|(\[timeout)|(PRM\|1\|D)|(kpr)|(kdp)|(\|lc)|(penalty))" /e /r /s</v>
      </c>
      <c r="AG153" s="1" t="str">
        <f t="shared" si="94"/>
        <v>EC</v>
      </c>
      <c r="AH153" s="92" t="str">
        <f t="shared" si="82"/>
        <v>"%USERPROFILE%\Documents\GitHub\eaglep3\Utilities\RefineRTDCRunTimes.py" --tripid 243-19 --locoid 4002 --swversion DE.1.0.7.0 --startMP 204:471 --initTime 2016-10-20T00:26:06 --startdatetime 2016-10-20T00:31:48 --delay 4 --endMP 204:232998 --enddatetime 2016-10-20T01:11:46 --enforcementcount 0 &gt;&gt;C:\Users\stu\Documents\GitHub\eaglep3-reporting\EC\2016-10-19-refined-times.txt</v>
      </c>
      <c r="AI153" s="122" t="str">
        <f t="shared" si="83"/>
        <v>echo {"issue":{"subject":"","project_id":79,"tracker_id":40,"status_id":1,"priority_id":2,"assigned_to_id":23,"start_date":"2016-10-20","description":"","custom_fields":[{"id":1,"name":"Subdivision","value":"EC"},{"id":4,"name":"Milepost","value":"23.2998"},{"id":17,"name":"Train ID","value":"243-19"},{"id":16,"name":"Locomotive ID","value":"4002"},{"id":130,"name":"Impact","value":""},{"id":150,"name":"Time of Event (Mountain Time)","value":"01:11:46"},{"id":151,"name":"Denver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464</v>
      </c>
      <c r="B154" s="7">
        <v>4001</v>
      </c>
      <c r="C154" s="22" t="s">
        <v>99</v>
      </c>
      <c r="D154" s="22" t="s">
        <v>711</v>
      </c>
      <c r="E154" s="13">
        <v>42663.052766203706</v>
      </c>
      <c r="F154" s="13">
        <v>42663.059918981482</v>
      </c>
      <c r="G154" s="7">
        <v>2</v>
      </c>
      <c r="H154" s="13" t="s">
        <v>712</v>
      </c>
      <c r="I154" s="13">
        <v>42663.088587962964</v>
      </c>
      <c r="J154" s="7">
        <v>0</v>
      </c>
      <c r="K154" s="112" t="str">
        <f t="shared" si="84"/>
        <v>4001/4002</v>
      </c>
      <c r="L154" s="22" t="str">
        <f>VLOOKUP(A154,'Trips&amp;Operators'!$C$1:$E$10000,3,FALSE)</f>
        <v>LEVIN</v>
      </c>
      <c r="M154" s="6">
        <f t="shared" si="85"/>
        <v>2.8668981482042E-2</v>
      </c>
      <c r="N154" s="7">
        <f t="shared" si="95"/>
        <v>41.28333333414048</v>
      </c>
      <c r="O154" s="7"/>
      <c r="P154" s="7"/>
      <c r="Q154" s="23"/>
      <c r="R154" s="23"/>
      <c r="S154" s="35">
        <f t="shared" si="86"/>
        <v>1</v>
      </c>
      <c r="T154" s="50" t="str">
        <f t="shared" si="87"/>
        <v>Southbound</v>
      </c>
      <c r="U154" s="18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https://search-rtdc-monitor-bjffxe2xuh6vdkpspy63sjmuny.us-east-1.es.amazonaws.com/_plugin/kibana/#/discover/Steve-Slow-Train-Analysis-(2080s-and-2083s)?_g=(refreshInterval:(display:Off,section:0,value:0),time:(from:'2016-10-20 00:15:59-0600',mode:absolute,to:'2016-10-20 03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4" s="52" t="str">
        <f t="shared" si="89"/>
        <v>N</v>
      </c>
      <c r="X154" s="174">
        <f t="shared" si="90"/>
        <v>1</v>
      </c>
      <c r="Y154" s="67">
        <f t="shared" si="91"/>
        <v>23.267900000000001</v>
      </c>
      <c r="Z154" s="67">
        <f t="shared" si="96"/>
        <v>1.29E-2</v>
      </c>
      <c r="AA154" s="67">
        <f t="shared" si="92"/>
        <v>23.255000000000003</v>
      </c>
      <c r="AB154" s="64" t="str">
        <f>VLOOKUP(A154,Enforcements!$C$7:$K$21,8,0)</f>
        <v>Signal based authority (5)</v>
      </c>
      <c r="AC154" s="60" t="str">
        <f>VLOOKUP(A154,Enforcements!$C$7:$E$21,3,0)</f>
        <v>SIGNAL</v>
      </c>
      <c r="AD154" s="61" t="str">
        <f t="shared" si="93"/>
        <v>0244-19</v>
      </c>
      <c r="AE154" s="91" t="str">
        <f t="shared" si="80"/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AF154" s="88" t="str">
        <f t="shared" si="81"/>
        <v>"C:\Program Files (x86)\AstroGrep\AstroGrep.exe" /spath="%USERPROFILE%\AppData\Local\Temp\OnboardLogs" /stypes="app*4001*20161020*" /stext=" 08:.+((SYSTEM_STATE.+slice.+state.+changed )|(ment ac)|(system.+state.+changed )|(\[timeout)|(PRM\|1\|D)|(kpr)|(kdp)|(\|lc)|(penalty))" /e /r /s</v>
      </c>
      <c r="AG154" s="1" t="str">
        <f t="shared" si="94"/>
        <v>EC</v>
      </c>
      <c r="AH154" s="92" t="str">
        <f t="shared" si="82"/>
        <v>"%USERPROFILE%\Documents\GitHub\eaglep3\Utilities\RefineRTDCRunTimes.py" --tripid 244-19 --locoid 4001 --swversion DE.1.0.7.0 --startMP 204:232679 --initTime 2016-10-20T01:15:59 --startdatetime 2016-10-20T01:26:17 --delay 2 --endMP 204:129 --enddatetime 2016-10-20T02:07:34 --enforcementcount 0 &gt;&gt;C:\Users\stu\Documents\GitHub\eaglep3-reporting\EC\2016-10-19-refined-times.txt</v>
      </c>
      <c r="AI154" s="122" t="str">
        <f t="shared" si="83"/>
        <v>echo {"issue":{"subject":"","project_id":79,"tracker_id":40,"status_id":1,"priority_id":2,"assigned_to_id":23,"start_date":"2016-10-20","description":"","custom_fields":[{"id":1,"name":"Subdivision","value":"EC"},{"id":4,"name":"Milepost","value":"0.0129"},{"id":17,"name":"Train ID","value":"244-19"},{"id":16,"name":"Locomotive ID","value":"4001"},{"id":130,"name":"Impact","value":""},{"id":150,"name":"Time of Event (Mountain Time)","value":"02:07:34"},{"id":151,"name":"Denver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477</v>
      </c>
      <c r="B155" s="7">
        <v>4054</v>
      </c>
      <c r="C155" s="22" t="s">
        <v>99</v>
      </c>
      <c r="D155" s="22" t="s">
        <v>426</v>
      </c>
      <c r="E155" s="13">
        <v>42662.214571759258</v>
      </c>
      <c r="F155" s="13">
        <v>42662.215983796297</v>
      </c>
      <c r="G155" s="7">
        <v>1</v>
      </c>
      <c r="H155" s="13" t="s">
        <v>718</v>
      </c>
      <c r="I155" s="13">
        <v>42662.226145833331</v>
      </c>
      <c r="J155" s="7">
        <v>0</v>
      </c>
      <c r="K155" s="112" t="str">
        <f t="shared" si="84"/>
        <v>4053/4054</v>
      </c>
      <c r="L155" s="22" t="str">
        <f>VLOOKUP(A155,'Trips&amp;Operators'!$C$1:$E$10000,3,FALSE)</f>
        <v>STARKS</v>
      </c>
      <c r="M155" s="6">
        <f t="shared" si="85"/>
        <v>1.0162037033296656E-2</v>
      </c>
      <c r="N155" s="7">
        <f t="shared" si="95"/>
        <v>14.633333327947184</v>
      </c>
      <c r="O155" s="7"/>
      <c r="P155" s="7"/>
      <c r="Q155" s="23"/>
      <c r="R155" s="23"/>
      <c r="S155" s="35">
        <f t="shared" si="86"/>
        <v>1</v>
      </c>
      <c r="T155" s="50" t="str">
        <f t="shared" si="87"/>
        <v>Southbound</v>
      </c>
      <c r="U155" s="18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04:08:59-0600',mode:absolute,to:'2016-10-19 06:25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5" s="52" t="str">
        <f t="shared" si="89"/>
        <v>N</v>
      </c>
      <c r="X155" s="174">
        <f t="shared" si="90"/>
        <v>556</v>
      </c>
      <c r="Y155" s="67">
        <f t="shared" si="91"/>
        <v>5.8604000000000003</v>
      </c>
      <c r="Z155" s="67">
        <f t="shared" si="96"/>
        <v>7.0800000000000002E-2</v>
      </c>
      <c r="AA155" s="67">
        <f t="shared" si="92"/>
        <v>5.7896000000000001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93"/>
        <v>0800-19</v>
      </c>
      <c r="AE155" s="91" t="str">
        <f t="shared" si="8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155" s="88" t="str">
        <f t="shared" si="81"/>
        <v>"C:\Program Files (x86)\AstroGrep\AstroGrep.exe" /spath="%USERPROFILE%\AppData\Local\Temp\OnboardLogs" /stypes="app*4054*20161019*" /stext=" 11:.+((SYSTEM_STATE.+slice.+state.+changed )|(ment ac)|(system.+state.+changed )|(\[timeout)|(PRM\|1\|D)|(kpr)|(kdp)|(\|lc)|(penalty))" /e /r /s</v>
      </c>
      <c r="AG155" s="1" t="str">
        <f t="shared" si="94"/>
        <v>NW</v>
      </c>
      <c r="AH155" s="92" t="str">
        <f t="shared" si="82"/>
        <v>"%USERPROFILE%\Documents\GitHub\eaglep3\Utilities\RefineRTDCRunTimes.py" --tripid 800-19 --locoid 4054 --swversion DE.1.0.7.0 --startMP 300:58604 --initTime 2016-10-19T05:08:59 --startdatetime 2016-10-19T05:11:01 --delay 1 --endMP 204:708 --enddatetime 2016-10-19T05:25:39 --enforcementcount 0 &gt;&gt;C:\Users\stu\Documents\GitHub\eaglep3-reporting\EC\2016-10-19-refined-times.txt</v>
      </c>
      <c r="AI155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{"issue":{"subject":"","project_id":79,"tracker_id":40,"status_id":1,"priority_id":2,"assigned_to_id":23,"start_date":"2016-10-19","description":"","custom_fields":[{"id":1,"name":"Subdivision","value":"NW"},{"id":4,"name":"Milepost","value":"0.0708"},{"id":17,"name":"Train ID","value":"800-19"},{"id":16,"name":"Locomotive ID","value":"4054"},{"id":130,"name":"Impact","value":""},{"id":150,"name":"Time of Event (Mountain Time)","value":"05:25:39"},{"id":151,"name":"Denver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482</v>
      </c>
      <c r="B156" s="7">
        <v>4053</v>
      </c>
      <c r="C156" s="22" t="s">
        <v>99</v>
      </c>
      <c r="D156" s="22" t="s">
        <v>719</v>
      </c>
      <c r="E156" s="13">
        <v>42662.240601851852</v>
      </c>
      <c r="F156" s="13">
        <v>42662.244155092594</v>
      </c>
      <c r="G156" s="7">
        <v>1</v>
      </c>
      <c r="H156" s="13" t="s">
        <v>344</v>
      </c>
      <c r="I156" s="13">
        <v>42662.253611111111</v>
      </c>
      <c r="J156" s="7">
        <v>0</v>
      </c>
      <c r="K156" s="112" t="str">
        <f t="shared" si="84"/>
        <v>4053/4054</v>
      </c>
      <c r="L156" s="22" t="str">
        <f>VLOOKUP(A156,'Trips&amp;Operators'!$C$1:$E$10000,3,FALSE)</f>
        <v>STARKS</v>
      </c>
      <c r="M156" s="6">
        <f t="shared" si="85"/>
        <v>9.4560185170848854E-3</v>
      </c>
      <c r="N156" s="7">
        <f t="shared" si="95"/>
        <v>13.616666664602235</v>
      </c>
      <c r="O156" s="7"/>
      <c r="P156" s="7"/>
      <c r="Q156" s="23"/>
      <c r="R156" s="23"/>
      <c r="S156" s="35">
        <f t="shared" si="86"/>
        <v>1</v>
      </c>
      <c r="T156" s="50" t="str">
        <f t="shared" si="87"/>
        <v>NorthBound</v>
      </c>
      <c r="U156" s="18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04:46:28-0600',mode:absolute,to:'2016-10-19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6" s="52" t="str">
        <f t="shared" si="89"/>
        <v>N</v>
      </c>
      <c r="X156" s="174">
        <f t="shared" si="90"/>
        <v>1</v>
      </c>
      <c r="Y156" s="67">
        <f t="shared" si="91"/>
        <v>9.9900000000000003E-2</v>
      </c>
      <c r="Z156" s="67">
        <f t="shared" si="96"/>
        <v>5.8940999999999999</v>
      </c>
      <c r="AA156" s="67">
        <f t="shared" si="92"/>
        <v>5.7942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93"/>
        <v>0801-19</v>
      </c>
      <c r="AE156" s="91" t="str">
        <f t="shared" si="80"/>
        <v>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 &amp; 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</v>
      </c>
      <c r="AF156" s="88" t="str">
        <f t="shared" si="81"/>
        <v>"C:\Program Files (x86)\AstroGrep\AstroGrep.exe" /spath="%USERPROFILE%\AppData\Local\Temp\OnboardLogs" /stypes="app*4053*20161019*" /stext=" 12:.+((SYSTEM_STATE.+slice.+state.+changed )|(ment ac)|(system.+state.+changed )|(\[timeout)|(PRM\|1\|D)|(kpr)|(kdp)|(\|lc)|(penalty))" /e /r /s</v>
      </c>
      <c r="AG156" s="1" t="str">
        <f t="shared" si="94"/>
        <v>NW</v>
      </c>
      <c r="AH156" s="92" t="str">
        <f t="shared" si="82"/>
        <v>"%USERPROFILE%\Documents\GitHub\eaglep3\Utilities\RefineRTDCRunTimes.py" --tripid 801-19 --locoid 4053 --swversion DE.1.0.7.0 --startMP 204:999 --initTime 2016-10-19T05:46:28 --startdatetime 2016-10-19T05:51:35 --delay 1 --endMP 300:58941 --enddatetime 2016-10-19T06:05:12 --enforcementcount 0 &gt;&gt;C:\Users\stu\Documents\GitHub\eaglep3-reporting\EC\2016-10-19-refined-times.txt</v>
      </c>
      <c r="AI156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{"issue":{"subject":"","project_id":79,"tracker_id":40,"status_id":1,"priority_id":2,"assigned_to_id":23,"start_date":"2016-10-19","description":"","custom_fields":[{"id":1,"name":"Subdivision","value":"NW"},{"id":4,"name":"Milepost","value":"5.8941"},{"id":17,"name":"Train ID","value":"801-19"},{"id":16,"name":"Locomotive ID","value":"4053"},{"id":130,"name":"Impact","value":""},{"id":150,"name":"Time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438</v>
      </c>
      <c r="B157" s="7">
        <v>4054</v>
      </c>
      <c r="C157" s="22" t="s">
        <v>99</v>
      </c>
      <c r="D157" s="22" t="s">
        <v>720</v>
      </c>
      <c r="E157" s="13">
        <v>42662.255023148151</v>
      </c>
      <c r="F157" s="13">
        <v>42662.256273148145</v>
      </c>
      <c r="G157" s="7">
        <v>1</v>
      </c>
      <c r="H157" s="13" t="s">
        <v>721</v>
      </c>
      <c r="I157" s="13">
        <v>42662.268437500003</v>
      </c>
      <c r="J157" s="7">
        <v>0</v>
      </c>
      <c r="K157" s="112" t="str">
        <f t="shared" si="84"/>
        <v>4053/4054</v>
      </c>
      <c r="L157" s="22" t="str">
        <f>VLOOKUP(A157,'Trips&amp;Operators'!$C$1:$E$10000,3,FALSE)</f>
        <v>STARKS</v>
      </c>
      <c r="M157" s="6">
        <f t="shared" si="85"/>
        <v>1.2164351857791189E-2</v>
      </c>
      <c r="N157" s="7">
        <f t="shared" si="95"/>
        <v>17.516666675219312</v>
      </c>
      <c r="O157" s="7"/>
      <c r="P157" s="7"/>
      <c r="Q157" s="23"/>
      <c r="R157" s="23"/>
      <c r="S157" s="35">
        <f t="shared" si="86"/>
        <v>1</v>
      </c>
      <c r="T157" s="50" t="str">
        <f t="shared" si="87"/>
        <v>Southbound</v>
      </c>
      <c r="U157" s="18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05:07:14-0600',mode:absolute,to:'2016-10-19 07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7" s="52" t="str">
        <f t="shared" si="89"/>
        <v>N</v>
      </c>
      <c r="X157" s="174">
        <f t="shared" si="90"/>
        <v>1</v>
      </c>
      <c r="Y157" s="67">
        <f t="shared" si="91"/>
        <v>5.8616999999999999</v>
      </c>
      <c r="Z157" s="67">
        <f t="shared" si="96"/>
        <v>6.7999999999999996E-3</v>
      </c>
      <c r="AA157" s="67">
        <f t="shared" si="92"/>
        <v>5.8548999999999998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93"/>
        <v>0802-19</v>
      </c>
      <c r="AE157" s="91" t="str">
        <f t="shared" si="8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157" s="88" t="str">
        <f t="shared" si="81"/>
        <v>"C:\Program Files (x86)\AstroGrep\AstroGrep.exe" /spath="%USERPROFILE%\AppData\Local\Temp\OnboardLogs" /stypes="app*4054*20161019*" /stext=" 12:.+((SYSTEM_STATE.+slice.+state.+changed )|(ment ac)|(system.+state.+changed )|(\[timeout)|(PRM\|1\|D)|(kpr)|(kdp)|(\|lc)|(penalty))" /e /r /s</v>
      </c>
      <c r="AG157" s="1" t="str">
        <f t="shared" si="94"/>
        <v>NW</v>
      </c>
      <c r="AH157" s="92" t="str">
        <f t="shared" si="82"/>
        <v>"%USERPROFILE%\Documents\GitHub\eaglep3\Utilities\RefineRTDCRunTimes.py" --tripid 802-19 --locoid 4054 --swversion DE.1.0.7.0 --startMP 300:58617 --initTime 2016-10-19T06:07:14 --startdatetime 2016-10-19T06:09:02 --delay 1 --endMP 204:68 --enddatetime 2016-10-19T06:26:33 --enforcementcount 0 &gt;&gt;C:\Users\stu\Documents\GitHub\eaglep3-reporting\EC\2016-10-19-refined-times.txt</v>
      </c>
      <c r="AI157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{"issue":{"subject":"","project_id":79,"tracker_id":40,"status_id":1,"priority_id":2,"assigned_to_id":23,"start_date":"2016-10-19","description":"","custom_fields":[{"id":1,"name":"Subdivision","value":"NW"},{"id":4,"name":"Milepost","value":"0.0068"},{"id":17,"name":"Train ID","value":"802-19"},{"id":16,"name":"Locomotive ID","value":"4054"},{"id":130,"name":"Impact","value":""},{"id":150,"name":"Time of Event (Mountain Time)","value":"06:26:33"},{"id":151,"name":"Denver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488</v>
      </c>
      <c r="B158" s="7">
        <v>4031</v>
      </c>
      <c r="C158" s="22" t="s">
        <v>99</v>
      </c>
      <c r="D158" s="22" t="s">
        <v>339</v>
      </c>
      <c r="E158" s="13">
        <v>42662.262152777781</v>
      </c>
      <c r="F158" s="13">
        <v>42662.2656712963</v>
      </c>
      <c r="G158" s="7">
        <v>4</v>
      </c>
      <c r="H158" s="13" t="s">
        <v>431</v>
      </c>
      <c r="I158" s="13">
        <v>42662.275208333333</v>
      </c>
      <c r="J158" s="7">
        <v>0</v>
      </c>
      <c r="K158" s="112" t="str">
        <f t="shared" si="84"/>
        <v>4031/4032</v>
      </c>
      <c r="L158" s="22" t="str">
        <f>VLOOKUP(A158,'Trips&amp;Operators'!$C$1:$E$10000,3,FALSE)</f>
        <v>GEBRETEKLE</v>
      </c>
      <c r="M158" s="6">
        <f t="shared" si="85"/>
        <v>9.5370370327145793E-3</v>
      </c>
      <c r="N158" s="7">
        <f t="shared" si="95"/>
        <v>13.733333327108994</v>
      </c>
      <c r="O158" s="7"/>
      <c r="P158" s="7"/>
      <c r="Q158" s="23"/>
      <c r="R158" s="23"/>
      <c r="S158" s="35">
        <f t="shared" si="86"/>
        <v>1</v>
      </c>
      <c r="T158" s="50" t="str">
        <f t="shared" si="87"/>
        <v>NorthBound</v>
      </c>
      <c r="U158" s="18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05:17:30-0600',mode:absolute,to:'2016-10-19 07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8" s="52" t="str">
        <f t="shared" si="89"/>
        <v>N</v>
      </c>
      <c r="X158" s="174">
        <f t="shared" si="90"/>
        <v>1</v>
      </c>
      <c r="Y158" s="67">
        <f t="shared" si="91"/>
        <v>9.74E-2</v>
      </c>
      <c r="Z158" s="67">
        <f t="shared" si="96"/>
        <v>5.8964999999999996</v>
      </c>
      <c r="AA158" s="67">
        <f t="shared" si="92"/>
        <v>5.7990999999999993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93"/>
        <v>0803-19</v>
      </c>
      <c r="AE158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58" s="88" t="str">
        <f t="shared" si="81"/>
        <v>"C:\Program Files (x86)\AstroGrep\AstroGrep.exe" /spath="%USERPROFILE%\AppData\Local\Temp\OnboardLogs" /stypes="app*4031*20161019*" /stext=" 12:.+((SYSTEM_STATE.+slice.+state.+changed )|(ment ac)|(system.+state.+changed )|(\[timeout)|(PRM\|1\|D)|(kpr)|(kdp)|(\|lc)|(penalty))" /e /r /s</v>
      </c>
      <c r="AG158" s="1" t="str">
        <f t="shared" si="94"/>
        <v>NW</v>
      </c>
      <c r="AH158" s="92" t="str">
        <f t="shared" si="82"/>
        <v>"%USERPROFILE%\Documents\GitHub\eaglep3\Utilities\RefineRTDCRunTimes.py" --tripid 803-19 --locoid 4031 --swversion DE.1.0.7.0 --startMP 204:974 --initTime 2016-10-19T06:17:30 --startdatetime 2016-10-19T06:22:34 --delay 4 --endMP 300:58965 --enddatetime 2016-10-19T06:36:18 --enforcementcount 0 &gt;&gt;C:\Users\stu\Documents\GitHub\eaglep3-reporting\EC\2016-10-19-refined-times.txt</v>
      </c>
      <c r="AI158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{"issue":{"subject":"","project_id":79,"tracker_id":40,"status_id":1,"priority_id":2,"assigned_to_id":23,"start_date":"2016-10-19","description":"","custom_fields":[{"id":1,"name":"Subdivision","value":"NW"},{"id":4,"name":"Milepost","value":"5.8965"},{"id":17,"name":"Train ID","value":"803-19"},{"id":16,"name":"Locomotive ID","value":"4031"},{"id":130,"name":"Impact","value":""},{"id":150,"name":"Time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491</v>
      </c>
      <c r="B159" s="7">
        <v>4032</v>
      </c>
      <c r="C159" s="22" t="s">
        <v>99</v>
      </c>
      <c r="D159" s="22" t="s">
        <v>347</v>
      </c>
      <c r="E159" s="13">
        <v>42662.276678240742</v>
      </c>
      <c r="F159" s="13">
        <v>42662.279016203705</v>
      </c>
      <c r="G159" s="7">
        <v>2</v>
      </c>
      <c r="H159" s="13" t="s">
        <v>430</v>
      </c>
      <c r="I159" s="13">
        <v>42662.289212962962</v>
      </c>
      <c r="J159" s="7">
        <v>0</v>
      </c>
      <c r="K159" s="112" t="str">
        <f t="shared" si="84"/>
        <v>4031/4032</v>
      </c>
      <c r="L159" s="22" t="str">
        <f>VLOOKUP(A159,'Trips&amp;Operators'!$C$1:$E$10000,3,FALSE)</f>
        <v>GEBRETEKLE</v>
      </c>
      <c r="M159" s="6">
        <f t="shared" si="85"/>
        <v>1.0196759256359655E-2</v>
      </c>
      <c r="N159" s="7">
        <f t="shared" si="95"/>
        <v>14.683333329157904</v>
      </c>
      <c r="O159" s="7"/>
      <c r="P159" s="7"/>
      <c r="Q159" s="23"/>
      <c r="R159" s="23"/>
      <c r="S159" s="35">
        <f t="shared" si="86"/>
        <v>1</v>
      </c>
      <c r="T159" s="50" t="str">
        <f t="shared" si="87"/>
        <v>Southbound</v>
      </c>
      <c r="U159" s="18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05:38:25-0600',mode:absolute,to:'2016-10-19 07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9" s="52" t="str">
        <f t="shared" si="89"/>
        <v>N</v>
      </c>
      <c r="X159" s="174">
        <f t="shared" si="90"/>
        <v>1</v>
      </c>
      <c r="Y159" s="67">
        <f t="shared" si="91"/>
        <v>5.8643000000000001</v>
      </c>
      <c r="Z159" s="67">
        <f t="shared" si="96"/>
        <v>7.0099999999999996E-2</v>
      </c>
      <c r="AA159" s="67">
        <f t="shared" si="92"/>
        <v>5.7942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93"/>
        <v>0804-19</v>
      </c>
      <c r="AE159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59" s="88" t="str">
        <f t="shared" si="81"/>
        <v>"C:\Program Files (x86)\AstroGrep\AstroGrep.exe" /spath="%USERPROFILE%\AppData\Local\Temp\OnboardLogs" /stypes="app*4032*20161019*" /stext=" 12:.+((SYSTEM_STATE.+slice.+state.+changed )|(ment ac)|(system.+state.+changed )|(\[timeout)|(PRM\|1\|D)|(kpr)|(kdp)|(\|lc)|(penalty))" /e /r /s</v>
      </c>
      <c r="AG159" s="1" t="str">
        <f t="shared" si="94"/>
        <v>NW</v>
      </c>
      <c r="AH159" s="92" t="str">
        <f t="shared" si="82"/>
        <v>"%USERPROFILE%\Documents\GitHub\eaglep3\Utilities\RefineRTDCRunTimes.py" --tripid 804-19 --locoid 4032 --swversion DE.1.0.7.0 --startMP 300:58643 --initTime 2016-10-19T06:38:25 --startdatetime 2016-10-19T06:41:47 --delay 2 --endMP 204:701 --enddatetime 2016-10-19T06:56:28 --enforcementcount 0 &gt;&gt;C:\Users\stu\Documents\GitHub\eaglep3-reporting\EC\2016-10-19-refined-times.txt</v>
      </c>
      <c r="AI159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{"issue":{"subject":"","project_id":79,"tracker_id":40,"status_id":1,"priority_id":2,"assigned_to_id":23,"start_date":"2016-10-19","description":"","custom_fields":[{"id":1,"name":"Subdivision","value":"NW"},{"id":4,"name":"Milepost","value":"0.0701"},{"id":17,"name":"Train ID","value":"804-19"},{"id":16,"name":"Locomotive ID","value":"4032"},{"id":130,"name":"Impact","value":""},{"id":150,"name":"Time of Event (Mountain Time)","value":"06:56:28"},{"id":151,"name":"Denver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494</v>
      </c>
      <c r="B160" s="7">
        <v>4053</v>
      </c>
      <c r="C160" s="22" t="s">
        <v>99</v>
      </c>
      <c r="D160" s="22" t="s">
        <v>722</v>
      </c>
      <c r="E160" s="13">
        <v>42662.282997685186</v>
      </c>
      <c r="F160" s="13">
        <v>42662.28597222222</v>
      </c>
      <c r="G160" s="7">
        <v>1</v>
      </c>
      <c r="H160" s="13" t="s">
        <v>435</v>
      </c>
      <c r="I160" s="13">
        <v>42662.295763888891</v>
      </c>
      <c r="J160" s="7">
        <v>0</v>
      </c>
      <c r="K160" s="112" t="str">
        <f t="shared" si="84"/>
        <v>4053/4054</v>
      </c>
      <c r="L160" s="22" t="str">
        <f>VLOOKUP(A160,'Trips&amp;Operators'!$C$1:$E$10000,3,FALSE)</f>
        <v>STARKS</v>
      </c>
      <c r="M160" s="6">
        <f t="shared" si="85"/>
        <v>9.7916666709352285E-3</v>
      </c>
      <c r="N160" s="7">
        <f t="shared" si="95"/>
        <v>14.100000006146729</v>
      </c>
      <c r="O160" s="7"/>
      <c r="P160" s="7"/>
      <c r="Q160" s="23"/>
      <c r="R160" s="23"/>
      <c r="S160" s="35">
        <f t="shared" si="86"/>
        <v>1</v>
      </c>
      <c r="T160" s="50" t="str">
        <f t="shared" si="87"/>
        <v>NorthBound</v>
      </c>
      <c r="U160" s="18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05:47:31-0600',mode:absolute,to:'2016-10-19 08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0" s="52" t="str">
        <f t="shared" si="89"/>
        <v>N</v>
      </c>
      <c r="X160" s="174">
        <f t="shared" si="90"/>
        <v>1</v>
      </c>
      <c r="Y160" s="67">
        <f t="shared" si="91"/>
        <v>3.8300000000000001E-2</v>
      </c>
      <c r="Z160" s="67">
        <f t="shared" si="96"/>
        <v>5.8933</v>
      </c>
      <c r="AA160" s="67">
        <f t="shared" si="92"/>
        <v>5.8550000000000004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93"/>
        <v>0805-19</v>
      </c>
      <c r="AE160" s="91" t="str">
        <f t="shared" si="80"/>
        <v>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 &amp; 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</v>
      </c>
      <c r="AF160" s="88" t="str">
        <f t="shared" si="81"/>
        <v>"C:\Program Files (x86)\AstroGrep\AstroGrep.exe" /spath="%USERPROFILE%\AppData\Local\Temp\OnboardLogs" /stypes="app*4053*20161019*" /stext=" 13:.+((SYSTEM_STATE.+slice.+state.+changed )|(ment ac)|(system.+state.+changed )|(\[timeout)|(PRM\|1\|D)|(kpr)|(kdp)|(\|lc)|(penalty))" /e /r /s</v>
      </c>
      <c r="AG160" s="1" t="str">
        <f t="shared" si="94"/>
        <v>NW</v>
      </c>
      <c r="AH160" s="92" t="str">
        <f t="shared" si="82"/>
        <v>"%USERPROFILE%\Documents\GitHub\eaglep3\Utilities\RefineRTDCRunTimes.py" --tripid 805-19 --locoid 4053 --swversion DE.1.0.7.0 --startMP 204:383 --initTime 2016-10-19T06:47:31 --startdatetime 2016-10-19T06:51:48 --delay 1 --endMP 300:58933 --enddatetime 2016-10-19T07:05:54 --enforcementcount 0 &gt;&gt;C:\Users\stu\Documents\GitHub\eaglep3-reporting\EC\2016-10-19-refined-times.txt</v>
      </c>
      <c r="AI160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{"issue":{"subject":"","project_id":79,"tracker_id":40,"status_id":1,"priority_id":2,"assigned_to_id":23,"start_date":"2016-10-19","description":"","custom_fields":[{"id":1,"name":"Subdivision","value":"NW"},{"id":4,"name":"Milepost","value":"5.8933"},{"id":17,"name":"Train ID","value":"805-19"},{"id":16,"name":"Locomotive ID","value":"4053"},{"id":130,"name":"Impact","value":""},{"id":150,"name":"Time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496</v>
      </c>
      <c r="B161" s="7">
        <v>4054</v>
      </c>
      <c r="C161" s="22" t="s">
        <v>99</v>
      </c>
      <c r="D161" s="22" t="s">
        <v>720</v>
      </c>
      <c r="E161" s="13">
        <v>42662.296643518515</v>
      </c>
      <c r="F161" s="13">
        <v>42662.298645833333</v>
      </c>
      <c r="G161" s="7">
        <v>1</v>
      </c>
      <c r="H161" s="13" t="s">
        <v>723</v>
      </c>
      <c r="I161" s="13">
        <v>42662.31013888889</v>
      </c>
      <c r="J161" s="7">
        <v>0</v>
      </c>
      <c r="K161" s="112" t="str">
        <f t="shared" si="84"/>
        <v>4053/4054</v>
      </c>
      <c r="L161" s="22" t="str">
        <f>VLOOKUP(A161,'Trips&amp;Operators'!$C$1:$E$10000,3,FALSE)</f>
        <v>STARKS</v>
      </c>
      <c r="M161" s="6">
        <f t="shared" si="85"/>
        <v>1.1493055557366461E-2</v>
      </c>
      <c r="N161" s="7">
        <f t="shared" si="95"/>
        <v>16.550000002607703</v>
      </c>
      <c r="O161" s="7"/>
      <c r="P161" s="7"/>
      <c r="Q161" s="23"/>
      <c r="R161" s="23"/>
      <c r="S161" s="35">
        <f t="shared" si="86"/>
        <v>1</v>
      </c>
      <c r="T161" s="50" t="str">
        <f t="shared" si="87"/>
        <v>Southbound</v>
      </c>
      <c r="U161" s="18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06:07:10-0600',mode:absolute,to:'2016-10-19 08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1" s="52" t="str">
        <f t="shared" si="89"/>
        <v>N</v>
      </c>
      <c r="X161" s="174">
        <f t="shared" si="90"/>
        <v>1</v>
      </c>
      <c r="Y161" s="67">
        <f t="shared" si="91"/>
        <v>5.8616999999999999</v>
      </c>
      <c r="Z161" s="67">
        <f t="shared" si="96"/>
        <v>6.9900000000000004E-2</v>
      </c>
      <c r="AA161" s="67">
        <f t="shared" si="92"/>
        <v>5.7918000000000003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93"/>
        <v>0806-19</v>
      </c>
      <c r="AE161" s="91" t="str">
        <f t="shared" si="8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161" s="88" t="str">
        <f t="shared" si="81"/>
        <v>"C:\Program Files (x86)\AstroGrep\AstroGrep.exe" /spath="%USERPROFILE%\AppData\Local\Temp\OnboardLogs" /stypes="app*4054*20161019*" /stext=" 13:.+((SYSTEM_STATE.+slice.+state.+changed )|(ment ac)|(system.+state.+changed )|(\[timeout)|(PRM\|1\|D)|(kpr)|(kdp)|(\|lc)|(penalty))" /e /r /s</v>
      </c>
      <c r="AG161" s="1" t="str">
        <f t="shared" si="94"/>
        <v>NW</v>
      </c>
      <c r="AH161" s="92" t="str">
        <f t="shared" si="82"/>
        <v>"%USERPROFILE%\Documents\GitHub\eaglep3\Utilities\RefineRTDCRunTimes.py" --tripid 806-19 --locoid 4054 --swversion DE.1.0.7.0 --startMP 300:58617 --initTime 2016-10-19T07:07:10 --startdatetime 2016-10-19T07:10:03 --delay 1 --endMP 204:699 --enddatetime 2016-10-19T07:26:36 --enforcementcount 0 &gt;&gt;C:\Users\stu\Documents\GitHub\eaglep3-reporting\EC\2016-10-19-refined-times.txt</v>
      </c>
      <c r="AI161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{"issue":{"subject":"","project_id":79,"tracker_id":40,"status_id":1,"priority_id":2,"assigned_to_id":23,"start_date":"2016-10-19","description":"","custom_fields":[{"id":1,"name":"Subdivision","value":"NW"},{"id":4,"name":"Milepost","value":"0.0699"},{"id":17,"name":"Train ID","value":"806-19"},{"id":16,"name":"Locomotive ID","value":"4054"},{"id":130,"name":"Impact","value":""},{"id":150,"name":"Time of Event (Mountain Time)","value":"07:26:36"},{"id":151,"name":"Denver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439</v>
      </c>
      <c r="B162" s="7">
        <v>4031</v>
      </c>
      <c r="C162" s="22" t="s">
        <v>99</v>
      </c>
      <c r="D162" s="22" t="s">
        <v>724</v>
      </c>
      <c r="E162" s="13">
        <v>42662.294016203705</v>
      </c>
      <c r="F162" s="13">
        <v>42662.306458333333</v>
      </c>
      <c r="G162" s="7">
        <v>1</v>
      </c>
      <c r="H162" s="13" t="s">
        <v>725</v>
      </c>
      <c r="I162" s="13">
        <v>42662.315567129626</v>
      </c>
      <c r="J162" s="7">
        <v>0</v>
      </c>
      <c r="K162" s="112" t="str">
        <f t="shared" si="84"/>
        <v>4031/4032</v>
      </c>
      <c r="L162" s="22" t="str">
        <f>VLOOKUP(A162,'Trips&amp;Operators'!$C$1:$E$10000,3,FALSE)</f>
        <v>GEBRETEKLE</v>
      </c>
      <c r="M162" s="6">
        <f t="shared" si="85"/>
        <v>9.1087962937308475E-3</v>
      </c>
      <c r="N162" s="7">
        <f t="shared" si="95"/>
        <v>13.11666666297242</v>
      </c>
      <c r="O162" s="7"/>
      <c r="P162" s="7"/>
      <c r="Q162" s="23"/>
      <c r="R162" s="23"/>
      <c r="S162" s="35">
        <f t="shared" si="86"/>
        <v>1</v>
      </c>
      <c r="T162" s="50" t="str">
        <f t="shared" si="87"/>
        <v>NorthBound</v>
      </c>
      <c r="U162" s="18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06:03:23-0600',mode:absolute,to:'2016-10-19 08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2" s="52" t="str">
        <f t="shared" si="89"/>
        <v>N</v>
      </c>
      <c r="X162" s="174">
        <f t="shared" si="90"/>
        <v>1</v>
      </c>
      <c r="Y162" s="67">
        <f t="shared" si="91"/>
        <v>9.9299999999999999E-2</v>
      </c>
      <c r="Z162" s="67">
        <f t="shared" si="96"/>
        <v>5.8811</v>
      </c>
      <c r="AA162" s="67">
        <f t="shared" si="92"/>
        <v>5.7817999999999996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93"/>
        <v>0807-19</v>
      </c>
      <c r="AE162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62" s="88" t="str">
        <f t="shared" si="81"/>
        <v>"C:\Program Files (x86)\AstroGrep\AstroGrep.exe" /spath="%USERPROFILE%\AppData\Local\Temp\OnboardLogs" /stypes="app*4031*20161019*" /stext=" 13:.+((SYSTEM_STATE.+slice.+state.+changed )|(ment ac)|(system.+state.+changed )|(\[timeout)|(PRM\|1\|D)|(kpr)|(kdp)|(\|lc)|(penalty))" /e /r /s</v>
      </c>
      <c r="AG162" s="1" t="str">
        <f t="shared" si="94"/>
        <v>NW</v>
      </c>
      <c r="AH162" s="92" t="str">
        <f t="shared" si="82"/>
        <v>"%USERPROFILE%\Documents\GitHub\eaglep3\Utilities\RefineRTDCRunTimes.py" --tripid 807-19 --locoid 4031 --swversion DE.1.0.7.0 --startMP 204:993 --initTime 2016-10-19T07:03:23 --startdatetime 2016-10-19T07:21:18 --delay 1 --endMP 300:58811 --enddatetime 2016-10-19T07:34:25 --enforcementcount 0 &gt;&gt;C:\Users\stu\Documents\GitHub\eaglep3-reporting\EC\2016-10-19-refined-times.txt</v>
      </c>
      <c r="AI162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{"issue":{"subject":"","project_id":79,"tracker_id":40,"status_id":1,"priority_id":2,"assigned_to_id":23,"start_date":"2016-10-19","description":"","custom_fields":[{"id":1,"name":"Subdivision","value":"NW"},{"id":4,"name":"Milepost","value":"5.8811"},{"id":17,"name":"Train ID","value":"807-19"},{"id":16,"name":"Locomotive ID","value":"4031"},{"id":130,"name":"Impact","value":""},{"id":150,"name":"Time of Event (Mountain Time)","value":"07:34:25"},{"id":151,"name":"Denver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501</v>
      </c>
      <c r="B163" s="7">
        <v>4032</v>
      </c>
      <c r="C163" s="22" t="s">
        <v>99</v>
      </c>
      <c r="D163" s="22" t="s">
        <v>425</v>
      </c>
      <c r="E163" s="13">
        <v>42662.317847222221</v>
      </c>
      <c r="F163" s="13">
        <v>42662.319791666669</v>
      </c>
      <c r="G163" s="7">
        <v>2</v>
      </c>
      <c r="H163" s="13" t="s">
        <v>350</v>
      </c>
      <c r="I163" s="13">
        <v>42662.330451388887</v>
      </c>
      <c r="J163" s="7">
        <v>0</v>
      </c>
      <c r="K163" s="112" t="str">
        <f t="shared" si="84"/>
        <v>4031/4032</v>
      </c>
      <c r="L163" s="22" t="str">
        <f>VLOOKUP(A163,'Trips&amp;Operators'!$C$1:$E$10000,3,FALSE)</f>
        <v>GEBRETEKLE</v>
      </c>
      <c r="M163" s="6">
        <f t="shared" si="85"/>
        <v>1.0659722218406387E-2</v>
      </c>
      <c r="N163" s="7">
        <f t="shared" si="95"/>
        <v>15.349999994505197</v>
      </c>
      <c r="O163" s="7"/>
      <c r="P163" s="7"/>
      <c r="Q163" s="23"/>
      <c r="R163" s="23"/>
      <c r="S163" s="35">
        <f t="shared" si="86"/>
        <v>1</v>
      </c>
      <c r="T163" s="50" t="str">
        <f t="shared" si="87"/>
        <v>Southbound</v>
      </c>
      <c r="U163" s="18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06:37:42-0600',mode:absolute,to:'2016-10-19 08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3" s="52" t="str">
        <f t="shared" si="89"/>
        <v>N</v>
      </c>
      <c r="X163" s="174">
        <f t="shared" si="90"/>
        <v>1</v>
      </c>
      <c r="Y163" s="67">
        <f t="shared" si="91"/>
        <v>5.8667999999999996</v>
      </c>
      <c r="Z163" s="67">
        <f t="shared" si="96"/>
        <v>7.0999999999999994E-2</v>
      </c>
      <c r="AA163" s="67">
        <f t="shared" si="92"/>
        <v>5.7957999999999998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93"/>
        <v>0808-19</v>
      </c>
      <c r="AE163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63" s="88" t="str">
        <f t="shared" si="81"/>
        <v>"C:\Program Files (x86)\AstroGrep\AstroGrep.exe" /spath="%USERPROFILE%\AppData\Local\Temp\OnboardLogs" /stypes="app*4032*20161019*" /stext=" 13:.+((SYSTEM_STATE.+slice.+state.+changed )|(ment ac)|(system.+state.+changed )|(\[timeout)|(PRM\|1\|D)|(kpr)|(kdp)|(\|lc)|(penalty))" /e /r /s</v>
      </c>
      <c r="AG163" s="1" t="str">
        <f t="shared" si="94"/>
        <v>NW</v>
      </c>
      <c r="AH163" s="92" t="str">
        <f t="shared" si="82"/>
        <v>"%USERPROFILE%\Documents\GitHub\eaglep3\Utilities\RefineRTDCRunTimes.py" --tripid 808-19 --locoid 4032 --swversion DE.1.0.7.0 --startMP 300:58668 --initTime 2016-10-19T07:37:42 --startdatetime 2016-10-19T07:40:30 --delay 2 --endMP 204:710 --enddatetime 2016-10-19T07:55:51 --enforcementcount 0 &gt;&gt;C:\Users\stu\Documents\GitHub\eaglep3-reporting\EC\2016-10-19-refined-times.txt</v>
      </c>
      <c r="AI163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{"issue":{"subject":"","project_id":79,"tracker_id":40,"status_id":1,"priority_id":2,"assigned_to_id":23,"start_date":"2016-10-19","description":"","custom_fields":[{"id":1,"name":"Subdivision","value":"NW"},{"id":4,"name":"Milepost","value":"0.071"},{"id":17,"name":"Train ID","value":"808-19"},{"id":16,"name":"Locomotive ID","value":"4032"},{"id":130,"name":"Impact","value":""},{"id":150,"name":"Time of Event (Mountain Time)","value":"07:55:51"},{"id":151,"name":"Denver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503</v>
      </c>
      <c r="B164" s="7">
        <v>4053</v>
      </c>
      <c r="C164" s="22" t="s">
        <v>99</v>
      </c>
      <c r="D164" s="22" t="s">
        <v>345</v>
      </c>
      <c r="E164" s="13">
        <v>42662.324097222219</v>
      </c>
      <c r="F164" s="13">
        <v>42662.327268518522</v>
      </c>
      <c r="G164" s="7">
        <v>1</v>
      </c>
      <c r="H164" s="13" t="s">
        <v>349</v>
      </c>
      <c r="I164" s="13">
        <v>42662.33699074074</v>
      </c>
      <c r="J164" s="7">
        <v>0</v>
      </c>
      <c r="K164" s="112" t="str">
        <f t="shared" si="84"/>
        <v>4053/4054</v>
      </c>
      <c r="L164" s="22" t="str">
        <f>VLOOKUP(A164,'Trips&amp;Operators'!$C$1:$E$10000,3,FALSE)</f>
        <v>STARKS</v>
      </c>
      <c r="M164" s="6">
        <f t="shared" si="85"/>
        <v>9.7222222175332718E-3</v>
      </c>
      <c r="N164" s="7">
        <f t="shared" si="95"/>
        <v>13.999999993247911</v>
      </c>
      <c r="O164" s="7"/>
      <c r="P164" s="7"/>
      <c r="Q164" s="23"/>
      <c r="R164" s="23"/>
      <c r="S164" s="35">
        <f t="shared" si="86"/>
        <v>1</v>
      </c>
      <c r="T164" s="50" t="str">
        <f t="shared" si="87"/>
        <v>NorthBound</v>
      </c>
      <c r="U164" s="18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06:46:42-0600',mode:absolute,to:'2016-10-19 09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4" s="52" t="str">
        <f t="shared" si="89"/>
        <v>N</v>
      </c>
      <c r="X164" s="174">
        <f t="shared" si="90"/>
        <v>1</v>
      </c>
      <c r="Y164" s="67">
        <f t="shared" si="91"/>
        <v>0.1</v>
      </c>
      <c r="Z164" s="67">
        <f t="shared" si="96"/>
        <v>5.8928000000000003</v>
      </c>
      <c r="AA164" s="67">
        <f t="shared" si="92"/>
        <v>5.7928000000000006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93"/>
        <v>0809-19</v>
      </c>
      <c r="AE164" s="91" t="str">
        <f t="shared" si="80"/>
        <v>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 &amp; 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</v>
      </c>
      <c r="AF164" s="88" t="str">
        <f t="shared" si="81"/>
        <v>"C:\Program Files (x86)\AstroGrep\AstroGrep.exe" /spath="%USERPROFILE%\AppData\Local\Temp\OnboardLogs" /stypes="app*4053*20161019*" /stext=" 14:.+((SYSTEM_STATE.+slice.+state.+changed )|(ment ac)|(system.+state.+changed )|(\[timeout)|(PRM\|1\|D)|(kpr)|(kdp)|(\|lc)|(penalty))" /e /r /s</v>
      </c>
      <c r="AG164" s="1" t="str">
        <f t="shared" si="94"/>
        <v>NW</v>
      </c>
      <c r="AH164" s="92" t="str">
        <f t="shared" si="82"/>
        <v>"%USERPROFILE%\Documents\GitHub\eaglep3\Utilities\RefineRTDCRunTimes.py" --tripid 809-19 --locoid 4053 --swversion DE.1.0.7.0 --startMP 204:1000 --initTime 2016-10-19T07:46:42 --startdatetime 2016-10-19T07:51:16 --delay 1 --endMP 300:58928 --enddatetime 2016-10-19T08:05:16 --enforcementcount 0 &gt;&gt;C:\Users\stu\Documents\GitHub\eaglep3-reporting\EC\2016-10-19-refined-times.txt</v>
      </c>
      <c r="AI164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{"issue":{"subject":"","project_id":79,"tracker_id":40,"status_id":1,"priority_id":2,"assigned_to_id":23,"start_date":"2016-10-19","description":"","custom_fields":[{"id":1,"name":"Subdivision","value":"NW"},{"id":4,"name":"Milepost","value":"5.8928"},{"id":17,"name":"Train ID","value":"809-19"},{"id":16,"name":"Locomotive ID","value":"4053"},{"id":130,"name":"Impact","value":""},{"id":150,"name":"Time of Event (Mountain Time)","value":"08:05:16"},{"id":151,"name":"Denver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506</v>
      </c>
      <c r="B165" s="7">
        <v>4054</v>
      </c>
      <c r="C165" s="22" t="s">
        <v>99</v>
      </c>
      <c r="D165" s="22" t="s">
        <v>343</v>
      </c>
      <c r="E165" s="13">
        <v>42662.338194444441</v>
      </c>
      <c r="F165" s="13">
        <v>42662.339513888888</v>
      </c>
      <c r="G165" s="7">
        <v>1</v>
      </c>
      <c r="H165" s="13" t="s">
        <v>305</v>
      </c>
      <c r="I165" s="13">
        <v>42662.351944444446</v>
      </c>
      <c r="J165" s="7">
        <v>0</v>
      </c>
      <c r="K165" s="112" t="str">
        <f t="shared" si="84"/>
        <v>4053/4054</v>
      </c>
      <c r="L165" s="22" t="str">
        <f>VLOOKUP(A165,'Trips&amp;Operators'!$C$1:$E$10000,3,FALSE)</f>
        <v>STARKS</v>
      </c>
      <c r="M165" s="6">
        <f t="shared" si="85"/>
        <v>1.2430555558239575E-2</v>
      </c>
      <c r="N165" s="7">
        <f t="shared" si="95"/>
        <v>17.900000003864989</v>
      </c>
      <c r="O165" s="7"/>
      <c r="P165" s="7"/>
      <c r="Q165" s="23"/>
      <c r="R165" s="23"/>
      <c r="S165" s="35">
        <f t="shared" si="86"/>
        <v>1</v>
      </c>
      <c r="T165" s="50" t="str">
        <f t="shared" si="87"/>
        <v>Southbound</v>
      </c>
      <c r="U165" s="18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07:07:00-0600',mode:absolute,to:'2016-10-19 09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5" s="52" t="str">
        <f t="shared" si="89"/>
        <v>N</v>
      </c>
      <c r="X165" s="174">
        <f t="shared" si="90"/>
        <v>1</v>
      </c>
      <c r="Y165" s="67">
        <f t="shared" si="91"/>
        <v>5.8613</v>
      </c>
      <c r="Z165" s="67">
        <f t="shared" si="96"/>
        <v>7.1199999999999999E-2</v>
      </c>
      <c r="AA165" s="67">
        <f t="shared" si="92"/>
        <v>5.7900999999999998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93"/>
        <v>0810-19</v>
      </c>
      <c r="AE165" s="91" t="str">
        <f t="shared" si="8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165" s="88" t="str">
        <f t="shared" si="81"/>
        <v>"C:\Program Files (x86)\AstroGrep\AstroGrep.exe" /spath="%USERPROFILE%\AppData\Local\Temp\OnboardLogs" /stypes="app*4054*20161019*" /stext=" 14:.+((SYSTEM_STATE.+slice.+state.+changed )|(ment ac)|(system.+state.+changed )|(\[timeout)|(PRM\|1\|D)|(kpr)|(kdp)|(\|lc)|(penalty))" /e /r /s</v>
      </c>
      <c r="AG165" s="1" t="str">
        <f t="shared" si="94"/>
        <v>NW</v>
      </c>
      <c r="AH165" s="92" t="str">
        <f t="shared" si="82"/>
        <v>"%USERPROFILE%\Documents\GitHub\eaglep3\Utilities\RefineRTDCRunTimes.py" --tripid 810-19 --locoid 4054 --swversion DE.1.0.7.0 --startMP 300:58613 --initTime 2016-10-19T08:07:00 --startdatetime 2016-10-19T08:08:54 --delay 1 --endMP 204:712 --enddatetime 2016-10-19T08:26:48 --enforcementcount 0 &gt;&gt;C:\Users\stu\Documents\GitHub\eaglep3-reporting\EC\2016-10-19-refined-times.txt</v>
      </c>
      <c r="AI165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{"issue":{"subject":"","project_id":79,"tracker_id":40,"status_id":1,"priority_id":2,"assigned_to_id":23,"start_date":"2016-10-19","description":"","custom_fields":[{"id":1,"name":"Subdivision","value":"NW"},{"id":4,"name":"Milepost","value":"0.0712"},{"id":17,"name":"Train ID","value":"810-19"},{"id":16,"name":"Locomotive ID","value":"4054"},{"id":130,"name":"Impact","value":""},{"id":150,"name":"Time of Event (Mountain Time)","value":"08:26:48"},{"id":151,"name":"Denver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442</v>
      </c>
      <c r="B166" s="7">
        <v>4031</v>
      </c>
      <c r="C166" s="22" t="s">
        <v>99</v>
      </c>
      <c r="D166" s="22" t="s">
        <v>427</v>
      </c>
      <c r="E166" s="13">
        <v>42662.331921296296</v>
      </c>
      <c r="F166" s="13">
        <v>42662.348217592589</v>
      </c>
      <c r="G166" s="7">
        <v>1</v>
      </c>
      <c r="H166" s="13" t="s">
        <v>726</v>
      </c>
      <c r="I166" s="13">
        <v>42662.358229166668</v>
      </c>
      <c r="J166" s="7">
        <v>0</v>
      </c>
      <c r="K166" s="112" t="str">
        <f t="shared" si="84"/>
        <v>4031/4032</v>
      </c>
      <c r="L166" s="22" t="str">
        <f>VLOOKUP(A166,'Trips&amp;Operators'!$C$1:$E$10000,3,FALSE)</f>
        <v>GEBRETEKLE</v>
      </c>
      <c r="M166" s="6">
        <f t="shared" si="85"/>
        <v>1.0011574078816921E-2</v>
      </c>
      <c r="N166" s="7">
        <f t="shared" si="95"/>
        <v>14.416666673496366</v>
      </c>
      <c r="O166" s="7"/>
      <c r="P166" s="7"/>
      <c r="Q166" s="23"/>
      <c r="R166" s="23"/>
      <c r="S166" s="35">
        <f t="shared" si="86"/>
        <v>1</v>
      </c>
      <c r="T166" s="50" t="str">
        <f t="shared" si="87"/>
        <v>NorthBound</v>
      </c>
      <c r="U166" s="18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06:57:58-0600',mode:absolute,to:'2016-10-19 09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6" s="52" t="str">
        <f t="shared" si="89"/>
        <v>N</v>
      </c>
      <c r="X166" s="174">
        <f t="shared" si="90"/>
        <v>1</v>
      </c>
      <c r="Y166" s="67">
        <f t="shared" si="91"/>
        <v>9.9500000000000005E-2</v>
      </c>
      <c r="Z166" s="67">
        <f t="shared" si="96"/>
        <v>5.8983999999999996</v>
      </c>
      <c r="AA166" s="67">
        <f t="shared" si="92"/>
        <v>5.7988999999999997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93"/>
        <v>0811-19</v>
      </c>
      <c r="AE166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66" s="88" t="str">
        <f t="shared" si="81"/>
        <v>"C:\Program Files (x86)\AstroGrep\AstroGrep.exe" /spath="%USERPROFILE%\AppData\Local\Temp\OnboardLogs" /stypes="app*4031*20161019*" /stext=" 14:.+((SYSTEM_STATE.+slice.+state.+changed )|(ment ac)|(system.+state.+changed )|(\[timeout)|(PRM\|1\|D)|(kpr)|(kdp)|(\|lc)|(penalty))" /e /r /s</v>
      </c>
      <c r="AG166" s="1" t="str">
        <f t="shared" si="94"/>
        <v>NW</v>
      </c>
      <c r="AH166" s="92" t="str">
        <f t="shared" si="82"/>
        <v>"%USERPROFILE%\Documents\GitHub\eaglep3\Utilities\RefineRTDCRunTimes.py" --tripid 811-19 --locoid 4031 --swversion DE.1.0.7.0 --startMP 204:995 --initTime 2016-10-19T07:57:58 --startdatetime 2016-10-19T08:21:26 --delay 1 --endMP 300:58984 --enddatetime 2016-10-19T08:35:51 --enforcementcount 0 &gt;&gt;C:\Users\stu\Documents\GitHub\eaglep3-reporting\EC\2016-10-19-refined-times.txt</v>
      </c>
      <c r="AI166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{"issue":{"subject":"","project_id":79,"tracker_id":40,"status_id":1,"priority_id":2,"assigned_to_id":23,"start_date":"2016-10-19","description":"","custom_fields":[{"id":1,"name":"Subdivision","value":"NW"},{"id":4,"name":"Milepost","value":"5.8984"},{"id":17,"name":"Train ID","value":"811-19"},{"id":16,"name":"Locomotive ID","value":"4031"},{"id":130,"name":"Impact","value":""},{"id":150,"name":"Time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511</v>
      </c>
      <c r="B167" s="7">
        <v>4032</v>
      </c>
      <c r="C167" s="22" t="s">
        <v>99</v>
      </c>
      <c r="D167" s="22" t="s">
        <v>425</v>
      </c>
      <c r="E167" s="13">
        <v>42662.359525462962</v>
      </c>
      <c r="F167" s="13">
        <v>42662.361122685186</v>
      </c>
      <c r="G167" s="7">
        <v>1</v>
      </c>
      <c r="H167" s="13" t="s">
        <v>437</v>
      </c>
      <c r="I167" s="13">
        <v>42662.371793981481</v>
      </c>
      <c r="J167" s="7">
        <v>0</v>
      </c>
      <c r="K167" s="112" t="str">
        <f t="shared" si="84"/>
        <v>4031/4032</v>
      </c>
      <c r="L167" s="22" t="str">
        <f>VLOOKUP(A167,'Trips&amp;Operators'!$C$1:$E$10000,3,FALSE)</f>
        <v>GEBRETEKLE</v>
      </c>
      <c r="M167" s="6">
        <f t="shared" si="85"/>
        <v>1.0671296295186039E-2</v>
      </c>
      <c r="N167" s="7">
        <f t="shared" si="95"/>
        <v>15.366666665067896</v>
      </c>
      <c r="O167" s="7"/>
      <c r="P167" s="7"/>
      <c r="Q167" s="23"/>
      <c r="R167" s="23"/>
      <c r="S167" s="35">
        <f t="shared" si="86"/>
        <v>1</v>
      </c>
      <c r="T167" s="50" t="str">
        <f t="shared" si="87"/>
        <v>Southbound</v>
      </c>
      <c r="U167" s="18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07:37:43-0600',mode:absolute,to:'2016-10-19 09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7" s="52" t="str">
        <f t="shared" si="89"/>
        <v>N</v>
      </c>
      <c r="X167" s="174">
        <f t="shared" si="90"/>
        <v>1</v>
      </c>
      <c r="Y167" s="67">
        <f t="shared" si="91"/>
        <v>5.8667999999999996</v>
      </c>
      <c r="Z167" s="67">
        <f t="shared" si="96"/>
        <v>7.1499999999999994E-2</v>
      </c>
      <c r="AA167" s="67">
        <f t="shared" si="92"/>
        <v>5.7952999999999992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93"/>
        <v>0812-19</v>
      </c>
      <c r="AE167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67" s="88" t="str">
        <f t="shared" si="81"/>
        <v>"C:\Program Files (x86)\AstroGrep\AstroGrep.exe" /spath="%USERPROFILE%\AppData\Local\Temp\OnboardLogs" /stypes="app*4032*20161019*" /stext=" 14:.+((SYSTEM_STATE.+slice.+state.+changed )|(ment ac)|(system.+state.+changed )|(\[timeout)|(PRM\|1\|D)|(kpr)|(kdp)|(\|lc)|(penalty))" /e /r /s</v>
      </c>
      <c r="AG167" s="1" t="str">
        <f t="shared" si="94"/>
        <v>NW</v>
      </c>
      <c r="AH167" s="92" t="str">
        <f t="shared" si="82"/>
        <v>"%USERPROFILE%\Documents\GitHub\eaglep3\Utilities\RefineRTDCRunTimes.py" --tripid 812-19 --locoid 4032 --swversion DE.1.0.7.0 --startMP 300:58668 --initTime 2016-10-19T08:37:43 --startdatetime 2016-10-19T08:40:01 --delay 1 --endMP 204:715 --enddatetime 2016-10-19T08:55:23 --enforcementcount 0 &gt;&gt;C:\Users\stu\Documents\GitHub\eaglep3-reporting\EC\2016-10-19-refined-times.txt</v>
      </c>
      <c r="AI167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{"issue":{"subject":"","project_id":79,"tracker_id":40,"status_id":1,"priority_id":2,"assigned_to_id":23,"start_date":"2016-10-19","description":"","custom_fields":[{"id":1,"name":"Subdivision","value":"NW"},{"id":4,"name":"Milepost","value":"0.0715"},{"id":17,"name":"Train ID","value":"812-19"},{"id":16,"name":"Locomotive ID","value":"4032"},{"id":130,"name":"Impact","value":""},{"id":150,"name":"Time of Event (Mountain Time)","value":"08:55:23"},{"id":151,"name":"Denver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514</v>
      </c>
      <c r="B168" s="7">
        <v>4031</v>
      </c>
      <c r="C168" s="22" t="s">
        <v>99</v>
      </c>
      <c r="D168" s="22" t="s">
        <v>727</v>
      </c>
      <c r="E168" s="13">
        <v>42662.373692129629</v>
      </c>
      <c r="F168" s="13">
        <v>42662.389814814815</v>
      </c>
      <c r="G168" s="7">
        <v>1</v>
      </c>
      <c r="H168" s="13" t="s">
        <v>728</v>
      </c>
      <c r="I168" s="13">
        <v>42662.39984953704</v>
      </c>
      <c r="J168" s="7">
        <v>0</v>
      </c>
      <c r="K168" s="112" t="str">
        <f t="shared" si="84"/>
        <v>4031/4032</v>
      </c>
      <c r="L168" s="22" t="str">
        <f>VLOOKUP(A168,'Trips&amp;Operators'!$C$1:$E$10000,3,FALSE)</f>
        <v>GEBRETEKLE</v>
      </c>
      <c r="M168" s="6">
        <f t="shared" si="85"/>
        <v>1.0034722225100268E-2</v>
      </c>
      <c r="N168" s="7">
        <f t="shared" si="95"/>
        <v>14.450000004144385</v>
      </c>
      <c r="O168" s="7"/>
      <c r="P168" s="7"/>
      <c r="Q168" s="23"/>
      <c r="R168" s="23"/>
      <c r="S168" s="35">
        <f t="shared" si="86"/>
        <v>1</v>
      </c>
      <c r="T168" s="50" t="str">
        <f t="shared" si="87"/>
        <v>NorthBound</v>
      </c>
      <c r="U168" s="18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07:58:07-0600',mode:absolute,to:'2016-10-19 10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8" s="52" t="str">
        <f t="shared" si="89"/>
        <v>N</v>
      </c>
      <c r="X168" s="174">
        <f t="shared" si="90"/>
        <v>1</v>
      </c>
      <c r="Y168" s="67">
        <f t="shared" si="91"/>
        <v>0.1014</v>
      </c>
      <c r="Z168" s="67">
        <f t="shared" si="96"/>
        <v>5.8975999999999997</v>
      </c>
      <c r="AA168" s="67">
        <f t="shared" si="92"/>
        <v>5.7961999999999998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93"/>
        <v>0813-19</v>
      </c>
      <c r="AE168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68" s="88" t="str">
        <f t="shared" si="81"/>
        <v>"C:\Program Files (x86)\AstroGrep\AstroGrep.exe" /spath="%USERPROFILE%\AppData\Local\Temp\OnboardLogs" /stypes="app*4031*20161019*" /stext=" 15:.+((SYSTEM_STATE.+slice.+state.+changed )|(ment ac)|(system.+state.+changed )|(\[timeout)|(PRM\|1\|D)|(kpr)|(kdp)|(\|lc)|(penalty))" /e /r /s</v>
      </c>
      <c r="AG168" s="1" t="str">
        <f t="shared" si="94"/>
        <v>NW</v>
      </c>
      <c r="AH168" s="92" t="str">
        <f t="shared" si="82"/>
        <v>"%USERPROFILE%\Documents\GitHub\eaglep3\Utilities\RefineRTDCRunTimes.py" --tripid 813-19 --locoid 4031 --swversion DE.1.0.7.0 --startMP 204:1014 --initTime 2016-10-19T08:58:07 --startdatetime 2016-10-19T09:21:20 --delay 1 --endMP 300:58976 --enddatetime 2016-10-19T09:35:47 --enforcementcount 0 &gt;&gt;C:\Users\stu\Documents\GitHub\eaglep3-reporting\EC\2016-10-19-refined-times.txt</v>
      </c>
      <c r="AI168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{"issue":{"subject":"","project_id":79,"tracker_id":40,"status_id":1,"priority_id":2,"assigned_to_id":23,"start_date":"2016-10-19","description":"","custom_fields":[{"id":1,"name":"Subdivision","value":"NW"},{"id":4,"name":"Milepost","value":"5.8976"},{"id":17,"name":"Train ID","value":"813-19"},{"id":16,"name":"Locomotive ID","value":"4031"},{"id":130,"name":"Impact","value":""},{"id":150,"name":"Time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521</v>
      </c>
      <c r="B169" s="7">
        <v>4032</v>
      </c>
      <c r="C169" s="22" t="s">
        <v>99</v>
      </c>
      <c r="D169" s="22" t="s">
        <v>425</v>
      </c>
      <c r="E169" s="13">
        <v>42662.401018518518</v>
      </c>
      <c r="F169" s="13">
        <v>42662.402719907404</v>
      </c>
      <c r="G169" s="7">
        <v>1</v>
      </c>
      <c r="H169" s="13" t="s">
        <v>718</v>
      </c>
      <c r="I169" s="13">
        <v>42662.413171296299</v>
      </c>
      <c r="J169" s="7">
        <v>0</v>
      </c>
      <c r="K169" s="112" t="str">
        <f t="shared" si="84"/>
        <v>4031/4032</v>
      </c>
      <c r="L169" s="22" t="str">
        <f>VLOOKUP(A169,'Trips&amp;Operators'!$C$1:$E$10000,3,FALSE)</f>
        <v>GEBRETEKLE</v>
      </c>
      <c r="M169" s="6">
        <f t="shared" si="85"/>
        <v>1.0451388894580305E-2</v>
      </c>
      <c r="N169" s="7">
        <f t="shared" si="95"/>
        <v>15.050000008195639</v>
      </c>
      <c r="O169" s="7"/>
      <c r="P169" s="7"/>
      <c r="Q169" s="23"/>
      <c r="R169" s="23"/>
      <c r="S169" s="35">
        <f t="shared" si="86"/>
        <v>1</v>
      </c>
      <c r="T169" s="50" t="str">
        <f t="shared" si="87"/>
        <v>Southbound</v>
      </c>
      <c r="U169" s="18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08:37:28-0600',mode:absolute,to:'2016-10-19 10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9" s="52" t="str">
        <f t="shared" si="89"/>
        <v>N</v>
      </c>
      <c r="X169" s="174">
        <f t="shared" si="90"/>
        <v>1</v>
      </c>
      <c r="Y169" s="67">
        <f t="shared" si="91"/>
        <v>5.8667999999999996</v>
      </c>
      <c r="Z169" s="67">
        <f t="shared" si="96"/>
        <v>7.0800000000000002E-2</v>
      </c>
      <c r="AA169" s="67">
        <f t="shared" si="92"/>
        <v>5.7959999999999994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93"/>
        <v>0814-19</v>
      </c>
      <c r="AE169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69" s="88" t="str">
        <f t="shared" si="81"/>
        <v>"C:\Program Files (x86)\AstroGrep\AstroGrep.exe" /spath="%USERPROFILE%\AppData\Local\Temp\OnboardLogs" /stypes="app*4032*20161019*" /stext=" 15:.+((SYSTEM_STATE.+slice.+state.+changed )|(ment ac)|(system.+state.+changed )|(\[timeout)|(PRM\|1\|D)|(kpr)|(kdp)|(\|lc)|(penalty))" /e /r /s</v>
      </c>
      <c r="AG169" s="1" t="str">
        <f t="shared" si="94"/>
        <v>NW</v>
      </c>
      <c r="AH169" s="92" t="str">
        <f t="shared" si="82"/>
        <v>"%USERPROFILE%\Documents\GitHub\eaglep3\Utilities\RefineRTDCRunTimes.py" --tripid 814-19 --locoid 4032 --swversion DE.1.0.7.0 --startMP 300:58668 --initTime 2016-10-19T09:37:28 --startdatetime 2016-10-19T09:39:55 --delay 1 --endMP 204:708 --enddatetime 2016-10-19T09:54:58 --enforcementcount 0 &gt;&gt;C:\Users\stu\Documents\GitHub\eaglep3-reporting\EC\2016-10-19-refined-times.txt</v>
      </c>
      <c r="AI169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{"issue":{"subject":"","project_id":79,"tracker_id":40,"status_id":1,"priority_id":2,"assigned_to_id":23,"start_date":"2016-10-19","description":"","custom_fields":[{"id":1,"name":"Subdivision","value":"NW"},{"id":4,"name":"Milepost","value":"0.0708"},{"id":17,"name":"Train ID","value":"814-19"},{"id":16,"name":"Locomotive ID","value":"4032"},{"id":130,"name":"Impact","value":""},{"id":150,"name":"Time of Event (Mountain Time)","value":"09:54:58"},{"id":151,"name":"Denver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525</v>
      </c>
      <c r="B170" s="7">
        <v>4031</v>
      </c>
      <c r="C170" s="22" t="s">
        <v>99</v>
      </c>
      <c r="D170" s="22" t="s">
        <v>436</v>
      </c>
      <c r="E170" s="13">
        <v>42662.415254629632</v>
      </c>
      <c r="F170" s="13">
        <v>42662.431469907409</v>
      </c>
      <c r="G170" s="7">
        <v>1</v>
      </c>
      <c r="H170" s="13" t="s">
        <v>729</v>
      </c>
      <c r="I170" s="13">
        <v>42662.441469907404</v>
      </c>
      <c r="J170" s="7">
        <v>0</v>
      </c>
      <c r="K170" s="112" t="str">
        <f t="shared" si="84"/>
        <v>4031/4032</v>
      </c>
      <c r="L170" s="22" t="str">
        <f>VLOOKUP(A170,'Trips&amp;Operators'!$C$1:$E$10000,3,FALSE)</f>
        <v>GEBRETEKLE</v>
      </c>
      <c r="M170" s="6">
        <f t="shared" si="85"/>
        <v>9.9999999947613105E-3</v>
      </c>
      <c r="N170" s="7">
        <f t="shared" si="95"/>
        <v>14.399999992456287</v>
      </c>
      <c r="O170" s="7"/>
      <c r="P170" s="7"/>
      <c r="Q170" s="23"/>
      <c r="R170" s="23"/>
      <c r="S170" s="35">
        <f t="shared" si="86"/>
        <v>1</v>
      </c>
      <c r="T170" s="50" t="str">
        <f t="shared" si="87"/>
        <v>NorthBound</v>
      </c>
      <c r="U170" s="18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08:57:58-0600',mode:absolute,to:'2016-10-19 11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0" s="52" t="str">
        <f t="shared" si="89"/>
        <v>N</v>
      </c>
      <c r="X170" s="174">
        <f t="shared" si="90"/>
        <v>1</v>
      </c>
      <c r="Y170" s="67">
        <f t="shared" si="91"/>
        <v>9.8299999999999998E-2</v>
      </c>
      <c r="Z170" s="67">
        <f t="shared" si="96"/>
        <v>5.8072999999999997</v>
      </c>
      <c r="AA170" s="67">
        <f t="shared" si="92"/>
        <v>5.7089999999999996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93"/>
        <v>0815-19</v>
      </c>
      <c r="AE170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70" s="88" t="str">
        <f t="shared" si="81"/>
        <v>"C:\Program Files (x86)\AstroGrep\AstroGrep.exe" /spath="%USERPROFILE%\AppData\Local\Temp\OnboardLogs" /stypes="app*4031*20161019*" /stext=" 16:.+((SYSTEM_STATE.+slice.+state.+changed )|(ment ac)|(system.+state.+changed )|(\[timeout)|(PRM\|1\|D)|(kpr)|(kdp)|(\|lc)|(penalty))" /e /r /s</v>
      </c>
      <c r="AG170" s="1" t="str">
        <f t="shared" si="94"/>
        <v>NW</v>
      </c>
      <c r="AH170" s="92" t="str">
        <f t="shared" si="82"/>
        <v>"%USERPROFILE%\Documents\GitHub\eaglep3\Utilities\RefineRTDCRunTimes.py" --tripid 815-19 --locoid 4031 --swversion DE.1.0.7.0 --startMP 204:983 --initTime 2016-10-19T09:57:58 --startdatetime 2016-10-19T10:21:19 --delay 1 --endMP 300:58073 --enddatetime 2016-10-19T10:35:43 --enforcementcount 0 &gt;&gt;C:\Users\stu\Documents\GitHub\eaglep3-reporting\EC\2016-10-19-refined-times.txt</v>
      </c>
      <c r="AI170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{"issue":{"subject":"","project_id":79,"tracker_id":40,"status_id":1,"priority_id":2,"assigned_to_id":23,"start_date":"2016-10-19","description":"","custom_fields":[{"id":1,"name":"Subdivision","value":"NW"},{"id":4,"name":"Milepost","value":"5.8073"},{"id":17,"name":"Train ID","value":"815-19"},{"id":16,"name":"Locomotive ID","value":"4031"},{"id":130,"name":"Impact","value":""},{"id":150,"name":"Time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529</v>
      </c>
      <c r="B171" s="7">
        <v>4032</v>
      </c>
      <c r="C171" s="22" t="s">
        <v>99</v>
      </c>
      <c r="D171" s="22" t="s">
        <v>730</v>
      </c>
      <c r="E171" s="13">
        <v>42662.443356481483</v>
      </c>
      <c r="F171" s="13">
        <v>42662.444861111115</v>
      </c>
      <c r="G171" s="7">
        <v>1</v>
      </c>
      <c r="H171" s="13" t="s">
        <v>731</v>
      </c>
      <c r="I171" s="13">
        <v>42662.454930555556</v>
      </c>
      <c r="J171" s="7">
        <v>0</v>
      </c>
      <c r="K171" s="112" t="str">
        <f t="shared" si="84"/>
        <v>4031/4032</v>
      </c>
      <c r="L171" s="22" t="str">
        <f>VLOOKUP(A171,'Trips&amp;Operators'!$C$1:$E$10000,3,FALSE)</f>
        <v>GEBRETEKLE</v>
      </c>
      <c r="M171" s="6">
        <f t="shared" si="85"/>
        <v>1.006944444088731E-2</v>
      </c>
      <c r="N171" s="7">
        <f t="shared" si="95"/>
        <v>14.499999994877726</v>
      </c>
      <c r="O171" s="7"/>
      <c r="P171" s="7"/>
      <c r="Q171" s="23"/>
      <c r="R171" s="23"/>
      <c r="S171" s="35">
        <f t="shared" si="86"/>
        <v>1</v>
      </c>
      <c r="T171" s="50" t="str">
        <f t="shared" si="87"/>
        <v>Southbound</v>
      </c>
      <c r="U171" s="18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09:38:26-0600',mode:absolute,to:'2016-10-19 11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1" s="52" t="str">
        <f t="shared" si="89"/>
        <v>N</v>
      </c>
      <c r="X171" s="174">
        <f t="shared" si="90"/>
        <v>1</v>
      </c>
      <c r="Y171" s="67">
        <f t="shared" si="91"/>
        <v>5.8654999999999999</v>
      </c>
      <c r="Z171" s="67">
        <f t="shared" si="96"/>
        <v>6.6400000000000001E-2</v>
      </c>
      <c r="AA171" s="67">
        <f t="shared" si="92"/>
        <v>5.7991000000000001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93"/>
        <v>0816-19</v>
      </c>
      <c r="AE171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71" s="88" t="str">
        <f t="shared" si="81"/>
        <v>"C:\Program Files (x86)\AstroGrep\AstroGrep.exe" /spath="%USERPROFILE%\AppData\Local\Temp\OnboardLogs" /stypes="app*4032*20161019*" /stext=" 16:.+((SYSTEM_STATE.+slice.+state.+changed )|(ment ac)|(system.+state.+changed )|(\[timeout)|(PRM\|1\|D)|(kpr)|(kdp)|(\|lc)|(penalty))" /e /r /s</v>
      </c>
      <c r="AG171" s="1" t="str">
        <f t="shared" si="94"/>
        <v>NW</v>
      </c>
      <c r="AH171" s="92" t="str">
        <f t="shared" si="82"/>
        <v>"%USERPROFILE%\Documents\GitHub\eaglep3\Utilities\RefineRTDCRunTimes.py" --tripid 816-19 --locoid 4032 --swversion DE.1.0.7.0 --startMP 300:58655 --initTime 2016-10-19T10:38:26 --startdatetime 2016-10-19T10:40:36 --delay 1 --endMP 204:664 --enddatetime 2016-10-19T10:55:06 --enforcementcount 0 &gt;&gt;C:\Users\stu\Documents\GitHub\eaglep3-reporting\EC\2016-10-19-refined-times.txt</v>
      </c>
      <c r="AI171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{"issue":{"subject":"","project_id":79,"tracker_id":40,"status_id":1,"priority_id":2,"assigned_to_id":23,"start_date":"2016-10-19","description":"","custom_fields":[{"id":1,"name":"Subdivision","value":"NW"},{"id":4,"name":"Milepost","value":"0.0664"},{"id":17,"name":"Train ID","value":"816-19"},{"id":16,"name":"Locomotive ID","value":"4032"},{"id":130,"name":"Impact","value":""},{"id":150,"name":"Time of Event (Mountain Time)","value":"10:55:06"},{"id":151,"name":"Denver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533</v>
      </c>
      <c r="B172" s="7">
        <v>4031</v>
      </c>
      <c r="C172" s="22" t="s">
        <v>99</v>
      </c>
      <c r="D172" s="22" t="s">
        <v>732</v>
      </c>
      <c r="E172" s="13">
        <v>42662.456412037034</v>
      </c>
      <c r="F172" s="13">
        <v>42662.47314814815</v>
      </c>
      <c r="G172" s="7">
        <v>1</v>
      </c>
      <c r="H172" s="13" t="s">
        <v>733</v>
      </c>
      <c r="I172" s="13">
        <v>42662.482499999998</v>
      </c>
      <c r="J172" s="7">
        <v>0</v>
      </c>
      <c r="K172" s="112" t="str">
        <f t="shared" si="84"/>
        <v>4031/4032</v>
      </c>
      <c r="L172" s="22" t="str">
        <f>VLOOKUP(A172,'Trips&amp;Operators'!$C$1:$E$10000,3,FALSE)</f>
        <v>GEBRETEKLE</v>
      </c>
      <c r="M172" s="6">
        <f t="shared" si="85"/>
        <v>9.3518518478958867E-3</v>
      </c>
      <c r="N172" s="7">
        <f t="shared" si="95"/>
        <v>13.466666660970077</v>
      </c>
      <c r="O172" s="7"/>
      <c r="P172" s="7"/>
      <c r="Q172" s="23"/>
      <c r="R172" s="23"/>
      <c r="S172" s="35">
        <f t="shared" si="86"/>
        <v>1</v>
      </c>
      <c r="T172" s="50" t="str">
        <f t="shared" si="87"/>
        <v>NorthBound</v>
      </c>
      <c r="U172" s="18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09:57:14-0600',mode:absolute,to:'2016-10-19 12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2" s="52" t="str">
        <f t="shared" si="89"/>
        <v>N</v>
      </c>
      <c r="X172" s="174">
        <f t="shared" si="90"/>
        <v>1</v>
      </c>
      <c r="Y172" s="67">
        <f t="shared" si="91"/>
        <v>9.7600000000000006E-2</v>
      </c>
      <c r="Z172" s="67">
        <f t="shared" si="96"/>
        <v>5.899</v>
      </c>
      <c r="AA172" s="67">
        <f t="shared" si="92"/>
        <v>5.8014000000000001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93"/>
        <v>0817-19</v>
      </c>
      <c r="AE172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72" s="88" t="str">
        <f t="shared" si="81"/>
        <v>"C:\Program Files (x86)\AstroGrep\AstroGrep.exe" /spath="%USERPROFILE%\AppData\Local\Temp\OnboardLogs" /stypes="app*4031*20161019*" /stext=" 17:.+((SYSTEM_STATE.+slice.+state.+changed )|(ment ac)|(system.+state.+changed )|(\[timeout)|(PRM\|1\|D)|(kpr)|(kdp)|(\|lc)|(penalty))" /e /r /s</v>
      </c>
      <c r="AG172" s="1" t="str">
        <f t="shared" si="94"/>
        <v>NW</v>
      </c>
      <c r="AH172" s="92" t="str">
        <f t="shared" si="82"/>
        <v>"%USERPROFILE%\Documents\GitHub\eaglep3\Utilities\RefineRTDCRunTimes.py" --tripid 817-19 --locoid 4031 --swversion DE.1.0.7.0 --startMP 204:976 --initTime 2016-10-19T10:57:14 --startdatetime 2016-10-19T11:21:20 --delay 1 --endMP 300:58990 --enddatetime 2016-10-19T11:34:48 --enforcementcount 0 &gt;&gt;C:\Users\stu\Documents\GitHub\eaglep3-reporting\EC\2016-10-19-refined-times.txt</v>
      </c>
      <c r="AI172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{"issue":{"subject":"","project_id":79,"tracker_id":40,"status_id":1,"priority_id":2,"assigned_to_id":23,"start_date":"2016-10-19","description":"","custom_fields":[{"id":1,"name":"Subdivision","value":"NW"},{"id":4,"name":"Milepost","value":"5.899"},{"id":17,"name":"Train ID","value":"817-19"},{"id":16,"name":"Locomotive ID","value":"4031"},{"id":130,"name":"Impact","value":""},{"id":150,"name":"Time of Event (Mountain Time)","value":"11:34:48"},{"id":151,"name":"Denver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540</v>
      </c>
      <c r="B173" s="7">
        <v>4032</v>
      </c>
      <c r="C173" s="22" t="s">
        <v>99</v>
      </c>
      <c r="D173" s="22" t="s">
        <v>734</v>
      </c>
      <c r="E173" s="13">
        <v>42662.483564814815</v>
      </c>
      <c r="F173" s="13">
        <v>42662.485821759263</v>
      </c>
      <c r="G173" s="7">
        <v>1</v>
      </c>
      <c r="H173" s="13" t="s">
        <v>735</v>
      </c>
      <c r="I173" s="13">
        <v>42662.497372685182</v>
      </c>
      <c r="J173" s="7">
        <v>0</v>
      </c>
      <c r="K173" s="112" t="str">
        <f t="shared" si="84"/>
        <v>4031/4032</v>
      </c>
      <c r="L173" s="22" t="str">
        <f>VLOOKUP(A173,'Trips&amp;Operators'!$C$1:$E$10000,3,FALSE)</f>
        <v>GEBRETEKLE</v>
      </c>
      <c r="M173" s="6">
        <f t="shared" si="85"/>
        <v>1.155092591943685E-2</v>
      </c>
      <c r="N173" s="7">
        <f t="shared" si="95"/>
        <v>16.633333323989064</v>
      </c>
      <c r="O173" s="7"/>
      <c r="P173" s="7"/>
      <c r="Q173" s="23"/>
      <c r="R173" s="23"/>
      <c r="S173" s="35">
        <f t="shared" si="86"/>
        <v>1</v>
      </c>
      <c r="T173" s="50" t="str">
        <f t="shared" si="87"/>
        <v>Southbound</v>
      </c>
      <c r="U173" s="18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10:36:20-0600',mode:absolute,to:'2016-10-19 12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3" s="52" t="str">
        <f t="shared" si="89"/>
        <v>N</v>
      </c>
      <c r="X173" s="174">
        <f t="shared" si="90"/>
        <v>1</v>
      </c>
      <c r="Y173" s="67">
        <f t="shared" si="91"/>
        <v>5.8674999999999997</v>
      </c>
      <c r="Z173" s="67">
        <f t="shared" si="96"/>
        <v>6.9199999999999998E-2</v>
      </c>
      <c r="AA173" s="67">
        <f t="shared" si="92"/>
        <v>5.7982999999999993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93"/>
        <v>0818-19</v>
      </c>
      <c r="AE173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73" s="88" t="str">
        <f t="shared" si="81"/>
        <v>"C:\Program Files (x86)\AstroGrep\AstroGrep.exe" /spath="%USERPROFILE%\AppData\Local\Temp\OnboardLogs" /stypes="app*4032*20161019*" /stext=" 17:.+((SYSTEM_STATE.+slice.+state.+changed )|(ment ac)|(system.+state.+changed )|(\[timeout)|(PRM\|1\|D)|(kpr)|(kdp)|(\|lc)|(penalty))" /e /r /s</v>
      </c>
      <c r="AG173" s="1" t="str">
        <f t="shared" si="94"/>
        <v>NW</v>
      </c>
      <c r="AH173" s="92" t="str">
        <f t="shared" si="82"/>
        <v>"%USERPROFILE%\Documents\GitHub\eaglep3\Utilities\RefineRTDCRunTimes.py" --tripid 818-19 --locoid 4032 --swversion DE.1.0.7.0 --startMP 300:58675 --initTime 2016-10-19T11:36:20 --startdatetime 2016-10-19T11:39:35 --delay 1 --endMP 204:692 --enddatetime 2016-10-19T11:56:13 --enforcementcount 0 &gt;&gt;C:\Users\stu\Documents\GitHub\eaglep3-reporting\EC\2016-10-19-refined-times.txt</v>
      </c>
      <c r="AI173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{"issue":{"subject":"","project_id":79,"tracker_id":40,"status_id":1,"priority_id":2,"assigned_to_id":23,"start_date":"2016-10-19","description":"","custom_fields":[{"id":1,"name":"Subdivision","value":"NW"},{"id":4,"name":"Milepost","value":"0.0692"},{"id":17,"name":"Train ID","value":"818-19"},{"id":16,"name":"Locomotive ID","value":"4032"},{"id":130,"name":"Impact","value":""},{"id":150,"name":"Time of Event (Mountain Time)","value":"11:56:13"},{"id":151,"name":"Denver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450</v>
      </c>
      <c r="B174" s="7">
        <v>4031</v>
      </c>
      <c r="C174" s="22" t="s">
        <v>99</v>
      </c>
      <c r="D174" s="22" t="s">
        <v>436</v>
      </c>
      <c r="E174" s="13">
        <v>42662.498553240737</v>
      </c>
      <c r="F174" s="13">
        <v>42662.514768518522</v>
      </c>
      <c r="G174" s="7">
        <v>1</v>
      </c>
      <c r="H174" s="13" t="s">
        <v>736</v>
      </c>
      <c r="I174" s="13">
        <v>42662.524259259262</v>
      </c>
      <c r="J174" s="7">
        <v>0</v>
      </c>
      <c r="K174" s="112" t="str">
        <f t="shared" si="84"/>
        <v>4031/4032</v>
      </c>
      <c r="L174" s="22" t="str">
        <f>VLOOKUP(A174,'Trips&amp;Operators'!$C$1:$E$10000,3,FALSE)</f>
        <v>GEBRETEKLE</v>
      </c>
      <c r="M174" s="6">
        <f t="shared" si="85"/>
        <v>9.4907407401478849E-3</v>
      </c>
      <c r="N174" s="7">
        <f t="shared" si="95"/>
        <v>13.666666665812954</v>
      </c>
      <c r="O174" s="7"/>
      <c r="P174" s="7"/>
      <c r="Q174" s="23"/>
      <c r="R174" s="23"/>
      <c r="S174" s="35">
        <f t="shared" si="86"/>
        <v>1</v>
      </c>
      <c r="T174" s="50" t="str">
        <f t="shared" si="87"/>
        <v>NorthBound</v>
      </c>
      <c r="U174" s="18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10:57:55-0600',mode:absolute,to:'2016-10-19 13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4" s="52" t="str">
        <f t="shared" si="89"/>
        <v>N</v>
      </c>
      <c r="X174" s="174">
        <f t="shared" si="90"/>
        <v>1</v>
      </c>
      <c r="Y174" s="67">
        <f t="shared" si="91"/>
        <v>9.8299999999999998E-2</v>
      </c>
      <c r="Z174" s="67">
        <f t="shared" si="96"/>
        <v>5.8967000000000001</v>
      </c>
      <c r="AA174" s="67">
        <f t="shared" si="92"/>
        <v>5.7984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93"/>
        <v>0819-19</v>
      </c>
      <c r="AE174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74" s="88" t="str">
        <f t="shared" si="81"/>
        <v>"C:\Program Files (x86)\AstroGrep\AstroGrep.exe" /spath="%USERPROFILE%\AppData\Local\Temp\OnboardLogs" /stypes="app*4031*20161019*" /stext=" 18:.+((SYSTEM_STATE.+slice.+state.+changed )|(ment ac)|(system.+state.+changed )|(\[timeout)|(PRM\|1\|D)|(kpr)|(kdp)|(\|lc)|(penalty))" /e /r /s</v>
      </c>
      <c r="AG174" s="1" t="str">
        <f t="shared" si="94"/>
        <v>NW</v>
      </c>
      <c r="AH174" s="92" t="str">
        <f t="shared" si="82"/>
        <v>"%USERPROFILE%\Documents\GitHub\eaglep3\Utilities\RefineRTDCRunTimes.py" --tripid 819-19 --locoid 4031 --swversion DE.1.0.7.0 --startMP 204:983 --initTime 2016-10-19T11:57:55 --startdatetime 2016-10-19T12:21:16 --delay 1 --endMP 300:58967 --enddatetime 2016-10-19T12:34:56 --enforcementcount 0 &gt;&gt;C:\Users\stu\Documents\GitHub\eaglep3-reporting\EC\2016-10-19-refined-times.txt</v>
      </c>
      <c r="AI174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{"issue":{"subject":"","project_id":79,"tracker_id":40,"status_id":1,"priority_id":2,"assigned_to_id":23,"start_date":"2016-10-19","description":"","custom_fields":[{"id":1,"name":"Subdivision","value":"NW"},{"id":4,"name":"Milepost","value":"5.8967"},{"id":17,"name":"Train ID","value":"819-19"},{"id":16,"name":"Locomotive ID","value":"4031"},{"id":130,"name":"Impact","value":""},{"id":150,"name":"Time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451</v>
      </c>
      <c r="B175" s="7">
        <v>4032</v>
      </c>
      <c r="C175" s="22" t="s">
        <v>99</v>
      </c>
      <c r="D175" s="22" t="s">
        <v>737</v>
      </c>
      <c r="E175" s="13">
        <v>42662.525972222225</v>
      </c>
      <c r="F175" s="13">
        <v>42662.527743055558</v>
      </c>
      <c r="G175" s="7">
        <v>1</v>
      </c>
      <c r="H175" s="13" t="s">
        <v>738</v>
      </c>
      <c r="I175" s="13">
        <v>42662.538136574076</v>
      </c>
      <c r="J175" s="7">
        <v>0</v>
      </c>
      <c r="K175" s="112" t="str">
        <f t="shared" si="84"/>
        <v>4031/4032</v>
      </c>
      <c r="L175" s="22" t="str">
        <f>VLOOKUP(A175,'Trips&amp;Operators'!$C$1:$E$10000,3,FALSE)</f>
        <v>GEBRETEKLE</v>
      </c>
      <c r="M175" s="6">
        <f t="shared" si="85"/>
        <v>1.0393518517958E-2</v>
      </c>
      <c r="N175" s="7">
        <f t="shared" si="95"/>
        <v>14.96666666585952</v>
      </c>
      <c r="O175" s="7"/>
      <c r="P175" s="7"/>
      <c r="Q175" s="23"/>
      <c r="R175" s="23"/>
      <c r="S175" s="35">
        <f t="shared" si="86"/>
        <v>1</v>
      </c>
      <c r="T175" s="50" t="str">
        <f t="shared" si="87"/>
        <v>Southbound</v>
      </c>
      <c r="U175" s="18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11:37:24-0600',mode:absolute,to:'2016-10-19 13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5" s="52" t="str">
        <f t="shared" si="89"/>
        <v>N</v>
      </c>
      <c r="X175" s="174">
        <f t="shared" si="90"/>
        <v>1</v>
      </c>
      <c r="Y175" s="67">
        <f t="shared" si="91"/>
        <v>5.8655999999999997</v>
      </c>
      <c r="Z175" s="67">
        <f t="shared" si="96"/>
        <v>6.7699999999999996E-2</v>
      </c>
      <c r="AA175" s="67">
        <f t="shared" si="92"/>
        <v>5.7978999999999994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93"/>
        <v>0820-19</v>
      </c>
      <c r="AE175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75" s="88" t="str">
        <f t="shared" si="81"/>
        <v>"C:\Program Files (x86)\AstroGrep\AstroGrep.exe" /spath="%USERPROFILE%\AppData\Local\Temp\OnboardLogs" /stypes="app*4032*20161019*" /stext=" 18:.+((SYSTEM_STATE.+slice.+state.+changed )|(ment ac)|(system.+state.+changed )|(\[timeout)|(PRM\|1\|D)|(kpr)|(kdp)|(\|lc)|(penalty))" /e /r /s</v>
      </c>
      <c r="AG175" s="1" t="str">
        <f t="shared" si="94"/>
        <v>NW</v>
      </c>
      <c r="AH175" s="92" t="str">
        <f t="shared" si="82"/>
        <v>"%USERPROFILE%\Documents\GitHub\eaglep3\Utilities\RefineRTDCRunTimes.py" --tripid 820-19 --locoid 4032 --swversion DE.1.0.7.0 --startMP 300:58656 --initTime 2016-10-19T12:37:24 --startdatetime 2016-10-19T12:39:57 --delay 1 --endMP 204:677 --enddatetime 2016-10-19T12:54:55 --enforcementcount 0 &gt;&gt;C:\Users\stu\Documents\GitHub\eaglep3-reporting\EC\2016-10-19-refined-times.txt</v>
      </c>
      <c r="AI175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{"issue":{"subject":"","project_id":79,"tracker_id":40,"status_id":1,"priority_id":2,"assigned_to_id":23,"start_date":"2016-10-19","description":"","custom_fields":[{"id":1,"name":"Subdivision","value":"NW"},{"id":4,"name":"Milepost","value":"0.0677"},{"id":17,"name":"Train ID","value":"820-19"},{"id":16,"name":"Locomotive ID","value":"4032"},{"id":130,"name":"Impact","value":""},{"id":150,"name":"Time of Event (Mountain Time)","value":"12:54:55"},{"id":151,"name":"Denver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559</v>
      </c>
      <c r="B176" s="7">
        <v>4031</v>
      </c>
      <c r="C176" s="22" t="s">
        <v>99</v>
      </c>
      <c r="D176" s="22" t="s">
        <v>739</v>
      </c>
      <c r="E176" s="13">
        <v>42662.551921296297</v>
      </c>
      <c r="F176" s="13">
        <v>42662.556504629632</v>
      </c>
      <c r="G176" s="7">
        <v>1</v>
      </c>
      <c r="H176" s="13" t="s">
        <v>728</v>
      </c>
      <c r="I176" s="13">
        <v>42662.56726851852</v>
      </c>
      <c r="J176" s="7">
        <v>0</v>
      </c>
      <c r="K176" s="112" t="str">
        <f t="shared" si="84"/>
        <v>4031/4032</v>
      </c>
      <c r="L176" s="22" t="str">
        <f>VLOOKUP(A176,'Trips&amp;Operators'!$C$1:$E$10000,3,FALSE)</f>
        <v>MOSES</v>
      </c>
      <c r="M176" s="6">
        <f t="shared" si="85"/>
        <v>1.0763888887595385E-2</v>
      </c>
      <c r="N176" s="7">
        <f t="shared" si="95"/>
        <v>15.499999998137355</v>
      </c>
      <c r="O176" s="7"/>
      <c r="P176" s="7"/>
      <c r="Q176" s="23"/>
      <c r="R176" s="23"/>
      <c r="S176" s="35">
        <f t="shared" si="86"/>
        <v>1</v>
      </c>
      <c r="T176" s="50" t="str">
        <f t="shared" si="87"/>
        <v>NorthBound</v>
      </c>
      <c r="U176" s="18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12:14:46-0600',mode:absolute,to:'2016-10-19 14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6" s="52" t="str">
        <f t="shared" si="89"/>
        <v>N</v>
      </c>
      <c r="X176" s="174">
        <f t="shared" si="90"/>
        <v>1</v>
      </c>
      <c r="Y176" s="67">
        <f t="shared" si="91"/>
        <v>9.7799999999999998E-2</v>
      </c>
      <c r="Z176" s="67">
        <f t="shared" si="96"/>
        <v>5.8975999999999997</v>
      </c>
      <c r="AA176" s="67">
        <f t="shared" si="92"/>
        <v>5.7997999999999994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93"/>
        <v>0821-19</v>
      </c>
      <c r="AE176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76" s="88" t="str">
        <f t="shared" si="81"/>
        <v>"C:\Program Files (x86)\AstroGrep\AstroGrep.exe" /spath="%USERPROFILE%\AppData\Local\Temp\OnboardLogs" /stypes="app*4031*20161019*" /stext=" 19:.+((SYSTEM_STATE.+slice.+state.+changed )|(ment ac)|(system.+state.+changed )|(\[timeout)|(PRM\|1\|D)|(kpr)|(kdp)|(\|lc)|(penalty))" /e /r /s</v>
      </c>
      <c r="AG176" s="1" t="str">
        <f t="shared" si="94"/>
        <v>NW</v>
      </c>
      <c r="AH176" s="92" t="str">
        <f t="shared" si="82"/>
        <v>"%USERPROFILE%\Documents\GitHub\eaglep3\Utilities\RefineRTDCRunTimes.py" --tripid 821-19 --locoid 4031 --swversion DE.1.0.7.0 --startMP 204:978 --initTime 2016-10-19T13:14:46 --startdatetime 2016-10-19T13:21:22 --delay 1 --endMP 300:58976 --enddatetime 2016-10-19T13:36:52 --enforcementcount 0 &gt;&gt;C:\Users\stu\Documents\GitHub\eaglep3-reporting\EC\2016-10-19-refined-times.txt</v>
      </c>
      <c r="AI176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{"issue":{"subject":"","project_id":79,"tracker_id":40,"status_id":1,"priority_id":2,"assigned_to_id":23,"start_date":"2016-10-19","description":"","custom_fields":[{"id":1,"name":"Subdivision","value":"NW"},{"id":4,"name":"Milepost","value":"5.8976"},{"id":17,"name":"Train ID","value":"821-19"},{"id":16,"name":"Locomotive ID","value":"4031"},{"id":130,"name":"Impact","value":""},{"id":150,"name":"Time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564</v>
      </c>
      <c r="B177" s="7">
        <v>4032</v>
      </c>
      <c r="C177" s="22" t="s">
        <v>99</v>
      </c>
      <c r="D177" s="22" t="s">
        <v>740</v>
      </c>
      <c r="E177" s="13">
        <v>42662.568854166668</v>
      </c>
      <c r="F177" s="13">
        <v>42662.571296296293</v>
      </c>
      <c r="G177" s="7">
        <v>1</v>
      </c>
      <c r="H177" s="13" t="s">
        <v>433</v>
      </c>
      <c r="I177" s="13">
        <v>42662.58152777778</v>
      </c>
      <c r="J177" s="7">
        <v>0</v>
      </c>
      <c r="K177" s="112" t="str">
        <f t="shared" si="84"/>
        <v>4031/4032</v>
      </c>
      <c r="L177" s="22" t="str">
        <f>VLOOKUP(A177,'Trips&amp;Operators'!$C$1:$E$10000,3,FALSE)</f>
        <v>MOSES</v>
      </c>
      <c r="M177" s="6">
        <f t="shared" si="85"/>
        <v>1.0231481486698613E-2</v>
      </c>
      <c r="N177" s="7">
        <f t="shared" si="95"/>
        <v>14.733333340846002</v>
      </c>
      <c r="O177" s="7"/>
      <c r="P177" s="7"/>
      <c r="Q177" s="23"/>
      <c r="R177" s="23"/>
      <c r="S177" s="35">
        <f t="shared" si="86"/>
        <v>1</v>
      </c>
      <c r="T177" s="50" t="str">
        <f t="shared" si="87"/>
        <v>Southbound</v>
      </c>
      <c r="U177" s="18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https://search-rtdc-monitor-bjffxe2xuh6vdkpspy63sjmuny.us-east-1.es.amazonaws.com/_plugin/kibana/#/discover/Steve-Slow-Train-Analysis-(2080s-and-2083s)?_g=(refreshInterval:(display:Off,section:0,value:0),time:(from:'2016-10-19 12:39:09-0600',mode:absolute,to:'2016-10-19 14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7" s="52" t="str">
        <f t="shared" si="89"/>
        <v>N</v>
      </c>
      <c r="X177" s="174">
        <f t="shared" si="90"/>
        <v>1</v>
      </c>
      <c r="Y177" s="67">
        <f t="shared" si="91"/>
        <v>5.8666</v>
      </c>
      <c r="Z177" s="67">
        <f t="shared" si="96"/>
        <v>7.0599999999999996E-2</v>
      </c>
      <c r="AA177" s="67">
        <f t="shared" si="92"/>
        <v>5.7960000000000003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93"/>
        <v>0822-19</v>
      </c>
      <c r="AE177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77" s="88" t="str">
        <f t="shared" si="81"/>
        <v>"C:\Program Files (x86)\AstroGrep\AstroGrep.exe" /spath="%USERPROFILE%\AppData\Local\Temp\OnboardLogs" /stypes="app*4032*20161019*" /stext=" 19:.+((SYSTEM_STATE.+slice.+state.+changed )|(ment ac)|(system.+state.+changed )|(\[timeout)|(PRM\|1\|D)|(kpr)|(kdp)|(\|lc)|(penalty))" /e /r /s</v>
      </c>
      <c r="AG177" s="1" t="str">
        <f t="shared" si="94"/>
        <v>NW</v>
      </c>
      <c r="AH177" s="92" t="str">
        <f t="shared" si="82"/>
        <v>"%USERPROFILE%\Documents\GitHub\eaglep3\Utilities\RefineRTDCRunTimes.py" --tripid 822-19 --locoid 4032 --swversion DE.1.0.7.0 --startMP 300:58666 --initTime 2016-10-19T13:39:09 --startdatetime 2016-10-19T13:42:40 --delay 1 --endMP 204:706 --enddatetime 2016-10-19T13:57:24 --enforcementcount 0 &gt;&gt;C:\Users\stu\Documents\GitHub\eaglep3-reporting\EC\2016-10-19-refined-times.txt</v>
      </c>
      <c r="AI177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{"issue":{"subject":"","project_id":79,"tracker_id":40,"status_id":1,"priority_id":2,"assigned_to_id":23,"start_date":"2016-10-19","description":"","custom_fields":[{"id":1,"name":"Subdivision","value":"NW"},{"id":4,"name":"Milepost","value":"0.0706"},{"id":17,"name":"Train ID","value":"822-19"},{"id":16,"name":"Locomotive ID","value":"4032"},{"id":130,"name":"Impact","value":""},{"id":150,"name":"Time of Event (Mountain Time)","value":"13:57:24"},{"id":151,"name":"Denver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452</v>
      </c>
      <c r="B178" s="7">
        <v>4031</v>
      </c>
      <c r="C178" s="22" t="s">
        <v>99</v>
      </c>
      <c r="D178" s="22" t="s">
        <v>427</v>
      </c>
      <c r="E178" s="13">
        <v>42662.592199074075</v>
      </c>
      <c r="F178" s="13">
        <v>42662.598182870373</v>
      </c>
      <c r="G178" s="7">
        <v>1</v>
      </c>
      <c r="H178" s="13" t="s">
        <v>741</v>
      </c>
      <c r="I178" s="13">
        <v>42662.609629629631</v>
      </c>
      <c r="J178" s="7">
        <v>0</v>
      </c>
      <c r="K178" s="112" t="str">
        <f t="shared" ref="K178:K213" si="97">IF(ISEVEN(B178),(B178-1)&amp;"/"&amp;B178,B178&amp;"/"&amp;(B178+1))</f>
        <v>4031/4032</v>
      </c>
      <c r="L178" s="22" t="str">
        <f>VLOOKUP(A178,'Trips&amp;Operators'!$C$1:$E$10000,3,FALSE)</f>
        <v>MOSES</v>
      </c>
      <c r="M178" s="6">
        <f t="shared" ref="M178:M213" si="98">I178-F178</f>
        <v>1.1446759257523809E-2</v>
      </c>
      <c r="N178" s="7">
        <f t="shared" si="95"/>
        <v>16.483333330834284</v>
      </c>
      <c r="O178" s="7"/>
      <c r="P178" s="7"/>
      <c r="Q178" s="23"/>
      <c r="R178" s="23"/>
      <c r="S178" s="35">
        <f t="shared" ref="S178:S213" si="99">SUM(U178:U178)/IF(AG178="EC",12,1)</f>
        <v>1</v>
      </c>
      <c r="T178" s="50" t="str">
        <f t="shared" ref="T178:T213" si="100">IF(ISEVEN(LEFT(AD178,4)),"Southbound","NorthBound")</f>
        <v>NorthBound</v>
      </c>
      <c r="U178" s="18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ref="V178:V213" si="101"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https://search-rtdc-monitor-bjffxe2xuh6vdkpspy63sjmuny.us-east-1.es.amazonaws.com/_plugin/kibana/#/discover/Steve-Slow-Train-Analysis-(2080s-and-2083s)?_g=(refreshInterval:(display:Off,section:0,value:0),time:(from:'2016-10-19 13:12:46-0600',mode:absolute,to:'2016-10-19 15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8" s="52" t="str">
        <f t="shared" ref="W178:W213" si="102">IF(AA178&lt;IF(AG178="EC",23,5.65),"Y","N")</f>
        <v>N</v>
      </c>
      <c r="X178" s="174">
        <f t="shared" ref="X178:X213" si="103">VALUE(LEFT(AD178,4))-VALUE(LEFT(AD177,4))</f>
        <v>1</v>
      </c>
      <c r="Y178" s="67">
        <f t="shared" ref="Y178:Y213" si="104">RIGHT(D178,LEN(D178)-4)/10000</f>
        <v>9.9500000000000005E-2</v>
      </c>
      <c r="Z178" s="67">
        <f t="shared" si="96"/>
        <v>5.8971</v>
      </c>
      <c r="AA178" s="67">
        <f t="shared" ref="AA178:AA209" si="105">ABS(Z178-Y178)</f>
        <v>5.7976000000000001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ref="AD178:AD213" si="106">IF(LEN(A178)=6,"0"&amp;A178,A178)</f>
        <v>0823-19</v>
      </c>
      <c r="AE178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78" s="88" t="str">
        <f t="shared" si="81"/>
        <v>"C:\Program Files (x86)\AstroGrep\AstroGrep.exe" /spath="%USERPROFILE%\AppData\Local\Temp\OnboardLogs" /stypes="app*4031*20161019*" /stext=" 20:.+((SYSTEM_STATE.+slice.+state.+changed )|(ment ac)|(system.+state.+changed )|(\[timeout)|(PRM\|1\|D)|(kpr)|(kdp)|(\|lc)|(penalty))" /e /r /s</v>
      </c>
      <c r="AG178" s="1" t="str">
        <f t="shared" ref="AG178:AG213" si="107">IFERROR(IF(VALUE(LEFT(AD178,2))&lt;=2,"EC",IF(OR(VALUE(LEFT(AD178,2))=8,VALUE(LEFT(AD178,2))=18),"NW","Other")),"Other")</f>
        <v>NW</v>
      </c>
      <c r="AH178" s="92" t="str">
        <f t="shared" si="82"/>
        <v>"%USERPROFILE%\Documents\GitHub\eaglep3\Utilities\RefineRTDCRunTimes.py" --tripid 823-19 --locoid 4031 --swversion DE.1.0.7.0 --startMP 204:995 --initTime 2016-10-19T14:12:46 --startdatetime 2016-10-19T14:21:23 --delay 1 --endMP 300:58971 --enddatetime 2016-10-19T14:37:52 --enforcementcount 0 &gt;&gt;C:\Users\stu\Documents\GitHub\eaglep3-reporting\EC\2016-10-19-refined-times.txt</v>
      </c>
      <c r="AI178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{"issue":{"subject":"","project_id":79,"tracker_id":40,"status_id":1,"priority_id":2,"assigned_to_id":23,"start_date":"2016-10-19","description":"","custom_fields":[{"id":1,"name":"Subdivision","value":"NW"},{"id":4,"name":"Milepost","value":"5.8971"},{"id":17,"name":"Train ID","value":"823-19"},{"id":16,"name":"Locomotive ID","value":"4031"},{"id":130,"name":"Impact","value":""},{"id":150,"name":"Time of Event (Mountain Time)","value":"14:37:52"},{"id":151,"name":"Denver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572</v>
      </c>
      <c r="B179" s="7">
        <v>4032</v>
      </c>
      <c r="C179" s="22" t="s">
        <v>99</v>
      </c>
      <c r="D179" s="22" t="s">
        <v>742</v>
      </c>
      <c r="E179" s="13">
        <v>42662.611076388886</v>
      </c>
      <c r="F179" s="13">
        <v>42662.613206018519</v>
      </c>
      <c r="G179" s="7">
        <v>1</v>
      </c>
      <c r="H179" s="13" t="s">
        <v>350</v>
      </c>
      <c r="I179" s="13">
        <v>42662.623356481483</v>
      </c>
      <c r="J179" s="7">
        <v>0</v>
      </c>
      <c r="K179" s="112" t="str">
        <f t="shared" si="97"/>
        <v>4031/4032</v>
      </c>
      <c r="L179" s="22" t="str">
        <f>VLOOKUP(A179,'Trips&amp;Operators'!$C$1:$E$10000,3,FALSE)</f>
        <v>MOSES</v>
      </c>
      <c r="M179" s="6">
        <f t="shared" si="98"/>
        <v>1.0150462963792961E-2</v>
      </c>
      <c r="N179" s="7">
        <f t="shared" si="95"/>
        <v>14.616666667861864</v>
      </c>
      <c r="O179" s="7"/>
      <c r="P179" s="7"/>
      <c r="Q179" s="23"/>
      <c r="R179" s="23"/>
      <c r="S179" s="35">
        <f t="shared" si="99"/>
        <v>1</v>
      </c>
      <c r="T179" s="50" t="str">
        <f t="shared" si="100"/>
        <v>Southbound</v>
      </c>
      <c r="U179" s="18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13:39:57-0600',mode:absolute,to:'2016-10-19 15:57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9" s="52" t="str">
        <f t="shared" si="102"/>
        <v>N</v>
      </c>
      <c r="X179" s="174">
        <f t="shared" si="103"/>
        <v>1</v>
      </c>
      <c r="Y179" s="67">
        <f t="shared" si="104"/>
        <v>5.8663999999999996</v>
      </c>
      <c r="Z179" s="67">
        <f t="shared" si="96"/>
        <v>7.0999999999999994E-2</v>
      </c>
      <c r="AA179" s="67">
        <f t="shared" si="105"/>
        <v>5.7953999999999999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06"/>
        <v>0824-19</v>
      </c>
      <c r="AE179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79" s="88" t="str">
        <f t="shared" si="81"/>
        <v>"C:\Program Files (x86)\AstroGrep\AstroGrep.exe" /spath="%USERPROFILE%\AppData\Local\Temp\OnboardLogs" /stypes="app*4032*20161019*" /stext=" 20:.+((SYSTEM_STATE.+slice.+state.+changed )|(ment ac)|(system.+state.+changed )|(\[timeout)|(PRM\|1\|D)|(kpr)|(kdp)|(\|lc)|(penalty))" /e /r /s</v>
      </c>
      <c r="AG179" s="1" t="str">
        <f t="shared" si="107"/>
        <v>NW</v>
      </c>
      <c r="AH179" s="92" t="str">
        <f t="shared" si="82"/>
        <v>"%USERPROFILE%\Documents\GitHub\eaglep3\Utilities\RefineRTDCRunTimes.py" --tripid 824-19 --locoid 4032 --swversion DE.1.0.7.0 --startMP 300:58664 --initTime 2016-10-19T14:39:57 --startdatetime 2016-10-19T14:43:01 --delay 1 --endMP 204:710 --enddatetime 2016-10-19T14:57:38 --enforcementcount 0 &gt;&gt;C:\Users\stu\Documents\GitHub\eaglep3-reporting\EC\2016-10-19-refined-times.txt</v>
      </c>
      <c r="AI179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{"issue":{"subject":"","project_id":79,"tracker_id":40,"status_id":1,"priority_id":2,"assigned_to_id":23,"start_date":"2016-10-19","description":"","custom_fields":[{"id":1,"name":"Subdivision","value":"NW"},{"id":4,"name":"Milepost","value":"0.071"},{"id":17,"name":"Train ID","value":"824-19"},{"id":16,"name":"Locomotive ID","value":"4032"},{"id":130,"name":"Impact","value":""},{"id":150,"name":"Time of Event (Mountain Time)","value":"14:57:38"},{"id":151,"name":"Denver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578</v>
      </c>
      <c r="B180" s="7">
        <v>4031</v>
      </c>
      <c r="C180" s="22" t="s">
        <v>99</v>
      </c>
      <c r="D180" s="22" t="s">
        <v>429</v>
      </c>
      <c r="E180" s="13">
        <v>42662.63517361111</v>
      </c>
      <c r="F180" s="13">
        <v>42662.639780092592</v>
      </c>
      <c r="G180" s="7">
        <v>1</v>
      </c>
      <c r="H180" s="13" t="s">
        <v>728</v>
      </c>
      <c r="I180" s="13">
        <v>42662.649791666663</v>
      </c>
      <c r="J180" s="7">
        <v>0</v>
      </c>
      <c r="K180" s="112" t="str">
        <f t="shared" si="97"/>
        <v>4031/4032</v>
      </c>
      <c r="L180" s="22" t="str">
        <f>VLOOKUP(A180,'Trips&amp;Operators'!$C$1:$E$10000,3,FALSE)</f>
        <v>MOSES</v>
      </c>
      <c r="M180" s="6">
        <f t="shared" si="98"/>
        <v>1.0011574071540963E-2</v>
      </c>
      <c r="N180" s="7">
        <f t="shared" ref="N180:N213" si="108">24*60*SUM($M180:$M180)</f>
        <v>14.416666663018987</v>
      </c>
      <c r="O180" s="7"/>
      <c r="P180" s="7"/>
      <c r="Q180" s="23"/>
      <c r="R180" s="23"/>
      <c r="S180" s="35">
        <f t="shared" si="99"/>
        <v>1</v>
      </c>
      <c r="T180" s="50" t="str">
        <f t="shared" si="100"/>
        <v>NorthBound</v>
      </c>
      <c r="U180" s="18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14:14:39-0600',mode:absolute,to:'2016-10-19 16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0" s="52" t="str">
        <f t="shared" si="102"/>
        <v>N</v>
      </c>
      <c r="X180" s="174">
        <f t="shared" si="103"/>
        <v>1</v>
      </c>
      <c r="Y180" s="67">
        <f t="shared" si="104"/>
        <v>9.8799999999999999E-2</v>
      </c>
      <c r="Z180" s="67">
        <f t="shared" ref="Z180:Z213" si="109">RIGHT(H180,LEN(H180)-4)/10000</f>
        <v>5.8975999999999997</v>
      </c>
      <c r="AA180" s="67">
        <f t="shared" si="105"/>
        <v>5.7988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06"/>
        <v>0825-19</v>
      </c>
      <c r="AE180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80" s="88" t="str">
        <f t="shared" si="81"/>
        <v>"C:\Program Files (x86)\AstroGrep\AstroGrep.exe" /spath="%USERPROFILE%\AppData\Local\Temp\OnboardLogs" /stypes="app*4031*20161019*" /stext=" 21:.+((SYSTEM_STATE.+slice.+state.+changed )|(ment ac)|(system.+state.+changed )|(\[timeout)|(PRM\|1\|D)|(kpr)|(kdp)|(\|lc)|(penalty))" /e /r /s</v>
      </c>
      <c r="AG180" s="1" t="str">
        <f t="shared" si="107"/>
        <v>NW</v>
      </c>
      <c r="AH180" s="92" t="str">
        <f t="shared" si="82"/>
        <v>"%USERPROFILE%\Documents\GitHub\eaglep3\Utilities\RefineRTDCRunTimes.py" --tripid 825-19 --locoid 4031 --swversion DE.1.0.7.0 --startMP 204:988 --initTime 2016-10-19T15:14:39 --startdatetime 2016-10-19T15:21:17 --delay 1 --endMP 300:58976 --enddatetime 2016-10-19T15:35:42 --enforcementcount 0 &gt;&gt;C:\Users\stu\Documents\GitHub\eaglep3-reporting\EC\2016-10-19-refined-times.txt</v>
      </c>
      <c r="AI180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{"issue":{"subject":"","project_id":79,"tracker_id":40,"status_id":1,"priority_id":2,"assigned_to_id":23,"start_date":"2016-10-19","description":"","custom_fields":[{"id":1,"name":"Subdivision","value":"NW"},{"id":4,"name":"Milepost","value":"5.8976"},{"id":17,"name":"Train ID","value":"825-19"},{"id":16,"name":"Locomotive ID","value":"4031"},{"id":130,"name":"Impact","value":""},{"id":150,"name":"Time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457</v>
      </c>
      <c r="B181" s="7">
        <v>4032</v>
      </c>
      <c r="C181" s="22" t="s">
        <v>99</v>
      </c>
      <c r="D181" s="22" t="s">
        <v>307</v>
      </c>
      <c r="E181" s="13">
        <v>42662.650763888887</v>
      </c>
      <c r="F181" s="13">
        <v>42662.653298611112</v>
      </c>
      <c r="G181" s="7">
        <v>2</v>
      </c>
      <c r="H181" s="13" t="s">
        <v>718</v>
      </c>
      <c r="I181" s="13">
        <v>42662.664386574077</v>
      </c>
      <c r="J181" s="7">
        <v>0</v>
      </c>
      <c r="K181" s="112" t="str">
        <f t="shared" si="97"/>
        <v>4031/4032</v>
      </c>
      <c r="L181" s="22" t="str">
        <f>VLOOKUP(A181,'Trips&amp;Operators'!$C$1:$E$10000,3,FALSE)</f>
        <v>MOSES</v>
      </c>
      <c r="M181" s="6">
        <f t="shared" si="98"/>
        <v>1.1087962964666076E-2</v>
      </c>
      <c r="N181" s="7">
        <f t="shared" si="108"/>
        <v>15.966666669119149</v>
      </c>
      <c r="O181" s="7"/>
      <c r="P181" s="7"/>
      <c r="Q181" s="23"/>
      <c r="R181" s="23"/>
      <c r="S181" s="35">
        <f t="shared" si="99"/>
        <v>1</v>
      </c>
      <c r="T181" s="50" t="str">
        <f t="shared" si="100"/>
        <v>Southbound</v>
      </c>
      <c r="U181" s="18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14:37:06-0600',mode:absolute,to:'2016-10-19 16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1" s="52" t="str">
        <f t="shared" si="102"/>
        <v>N</v>
      </c>
      <c r="X181" s="174">
        <f t="shared" si="103"/>
        <v>1</v>
      </c>
      <c r="Y181" s="67">
        <f t="shared" si="104"/>
        <v>5.8648999999999996</v>
      </c>
      <c r="Z181" s="67">
        <f t="shared" si="109"/>
        <v>7.0800000000000002E-2</v>
      </c>
      <c r="AA181" s="67">
        <f t="shared" si="105"/>
        <v>5.7940999999999994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06"/>
        <v>0826-19</v>
      </c>
      <c r="AE181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81" s="88" t="str">
        <f t="shared" si="81"/>
        <v>"C:\Program Files (x86)\AstroGrep\AstroGrep.exe" /spath="%USERPROFILE%\AppData\Local\Temp\OnboardLogs" /stypes="app*4032*20161019*" /stext=" 21:.+((SYSTEM_STATE.+slice.+state.+changed )|(ment ac)|(system.+state.+changed )|(\[timeout)|(PRM\|1\|D)|(kpr)|(kdp)|(\|lc)|(penalty))" /e /r /s</v>
      </c>
      <c r="AG181" s="1" t="str">
        <f t="shared" si="107"/>
        <v>NW</v>
      </c>
      <c r="AH181" s="92" t="str">
        <f t="shared" si="82"/>
        <v>"%USERPROFILE%\Documents\GitHub\eaglep3\Utilities\RefineRTDCRunTimes.py" --tripid 826-19 --locoid 4032 --swversion DE.1.0.7.0 --startMP 300:58649 --initTime 2016-10-19T15:37:06 --startdatetime 2016-10-19T15:40:45 --delay 2 --endMP 204:708 --enddatetime 2016-10-19T15:56:43 --enforcementcount 0 &gt;&gt;C:\Users\stu\Documents\GitHub\eaglep3-reporting\EC\2016-10-19-refined-times.txt</v>
      </c>
      <c r="AI181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{"issue":{"subject":"","project_id":79,"tracker_id":40,"status_id":1,"priority_id":2,"assigned_to_id":23,"start_date":"2016-10-19","description":"","custom_fields":[{"id":1,"name":"Subdivision","value":"NW"},{"id":4,"name":"Milepost","value":"0.0708"},{"id":17,"name":"Train ID","value":"826-19"},{"id":16,"name":"Locomotive ID","value":"4032"},{"id":130,"name":"Impact","value":""},{"id":150,"name":"Time of Event (Mountain Time)","value":"15:56:43"},{"id":151,"name":"Denver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583</v>
      </c>
      <c r="B182" s="7">
        <v>4053</v>
      </c>
      <c r="C182" s="22" t="s">
        <v>99</v>
      </c>
      <c r="D182" s="22" t="s">
        <v>743</v>
      </c>
      <c r="E182" s="13">
        <v>42662.6559837963</v>
      </c>
      <c r="F182" s="13">
        <v>42662.660613425927</v>
      </c>
      <c r="G182" s="7">
        <v>2</v>
      </c>
      <c r="H182" s="13" t="s">
        <v>306</v>
      </c>
      <c r="I182" s="13">
        <v>42662.670694444445</v>
      </c>
      <c r="J182" s="7">
        <v>0</v>
      </c>
      <c r="K182" s="112" t="str">
        <f t="shared" si="97"/>
        <v>4053/4054</v>
      </c>
      <c r="L182" s="22" t="str">
        <f>VLOOKUP(A182,'Trips&amp;Operators'!$C$1:$E$10000,3,FALSE)</f>
        <v>LEVERE</v>
      </c>
      <c r="M182" s="6">
        <f t="shared" si="98"/>
        <v>1.0081018517666962E-2</v>
      </c>
      <c r="N182" s="7">
        <f t="shared" si="108"/>
        <v>14.516666665440425</v>
      </c>
      <c r="O182" s="7"/>
      <c r="P182" s="7"/>
      <c r="Q182" s="23"/>
      <c r="R182" s="23"/>
      <c r="S182" s="35">
        <f t="shared" si="99"/>
        <v>1</v>
      </c>
      <c r="T182" s="50" t="str">
        <f t="shared" si="100"/>
        <v>NorthBound</v>
      </c>
      <c r="U182" s="18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14:44:37-0600',mode:absolute,to:'2016-10-19 17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2" s="52" t="str">
        <f t="shared" si="102"/>
        <v>N</v>
      </c>
      <c r="X182" s="174">
        <f t="shared" si="103"/>
        <v>1</v>
      </c>
      <c r="Y182" s="67">
        <f t="shared" si="104"/>
        <v>0.113</v>
      </c>
      <c r="Z182" s="67">
        <f t="shared" si="109"/>
        <v>5.8956</v>
      </c>
      <c r="AA182" s="67">
        <f t="shared" si="105"/>
        <v>5.7825999999999995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06"/>
        <v>0827-19</v>
      </c>
      <c r="AE182" s="91" t="str">
        <f t="shared" si="80"/>
        <v>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 &amp; 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</v>
      </c>
      <c r="AF182" s="88" t="str">
        <f t="shared" si="81"/>
        <v>"C:\Program Files (x86)\AstroGrep\AstroGrep.exe" /spath="%USERPROFILE%\AppData\Local\Temp\OnboardLogs" /stypes="app*4053*20161019*" /stext=" 22:.+((SYSTEM_STATE.+slice.+state.+changed )|(ment ac)|(system.+state.+changed )|(\[timeout)|(PRM\|1\|D)|(kpr)|(kdp)|(\|lc)|(penalty))" /e /r /s</v>
      </c>
      <c r="AG182" s="1" t="str">
        <f t="shared" si="107"/>
        <v>NW</v>
      </c>
      <c r="AH182" s="92" t="str">
        <f t="shared" si="82"/>
        <v>"%USERPROFILE%\Documents\GitHub\eaglep3\Utilities\RefineRTDCRunTimes.py" --tripid 827-19 --locoid 4053 --swversion DE.1.0.7.0 --startMP 204:1130 --initTime 2016-10-19T15:44:37 --startdatetime 2016-10-19T15:51:17 --delay 2 --endMP 300:58956 --enddatetime 2016-10-19T16:05:48 --enforcementcount 0 &gt;&gt;C:\Users\stu\Documents\GitHub\eaglep3-reporting\EC\2016-10-19-refined-times.txt</v>
      </c>
      <c r="AI182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{"issue":{"subject":"","project_id":79,"tracker_id":40,"status_id":1,"priority_id":2,"assigned_to_id":23,"start_date":"2016-10-19","description":"","custom_fields":[{"id":1,"name":"Subdivision","value":"NW"},{"id":4,"name":"Milepost","value":"5.8956"},{"id":17,"name":"Train ID","value":"827-19"},{"id":16,"name":"Locomotive ID","value":"4053"},{"id":130,"name":"Impact","value":""},{"id":150,"name":"Time of Event (Mountain Time)","value":"16:05:48"},{"id":151,"name":"Denver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587</v>
      </c>
      <c r="B183" s="7">
        <v>4054</v>
      </c>
      <c r="C183" s="22" t="s">
        <v>99</v>
      </c>
      <c r="D183" s="22" t="s">
        <v>352</v>
      </c>
      <c r="E183" s="13">
        <v>42662.672210648147</v>
      </c>
      <c r="F183" s="13">
        <v>42662.674039351848</v>
      </c>
      <c r="G183" s="7">
        <v>1</v>
      </c>
      <c r="H183" s="13" t="s">
        <v>342</v>
      </c>
      <c r="I183" s="13">
        <v>42662.68613425926</v>
      </c>
      <c r="J183" s="7">
        <v>0</v>
      </c>
      <c r="K183" s="112" t="str">
        <f t="shared" si="97"/>
        <v>4053/4054</v>
      </c>
      <c r="L183" s="22" t="str">
        <f>VLOOKUP(A183,'Trips&amp;Operators'!$C$1:$E$10000,3,FALSE)</f>
        <v>LEVERE</v>
      </c>
      <c r="M183" s="6">
        <f t="shared" si="98"/>
        <v>1.209490741166519E-2</v>
      </c>
      <c r="N183" s="7">
        <f t="shared" si="108"/>
        <v>17.416666672797874</v>
      </c>
      <c r="O183" s="7"/>
      <c r="P183" s="7"/>
      <c r="Q183" s="23"/>
      <c r="R183" s="23"/>
      <c r="S183" s="35">
        <f t="shared" si="99"/>
        <v>1</v>
      </c>
      <c r="T183" s="50" t="str">
        <f t="shared" si="100"/>
        <v>Southbound</v>
      </c>
      <c r="U183" s="18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15:07:59-0600',mode:absolute,to:'2016-10-19 17:28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3" s="52" t="str">
        <f t="shared" si="102"/>
        <v>N</v>
      </c>
      <c r="X183" s="174">
        <f t="shared" si="103"/>
        <v>1</v>
      </c>
      <c r="Y183" s="67">
        <f t="shared" si="104"/>
        <v>5.8640999999999996</v>
      </c>
      <c r="Z183" s="67">
        <f t="shared" si="109"/>
        <v>6.7100000000000007E-2</v>
      </c>
      <c r="AA183" s="67">
        <f t="shared" si="105"/>
        <v>5.7969999999999997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06"/>
        <v>0828-19</v>
      </c>
      <c r="AE183" s="91" t="str">
        <f t="shared" si="8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183" s="88" t="str">
        <f t="shared" si="81"/>
        <v>"C:\Program Files (x86)\AstroGrep\AstroGrep.exe" /spath="%USERPROFILE%\AppData\Local\Temp\OnboardLogs" /stypes="app*4054*20161019*" /stext=" 22:.+((SYSTEM_STATE.+slice.+state.+changed )|(ment ac)|(system.+state.+changed )|(\[timeout)|(PRM\|1\|D)|(kpr)|(kdp)|(\|lc)|(penalty))" /e /r /s</v>
      </c>
      <c r="AG183" s="1" t="str">
        <f t="shared" si="107"/>
        <v>NW</v>
      </c>
      <c r="AH183" s="92" t="str">
        <f t="shared" si="82"/>
        <v>"%USERPROFILE%\Documents\GitHub\eaglep3\Utilities\RefineRTDCRunTimes.py" --tripid 828-19 --locoid 4054 --swversion DE.1.0.7.0 --startMP 300:58641 --initTime 2016-10-19T16:07:59 --startdatetime 2016-10-19T16:10:37 --delay 1 --endMP 204:671 --enddatetime 2016-10-19T16:28:02 --enforcementcount 0 &gt;&gt;C:\Users\stu\Documents\GitHub\eaglep3-reporting\EC\2016-10-19-refined-times.txt</v>
      </c>
      <c r="AI183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{"issue":{"subject":"","project_id":79,"tracker_id":40,"status_id":1,"priority_id":2,"assigned_to_id":23,"start_date":"2016-10-19","description":"","custom_fields":[{"id":1,"name":"Subdivision","value":"NW"},{"id":4,"name":"Milepost","value":"0.0671"},{"id":17,"name":"Train ID","value":"828-19"},{"id":16,"name":"Locomotive ID","value":"4054"},{"id":130,"name":"Impact","value":""},{"id":150,"name":"Time of Event (Mountain Time)","value":"16:28:02"},{"id":151,"name":"Denver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588</v>
      </c>
      <c r="B184" s="7">
        <v>4031</v>
      </c>
      <c r="C184" s="22" t="s">
        <v>99</v>
      </c>
      <c r="D184" s="22" t="s">
        <v>424</v>
      </c>
      <c r="E184" s="13">
        <v>42662.67292824074</v>
      </c>
      <c r="F184" s="13">
        <v>42662.681481481479</v>
      </c>
      <c r="G184" s="7">
        <v>1</v>
      </c>
      <c r="H184" s="13" t="s">
        <v>744</v>
      </c>
      <c r="I184" s="13">
        <v>42662.69195601852</v>
      </c>
      <c r="J184" s="7">
        <v>0</v>
      </c>
      <c r="K184" s="112" t="str">
        <f t="shared" si="97"/>
        <v>4031/4032</v>
      </c>
      <c r="L184" s="22" t="str">
        <f>VLOOKUP(A184,'Trips&amp;Operators'!$C$1:$E$10000,3,FALSE)</f>
        <v>MOSES</v>
      </c>
      <c r="M184" s="6">
        <f t="shared" si="98"/>
        <v>1.0474537040863652E-2</v>
      </c>
      <c r="N184" s="7">
        <f t="shared" si="108"/>
        <v>15.083333338843659</v>
      </c>
      <c r="O184" s="7"/>
      <c r="P184" s="7"/>
      <c r="Q184" s="23"/>
      <c r="R184" s="23"/>
      <c r="S184" s="35">
        <f t="shared" si="99"/>
        <v>1</v>
      </c>
      <c r="T184" s="50" t="str">
        <f t="shared" si="100"/>
        <v>NorthBound</v>
      </c>
      <c r="U184" s="18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15:09:01-0600',mode:absolute,to:'2016-10-19 17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4" s="52" t="str">
        <f t="shared" si="102"/>
        <v>N</v>
      </c>
      <c r="X184" s="174">
        <f t="shared" si="103"/>
        <v>1</v>
      </c>
      <c r="Y184" s="67">
        <f t="shared" si="104"/>
        <v>9.8599999999999993E-2</v>
      </c>
      <c r="Z184" s="67">
        <f t="shared" si="109"/>
        <v>5.8982000000000001</v>
      </c>
      <c r="AA184" s="67">
        <f t="shared" si="105"/>
        <v>5.7995999999999999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06"/>
        <v>0829-19</v>
      </c>
      <c r="AE184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84" s="88" t="str">
        <f t="shared" si="81"/>
        <v>"C:\Program Files (x86)\AstroGrep\AstroGrep.exe" /spath="%USERPROFILE%\AppData\Local\Temp\OnboardLogs" /stypes="app*4031*20161019*" /stext=" 22:.+((SYSTEM_STATE.+slice.+state.+changed )|(ment ac)|(system.+state.+changed )|(\[timeout)|(PRM\|1\|D)|(kpr)|(kdp)|(\|lc)|(penalty))" /e /r /s</v>
      </c>
      <c r="AG184" s="1" t="str">
        <f t="shared" si="107"/>
        <v>NW</v>
      </c>
      <c r="AH184" s="92" t="str">
        <f t="shared" si="82"/>
        <v>"%USERPROFILE%\Documents\GitHub\eaglep3\Utilities\RefineRTDCRunTimes.py" --tripid 829-19 --locoid 4031 --swversion DE.1.0.7.0 --startMP 204:986 --initTime 2016-10-19T16:09:01 --startdatetime 2016-10-19T16:21:20 --delay 1 --endMP 300:58982 --enddatetime 2016-10-19T16:36:25 --enforcementcount 0 &gt;&gt;C:\Users\stu\Documents\GitHub\eaglep3-reporting\EC\2016-10-19-refined-times.txt</v>
      </c>
      <c r="AI184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{"issue":{"subject":"","project_id":79,"tracker_id":40,"status_id":1,"priority_id":2,"assigned_to_id":23,"start_date":"2016-10-19","description":"","custom_fields":[{"id":1,"name":"Subdivision","value":"NW"},{"id":4,"name":"Milepost","value":"5.8982"},{"id":17,"name":"Train ID","value":"829-19"},{"id":16,"name":"Locomotive ID","value":"4031"},{"id":130,"name":"Impact","value":""},{"id":150,"name":"Time of Event (Mountain Time)","value":"16:36:25"},{"id":151,"name":"Denver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592</v>
      </c>
      <c r="B185" s="7">
        <v>4032</v>
      </c>
      <c r="C185" s="22" t="s">
        <v>99</v>
      </c>
      <c r="D185" s="22" t="s">
        <v>428</v>
      </c>
      <c r="E185" s="13">
        <v>42662.693101851852</v>
      </c>
      <c r="F185" s="13">
        <v>42662.695</v>
      </c>
      <c r="G185" s="7">
        <v>1</v>
      </c>
      <c r="H185" s="13" t="s">
        <v>430</v>
      </c>
      <c r="I185" s="13">
        <v>42662.706238425926</v>
      </c>
      <c r="J185" s="7">
        <v>0</v>
      </c>
      <c r="K185" s="112" t="str">
        <f t="shared" si="97"/>
        <v>4031/4032</v>
      </c>
      <c r="L185" s="22" t="str">
        <f>VLOOKUP(A185,'Trips&amp;Operators'!$C$1:$E$10000,3,FALSE)</f>
        <v>MOSES</v>
      </c>
      <c r="M185" s="6">
        <f t="shared" si="98"/>
        <v>1.1238425926421769E-2</v>
      </c>
      <c r="N185" s="7">
        <f t="shared" si="108"/>
        <v>16.183333334047347</v>
      </c>
      <c r="O185" s="7"/>
      <c r="P185" s="7"/>
      <c r="Q185" s="23"/>
      <c r="R185" s="23"/>
      <c r="S185" s="35">
        <f t="shared" si="99"/>
        <v>1</v>
      </c>
      <c r="T185" s="50" t="str">
        <f t="shared" si="100"/>
        <v>Southbound</v>
      </c>
      <c r="U185" s="18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15:38:04-0600',mode:absolute,to:'2016-10-19 17:56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5" s="52" t="str">
        <f t="shared" si="102"/>
        <v>N</v>
      </c>
      <c r="X185" s="174">
        <f t="shared" si="103"/>
        <v>1</v>
      </c>
      <c r="Y185" s="67">
        <f t="shared" si="104"/>
        <v>5.867</v>
      </c>
      <c r="Z185" s="67">
        <f t="shared" si="109"/>
        <v>7.0099999999999996E-2</v>
      </c>
      <c r="AA185" s="67">
        <f t="shared" si="105"/>
        <v>5.7968999999999999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06"/>
        <v>0830-19</v>
      </c>
      <c r="AE185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85" s="88" t="str">
        <f t="shared" si="81"/>
        <v>"C:\Program Files (x86)\AstroGrep\AstroGrep.exe" /spath="%USERPROFILE%\AppData\Local\Temp\OnboardLogs" /stypes="app*4032*20161019*" /stext=" 22:.+((SYSTEM_STATE.+slice.+state.+changed )|(ment ac)|(system.+state.+changed )|(\[timeout)|(PRM\|1\|D)|(kpr)|(kdp)|(\|lc)|(penalty))" /e /r /s</v>
      </c>
      <c r="AG185" s="1" t="str">
        <f t="shared" si="107"/>
        <v>NW</v>
      </c>
      <c r="AH185" s="92" t="str">
        <f t="shared" si="82"/>
        <v>"%USERPROFILE%\Documents\GitHub\eaglep3\Utilities\RefineRTDCRunTimes.py" --tripid 830-19 --locoid 4032 --swversion DE.1.0.7.0 --startMP 300:58670 --initTime 2016-10-19T16:38:04 --startdatetime 2016-10-19T16:40:48 --delay 1 --endMP 204:701 --enddatetime 2016-10-19T16:56:59 --enforcementcount 0 &gt;&gt;C:\Users\stu\Documents\GitHub\eaglep3-reporting\EC\2016-10-19-refined-times.txt</v>
      </c>
      <c r="AI185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{"issue":{"subject":"","project_id":79,"tracker_id":40,"status_id":1,"priority_id":2,"assigned_to_id":23,"start_date":"2016-10-19","description":"","custom_fields":[{"id":1,"name":"Subdivision","value":"NW"},{"id":4,"name":"Milepost","value":"0.0701"},{"id":17,"name":"Train ID","value":"830-19"},{"id":16,"name":"Locomotive ID","value":"4032"},{"id":130,"name":"Impact","value":""},{"id":150,"name":"Time of Event (Mountain Time)","value":"16:56:59"},{"id":151,"name":"Denver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594</v>
      </c>
      <c r="B186" s="7">
        <v>4053</v>
      </c>
      <c r="C186" s="22" t="s">
        <v>99</v>
      </c>
      <c r="D186" s="22" t="s">
        <v>341</v>
      </c>
      <c r="E186" s="13">
        <v>42662.696458333332</v>
      </c>
      <c r="F186" s="13">
        <v>42662.702465277776</v>
      </c>
      <c r="G186" s="7">
        <v>1</v>
      </c>
      <c r="H186" s="13" t="s">
        <v>745</v>
      </c>
      <c r="I186" s="13">
        <v>42662.713425925926</v>
      </c>
      <c r="J186" s="7">
        <v>0</v>
      </c>
      <c r="K186" s="112" t="str">
        <f t="shared" si="97"/>
        <v>4053/4054</v>
      </c>
      <c r="L186" s="22" t="str">
        <f>VLOOKUP(A186,'Trips&amp;Operators'!$C$1:$E$10000,3,FALSE)</f>
        <v>LEVERE</v>
      </c>
      <c r="M186" s="6">
        <f t="shared" si="98"/>
        <v>1.096064814919373E-2</v>
      </c>
      <c r="N186" s="7">
        <f t="shared" si="108"/>
        <v>15.783333334838971</v>
      </c>
      <c r="O186" s="7"/>
      <c r="P186" s="7"/>
      <c r="Q186" s="23"/>
      <c r="R186" s="23"/>
      <c r="S186" s="35">
        <f t="shared" si="99"/>
        <v>1</v>
      </c>
      <c r="T186" s="50" t="str">
        <f t="shared" si="100"/>
        <v>NorthBound</v>
      </c>
      <c r="U186" s="18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15:42:54-0600',mode:absolute,to:'2016-10-19 18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6" s="52" t="str">
        <f t="shared" si="102"/>
        <v>N</v>
      </c>
      <c r="X186" s="174">
        <f t="shared" si="103"/>
        <v>1</v>
      </c>
      <c r="Y186" s="67">
        <f t="shared" si="104"/>
        <v>9.69E-2</v>
      </c>
      <c r="Z186" s="67">
        <f t="shared" si="109"/>
        <v>5.8973000000000004</v>
      </c>
      <c r="AA186" s="67">
        <f t="shared" si="105"/>
        <v>5.8004000000000007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06"/>
        <v>0831-19</v>
      </c>
      <c r="AE186" s="91" t="str">
        <f t="shared" si="80"/>
        <v>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 &amp; 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</v>
      </c>
      <c r="AF186" s="88" t="str">
        <f t="shared" si="81"/>
        <v>"C:\Program Files (x86)\AstroGrep\AstroGrep.exe" /spath="%USERPROFILE%\AppData\Local\Temp\OnboardLogs" /stypes="app*4053*20161019*" /stext=" 23:.+((SYSTEM_STATE.+slice.+state.+changed )|(ment ac)|(system.+state.+changed )|(\[timeout)|(PRM\|1\|D)|(kpr)|(kdp)|(\|lc)|(penalty))" /e /r /s</v>
      </c>
      <c r="AG186" s="1" t="str">
        <f t="shared" si="107"/>
        <v>NW</v>
      </c>
      <c r="AH186" s="92" t="str">
        <f t="shared" si="82"/>
        <v>"%USERPROFILE%\Documents\GitHub\eaglep3\Utilities\RefineRTDCRunTimes.py" --tripid 831-19 --locoid 4053 --swversion DE.1.0.7.0 --startMP 204:969 --initTime 2016-10-19T16:42:54 --startdatetime 2016-10-19T16:51:33 --delay 1 --endMP 300:58973 --enddatetime 2016-10-19T17:07:20 --enforcementcount 0 &gt;&gt;C:\Users\stu\Documents\GitHub\eaglep3-reporting\EC\2016-10-19-refined-times.txt</v>
      </c>
      <c r="AI186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{"issue":{"subject":"","project_id":79,"tracker_id":40,"status_id":1,"priority_id":2,"assigned_to_id":23,"start_date":"2016-10-19","description":"","custom_fields":[{"id":1,"name":"Subdivision","value":"NW"},{"id":4,"name":"Milepost","value":"5.8973"},{"id":17,"name":"Train ID","value":"831-19"},{"id":16,"name":"Locomotive ID","value":"4053"},{"id":130,"name":"Impact","value":""},{"id":150,"name":"Time of Event (Mountain Time)","value":"17:07:20"},{"id":151,"name":"Denver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598</v>
      </c>
      <c r="B187" s="7">
        <v>4054</v>
      </c>
      <c r="C187" s="22" t="s">
        <v>99</v>
      </c>
      <c r="D187" s="22" t="s">
        <v>737</v>
      </c>
      <c r="E187" s="13">
        <v>42662.715138888889</v>
      </c>
      <c r="F187" s="13">
        <v>42662.716956018521</v>
      </c>
      <c r="G187" s="7">
        <v>1</v>
      </c>
      <c r="H187" s="13" t="s">
        <v>731</v>
      </c>
      <c r="I187" s="13">
        <v>42662.728368055556</v>
      </c>
      <c r="J187" s="7">
        <v>0</v>
      </c>
      <c r="K187" s="112" t="str">
        <f t="shared" si="97"/>
        <v>4053/4054</v>
      </c>
      <c r="L187" s="22" t="str">
        <f>VLOOKUP(A187,'Trips&amp;Operators'!$C$1:$E$10000,3,FALSE)</f>
        <v>LEVERE</v>
      </c>
      <c r="M187" s="6">
        <f t="shared" si="98"/>
        <v>1.1412037034460809E-2</v>
      </c>
      <c r="N187" s="7">
        <f t="shared" si="108"/>
        <v>16.433333329623565</v>
      </c>
      <c r="O187" s="7"/>
      <c r="P187" s="7"/>
      <c r="Q187" s="23"/>
      <c r="R187" s="23"/>
      <c r="S187" s="35">
        <f t="shared" si="99"/>
        <v>1</v>
      </c>
      <c r="T187" s="50" t="str">
        <f t="shared" si="100"/>
        <v>Southbound</v>
      </c>
      <c r="U187" s="18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16:09:48-0600',mode:absolute,to:'2016-10-19 18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7" s="52" t="str">
        <f t="shared" si="102"/>
        <v>N</v>
      </c>
      <c r="X187" s="174">
        <f t="shared" si="103"/>
        <v>1</v>
      </c>
      <c r="Y187" s="67">
        <f t="shared" si="104"/>
        <v>5.8655999999999997</v>
      </c>
      <c r="Z187" s="67">
        <f t="shared" si="109"/>
        <v>6.6400000000000001E-2</v>
      </c>
      <c r="AA187" s="67">
        <f t="shared" si="105"/>
        <v>5.7991999999999999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06"/>
        <v>0832-19</v>
      </c>
      <c r="AE187" s="91" t="str">
        <f t="shared" si="8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187" s="88" t="str">
        <f t="shared" si="81"/>
        <v>"C:\Program Files (x86)\AstroGrep\AstroGrep.exe" /spath="%USERPROFILE%\AppData\Local\Temp\OnboardLogs" /stypes="app*4054*20161019*" /stext=" 23:.+((SYSTEM_STATE.+slice.+state.+changed )|(ment ac)|(system.+state.+changed )|(\[timeout)|(PRM\|1\|D)|(kpr)|(kdp)|(\|lc)|(penalty))" /e /r /s</v>
      </c>
      <c r="AG187" s="1" t="str">
        <f t="shared" si="107"/>
        <v>NW</v>
      </c>
      <c r="AH187" s="92" t="str">
        <f t="shared" si="82"/>
        <v>"%USERPROFILE%\Documents\GitHub\eaglep3\Utilities\RefineRTDCRunTimes.py" --tripid 832-19 --locoid 4054 --swversion DE.1.0.7.0 --startMP 300:58656 --initTime 2016-10-19T17:09:48 --startdatetime 2016-10-19T17:12:25 --delay 1 --endMP 204:664 --enddatetime 2016-10-19T17:28:51 --enforcementcount 0 &gt;&gt;C:\Users\stu\Documents\GitHub\eaglep3-reporting\EC\2016-10-19-refined-times.txt</v>
      </c>
      <c r="AI187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{"issue":{"subject":"","project_id":79,"tracker_id":40,"status_id":1,"priority_id":2,"assigned_to_id":23,"start_date":"2016-10-19","description":"","custom_fields":[{"id":1,"name":"Subdivision","value":"NW"},{"id":4,"name":"Milepost","value":"0.0664"},{"id":17,"name":"Train ID","value":"832-19"},{"id":16,"name":"Locomotive ID","value":"4054"},{"id":130,"name":"Impact","value":""},{"id":150,"name":"Time of Event (Mountain Time)","value":"17:28:51"},{"id":151,"name":"Denver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602</v>
      </c>
      <c r="B188" s="7">
        <v>4031</v>
      </c>
      <c r="C188" s="22" t="s">
        <v>99</v>
      </c>
      <c r="D188" s="22" t="s">
        <v>436</v>
      </c>
      <c r="E188" s="13">
        <v>42662.717673611114</v>
      </c>
      <c r="F188" s="13">
        <v>42662.723171296297</v>
      </c>
      <c r="G188" s="7">
        <v>1</v>
      </c>
      <c r="H188" s="13" t="s">
        <v>728</v>
      </c>
      <c r="I188" s="13">
        <v>42662.733900462961</v>
      </c>
      <c r="J188" s="7">
        <v>0</v>
      </c>
      <c r="K188" s="112" t="str">
        <f t="shared" si="97"/>
        <v>4031/4032</v>
      </c>
      <c r="L188" s="22" t="str">
        <f>VLOOKUP(A188,'Trips&amp;Operators'!$C$1:$E$10000,3,FALSE)</f>
        <v>MOSES</v>
      </c>
      <c r="M188" s="6">
        <f t="shared" si="98"/>
        <v>1.0729166664532386E-2</v>
      </c>
      <c r="N188" s="7">
        <f t="shared" si="108"/>
        <v>15.449999996926636</v>
      </c>
      <c r="O188" s="7"/>
      <c r="P188" s="7"/>
      <c r="Q188" s="23"/>
      <c r="R188" s="23"/>
      <c r="S188" s="35">
        <f t="shared" si="99"/>
        <v>1</v>
      </c>
      <c r="T188" s="50" t="str">
        <f t="shared" si="100"/>
        <v>NorthBound</v>
      </c>
      <c r="U188" s="18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16:13:27-0600',mode:absolute,to:'2016-10-19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8" s="52" t="str">
        <f t="shared" si="102"/>
        <v>N</v>
      </c>
      <c r="X188" s="174">
        <f t="shared" si="103"/>
        <v>1</v>
      </c>
      <c r="Y188" s="67">
        <f t="shared" si="104"/>
        <v>9.8299999999999998E-2</v>
      </c>
      <c r="Z188" s="67">
        <f t="shared" si="109"/>
        <v>5.8975999999999997</v>
      </c>
      <c r="AA188" s="67">
        <f t="shared" si="105"/>
        <v>5.7992999999999997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06"/>
        <v>0833-19</v>
      </c>
      <c r="AE188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88" s="88" t="str">
        <f t="shared" si="81"/>
        <v>"C:\Program Files (x86)\AstroGrep\AstroGrep.exe" /spath="%USERPROFILE%\AppData\Local\Temp\OnboardLogs" /stypes="app*4031*20161019*" /stext=" 23:.+((SYSTEM_STATE.+slice.+state.+changed )|(ment ac)|(system.+state.+changed )|(\[timeout)|(PRM\|1\|D)|(kpr)|(kdp)|(\|lc)|(penalty))" /e /r /s</v>
      </c>
      <c r="AG188" s="1" t="str">
        <f t="shared" si="107"/>
        <v>NW</v>
      </c>
      <c r="AH188" s="92" t="str">
        <f t="shared" si="82"/>
        <v>"%USERPROFILE%\Documents\GitHub\eaglep3\Utilities\RefineRTDCRunTimes.py" --tripid 833-19 --locoid 4031 --swversion DE.1.0.7.0 --startMP 204:983 --initTime 2016-10-19T17:13:27 --startdatetime 2016-10-19T17:21:22 --delay 1 --endMP 300:58976 --enddatetime 2016-10-19T17:36:49 --enforcementcount 0 &gt;&gt;C:\Users\stu\Documents\GitHub\eaglep3-reporting\EC\2016-10-19-refined-times.txt</v>
      </c>
      <c r="AI188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{"issue":{"subject":"","project_id":79,"tracker_id":40,"status_id":1,"priority_id":2,"assigned_to_id":23,"start_date":"2016-10-19","description":"","custom_fields":[{"id":1,"name":"Subdivision","value":"NW"},{"id":4,"name":"Milepost","value":"5.8976"},{"id":17,"name":"Train ID","value":"833-19"},{"id":16,"name":"Locomotive ID","value":"4031"},{"id":130,"name":"Impact","value":""},{"id":150,"name":"Time of Event (Mountain Time)","value":"17:36:49"},{"id":151,"name":"Denver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606</v>
      </c>
      <c r="B189" s="7">
        <v>4032</v>
      </c>
      <c r="C189" s="22" t="s">
        <v>99</v>
      </c>
      <c r="D189" s="22" t="s">
        <v>307</v>
      </c>
      <c r="E189" s="13">
        <v>42662.735219907408</v>
      </c>
      <c r="F189" s="13">
        <v>42662.737488425926</v>
      </c>
      <c r="G189" s="7">
        <v>1</v>
      </c>
      <c r="H189" s="13" t="s">
        <v>746</v>
      </c>
      <c r="I189" s="13">
        <v>42662.747881944444</v>
      </c>
      <c r="J189" s="7">
        <v>0</v>
      </c>
      <c r="K189" s="112" t="str">
        <f t="shared" si="97"/>
        <v>4031/4032</v>
      </c>
      <c r="L189" s="22" t="str">
        <f>VLOOKUP(A189,'Trips&amp;Operators'!$C$1:$E$10000,3,FALSE)</f>
        <v>MOSES</v>
      </c>
      <c r="M189" s="6">
        <f t="shared" si="98"/>
        <v>1.0393518517958E-2</v>
      </c>
      <c r="N189" s="7">
        <f t="shared" si="108"/>
        <v>14.96666666585952</v>
      </c>
      <c r="O189" s="7"/>
      <c r="P189" s="7"/>
      <c r="Q189" s="23"/>
      <c r="R189" s="23"/>
      <c r="S189" s="35">
        <f t="shared" si="99"/>
        <v>1</v>
      </c>
      <c r="T189" s="50" t="str">
        <f t="shared" si="100"/>
        <v>Southbound</v>
      </c>
      <c r="U189" s="18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16:38:43-0600',mode:absolute,to:'2016-10-19 18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9" s="52" t="str">
        <f t="shared" si="102"/>
        <v>N</v>
      </c>
      <c r="X189" s="174">
        <f t="shared" si="103"/>
        <v>1</v>
      </c>
      <c r="Y189" s="67">
        <f t="shared" si="104"/>
        <v>5.8648999999999996</v>
      </c>
      <c r="Z189" s="67">
        <f t="shared" si="109"/>
        <v>6.9800000000000001E-2</v>
      </c>
      <c r="AA189" s="67">
        <f t="shared" si="105"/>
        <v>5.7950999999999997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06"/>
        <v>0834-19</v>
      </c>
      <c r="AE189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89" s="88" t="str">
        <f t="shared" si="81"/>
        <v>"C:\Program Files (x86)\AstroGrep\AstroGrep.exe" /spath="%USERPROFILE%\AppData\Local\Temp\OnboardLogs" /stypes="app*4032*20161019*" /stext=" 23:.+((SYSTEM_STATE.+slice.+state.+changed )|(ment ac)|(system.+state.+changed )|(\[timeout)|(PRM\|1\|D)|(kpr)|(kdp)|(\|lc)|(penalty))" /e /r /s</v>
      </c>
      <c r="AG189" s="1" t="str">
        <f t="shared" si="107"/>
        <v>NW</v>
      </c>
      <c r="AH189" s="92" t="str">
        <f t="shared" si="82"/>
        <v>"%USERPROFILE%\Documents\GitHub\eaglep3\Utilities\RefineRTDCRunTimes.py" --tripid 834-19 --locoid 4032 --swversion DE.1.0.7.0 --startMP 300:58649 --initTime 2016-10-19T17:38:43 --startdatetime 2016-10-19T17:41:59 --delay 1 --endMP 204:698 --enddatetime 2016-10-19T17:56:57 --enforcementcount 0 &gt;&gt;C:\Users\stu\Documents\GitHub\eaglep3-reporting\EC\2016-10-19-refined-times.txt</v>
      </c>
      <c r="AI189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{"issue":{"subject":"","project_id":79,"tracker_id":40,"status_id":1,"priority_id":2,"assigned_to_id":23,"start_date":"2016-10-19","description":"","custom_fields":[{"id":1,"name":"Subdivision","value":"NW"},{"id":4,"name":"Milepost","value":"0.0698"},{"id":17,"name":"Train ID","value":"834-19"},{"id":16,"name":"Locomotive ID","value":"4032"},{"id":130,"name":"Impact","value":""},{"id":150,"name":"Time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608</v>
      </c>
      <c r="B190" s="7">
        <v>4053</v>
      </c>
      <c r="C190" s="22" t="s">
        <v>99</v>
      </c>
      <c r="D190" s="22" t="s">
        <v>747</v>
      </c>
      <c r="E190" s="13">
        <v>42662.737615740742</v>
      </c>
      <c r="F190" s="13">
        <v>42662.744004629632</v>
      </c>
      <c r="G190" s="7">
        <v>1</v>
      </c>
      <c r="H190" s="13" t="s">
        <v>432</v>
      </c>
      <c r="I190" s="13">
        <v>42662.753831018519</v>
      </c>
      <c r="J190" s="7">
        <v>0</v>
      </c>
      <c r="K190" s="112" t="str">
        <f t="shared" si="97"/>
        <v>4053/4054</v>
      </c>
      <c r="L190" s="22" t="str">
        <f>VLOOKUP(A190,'Trips&amp;Operators'!$C$1:$E$10000,3,FALSE)</f>
        <v>LEVERE</v>
      </c>
      <c r="M190" s="6">
        <f t="shared" si="98"/>
        <v>9.8263888867222704E-3</v>
      </c>
      <c r="N190" s="7">
        <f t="shared" si="108"/>
        <v>14.149999996880069</v>
      </c>
      <c r="O190" s="7"/>
      <c r="P190" s="7"/>
      <c r="Q190" s="23"/>
      <c r="R190" s="23"/>
      <c r="S190" s="35">
        <f t="shared" si="99"/>
        <v>1</v>
      </c>
      <c r="T190" s="50" t="str">
        <f t="shared" si="100"/>
        <v>NorthBound</v>
      </c>
      <c r="U190" s="18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16:42:10-0600',mode:absolute,to:'2016-10-19 19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0" s="52" t="str">
        <f t="shared" si="102"/>
        <v>N</v>
      </c>
      <c r="X190" s="174">
        <f t="shared" si="103"/>
        <v>1</v>
      </c>
      <c r="Y190" s="67">
        <f t="shared" si="104"/>
        <v>9.4799999999999995E-2</v>
      </c>
      <c r="Z190" s="67">
        <f t="shared" si="109"/>
        <v>5.8952</v>
      </c>
      <c r="AA190" s="67">
        <f t="shared" si="105"/>
        <v>5.8003999999999998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06"/>
        <v>0835-19</v>
      </c>
      <c r="AE190" s="91" t="str">
        <f t="shared" si="80"/>
        <v>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 &amp; 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</v>
      </c>
      <c r="AF190" s="88" t="str">
        <f t="shared" si="81"/>
        <v>"C:\Program Files (x86)\AstroGrep\AstroGrep.exe" /spath="%USERPROFILE%\AppData\Local\Temp\OnboardLogs" /stypes="app*4053*20161020*" /stext=" 00:.+((SYSTEM_STATE.+slice.+state.+changed )|(ment ac)|(system.+state.+changed )|(\[timeout)|(PRM\|1\|D)|(kpr)|(kdp)|(\|lc)|(penalty))" /e /r /s</v>
      </c>
      <c r="AG190" s="1" t="str">
        <f t="shared" si="107"/>
        <v>NW</v>
      </c>
      <c r="AH190" s="92" t="str">
        <f t="shared" si="82"/>
        <v>"%USERPROFILE%\Documents\GitHub\eaglep3\Utilities\RefineRTDCRunTimes.py" --tripid 835-19 --locoid 4053 --swversion DE.1.0.7.0 --startMP 204:948 --initTime 2016-10-19T17:42:10 --startdatetime 2016-10-19T17:51:22 --delay 1 --endMP 300:58952 --enddatetime 2016-10-19T18:05:31 --enforcementcount 0 &gt;&gt;C:\Users\stu\Documents\GitHub\eaglep3-reporting\EC\2016-10-19-refined-times.txt</v>
      </c>
      <c r="AI190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{"issue":{"subject":"","project_id":79,"tracker_id":40,"status_id":1,"priority_id":2,"assigned_to_id":23,"start_date":"2016-10-19","description":"","custom_fields":[{"id":1,"name":"Subdivision","value":"NW"},{"id":4,"name":"Milepost","value":"5.8952"},{"id":17,"name":"Train ID","value":"835-19"},{"id":16,"name":"Locomotive ID","value":"4053"},{"id":130,"name":"Impact","value":""},{"id":150,"name":"Time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613</v>
      </c>
      <c r="B191" s="7">
        <v>4054</v>
      </c>
      <c r="C191" s="22" t="s">
        <v>99</v>
      </c>
      <c r="D191" s="22" t="s">
        <v>748</v>
      </c>
      <c r="E191" s="13">
        <v>42662.75508101852</v>
      </c>
      <c r="F191" s="13">
        <v>42662.756562499999</v>
      </c>
      <c r="G191" s="7">
        <v>1</v>
      </c>
      <c r="H191" s="13" t="s">
        <v>749</v>
      </c>
      <c r="I191" s="13">
        <v>42662.77003472222</v>
      </c>
      <c r="J191" s="7">
        <v>0</v>
      </c>
      <c r="K191" s="112" t="str">
        <f t="shared" si="97"/>
        <v>4053/4054</v>
      </c>
      <c r="L191" s="22" t="str">
        <f>VLOOKUP(A191,'Trips&amp;Operators'!$C$1:$E$10000,3,FALSE)</f>
        <v>LEVERE</v>
      </c>
      <c r="M191" s="6">
        <f t="shared" si="98"/>
        <v>1.3472222221025731E-2</v>
      </c>
      <c r="N191" s="7">
        <f t="shared" si="108"/>
        <v>19.399999998277053</v>
      </c>
      <c r="O191" s="7"/>
      <c r="P191" s="7"/>
      <c r="Q191" s="23"/>
      <c r="R191" s="23"/>
      <c r="S191" s="35">
        <f t="shared" si="99"/>
        <v>1</v>
      </c>
      <c r="T191" s="50" t="str">
        <f t="shared" si="100"/>
        <v>Southbound</v>
      </c>
      <c r="U191" s="18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17:07:19-0600',mode:absolute,to:'2016-10-19 19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1" s="52" t="str">
        <f t="shared" si="102"/>
        <v>N</v>
      </c>
      <c r="X191" s="174">
        <f t="shared" si="103"/>
        <v>1</v>
      </c>
      <c r="Y191" s="67">
        <f t="shared" si="104"/>
        <v>5.8632</v>
      </c>
      <c r="Z191" s="67">
        <f t="shared" si="109"/>
        <v>6.6600000000000006E-2</v>
      </c>
      <c r="AA191" s="67">
        <f t="shared" si="105"/>
        <v>5.7965999999999998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06"/>
        <v>0836-19</v>
      </c>
      <c r="AE191" s="91" t="str">
        <f t="shared" si="8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191" s="88" t="str">
        <f t="shared" si="81"/>
        <v>"C:\Program Files (x86)\AstroGrep\AstroGrep.exe" /spath="%USERPROFILE%\AppData\Local\Temp\OnboardLogs" /stypes="app*4054*20161020*" /stext=" 00:.+((SYSTEM_STATE.+slice.+state.+changed )|(ment ac)|(system.+state.+changed )|(\[timeout)|(PRM\|1\|D)|(kpr)|(kdp)|(\|lc)|(penalty))" /e /r /s</v>
      </c>
      <c r="AG191" s="1" t="str">
        <f t="shared" si="107"/>
        <v>NW</v>
      </c>
      <c r="AH191" s="92" t="str">
        <f t="shared" si="82"/>
        <v>"%USERPROFILE%\Documents\GitHub\eaglep3\Utilities\RefineRTDCRunTimes.py" --tripid 836-19 --locoid 4054 --swversion DE.1.0.7.0 --startMP 300:58632 --initTime 2016-10-19T18:07:19 --startdatetime 2016-10-19T18:09:27 --delay 1 --endMP 204:666 --enddatetime 2016-10-19T18:28:51 --enforcementcount 0 &gt;&gt;C:\Users\stu\Documents\GitHub\eaglep3-reporting\EC\2016-10-19-refined-times.txt</v>
      </c>
      <c r="AI191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{"issue":{"subject":"","project_id":79,"tracker_id":40,"status_id":1,"priority_id":2,"assigned_to_id":23,"start_date":"2016-10-19","description":"","custom_fields":[{"id":1,"name":"Subdivision","value":"NW"},{"id":4,"name":"Milepost","value":"0.0666"},{"id":17,"name":"Train ID","value":"836-19"},{"id":16,"name":"Locomotive ID","value":"4054"},{"id":130,"name":"Impact","value":""},{"id":150,"name":"Time of Event (Mountain Time)","value":"18:28:51"},{"id":151,"name":"Denver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616</v>
      </c>
      <c r="B192" s="7">
        <v>4031</v>
      </c>
      <c r="C192" s="22" t="s">
        <v>99</v>
      </c>
      <c r="D192" s="22" t="s">
        <v>339</v>
      </c>
      <c r="E192" s="13">
        <v>42662.76153935185</v>
      </c>
      <c r="F192" s="13">
        <v>42662.764803240738</v>
      </c>
      <c r="G192" s="7">
        <v>1</v>
      </c>
      <c r="H192" s="13" t="s">
        <v>741</v>
      </c>
      <c r="I192" s="13">
        <v>42662.774537037039</v>
      </c>
      <c r="J192" s="7">
        <v>0</v>
      </c>
      <c r="K192" s="112" t="str">
        <f t="shared" si="97"/>
        <v>4031/4032</v>
      </c>
      <c r="L192" s="22" t="str">
        <f>VLOOKUP(A192,'Trips&amp;Operators'!$C$1:$E$10000,3,FALSE)</f>
        <v>MOSES</v>
      </c>
      <c r="M192" s="6">
        <f t="shared" si="98"/>
        <v>9.7337963015888818E-3</v>
      </c>
      <c r="N192" s="7">
        <f t="shared" si="108"/>
        <v>14.01666667428799</v>
      </c>
      <c r="O192" s="7"/>
      <c r="P192" s="7"/>
      <c r="Q192" s="23"/>
      <c r="R192" s="23"/>
      <c r="S192" s="35">
        <f t="shared" si="99"/>
        <v>1</v>
      </c>
      <c r="T192" s="50" t="str">
        <f t="shared" si="100"/>
        <v>NorthBound</v>
      </c>
      <c r="U192" s="18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17:16:37-0600',mode:absolute,to:'2016-10-19 19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2" s="52" t="str">
        <f t="shared" si="102"/>
        <v>N</v>
      </c>
      <c r="X192" s="174">
        <f t="shared" si="103"/>
        <v>1</v>
      </c>
      <c r="Y192" s="67">
        <f t="shared" si="104"/>
        <v>9.74E-2</v>
      </c>
      <c r="Z192" s="67">
        <f t="shared" si="109"/>
        <v>5.8971</v>
      </c>
      <c r="AA192" s="67">
        <f t="shared" si="105"/>
        <v>5.7996999999999996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06"/>
        <v>0837-19</v>
      </c>
      <c r="AE192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92" s="88" t="str">
        <f t="shared" si="81"/>
        <v>"C:\Program Files (x86)\AstroGrep\AstroGrep.exe" /spath="%USERPROFILE%\AppData\Local\Temp\OnboardLogs" /stypes="app*4031*20161020*" /stext=" 00:.+((SYSTEM_STATE.+slice.+state.+changed )|(ment ac)|(system.+state.+changed )|(\[timeout)|(PRM\|1\|D)|(kpr)|(kdp)|(\|lc)|(penalty))" /e /r /s</v>
      </c>
      <c r="AG192" s="1" t="str">
        <f t="shared" si="107"/>
        <v>NW</v>
      </c>
      <c r="AH192" s="92" t="str">
        <f t="shared" si="82"/>
        <v>"%USERPROFILE%\Documents\GitHub\eaglep3\Utilities\RefineRTDCRunTimes.py" --tripid 837-19 --locoid 4031 --swversion DE.1.0.7.0 --startMP 204:974 --initTime 2016-10-19T18:16:37 --startdatetime 2016-10-19T18:21:19 --delay 1 --endMP 300:58971 --enddatetime 2016-10-19T18:35:20 --enforcementcount 0 &gt;&gt;C:\Users\stu\Documents\GitHub\eaglep3-reporting\EC\2016-10-19-refined-times.txt</v>
      </c>
      <c r="AI192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{"issue":{"subject":"","project_id":79,"tracker_id":40,"status_id":1,"priority_id":2,"assigned_to_id":23,"start_date":"2016-10-19","description":"","custom_fields":[{"id":1,"name":"Subdivision","value":"NW"},{"id":4,"name":"Milepost","value":"5.8971"},{"id":17,"name":"Train ID","value":"837-19"},{"id":16,"name":"Locomotive ID","value":"4031"},{"id":130,"name":"Impact","value":""},{"id":150,"name":"Time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619</v>
      </c>
      <c r="B193" s="7">
        <v>4032</v>
      </c>
      <c r="C193" s="22" t="s">
        <v>99</v>
      </c>
      <c r="D193" s="22" t="s">
        <v>737</v>
      </c>
      <c r="E193" s="13">
        <v>42662.77652777778</v>
      </c>
      <c r="F193" s="13">
        <v>42662.778657407405</v>
      </c>
      <c r="G193" s="7">
        <v>1</v>
      </c>
      <c r="H193" s="13" t="s">
        <v>750</v>
      </c>
      <c r="I193" s="13">
        <v>42662.789282407408</v>
      </c>
      <c r="J193" s="7">
        <v>0</v>
      </c>
      <c r="K193" s="112" t="str">
        <f t="shared" si="97"/>
        <v>4031/4032</v>
      </c>
      <c r="L193" s="22" t="str">
        <f>VLOOKUP(A193,'Trips&amp;Operators'!$C$1:$E$10000,3,FALSE)</f>
        <v>MOSES</v>
      </c>
      <c r="M193" s="6">
        <f t="shared" si="98"/>
        <v>1.0625000002619345E-2</v>
      </c>
      <c r="N193" s="7">
        <f t="shared" si="108"/>
        <v>15.300000003771856</v>
      </c>
      <c r="O193" s="7"/>
      <c r="P193" s="7"/>
      <c r="Q193" s="23"/>
      <c r="R193" s="23"/>
      <c r="S193" s="35">
        <f t="shared" si="99"/>
        <v>1</v>
      </c>
      <c r="T193" s="50" t="str">
        <f t="shared" si="100"/>
        <v>Southbound</v>
      </c>
      <c r="U193" s="18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17:38:12-0600',mode:absolute,to:'2016-10-19 19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3" s="52" t="str">
        <f t="shared" si="102"/>
        <v>N</v>
      </c>
      <c r="X193" s="174">
        <f t="shared" si="103"/>
        <v>1</v>
      </c>
      <c r="Y193" s="67">
        <f t="shared" si="104"/>
        <v>5.8655999999999997</v>
      </c>
      <c r="Z193" s="67">
        <f t="shared" si="109"/>
        <v>7.1900000000000006E-2</v>
      </c>
      <c r="AA193" s="67">
        <f t="shared" si="105"/>
        <v>5.7936999999999994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06"/>
        <v>0838-19</v>
      </c>
      <c r="AE193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93" s="88" t="str">
        <f t="shared" si="81"/>
        <v>"C:\Program Files (x86)\AstroGrep\AstroGrep.exe" /spath="%USERPROFILE%\AppData\Local\Temp\OnboardLogs" /stypes="app*4032*20161020*" /stext=" 00:.+((SYSTEM_STATE.+slice.+state.+changed )|(ment ac)|(system.+state.+changed )|(\[timeout)|(PRM\|1\|D)|(kpr)|(kdp)|(\|lc)|(penalty))" /e /r /s</v>
      </c>
      <c r="AG193" s="1" t="str">
        <f t="shared" si="107"/>
        <v>NW</v>
      </c>
      <c r="AH193" s="92" t="str">
        <f t="shared" si="82"/>
        <v>"%USERPROFILE%\Documents\GitHub\eaglep3\Utilities\RefineRTDCRunTimes.py" --tripid 838-19 --locoid 4032 --swversion DE.1.0.7.0 --startMP 300:58656 --initTime 2016-10-19T18:38:12 --startdatetime 2016-10-19T18:41:16 --delay 1 --endMP 204:719 --enddatetime 2016-10-19T18:56:34 --enforcementcount 0 &gt;&gt;C:\Users\stu\Documents\GitHub\eaglep3-reporting\EC\2016-10-19-refined-times.txt</v>
      </c>
      <c r="AI193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{"issue":{"subject":"","project_id":79,"tracker_id":40,"status_id":1,"priority_id":2,"assigned_to_id":23,"start_date":"2016-10-19","description":"","custom_fields":[{"id":1,"name":"Subdivision","value":"NW"},{"id":4,"name":"Milepost","value":"0.0719"},{"id":17,"name":"Train ID","value":"838-19"},{"id":16,"name":"Locomotive ID","value":"4032"},{"id":130,"name":"Impact","value":""},{"id":150,"name":"Time of Event (Mountain Time)","value":"18:56:34"},{"id":151,"name":"Denver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620</v>
      </c>
      <c r="B194" s="7">
        <v>4053</v>
      </c>
      <c r="C194" s="22" t="s">
        <v>99</v>
      </c>
      <c r="D194" s="22" t="s">
        <v>751</v>
      </c>
      <c r="E194" s="13">
        <v>42662.777418981481</v>
      </c>
      <c r="F194" s="13">
        <v>42662.785671296297</v>
      </c>
      <c r="G194" s="7">
        <v>1</v>
      </c>
      <c r="H194" s="13" t="s">
        <v>752</v>
      </c>
      <c r="I194" s="13">
        <v>42662.796932870369</v>
      </c>
      <c r="J194" s="7">
        <v>0</v>
      </c>
      <c r="K194" s="112" t="str">
        <f t="shared" si="97"/>
        <v>4053/4054</v>
      </c>
      <c r="L194" s="22" t="str">
        <f>VLOOKUP(A194,'Trips&amp;Operators'!$C$1:$E$10000,3,FALSE)</f>
        <v>LEVERE</v>
      </c>
      <c r="M194" s="6">
        <f t="shared" si="98"/>
        <v>1.1261574072705116E-2</v>
      </c>
      <c r="N194" s="7">
        <f t="shared" si="108"/>
        <v>16.216666664695367</v>
      </c>
      <c r="O194" s="7"/>
      <c r="P194" s="7"/>
      <c r="Q194" s="23"/>
      <c r="R194" s="23"/>
      <c r="S194" s="35">
        <f t="shared" si="99"/>
        <v>1</v>
      </c>
      <c r="T194" s="50" t="str">
        <f t="shared" si="100"/>
        <v>NorthBound</v>
      </c>
      <c r="U194" s="18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17:39:29-0600',mode:absolute,to:'2016-10-19 20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4" s="52" t="str">
        <f t="shared" si="102"/>
        <v>N</v>
      </c>
      <c r="X194" s="174">
        <f t="shared" si="103"/>
        <v>1</v>
      </c>
      <c r="Y194" s="67">
        <f t="shared" si="104"/>
        <v>9.4100000000000003E-2</v>
      </c>
      <c r="Z194" s="67">
        <f t="shared" si="109"/>
        <v>5.8948</v>
      </c>
      <c r="AA194" s="67">
        <f t="shared" si="105"/>
        <v>5.8007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06"/>
        <v>0839-19</v>
      </c>
      <c r="AE194" s="91" t="str">
        <f t="shared" si="80"/>
        <v>aws s3 cp s3://rtdc.mdm.uploadarchive.raw/RTDC4053/ "%USERPROFILE%\AppData\Local\Temp\OnboardLogs"\RTDC4053\2016-10-19 --exclude "*" --recursive --include "*20161019*" &amp; "%USERPROFILE%\Documents\GitHub\mrs-test-scripts\Headless Mode &amp; Sideloading\WalkAndUnGZ.bat" "%USERPROFILE%\AppData\Local\Temp\OnboardLogs"\RTDC4053\2016-10-19 &amp; 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</v>
      </c>
      <c r="AF194" s="88" t="str">
        <f t="shared" si="81"/>
        <v>"C:\Program Files (x86)\AstroGrep\AstroGrep.exe" /spath="%USERPROFILE%\AppData\Local\Temp\OnboardLogs" /stypes="app*4053*20161020*" /stext=" 01:.+((SYSTEM_STATE.+slice.+state.+changed )|(ment ac)|(system.+state.+changed )|(\[timeout)|(PRM\|1\|D)|(kpr)|(kdp)|(\|lc)|(penalty))" /e /r /s</v>
      </c>
      <c r="AG194" s="1" t="str">
        <f t="shared" si="107"/>
        <v>NW</v>
      </c>
      <c r="AH194" s="92" t="str">
        <f t="shared" si="82"/>
        <v>"%USERPROFILE%\Documents\GitHub\eaglep3\Utilities\RefineRTDCRunTimes.py" --tripid 839-19 --locoid 4053 --swversion DE.1.0.7.0 --startMP 204:941 --initTime 2016-10-19T18:39:29 --startdatetime 2016-10-19T18:51:22 --delay 1 --endMP 300:58948 --enddatetime 2016-10-19T19:07:35 --enforcementcount 0 &gt;&gt;C:\Users\stu\Documents\GitHub\eaglep3-reporting\EC\2016-10-19-refined-times.txt</v>
      </c>
      <c r="AI194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{"issue":{"subject":"","project_id":79,"tracker_id":40,"status_id":1,"priority_id":2,"assigned_to_id":23,"start_date":"2016-10-19","description":"","custom_fields":[{"id":1,"name":"Subdivision","value":"NW"},{"id":4,"name":"Milepost","value":"5.8948"},{"id":17,"name":"Train ID","value":"839-19"},{"id":16,"name":"Locomotive ID","value":"4053"},{"id":130,"name":"Impact","value":""},{"id":150,"name":"Time of Event (Mountain Time)","value":"19:07:35"},{"id":151,"name":"Denver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629</v>
      </c>
      <c r="B195" s="7">
        <v>4032</v>
      </c>
      <c r="C195" s="22" t="s">
        <v>99</v>
      </c>
      <c r="D195" s="22" t="s">
        <v>753</v>
      </c>
      <c r="E195" s="13">
        <v>42662.817511574074</v>
      </c>
      <c r="F195" s="13">
        <v>42662.820162037038</v>
      </c>
      <c r="G195" s="7">
        <v>2</v>
      </c>
      <c r="H195" s="13" t="s">
        <v>434</v>
      </c>
      <c r="I195" s="13">
        <v>42662.830347222225</v>
      </c>
      <c r="J195" s="7">
        <v>0</v>
      </c>
      <c r="K195" s="112" t="str">
        <f t="shared" si="97"/>
        <v>4031/4032</v>
      </c>
      <c r="L195" s="22" t="str">
        <f>VLOOKUP(A195,'Trips&amp;Operators'!$C$1:$E$10000,3,FALSE)</f>
        <v>MOSES</v>
      </c>
      <c r="M195" s="6">
        <f t="shared" si="98"/>
        <v>1.0185185186855961E-2</v>
      </c>
      <c r="N195" s="7">
        <f t="shared" si="108"/>
        <v>14.666666669072583</v>
      </c>
      <c r="O195" s="7"/>
      <c r="P195" s="7"/>
      <c r="Q195" s="23"/>
      <c r="R195" s="23"/>
      <c r="S195" s="35">
        <f t="shared" si="99"/>
        <v>1</v>
      </c>
      <c r="T195" s="50" t="str">
        <f t="shared" si="100"/>
        <v>Southbound</v>
      </c>
      <c r="U195" s="18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18:37:13-0600',mode:absolute,to:'2016-10-19 20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5" s="52" t="str">
        <f t="shared" si="102"/>
        <v>N</v>
      </c>
      <c r="X195" s="174">
        <f t="shared" si="103"/>
        <v>1</v>
      </c>
      <c r="Y195" s="67">
        <f t="shared" si="104"/>
        <v>5.8672000000000004</v>
      </c>
      <c r="Z195" s="67">
        <f t="shared" si="109"/>
        <v>6.9599999999999995E-2</v>
      </c>
      <c r="AA195" s="67">
        <f t="shared" si="105"/>
        <v>5.7976000000000001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06"/>
        <v>0840-19</v>
      </c>
      <c r="AE195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95" s="88" t="str">
        <f t="shared" si="81"/>
        <v>"C:\Program Files (x86)\AstroGrep\AstroGrep.exe" /spath="%USERPROFILE%\AppData\Local\Temp\OnboardLogs" /stypes="app*4032*20161020*" /stext=" 01:.+((SYSTEM_STATE.+slice.+state.+changed )|(ment ac)|(system.+state.+changed )|(\[timeout)|(PRM\|1\|D)|(kpr)|(kdp)|(\|lc)|(penalty))" /e /r /s</v>
      </c>
      <c r="AG195" s="1" t="str">
        <f t="shared" si="107"/>
        <v>NW</v>
      </c>
      <c r="AH195" s="92" t="str">
        <f t="shared" si="82"/>
        <v>"%USERPROFILE%\Documents\GitHub\eaglep3\Utilities\RefineRTDCRunTimes.py" --tripid 840-19 --locoid 4032 --swversion DE.1.0.7.0 --startMP 300:58672 --initTime 2016-10-19T19:37:13 --startdatetime 2016-10-19T19:41:02 --delay 2 --endMP 204:696 --enddatetime 2016-10-19T19:55:42 --enforcementcount 0 &gt;&gt;C:\Users\stu\Documents\GitHub\eaglep3-reporting\EC\2016-10-19-refined-times.txt</v>
      </c>
      <c r="AI195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{"issue":{"subject":"","project_id":79,"tracker_id":40,"status_id":1,"priority_id":2,"assigned_to_id":23,"start_date":"2016-10-19","description":"","custom_fields":[{"id":1,"name":"Subdivision","value":"NW"},{"id":4,"name":"Milepost","value":"0.0696"},{"id":17,"name":"Train ID","value":"840-19"},{"id":16,"name":"Locomotive ID","value":"4032"},{"id":130,"name":"Impact","value":""},{"id":150,"name":"Time of Event (Mountain Time)","value":"19:55:42"},{"id":151,"name":"Denver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626</v>
      </c>
      <c r="B196" s="7">
        <v>4031</v>
      </c>
      <c r="C196" s="22" t="s">
        <v>99</v>
      </c>
      <c r="D196" s="22" t="s">
        <v>724</v>
      </c>
      <c r="E196" s="13">
        <v>42662.80259259259</v>
      </c>
      <c r="F196" s="13">
        <v>42662.806527777779</v>
      </c>
      <c r="G196" s="7">
        <v>1</v>
      </c>
      <c r="H196" s="13" t="s">
        <v>726</v>
      </c>
      <c r="I196" s="13">
        <v>42662.816284722219</v>
      </c>
      <c r="J196" s="7">
        <v>0</v>
      </c>
      <c r="K196" s="112" t="str">
        <f t="shared" si="97"/>
        <v>4031/4032</v>
      </c>
      <c r="L196" s="22" t="str">
        <f>VLOOKUP(A196,'Trips&amp;Operators'!$C$1:$E$10000,3,FALSE)</f>
        <v>MOSES</v>
      </c>
      <c r="M196" s="6">
        <f t="shared" si="98"/>
        <v>9.7569444405962713E-3</v>
      </c>
      <c r="N196" s="7">
        <f t="shared" si="108"/>
        <v>14.049999994458631</v>
      </c>
      <c r="O196" s="7"/>
      <c r="P196" s="7"/>
      <c r="Q196" s="23"/>
      <c r="R196" s="23"/>
      <c r="S196" s="35">
        <f t="shared" si="99"/>
        <v>1</v>
      </c>
      <c r="T196" s="50" t="str">
        <f t="shared" si="100"/>
        <v>NorthBound</v>
      </c>
      <c r="U196" s="18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18:15:44-0600',mode:absolute,to:'2016-10-19 20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6" s="52" t="str">
        <f t="shared" si="102"/>
        <v>N</v>
      </c>
      <c r="X196" s="174">
        <f t="shared" si="103"/>
        <v>1</v>
      </c>
      <c r="Y196" s="67">
        <f t="shared" si="104"/>
        <v>9.9299999999999999E-2</v>
      </c>
      <c r="Z196" s="67">
        <f t="shared" si="109"/>
        <v>5.8983999999999996</v>
      </c>
      <c r="AA196" s="67">
        <f t="shared" si="105"/>
        <v>5.7990999999999993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06"/>
        <v>0841-19</v>
      </c>
      <c r="AE196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96" s="88" t="str">
        <f t="shared" si="81"/>
        <v>"C:\Program Files (x86)\AstroGrep\AstroGrep.exe" /spath="%USERPROFILE%\AppData\Local\Temp\OnboardLogs" /stypes="app*4031*20161020*" /stext=" 01:.+((SYSTEM_STATE.+slice.+state.+changed )|(ment ac)|(system.+state.+changed )|(\[timeout)|(PRM\|1\|D)|(kpr)|(kdp)|(\|lc)|(penalty))" /e /r /s</v>
      </c>
      <c r="AG196" s="1" t="str">
        <f t="shared" si="107"/>
        <v>NW</v>
      </c>
      <c r="AH196" s="92" t="str">
        <f t="shared" si="82"/>
        <v>"%USERPROFILE%\Documents\GitHub\eaglep3\Utilities\RefineRTDCRunTimes.py" --tripid 841-19 --locoid 4031 --swversion DE.1.0.7.0 --startMP 204:993 --initTime 2016-10-19T19:15:44 --startdatetime 2016-10-19T19:21:24 --delay 1 --endMP 300:58984 --enddatetime 2016-10-19T19:35:27 --enforcementcount 0 &gt;&gt;C:\Users\stu\Documents\GitHub\eaglep3-reporting\EC\2016-10-19-refined-times.txt</v>
      </c>
      <c r="AI196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{"issue":{"subject":"","project_id":79,"tracker_id":40,"status_id":1,"priority_id":2,"assigned_to_id":23,"start_date":"2016-10-19","description":"","custom_fields":[{"id":1,"name":"Subdivision","value":"NW"},{"id":4,"name":"Milepost","value":"5.8984"},{"id":17,"name":"Train ID","value":"841-19"},{"id":16,"name":"Locomotive ID","value":"4031"},{"id":130,"name":"Impact","value":""},{"id":150,"name":"Time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635</v>
      </c>
      <c r="B197" s="7">
        <v>4032</v>
      </c>
      <c r="C197" s="22" t="s">
        <v>99</v>
      </c>
      <c r="D197" s="22" t="s">
        <v>754</v>
      </c>
      <c r="E197" s="13">
        <v>42662.860497685186</v>
      </c>
      <c r="F197" s="13">
        <v>42662.86215277778</v>
      </c>
      <c r="G197" s="7">
        <v>1</v>
      </c>
      <c r="H197" s="13" t="s">
        <v>755</v>
      </c>
      <c r="I197" s="13">
        <v>42662.871828703705</v>
      </c>
      <c r="J197" s="7">
        <v>0</v>
      </c>
      <c r="K197" s="112" t="str">
        <f t="shared" si="97"/>
        <v>4031/4032</v>
      </c>
      <c r="L197" s="22" t="str">
        <f>VLOOKUP(A197,'Trips&amp;Operators'!$C$1:$E$10000,3,FALSE)</f>
        <v>MOSES</v>
      </c>
      <c r="M197" s="6">
        <f t="shared" si="98"/>
        <v>9.6759259249665774E-3</v>
      </c>
      <c r="N197" s="7">
        <f t="shared" si="108"/>
        <v>13.933333331951872</v>
      </c>
      <c r="O197" s="7"/>
      <c r="P197" s="7"/>
      <c r="Q197" s="23"/>
      <c r="R197" s="23"/>
      <c r="S197" s="35">
        <f t="shared" si="99"/>
        <v>1</v>
      </c>
      <c r="T197" s="50" t="str">
        <f t="shared" si="100"/>
        <v>Southbound</v>
      </c>
      <c r="U197" s="18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19:39:07-0600',mode:absolute,to:'2016-10-19 21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7" s="52" t="str">
        <f t="shared" si="102"/>
        <v>N</v>
      </c>
      <c r="X197" s="174">
        <f t="shared" si="103"/>
        <v>1</v>
      </c>
      <c r="Y197" s="67">
        <f t="shared" si="104"/>
        <v>5.8659999999999997</v>
      </c>
      <c r="Z197" s="67">
        <f t="shared" si="109"/>
        <v>6.8000000000000005E-2</v>
      </c>
      <c r="AA197" s="67">
        <f t="shared" si="105"/>
        <v>5.798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06"/>
        <v>0842-19</v>
      </c>
      <c r="AE197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97" s="88" t="str">
        <f t="shared" si="81"/>
        <v>"C:\Program Files (x86)\AstroGrep\AstroGrep.exe" /spath="%USERPROFILE%\AppData\Local\Temp\OnboardLogs" /stypes="app*4032*20161020*" /stext=" 02:.+((SYSTEM_STATE.+slice.+state.+changed )|(ment ac)|(system.+state.+changed )|(\[timeout)|(PRM\|1\|D)|(kpr)|(kdp)|(\|lc)|(penalty))" /e /r /s</v>
      </c>
      <c r="AG197" s="1" t="str">
        <f t="shared" si="107"/>
        <v>NW</v>
      </c>
      <c r="AH197" s="92" t="str">
        <f t="shared" si="82"/>
        <v>"%USERPROFILE%\Documents\GitHub\eaglep3\Utilities\RefineRTDCRunTimes.py" --tripid 842-19 --locoid 4032 --swversion DE.1.0.7.0 --startMP 300:58660 --initTime 2016-10-19T20:39:07 --startdatetime 2016-10-19T20:41:30 --delay 1 --endMP 204:680 --enddatetime 2016-10-19T20:55:26 --enforcementcount 0 &gt;&gt;C:\Users\stu\Documents\GitHub\eaglep3-reporting\EC\2016-10-19-refined-times.txt</v>
      </c>
      <c r="AI197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{"issue":{"subject":"","project_id":79,"tracker_id":40,"status_id":1,"priority_id":2,"assigned_to_id":23,"start_date":"2016-10-19","description":"","custom_fields":[{"id":1,"name":"Subdivision","value":"NW"},{"id":4,"name":"Milepost","value":"0.068"},{"id":17,"name":"Train ID","value":"842-19"},{"id":16,"name":"Locomotive ID","value":"4032"},{"id":130,"name":"Impact","value":""},{"id":150,"name":"Time of Event (Mountain Time)","value":"20:55:26"},{"id":151,"name":"Denver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461</v>
      </c>
      <c r="B198" s="7">
        <v>4031</v>
      </c>
      <c r="C198" s="22" t="s">
        <v>99</v>
      </c>
      <c r="D198" s="22" t="s">
        <v>756</v>
      </c>
      <c r="E198" s="13">
        <v>42662.844652777778</v>
      </c>
      <c r="F198" s="13">
        <v>42662.848229166666</v>
      </c>
      <c r="G198" s="7">
        <v>1</v>
      </c>
      <c r="H198" s="13" t="s">
        <v>744</v>
      </c>
      <c r="I198" s="13">
        <v>42662.858067129629</v>
      </c>
      <c r="J198" s="7">
        <v>0</v>
      </c>
      <c r="K198" s="112" t="str">
        <f t="shared" si="97"/>
        <v>4031/4032</v>
      </c>
      <c r="L198" s="22" t="str">
        <f>VLOOKUP(A198,'Trips&amp;Operators'!$C$1:$E$10000,3,FALSE)</f>
        <v>MOSES</v>
      </c>
      <c r="M198" s="6">
        <f t="shared" si="98"/>
        <v>9.8379629635019228E-3</v>
      </c>
      <c r="N198" s="7">
        <f t="shared" si="108"/>
        <v>14.166666667442769</v>
      </c>
      <c r="O198" s="7"/>
      <c r="P198" s="7"/>
      <c r="Q198" s="23"/>
      <c r="R198" s="23"/>
      <c r="S198" s="35">
        <f t="shared" si="99"/>
        <v>1</v>
      </c>
      <c r="T198" s="50" t="str">
        <f t="shared" si="100"/>
        <v>NorthBound</v>
      </c>
      <c r="U198" s="18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19:16:18-0600',mode:absolute,to:'2016-10-19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8" s="52" t="str">
        <f t="shared" si="102"/>
        <v>N</v>
      </c>
      <c r="X198" s="174">
        <f t="shared" si="103"/>
        <v>1</v>
      </c>
      <c r="Y198" s="67">
        <f t="shared" si="104"/>
        <v>9.9199999999999997E-2</v>
      </c>
      <c r="Z198" s="67">
        <f t="shared" si="109"/>
        <v>5.8982000000000001</v>
      </c>
      <c r="AA198" s="67">
        <f t="shared" si="105"/>
        <v>5.7990000000000004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06"/>
        <v>0843-19</v>
      </c>
      <c r="AE198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198" s="88" t="str">
        <f t="shared" si="81"/>
        <v>"C:\Program Files (x86)\AstroGrep\AstroGrep.exe" /spath="%USERPROFILE%\AppData\Local\Temp\OnboardLogs" /stypes="app*4031*20161020*" /stext=" 02:.+((SYSTEM_STATE.+slice.+state.+changed )|(ment ac)|(system.+state.+changed )|(\[timeout)|(PRM\|1\|D)|(kpr)|(kdp)|(\|lc)|(penalty))" /e /r /s</v>
      </c>
      <c r="AG198" s="1" t="str">
        <f t="shared" si="107"/>
        <v>NW</v>
      </c>
      <c r="AH198" s="92" t="str">
        <f t="shared" si="82"/>
        <v>"%USERPROFILE%\Documents\GitHub\eaglep3\Utilities\RefineRTDCRunTimes.py" --tripid 843-19 --locoid 4031 --swversion DE.1.0.7.0 --startMP 204:992 --initTime 2016-10-19T20:16:18 --startdatetime 2016-10-19T20:21:27 --delay 1 --endMP 300:58982 --enddatetime 2016-10-19T20:35:37 --enforcementcount 0 &gt;&gt;C:\Users\stu\Documents\GitHub\eaglep3-reporting\EC\2016-10-19-refined-times.txt</v>
      </c>
      <c r="AI198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{"issue":{"subject":"","project_id":79,"tracker_id":40,"status_id":1,"priority_id":2,"assigned_to_id":23,"start_date":"2016-10-19","description":"","custom_fields":[{"id":1,"name":"Subdivision","value":"NW"},{"id":4,"name":"Milepost","value":"5.8982"},{"id":17,"name":"Train ID","value":"843-19"},{"id":16,"name":"Locomotive ID","value":"4031"},{"id":130,"name":"Impact","value":""},{"id":150,"name":"Time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639</v>
      </c>
      <c r="B199" s="7">
        <v>4032</v>
      </c>
      <c r="C199" s="22" t="s">
        <v>99</v>
      </c>
      <c r="D199" s="22" t="s">
        <v>352</v>
      </c>
      <c r="E199" s="13">
        <v>42662.90179398148</v>
      </c>
      <c r="F199" s="13">
        <v>42662.903495370374</v>
      </c>
      <c r="G199" s="7">
        <v>1</v>
      </c>
      <c r="H199" s="13" t="s">
        <v>757</v>
      </c>
      <c r="I199" s="13">
        <v>42662.9141087963</v>
      </c>
      <c r="J199" s="7">
        <v>0</v>
      </c>
      <c r="K199" s="112" t="str">
        <f t="shared" si="97"/>
        <v>4031/4032</v>
      </c>
      <c r="L199" s="22" t="str">
        <f>VLOOKUP(A199,'Trips&amp;Operators'!$C$1:$E$10000,3,FALSE)</f>
        <v>LEVERE</v>
      </c>
      <c r="M199" s="6">
        <f t="shared" si="98"/>
        <v>1.0613425925839692E-2</v>
      </c>
      <c r="N199" s="7">
        <f t="shared" si="108"/>
        <v>15.283333333209157</v>
      </c>
      <c r="O199" s="7"/>
      <c r="P199" s="7"/>
      <c r="Q199" s="23"/>
      <c r="R199" s="23"/>
      <c r="S199" s="35">
        <f t="shared" si="99"/>
        <v>1</v>
      </c>
      <c r="T199" s="50" t="str">
        <f t="shared" si="100"/>
        <v>Southbound</v>
      </c>
      <c r="U199" s="18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20:38:35-0600',mode:absolute,to:'2016-10-19 22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9" s="52" t="str">
        <f t="shared" si="102"/>
        <v>N</v>
      </c>
      <c r="X199" s="174">
        <f t="shared" si="103"/>
        <v>1</v>
      </c>
      <c r="Y199" s="67">
        <f t="shared" si="104"/>
        <v>5.8640999999999996</v>
      </c>
      <c r="Z199" s="67">
        <f t="shared" si="109"/>
        <v>6.8699999999999997E-2</v>
      </c>
      <c r="AA199" s="67">
        <f t="shared" si="105"/>
        <v>5.7953999999999999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06"/>
        <v>0844-19</v>
      </c>
      <c r="AE199" s="91" t="str">
        <f t="shared" si="8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199" s="88" t="str">
        <f t="shared" si="81"/>
        <v>"C:\Program Files (x86)\AstroGrep\AstroGrep.exe" /spath="%USERPROFILE%\AppData\Local\Temp\OnboardLogs" /stypes="app*4032*20161020*" /stext=" 03:.+((SYSTEM_STATE.+slice.+state.+changed )|(ment ac)|(system.+state.+changed )|(\[timeout)|(PRM\|1\|D)|(kpr)|(kdp)|(\|lc)|(penalty))" /e /r /s</v>
      </c>
      <c r="AG199" s="1" t="str">
        <f t="shared" si="107"/>
        <v>NW</v>
      </c>
      <c r="AH199" s="92" t="str">
        <f t="shared" si="82"/>
        <v>"%USERPROFILE%\Documents\GitHub\eaglep3\Utilities\RefineRTDCRunTimes.py" --tripid 844-19 --locoid 4032 --swversion DE.1.0.7.0 --startMP 300:58641 --initTime 2016-10-19T21:38:35 --startdatetime 2016-10-19T21:41:02 --delay 1 --endMP 204:687 --enddatetime 2016-10-19T21:56:19 --enforcementcount 0 &gt;&gt;C:\Users\stu\Documents\GitHub\eaglep3-reporting\EC\2016-10-19-refined-times.txt</v>
      </c>
      <c r="AI199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{"issue":{"subject":"","project_id":79,"tracker_id":40,"status_id":1,"priority_id":2,"assigned_to_id":23,"start_date":"2016-10-19","description":"","custom_fields":[{"id":1,"name":"Subdivision","value":"NW"},{"id":4,"name":"Milepost","value":"0.0687"},{"id":17,"name":"Train ID","value":"844-19"},{"id":16,"name":"Locomotive ID","value":"4032"},{"id":130,"name":"Impact","value":""},{"id":150,"name":"Time of Event (Mountain Time)","value":"21:56:19"},{"id":151,"name":"Denver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462</v>
      </c>
      <c r="B200" s="7">
        <v>4031</v>
      </c>
      <c r="C200" s="22" t="s">
        <v>99</v>
      </c>
      <c r="D200" s="22" t="s">
        <v>732</v>
      </c>
      <c r="E200" s="13">
        <v>42662.879432870373</v>
      </c>
      <c r="F200" s="13">
        <v>42662.889791666668</v>
      </c>
      <c r="G200" s="7">
        <v>1</v>
      </c>
      <c r="H200" s="13" t="s">
        <v>758</v>
      </c>
      <c r="I200" s="13">
        <v>42662.900636574072</v>
      </c>
      <c r="J200" s="7">
        <v>0</v>
      </c>
      <c r="K200" s="112" t="str">
        <f t="shared" si="97"/>
        <v>4031/4032</v>
      </c>
      <c r="L200" s="22" t="str">
        <f>VLOOKUP(A200,'Trips&amp;Operators'!$C$1:$E$10000,3,FALSE)</f>
        <v>LEVERE</v>
      </c>
      <c r="M200" s="6">
        <f t="shared" si="98"/>
        <v>1.0844907403225079E-2</v>
      </c>
      <c r="N200" s="7">
        <f t="shared" si="108"/>
        <v>15.616666660644114</v>
      </c>
      <c r="O200" s="7"/>
      <c r="P200" s="7"/>
      <c r="Q200" s="23"/>
      <c r="R200" s="23"/>
      <c r="S200" s="35">
        <f t="shared" si="99"/>
        <v>1</v>
      </c>
      <c r="T200" s="50" t="str">
        <f t="shared" si="100"/>
        <v>NorthBound</v>
      </c>
      <c r="U200" s="18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20:06:23-0600',mode:absolute,to:'2016-10-19 22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0" s="52" t="str">
        <f t="shared" si="102"/>
        <v>N</v>
      </c>
      <c r="X200" s="174">
        <f t="shared" si="103"/>
        <v>1</v>
      </c>
      <c r="Y200" s="67">
        <f t="shared" si="104"/>
        <v>9.7600000000000006E-2</v>
      </c>
      <c r="Z200" s="67">
        <f t="shared" si="109"/>
        <v>5.8959999999999999</v>
      </c>
      <c r="AA200" s="67">
        <f t="shared" si="105"/>
        <v>5.7984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06"/>
        <v>0845-19</v>
      </c>
      <c r="AE200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200" s="88" t="str">
        <f t="shared" si="81"/>
        <v>"C:\Program Files (x86)\AstroGrep\AstroGrep.exe" /spath="%USERPROFILE%\AppData\Local\Temp\OnboardLogs" /stypes="app*4031*20161020*" /stext=" 03:.+((SYSTEM_STATE.+slice.+state.+changed )|(ment ac)|(system.+state.+changed )|(\[timeout)|(PRM\|1\|D)|(kpr)|(kdp)|(\|lc)|(penalty))" /e /r /s</v>
      </c>
      <c r="AG200" s="1" t="str">
        <f t="shared" si="107"/>
        <v>NW</v>
      </c>
      <c r="AH200" s="92" t="str">
        <f t="shared" si="82"/>
        <v>"%USERPROFILE%\Documents\GitHub\eaglep3\Utilities\RefineRTDCRunTimes.py" --tripid 845-19 --locoid 4031 --swversion DE.1.0.7.0 --startMP 204:976 --initTime 2016-10-19T21:06:23 --startdatetime 2016-10-19T21:21:18 --delay 1 --endMP 300:58960 --enddatetime 2016-10-19T21:36:55 --enforcementcount 0 &gt;&gt;C:\Users\stu\Documents\GitHub\eaglep3-reporting\EC\2016-10-19-refined-times.txt</v>
      </c>
      <c r="AI200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{"issue":{"subject":"","project_id":79,"tracker_id":40,"status_id":1,"priority_id":2,"assigned_to_id":23,"start_date":"2016-10-19","description":"","custom_fields":[{"id":1,"name":"Subdivision","value":"NW"},{"id":4,"name":"Milepost","value":"5.896"},{"id":17,"name":"Train ID","value":"845-19"},{"id":16,"name":"Locomotive ID","value":"4031"},{"id":130,"name":"Impact","value":""},{"id":150,"name":"Time of Event (Mountain Time)","value":"21:36:55"},{"id":151,"name":"Denver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643</v>
      </c>
      <c r="B201" s="7">
        <v>4031</v>
      </c>
      <c r="C201" s="22" t="s">
        <v>99</v>
      </c>
      <c r="D201" s="22" t="s">
        <v>348</v>
      </c>
      <c r="E201" s="13">
        <v>42662.92596064815</v>
      </c>
      <c r="F201" s="13">
        <v>42662.931504629632</v>
      </c>
      <c r="G201" s="7">
        <v>1</v>
      </c>
      <c r="H201" s="13" t="s">
        <v>759</v>
      </c>
      <c r="I201" s="13">
        <v>42662.943078703705</v>
      </c>
      <c r="J201" s="7">
        <v>0</v>
      </c>
      <c r="K201" s="112" t="str">
        <f t="shared" si="97"/>
        <v>4031/4032</v>
      </c>
      <c r="L201" s="22" t="str">
        <f>VLOOKUP(A201,'Trips&amp;Operators'!$C$1:$E$10000,3,FALSE)</f>
        <v>LEVERE</v>
      </c>
      <c r="M201" s="6">
        <f t="shared" si="98"/>
        <v>1.1574074072996154E-2</v>
      </c>
      <c r="N201" s="7">
        <f t="shared" si="108"/>
        <v>16.666666665114462</v>
      </c>
      <c r="O201" s="7"/>
      <c r="P201" s="7"/>
      <c r="Q201" s="23"/>
      <c r="R201" s="23"/>
      <c r="S201" s="35">
        <f t="shared" si="99"/>
        <v>1</v>
      </c>
      <c r="T201" s="50" t="str">
        <f t="shared" si="100"/>
        <v>NorthBound</v>
      </c>
      <c r="U201" s="18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21:13:23-0600',mode:absolute,to:'2016-10-19 23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1" s="52" t="str">
        <f t="shared" si="102"/>
        <v>N</v>
      </c>
      <c r="X201" s="174">
        <f t="shared" si="103"/>
        <v>2</v>
      </c>
      <c r="Y201" s="67">
        <f t="shared" si="104"/>
        <v>9.7900000000000001E-2</v>
      </c>
      <c r="Z201" s="67">
        <f t="shared" si="109"/>
        <v>5.8943000000000003</v>
      </c>
      <c r="AA201" s="67">
        <f t="shared" si="105"/>
        <v>5.7964000000000002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06"/>
        <v>0847-19</v>
      </c>
      <c r="AE201" s="91" t="str">
        <f t="shared" si="80"/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AF201" s="88" t="str">
        <f t="shared" si="81"/>
        <v>"C:\Program Files (x86)\AstroGrep\AstroGrep.exe" /spath="%USERPROFILE%\AppData\Local\Temp\OnboardLogs" /stypes="app*4031*20161020*" /stext=" 04:.+((SYSTEM_STATE.+slice.+state.+changed )|(ment ac)|(system.+state.+changed )|(\[timeout)|(PRM\|1\|D)|(kpr)|(kdp)|(\|lc)|(penalty))" /e /r /s</v>
      </c>
      <c r="AG201" s="1" t="str">
        <f t="shared" si="107"/>
        <v>NW</v>
      </c>
      <c r="AH201" s="92" t="str">
        <f t="shared" si="82"/>
        <v>"%USERPROFILE%\Documents\GitHub\eaglep3\Utilities\RefineRTDCRunTimes.py" --tripid 847-19 --locoid 4031 --swversion DE.1.0.7.0 --startMP 204:979 --initTime 2016-10-19T22:13:23 --startdatetime 2016-10-19T22:21:22 --delay 1 --endMP 300:58943 --enddatetime 2016-10-19T22:38:02 --enforcementcount 0 &gt;&gt;C:\Users\stu\Documents\GitHub\eaglep3-reporting\EC\2016-10-19-refined-times.txt</v>
      </c>
      <c r="AI201" s="122" t="str">
        <f t="shared" si="83"/>
        <v>echo {"issue":{"subject":"","project_id":79,"tracker_id":40,"status_id":1,"priority_id":2,"assigned_to_id":23,"start_date":"2016-10-19","description":"","custom_fields":[{"id":1,"name":"Subdivision","value":"NW"},{"id":4,"name":"Milepost","value":"5.8943"},{"id":17,"name":"Train ID","value":"847-19"},{"id":16,"name":"Locomotive ID","value":"4031"},{"id":130,"name":"Impact","value":""},{"id":150,"name":"Time of Event (Mountain Time)","value":"22:38:02"},{"id":151,"name":"Denver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621</v>
      </c>
      <c r="B202" s="7">
        <v>4040</v>
      </c>
      <c r="C202" s="22" t="s">
        <v>99</v>
      </c>
      <c r="D202" s="22" t="s">
        <v>233</v>
      </c>
      <c r="E202" s="13">
        <v>42662.781284722223</v>
      </c>
      <c r="F202" s="13">
        <v>25568.708333333332</v>
      </c>
      <c r="G202" s="7">
        <v>1</v>
      </c>
      <c r="H202" s="13" t="s">
        <v>338</v>
      </c>
      <c r="I202" s="13">
        <v>25568.708333333332</v>
      </c>
      <c r="J202" s="7">
        <v>0</v>
      </c>
      <c r="K202" s="112" t="str">
        <f t="shared" si="97"/>
        <v>4039/4040</v>
      </c>
      <c r="L202" s="22" t="str">
        <f>VLOOKUP(A202,'Trips&amp;Operators'!$C$1:$E$10000,3,FALSE)</f>
        <v>ARVIDSON</v>
      </c>
      <c r="M202" s="6">
        <f t="shared" si="98"/>
        <v>0</v>
      </c>
      <c r="N202" s="7">
        <f t="shared" si="108"/>
        <v>0</v>
      </c>
      <c r="O202" s="7"/>
      <c r="P202" s="7"/>
      <c r="Q202" s="23"/>
      <c r="R202" s="23"/>
      <c r="S202" s="35">
        <f t="shared" si="99"/>
        <v>1</v>
      </c>
      <c r="T202" s="50" t="str">
        <f t="shared" si="100"/>
        <v>NorthBound</v>
      </c>
      <c r="U202" s="18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17:45:03-0600',mode:absolute,to:'1969-12-31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102"/>
        <v>Y</v>
      </c>
      <c r="X202" s="174">
        <f t="shared" si="103"/>
        <v>-544</v>
      </c>
      <c r="Y202" s="67">
        <f t="shared" si="104"/>
        <v>4.53E-2</v>
      </c>
      <c r="Z202" s="67">
        <f t="shared" si="109"/>
        <v>2.3304</v>
      </c>
      <c r="AA202" s="67">
        <f t="shared" si="105"/>
        <v>2.2850999999999999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06"/>
        <v>0303-19</v>
      </c>
      <c r="AE202" s="91" t="str">
        <f t="shared" si="80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2" s="88" t="str">
        <f t="shared" si="81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2" s="1" t="str">
        <f t="shared" si="107"/>
        <v>Other</v>
      </c>
      <c r="AH202" s="92" t="str">
        <f t="shared" si="82"/>
        <v>"%USERPROFILE%\Documents\GitHub\eaglep3\Utilities\RefineRTDCRunTimes.py" --tripid 303-19 --locoid 4040 --swversion DE.1.0.7.0 --startMP 204:453 --initTime 2016-10-19T18:45:03 --startdatetime 1969-12-31T17:00:00 --delay 1 --endMP 300:23304 --enddatetime 1969-12-31T17:00:00 --enforcementcount 0 &gt;&gt;C:\Users\stu\Documents\GitHub\eaglep3-reporting\EC\2016-10-19-refined-times.txt</v>
      </c>
      <c r="AI202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ID","value":"303-19"},{"id":16,"name":"Locomotive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630</v>
      </c>
      <c r="B203" s="7">
        <v>4042</v>
      </c>
      <c r="C203" s="22" t="s">
        <v>99</v>
      </c>
      <c r="D203" s="22" t="s">
        <v>274</v>
      </c>
      <c r="E203" s="13">
        <v>42662.818530092591</v>
      </c>
      <c r="F203" s="13">
        <v>25568.708333333332</v>
      </c>
      <c r="G203" s="7">
        <v>2</v>
      </c>
      <c r="H203" s="13" t="s">
        <v>423</v>
      </c>
      <c r="I203" s="13">
        <v>25568.708333333332</v>
      </c>
      <c r="J203" s="7">
        <v>0</v>
      </c>
      <c r="K203" s="112" t="str">
        <f t="shared" si="97"/>
        <v>4041/4042</v>
      </c>
      <c r="L203" s="22" t="str">
        <f>VLOOKUP(A203,'Trips&amp;Operators'!$C$1:$E$10000,3,FALSE)</f>
        <v>STORY</v>
      </c>
      <c r="M203" s="6">
        <f t="shared" si="98"/>
        <v>0</v>
      </c>
      <c r="N203" s="7">
        <f t="shared" si="108"/>
        <v>0</v>
      </c>
      <c r="O203" s="7"/>
      <c r="P203" s="7"/>
      <c r="Q203" s="23"/>
      <c r="R203" s="23"/>
      <c r="S203" s="35">
        <f t="shared" si="99"/>
        <v>1</v>
      </c>
      <c r="T203" s="50" t="str">
        <f t="shared" si="100"/>
        <v>NorthBound</v>
      </c>
      <c r="U203" s="18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18:38:41-0600',mode:absolute,to:'1969-12-31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3" s="52" t="str">
        <f t="shared" si="102"/>
        <v>Y</v>
      </c>
      <c r="X203" s="174">
        <f t="shared" si="103"/>
        <v>4</v>
      </c>
      <c r="Y203" s="67">
        <f t="shared" si="104"/>
        <v>4.7500000000000001E-2</v>
      </c>
      <c r="Z203" s="67">
        <f t="shared" si="109"/>
        <v>2.3300999999999998</v>
      </c>
      <c r="AA203" s="67">
        <f t="shared" si="105"/>
        <v>2.2826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06"/>
        <v>0307-19</v>
      </c>
      <c r="AE203" s="91" t="str">
        <f t="shared" si="80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3" s="88" t="str">
        <f t="shared" si="81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3" s="1" t="str">
        <f t="shared" si="107"/>
        <v>Other</v>
      </c>
      <c r="AH203" s="92" t="str">
        <f t="shared" si="82"/>
        <v>"%USERPROFILE%\Documents\GitHub\eaglep3\Utilities\RefineRTDCRunTimes.py" --tripid 307-19 --locoid 4042 --swversion DE.1.0.7.0 --startMP 204:475 --initTime 2016-10-19T19:38:41 --startdatetime 1969-12-31T17:00:00 --delay 2 --endMP 300:23301 --enddatetime 1969-12-31T17:00:00 --enforcementcount 0 &gt;&gt;C:\Users\stu\Documents\GitHub\eaglep3-reporting\EC\2016-10-19-refined-times.txt</v>
      </c>
      <c r="AI203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ID","value":"307-19"},{"id":16,"name":"Locomotive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653</v>
      </c>
      <c r="B204" s="7">
        <v>4046</v>
      </c>
      <c r="C204" s="22" t="s">
        <v>99</v>
      </c>
      <c r="D204" s="22" t="s">
        <v>713</v>
      </c>
      <c r="E204" s="13">
        <v>42663.051990740743</v>
      </c>
      <c r="F204" s="13">
        <v>42663.054907407408</v>
      </c>
      <c r="G204" s="7">
        <v>2</v>
      </c>
      <c r="H204" s="13" t="s">
        <v>714</v>
      </c>
      <c r="I204" s="13">
        <v>42663.063252314816</v>
      </c>
      <c r="J204" s="7">
        <v>0</v>
      </c>
      <c r="K204" s="112" t="str">
        <f t="shared" si="97"/>
        <v>4045/4046</v>
      </c>
      <c r="L204" s="22" t="str">
        <f>VLOOKUP(A204,'Trips&amp;Operators'!$C$1:$E$10000,3,FALSE)</f>
        <v>STURGEON</v>
      </c>
      <c r="M204" s="6">
        <f t="shared" si="98"/>
        <v>8.3449074081727304E-3</v>
      </c>
      <c r="N204" s="7">
        <f t="shared" si="108"/>
        <v>12.016666667768732</v>
      </c>
      <c r="O204" s="7"/>
      <c r="P204" s="7"/>
      <c r="Q204" s="23"/>
      <c r="R204" s="23"/>
      <c r="S204" s="35">
        <f t="shared" si="99"/>
        <v>1</v>
      </c>
      <c r="T204" s="50" t="str">
        <f t="shared" si="100"/>
        <v>NorthBound</v>
      </c>
      <c r="U204" s="18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https://search-rtdc-monitor-bjffxe2xuh6vdkpspy63sjmuny.us-east-1.es.amazonaws.com/_plugin/kibana/#/discover/Steve-Slow-Train-Analysis-(2080s-and-2083s)?_g=(refreshInterval:(display:Off,section:0,value:0),time:(from:'2016-10-20 00:14:52-0600',mode:absolute,to:'2016-10-20 02:31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4" s="52" t="str">
        <f t="shared" si="102"/>
        <v>Y</v>
      </c>
      <c r="X204" s="174">
        <f t="shared" si="103"/>
        <v>2</v>
      </c>
      <c r="Y204" s="67">
        <f t="shared" si="104"/>
        <v>7.3400000000000007E-2</v>
      </c>
      <c r="Z204" s="67">
        <f t="shared" si="109"/>
        <v>2.3308</v>
      </c>
      <c r="AA204" s="67">
        <f t="shared" si="105"/>
        <v>2.2574000000000001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06"/>
        <v>0309-19</v>
      </c>
      <c r="AE204" s="91" t="str">
        <f t="shared" si="80"/>
        <v>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 &amp; aws s3 cp s3://rtdc.mdm.uploadarchive.raw/RTDC4046/ "%USERPROFILE%\AppData\Local\Temp\OnboardLogs"\RTDC4046\2016-10-21 --exclude "*" --recursive --include "*20161021*" &amp; "%USERPROFILE%\Documents\GitHub\mrs-test-scripts\Headless Mode &amp; Sideloading\WalkAndUnGZ.bat" "%USERPROFILE%\AppData\Local\Temp\OnboardLogs"\RTDC4046\2016-10-21</v>
      </c>
      <c r="AF204" s="88" t="str">
        <f t="shared" si="81"/>
        <v>"C:\Program Files (x86)\AstroGrep\AstroGrep.exe" /spath="%USERPROFILE%\AppData\Local\Temp\OnboardLogs" /stypes="app*4046*20161020*" /stext=" 07:.+((SYSTEM_STATE.+slice.+state.+changed )|(ment ac)|(system.+state.+changed )|(\[timeout)|(PRM\|1\|D)|(kpr)|(kdp)|(\|lc)|(penalty))" /e /r /s</v>
      </c>
      <c r="AG204" s="1" t="str">
        <f t="shared" si="107"/>
        <v>Other</v>
      </c>
      <c r="AH204" s="92" t="str">
        <f t="shared" si="82"/>
        <v>"%USERPROFILE%\Documents\GitHub\eaglep3\Utilities\RefineRTDCRunTimes.py" --tripid 309-19 --locoid 4046 --swversion DE.1.0.7.0 --startMP 204:734 --initTime 2016-10-20T01:14:52 --startdatetime 2016-10-20T01:19:04 --delay 2 --endMP 300:23308 --enddatetime 2016-10-20T01:31:05 --enforcementcount 0 &gt;&gt;C:\Users\stu\Documents\GitHub\eaglep3-reporting\EC\2016-10-19-refined-times.txt</v>
      </c>
      <c r="AI204" s="122" t="str">
        <f t="shared" si="83"/>
        <v>echo {"issue":{"subject":"","project_id":79,"tracker_id":40,"status_id":1,"priority_id":2,"assigned_to_id":23,"start_date":"2016-10-20","description":"","custom_fields":[{"id":1,"name":"Subdivision","value":"Other"},{"id":4,"name":"Milepost","value":"2.3308"},{"id":17,"name":"Train ID","value":"309-19"},{"id":16,"name":"Locomotive ID","value":"4046"},{"id":130,"name":"Impact","value":""},{"id":150,"name":"Time of Event (Mountain Time)","value":"01:31:05"},{"id":151,"name":"Denver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405</v>
      </c>
      <c r="B205" s="7">
        <v>4016</v>
      </c>
      <c r="C205" s="22" t="s">
        <v>99</v>
      </c>
      <c r="D205" s="22" t="s">
        <v>284</v>
      </c>
      <c r="E205" s="13">
        <v>42662.089930555558</v>
      </c>
      <c r="F205" s="13">
        <v>25568.708333333332</v>
      </c>
      <c r="G205" s="7">
        <v>2</v>
      </c>
      <c r="H205" s="13" t="s">
        <v>422</v>
      </c>
      <c r="I205" s="13">
        <v>25568.708333333332</v>
      </c>
      <c r="J205" s="7">
        <v>0</v>
      </c>
      <c r="K205" s="112" t="str">
        <f t="shared" si="97"/>
        <v>4015/4016</v>
      </c>
      <c r="L205" s="22" t="str">
        <f>VLOOKUP(A205,'Trips&amp;Operators'!$C$1:$E$10000,3,FALSE)</f>
        <v>BERLING</v>
      </c>
      <c r="M205" s="6">
        <f t="shared" si="98"/>
        <v>0</v>
      </c>
      <c r="N205" s="7">
        <f t="shared" si="108"/>
        <v>0</v>
      </c>
      <c r="O205" s="7"/>
      <c r="P205" s="7"/>
      <c r="Q205" s="23"/>
      <c r="R205" s="23"/>
      <c r="S205" s="35">
        <f t="shared" si="99"/>
        <v>1</v>
      </c>
      <c r="T205" s="50" t="str">
        <f t="shared" si="100"/>
        <v>NorthBound</v>
      </c>
      <c r="U205" s="18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01:09:30-0600',mode:absolute,to:'1969-12-31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5" s="52" t="str">
        <f t="shared" si="102"/>
        <v>Y</v>
      </c>
      <c r="X205" s="174">
        <f t="shared" si="103"/>
        <v>6</v>
      </c>
      <c r="Y205" s="67">
        <f t="shared" si="104"/>
        <v>4.4400000000000002E-2</v>
      </c>
      <c r="Z205" s="67">
        <f t="shared" si="109"/>
        <v>2.3218999999999999</v>
      </c>
      <c r="AA205" s="67">
        <f t="shared" si="105"/>
        <v>2.2774999999999999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06"/>
        <v>0315-18</v>
      </c>
      <c r="AE205" s="91" t="str">
        <f t="shared" ref="AE205:AE213" si="11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5" s="88" t="str">
        <f t="shared" ref="AF205:AF213" si="11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05" s="1" t="str">
        <f t="shared" si="107"/>
        <v>Other</v>
      </c>
      <c r="AH205" s="92" t="str">
        <f t="shared" si="82"/>
        <v>"%USERPROFILE%\Documents\GitHub\eaglep3\Utilities\RefineRTDCRunTimes.py" --tripid 315-18 --locoid 4016 --swversion DE.1.0.7.0 --startMP 204:444 --initTime 2016-10-19T02:09:30 --startdatetime 1969-12-31T17:00:00 --delay 2 --endMP 300:23219 --enddatetime 1969-12-31T17:00:00 --enforcementcount 0 &gt;&gt;C:\Users\stu\Documents\GitHub\eaglep3-reporting\EC\2016-10-19-refined-times.txt</v>
      </c>
      <c r="AI205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{"issue":{"subject":"","project_id":79,"tracker_id":40,"status_id":1,"priority_id":2,"assigned_to_id":23,"start_date":"1969-12-31","description":"","custom_fields":[{"id":1,"name":"Subdivision","value":"Other"},{"id":4,"name":"Milepost","value":"2.3219"},{"id":17,"name":"Train ID","value":"315-18"},{"id":16,"name":"Locomotive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509</v>
      </c>
      <c r="B206" s="7">
        <v>4053</v>
      </c>
      <c r="C206" s="22" t="s">
        <v>99</v>
      </c>
      <c r="D206" s="22" t="s">
        <v>719</v>
      </c>
      <c r="E206" s="13">
        <v>42662.353877314818</v>
      </c>
      <c r="F206" s="13">
        <v>25568.708333333332</v>
      </c>
      <c r="G206" s="7">
        <v>1</v>
      </c>
      <c r="H206" s="13" t="s">
        <v>760</v>
      </c>
      <c r="I206" s="13">
        <v>25568.708333333332</v>
      </c>
      <c r="J206" s="7">
        <v>0</v>
      </c>
      <c r="K206" s="112" t="str">
        <f t="shared" si="97"/>
        <v>4053/4054</v>
      </c>
      <c r="L206" s="22" t="str">
        <f>VLOOKUP(A206,'Trips&amp;Operators'!$C$1:$E$10000,3,FALSE)</f>
        <v>STARKS</v>
      </c>
      <c r="M206" s="6">
        <f t="shared" si="98"/>
        <v>0</v>
      </c>
      <c r="N206" s="7">
        <f t="shared" si="108"/>
        <v>0</v>
      </c>
      <c r="O206" s="7"/>
      <c r="P206" s="7"/>
      <c r="Q206" s="23"/>
      <c r="R206" s="23"/>
      <c r="S206" s="35">
        <f t="shared" si="99"/>
        <v>1</v>
      </c>
      <c r="T206" s="50" t="str">
        <f t="shared" si="100"/>
        <v>NorthBound</v>
      </c>
      <c r="U206" s="18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07:29:35-0600',mode:absolute,to:'1969-12-31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6" s="52" t="str">
        <f t="shared" si="102"/>
        <v>Y</v>
      </c>
      <c r="X206" s="174">
        <f t="shared" si="103"/>
        <v>588</v>
      </c>
      <c r="Y206" s="67">
        <f t="shared" si="104"/>
        <v>9.9900000000000003E-2</v>
      </c>
      <c r="Z206" s="67">
        <f t="shared" si="109"/>
        <v>2.4226000000000001</v>
      </c>
      <c r="AA206" s="67">
        <f t="shared" si="105"/>
        <v>2.3227000000000002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06"/>
        <v>0903-19</v>
      </c>
      <c r="AE206" s="91" t="str">
        <f t="shared" si="110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6" s="88" t="str">
        <f t="shared" si="111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6" s="1" t="str">
        <f t="shared" si="107"/>
        <v>Other</v>
      </c>
      <c r="AH206" s="92" t="str">
        <f t="shared" si="82"/>
        <v>"%USERPROFILE%\Documents\GitHub\eaglep3\Utilities\RefineRTDCRunTimes.py" --tripid 903-19 --locoid 4053 --swversion DE.1.0.7.0 --startMP 204:999 --initTime 2016-10-19T08:29:35 --startdatetime 1969-12-31T17:00:00 --delay 1 --endMP 300:24226 --enddatetime 1969-12-31T17:00:00 --enforcementcount 0 &gt;&gt;C:\Users\stu\Documents\GitHub\eaglep3-reporting\EC\2016-10-19-refined-times.txt</v>
      </c>
      <c r="AI206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ID","value":"903-19"},{"id":16,"name":"Locomotive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s="21" customFormat="1" x14ac:dyDescent="0.25">
      <c r="A207" s="37" t="s">
        <v>456</v>
      </c>
      <c r="B207" s="7">
        <v>4054</v>
      </c>
      <c r="C207" s="22" t="s">
        <v>99</v>
      </c>
      <c r="D207" s="22" t="s">
        <v>761</v>
      </c>
      <c r="E207" s="13">
        <v>42662.643912037034</v>
      </c>
      <c r="F207" s="13">
        <v>42662.645150462966</v>
      </c>
      <c r="G207" s="7">
        <v>1</v>
      </c>
      <c r="H207" s="13" t="s">
        <v>762</v>
      </c>
      <c r="I207" s="13">
        <v>42662.651134259257</v>
      </c>
      <c r="J207" s="7">
        <v>0</v>
      </c>
      <c r="K207" s="112" t="str">
        <f t="shared" si="97"/>
        <v>4053/4054</v>
      </c>
      <c r="L207" s="22" t="str">
        <f>VLOOKUP(A207,'Trips&amp;Operators'!$C$1:$E$10000,3,FALSE)</f>
        <v>LEVERE</v>
      </c>
      <c r="M207" s="6">
        <f t="shared" si="98"/>
        <v>5.9837962908204645E-3</v>
      </c>
      <c r="N207" s="7">
        <f t="shared" si="108"/>
        <v>8.6166666587814689</v>
      </c>
      <c r="O207" s="7"/>
      <c r="P207" s="7"/>
      <c r="Q207" s="23"/>
      <c r="R207" s="23"/>
      <c r="S207" s="35">
        <f t="shared" si="99"/>
        <v>1</v>
      </c>
      <c r="T207" s="50" t="str">
        <f t="shared" si="100"/>
        <v>Southbound</v>
      </c>
      <c r="U207" s="18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14:27:14-0600',mode:absolute,to:'2016-10-19 16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7" s="52" t="str">
        <f t="shared" si="102"/>
        <v>Y</v>
      </c>
      <c r="X207" s="174">
        <f t="shared" si="103"/>
        <v>1</v>
      </c>
      <c r="Y207" s="67">
        <f t="shared" si="104"/>
        <v>2.3275000000000001</v>
      </c>
      <c r="Z207" s="67">
        <f t="shared" si="109"/>
        <v>8.2900000000000001E-2</v>
      </c>
      <c r="AA207" s="67">
        <f t="shared" si="105"/>
        <v>2.2446000000000002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06"/>
        <v>0904-19</v>
      </c>
      <c r="AE207" s="91" t="str">
        <f t="shared" si="11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207" s="88" t="str">
        <f t="shared" si="111"/>
        <v>"C:\Program Files (x86)\AstroGrep\AstroGrep.exe" /spath="%USERPROFILE%\AppData\Local\Temp\OnboardLogs" /stypes="app*4054*20161019*" /stext=" 21:.+((SYSTEM_STATE.+slice.+state.+changed )|(ment ac)|(system.+state.+changed )|(\[timeout)|(PRM\|1\|D)|(kpr)|(kdp)|(\|lc)|(penalty))" /e /r /s</v>
      </c>
      <c r="AG207" s="1" t="str">
        <f t="shared" si="107"/>
        <v>Other</v>
      </c>
      <c r="AH207" s="92" t="str">
        <f t="shared" si="82"/>
        <v>"%USERPROFILE%\Documents\GitHub\eaglep3\Utilities\RefineRTDCRunTimes.py" --tripid 904-19 --locoid 4054 --swversion DE.1.0.7.0 --startMP 300:23275 --initTime 2016-10-19T15:27:14 --startdatetime 2016-10-19T15:29:01 --delay 1 --endMP 204:829 --enddatetime 2016-10-19T15:37:38 --enforcementcount 0 &gt;&gt;C:\Users\stu\Documents\GitHub\eaglep3-reporting\EC\2016-10-19-refined-times.txt</v>
      </c>
      <c r="AI207" s="122" t="str">
        <f t="shared" si="83"/>
        <v>echo {"issue":{"subject":"","project_id":79,"tracker_id":40,"status_id":1,"priority_id":2,"assigned_to_id":23,"start_date":"2016-10-19","description":"","custom_fields":[{"id":1,"name":"Subdivision","value":"Other"},{"id":4,"name":"Milepost","value":"0.0829"},{"id":17,"name":"Train ID","value":"904-19"},{"id":16,"name":"Locomotive ID","value":"4054"},{"id":130,"name":"Impact","value":""},{"id":150,"name":"Time of Event (Mountain Time)","value":"15:37:38"},{"id":151,"name":"Denver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624</v>
      </c>
      <c r="B208" s="7">
        <v>4054</v>
      </c>
      <c r="C208" s="22" t="s">
        <v>99</v>
      </c>
      <c r="D208" s="22" t="s">
        <v>346</v>
      </c>
      <c r="E208" s="13">
        <v>42662.798402777778</v>
      </c>
      <c r="F208" s="13">
        <v>42662.799687500003</v>
      </c>
      <c r="G208" s="7">
        <v>0</v>
      </c>
      <c r="H208" s="13" t="s">
        <v>763</v>
      </c>
      <c r="I208" s="13">
        <v>42662.805185185185</v>
      </c>
      <c r="J208" s="7">
        <v>0</v>
      </c>
      <c r="K208" s="112" t="str">
        <f t="shared" si="97"/>
        <v>4053/4054</v>
      </c>
      <c r="L208" s="22" t="str">
        <f>VLOOKUP(A208,'Trips&amp;Operators'!$C$1:$E$10000,3,FALSE)</f>
        <v>LEVERE</v>
      </c>
      <c r="M208" s="6">
        <f t="shared" si="98"/>
        <v>5.4976851824903861E-3</v>
      </c>
      <c r="N208" s="7">
        <f t="shared" si="108"/>
        <v>7.9166666627861559</v>
      </c>
      <c r="O208" s="7"/>
      <c r="P208" s="7"/>
      <c r="Q208" s="23"/>
      <c r="R208" s="23"/>
      <c r="S208" s="35">
        <f t="shared" si="99"/>
        <v>0</v>
      </c>
      <c r="T208" s="50" t="str">
        <f t="shared" si="100"/>
        <v>Southbound</v>
      </c>
      <c r="U208" s="18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18:09:42-0600',mode:absolute,to:'2016-10-19 20:19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8" s="52" t="str">
        <f t="shared" si="102"/>
        <v>Y</v>
      </c>
      <c r="X208" s="174">
        <f t="shared" si="103"/>
        <v>2</v>
      </c>
      <c r="Y208" s="67">
        <f t="shared" si="104"/>
        <v>5.8635999999999999</v>
      </c>
      <c r="Z208" s="67">
        <f t="shared" si="109"/>
        <v>2.9121000000000001</v>
      </c>
      <c r="AA208" s="67">
        <f t="shared" si="105"/>
        <v>2.9514999999999998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06"/>
        <v>0906-19</v>
      </c>
      <c r="AE208" s="91" t="str">
        <f t="shared" si="110"/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AF208" s="88" t="str">
        <f t="shared" si="111"/>
        <v>"C:\Program Files (x86)\AstroGrep\AstroGrep.exe" /spath="%USERPROFILE%\AppData\Local\Temp\OnboardLogs" /stypes="app*4054*20161020*" /stext=" 01:.+((SYSTEM_STATE.+slice.+state.+changed )|(ment ac)|(system.+state.+changed )|(\[timeout)|(PRM\|1\|D)|(kpr)|(kdp)|(\|lc)|(penalty))" /e /r /s</v>
      </c>
      <c r="AG208" s="1" t="str">
        <f t="shared" si="107"/>
        <v>Other</v>
      </c>
      <c r="AH208" s="92" t="str">
        <f t="shared" ref="AH208:AH213" si="112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906-19 --locoid 4054 --swversion DE.1.0.7.0 --startMP 300:58636 --initTime 2016-10-19T19:09:42 --startdatetime 2016-10-19T19:11:33 --delay 0 --endMP 300:29121 --enddatetime 2016-10-19T19:19:28 --enforcementcount 0 &gt;&gt;C:\Users\stu\Documents\GitHub\eaglep3-reporting\EC\2016-10-19-refined-times.txt</v>
      </c>
      <c r="AI208" s="122" t="str">
        <f t="shared" ref="AI208:AI213" si="113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{"issue":{"subject":"","project_id":79,"tracker_id":40,"status_id":1,"priority_id":2,"assigned_to_id":23,"start_date":"2016-10-19","description":"","custom_fields":[{"id":1,"name":"Subdivision","value":"Other"},{"id":4,"name":"Milepost","value":"2.9121"},{"id":17,"name":"Train ID","value":"906-19"},{"id":16,"name":"Locomotive ID","value":"4054"},{"id":130,"name":"Impact","value":""},{"id":150,"name":"Time of Event (Mountain Time)","value":"19:19:28"},{"id":151,"name":"Denver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645</v>
      </c>
      <c r="B209" s="7">
        <v>4032</v>
      </c>
      <c r="C209" s="22" t="s">
        <v>99</v>
      </c>
      <c r="D209" s="22" t="s">
        <v>304</v>
      </c>
      <c r="E209" s="13">
        <v>42662.944652777776</v>
      </c>
      <c r="F209" s="13">
        <v>42662.946319444447</v>
      </c>
      <c r="G209" s="7">
        <v>1</v>
      </c>
      <c r="H209" s="13" t="s">
        <v>764</v>
      </c>
      <c r="I209" s="13">
        <v>42662.952384259261</v>
      </c>
      <c r="J209" s="7">
        <v>0</v>
      </c>
      <c r="K209" s="112" t="str">
        <f t="shared" si="97"/>
        <v>4031/4032</v>
      </c>
      <c r="L209" s="22" t="str">
        <f>VLOOKUP(A209,'Trips&amp;Operators'!$C$1:$E$10000,3,FALSE)</f>
        <v>LEVERE</v>
      </c>
      <c r="M209" s="6">
        <f t="shared" si="98"/>
        <v>6.064814813726116E-3</v>
      </c>
      <c r="N209" s="7">
        <f t="shared" si="108"/>
        <v>8.733333331765607</v>
      </c>
      <c r="O209" s="7"/>
      <c r="P209" s="7"/>
      <c r="Q209" s="23"/>
      <c r="R209" s="23"/>
      <c r="S209" s="35">
        <f t="shared" si="99"/>
        <v>0</v>
      </c>
      <c r="T209" s="50" t="str">
        <f t="shared" si="100"/>
        <v>Southbound</v>
      </c>
      <c r="U209" s="18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21:40:18-0600',mode:absolute,to:'2016-10-19 23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9" s="52" t="str">
        <f t="shared" si="102"/>
        <v>Y</v>
      </c>
      <c r="X209" s="174">
        <f t="shared" si="103"/>
        <v>2</v>
      </c>
      <c r="Y209" s="67">
        <f t="shared" si="104"/>
        <v>5.8615000000000004</v>
      </c>
      <c r="Z209" s="67">
        <f t="shared" si="109"/>
        <v>2.1812</v>
      </c>
      <c r="AA209" s="67">
        <f t="shared" si="105"/>
        <v>3.6803000000000003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06"/>
        <v>0908-19</v>
      </c>
      <c r="AE209" s="91" t="str">
        <f t="shared" si="110"/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AF209" s="88" t="str">
        <f t="shared" si="111"/>
        <v>"C:\Program Files (x86)\AstroGrep\AstroGrep.exe" /spath="%USERPROFILE%\AppData\Local\Temp\OnboardLogs" /stypes="app*4032*20161020*" /stext=" 04:.+((SYSTEM_STATE.+slice.+state.+changed )|(ment ac)|(system.+state.+changed )|(\[timeout)|(PRM\|1\|D)|(kpr)|(kdp)|(\|lc)|(penalty))" /e /r /s</v>
      </c>
      <c r="AG209" s="1" t="str">
        <f t="shared" si="107"/>
        <v>Other</v>
      </c>
      <c r="AH209" s="92" t="str">
        <f t="shared" si="112"/>
        <v>"%USERPROFILE%\Documents\GitHub\eaglep3\Utilities\RefineRTDCRunTimes.py" --tripid 908-19 --locoid 4032 --swversion DE.1.0.7.0 --startMP 300:58615 --initTime 2016-10-19T22:40:18 --startdatetime 2016-10-19T22:42:42 --delay 1 --endMP 300:21812 --enddatetime 2016-10-19T22:51:26 --enforcementcount 0 &gt;&gt;C:\Users\stu\Documents\GitHub\eaglep3-reporting\EC\2016-10-19-refined-times.txt</v>
      </c>
      <c r="AI209" s="122" t="str">
        <f t="shared" si="113"/>
        <v>echo {"issue":{"subject":"","project_id":79,"tracker_id":40,"status_id":1,"priority_id":2,"assigned_to_id":23,"start_date":"2016-10-19","description":"","custom_fields":[{"id":1,"name":"Subdivision","value":"Other"},{"id":4,"name":"Milepost","value":"2.1812"},{"id":17,"name":"Train ID","value":"908-19"},{"id":16,"name":"Locomotive ID","value":"4032"},{"id":130,"name":"Impact","value":""},{"id":150,"name":"Time of Event (Mountain Time)","value":"22:51:26"},{"id":151,"name":"Denver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535</v>
      </c>
      <c r="B210" s="7">
        <v>4021</v>
      </c>
      <c r="C210" s="22" t="s">
        <v>99</v>
      </c>
      <c r="D210" s="22" t="s">
        <v>715</v>
      </c>
      <c r="E210" s="13">
        <v>42662.460659722223</v>
      </c>
      <c r="F210" s="13">
        <v>42662.464143518519</v>
      </c>
      <c r="G210" s="7">
        <v>4</v>
      </c>
      <c r="H210" s="13" t="s">
        <v>245</v>
      </c>
      <c r="I210" s="13">
        <v>42662.470486111109</v>
      </c>
      <c r="J210" s="7">
        <v>0</v>
      </c>
      <c r="K210" s="112" t="str">
        <f t="shared" si="97"/>
        <v>4021/4022</v>
      </c>
      <c r="L210" s="22" t="str">
        <f>VLOOKUP(A210,'Trips&amp;Operators'!$C$1:$E$10000,3,FALSE)</f>
        <v>HELVIE</v>
      </c>
      <c r="M210" s="6">
        <f t="shared" si="98"/>
        <v>6.3425925909541547E-3</v>
      </c>
      <c r="N210" s="7">
        <f t="shared" si="108"/>
        <v>9.1333333309739828</v>
      </c>
      <c r="O210" s="7"/>
      <c r="P210" s="7"/>
      <c r="Q210" s="23"/>
      <c r="R210" s="23"/>
      <c r="S210" s="35">
        <f t="shared" si="99"/>
        <v>0</v>
      </c>
      <c r="T210" s="50" t="e">
        <f t="shared" si="100"/>
        <v>#VALUE!</v>
      </c>
      <c r="U210" s="18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10:03:21-0600',mode:absolute,to:'2016-10-19 12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0" s="52" t="str">
        <f t="shared" si="102"/>
        <v>Y</v>
      </c>
      <c r="X210" s="174" t="e">
        <f t="shared" si="103"/>
        <v>#VALUE!</v>
      </c>
      <c r="Y210" s="67">
        <f t="shared" si="104"/>
        <v>2.3220000000000001</v>
      </c>
      <c r="Z210" s="67">
        <f t="shared" si="109"/>
        <v>1.67E-2</v>
      </c>
      <c r="AA210" s="67">
        <f t="shared" ref="AA210:AA241" si="114">ABS(Z210-Y210)</f>
        <v>2.3052999999999999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06"/>
        <v>51-19</v>
      </c>
      <c r="AE210" s="91" t="str">
        <f t="shared" si="110"/>
        <v>aws s3 cp s3://rtdc.mdm.uploadarchive.raw/RTDC4021/ "%USERPROFILE%\AppData\Local\Temp\OnboardLogs"\RTDC4021\2016-10-19 --exclude "*" --recursive --include "*20161019*" &amp; "%USERPROFILE%\Documents\GitHub\mrs-test-scripts\Headless Mode &amp; Sideloading\WalkAndUnGZ.bat" "%USERPROFILE%\AppData\Local\Temp\OnboardLogs"\RTDC4021\2016-10-19 &amp; aws s3 cp s3://rtdc.mdm.uploadarchive.raw/RTDC4021/ "%USERPROFILE%\AppData\Local\Temp\OnboardLogs"\RTDC4021\2016-10-20 --exclude "*" --recursive --include "*20161020*" &amp; "%USERPROFILE%\Documents\GitHub\mrs-test-scripts\Headless Mode &amp; Sideloading\WalkAndUnGZ.bat" "%USERPROFILE%\AppData\Local\Temp\OnboardLogs"\RTDC4021\2016-10-20</v>
      </c>
      <c r="AF210" s="88" t="str">
        <f t="shared" si="111"/>
        <v>"C:\Program Files (x86)\AstroGrep\AstroGrep.exe" /spath="%USERPROFILE%\AppData\Local\Temp\OnboardLogs" /stypes="app*4021*20161019*" /stext=" 17:.+((SYSTEM_STATE.+slice.+state.+changed )|(ment ac)|(system.+state.+changed )|(\[timeout)|(PRM\|1\|D)|(kpr)|(kdp)|(\|lc)|(penalty))" /e /r /s</v>
      </c>
      <c r="AG210" s="1" t="str">
        <f t="shared" si="107"/>
        <v>Other</v>
      </c>
      <c r="AH210" s="92" t="str">
        <f t="shared" si="112"/>
        <v>"%USERPROFILE%\Documents\GitHub\eaglep3\Utilities\RefineRTDCRunTimes.py" --tripid 51-19 --locoid 4021 --swversion DE.1.0.7.0 --startMP 300:23220 --initTime 2016-10-19T11:03:21 --startdatetime 2016-10-19T11:08:22 --delay 4 --endMP 204:167 --enddatetime 2016-10-19T11:17:30 --enforcementcount 0 &gt;&gt;C:\Users\stu\Documents\GitHub\eaglep3-reporting\EC\2016-10-19-refined-times.txt</v>
      </c>
      <c r="AI210" s="122" t="str">
        <f t="shared" si="113"/>
        <v>echo {"issue":{"subject":"","project_id":79,"tracker_id":40,"status_id":1,"priority_id":2,"assigned_to_id":23,"start_date":"2016-10-19","description":"","custom_fields":[{"id":1,"name":"Subdivision","value":"Other"},{"id":4,"name":"Milepost","value":"0.0167"},{"id":17,"name":"Train ID","value":"51-19"},{"id":16,"name":"Locomotive ID","value":"4021"},{"id":130,"name":"Impact","value":""},{"id":150,"name":"Time of Event (Mountain Time)","value":"11:17:30"},{"id":151,"name":"Denver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543</v>
      </c>
      <c r="B211" s="7">
        <v>4022</v>
      </c>
      <c r="C211" s="22" t="s">
        <v>99</v>
      </c>
      <c r="D211" s="22" t="s">
        <v>248</v>
      </c>
      <c r="E211" s="13">
        <v>42662.4919212963</v>
      </c>
      <c r="F211" s="13">
        <v>42662.493900462963</v>
      </c>
      <c r="G211" s="7">
        <v>1</v>
      </c>
      <c r="H211" s="13" t="s">
        <v>716</v>
      </c>
      <c r="I211" s="13">
        <v>42662.500219907408</v>
      </c>
      <c r="J211" s="7">
        <v>0</v>
      </c>
      <c r="K211" s="112" t="str">
        <f t="shared" si="97"/>
        <v>4021/4022</v>
      </c>
      <c r="L211" s="22" t="str">
        <f>VLOOKUP(A211,'Trips&amp;Operators'!$C$1:$E$10000,3,FALSE)</f>
        <v>KILLION</v>
      </c>
      <c r="M211" s="6">
        <f t="shared" si="98"/>
        <v>6.3194444446708076E-3</v>
      </c>
      <c r="N211" s="7">
        <f t="shared" si="108"/>
        <v>9.1000000003259629</v>
      </c>
      <c r="O211" s="7"/>
      <c r="P211" s="7"/>
      <c r="Q211" s="23"/>
      <c r="R211" s="23"/>
      <c r="S211" s="35">
        <f t="shared" si="99"/>
        <v>0</v>
      </c>
      <c r="T211" s="50" t="e">
        <f t="shared" si="100"/>
        <v>#VALUE!</v>
      </c>
      <c r="U211" s="18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10:48:22-0600',mode:absolute,to:'2016-10-19 13:00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1" s="52" t="str">
        <f t="shared" si="102"/>
        <v>Y</v>
      </c>
      <c r="X211" s="174" t="e">
        <f t="shared" si="103"/>
        <v>#VALUE!</v>
      </c>
      <c r="Y211" s="67">
        <f t="shared" si="104"/>
        <v>4.5999999999999999E-2</v>
      </c>
      <c r="Z211" s="67">
        <f t="shared" si="109"/>
        <v>2.4207000000000001</v>
      </c>
      <c r="AA211" s="67">
        <f t="shared" si="114"/>
        <v>2.3747000000000003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06"/>
        <v>53-19</v>
      </c>
      <c r="AE211" s="91" t="str">
        <f t="shared" si="110"/>
        <v>aws s3 cp s3://rtdc.mdm.uploadarchive.raw/RTDC4022/ "%USERPROFILE%\AppData\Local\Temp\OnboardLogs"\RTDC4022\2016-10-19 --exclude "*" --recursive --include "*20161019*" &amp; "%USERPROFILE%\Documents\GitHub\mrs-test-scripts\Headless Mode &amp; Sideloading\WalkAndUnGZ.bat" "%USERPROFILE%\AppData\Local\Temp\OnboardLogs"\RTDC4022\2016-10-19 &amp; aws s3 cp s3://rtdc.mdm.uploadarchive.raw/RTDC4022/ "%USERPROFILE%\AppData\Local\Temp\OnboardLogs"\RTDC4022\2016-10-20 --exclude "*" --recursive --include "*20161020*" &amp; "%USERPROFILE%\Documents\GitHub\mrs-test-scripts\Headless Mode &amp; Sideloading\WalkAndUnGZ.bat" "%USERPROFILE%\AppData\Local\Temp\OnboardLogs"\RTDC4022\2016-10-20</v>
      </c>
      <c r="AF211" s="88" t="str">
        <f t="shared" si="111"/>
        <v>"C:\Program Files (x86)\AstroGrep\AstroGrep.exe" /spath="%USERPROFILE%\AppData\Local\Temp\OnboardLogs" /stypes="app*4022*20161019*" /stext=" 18:.+((SYSTEM_STATE.+slice.+state.+changed )|(ment ac)|(system.+state.+changed )|(\[timeout)|(PRM\|1\|D)|(kpr)|(kdp)|(\|lc)|(penalty))" /e /r /s</v>
      </c>
      <c r="AG211" s="1" t="str">
        <f t="shared" si="107"/>
        <v>Other</v>
      </c>
      <c r="AH211" s="92" t="str">
        <f t="shared" si="112"/>
        <v>"%USERPROFILE%\Documents\GitHub\eaglep3\Utilities\RefineRTDCRunTimes.py" --tripid 53-19 --locoid 4022 --swversion DE.1.0.7.0 --startMP 204:460 --initTime 2016-10-19T11:48:22 --startdatetime 2016-10-19T11:51:13 --delay 1 --endMP 300:24207 --enddatetime 2016-10-19T12:00:19 --enforcementcount 0 &gt;&gt;C:\Users\stu\Documents\GitHub\eaglep3-reporting\EC\2016-10-19-refined-times.txt</v>
      </c>
      <c r="AI211" s="122" t="str">
        <f t="shared" si="113"/>
        <v>echo {"issue":{"subject":"","project_id":79,"tracker_id":40,"status_id":1,"priority_id":2,"assigned_to_id":23,"start_date":"2016-10-19","description":"","custom_fields":[{"id":1,"name":"Subdivision","value":"Other"},{"id":4,"name":"Milepost","value":"2.4207"},{"id":17,"name":"Train ID","value":"53-19"},{"id":16,"name":"Locomotive ID","value":"4022"},{"id":130,"name":"Impact","value":""},{"id":150,"name":"Time of Event (Mountain Time)","value":"12:00:19"},{"id":151,"name":"Denver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611</v>
      </c>
      <c r="B212" s="7">
        <v>4007</v>
      </c>
      <c r="C212" s="22" t="s">
        <v>99</v>
      </c>
      <c r="D212" s="22" t="s">
        <v>239</v>
      </c>
      <c r="E212" s="13">
        <v>42662.752685185187</v>
      </c>
      <c r="F212" s="13">
        <v>42662.75582175926</v>
      </c>
      <c r="G212" s="7">
        <v>2</v>
      </c>
      <c r="H212" s="13" t="s">
        <v>717</v>
      </c>
      <c r="I212" s="13">
        <v>42662.762523148151</v>
      </c>
      <c r="J212" s="7">
        <v>0</v>
      </c>
      <c r="K212" s="112" t="str">
        <f t="shared" si="97"/>
        <v>4007/4008</v>
      </c>
      <c r="L212" s="22" t="str">
        <f>VLOOKUP(A212,'Trips&amp;Operators'!$C$1:$E$10000,3,FALSE)</f>
        <v>HILLS</v>
      </c>
      <c r="M212" s="6">
        <f t="shared" si="98"/>
        <v>6.701388891087845E-3</v>
      </c>
      <c r="N212" s="7">
        <f t="shared" si="108"/>
        <v>9.6500000031664968</v>
      </c>
      <c r="O212" s="7"/>
      <c r="P212" s="7"/>
      <c r="Q212" s="23"/>
      <c r="R212" s="23"/>
      <c r="S212" s="35">
        <f t="shared" si="99"/>
        <v>0</v>
      </c>
      <c r="T212" s="50" t="e">
        <f t="shared" si="100"/>
        <v>#VALUE!</v>
      </c>
      <c r="U212" s="18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17:03:52-0600',mode:absolute,to:'2016-10-19 19:18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2" s="52" t="str">
        <f t="shared" si="102"/>
        <v>Y</v>
      </c>
      <c r="X212" s="174" t="e">
        <f t="shared" si="103"/>
        <v>#VALUE!</v>
      </c>
      <c r="Y212" s="67">
        <f t="shared" si="104"/>
        <v>4.5699999999999998E-2</v>
      </c>
      <c r="Z212" s="67">
        <f t="shared" si="109"/>
        <v>2.4192999999999998</v>
      </c>
      <c r="AA212" s="67">
        <f t="shared" si="114"/>
        <v>2.3735999999999997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106"/>
        <v>61-19</v>
      </c>
      <c r="AE212" s="91" t="str">
        <f t="shared" si="110"/>
        <v>aws s3 cp s3://rtdc.mdm.uploadarchive.raw/RTDC4007/ "%USERPROFILE%\AppData\Local\Temp\OnboardLogs"\RTDC4007\2016-10-19 --exclude "*" --recursive --include "*20161019*" &amp; "%USERPROFILE%\Documents\GitHub\mrs-test-scripts\Headless Mode &amp; Sideloading\WalkAndUnGZ.bat" "%USERPROFILE%\AppData\Local\Temp\OnboardLogs"\RTDC4007\2016-10-19 &amp; aws s3 cp s3://rtdc.mdm.uploadarchive.raw/RTDC4007/ "%USERPROFILE%\AppData\Local\Temp\OnboardLogs"\RTDC4007\2016-10-20 --exclude "*" --recursive --include "*20161020*" &amp; "%USERPROFILE%\Documents\GitHub\mrs-test-scripts\Headless Mode &amp; Sideloading\WalkAndUnGZ.bat" "%USERPROFILE%\AppData\Local\Temp\OnboardLogs"\RTDC4007\2016-10-20</v>
      </c>
      <c r="AF212" s="88" t="str">
        <f t="shared" si="111"/>
        <v>"C:\Program Files (x86)\AstroGrep\AstroGrep.exe" /spath="%USERPROFILE%\AppData\Local\Temp\OnboardLogs" /stypes="app*4007*20161020*" /stext=" 00:.+((SYSTEM_STATE.+slice.+state.+changed )|(ment ac)|(system.+state.+changed )|(\[timeout)|(PRM\|1\|D)|(kpr)|(kdp)|(\|lc)|(penalty))" /e /r /s</v>
      </c>
      <c r="AG212" s="1" t="str">
        <f t="shared" si="107"/>
        <v>Other</v>
      </c>
      <c r="AH212" s="92" t="str">
        <f t="shared" si="112"/>
        <v>"%USERPROFILE%\Documents\GitHub\eaglep3\Utilities\RefineRTDCRunTimes.py" --tripid 61-19 --locoid 4007 --swversion DE.1.0.7.0 --startMP 204:457 --initTime 2016-10-19T18:03:52 --startdatetime 2016-10-19T18:08:23 --delay 2 --endMP 300:24193 --enddatetime 2016-10-19T18:18:02 --enforcementcount 0 &gt;&gt;C:\Users\stu\Documents\GitHub\eaglep3-reporting\EC\2016-10-19-refined-times.txt</v>
      </c>
      <c r="AI212" s="122" t="str">
        <f t="shared" si="113"/>
        <v>echo {"issue":{"subject":"","project_id":79,"tracker_id":40,"status_id":1,"priority_id":2,"assigned_to_id":23,"start_date":"2016-10-19","description":"","custom_fields":[{"id":1,"name":"Subdivision","value":"Other"},{"id":4,"name":"Milepost","value":"2.4193"},{"id":17,"name":"Train ID","value":"61-19"},{"id":16,"name":"Locomotive ID","value":"4007"},{"id":130,"name":"Impact","value":""},{"id":150,"name":"Time of Event (Mountain Time)","value":"18:18:02"},{"id":151,"name":"Denver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601</v>
      </c>
      <c r="B213" s="7">
        <v>4008</v>
      </c>
      <c r="C213" s="22" t="s">
        <v>99</v>
      </c>
      <c r="D213" s="22" t="s">
        <v>765</v>
      </c>
      <c r="E213" s="13">
        <v>42662.716122685182</v>
      </c>
      <c r="F213" s="13">
        <v>42662.7190625</v>
      </c>
      <c r="G213" s="7">
        <v>4</v>
      </c>
      <c r="H213" s="13" t="s">
        <v>340</v>
      </c>
      <c r="I213" s="13">
        <v>42662.724374999998</v>
      </c>
      <c r="J213" s="7">
        <v>0</v>
      </c>
      <c r="K213" s="112" t="str">
        <f t="shared" si="97"/>
        <v>4007/4008</v>
      </c>
      <c r="L213" s="22" t="str">
        <f>VLOOKUP(A213,'Trips&amp;Operators'!$C$1:$E$10000,3,FALSE)</f>
        <v>YANAI</v>
      </c>
      <c r="M213" s="6">
        <f t="shared" si="98"/>
        <v>5.3124999976716936E-3</v>
      </c>
      <c r="N213" s="7">
        <f t="shared" si="108"/>
        <v>7.6499999966472387</v>
      </c>
      <c r="O213" s="7"/>
      <c r="P213" s="7"/>
      <c r="Q213" s="23"/>
      <c r="R213" s="23"/>
      <c r="S213" s="35">
        <f t="shared" si="99"/>
        <v>0</v>
      </c>
      <c r="T213" s="50" t="e">
        <f t="shared" si="100"/>
        <v>#VALUE!</v>
      </c>
      <c r="U213" s="18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01"/>
        <v>https://search-rtdc-monitor-bjffxe2xuh6vdkpspy63sjmuny.us-east-1.es.amazonaws.com/_plugin/kibana/#/discover/Steve-Slow-Train-Analysis-(2080s-and-2083s)?_g=(refreshInterval:(display:Off,section:0,value:0),time:(from:'2016-10-19 16:11:13-0600',mode:absolute,to:'2016-10-19 18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3" s="52" t="str">
        <f t="shared" si="102"/>
        <v>Y</v>
      </c>
      <c r="X213" s="174" t="e">
        <f t="shared" si="103"/>
        <v>#VALUE!</v>
      </c>
      <c r="Y213" s="67">
        <f t="shared" si="104"/>
        <v>2.3426999999999998</v>
      </c>
      <c r="Z213" s="67">
        <f t="shared" si="109"/>
        <v>1.44E-2</v>
      </c>
      <c r="AA213" s="67">
        <f t="shared" si="114"/>
        <v>2.3282999999999996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106"/>
        <v>YANAI-19</v>
      </c>
      <c r="AE213" s="91" t="str">
        <f t="shared" si="110"/>
        <v>aws s3 cp s3://rtdc.mdm.uploadarchive.raw/RTDC4008/ "%USERPROFILE%\AppData\Local\Temp\OnboardLogs"\RTDC4008\2016-10-19 --exclude "*" --recursive --include "*20161019*" &amp; "%USERPROFILE%\Documents\GitHub\mrs-test-scripts\Headless Mode &amp; Sideloading\WalkAndUnGZ.bat" "%USERPROFILE%\AppData\Local\Temp\OnboardLogs"\RTDC4008\2016-10-19 &amp; aws s3 cp s3://rtdc.mdm.uploadarchive.raw/RTDC4008/ "%USERPROFILE%\AppData\Local\Temp\OnboardLogs"\RTDC4008\2016-10-20 --exclude "*" --recursive --include "*20161020*" &amp; "%USERPROFILE%\Documents\GitHub\mrs-test-scripts\Headless Mode &amp; Sideloading\WalkAndUnGZ.bat" "%USERPROFILE%\AppData\Local\Temp\OnboardLogs"\RTDC4008\2016-10-20</v>
      </c>
      <c r="AF213" s="88" t="str">
        <f t="shared" si="111"/>
        <v>"C:\Program Files (x86)\AstroGrep\AstroGrep.exe" /spath="%USERPROFILE%\AppData\Local\Temp\OnboardLogs" /stypes="app*4008*20161019*" /stext=" 23:.+((SYSTEM_STATE.+slice.+state.+changed )|(ment ac)|(system.+state.+changed )|(\[timeout)|(PRM\|1\|D)|(kpr)|(kdp)|(\|lc)|(penalty))" /e /r /s</v>
      </c>
      <c r="AG213" s="1" t="str">
        <f t="shared" si="107"/>
        <v>Other</v>
      </c>
      <c r="AH213" s="92" t="str">
        <f t="shared" si="112"/>
        <v>"%USERPROFILE%\Documents\GitHub\eaglep3\Utilities\RefineRTDCRunTimes.py" --tripid YANAI-19 --locoid 4008 --swversion DE.1.0.7.0 --startMP 300:23427 --initTime 2016-10-19T17:11:13 --startdatetime 2016-10-19T17:15:27 --delay 4 --endMP 204:144 --enddatetime 2016-10-19T17:23:06 --enforcementcount 0 &gt;&gt;C:\Users\stu\Documents\GitHub\eaglep3-reporting\EC\2016-10-19-refined-times.txt</v>
      </c>
      <c r="AI213" s="122" t="str">
        <f t="shared" si="113"/>
        <v>echo {"issue":{"subject":"","project_id":79,"tracker_id":40,"status_id":1,"priority_id":2,"assigned_to_id":23,"start_date":"2016-10-19","description":"","custom_fields":[{"id":1,"name":"Subdivision","value":"Other"},{"id":4,"name":"Milepost","value":"0.0144"},{"id":17,"name":"Train ID","value":"YANAI-19"},{"id":16,"name":"Locomotive ID","value":"4008"},{"id":130,"name":"Impact","value":""},{"id":150,"name":"Time of Event (Mountain Time)","value":"17:23:06"},{"id":151,"name":"Denver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</row>
    <row r="215" spans="1:9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91" s="21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91" s="21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91" s="2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</row>
  </sheetData>
  <autoFilter ref="A12:AG280">
    <sortState ref="A13:AG278">
      <sortCondition ref="AG13:AG211"/>
      <sortCondition ref="AD13:AD211"/>
    </sortState>
  </autoFilter>
  <sortState ref="A13:AH200">
    <sortCondition ref="AG13:AG200"/>
    <sortCondition ref="AD13:AD200"/>
  </sortState>
  <mergeCells count="1">
    <mergeCell ref="A11:P11"/>
  </mergeCells>
  <conditionalFormatting sqref="W11:W12 W281:X1048576 W13:X213">
    <cfRule type="cellIs" dxfId="10" priority="344" operator="equal">
      <formula>"Y"</formula>
    </cfRule>
  </conditionalFormatting>
  <conditionalFormatting sqref="X281:X1048576 X13:X213">
    <cfRule type="cellIs" dxfId="9" priority="327" operator="greaterThan">
      <formula>1</formula>
    </cfRule>
  </conditionalFormatting>
  <conditionalFormatting sqref="X281:X1048576 X12:X213">
    <cfRule type="cellIs" dxfId="8" priority="324" operator="equal">
      <formula>0</formula>
    </cfRule>
  </conditionalFormatting>
  <conditionalFormatting sqref="A13:S213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Values'!$C$2:$C$14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E21" sqref="E2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3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4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39"/>
      <c r="P1" s="139"/>
      <c r="R1" s="89"/>
      <c r="S1" s="101"/>
      <c r="T1" s="86"/>
      <c r="V1" s="48"/>
      <c r="AC1" s="144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3" t="s">
        <v>80</v>
      </c>
      <c r="M2" s="134"/>
      <c r="N2" s="154"/>
      <c r="O2" s="140">
        <f>COUNTIF($O$7:$O$369,"=Y")</f>
        <v>4</v>
      </c>
      <c r="P2" s="136"/>
      <c r="R2" s="89"/>
      <c r="S2" s="101"/>
      <c r="T2" s="86"/>
      <c r="V2" s="48"/>
      <c r="AC2" s="145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5" t="s">
        <v>81</v>
      </c>
      <c r="M3" s="135"/>
      <c r="N3" s="156"/>
      <c r="O3" s="141">
        <f>COUNTA($O$7:$O$369)-O2</f>
        <v>29</v>
      </c>
      <c r="P3" s="136"/>
      <c r="R3" s="89"/>
      <c r="S3" s="101"/>
      <c r="T3" s="86"/>
      <c r="V3" s="48"/>
      <c r="AC3" s="145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39"/>
      <c r="P4" s="139"/>
      <c r="R4" s="89"/>
      <c r="S4" s="101"/>
      <c r="T4" s="86"/>
      <c r="V4" s="48"/>
      <c r="AC4" s="145"/>
    </row>
    <row r="5" spans="1:29" s="10" customFormat="1" ht="15" customHeight="1" x14ac:dyDescent="0.25">
      <c r="A5" s="185" t="str">
        <f>"Eagle P3 Braking Events - "&amp;TEXT(Variables!$A$2,"YYYY-mm-dd")</f>
        <v>Eagle P3 Braking Events - 2016-10-19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7"/>
      <c r="R5" s="99"/>
      <c r="S5" s="102"/>
      <c r="T5" s="104"/>
      <c r="V5" s="49"/>
      <c r="AC5" s="146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2" t="s">
        <v>35</v>
      </c>
      <c r="E6" s="142" t="s">
        <v>34</v>
      </c>
      <c r="F6" s="142" t="s">
        <v>33</v>
      </c>
      <c r="G6" s="142" t="s">
        <v>32</v>
      </c>
      <c r="H6" s="142" t="s">
        <v>31</v>
      </c>
      <c r="I6" s="142" t="s">
        <v>159</v>
      </c>
      <c r="J6" s="142" t="s">
        <v>30</v>
      </c>
      <c r="K6" s="142" t="s">
        <v>29</v>
      </c>
      <c r="L6" s="142" t="s">
        <v>28</v>
      </c>
      <c r="M6" s="125" t="s">
        <v>160</v>
      </c>
      <c r="N6" s="158" t="s">
        <v>47</v>
      </c>
      <c r="O6" s="142" t="s">
        <v>27</v>
      </c>
      <c r="P6" s="142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7" t="s">
        <v>181</v>
      </c>
    </row>
    <row r="7" spans="1:29" s="1" customFormat="1" x14ac:dyDescent="0.25">
      <c r="A7" s="36">
        <v>42662.315162037034</v>
      </c>
      <c r="B7" s="31" t="s">
        <v>268</v>
      </c>
      <c r="C7" s="31" t="s">
        <v>440</v>
      </c>
      <c r="D7" s="31" t="s">
        <v>49</v>
      </c>
      <c r="E7" s="31" t="s">
        <v>155</v>
      </c>
      <c r="F7" s="47">
        <v>0</v>
      </c>
      <c r="G7" s="47">
        <v>476</v>
      </c>
      <c r="H7" s="47">
        <v>78483</v>
      </c>
      <c r="I7" s="47">
        <v>77230</v>
      </c>
      <c r="J7" s="31" t="s">
        <v>154</v>
      </c>
      <c r="K7" s="47">
        <v>78469</v>
      </c>
      <c r="L7" s="160" t="s">
        <v>51</v>
      </c>
      <c r="M7" s="161">
        <f t="shared" ref="M7:M39" si="0">CONVERT((I7-K7)/10000,"mi","ft")*IF(L7="Increasing Mileposts (1)",-1,1)</f>
        <v>-654.19200000000001</v>
      </c>
      <c r="N7" s="162" t="str">
        <f>VLOOKUP(C7,'Trips&amp;Operators'!$C$1:$E$99999,3,FALSE)</f>
        <v>ACKERMAN</v>
      </c>
      <c r="O7" s="143" t="s">
        <v>254</v>
      </c>
      <c r="P7" s="163" t="s">
        <v>310</v>
      </c>
      <c r="Q7" s="31"/>
      <c r="R7" s="100" t="str">
        <f>VLOOKUP(C7,'Train Runs'!$A$13:$AE$10024,31,0)</f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S7" s="103" t="str">
        <f>VLOOKUP(C7,'Train Runs'!$A$13:$AE$10024,22,0)</f>
        <v>https://search-rtdc-monitor-bjffxe2xuh6vdkpspy63sjmuny.us-east-1.es.amazonaws.com/_plugin/kibana/#/discover/Steve-Slow-Train-Analysis-(2080s-and-2083s)?_g=(refreshInterval:(display:Off,section:0,value:0),time:(from:'2016-10-19 05:54:54-0600',mode:absolute,to:'2016-10-19 08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7" s="105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/stypes="*4001*201610191*" /stext=" 13:.+((SYSTEM_STATE.+slice.+state.+changed )|(ment ac)|(system.+state.+changed )|(\[timeout)|(PRM\|1\|D)|(kpr)|(kdp)|(\|lc)|(penalty))" /e /r /s</v>
      </c>
      <c r="U7" s="9" t="str">
        <f t="shared" ref="U7:U39" si="2">MID(B7,13,4)</f>
        <v>4001</v>
      </c>
      <c r="V7" s="36">
        <f t="shared" ref="V7:V39" si="3">A7+6/24</f>
        <v>42662.565162037034</v>
      </c>
      <c r="W7" s="50" t="str">
        <f t="shared" ref="W7:W39" si="4">IF(VALUE(LEFT(IF(LEN(C7)=6,"0"&amp;C7,C7),2))&lt;=2,"EC",IF(OR(VALUE(LEFT(IF(LEN(C7)=6,"0"&amp;C7,C7),2))=8,VALUE(LEFT(IF(LEN(C7)=6,"0"&amp;C7,C7),2))=18),"NW","Other"))</f>
        <v>EC</v>
      </c>
      <c r="X7" s="50" t="str">
        <f t="shared" ref="X7:X39" si="5">IF(AND(E7="TRACK WARRANT AUTHORITY",G7&lt;10),"OMIT","KEEP")</f>
        <v>KEEP</v>
      </c>
      <c r="Y7" s="122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arrival","project_id":79,"tracker_id":40,"status_id":1,"priority_id":2,"assigned_to_id":23,"start_date":"2016-10-19","description":"","custom_fields":[{"id":1,"name":"Subdivision","value":"EC"},{"id":4,"name":"Milepost","value":"7.8469"},{"id":17,"name":"Train ID","value":"122-19"},{"id":16,"name":"Locomotive ID","value":"4001"},{"id":130,"name":"Impact","value":""},{"id":150,"name":"Time of Event (Mountain Time)","value":"07:33:50"},{"id":151,"name":"Denver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4" t="str">
        <f t="shared" ref="AC7:AC3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"%USERPROFILE%\AppData\Local\Temp\OnboardLogs"\RTDC4001\*4001*201610191* | grep -SE "((Enforcement Ac)|(PRM))" -</v>
      </c>
    </row>
    <row r="8" spans="1:29" s="1" customFormat="1" x14ac:dyDescent="0.25">
      <c r="A8" s="36">
        <v>42662.614930555559</v>
      </c>
      <c r="B8" s="31" t="s">
        <v>214</v>
      </c>
      <c r="C8" s="31" t="s">
        <v>453</v>
      </c>
      <c r="D8" s="31" t="s">
        <v>98</v>
      </c>
      <c r="E8" s="31" t="s">
        <v>155</v>
      </c>
      <c r="F8" s="47">
        <v>360</v>
      </c>
      <c r="G8" s="47">
        <v>417</v>
      </c>
      <c r="H8" s="47">
        <v>109135</v>
      </c>
      <c r="I8" s="47">
        <v>108241</v>
      </c>
      <c r="J8" s="31" t="s">
        <v>154</v>
      </c>
      <c r="K8" s="47">
        <v>109135</v>
      </c>
      <c r="L8" s="160" t="s">
        <v>51</v>
      </c>
      <c r="M8" s="161">
        <f t="shared" si="0"/>
        <v>-472.03199999999998</v>
      </c>
      <c r="N8" s="162" t="str">
        <f>VLOOKUP(C8,'Trips&amp;Operators'!$C$1:$E$99999,3,FALSE)</f>
        <v>ARVIDSON</v>
      </c>
      <c r="O8" s="143" t="s">
        <v>254</v>
      </c>
      <c r="P8" s="163" t="s">
        <v>310</v>
      </c>
      <c r="Q8" s="31"/>
      <c r="R8" s="100" t="str">
        <f>VLOOKUP(C8,'Train Runs'!$A$13:$AE$10024,31,0)</f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S8" s="103" t="str">
        <f>VLOOKUP(C8,'Train Runs'!$A$13:$AE$10024,22,0)</f>
        <v>https://search-rtdc-monitor-bjffxe2xuh6vdkpspy63sjmuny.us-east-1.es.amazonaws.com/_plugin/kibana/#/discover/Steve-Slow-Train-Analysis-(2080s-and-2083s)?_g=(refreshInterval:(display:Off,section:0,value:0),time:(from:'2016-10-19 13:18:00-0600',mode:absolute,to:'2016-10-19 16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8" s="105" t="str">
        <f t="shared" si="1"/>
        <v>"C:\Program Files (x86)\AstroGrep\AstroGrep.exe" /spath="%USERPROFILE%\AppData\Local\Temp\OnboardLogs" /stypes="*4039*201610192*" /stext=" 20:.+((SYSTEM_STATE.+slice.+state.+changed )|(ment ac)|(system.+state.+changed )|(\[timeout)|(PRM\|1\|D)|(kpr)|(kdp)|(\|lc)|(penalty))" /e /r /s</v>
      </c>
      <c r="U8" s="9" t="str">
        <f t="shared" si="2"/>
        <v>4039</v>
      </c>
      <c r="V8" s="36">
        <f t="shared" si="3"/>
        <v>42662.864930555559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arrival","project_id":79,"tracker_id":40,"status_id":1,"priority_id":2,"assigned_to_id":23,"start_date":"2016-10-19","description":"","custom_fields":[{"id":1,"name":"Subdivision","value":"EC"},{"id":4,"name":"Milepost","value":"10.9135"},{"id":17,"name":"Train ID","value":"180-19"},{"id":16,"name":"Locomotive ID","value":"4039"},{"id":130,"name":"Impact","value":""},{"id":150,"name":"Time of Event (Mountain Time)","value":"14:45:30"},{"id":151,"name":"Denver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4" t="str">
        <f t="shared" si="7"/>
        <v>grep -hSE -A100 "Enforcement Action" "%USERPROFILE%\AppData\Local\Temp\OnboardLogs"\RTDC4039\*4039*201610192* | grep -SE "((Enforcement Ac)|(PRM))" -</v>
      </c>
    </row>
    <row r="9" spans="1:29" s="1" customFormat="1" x14ac:dyDescent="0.25">
      <c r="A9" s="36">
        <v>42662.480173611111</v>
      </c>
      <c r="B9" s="31" t="s">
        <v>214</v>
      </c>
      <c r="C9" s="31" t="s">
        <v>449</v>
      </c>
      <c r="D9" s="31" t="s">
        <v>49</v>
      </c>
      <c r="E9" s="31" t="s">
        <v>255</v>
      </c>
      <c r="F9" s="47">
        <v>300</v>
      </c>
      <c r="G9" s="47">
        <v>466</v>
      </c>
      <c r="H9" s="47">
        <v>23857</v>
      </c>
      <c r="I9" s="47">
        <v>22397</v>
      </c>
      <c r="J9" s="31" t="s">
        <v>256</v>
      </c>
      <c r="K9" s="47">
        <v>21848</v>
      </c>
      <c r="L9" s="160" t="s">
        <v>51</v>
      </c>
      <c r="M9" s="161">
        <f t="shared" si="0"/>
        <v>289.87200000000001</v>
      </c>
      <c r="N9" s="162" t="str">
        <f>VLOOKUP(C9,'Trips&amp;Operators'!$C$1:$E$99999,3,FALSE)</f>
        <v>KILLION</v>
      </c>
      <c r="O9" s="143" t="s">
        <v>254</v>
      </c>
      <c r="P9" s="163"/>
      <c r="Q9" s="31"/>
      <c r="R9" s="100" t="str">
        <f>VLOOKUP(C9,'Train Runs'!$A$13:$AE$10024,31,0)</f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S9" s="103" t="str">
        <f>VLOOKUP(C9,'Train Runs'!$A$13:$AE$10024,22,0)</f>
        <v>https://search-rtdc-monitor-bjffxe2xuh6vdkpspy63sjmuny.us-east-1.es.amazonaws.com/_plugin/kibana/#/discover/Steve-Slow-Train-Analysis-(2080s-and-2083s)?_g=(refreshInterval:(display:Off,section:0,value:0),time:(from:'2016-10-19 09:44:15-0600',mode:absolute,to:'2016-10-19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9" s="105" t="str">
        <f t="shared" si="1"/>
        <v>"C:\Program Files (x86)\AstroGrep\AstroGrep.exe" /spath="%USERPROFILE%\AppData\Local\Temp\OnboardLogs" /stypes="*4039*201610191*" /stext=" 17:.+((SYSTEM_STATE.+slice.+state.+changed )|(ment ac)|(system.+state.+changed )|(\[timeout)|(PRM\|1\|D)|(kpr)|(kdp)|(\|lc)|(penalty))" /e /r /s</v>
      </c>
      <c r="U9" s="9" t="str">
        <f t="shared" si="2"/>
        <v>4039</v>
      </c>
      <c r="V9" s="36">
        <f t="shared" si="3"/>
        <v>42662.730173611111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{"issue":{"subject":"","project_id":79,"tracker_id":40,"status_id":1,"priority_id":2,"assigned_to_id":23,"start_date":"2016-10-19","description":"","custom_fields":[{"id":1,"name":"Subdivision","value":"EC"},{"id":4,"name":"Milepost","value":"2.1848"},{"id":17,"name":"Train ID","value":"152-19"},{"id":16,"name":"Locomotive ID","value":"4039"},{"id":130,"name":"Impact","value":""},{"id":150,"name":"Time of Event (Mountain Time)","value":"11:31:27"},{"id":151,"name":"Denver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4" t="str">
        <f t="shared" si="7"/>
        <v>grep -hSE -A100 "Enforcement Action" "%USERPROFILE%\AppData\Local\Temp\OnboardLogs"\RTDC4039\*4039*201610191* | grep -SE "((Enforcement Ac)|(PRM))" -</v>
      </c>
    </row>
    <row r="10" spans="1:29" s="1" customFormat="1" x14ac:dyDescent="0.25">
      <c r="A10" s="36">
        <v>42662.698171296295</v>
      </c>
      <c r="B10" s="31" t="s">
        <v>267</v>
      </c>
      <c r="C10" s="31" t="s">
        <v>458</v>
      </c>
      <c r="D10" s="31" t="s">
        <v>98</v>
      </c>
      <c r="E10" s="31" t="s">
        <v>255</v>
      </c>
      <c r="F10" s="47">
        <v>700</v>
      </c>
      <c r="G10" s="47">
        <v>752</v>
      </c>
      <c r="H10" s="47">
        <v>174861</v>
      </c>
      <c r="I10" s="47">
        <v>177921</v>
      </c>
      <c r="J10" s="31" t="s">
        <v>256</v>
      </c>
      <c r="K10" s="47">
        <v>161962</v>
      </c>
      <c r="L10" s="160" t="s">
        <v>50</v>
      </c>
      <c r="M10" s="161">
        <f t="shared" si="0"/>
        <v>-8426.3520000000008</v>
      </c>
      <c r="N10" s="162" t="str">
        <f>VLOOKUP(C10,'Trips&amp;Operators'!$C$1:$E$99999,3,FALSE)</f>
        <v>HILLS</v>
      </c>
      <c r="O10" s="143" t="s">
        <v>254</v>
      </c>
      <c r="P10" s="163"/>
      <c r="Q10" s="31"/>
      <c r="R10" s="100" t="str">
        <f>VLOOKUP(C10,'Train Runs'!$A$13:$AE$10024,31,0)</f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S10" s="103" t="str">
        <f>VLOOKUP(C10,'Train Runs'!$A$13:$AE$10024,22,0)</f>
        <v>https://search-rtdc-monitor-bjffxe2xuh6vdkpspy63sjmuny.us-east-1.es.amazonaws.com/_plugin/kibana/#/discover/Steve-Slow-Train-Analysis-(2080s-and-2083s)?_g=(refreshInterval:(display:Off,section:0,value:0),time:(from:'2016-10-19 15:10:02-0600',mode:absolute,to:'2016-10-19 17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0" s="105" t="str">
        <f t="shared" si="1"/>
        <v>"C:\Program Files (x86)\AstroGrep\AstroGrep.exe" /spath="%USERPROFILE%\AppData\Local\Temp\OnboardLogs" /stypes="*4042*201610192*" /stext=" 22:.+((SYSTEM_STATE.+slice.+state.+changed )|(ment ac)|(system.+state.+changed )|(\[timeout)|(PRM\|1\|D)|(kpr)|(kdp)|(\|lc)|(penalty))" /e /r /s</v>
      </c>
      <c r="U10" s="9" t="str">
        <f t="shared" si="2"/>
        <v>4042</v>
      </c>
      <c r="V10" s="36">
        <f t="shared" si="3"/>
        <v>42662.948171296295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{"issue":{"subject":"","project_id":79,"tracker_id":40,"status_id":1,"priority_id":2,"assigned_to_id":23,"start_date":"2016-10-19","description":"","custom_fields":[{"id":1,"name":"Subdivision","value":"EC"},{"id":4,"name":"Milepost","value":"16.1962"},{"id":17,"name":"Train ID","value":"201-19"},{"id":16,"name":"Locomotive ID","value":"4042"},{"id":130,"name":"Impact","value":""},{"id":150,"name":"Time of Event (Mountain Time)","value":"16:45:22"},{"id":151,"name":"Denver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4" t="str">
        <f t="shared" si="7"/>
        <v>grep -hSE -A100 "Enforcement Action" "%USERPROFILE%\AppData\Local\Temp\OnboardLogs"\RTDC4042\*4042*201610192* | grep -SE "((Enforcement Ac)|(PRM))" -</v>
      </c>
    </row>
    <row r="11" spans="1:29" s="1" customFormat="1" x14ac:dyDescent="0.25">
      <c r="A11" s="36">
        <v>42662.801458333335</v>
      </c>
      <c r="B11" s="31" t="s">
        <v>459</v>
      </c>
      <c r="C11" s="31" t="s">
        <v>460</v>
      </c>
      <c r="D11" s="31" t="s">
        <v>98</v>
      </c>
      <c r="E11" s="31" t="s">
        <v>255</v>
      </c>
      <c r="F11" s="47">
        <v>350</v>
      </c>
      <c r="G11" s="47">
        <v>400</v>
      </c>
      <c r="H11" s="47">
        <v>225800</v>
      </c>
      <c r="I11" s="47">
        <v>224453</v>
      </c>
      <c r="J11" s="31" t="s">
        <v>256</v>
      </c>
      <c r="K11" s="47">
        <v>228668</v>
      </c>
      <c r="L11" s="160" t="s">
        <v>51</v>
      </c>
      <c r="M11" s="161">
        <f t="shared" si="0"/>
        <v>-2225.52</v>
      </c>
      <c r="N11" s="162" t="str">
        <f>VLOOKUP(C11,'Trips&amp;Operators'!$C$1:$E$99999,3,FALSE)</f>
        <v>LEVIN</v>
      </c>
      <c r="O11" s="143" t="s">
        <v>254</v>
      </c>
      <c r="P11" s="163"/>
      <c r="Q11" s="31"/>
      <c r="R11" s="100" t="str">
        <f>VLOOKUP(C11,'Train Runs'!$A$13:$AE$10024,31,0)</f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S11" s="103" t="str">
        <f>VLOOKUP(C11,'Train Runs'!$A$13:$AE$10024,22,0)</f>
        <v>https://search-rtdc-monitor-bjffxe2xuh6vdkpspy63sjmuny.us-east-1.es.amazonaws.com/_plugin/kibana/#/discover/Steve-Slow-Train-Analysis-(2080s-and-2083s)?_g=(refreshInterval:(display:Off,section:0,value:0),time:(from:'2016-10-19 18:00:48-0600',mode:absolute,to:'2016-10-19 20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1" s="105" t="str">
        <f t="shared" si="1"/>
        <v>"C:\Program Files (x86)\AstroGrep\AstroGrep.exe" /spath="%USERPROFILE%\AppData\Local\Temp\OnboardLogs" /stypes="*4013*201610200*" /stext=" 01:.+((SYSTEM_STATE.+slice.+state.+changed )|(ment ac)|(system.+state.+changed )|(\[timeout)|(PRM\|1\|D)|(kpr)|(kdp)|(\|lc)|(penalty))" /e /r /s</v>
      </c>
      <c r="U11" s="9" t="str">
        <f t="shared" si="2"/>
        <v>4013</v>
      </c>
      <c r="V11" s="36">
        <f t="shared" si="3"/>
        <v>42663.051458333335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{"issue":{"subject":"","project_id":79,"tracker_id":40,"status_id":1,"priority_id":2,"assigned_to_id":23,"start_date":"2016-10-19","description":"","custom_fields":[{"id":1,"name":"Subdivision","value":"EC"},{"id":4,"name":"Milepost","value":"22.8668"},{"id":17,"name":"Train ID","value":"218-19"},{"id":16,"name":"Locomotive ID","value":"4013"},{"id":130,"name":"Impact","value":""},{"id":150,"name":"Time of Event (Mountain Time)","value":"19:14:06"},{"id":151,"name":"Denver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4" t="str">
        <f t="shared" si="7"/>
        <v>grep -hSE -A100 "Enforcement Action" "%USERPROFILE%\AppData\Local\Temp\OnboardLogs"\RTDC4013\*4013*201610200* | grep -SE "((Enforcement Ac)|(PRM))" -</v>
      </c>
    </row>
    <row r="12" spans="1:29" s="1" customFormat="1" x14ac:dyDescent="0.25">
      <c r="A12" s="36">
        <v>42662.331956018519</v>
      </c>
      <c r="B12" s="31" t="s">
        <v>281</v>
      </c>
      <c r="C12" s="31" t="s">
        <v>441</v>
      </c>
      <c r="D12" s="31" t="s">
        <v>98</v>
      </c>
      <c r="E12" s="31" t="s">
        <v>255</v>
      </c>
      <c r="F12" s="47">
        <v>350</v>
      </c>
      <c r="G12" s="47">
        <v>401</v>
      </c>
      <c r="H12" s="47">
        <v>228218</v>
      </c>
      <c r="I12" s="47">
        <v>227407</v>
      </c>
      <c r="J12" s="31" t="s">
        <v>256</v>
      </c>
      <c r="K12" s="47">
        <v>232107</v>
      </c>
      <c r="L12" s="160" t="s">
        <v>51</v>
      </c>
      <c r="M12" s="161">
        <f t="shared" si="0"/>
        <v>-2481.6</v>
      </c>
      <c r="N12" s="162" t="str">
        <f>VLOOKUP(C12,'Trips&amp;Operators'!$C$1:$E$99999,3,FALSE)</f>
        <v>STRICKLAND</v>
      </c>
      <c r="O12" s="143" t="s">
        <v>254</v>
      </c>
      <c r="P12" s="163"/>
      <c r="Q12" s="31"/>
      <c r="R12" s="100" t="str">
        <f>VLOOKUP(C12,'Train Runs'!$A$13:$AE$10024,31,0)</f>
        <v>aws s3 cp s3://rtdc.mdm.uploadarchive.raw/RTDC4012/ "%USERPROFILE%\AppData\Local\Temp\OnboardLogs"\RTDC4012\2016-10-19 --exclude "*" --recursive --include "*20161019*" &amp; "%USERPROFILE%\Documents\GitHub\mrs-test-scripts\Headless Mode &amp; Sideloading\WalkAndUnGZ.bat" "%USERPROFILE%\AppData\Local\Temp\OnboardLogs"\RTDC4012\2016-10-19 &amp; 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</v>
      </c>
      <c r="S12" s="103" t="str">
        <f>VLOOKUP(C12,'Train Runs'!$A$13:$AE$10024,22,0)</f>
        <v>https://search-rtdc-monitor-bjffxe2xuh6vdkpspy63sjmuny.us-east-1.es.amazonaws.com/_plugin/kibana/#/discover/Steve-Slow-Train-Analysis-(2080s-and-2083s)?_g=(refreshInterval:(display:Off,section:0,value:0),time:(from:'2016-10-19 06:52:48-0600',mode:absolute,to:'2016-10-19 09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5" t="str">
        <f t="shared" si="1"/>
        <v>"C:\Program Files (x86)\AstroGrep\AstroGrep.exe" /spath="%USERPROFILE%\AppData\Local\Temp\OnboardLogs" /stypes="*4012*201610191*" /stext=" 13:.+((SYSTEM_STATE.+slice.+state.+changed )|(ment ac)|(system.+state.+changed )|(\[timeout)|(PRM\|1\|D)|(kpr)|(kdp)|(\|lc)|(penalty))" /e /r /s</v>
      </c>
      <c r="U12" s="9" t="str">
        <f t="shared" si="2"/>
        <v>4012</v>
      </c>
      <c r="V12" s="36">
        <f t="shared" si="3"/>
        <v>42662.581956018519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{"issue":{"subject":"","project_id":79,"tracker_id":40,"status_id":1,"priority_id":2,"assigned_to_id":23,"start_date":"2016-10-19","description":"","custom_fields":[{"id":1,"name":"Subdivision","value":"EC"},{"id":4,"name":"Milepost","value":"23.2107"},{"id":17,"name":"Train ID","value":"128-19"},{"id":16,"name":"Locomotive ID","value":"4012"},{"id":130,"name":"Impact","value":""},{"id":150,"name":"Time of Event (Mountain Time)","value":"07:58:01"},{"id":151,"name":"Denver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4" t="str">
        <f t="shared" si="7"/>
        <v>grep -hSE -A100 "Enforcement Action" "%USERPROFILE%\AppData\Local\Temp\OnboardLogs"\RTDC4012\*4012*201610191* | grep -SE "((Enforcement Ac)|(PRM))" -</v>
      </c>
    </row>
    <row r="13" spans="1:29" s="1" customFormat="1" x14ac:dyDescent="0.25">
      <c r="A13" s="36">
        <v>42662.378587962965</v>
      </c>
      <c r="B13" s="31" t="s">
        <v>198</v>
      </c>
      <c r="C13" s="31" t="s">
        <v>444</v>
      </c>
      <c r="D13" s="31" t="s">
        <v>98</v>
      </c>
      <c r="E13" s="31" t="s">
        <v>258</v>
      </c>
      <c r="F13" s="47">
        <v>0</v>
      </c>
      <c r="G13" s="47">
        <v>90</v>
      </c>
      <c r="H13" s="47">
        <v>229904</v>
      </c>
      <c r="I13" s="47">
        <v>0</v>
      </c>
      <c r="J13" s="31" t="s">
        <v>259</v>
      </c>
      <c r="K13" s="47">
        <v>0</v>
      </c>
      <c r="L13" s="160" t="s">
        <v>445</v>
      </c>
      <c r="M13" s="161">
        <f t="shared" si="0"/>
        <v>0</v>
      </c>
      <c r="N13" s="162" t="str">
        <f>VLOOKUP(C13,'Trips&amp;Operators'!$C$1:$E$99999,3,FALSE)</f>
        <v>ROCHA</v>
      </c>
      <c r="O13" s="143" t="s">
        <v>465</v>
      </c>
      <c r="P13" s="163" t="s">
        <v>774</v>
      </c>
      <c r="Q13" s="31"/>
      <c r="R13" s="100" t="str">
        <f>VLOOKUP(C13,'Train Runs'!$A$13:$AE$10024,31,0)</f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S13" s="103" t="str">
        <f>VLOOKUP(C13,'Train Runs'!$A$13:$AE$10024,22,0)</f>
        <v>https://search-rtdc-monitor-bjffxe2xuh6vdkpspy63sjmuny.us-east-1.es.amazonaws.com/_plugin/kibana/#/discover/Steve-Slow-Train-Analysis-(2080s-and-2083s)?_g=(refreshInterval:(display:Off,section:0,value:0),time:(from:'2016-10-19 07:22:36-0600',mode:absolute,to:'2016-10-19 10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3" s="105" t="str">
        <f t="shared" si="1"/>
        <v>"C:\Program Files (x86)\AstroGrep\AstroGrep.exe" /spath="%USERPROFILE%\AppData\Local\Temp\OnboardLogs" /stypes="*4046*201610191*" /stext=" 15:.+((SYSTEM_STATE.+slice.+state.+changed )|(ment ac)|(system.+state.+changed )|(\[timeout)|(PRM\|1\|D)|(kpr)|(kdp)|(\|lc)|(penalty))" /e /r /s</v>
      </c>
      <c r="U13" s="9" t="str">
        <f t="shared" si="2"/>
        <v>4046</v>
      </c>
      <c r="V13" s="36">
        <f t="shared" si="3"/>
        <v>42662.628587962965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{"issue":{"subject":"Onboard showed -OK TO CHANGE FROM MAIN 1 TO MAIN 2?- prompt","project_id":79,"tracker_id":40,"status_id":1,"priority_id":2,"assigned_to_id":23,"start_date":"2016-10-19","description":"Switch 1000022 @ MP23.0436 was aligned reverse, taking the train from MAIN 1 to MAIN 2. However, when the train was at MP22.9853, a prompt displayed asking if it was OK to change from MAIN 1 to MAIN 2. The operator clicked yes, and then the train was enforced. The main question here... why was the prompt displayed in the first place?","custom_fields":[{"id":1,"name":"Subdivision","value":"EC"},{"id":4,"name":"Milepost","value":"0"},{"id":17,"name":"Train ID","value":"139-19"},{"id":16,"name":"Locomotive ID","value":"4046"},{"id":130,"name":"Impact","value":"Enforcement"},{"id":150,"name":"Time of Event (Mountain Time)","value":"09:05:10"},{"id":151,"name":"Denver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13" s="53" t="s">
        <v>773</v>
      </c>
      <c r="AA13" s="53" t="s">
        <v>126</v>
      </c>
      <c r="AB13" s="53" t="s">
        <v>179</v>
      </c>
      <c r="AC13" s="144" t="str">
        <f t="shared" si="7"/>
        <v>grep -hSE -A100 "Enforcement Action" "%USERPROFILE%\AppData\Local\Temp\OnboardLogs"\RTDC4046\*4046*201610191* | grep -SE "((Enforcement Ac)|(PRM))" -</v>
      </c>
    </row>
    <row r="14" spans="1:29" s="1" customFormat="1" x14ac:dyDescent="0.25">
      <c r="A14" s="36">
        <v>42662.642418981479</v>
      </c>
      <c r="B14" s="31" t="s">
        <v>294</v>
      </c>
      <c r="C14" s="31" t="s">
        <v>455</v>
      </c>
      <c r="D14" s="31" t="s">
        <v>49</v>
      </c>
      <c r="E14" s="31" t="s">
        <v>258</v>
      </c>
      <c r="F14" s="47">
        <v>0</v>
      </c>
      <c r="G14" s="47">
        <v>621</v>
      </c>
      <c r="H14" s="47">
        <v>131203</v>
      </c>
      <c r="I14" s="47">
        <v>128777</v>
      </c>
      <c r="J14" s="31" t="s">
        <v>259</v>
      </c>
      <c r="K14" s="47">
        <v>127587</v>
      </c>
      <c r="L14" s="160" t="s">
        <v>51</v>
      </c>
      <c r="M14" s="161">
        <f t="shared" si="0"/>
        <v>628.32000000000005</v>
      </c>
      <c r="N14" s="162" t="str">
        <f>VLOOKUP(C14,'Trips&amp;Operators'!$C$1:$E$99999,3,FALSE)</f>
        <v>STORY</v>
      </c>
      <c r="O14" s="143" t="s">
        <v>254</v>
      </c>
      <c r="P14" s="163" t="s">
        <v>782</v>
      </c>
      <c r="Q14" s="31"/>
      <c r="R14" s="100" t="str">
        <f>VLOOKUP(C14,'Train Runs'!$A$13:$AE$10024,31,0)</f>
        <v>aws s3 cp s3://rtdc.mdm.uploadarchive.raw/RTDC4026/ "%USERPROFILE%\AppData\Local\Temp\OnboardLogs"\RTDC4026\2016-10-19 --exclude "*" --recursive --include "*20161019*" &amp; "%USERPROFILE%\Documents\GitHub\mrs-test-scripts\Headless Mode &amp; Sideloading\WalkAndUnGZ.bat" "%USERPROFILE%\AppData\Local\Temp\OnboardLogs"\RTDC4026\2016-10-19 &amp; aws s3 cp s3://rtdc.mdm.uploadarchive.raw/RTDC4026/ "%USERPROFILE%\AppData\Local\Temp\OnboardLogs"\RTDC4026\2016-10-20 --exclude "*" --recursive --include "*20161020*" &amp; "%USERPROFILE%\Documents\GitHub\mrs-test-scripts\Headless Mode &amp; Sideloading\WalkAndUnGZ.bat" "%USERPROFILE%\AppData\Local\Temp\OnboardLogs"\RTDC4026\2016-10-20</v>
      </c>
      <c r="S14" s="103" t="str">
        <f>VLOOKUP(C14,'Train Runs'!$A$13:$AE$10024,22,0)</f>
        <v>https://search-rtdc-monitor-bjffxe2xuh6vdkpspy63sjmuny.us-east-1.es.amazonaws.com/_plugin/kibana/#/discover/Steve-Slow-Train-Analysis-(2080s-and-2083s)?_g=(refreshInterval:(display:Off,section:0,value:0),time:(from:'2016-10-19 13:57:28-0600',mode:absolute,to:'2016-10-19 16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/stypes="*4026*201610192*" /stext=" 21:.+((SYSTEM_STATE.+slice.+state.+changed )|(ment ac)|(system.+state.+changed )|(\[timeout)|(PRM\|1\|D)|(kpr)|(kdp)|(\|lc)|(penalty))" /e /r /s</v>
      </c>
      <c r="U14" s="9" t="str">
        <f t="shared" si="2"/>
        <v>4026</v>
      </c>
      <c r="V14" s="36">
        <f t="shared" si="3"/>
        <v>42662.892418981479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{"issue":{"subject":"40th 4S STOP, cleared afterward","project_id":79,"tracker_id":40,"status_id":1,"priority_id":2,"assigned_to_id":23,"start_date":"2016-10-19","description":"","custom_fields":[{"id":1,"name":"Subdivision","value":"EC"},{"id":4,"name":"Milepost","value":"12.7587"},{"id":17,"name":"Train ID","value":"186-19"},{"id":16,"name":"Locomotive ID","value":"4026"},{"id":130,"name":"Impact","value":""},{"id":150,"name":"Time of Event (Mountain Time)","value":"15:25:05"},{"id":151,"name":"Denver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4" t="str">
        <f t="shared" si="7"/>
        <v>grep -hSE -A100 "Enforcement Action" "%USERPROFILE%\AppData\Local\Temp\OnboardLogs"\RTDC4026\*4026*201610192* | grep -SE "((Enforcement Ac)|(PRM))" -</v>
      </c>
    </row>
    <row r="15" spans="1:29" s="1" customFormat="1" x14ac:dyDescent="0.25">
      <c r="A15" s="36">
        <v>42662.809224537035</v>
      </c>
      <c r="B15" s="31" t="s">
        <v>459</v>
      </c>
      <c r="C15" s="31" t="s">
        <v>460</v>
      </c>
      <c r="D15" s="31" t="s">
        <v>49</v>
      </c>
      <c r="E15" s="31" t="s">
        <v>258</v>
      </c>
      <c r="F15" s="47">
        <v>0</v>
      </c>
      <c r="G15" s="47">
        <v>426</v>
      </c>
      <c r="H15" s="47">
        <v>130297</v>
      </c>
      <c r="I15" s="47">
        <v>128828</v>
      </c>
      <c r="J15" s="31" t="s">
        <v>259</v>
      </c>
      <c r="K15" s="47">
        <v>127587</v>
      </c>
      <c r="L15" s="160" t="s">
        <v>51</v>
      </c>
      <c r="M15" s="161">
        <f t="shared" si="0"/>
        <v>655.24800000000005</v>
      </c>
      <c r="N15" s="162" t="str">
        <f>VLOOKUP(C15,'Trips&amp;Operators'!$C$1:$E$99999,3,FALSE)</f>
        <v>LEVIN</v>
      </c>
      <c r="O15" s="143" t="s">
        <v>254</v>
      </c>
      <c r="P15" s="163" t="s">
        <v>782</v>
      </c>
      <c r="Q15" s="31"/>
      <c r="R15" s="100" t="str">
        <f>VLOOKUP(C15,'Train Runs'!$A$13:$AE$10024,31,0)</f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S15" s="103" t="str">
        <f>VLOOKUP(C15,'Train Runs'!$A$13:$AE$10024,22,0)</f>
        <v>https://search-rtdc-monitor-bjffxe2xuh6vdkpspy63sjmuny.us-east-1.es.amazonaws.com/_plugin/kibana/#/discover/Steve-Slow-Train-Analysis-(2080s-and-2083s)?_g=(refreshInterval:(display:Off,section:0,value:0),time:(from:'2016-10-19 18:00:48-0600',mode:absolute,to:'2016-10-19 20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5" s="105" t="str">
        <f t="shared" si="1"/>
        <v>"C:\Program Files (x86)\AstroGrep\AstroGrep.exe" /spath="%USERPROFILE%\AppData\Local\Temp\OnboardLogs" /stypes="*4013*201610200*" /stext=" 01:.+((SYSTEM_STATE.+slice.+state.+changed )|(ment ac)|(system.+state.+changed )|(\[timeout)|(PRM\|1\|D)|(kpr)|(kdp)|(\|lc)|(penalty))" /e /r /s</v>
      </c>
      <c r="U15" s="9" t="str">
        <f t="shared" si="2"/>
        <v>4013</v>
      </c>
      <c r="V15" s="36">
        <f t="shared" si="3"/>
        <v>42663.059224537035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{"issue":{"subject":"40th 4S STOP, cleared afterward","project_id":79,"tracker_id":40,"status_id":1,"priority_id":2,"assigned_to_id":23,"start_date":"2016-10-19","description":"","custom_fields":[{"id":1,"name":"Subdivision","value":"EC"},{"id":4,"name":"Milepost","value":"12.7587"},{"id":17,"name":"Train ID","value":"218-19"},{"id":16,"name":"Locomotive ID","value":"4013"},{"id":130,"name":"Impact","value":""},{"id":150,"name":"Time of Event (Mountain Time)","value":"19:25:17"},{"id":151,"name":"Denver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4" t="str">
        <f t="shared" si="7"/>
        <v>grep -hSE -A100 "Enforcement Action" "%USERPROFILE%\AppData\Local\Temp\OnboardLogs"\RTDC4013\*4013*201610200* | grep -SE "((Enforcement Ac)|(PRM))" -</v>
      </c>
    </row>
    <row r="16" spans="1:29" s="1" customFormat="1" x14ac:dyDescent="0.25">
      <c r="A16" s="36">
        <v>42662.623182870368</v>
      </c>
      <c r="B16" s="31" t="s">
        <v>267</v>
      </c>
      <c r="C16" s="31" t="s">
        <v>454</v>
      </c>
      <c r="D16" s="31" t="s">
        <v>49</v>
      </c>
      <c r="E16" s="31" t="s">
        <v>258</v>
      </c>
      <c r="F16" s="47">
        <v>0</v>
      </c>
      <c r="G16" s="47">
        <v>780</v>
      </c>
      <c r="H16" s="47">
        <v>144086</v>
      </c>
      <c r="I16" s="47">
        <v>147891</v>
      </c>
      <c r="J16" s="31" t="s">
        <v>259</v>
      </c>
      <c r="K16" s="47">
        <v>144300</v>
      </c>
      <c r="L16" s="160" t="s">
        <v>50</v>
      </c>
      <c r="M16" s="161">
        <f t="shared" si="0"/>
        <v>-1896.048</v>
      </c>
      <c r="N16" s="162" t="str">
        <f>VLOOKUP(C16,'Trips&amp;Operators'!$C$1:$E$99999,3,FALSE)</f>
        <v>HILLS</v>
      </c>
      <c r="O16" s="143" t="s">
        <v>465</v>
      </c>
      <c r="P16" s="163" t="s">
        <v>783</v>
      </c>
      <c r="Q16" s="31"/>
      <c r="R16" s="100" t="str">
        <f>VLOOKUP(C16,'Train Runs'!$A$13:$AE$10024,31,0)</f>
        <v>aws s3 cp s3://rtdc.mdm.uploadarchive.raw/RTDC4042/ "%USERPROFILE%\AppData\Local\Temp\OnboardLogs"\RTDC4042\2016-10-19 --exclude "*" --recursive --include "*20161019*" &amp; "%USERPROFILE%\Documents\GitHub\mrs-test-scripts\Headless Mode &amp; Sideloading\WalkAndUnGZ.bat" "%USERPROFILE%\AppData\Local\Temp\OnboardLogs"\RTDC4042\2016-10-19 &amp; 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</v>
      </c>
      <c r="S16" s="103" t="str">
        <f>VLOOKUP(C16,'Train Runs'!$A$13:$AE$10024,22,0)</f>
        <v>https://search-rtdc-monitor-bjffxe2xuh6vdkpspy63sjmuny.us-east-1.es.amazonaws.com/_plugin/kibana/#/discover/Steve-Slow-Train-Analysis-(2080s-and-2083s)?_g=(refreshInterval:(display:Off,section:0,value:0),time:(from:'2016-10-19 13:24:22-0600',mode:absolute,to:'2016-10-19 16:10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6" s="105" t="str">
        <f t="shared" si="1"/>
        <v>"C:\Program Files (x86)\AstroGrep\AstroGrep.exe" /spath="%USERPROFILE%\AppData\Local\Temp\OnboardLogs" /stypes="*4042*201610192*" /stext=" 20:.+((SYSTEM_STATE.+slice.+state.+changed )|(ment ac)|(system.+state.+changed )|(\[timeout)|(PRM\|1\|D)|(kpr)|(kdp)|(\|lc)|(penalty))" /e /r /s</v>
      </c>
      <c r="U16" s="9" t="str">
        <f t="shared" si="2"/>
        <v>4042</v>
      </c>
      <c r="V16" s="36">
        <f t="shared" si="3"/>
        <v>42662.873182870368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{"issue":{"subject":"Wi-MAX outage","project_id":79,"tracker_id":40,"status_id":1,"priority_id":2,"assigned_to_id":23,"start_date":"2016-10-19","description":"http://stevetu21.github.io/eaglep3/load_kml.html?kml=http://rtdc.gmaps-snips.s3.amazonaws.com/54e1837a-939d-4e1d-bbf9-f9e24358b983.kml","custom_fields":[{"id":1,"name":"Subdivision","value":"EC"},{"id":4,"name":"Milepost","value":"14.43"},{"id":17,"name":"Train ID","value":"187-19"},{"id":16,"name":"Locomotive ID","value":"4042"},{"id":130,"name":"Impact","value":"Enforcement"},{"id":150,"name":"Time of Event (Mountain Time)","value":"14:57:23"},{"id":151,"name":"Denver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785</v>
      </c>
      <c r="AA16" s="53" t="s">
        <v>126</v>
      </c>
      <c r="AB16" s="53" t="s">
        <v>139</v>
      </c>
      <c r="AC16" s="144" t="str">
        <f t="shared" si="7"/>
        <v>grep -hSE -A100 "Enforcement Action" "%USERPROFILE%\AppData\Local\Temp\OnboardLogs"\RTDC4042\*4042*201610192* | grep -SE "((Enforcement Ac)|(PRM))" -</v>
      </c>
    </row>
    <row r="17" spans="1:30" s="1" customFormat="1" x14ac:dyDescent="0.25">
      <c r="A17" s="36">
        <v>42662.376122685186</v>
      </c>
      <c r="B17" s="31" t="s">
        <v>268</v>
      </c>
      <c r="C17" s="31" t="s">
        <v>443</v>
      </c>
      <c r="D17" s="31" t="s">
        <v>49</v>
      </c>
      <c r="E17" s="31" t="s">
        <v>258</v>
      </c>
      <c r="F17" s="47">
        <v>0</v>
      </c>
      <c r="G17" s="47">
        <v>551</v>
      </c>
      <c r="H17" s="47">
        <v>195415</v>
      </c>
      <c r="I17" s="47">
        <v>193531</v>
      </c>
      <c r="J17" s="31" t="s">
        <v>259</v>
      </c>
      <c r="K17" s="47">
        <v>191723</v>
      </c>
      <c r="L17" s="160" t="s">
        <v>51</v>
      </c>
      <c r="M17" s="161">
        <f t="shared" si="0"/>
        <v>954.62400000000002</v>
      </c>
      <c r="N17" s="162" t="str">
        <f>VLOOKUP(C17,'Trips&amp;Operators'!$C$1:$E$99999,3,FALSE)</f>
        <v>ACKERMAN</v>
      </c>
      <c r="O17" s="143" t="s">
        <v>254</v>
      </c>
      <c r="P17" s="163" t="s">
        <v>311</v>
      </c>
      <c r="Q17" s="31"/>
      <c r="R17" s="100" t="str">
        <f>VLOOKUP(C17,'Train Runs'!$A$13:$AE$10024,31,0)</f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S17" s="103" t="str">
        <f>VLOOKUP(C17,'Train Runs'!$A$13:$AE$10024,22,0)</f>
        <v>https://search-rtdc-monitor-bjffxe2xuh6vdkpspy63sjmuny.us-east-1.es.amazonaws.com/_plugin/kibana/#/discover/Steve-Slow-Train-Analysis-(2080s-and-2083s)?_g=(refreshInterval:(display:Off,section:0,value:0),time:(from:'2016-10-19 07:40:57-0600',mode:absolute,to:'2016-10-19 10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7" s="105" t="str">
        <f t="shared" si="1"/>
        <v>"C:\Program Files (x86)\AstroGrep\AstroGrep.exe" /spath="%USERPROFILE%\AppData\Local\Temp\OnboardLogs" /stypes="*4001*201610191*" /stext=" 15:.+((SYSTEM_STATE.+slice.+state.+changed )|(ment ac)|(system.+state.+changed )|(\[timeout)|(PRM\|1\|D)|(kpr)|(kdp)|(\|lc)|(penalty))" /e /r /s</v>
      </c>
      <c r="U17" s="9" t="str">
        <f t="shared" si="2"/>
        <v>4001</v>
      </c>
      <c r="V17" s="36">
        <f t="shared" si="3"/>
        <v>42662.626122685186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{"issue":{"subject":"Pena 4S STOP, cleared afterward","project_id":79,"tracker_id":40,"status_id":1,"priority_id":2,"assigned_to_id":23,"start_date":"2016-10-19","description":"","custom_fields":[{"id":1,"name":"Subdivision","value":"EC"},{"id":4,"name":"Milepost","value":"19.1723"},{"id":17,"name":"Train ID","value":"136-19"},{"id":16,"name":"Locomotive ID","value":"4001"},{"id":130,"name":"Impact","value":""},{"id":150,"name":"Time of Event (Mountain Time)","value":"09:01:37"},{"id":151,"name":"Denver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4" t="str">
        <f t="shared" si="7"/>
        <v>grep -hSE -A100 "Enforcement Action" "%USERPROFILE%\AppData\Local\Temp\OnboardLogs"\RTDC4001\*4001*201610191* | grep -SE "((Enforcement Ac)|(PRM))" -</v>
      </c>
    </row>
    <row r="18" spans="1:30" s="1" customFormat="1" x14ac:dyDescent="0.25">
      <c r="A18" s="36">
        <v>42663.062916666669</v>
      </c>
      <c r="B18" s="31" t="s">
        <v>268</v>
      </c>
      <c r="C18" s="31" t="s">
        <v>464</v>
      </c>
      <c r="D18" s="31" t="s">
        <v>49</v>
      </c>
      <c r="E18" s="31" t="s">
        <v>258</v>
      </c>
      <c r="F18" s="47">
        <v>0</v>
      </c>
      <c r="G18" s="47">
        <v>652</v>
      </c>
      <c r="H18" s="47">
        <v>202309</v>
      </c>
      <c r="I18" s="47">
        <v>199363</v>
      </c>
      <c r="J18" s="31" t="s">
        <v>259</v>
      </c>
      <c r="K18" s="47">
        <v>198256</v>
      </c>
      <c r="L18" s="160" t="s">
        <v>51</v>
      </c>
      <c r="M18" s="161">
        <f t="shared" si="0"/>
        <v>584.49599999999998</v>
      </c>
      <c r="N18" s="162" t="str">
        <f>VLOOKUP(C18,'Trips&amp;Operators'!$C$1:$E$99999,3,FALSE)</f>
        <v>LEVIN</v>
      </c>
      <c r="O18" s="143" t="s">
        <v>465</v>
      </c>
      <c r="P18" s="163" t="s">
        <v>783</v>
      </c>
      <c r="Q18" s="31"/>
      <c r="R18" s="100" t="str">
        <f>VLOOKUP(C18,'Train Runs'!$A$13:$AE$10024,31,0)</f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S18" s="103" t="str">
        <f>VLOOKUP(C18,'Train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00:15:59-0600',mode:absolute,to:'2016-10-20 03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8" s="105" t="str">
        <f t="shared" si="1"/>
        <v>"C:\Program Files (x86)\AstroGrep\AstroGrep.exe" /spath="%USERPROFILE%\AppData\Local\Temp\OnboardLogs" /stypes="*4001*201610200*" /stext=" 07:.+((SYSTEM_STATE.+slice.+state.+changed )|(ment ac)|(system.+state.+changed )|(\[timeout)|(PRM\|1\|D)|(kpr)|(kdp)|(\|lc)|(penalty))" /e /r /s</v>
      </c>
      <c r="U18" s="9" t="str">
        <f t="shared" si="2"/>
        <v>4001</v>
      </c>
      <c r="V18" s="36">
        <f t="shared" si="3"/>
        <v>42663.312916666669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{"issue":{"subject":"Wi-MAX outage","project_id":79,"tracker_id":40,"status_id":1,"priority_id":2,"assigned_to_id":23,"start_date":"2016-10-20","description":"http://stevetu21.github.io/eaglep3/load_kml.html?kml=http://rtdc.gmaps-snips.s3.amazonaws.com/962b2111-8cf8-4887-8f20-f0654cf5278e.kml","custom_fields":[{"id":1,"name":"Subdivision","value":"EC"},{"id":4,"name":"Milepost","value":"19.8256"},{"id":17,"name":"Train ID","value":"244-19"},{"id":16,"name":"Locomotive ID","value":"4001"},{"id":130,"name":"Impact","value":"Enforcement"},{"id":150,"name":"Time of Event (Mountain Time)","value":"01:30:36"},{"id":151,"name":"Denver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184" t="s">
        <v>784</v>
      </c>
      <c r="AA18" s="53" t="s">
        <v>126</v>
      </c>
      <c r="AB18" s="53" t="s">
        <v>139</v>
      </c>
      <c r="AC18" s="144" t="str">
        <f t="shared" si="7"/>
        <v>grep -hSE -A100 "Enforcement Action" "%USERPROFILE%\AppData\Local\Temp\OnboardLogs"\RTDC4001\*4001*201610200* | grep -SE "((Enforcement Ac)|(PRM))" -</v>
      </c>
    </row>
    <row r="19" spans="1:30" s="1" customFormat="1" x14ac:dyDescent="0.25">
      <c r="A19" s="36">
        <v>42663.063611111109</v>
      </c>
      <c r="B19" s="31" t="s">
        <v>268</v>
      </c>
      <c r="C19" s="31" t="s">
        <v>464</v>
      </c>
      <c r="D19" s="31" t="s">
        <v>49</v>
      </c>
      <c r="E19" s="31" t="s">
        <v>258</v>
      </c>
      <c r="F19" s="47">
        <v>0</v>
      </c>
      <c r="G19" s="47">
        <v>652</v>
      </c>
      <c r="H19" s="47">
        <v>202309</v>
      </c>
      <c r="I19" s="47">
        <v>198583</v>
      </c>
      <c r="J19" s="31" t="s">
        <v>259</v>
      </c>
      <c r="K19" s="47">
        <v>198256</v>
      </c>
      <c r="L19" s="160" t="s">
        <v>51</v>
      </c>
      <c r="M19" s="161">
        <f t="shared" si="0"/>
        <v>172.65600000000001</v>
      </c>
      <c r="N19" s="162" t="str">
        <f>VLOOKUP(C19,'Trips&amp;Operators'!$C$1:$E$99999,3,FALSE)</f>
        <v>LEVIN</v>
      </c>
      <c r="O19" s="143" t="s">
        <v>465</v>
      </c>
      <c r="P19" s="163" t="s">
        <v>783</v>
      </c>
      <c r="Q19" s="31"/>
      <c r="R19" s="100" t="str">
        <f>VLOOKUP(C19,'Train Runs'!$A$13:$AE$10024,31,0)</f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S19" s="103" t="str">
        <f>VLOOKUP(C19,'Train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00:15:59-0600',mode:absolute,to:'2016-10-20 03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9" s="105" t="str">
        <f t="shared" si="1"/>
        <v>"C:\Program Files (x86)\AstroGrep\AstroGrep.exe" /spath="%USERPROFILE%\AppData\Local\Temp\OnboardLogs" /stypes="*4001*201610200*" /stext=" 07:.+((SYSTEM_STATE.+slice.+state.+changed )|(ment ac)|(system.+state.+changed )|(\[timeout)|(PRM\|1\|D)|(kpr)|(kdp)|(\|lc)|(penalty))" /e /r /s</v>
      </c>
      <c r="U19" s="9" t="str">
        <f t="shared" si="2"/>
        <v>4001</v>
      </c>
      <c r="V19" s="36">
        <f t="shared" si="3"/>
        <v>42663.313611111109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{"issue":{"subject":"Wi-MAX outage","project_id":79,"tracker_id":40,"status_id":1,"priority_id":2,"assigned_to_id":23,"start_date":"2016-10-20","description":"","custom_fields":[{"id":1,"name":"Subdivision","value":"EC"},{"id":4,"name":"Milepost","value":"19.8256"},{"id":17,"name":"Train ID","value":"244-19"},{"id":16,"name":"Locomotive ID","value":"4001"},{"id":130,"name":"Impact","value":""},{"id":150,"name":"Time of Event (Mountain Time)","value":"01:31:36"},{"id":151,"name":"Denver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4" t="str">
        <f t="shared" si="7"/>
        <v>grep -hSE -A100 "Enforcement Action" "%USERPROFILE%\AppData\Local\Temp\OnboardLogs"\RTDC4001\*4001*201610200* | grep -SE "((Enforcement Ac)|(PRM))" -</v>
      </c>
    </row>
    <row r="20" spans="1:30" x14ac:dyDescent="0.25">
      <c r="A20" s="36">
        <v>42662.3280787037</v>
      </c>
      <c r="B20" s="31" t="s">
        <v>268</v>
      </c>
      <c r="C20" s="31" t="s">
        <v>440</v>
      </c>
      <c r="D20" s="31" t="s">
        <v>49</v>
      </c>
      <c r="E20" s="31" t="s">
        <v>260</v>
      </c>
      <c r="F20" s="47">
        <v>0</v>
      </c>
      <c r="G20" s="47">
        <v>43</v>
      </c>
      <c r="H20" s="47">
        <v>134</v>
      </c>
      <c r="I20" s="47">
        <v>67</v>
      </c>
      <c r="J20" s="31" t="s">
        <v>261</v>
      </c>
      <c r="K20" s="47">
        <v>1</v>
      </c>
      <c r="L20" s="160" t="s">
        <v>51</v>
      </c>
      <c r="M20" s="161">
        <f t="shared" si="0"/>
        <v>34.847999999999999</v>
      </c>
      <c r="N20" s="162" t="str">
        <f>VLOOKUP(C20,'Trips&amp;Operators'!$C$1:$E$99999,3,FALSE)</f>
        <v>ACKERMAN</v>
      </c>
      <c r="O20" s="143" t="s">
        <v>254</v>
      </c>
      <c r="P20" s="163"/>
      <c r="Q20" s="31"/>
      <c r="R20" s="100" t="str">
        <f>VLOOKUP(C20,'Train Runs'!$A$13:$AE$10024,31,0)</f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S20" s="103" t="str">
        <f>VLOOKUP(C20,'Train Runs'!$A$13:$AE$10024,22,0)</f>
        <v>https://search-rtdc-monitor-bjffxe2xuh6vdkpspy63sjmuny.us-east-1.es.amazonaws.com/_plugin/kibana/#/discover/Steve-Slow-Train-Analysis-(2080s-and-2083s)?_g=(refreshInterval:(display:Off,section:0,value:0),time:(from:'2016-10-19 05:54:54-0600',mode:absolute,to:'2016-10-19 08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0" s="105" t="str">
        <f t="shared" si="1"/>
        <v>"C:\Program Files (x86)\AstroGrep\AstroGrep.exe" /spath="%USERPROFILE%\AppData\Local\Temp\OnboardLogs" /stypes="*4001*201610191*" /stext=" 13:.+((SYSTEM_STATE.+slice.+state.+changed )|(ment ac)|(system.+state.+changed )|(\[timeout)|(PRM\|1\|D)|(kpr)|(kdp)|(\|lc)|(penalty))" /e /r /s</v>
      </c>
      <c r="U20" s="9" t="str">
        <f t="shared" si="2"/>
        <v>4001</v>
      </c>
      <c r="V20" s="36">
        <f t="shared" si="3"/>
        <v>42662.5780787037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{"issue":{"subject":"","project_id":79,"tracker_id":40,"status_id":1,"priority_id":2,"assigned_to_id":23,"start_date":"2016-10-19","description":"","custom_fields":[{"id":1,"name":"Subdivision","value":"EC"},{"id":4,"name":"Milepost","value":"0.0001"},{"id":17,"name":"Train ID","value":"122-19"},{"id":16,"name":"Locomotive ID","value":"4001"},{"id":130,"name":"Impact","value":""},{"id":150,"name":"Time of Event (Mountain Time)","value":"07:52:26"},{"id":151,"name":"Denver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4" t="str">
        <f t="shared" si="7"/>
        <v>grep -hSE -A100 "Enforcement Action" "%USERPROFILE%\AppData\Local\Temp\OnboardLogs"\RTDC4001\*4001*201610191* | grep -SE "((Enforcement Ac)|(PRM))" -</v>
      </c>
      <c r="AD20" s="1"/>
    </row>
    <row r="21" spans="1:30" s="1" customFormat="1" x14ac:dyDescent="0.25">
      <c r="A21" s="36">
        <v>42662.400023148148</v>
      </c>
      <c r="B21" s="31" t="s">
        <v>268</v>
      </c>
      <c r="C21" s="31" t="s">
        <v>443</v>
      </c>
      <c r="D21" s="31" t="s">
        <v>49</v>
      </c>
      <c r="E21" s="31" t="s">
        <v>260</v>
      </c>
      <c r="F21" s="47">
        <v>0</v>
      </c>
      <c r="G21" s="47">
        <v>57</v>
      </c>
      <c r="H21" s="47">
        <v>212</v>
      </c>
      <c r="I21" s="47">
        <v>163</v>
      </c>
      <c r="J21" s="31" t="s">
        <v>261</v>
      </c>
      <c r="K21" s="47">
        <v>1</v>
      </c>
      <c r="L21" s="160" t="s">
        <v>51</v>
      </c>
      <c r="M21" s="161">
        <f t="shared" si="0"/>
        <v>85.536000000000001</v>
      </c>
      <c r="N21" s="162" t="str">
        <f>VLOOKUP(C21,'Trips&amp;Operators'!$C$1:$E$99999,3,FALSE)</f>
        <v>ACKERMAN</v>
      </c>
      <c r="O21" s="143" t="s">
        <v>254</v>
      </c>
      <c r="P21" s="163"/>
      <c r="Q21" s="31"/>
      <c r="R21" s="100" t="str">
        <f>VLOOKUP(C21,'Train Runs'!$A$13:$AE$10024,31,0)</f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S21" s="103" t="str">
        <f>VLOOKUP(C21,'Train Runs'!$A$13:$AE$10024,22,0)</f>
        <v>https://search-rtdc-monitor-bjffxe2xuh6vdkpspy63sjmuny.us-east-1.es.amazonaws.com/_plugin/kibana/#/discover/Steve-Slow-Train-Analysis-(2080s-and-2083s)?_g=(refreshInterval:(display:Off,section:0,value:0),time:(from:'2016-10-19 07:40:57-0600',mode:absolute,to:'2016-10-19 10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1" s="105" t="str">
        <f t="shared" si="1"/>
        <v>"C:\Program Files (x86)\AstroGrep\AstroGrep.exe" /spath="%USERPROFILE%\AppData\Local\Temp\OnboardLogs" /stypes="*4001*201610191*" /stext=" 15:.+((SYSTEM_STATE.+slice.+state.+changed )|(ment ac)|(system.+state.+changed )|(\[timeout)|(PRM\|1\|D)|(kpr)|(kdp)|(\|lc)|(penalty))" /e /r /s</v>
      </c>
      <c r="U21" s="9" t="str">
        <f t="shared" si="2"/>
        <v>4001</v>
      </c>
      <c r="V21" s="36">
        <f t="shared" si="3"/>
        <v>42662.650023148148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{"issue":{"subject":"","project_id":79,"tracker_id":40,"status_id":1,"priority_id":2,"assigned_to_id":23,"start_date":"2016-10-19","description":"","custom_fields":[{"id":1,"name":"Subdivision","value":"EC"},{"id":4,"name":"Milepost","value":"0.0001"},{"id":17,"name":"Train ID","value":"136-19"},{"id":16,"name":"Locomotive ID","value":"4001"},{"id":130,"name":"Impact","value":""},{"id":150,"name":"Time of Event (Mountain Time)","value":"09:36:02"},{"id":151,"name":"Denver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4" t="str">
        <f t="shared" si="7"/>
        <v>grep -hSE -A100 "Enforcement Action" "%USERPROFILE%\AppData\Local\Temp\OnboardLogs"\RTDC4001\*4001*201610191* | grep -SE "((Enforcement Ac)|(PRM))" -</v>
      </c>
    </row>
    <row r="22" spans="1:30" x14ac:dyDescent="0.25">
      <c r="A22" s="36">
        <v>42662.473020833335</v>
      </c>
      <c r="B22" s="31" t="s">
        <v>268</v>
      </c>
      <c r="C22" s="31" t="s">
        <v>448</v>
      </c>
      <c r="D22" s="31" t="s">
        <v>49</v>
      </c>
      <c r="E22" s="31" t="s">
        <v>260</v>
      </c>
      <c r="F22" s="47">
        <v>0</v>
      </c>
      <c r="G22" s="47">
        <v>47</v>
      </c>
      <c r="H22" s="47">
        <v>145</v>
      </c>
      <c r="I22" s="47">
        <v>114</v>
      </c>
      <c r="J22" s="31" t="s">
        <v>261</v>
      </c>
      <c r="K22" s="47">
        <v>1</v>
      </c>
      <c r="L22" s="160" t="s">
        <v>51</v>
      </c>
      <c r="M22" s="161">
        <f t="shared" si="0"/>
        <v>59.664000000000001</v>
      </c>
      <c r="N22" s="162" t="str">
        <f>VLOOKUP(C22,'Trips&amp;Operators'!$C$1:$E$99999,3,FALSE)</f>
        <v>ACKERMAN</v>
      </c>
      <c r="O22" s="143" t="s">
        <v>254</v>
      </c>
      <c r="P22" s="163"/>
      <c r="Q22" s="31"/>
      <c r="R22" s="100" t="str">
        <f>VLOOKUP(C22,'Train Runs'!$A$13:$AE$10024,31,0)</f>
        <v>aws s3 cp s3://rtdc.mdm.uploadarchive.raw/RTDC4001/ "%USERPROFILE%\AppData\Local\Temp\OnboardLogs"\RTDC4001\2016-10-19 --exclude "*" --recursive --include "*20161019*" &amp; "%USERPROFILE%\Documents\GitHub\mrs-test-scripts\Headless Mode &amp; Sideloading\WalkAndUnGZ.bat" "%USERPROFILE%\AppData\Local\Temp\OnboardLogs"\RTDC4001\2016-10-19 &amp; 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</v>
      </c>
      <c r="S22" s="103" t="str">
        <f>VLOOKUP(C22,'Train Runs'!$A$13:$AE$10024,22,0)</f>
        <v>https://search-rtdc-monitor-bjffxe2xuh6vdkpspy63sjmuny.us-east-1.es.amazonaws.com/_plugin/kibana/#/discover/Steve-Slow-Train-Analysis-(2080s-and-2083s)?_g=(refreshInterval:(display:Off,section:0,value:0),time:(from:'2016-10-19 09:33:15-0600',mode:absolute,to:'2016-10-19 12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2" s="105" t="str">
        <f t="shared" si="1"/>
        <v>"C:\Program Files (x86)\AstroGrep\AstroGrep.exe" /spath="%USERPROFILE%\AppData\Local\Temp\OnboardLogs" /stypes="*4001*201610191*" /stext=" 17:.+((SYSTEM_STATE.+slice.+state.+changed )|(ment ac)|(system.+state.+changed )|(\[timeout)|(PRM\|1\|D)|(kpr)|(kdp)|(\|lc)|(penalty))" /e /r /s</v>
      </c>
      <c r="U22" s="9" t="str">
        <f t="shared" si="2"/>
        <v>4001</v>
      </c>
      <c r="V22" s="36">
        <f t="shared" si="3"/>
        <v>42662.723020833335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{"issue":{"subject":"","project_id":79,"tracker_id":40,"status_id":1,"priority_id":2,"assigned_to_id":23,"start_date":"2016-10-19","description":"","custom_fields":[{"id":1,"name":"Subdivision","value":"EC"},{"id":4,"name":"Milepost","value":"0.0001"},{"id":17,"name":"Train ID","value":"150-19"},{"id":16,"name":"Locomotive ID","value":"4001"},{"id":130,"name":"Impact","value":""},{"id":150,"name":"Time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4" t="str">
        <f t="shared" si="7"/>
        <v>grep -hSE -A100 "Enforcement Action" "%USERPROFILE%\AppData\Local\Temp\OnboardLogs"\RTDC4001\*4001*201610191* | grep -SE "((Enforcement Ac)|(PRM))" -</v>
      </c>
      <c r="AD22" s="1"/>
    </row>
    <row r="23" spans="1:30" x14ac:dyDescent="0.25">
      <c r="A23" s="36">
        <v>42662.484942129631</v>
      </c>
      <c r="B23" s="31" t="s">
        <v>214</v>
      </c>
      <c r="C23" s="31" t="s">
        <v>449</v>
      </c>
      <c r="D23" s="31" t="s">
        <v>49</v>
      </c>
      <c r="E23" s="31" t="s">
        <v>260</v>
      </c>
      <c r="F23" s="47">
        <v>0</v>
      </c>
      <c r="G23" s="47">
        <v>47</v>
      </c>
      <c r="H23" s="47">
        <v>160</v>
      </c>
      <c r="I23" s="47">
        <v>114</v>
      </c>
      <c r="J23" s="31" t="s">
        <v>261</v>
      </c>
      <c r="K23" s="47">
        <v>1</v>
      </c>
      <c r="L23" s="160" t="s">
        <v>51</v>
      </c>
      <c r="M23" s="161">
        <f t="shared" si="0"/>
        <v>59.664000000000001</v>
      </c>
      <c r="N23" s="162" t="str">
        <f>VLOOKUP(C23,'Trips&amp;Operators'!$C$1:$E$99999,3,FALSE)</f>
        <v>KILLION</v>
      </c>
      <c r="O23" s="143" t="s">
        <v>254</v>
      </c>
      <c r="P23" s="163"/>
      <c r="Q23" s="31"/>
      <c r="R23" s="100" t="str">
        <f>VLOOKUP(C23,'Train Runs'!$A$13:$AE$10024,31,0)</f>
        <v>aws s3 cp s3://rtdc.mdm.uploadarchive.raw/RTDC4039/ "%USERPROFILE%\AppData\Local\Temp\OnboardLogs"\RTDC4039\2016-10-19 --exclude "*" --recursive --include "*20161019*" &amp; "%USERPROFILE%\Documents\GitHub\mrs-test-scripts\Headless Mode &amp; Sideloading\WalkAndUnGZ.bat" "%USERPROFILE%\AppData\Local\Temp\OnboardLogs"\RTDC4039\2016-10-19 &amp; 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</v>
      </c>
      <c r="S23" s="103" t="str">
        <f>VLOOKUP(C23,'Train Runs'!$A$13:$AE$10024,22,0)</f>
        <v>https://search-rtdc-monitor-bjffxe2xuh6vdkpspy63sjmuny.us-east-1.es.amazonaws.com/_plugin/kibana/#/discover/Steve-Slow-Train-Analysis-(2080s-and-2083s)?_g=(refreshInterval:(display:Off,section:0,value:0),time:(from:'2016-10-19 09:44:15-0600',mode:absolute,to:'2016-10-19 12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5" t="str">
        <f t="shared" si="1"/>
        <v>"C:\Program Files (x86)\AstroGrep\AstroGrep.exe" /spath="%USERPROFILE%\AppData\Local\Temp\OnboardLogs" /stypes="*4039*201610191*" /stext=" 17:.+((SYSTEM_STATE.+slice.+state.+changed )|(ment ac)|(system.+state.+changed )|(\[timeout)|(PRM\|1\|D)|(kpr)|(kdp)|(\|lc)|(penalty))" /e /r /s</v>
      </c>
      <c r="U23" s="9" t="str">
        <f t="shared" si="2"/>
        <v>4039</v>
      </c>
      <c r="V23" s="36">
        <f t="shared" si="3"/>
        <v>42662.734942129631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{"issue":{"subject":"","project_id":79,"tracker_id":40,"status_id":1,"priority_id":2,"assigned_to_id":23,"start_date":"2016-10-19","description":"","custom_fields":[{"id":1,"name":"Subdivision","value":"EC"},{"id":4,"name":"Milepost","value":"0.0001"},{"id":17,"name":"Train ID","value":"152-19"},{"id":16,"name":"Locomotive ID","value":"4039"},{"id":130,"name":"Impact","value":""},{"id":150,"name":"Time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4" t="str">
        <f t="shared" si="7"/>
        <v>grep -hSE -A100 "Enforcement Action" "%USERPROFILE%\AppData\Local\Temp\OnboardLogs"\RTDC4039\*4039*201610191* | grep -SE "((Enforcement Ac)|(PRM))" -</v>
      </c>
      <c r="AD23" s="1"/>
    </row>
    <row r="24" spans="1:30" x14ac:dyDescent="0.25">
      <c r="A24" s="36">
        <v>42662.900092592594</v>
      </c>
      <c r="B24" s="31" t="s">
        <v>459</v>
      </c>
      <c r="C24" s="31" t="s">
        <v>463</v>
      </c>
      <c r="D24" s="31" t="s">
        <v>49</v>
      </c>
      <c r="E24" s="31" t="s">
        <v>260</v>
      </c>
      <c r="F24" s="47">
        <v>0</v>
      </c>
      <c r="G24" s="47">
        <v>61</v>
      </c>
      <c r="H24" s="47">
        <v>212</v>
      </c>
      <c r="I24" s="47">
        <v>169</v>
      </c>
      <c r="J24" s="31" t="s">
        <v>261</v>
      </c>
      <c r="K24" s="47">
        <v>1</v>
      </c>
      <c r="L24" s="160" t="s">
        <v>51</v>
      </c>
      <c r="M24" s="161">
        <f t="shared" si="0"/>
        <v>88.703999999999994</v>
      </c>
      <c r="N24" s="162" t="str">
        <f>VLOOKUP(C24,'Trips&amp;Operators'!$C$1:$E$99999,3,FALSE)</f>
        <v>LEVIN</v>
      </c>
      <c r="O24" s="143" t="s">
        <v>254</v>
      </c>
      <c r="P24" s="163"/>
      <c r="Q24" s="31"/>
      <c r="R24" s="100" t="str">
        <f>VLOOKUP(C24,'Train Runs'!$A$13:$AE$10024,31,0)</f>
        <v>aws s3 cp s3://rtdc.mdm.uploadarchive.raw/RTDC4013/ "%USERPROFILE%\AppData\Local\Temp\OnboardLogs"\RTDC4013\2016-10-19 --exclude "*" --recursive --include "*20161019*" &amp; "%USERPROFILE%\Documents\GitHub\mrs-test-scripts\Headless Mode &amp; Sideloading\WalkAndUnGZ.bat" "%USERPROFILE%\AppData\Local\Temp\OnboardLogs"\RTDC4013\2016-10-19 &amp; aws s3 cp s3://rtdc.mdm.uploadarchive.raw/RTDC4013/ "%USERPROFILE%\AppData\Local\Temp\OnboardLogs"\RTDC4013\2016-10-20 --exclude "*" --recursive --include "*20161020*" &amp; "%USERPROFILE%\Documents\GitHub\mrs-test-scripts\Headless Mode &amp; Sideloading\WalkAndUnGZ.bat" "%USERPROFILE%\AppData\Local\Temp\OnboardLogs"\RTDC4013\2016-10-20</v>
      </c>
      <c r="S24" s="103" t="str">
        <f>VLOOKUP(C24,'Train Runs'!$A$13:$AE$10024,22,0)</f>
        <v>https://search-rtdc-monitor-bjffxe2xuh6vdkpspy63sjmuny.us-east-1.es.amazonaws.com/_plugin/kibana/#/discover/Steve-Slow-Train-Analysis-(2080s-and-2083s)?_g=(refreshInterval:(display:Off,section:0,value:0),time:(from:'2016-10-19 19:52:34-0600',mode:absolute,to:'2016-10-19 22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4" s="105" t="str">
        <f t="shared" si="1"/>
        <v>"C:\Program Files (x86)\AstroGrep\AstroGrep.exe" /spath="%USERPROFILE%\AppData\Local\Temp\OnboardLogs" /stypes="*4013*201610200*" /stext=" 03:.+((SYSTEM_STATE.+slice.+state.+changed )|(ment ac)|(system.+state.+changed )|(\[timeout)|(PRM\|1\|D)|(kpr)|(kdp)|(\|lc)|(penalty))" /e /r /s</v>
      </c>
      <c r="U24" s="9" t="str">
        <f t="shared" si="2"/>
        <v>4013</v>
      </c>
      <c r="V24" s="36">
        <f t="shared" si="3"/>
        <v>42663.150092592594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{"issue":{"subject":"","project_id":79,"tracker_id":40,"status_id":1,"priority_id":2,"assigned_to_id":23,"start_date":"2016-10-19","description":"","custom_fields":[{"id":1,"name":"Subdivision","value":"EC"},{"id":4,"name":"Milepost","value":"0.0001"},{"id":17,"name":"Train ID","value":"226-19"},{"id":16,"name":"Locomotive ID","value":"4013"},{"id":130,"name":"Impact","value":""},{"id":150,"name":"Time of Event (Mountain Time)","value":"21:36:08"},{"id":151,"name":"Denver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4" t="str">
        <f t="shared" si="7"/>
        <v>grep -hSE -A100 "Enforcement Action" "%USERPROFILE%\AppData\Local\Temp\OnboardLogs"\RTDC4013\*4013*201610200* | grep -SE "((Enforcement Ac)|(PRM))" -</v>
      </c>
      <c r="AD24" s="1"/>
    </row>
    <row r="25" spans="1:30" ht="15" customHeight="1" x14ac:dyDescent="0.25">
      <c r="A25" s="36">
        <v>42662.452488425923</v>
      </c>
      <c r="B25" s="31" t="s">
        <v>198</v>
      </c>
      <c r="C25" s="31" t="s">
        <v>446</v>
      </c>
      <c r="D25" s="31" t="s">
        <v>49</v>
      </c>
      <c r="E25" s="31" t="s">
        <v>260</v>
      </c>
      <c r="F25" s="47">
        <v>0</v>
      </c>
      <c r="G25" s="47">
        <v>96</v>
      </c>
      <c r="H25" s="47">
        <v>233105</v>
      </c>
      <c r="I25" s="47">
        <v>233253</v>
      </c>
      <c r="J25" s="31" t="s">
        <v>261</v>
      </c>
      <c r="K25" s="47">
        <v>233491</v>
      </c>
      <c r="L25" s="160" t="s">
        <v>50</v>
      </c>
      <c r="M25" s="161">
        <f t="shared" si="0"/>
        <v>125.664</v>
      </c>
      <c r="N25" s="162" t="str">
        <f>VLOOKUP(C25,'Trips&amp;Operators'!$C$1:$E$99999,3,FALSE)</f>
        <v>ROCHA</v>
      </c>
      <c r="O25" s="143" t="s">
        <v>254</v>
      </c>
      <c r="P25" s="163"/>
      <c r="Q25" s="31"/>
      <c r="R25" s="100" t="str">
        <f>VLOOKUP(C25,'Train Runs'!$A$13:$AE$10024,31,0)</f>
        <v>aws s3 cp s3://rtdc.mdm.uploadarchive.raw/RTDC4046/ "%USERPROFILE%\AppData\Local\Temp\OnboardLogs"\RTDC4046\2016-10-19 --exclude "*" --recursive --include "*20161019*" &amp; "%USERPROFILE%\Documents\GitHub\mrs-test-scripts\Headless Mode &amp; Sideloading\WalkAndUnGZ.bat" "%USERPROFILE%\AppData\Local\Temp\OnboardLogs"\RTDC4046\2016-10-19 &amp; aws s3 cp s3://rtdc.mdm.uploadarchive.raw/RTDC4046/ "%USERPROFILE%\AppData\Local\Temp\OnboardLogs"\RTDC4046\2016-10-20 --exclude "*" --recursive --include "*20161020*" &amp; "%USERPROFILE%\Documents\GitHub\mrs-test-scripts\Headless Mode &amp; Sideloading\WalkAndUnGZ.bat" "%USERPROFILE%\AppData\Local\Temp\OnboardLogs"\RTDC4046\2016-10-20</v>
      </c>
      <c r="S25" s="103" t="str">
        <f>VLOOKUP(C25,'Train Runs'!$A$13:$AE$10024,22,0)</f>
        <v>https://search-rtdc-monitor-bjffxe2xuh6vdkpspy63sjmuny.us-east-1.es.amazonaws.com/_plugin/kibana/#/discover/Steve-Slow-Train-Analysis-(2080s-and-2083s)?_g=(refreshInterval:(display:Off,section:0,value:0),time:(from:'2016-10-19 09:12:48-0600',mode:absolute,to:'2016-10-19 11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5" s="105" t="str">
        <f t="shared" si="1"/>
        <v>"C:\Program Files (x86)\AstroGrep\AstroGrep.exe" /spath="%USERPROFILE%\AppData\Local\Temp\OnboardLogs" /stypes="*4046*201610191*" /stext=" 16:.+((SYSTEM_STATE.+slice.+state.+changed )|(ment ac)|(system.+state.+changed )|(\[timeout)|(PRM\|1\|D)|(kpr)|(kdp)|(\|lc)|(penalty))" /e /r /s</v>
      </c>
      <c r="U25" s="9" t="str">
        <f t="shared" si="2"/>
        <v>4046</v>
      </c>
      <c r="V25" s="36">
        <f t="shared" si="3"/>
        <v>42662.702488425923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{"issue":{"subject":"","project_id":79,"tracker_id":40,"status_id":1,"priority_id":2,"assigned_to_id":23,"start_date":"2016-10-19","description":"","custom_fields":[{"id":1,"name":"Subdivision","value":"EC"},{"id":4,"name":"Milepost","value":"23.3491"},{"id":17,"name":"Train ID","value":"153-19"},{"id":16,"name":"Locomotive ID","value":"4046"},{"id":130,"name":"Impact","value":""},{"id":150,"name":"Time of Event (Mountain Time)","value":"10:51:35"},{"id":151,"name":"Denver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4" t="str">
        <f t="shared" si="7"/>
        <v>grep -hSE -A100 "Enforcement Action" "%USERPROFILE%\AppData\Local\Temp\OnboardLogs"\RTDC4046\*4046*201610191* | grep -SE "((Enforcement Ac)|(PRM))" -</v>
      </c>
      <c r="AD25" s="1"/>
    </row>
    <row r="26" spans="1:30" x14ac:dyDescent="0.25">
      <c r="A26" s="36">
        <v>42662.464965277781</v>
      </c>
      <c r="B26" s="31" t="s">
        <v>282</v>
      </c>
      <c r="C26" s="31" t="s">
        <v>447</v>
      </c>
      <c r="D26" s="31" t="s">
        <v>49</v>
      </c>
      <c r="E26" s="31" t="s">
        <v>260</v>
      </c>
      <c r="F26" s="47">
        <v>0</v>
      </c>
      <c r="G26" s="47">
        <v>72</v>
      </c>
      <c r="H26" s="47">
        <v>233144</v>
      </c>
      <c r="I26" s="47">
        <v>233246</v>
      </c>
      <c r="J26" s="31" t="s">
        <v>261</v>
      </c>
      <c r="K26" s="47">
        <v>233491</v>
      </c>
      <c r="L26" s="160" t="s">
        <v>50</v>
      </c>
      <c r="M26" s="161">
        <f t="shared" si="0"/>
        <v>129.36000000000001</v>
      </c>
      <c r="N26" s="162" t="str">
        <f>VLOOKUP(C26,'Trips&amp;Operators'!$C$1:$E$99999,3,FALSE)</f>
        <v>STARKS</v>
      </c>
      <c r="O26" s="143" t="s">
        <v>254</v>
      </c>
      <c r="P26" s="163"/>
      <c r="Q26" s="31"/>
      <c r="R26" s="100" t="str">
        <f>VLOOKUP(C26,'Train Runs'!$A$13:$AE$10024,31,0)</f>
        <v>aws s3 cp s3://rtdc.mdm.uploadarchive.raw/RTDC4011/ "%USERPROFILE%\AppData\Local\Temp\OnboardLogs"\RTDC4011\2016-10-19 --exclude "*" --recursive --include "*20161019*" &amp; "%USERPROFILE%\Documents\GitHub\mrs-test-scripts\Headless Mode &amp; Sideloading\WalkAndUnGZ.bat" "%USERPROFILE%\AppData\Local\Temp\OnboardLogs"\RTDC4011\2016-10-19 &amp; 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</v>
      </c>
      <c r="S26" s="103" t="str">
        <f>VLOOKUP(C26,'Train Runs'!$A$13:$AE$10024,22,0)</f>
        <v>https://search-rtdc-monitor-bjffxe2xuh6vdkpspy63sjmuny.us-east-1.es.amazonaws.com/_plugin/kibana/#/discover/Steve-Slow-Train-Analysis-(2080s-and-2083s)?_g=(refreshInterval:(display:Off,section:0,value:0),time:(from:'2016-10-19 09:30:44-0600',mode:absolute,to:'2016-10-19 12:09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6" s="105" t="str">
        <f t="shared" si="1"/>
        <v>"C:\Program Files (x86)\AstroGrep\AstroGrep.exe" /spath="%USERPROFILE%\AppData\Local\Temp\OnboardLogs" /stypes="*4011*201610191*" /stext=" 17:.+((SYSTEM_STATE.+slice.+state.+changed )|(ment ac)|(system.+state.+changed )|(\[timeout)|(PRM\|1\|D)|(kpr)|(kdp)|(\|lc)|(penalty))" /e /r /s</v>
      </c>
      <c r="U26" s="9" t="str">
        <f t="shared" si="2"/>
        <v>4011</v>
      </c>
      <c r="V26" s="36">
        <f t="shared" si="3"/>
        <v>42662.714965277781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{"issue":{"subject":"","project_id":79,"tracker_id":40,"status_id":1,"priority_id":2,"assigned_to_id":23,"start_date":"2016-10-19","description":"","custom_fields":[{"id":1,"name":"Subdivision","value":"EC"},{"id":4,"name":"Milepost","value":"23.3491"},{"id":17,"name":"Train ID","value":"155-19"},{"id":16,"name":"Locomotive ID","value":"4011"},{"id":130,"name":"Impact","value":""},{"id":150,"name":"Time of Event (Mountain Time)","value":"11:09:33"},{"id":151,"name":"Denver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4" t="str">
        <f t="shared" si="7"/>
        <v>grep -hSE -A100 "Enforcement Action" "%USERPROFILE%\AppData\Local\Temp\OnboardLogs"\RTDC4011\*4011*201610191* | grep -SE "((Enforcement Ac)|(PRM))" -</v>
      </c>
      <c r="AD26" s="1"/>
    </row>
    <row r="27" spans="1:30" x14ac:dyDescent="0.25">
      <c r="A27" s="36">
        <v>42662.599745370368</v>
      </c>
      <c r="B27" s="31" t="s">
        <v>217</v>
      </c>
      <c r="C27" s="31" t="s">
        <v>452</v>
      </c>
      <c r="D27" s="31" t="s">
        <v>98</v>
      </c>
      <c r="E27" s="31" t="s">
        <v>255</v>
      </c>
      <c r="F27" s="47">
        <v>150</v>
      </c>
      <c r="G27" s="47">
        <v>204</v>
      </c>
      <c r="H27" s="47">
        <v>5616</v>
      </c>
      <c r="I27" s="47">
        <v>5908</v>
      </c>
      <c r="J27" s="31" t="s">
        <v>256</v>
      </c>
      <c r="K27" s="47">
        <v>574</v>
      </c>
      <c r="L27" s="160" t="s">
        <v>50</v>
      </c>
      <c r="M27" s="161">
        <f t="shared" si="0"/>
        <v>-2816.3519999999999</v>
      </c>
      <c r="N27" s="162" t="str">
        <f>VLOOKUP(C27,'Trips&amp;Operators'!$C$1:$E$99999,3,FALSE)</f>
        <v>MOSES</v>
      </c>
      <c r="O27" s="143" t="s">
        <v>254</v>
      </c>
      <c r="P27" s="163"/>
      <c r="Q27" s="31"/>
      <c r="R27" s="100" t="str">
        <f>VLOOKUP(C27,'Train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27" s="103" t="str">
        <f>VLOOKUP(C27,'Train Runs'!$A$13:$AE$10024,22,0)</f>
        <v>https://search-rtdc-monitor-bjffxe2xuh6vdkpspy63sjmuny.us-east-1.es.amazonaws.com/_plugin/kibana/#/discover/Steve-Slow-Train-Analysis-(2080s-and-2083s)?_g=(refreshInterval:(display:Off,section:0,value:0),time:(from:'2016-10-19 13:12:46-0600',mode:absolute,to:'2016-10-19 15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7" s="105" t="str">
        <f t="shared" si="1"/>
        <v>"C:\Program Files (x86)\AstroGrep\AstroGrep.exe" /spath="%USERPROFILE%\AppData\Local\Temp\OnboardLogs" /stypes="*4031*201610192*" /stext=" 20:.+((SYSTEM_STATE.+slice.+state.+changed )|(ment ac)|(system.+state.+changed )|(\[timeout)|(PRM\|1\|D)|(kpr)|(kdp)|(\|lc)|(penalty))" /e /r /s</v>
      </c>
      <c r="U27" s="9" t="str">
        <f t="shared" si="2"/>
        <v>4031</v>
      </c>
      <c r="V27" s="36">
        <f t="shared" si="3"/>
        <v>42662.849745370368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{"issue":{"subject":"","project_id":79,"tracker_id":40,"status_id":1,"priority_id":2,"assigned_to_id":23,"start_date":"2016-10-19","description":"","custom_fields":[{"id":1,"name":"Subdivision","value":"NW"},{"id":4,"name":"Milepost","value":"0.0574"},{"id":17,"name":"Train ID","value":"823-19"},{"id":16,"name":"Locomotive ID","value":"4031"},{"id":130,"name":"Impact","value":""},{"id":150,"name":"Time of Event (Mountain Time)","value":"14:23:38"},{"id":151,"name":"Denver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4" t="str">
        <f t="shared" si="7"/>
        <v>grep -hSE -A100 "Enforcement Action" "%USERPROFILE%\AppData\Local\Temp\OnboardLogs"\RTDC4031\*4031*201610192* | grep -SE "((Enforcement Ac)|(PRM))" -</v>
      </c>
      <c r="AD27" s="1"/>
    </row>
    <row r="28" spans="1:30" x14ac:dyDescent="0.25">
      <c r="A28" s="36">
        <v>42662.891377314816</v>
      </c>
      <c r="B28" s="31" t="s">
        <v>217</v>
      </c>
      <c r="C28" s="31" t="s">
        <v>462</v>
      </c>
      <c r="D28" s="31" t="s">
        <v>98</v>
      </c>
      <c r="E28" s="31" t="s">
        <v>255</v>
      </c>
      <c r="F28" s="47">
        <v>200</v>
      </c>
      <c r="G28" s="47">
        <v>252</v>
      </c>
      <c r="H28" s="47">
        <v>6358</v>
      </c>
      <c r="I28" s="47">
        <v>6897</v>
      </c>
      <c r="J28" s="31" t="s">
        <v>256</v>
      </c>
      <c r="K28" s="47">
        <v>5315</v>
      </c>
      <c r="L28" s="160" t="s">
        <v>50</v>
      </c>
      <c r="M28" s="161">
        <f t="shared" si="0"/>
        <v>-835.29600000000005</v>
      </c>
      <c r="N28" s="162" t="str">
        <f>VLOOKUP(C28,'Trips&amp;Operators'!$C$1:$E$99999,3,FALSE)</f>
        <v>LEVERE</v>
      </c>
      <c r="O28" s="143" t="s">
        <v>254</v>
      </c>
      <c r="P28" s="163"/>
      <c r="Q28" s="31"/>
      <c r="R28" s="100" t="str">
        <f>VLOOKUP(C28,'Train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28" s="103" t="str">
        <f>VLOOKUP(C28,'Train Runs'!$A$13:$AE$10024,22,0)</f>
        <v>https://search-rtdc-monitor-bjffxe2xuh6vdkpspy63sjmuny.us-east-1.es.amazonaws.com/_plugin/kibana/#/discover/Steve-Slow-Train-Analysis-(2080s-and-2083s)?_g=(refreshInterval:(display:Off,section:0,value:0),time:(from:'2016-10-19 20:06:23-0600',mode:absolute,to:'2016-10-19 22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8" s="105" t="str">
        <f t="shared" si="1"/>
        <v>"C:\Program Files (x86)\AstroGrep\AstroGrep.exe" /spath="%USERPROFILE%\AppData\Local\Temp\OnboardLogs" /stypes="*4031*201610200*" /stext=" 03:.+((SYSTEM_STATE.+slice.+state.+changed )|(ment ac)|(system.+state.+changed )|(\[timeout)|(PRM\|1\|D)|(kpr)|(kdp)|(\|lc)|(penalty))" /e /r /s</v>
      </c>
      <c r="U28" s="9" t="str">
        <f t="shared" si="2"/>
        <v>4031</v>
      </c>
      <c r="V28" s="36">
        <f t="shared" si="3"/>
        <v>42663.141377314816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{"issue":{"subject":"","project_id":79,"tracker_id":40,"status_id":1,"priority_id":2,"assigned_to_id":23,"start_date":"2016-10-19","description":"","custom_fields":[{"id":1,"name":"Subdivision","value":"NW"},{"id":4,"name":"Milepost","value":"0.5315"},{"id":17,"name":"Train ID","value":"845-19"},{"id":16,"name":"Locomotive ID","value":"4031"},{"id":130,"name":"Impact","value":""},{"id":150,"name":"Time of Event (Mountain Time)","value":"21:23:35"},{"id":151,"name":"Denver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4" t="str">
        <f t="shared" si="7"/>
        <v>grep -hSE -A100 "Enforcement Action" "%USERPROFILE%\AppData\Local\Temp\OnboardLogs"\RTDC4031\*4031*201610200* | grep -SE "((Enforcement Ac)|(PRM))" -</v>
      </c>
      <c r="AD28" s="1"/>
    </row>
    <row r="29" spans="1:30" x14ac:dyDescent="0.25">
      <c r="A29" s="36">
        <v>42662.657511574071</v>
      </c>
      <c r="B29" s="31" t="s">
        <v>216</v>
      </c>
      <c r="C29" s="31" t="s">
        <v>457</v>
      </c>
      <c r="D29" s="31" t="s">
        <v>98</v>
      </c>
      <c r="E29" s="31" t="s">
        <v>255</v>
      </c>
      <c r="F29" s="47">
        <v>400</v>
      </c>
      <c r="G29" s="47">
        <v>451</v>
      </c>
      <c r="H29" s="47">
        <v>38192</v>
      </c>
      <c r="I29" s="47">
        <v>37089</v>
      </c>
      <c r="J29" s="31" t="s">
        <v>256</v>
      </c>
      <c r="K29" s="47">
        <v>40977</v>
      </c>
      <c r="L29" s="160" t="s">
        <v>51</v>
      </c>
      <c r="M29" s="161">
        <f t="shared" si="0"/>
        <v>-2052.864</v>
      </c>
      <c r="N29" s="162" t="str">
        <f>VLOOKUP(C29,'Trips&amp;Operators'!$C$1:$E$99999,3,FALSE)</f>
        <v>MOSES</v>
      </c>
      <c r="O29" s="143" t="s">
        <v>254</v>
      </c>
      <c r="P29" s="163"/>
      <c r="Q29" s="31"/>
      <c r="R29" s="100" t="str">
        <f>VLOOKUP(C29,'Train Runs'!$A$13:$AE$10024,31,0)</f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S29" s="103" t="str">
        <f>VLOOKUP(C29,'Train Runs'!$A$13:$AE$10024,22,0)</f>
        <v>https://search-rtdc-monitor-bjffxe2xuh6vdkpspy63sjmuny.us-east-1.es.amazonaws.com/_plugin/kibana/#/discover/Steve-Slow-Train-Analysis-(2080s-and-2083s)?_g=(refreshInterval:(display:Off,section:0,value:0),time:(from:'2016-10-19 14:37:06-0600',mode:absolute,to:'2016-10-19 16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9" s="105" t="str">
        <f t="shared" si="1"/>
        <v>"C:\Program Files (x86)\AstroGrep\AstroGrep.exe" /spath="%USERPROFILE%\AppData\Local\Temp\OnboardLogs" /stypes="*4032*201610192*" /stext=" 21:.+((SYSTEM_STATE.+slice.+state.+changed )|(ment ac)|(system.+state.+changed )|(\[timeout)|(PRM\|1\|D)|(kpr)|(kdp)|(\|lc)|(penalty))" /e /r /s</v>
      </c>
      <c r="U29" s="9" t="str">
        <f t="shared" si="2"/>
        <v>4032</v>
      </c>
      <c r="V29" s="36">
        <f t="shared" si="3"/>
        <v>42662.907511574071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{"issue":{"subject":"","project_id":79,"tracker_id":40,"status_id":1,"priority_id":2,"assigned_to_id":23,"start_date":"2016-10-19","description":"","custom_fields":[{"id":1,"name":"Subdivision","value":"NW"},{"id":4,"name":"Milepost","value":"4.0977"},{"id":17,"name":"Train ID","value":"826-19"},{"id":16,"name":"Locomotive ID","value":"4032"},{"id":130,"name":"Impact","value":""},{"id":150,"name":"Time of Event (Mountain Time)","value":"15:46:49"},{"id":151,"name":"Denver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4" t="str">
        <f t="shared" si="7"/>
        <v>grep -hSE -A100 "Enforcement Action" "%USERPROFILE%\AppData\Local\Temp\OnboardLogs"\RTDC4032\*4032*201610192* | grep -SE "((Enforcement Ac)|(PRM))" -</v>
      </c>
      <c r="AD29" s="1"/>
    </row>
    <row r="30" spans="1:30" x14ac:dyDescent="0.25">
      <c r="A30" s="36">
        <v>42662.313761574071</v>
      </c>
      <c r="B30" s="31" t="s">
        <v>217</v>
      </c>
      <c r="C30" s="31" t="s">
        <v>439</v>
      </c>
      <c r="D30" s="31" t="s">
        <v>49</v>
      </c>
      <c r="E30" s="31" t="s">
        <v>255</v>
      </c>
      <c r="F30" s="47">
        <v>150</v>
      </c>
      <c r="G30" s="47">
        <v>306</v>
      </c>
      <c r="H30" s="47">
        <v>55849</v>
      </c>
      <c r="I30" s="47">
        <v>56426</v>
      </c>
      <c r="J30" s="31" t="s">
        <v>256</v>
      </c>
      <c r="K30" s="47">
        <v>57008</v>
      </c>
      <c r="L30" s="160" t="s">
        <v>50</v>
      </c>
      <c r="M30" s="161">
        <f t="shared" si="0"/>
        <v>307.29599999999999</v>
      </c>
      <c r="N30" s="162" t="str">
        <f>VLOOKUP(C30,'Trips&amp;Operators'!$C$1:$E$99999,3,FALSE)</f>
        <v>GEBRETEKLE</v>
      </c>
      <c r="O30" s="143" t="s">
        <v>254</v>
      </c>
      <c r="P30" s="163"/>
      <c r="Q30" s="31"/>
      <c r="R30" s="100" t="str">
        <f>VLOOKUP(C30,'Train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30" s="103" t="str">
        <f>VLOOKUP(C30,'Train Runs'!$A$13:$AE$10024,22,0)</f>
        <v>https://search-rtdc-monitor-bjffxe2xuh6vdkpspy63sjmuny.us-east-1.es.amazonaws.com/_plugin/kibana/#/discover/Steve-Slow-Train-Analysis-(2080s-and-2083s)?_g=(refreshInterval:(display:Off,section:0,value:0),time:(from:'2016-10-19 06:03:23-0600',mode:absolute,to:'2016-10-19 08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0" s="105" t="str">
        <f t="shared" si="1"/>
        <v>"C:\Program Files (x86)\AstroGrep\AstroGrep.exe" /spath="%USERPROFILE%\AppData\Local\Temp\OnboardLogs" /stypes="*4031*201610191*" /stext=" 13:.+((SYSTEM_STATE.+slice.+state.+changed )|(ment ac)|(system.+state.+changed )|(\[timeout)|(PRM\|1\|D)|(kpr)|(kdp)|(\|lc)|(penalty))" /e /r /s</v>
      </c>
      <c r="U30" s="9" t="str">
        <f t="shared" si="2"/>
        <v>4031</v>
      </c>
      <c r="V30" s="36">
        <f t="shared" si="3"/>
        <v>42662.563761574071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{"issue":{"subject":"","project_id":79,"tracker_id":40,"status_id":1,"priority_id":2,"assigned_to_id":23,"start_date":"2016-10-19","description":"","custom_fields":[{"id":1,"name":"Subdivision","value":"NW"},{"id":4,"name":"Milepost","value":"5.7008"},{"id":17,"name":"Train ID","value":"807-19"},{"id":16,"name":"Locomotive ID","value":"4031"},{"id":130,"name":"Impact","value":""},{"id":150,"name":"Time of Event (Mountain Time)","value":"07:31:49"},{"id":151,"name":"Denver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4" t="str">
        <f t="shared" si="7"/>
        <v>grep -hSE -A100 "Enforcement Action" "%USERPROFILE%\AppData\Local\Temp\OnboardLogs"\RTDC4031\*4031*201610191* | grep -SE "((Enforcement Ac)|(PRM))" -</v>
      </c>
      <c r="AD30" s="1"/>
    </row>
    <row r="31" spans="1:30" ht="15" customHeight="1" x14ac:dyDescent="0.25">
      <c r="A31" s="36">
        <v>42662.522002314814</v>
      </c>
      <c r="B31" s="31" t="s">
        <v>217</v>
      </c>
      <c r="C31" s="31" t="s">
        <v>450</v>
      </c>
      <c r="D31" s="31" t="s">
        <v>49</v>
      </c>
      <c r="E31" s="31" t="s">
        <v>255</v>
      </c>
      <c r="F31" s="47">
        <v>150</v>
      </c>
      <c r="G31" s="47">
        <v>274</v>
      </c>
      <c r="H31" s="47">
        <v>56448</v>
      </c>
      <c r="I31" s="47">
        <v>56953</v>
      </c>
      <c r="J31" s="31" t="s">
        <v>256</v>
      </c>
      <c r="K31" s="47">
        <v>57008</v>
      </c>
      <c r="L31" s="160" t="s">
        <v>50</v>
      </c>
      <c r="M31" s="161">
        <f t="shared" si="0"/>
        <v>29.04</v>
      </c>
      <c r="N31" s="162" t="str">
        <f>VLOOKUP(C31,'Trips&amp;Operators'!$C$1:$E$99999,3,FALSE)</f>
        <v>GEBRETEKLE</v>
      </c>
      <c r="O31" s="143" t="s">
        <v>254</v>
      </c>
      <c r="P31" s="163"/>
      <c r="Q31" s="31"/>
      <c r="R31" s="100" t="str">
        <f>VLOOKUP(C31,'Train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31" s="103" t="str">
        <f>VLOOKUP(C31,'Train Runs'!$A$13:$AE$10024,22,0)</f>
        <v>https://search-rtdc-monitor-bjffxe2xuh6vdkpspy63sjmuny.us-east-1.es.amazonaws.com/_plugin/kibana/#/discover/Steve-Slow-Train-Analysis-(2080s-and-2083s)?_g=(refreshInterval:(display:Off,section:0,value:0),time:(from:'2016-10-19 10:57:55-0600',mode:absolute,to:'2016-10-19 13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1" s="105" t="str">
        <f t="shared" si="1"/>
        <v>"C:\Program Files (x86)\AstroGrep\AstroGrep.exe" /spath="%USERPROFILE%\AppData\Local\Temp\OnboardLogs" /stypes="*4031*201610191*" /stext=" 18:.+((SYSTEM_STATE.+slice.+state.+changed )|(ment ac)|(system.+state.+changed )|(\[timeout)|(PRM\|1\|D)|(kpr)|(kdp)|(\|lc)|(penalty))" /e /r /s</v>
      </c>
      <c r="U31" s="9" t="str">
        <f t="shared" si="2"/>
        <v>4031</v>
      </c>
      <c r="V31" s="36">
        <f t="shared" si="3"/>
        <v>42662.772002314814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{"issue":{"subject":"","project_id":79,"tracker_id":40,"status_id":1,"priority_id":2,"assigned_to_id":23,"start_date":"2016-10-19","description":"","custom_fields":[{"id":1,"name":"Subdivision","value":"NW"},{"id":4,"name":"Milepost","value":"5.7008"},{"id":17,"name":"Train ID","value":"819-19"},{"id":16,"name":"Locomotive ID","value":"4031"},{"id":130,"name":"Impact","value":""},{"id":150,"name":"Time of Event (Mountain Time)","value":"12:31:41"},{"id":151,"name":"Denver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4" t="str">
        <f t="shared" si="7"/>
        <v>grep -hSE -A100 "Enforcement Action" "%USERPROFILE%\AppData\Local\Temp\OnboardLogs"\RTDC4031\*4031*201610191* | grep -SE "((Enforcement Ac)|(PRM))" -</v>
      </c>
      <c r="AD31" s="1"/>
    </row>
    <row r="32" spans="1:30" x14ac:dyDescent="0.25">
      <c r="A32" s="36">
        <v>42662.268437500003</v>
      </c>
      <c r="B32" s="31" t="s">
        <v>313</v>
      </c>
      <c r="C32" s="31" t="s">
        <v>438</v>
      </c>
      <c r="D32" s="31" t="s">
        <v>49</v>
      </c>
      <c r="E32" s="31" t="s">
        <v>260</v>
      </c>
      <c r="F32" s="47">
        <v>0</v>
      </c>
      <c r="G32" s="47">
        <v>71</v>
      </c>
      <c r="H32" s="47">
        <v>218</v>
      </c>
      <c r="I32" s="47">
        <v>138</v>
      </c>
      <c r="J32" s="31" t="s">
        <v>261</v>
      </c>
      <c r="K32" s="47">
        <v>1</v>
      </c>
      <c r="L32" s="160" t="s">
        <v>51</v>
      </c>
      <c r="M32" s="161">
        <f t="shared" si="0"/>
        <v>72.335999999999999</v>
      </c>
      <c r="N32" s="162" t="str">
        <f>VLOOKUP(C32,'Trips&amp;Operators'!$C$1:$E$99999,3,FALSE)</f>
        <v>STARKS</v>
      </c>
      <c r="O32" s="143" t="s">
        <v>254</v>
      </c>
      <c r="P32" s="163"/>
      <c r="Q32" s="31"/>
      <c r="R32" s="100" t="str">
        <f>VLOOKUP(C32,'Train Runs'!$A$13:$AE$10024,31,0)</f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S32" s="103" t="str">
        <f>VLOOKUP(C32,'Train Runs'!$A$13:$AE$10024,22,0)</f>
        <v>https://search-rtdc-monitor-bjffxe2xuh6vdkpspy63sjmuny.us-east-1.es.amazonaws.com/_plugin/kibana/#/discover/Steve-Slow-Train-Analysis-(2080s-and-2083s)?_g=(refreshInterval:(display:Off,section:0,value:0),time:(from:'2016-10-19 05:07:14-0600',mode:absolute,to:'2016-10-19 07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2" s="105" t="str">
        <f t="shared" si="1"/>
        <v>"C:\Program Files (x86)\AstroGrep\AstroGrep.exe" /spath="%USERPROFILE%\AppData\Local\Temp\OnboardLogs" /stypes="*4054*201610191*" /stext=" 12:.+((SYSTEM_STATE.+slice.+state.+changed )|(ment ac)|(system.+state.+changed )|(\[timeout)|(PRM\|1\|D)|(kpr)|(kdp)|(\|lc)|(penalty))" /e /r /s</v>
      </c>
      <c r="U32" s="9" t="str">
        <f t="shared" si="2"/>
        <v>4054</v>
      </c>
      <c r="V32" s="36">
        <f t="shared" si="3"/>
        <v>42662.518437500003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{"issue":{"subject":"","project_id":79,"tracker_id":40,"status_id":1,"priority_id":2,"assigned_to_id":23,"start_date":"2016-10-19","description":"","custom_fields":[{"id":1,"name":"Subdivision","value":"NW"},{"id":4,"name":"Milepost","value":"0.0001"},{"id":17,"name":"Train ID","value":"802-19"},{"id":16,"name":"Locomotive ID","value":"4054"},{"id":130,"name":"Impact","value":""},{"id":150,"name":"Time of Event (Mountain Time)","value":"06:26:33"},{"id":151,"name":"Denver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4" t="str">
        <f t="shared" si="7"/>
        <v>grep -hSE -A100 "Enforcement Action" "%USERPROFILE%\AppData\Local\Temp\OnboardLogs"\RTDC4054\*4054*201610191* | grep -SE "((Enforcement Ac)|(PRM))" -</v>
      </c>
      <c r="AD32" s="1"/>
    </row>
    <row r="33" spans="1:30" ht="15" customHeight="1" x14ac:dyDescent="0.25">
      <c r="A33" s="36">
        <v>42662.268912037034</v>
      </c>
      <c r="B33" s="31" t="s">
        <v>313</v>
      </c>
      <c r="C33" s="31" t="s">
        <v>438</v>
      </c>
      <c r="D33" s="31" t="s">
        <v>49</v>
      </c>
      <c r="E33" s="31" t="s">
        <v>260</v>
      </c>
      <c r="F33" s="47">
        <v>0</v>
      </c>
      <c r="G33" s="47">
        <v>23</v>
      </c>
      <c r="H33" s="47">
        <v>72</v>
      </c>
      <c r="I33" s="47">
        <v>43</v>
      </c>
      <c r="J33" s="31" t="s">
        <v>261</v>
      </c>
      <c r="K33" s="47">
        <v>1</v>
      </c>
      <c r="L33" s="160" t="s">
        <v>51</v>
      </c>
      <c r="M33" s="161">
        <f t="shared" si="0"/>
        <v>22.175999999999998</v>
      </c>
      <c r="N33" s="162" t="str">
        <f>VLOOKUP(C33,'Trips&amp;Operators'!$C$1:$E$99999,3,FALSE)</f>
        <v>STARKS</v>
      </c>
      <c r="O33" s="143" t="s">
        <v>254</v>
      </c>
      <c r="P33" s="163"/>
      <c r="Q33" s="31"/>
      <c r="R33" s="100" t="str">
        <f>VLOOKUP(C33,'Train Runs'!$A$13:$AE$10024,31,0)</f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S33" s="103" t="str">
        <f>VLOOKUP(C33,'Train Runs'!$A$13:$AE$10024,22,0)</f>
        <v>https://search-rtdc-monitor-bjffxe2xuh6vdkpspy63sjmuny.us-east-1.es.amazonaws.com/_plugin/kibana/#/discover/Steve-Slow-Train-Analysis-(2080s-and-2083s)?_g=(refreshInterval:(display:Off,section:0,value:0),time:(from:'2016-10-19 05:07:14-0600',mode:absolute,to:'2016-10-19 07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3" s="105" t="str">
        <f t="shared" si="1"/>
        <v>"C:\Program Files (x86)\AstroGrep\AstroGrep.exe" /spath="%USERPROFILE%\AppData\Local\Temp\OnboardLogs" /stypes="*4054*201610191*" /stext=" 12:.+((SYSTEM_STATE.+slice.+state.+changed )|(ment ac)|(system.+state.+changed )|(\[timeout)|(PRM\|1\|D)|(kpr)|(kdp)|(\|lc)|(penalty))" /e /r /s</v>
      </c>
      <c r="U33" s="9" t="str">
        <f t="shared" si="2"/>
        <v>4054</v>
      </c>
      <c r="V33" s="36">
        <f t="shared" si="3"/>
        <v>42662.518912037034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{"issue":{"subject":"","project_id":79,"tracker_id":40,"status_id":1,"priority_id":2,"assigned_to_id":23,"start_date":"2016-10-19","description":"","custom_fields":[{"id":1,"name":"Subdivision","value":"NW"},{"id":4,"name":"Milepost","value":"0.0001"},{"id":17,"name":"Train ID","value":"802-19"},{"id":16,"name":"Locomotive ID","value":"4054"},{"id":130,"name":"Impact","value":""},{"id":150,"name":"Time of Event (Mountain Time)","value":"06:27:14"},{"id":151,"name":"Denver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4" t="str">
        <f t="shared" si="7"/>
        <v>grep -hSE -A100 "Enforcement Action" "%USERPROFILE%\AppData\Local\Temp\OnboardLogs"\RTDC4054\*4054*201610191* | grep -SE "((Enforcement Ac)|(PRM))" -</v>
      </c>
      <c r="AD33" s="1"/>
    </row>
    <row r="34" spans="1:30" x14ac:dyDescent="0.25">
      <c r="A34" s="36">
        <v>42662.538136574076</v>
      </c>
      <c r="B34" s="31" t="s">
        <v>216</v>
      </c>
      <c r="C34" s="31" t="s">
        <v>451</v>
      </c>
      <c r="D34" s="31" t="s">
        <v>49</v>
      </c>
      <c r="E34" s="31" t="s">
        <v>260</v>
      </c>
      <c r="F34" s="47">
        <v>0</v>
      </c>
      <c r="G34" s="47">
        <v>37</v>
      </c>
      <c r="H34" s="47">
        <v>699</v>
      </c>
      <c r="I34" s="47">
        <v>659</v>
      </c>
      <c r="J34" s="31" t="s">
        <v>261</v>
      </c>
      <c r="K34" s="47">
        <v>575</v>
      </c>
      <c r="L34" s="160" t="s">
        <v>51</v>
      </c>
      <c r="M34" s="161">
        <f t="shared" si="0"/>
        <v>44.351999999999997</v>
      </c>
      <c r="N34" s="162" t="str">
        <f>VLOOKUP(C34,'Trips&amp;Operators'!$C$1:$E$99999,3,FALSE)</f>
        <v>GEBRETEKLE</v>
      </c>
      <c r="O34" s="143" t="s">
        <v>254</v>
      </c>
      <c r="P34" s="163"/>
      <c r="Q34" s="31"/>
      <c r="R34" s="100" t="str">
        <f>VLOOKUP(C34,'Train Runs'!$A$13:$AE$10024,31,0)</f>
        <v>aws s3 cp s3://rtdc.mdm.uploadarchive.raw/RTDC4032/ "%USERPROFILE%\AppData\Local\Temp\OnboardLogs"\RTDC4032\2016-10-19 --exclude "*" --recursive --include "*20161019*" &amp; "%USERPROFILE%\Documents\GitHub\mrs-test-scripts\Headless Mode &amp; Sideloading\WalkAndUnGZ.bat" "%USERPROFILE%\AppData\Local\Temp\OnboardLogs"\RTDC4032\2016-10-19 &amp; 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</v>
      </c>
      <c r="S34" s="103" t="str">
        <f>VLOOKUP(C34,'Train Runs'!$A$13:$AE$10024,22,0)</f>
        <v>https://search-rtdc-monitor-bjffxe2xuh6vdkpspy63sjmuny.us-east-1.es.amazonaws.com/_plugin/kibana/#/discover/Steve-Slow-Train-Analysis-(2080s-and-2083s)?_g=(refreshInterval:(display:Off,section:0,value:0),time:(from:'2016-10-19 11:37:24-0600',mode:absolute,to:'2016-10-19 13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4" s="105" t="str">
        <f t="shared" si="1"/>
        <v>"C:\Program Files (x86)\AstroGrep\AstroGrep.exe" /spath="%USERPROFILE%\AppData\Local\Temp\OnboardLogs" /stypes="*4032*201610191*" /stext=" 18:.+((SYSTEM_STATE.+slice.+state.+changed )|(ment ac)|(system.+state.+changed )|(\[timeout)|(PRM\|1\|D)|(kpr)|(kdp)|(\|lc)|(penalty))" /e /r /s</v>
      </c>
      <c r="U34" s="9" t="str">
        <f t="shared" si="2"/>
        <v>4032</v>
      </c>
      <c r="V34" s="36">
        <f t="shared" si="3"/>
        <v>42662.788136574076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{"issue":{"subject":"","project_id":79,"tracker_id":40,"status_id":1,"priority_id":2,"assigned_to_id":23,"start_date":"2016-10-19","description":"","custom_fields":[{"id":1,"name":"Subdivision","value":"NW"},{"id":4,"name":"Milepost","value":"0.0575"},{"id":17,"name":"Train ID","value":"820-19"},{"id":16,"name":"Locomotive ID","value":"4032"},{"id":130,"name":"Impact","value":""},{"id":150,"name":"Time of Event (Mountain Time)","value":"12:54:55"},{"id":151,"name":"Denver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4" t="str">
        <f t="shared" si="7"/>
        <v>grep -hSE -A100 "Enforcement Action" "%USERPROFILE%\AppData\Local\Temp\OnboardLogs"\RTDC4032\*4032*201610191* | grep -SE "((Enforcement Ac)|(PRM))" -</v>
      </c>
      <c r="AD34" s="1"/>
    </row>
    <row r="35" spans="1:30" x14ac:dyDescent="0.25">
      <c r="A35" s="36">
        <v>42662.358240740738</v>
      </c>
      <c r="B35" s="31" t="s">
        <v>217</v>
      </c>
      <c r="C35" s="31" t="s">
        <v>442</v>
      </c>
      <c r="D35" s="31" t="s">
        <v>49</v>
      </c>
      <c r="E35" s="31" t="s">
        <v>260</v>
      </c>
      <c r="F35" s="47">
        <v>0</v>
      </c>
      <c r="G35" s="47">
        <v>5</v>
      </c>
      <c r="H35" s="47">
        <v>59016</v>
      </c>
      <c r="I35" s="47">
        <v>59016</v>
      </c>
      <c r="J35" s="31" t="s">
        <v>261</v>
      </c>
      <c r="K35" s="47">
        <v>59048</v>
      </c>
      <c r="L35" s="160" t="s">
        <v>50</v>
      </c>
      <c r="M35" s="161">
        <f t="shared" si="0"/>
        <v>16.896000000000001</v>
      </c>
      <c r="N35" s="162" t="str">
        <f>VLOOKUP(C35,'Trips&amp;Operators'!$C$1:$E$99999,3,FALSE)</f>
        <v>GEBRETEKLE</v>
      </c>
      <c r="O35" s="143" t="s">
        <v>254</v>
      </c>
      <c r="P35" s="163"/>
      <c r="Q35" s="31"/>
      <c r="R35" s="100" t="str">
        <f>VLOOKUP(C35,'Train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35" s="103" t="str">
        <f>VLOOKUP(C35,'Train Runs'!$A$13:$AE$10024,22,0)</f>
        <v>https://search-rtdc-monitor-bjffxe2xuh6vdkpspy63sjmuny.us-east-1.es.amazonaws.com/_plugin/kibana/#/discover/Steve-Slow-Train-Analysis-(2080s-and-2083s)?_g=(refreshInterval:(display:Off,section:0,value:0),time:(from:'2016-10-19 06:57:58-0600',mode:absolute,to:'2016-10-19 09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5" s="105" t="str">
        <f t="shared" si="1"/>
        <v>"C:\Program Files (x86)\AstroGrep\AstroGrep.exe" /spath="%USERPROFILE%\AppData\Local\Temp\OnboardLogs" /stypes="*4031*201610191*" /stext=" 14:.+((SYSTEM_STATE.+slice.+state.+changed )|(ment ac)|(system.+state.+changed )|(\[timeout)|(PRM\|1\|D)|(kpr)|(kdp)|(\|lc)|(penalty))" /e /r /s</v>
      </c>
      <c r="U35" s="9" t="str">
        <f t="shared" si="2"/>
        <v>4031</v>
      </c>
      <c r="V35" s="36">
        <f t="shared" si="3"/>
        <v>42662.608240740738</v>
      </c>
      <c r="W35" s="50" t="str">
        <f t="shared" si="4"/>
        <v>NW</v>
      </c>
      <c r="X35" s="50" t="str">
        <f t="shared" si="5"/>
        <v>OMIT</v>
      </c>
      <c r="Y35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{"issue":{"subject":"","project_id":79,"tracker_id":40,"status_id":1,"priority_id":2,"assigned_to_id":23,"start_date":"2016-10-19","description":"","custom_fields":[{"id":1,"name":"Subdivision","value":"NW"},{"id":4,"name":"Milepost","value":"5.9048"},{"id":17,"name":"Train ID","value":"811-19"},{"id":16,"name":"Locomotive ID","value":"4031"},{"id":130,"name":"Impact","value":""},{"id":150,"name":"Time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4" t="str">
        <f t="shared" si="7"/>
        <v>grep -hSE -A100 "Enforcement Action" "%USERPROFILE%\AppData\Local\Temp\OnboardLogs"\RTDC4031\*4031*201610191* | grep -SE "((Enforcement Ac)|(PRM))" -</v>
      </c>
      <c r="AD35" s="1"/>
    </row>
    <row r="36" spans="1:30" x14ac:dyDescent="0.25">
      <c r="A36" s="36">
        <v>42662.524270833332</v>
      </c>
      <c r="B36" s="31" t="s">
        <v>217</v>
      </c>
      <c r="C36" s="31" t="s">
        <v>450</v>
      </c>
      <c r="D36" s="31" t="s">
        <v>49</v>
      </c>
      <c r="E36" s="31" t="s">
        <v>260</v>
      </c>
      <c r="F36" s="47">
        <v>0</v>
      </c>
      <c r="G36" s="47">
        <v>20</v>
      </c>
      <c r="H36" s="47">
        <v>58984</v>
      </c>
      <c r="I36" s="47">
        <v>58999</v>
      </c>
      <c r="J36" s="31" t="s">
        <v>261</v>
      </c>
      <c r="K36" s="47">
        <v>59048</v>
      </c>
      <c r="L36" s="160" t="s">
        <v>50</v>
      </c>
      <c r="M36" s="161">
        <f t="shared" si="0"/>
        <v>25.872</v>
      </c>
      <c r="N36" s="162" t="str">
        <f>VLOOKUP(C36,'Trips&amp;Operators'!$C$1:$E$99999,3,FALSE)</f>
        <v>GEBRETEKLE</v>
      </c>
      <c r="O36" s="143" t="s">
        <v>254</v>
      </c>
      <c r="P36" s="163"/>
      <c r="Q36" s="31"/>
      <c r="R36" s="100" t="str">
        <f>VLOOKUP(C36,'Train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36" s="103" t="str">
        <f>VLOOKUP(C36,'Train Runs'!$A$13:$AE$10024,22,0)</f>
        <v>https://search-rtdc-monitor-bjffxe2xuh6vdkpspy63sjmuny.us-east-1.es.amazonaws.com/_plugin/kibana/#/discover/Steve-Slow-Train-Analysis-(2080s-and-2083s)?_g=(refreshInterval:(display:Off,section:0,value:0),time:(from:'2016-10-19 10:57:55-0600',mode:absolute,to:'2016-10-19 13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6" s="105" t="str">
        <f t="shared" si="1"/>
        <v>"C:\Program Files (x86)\AstroGrep\AstroGrep.exe" /spath="%USERPROFILE%\AppData\Local\Temp\OnboardLogs" /stypes="*4031*201610191*" /stext=" 18:.+((SYSTEM_STATE.+slice.+state.+changed )|(ment ac)|(system.+state.+changed )|(\[timeout)|(PRM\|1\|D)|(kpr)|(kdp)|(\|lc)|(penalty))" /e /r /s</v>
      </c>
      <c r="U36" s="9" t="str">
        <f t="shared" si="2"/>
        <v>4031</v>
      </c>
      <c r="V36" s="36">
        <f t="shared" si="3"/>
        <v>42662.774270833332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{"issue":{"subject":"","project_id":79,"tracker_id":40,"status_id":1,"priority_id":2,"assigned_to_id":23,"start_date":"2016-10-19","description":"","custom_fields":[{"id":1,"name":"Subdivision","value":"NW"},{"id":4,"name":"Milepost","value":"5.9048"},{"id":17,"name":"Train ID","value":"819-19"},{"id":16,"name":"Locomotive ID","value":"4031"},{"id":130,"name":"Impact","value":""},{"id":150,"name":"Time of Event (Mountain Time)","value":"12:34:57"},{"id":151,"name":"Denver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4" t="str">
        <f t="shared" si="7"/>
        <v>grep -hSE -A100 "Enforcement Action" "%USERPROFILE%\AppData\Local\Temp\OnboardLogs"\RTDC4031\*4031*201610191* | grep -SE "((Enforcement Ac)|(PRM))" -</v>
      </c>
      <c r="AD36" s="1"/>
    </row>
    <row r="37" spans="1:30" ht="15" customHeight="1" x14ac:dyDescent="0.25">
      <c r="A37" s="36">
        <v>42662.858078703706</v>
      </c>
      <c r="B37" s="31" t="s">
        <v>217</v>
      </c>
      <c r="C37" s="31" t="s">
        <v>461</v>
      </c>
      <c r="D37" s="31" t="s">
        <v>49</v>
      </c>
      <c r="E37" s="31" t="s">
        <v>260</v>
      </c>
      <c r="F37" s="47">
        <v>0</v>
      </c>
      <c r="G37" s="47">
        <v>122</v>
      </c>
      <c r="H37" s="47">
        <v>58450</v>
      </c>
      <c r="I37" s="47">
        <v>58589</v>
      </c>
      <c r="J37" s="31" t="s">
        <v>261</v>
      </c>
      <c r="K37" s="47">
        <v>59048</v>
      </c>
      <c r="L37" s="160" t="s">
        <v>50</v>
      </c>
      <c r="M37" s="161">
        <f t="shared" si="0"/>
        <v>242.352</v>
      </c>
      <c r="N37" s="162" t="str">
        <f>VLOOKUP(C37,'Trips&amp;Operators'!$C$1:$E$99999,3,FALSE)</f>
        <v>MOSES</v>
      </c>
      <c r="O37" s="143" t="s">
        <v>254</v>
      </c>
      <c r="P37" s="163"/>
      <c r="Q37" s="31"/>
      <c r="R37" s="100" t="str">
        <f>VLOOKUP(C37,'Train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37" s="103" t="str">
        <f>VLOOKUP(C37,'Train Runs'!$A$13:$AE$10024,22,0)</f>
        <v>https://search-rtdc-monitor-bjffxe2xuh6vdkpspy63sjmuny.us-east-1.es.amazonaws.com/_plugin/kibana/#/discover/Steve-Slow-Train-Analysis-(2080s-and-2083s)?_g=(refreshInterval:(display:Off,section:0,value:0),time:(from:'2016-10-19 19:16:18-0600',mode:absolute,to:'2016-10-19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7" s="105" t="str">
        <f t="shared" si="1"/>
        <v>"C:\Program Files (x86)\AstroGrep\AstroGrep.exe" /spath="%USERPROFILE%\AppData\Local\Temp\OnboardLogs" /stypes="*4031*201610200*" /stext=" 02:.+((SYSTEM_STATE.+slice.+state.+changed )|(ment ac)|(system.+state.+changed )|(\[timeout)|(PRM\|1\|D)|(kpr)|(kdp)|(\|lc)|(penalty))" /e /r /s</v>
      </c>
      <c r="U37" s="9" t="str">
        <f t="shared" si="2"/>
        <v>4031</v>
      </c>
      <c r="V37" s="36">
        <f t="shared" si="3"/>
        <v>42663.108078703706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{"issue":{"subject":"","project_id":79,"tracker_id":40,"status_id":1,"priority_id":2,"assigned_to_id":23,"start_date":"2016-10-19","description":"","custom_fields":[{"id":1,"name":"Subdivision","value":"NW"},{"id":4,"name":"Milepost","value":"5.9048"},{"id":17,"name":"Train ID","value":"843-19"},{"id":16,"name":"Locomotive ID","value":"4031"},{"id":130,"name":"Impact","value":""},{"id":150,"name":"Time of Event (Mountain Time)","value":"20:35:38"},{"id":151,"name":"Denver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4" t="str">
        <f t="shared" si="7"/>
        <v>grep -hSE -A100 "Enforcement Action" "%USERPROFILE%\AppData\Local\Temp\OnboardLogs"\RTDC4031\*4031*201610200* | grep -SE "((Enforcement Ac)|(PRM))" -</v>
      </c>
      <c r="AD37" s="1"/>
    </row>
    <row r="38" spans="1:30" x14ac:dyDescent="0.25">
      <c r="A38" s="36">
        <v>42662.858865740738</v>
      </c>
      <c r="B38" s="31" t="s">
        <v>217</v>
      </c>
      <c r="C38" s="31" t="s">
        <v>461</v>
      </c>
      <c r="D38" s="31" t="s">
        <v>49</v>
      </c>
      <c r="E38" s="31" t="s">
        <v>260</v>
      </c>
      <c r="F38" s="47">
        <v>0</v>
      </c>
      <c r="G38" s="47">
        <v>26</v>
      </c>
      <c r="H38" s="47">
        <v>58988</v>
      </c>
      <c r="I38" s="47">
        <v>59014</v>
      </c>
      <c r="J38" s="31" t="s">
        <v>261</v>
      </c>
      <c r="K38" s="47">
        <v>59048</v>
      </c>
      <c r="L38" s="160" t="s">
        <v>50</v>
      </c>
      <c r="M38" s="161">
        <f t="shared" si="0"/>
        <v>17.952000000000002</v>
      </c>
      <c r="N38" s="162" t="str">
        <f>VLOOKUP(C38,'Trips&amp;Operators'!$C$1:$E$99999,3,FALSE)</f>
        <v>MOSES</v>
      </c>
      <c r="O38" s="143" t="s">
        <v>254</v>
      </c>
      <c r="P38" s="163"/>
      <c r="Q38" s="31"/>
      <c r="R38" s="100" t="str">
        <f>VLOOKUP(C38,'Train Runs'!$A$13:$AE$10024,31,0)</f>
        <v>aws s3 cp s3://rtdc.mdm.uploadarchive.raw/RTDC4031/ "%USERPROFILE%\AppData\Local\Temp\OnboardLogs"\RTDC4031\2016-10-19 --exclude "*" --recursive --include "*20161019*" &amp; "%USERPROFILE%\Documents\GitHub\mrs-test-scripts\Headless Mode &amp; Sideloading\WalkAndUnGZ.bat" "%USERPROFILE%\AppData\Local\Temp\OnboardLogs"\RTDC4031\2016-10-19 &amp; aws s3 cp s3://rtdc.mdm.uploadarchive.raw/RTDC4031/ "%USERPROFILE%\AppData\Local\Temp\OnboardLogs"\RTDC4031\2016-10-20 --exclude "*" --recursive --include "*20161020*" &amp; "%USERPROFILE%\Documents\GitHub\mrs-test-scripts\Headless Mode &amp; Sideloading\WalkAndUnGZ.bat" "%USERPROFILE%\AppData\Local\Temp\OnboardLogs"\RTDC4031\2016-10-20</v>
      </c>
      <c r="S38" s="103" t="str">
        <f>VLOOKUP(C38,'Train Runs'!$A$13:$AE$10024,22,0)</f>
        <v>https://search-rtdc-monitor-bjffxe2xuh6vdkpspy63sjmuny.us-east-1.es.amazonaws.com/_plugin/kibana/#/discover/Steve-Slow-Train-Analysis-(2080s-and-2083s)?_g=(refreshInterval:(display:Off,section:0,value:0),time:(from:'2016-10-19 19:16:18-0600',mode:absolute,to:'2016-10-19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8" s="105" t="str">
        <f t="shared" si="1"/>
        <v>"C:\Program Files (x86)\AstroGrep\AstroGrep.exe" /spath="%USERPROFILE%\AppData\Local\Temp\OnboardLogs" /stypes="*4031*201610200*" /stext=" 02:.+((SYSTEM_STATE.+slice.+state.+changed )|(ment ac)|(system.+state.+changed )|(\[timeout)|(PRM\|1\|D)|(kpr)|(kdp)|(\|lc)|(penalty))" /e /r /s</v>
      </c>
      <c r="U38" s="9" t="str">
        <f t="shared" si="2"/>
        <v>4031</v>
      </c>
      <c r="V38" s="36">
        <f t="shared" si="3"/>
        <v>42663.108865740738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{"issue":{"subject":"","project_id":79,"tracker_id":40,"status_id":1,"priority_id":2,"assigned_to_id":23,"start_date":"2016-10-19","description":"","custom_fields":[{"id":1,"name":"Subdivision","value":"NW"},{"id":4,"name":"Milepost","value":"5.9048"},{"id":17,"name":"Train ID","value":"843-19"},{"id":16,"name":"Locomotive ID","value":"4031"},{"id":130,"name":"Impact","value":""},{"id":150,"name":"Time of Event (Mountain Time)","value":"20:36:46"},{"id":151,"name":"Denver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4" t="str">
        <f t="shared" si="7"/>
        <v>grep -hSE -A100 "Enforcement Action" "%USERPROFILE%\AppData\Local\Temp\OnboardLogs"\RTDC4031\*4031*201610200* | grep -SE "((Enforcement Ac)|(PRM))" -</v>
      </c>
      <c r="AD38" s="1"/>
    </row>
    <row r="39" spans="1:30" x14ac:dyDescent="0.25">
      <c r="A39" s="36">
        <v>42662.651134259257</v>
      </c>
      <c r="B39" s="31" t="s">
        <v>313</v>
      </c>
      <c r="C39" s="31" t="s">
        <v>456</v>
      </c>
      <c r="D39" s="31" t="s">
        <v>49</v>
      </c>
      <c r="E39" s="31" t="s">
        <v>260</v>
      </c>
      <c r="F39" s="47">
        <v>0</v>
      </c>
      <c r="G39" s="47">
        <v>75</v>
      </c>
      <c r="H39" s="47">
        <v>888</v>
      </c>
      <c r="I39" s="47">
        <v>801</v>
      </c>
      <c r="J39" s="31" t="s">
        <v>261</v>
      </c>
      <c r="K39" s="47">
        <v>575</v>
      </c>
      <c r="L39" s="160" t="s">
        <v>51</v>
      </c>
      <c r="M39" s="161">
        <f t="shared" si="0"/>
        <v>119.328</v>
      </c>
      <c r="N39" s="162" t="str">
        <f>VLOOKUP(C39,'Trips&amp;Operators'!$C$1:$E$99999,3,FALSE)</f>
        <v>LEVERE</v>
      </c>
      <c r="O39" s="143" t="s">
        <v>254</v>
      </c>
      <c r="P39" s="163"/>
      <c r="Q39" s="31"/>
      <c r="R39" s="100" t="str">
        <f>VLOOKUP(C39,'Train Runs'!$A$13:$AE$10024,31,0)</f>
        <v>aws s3 cp s3://rtdc.mdm.uploadarchive.raw/RTDC4054/ "%USERPROFILE%\AppData\Local\Temp\OnboardLogs"\RTDC4054\2016-10-19 --exclude "*" --recursive --include "*20161019*" &amp; "%USERPROFILE%\Documents\GitHub\mrs-test-scripts\Headless Mode &amp; Sideloading\WalkAndUnGZ.bat" "%USERPROFILE%\AppData\Local\Temp\OnboardLogs"\RTDC4054\2016-10-19 &amp; 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</v>
      </c>
      <c r="S39" s="103" t="str">
        <f>VLOOKUP(C39,'Train Runs'!$A$13:$AE$10024,22,0)</f>
        <v>https://search-rtdc-monitor-bjffxe2xuh6vdkpspy63sjmuny.us-east-1.es.amazonaws.com/_plugin/kibana/#/discover/Steve-Slow-Train-Analysis-(2080s-and-2083s)?_g=(refreshInterval:(display:Off,section:0,value:0),time:(from:'2016-10-19 14:27:14-0600',mode:absolute,to:'2016-10-19 16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9" s="105" t="str">
        <f t="shared" si="1"/>
        <v>"C:\Program Files (x86)\AstroGrep\AstroGrep.exe" /spath="%USERPROFILE%\AppData\Local\Temp\OnboardLogs" /stypes="*4054*201610192*" /stext=" 21:.+((SYSTEM_STATE.+slice.+state.+changed )|(ment ac)|(system.+state.+changed )|(\[timeout)|(PRM\|1\|D)|(kpr)|(kdp)|(\|lc)|(penalty))" /e /r /s</v>
      </c>
      <c r="U39" s="9" t="str">
        <f t="shared" si="2"/>
        <v>4054</v>
      </c>
      <c r="V39" s="36">
        <f t="shared" si="3"/>
        <v>42662.901134259257</v>
      </c>
      <c r="W39" s="50" t="str">
        <f t="shared" si="4"/>
        <v>Other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{"issue":{"subject":"","project_id":79,"tracker_id":40,"status_id":1,"priority_id":2,"assigned_to_id":23,"start_date":"2016-10-19","description":"","custom_fields":[{"id":1,"name":"Subdivision","value":"Other"},{"id":4,"name":"Milepost","value":"0.0575"},{"id":17,"name":"Train ID","value":"904-19"},{"id":16,"name":"Locomotive ID","value":"4054"},{"id":130,"name":"Impact","value":""},{"id":150,"name":"Time of Event (Mountain Time)","value":"15:37:38"},{"id":151,"name":"Denver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4" t="str">
        <f t="shared" si="7"/>
        <v>grep -hSE -A100 "Enforcement Action" "%USERPROFILE%\AppData\Local\Temp\OnboardLogs"\RTDC4054\*4054*201610192* | grep -SE "((Enforcement Ac)|(PRM))" -</v>
      </c>
      <c r="AD39" s="1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39"/>
      <sortCondition ref="E7:E39"/>
      <sortCondition ref="K7:K39"/>
      <sortCondition ref="F7:F39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39">
    <cfRule type="cellIs" dxfId="1" priority="2" operator="equal">
      <formula>"Y"</formula>
    </cfRule>
  </conditionalFormatting>
  <conditionalFormatting sqref="A7:P39">
    <cfRule type="expression" dxfId="0" priority="1">
      <formula>$O7="Y"</formula>
    </cfRule>
  </conditionalFormatting>
  <hyperlinks>
    <hyperlink ref="Z18" r:id="rId1"/>
    <hyperlink ref="Z16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AB7:AB39</xm:sqref>
        </x14:dataValidation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/>
  </sheetViews>
  <sheetFormatPr defaultRowHeight="15" x14ac:dyDescent="0.25"/>
  <cols>
    <col min="1" max="1" width="9.140625" style="168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8"/>
      <c r="B1" s="186" t="str">
        <f>"Trips that did not appear in PTC Data "&amp;TEXT(Variables!$A$2,"YYYY-mm-dd")</f>
        <v>Trips that did not appear in PTC Data 2016-10-19</v>
      </c>
      <c r="C1" s="186"/>
      <c r="D1" s="186"/>
      <c r="E1" s="186"/>
      <c r="F1" s="186"/>
    </row>
    <row r="2" spans="1:11" s="24" customFormat="1" ht="45" x14ac:dyDescent="0.25">
      <c r="A2" s="183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81">
        <v>238</v>
      </c>
      <c r="B3" s="47" t="str">
        <f>A3&amp;"-"&amp;IF(DAY(Variables!$A$2)&lt;10,0,"")&amp;DAY(Variables!$A$2)</f>
        <v>238-19</v>
      </c>
      <c r="C3" s="164"/>
      <c r="D3" s="165"/>
      <c r="E3" s="31" t="s">
        <v>776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22238-19%22)),sort:!(Time,asc))</v>
      </c>
      <c r="J3" s="31" t="e">
        <f>VLOOKUP(B3,'Train Runs'!$A$13:$A$100021,1,FALSE)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81">
        <v>242</v>
      </c>
      <c r="B4" s="47" t="str">
        <f>A4&amp;"-"&amp;IF(DAY(Variables!$A$2)&lt;10,0,"")&amp;DAY(Variables!$A$2)</f>
        <v>242-19</v>
      </c>
      <c r="C4" s="164"/>
      <c r="D4" s="165"/>
      <c r="E4" s="31" t="s">
        <v>776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22242-19%22)),sort:!(Time,asc))</v>
      </c>
      <c r="J4" s="31" t="e">
        <f>VLOOKUP(B4,'Train Runs'!$A$13:$A$100021,1,FALSE)</f>
        <v>#N/A</v>
      </c>
      <c r="K4" s="21" t="e">
        <f t="shared" si="1"/>
        <v>#N/A</v>
      </c>
    </row>
    <row r="5" spans="1:11" x14ac:dyDescent="0.25">
      <c r="A5" s="181"/>
      <c r="B5" s="47" t="str">
        <f>A5&amp;"-"&amp;IF(DAY(Variables!$A$2)&lt;10,0,"")&amp;DAY(Variables!$A$2)</f>
        <v>-19</v>
      </c>
      <c r="C5" s="164"/>
      <c r="D5" s="165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5" s="31" t="e">
        <f>VLOOKUP(B5,'Train Runs'!$A$13:$A$100021,1,FALSE)</f>
        <v>#N/A</v>
      </c>
      <c r="K5" s="21" t="e">
        <f t="shared" si="1"/>
        <v>#N/A</v>
      </c>
    </row>
    <row r="6" spans="1:11" x14ac:dyDescent="0.25">
      <c r="A6" s="181"/>
      <c r="B6" s="47" t="str">
        <f>A6&amp;"-"&amp;IF(DAY(Variables!$A$2)&lt;10,0,"")&amp;DAY(Variables!$A$2)</f>
        <v>-19</v>
      </c>
      <c r="C6" s="164"/>
      <c r="D6" s="165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6" s="31" t="e">
        <f>VLOOKUP(B6,'Train Runs'!$A$13:$A$100021,1,FALSE)</f>
        <v>#N/A</v>
      </c>
      <c r="K6" s="21" t="e">
        <f t="shared" si="1"/>
        <v>#N/A</v>
      </c>
    </row>
    <row r="7" spans="1:11" x14ac:dyDescent="0.25">
      <c r="A7" s="181"/>
      <c r="B7" s="47" t="str">
        <f>A7&amp;"-"&amp;IF(DAY(Variables!$A$2)&lt;10,0,"")&amp;DAY(Variables!$A$2)</f>
        <v>-19</v>
      </c>
      <c r="C7" s="164"/>
      <c r="D7" s="165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7" s="31" t="e">
        <f>VLOOKUP(B7,'Train Runs'!$A$13:$A$100021,1,FALSE)</f>
        <v>#N/A</v>
      </c>
      <c r="K7" s="21" t="e">
        <f t="shared" si="1"/>
        <v>#N/A</v>
      </c>
    </row>
    <row r="8" spans="1:11" x14ac:dyDescent="0.25">
      <c r="A8" s="181"/>
      <c r="B8" s="47" t="str">
        <f>A8&amp;"-"&amp;IF(DAY(Variables!$A$2)&lt;10,0,"")&amp;DAY(Variables!$A$2)</f>
        <v>-19</v>
      </c>
      <c r="C8" s="164"/>
      <c r="D8" s="165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8" s="31" t="e">
        <f>VLOOKUP(B8,'Train Runs'!$A$13:$A$100021,1,FALSE)</f>
        <v>#N/A</v>
      </c>
      <c r="K8" s="21" t="e">
        <f t="shared" si="1"/>
        <v>#N/A</v>
      </c>
    </row>
    <row r="9" spans="1:11" x14ac:dyDescent="0.25">
      <c r="A9" s="181"/>
      <c r="B9" s="47" t="str">
        <f>A9&amp;"-"&amp;IF(DAY(Variables!$A$2)&lt;10,0,"")&amp;DAY(Variables!$A$2)</f>
        <v>-19</v>
      </c>
      <c r="C9" s="164"/>
      <c r="D9" s="165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9" s="31" t="e">
        <f>VLOOKUP(B9,'Train Runs'!$A$13:$A$100021,1,FALSE)</f>
        <v>#N/A</v>
      </c>
      <c r="K9" s="21" t="e">
        <f t="shared" si="1"/>
        <v>#N/A</v>
      </c>
    </row>
    <row r="10" spans="1:11" x14ac:dyDescent="0.25">
      <c r="A10" s="181"/>
      <c r="B10" s="47" t="str">
        <f>A10&amp;"-"&amp;IF(DAY(Variables!$A$2)&lt;10,0,"")&amp;DAY(Variables!$A$2)</f>
        <v>-19</v>
      </c>
      <c r="C10" s="164"/>
      <c r="D10" s="165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0" s="31" t="e">
        <f>VLOOKUP(B10,'Train Runs'!$A$13:$A$100021,1,FALSE)</f>
        <v>#N/A</v>
      </c>
      <c r="K10" s="21" t="e">
        <f t="shared" si="1"/>
        <v>#N/A</v>
      </c>
    </row>
    <row r="11" spans="1:11" x14ac:dyDescent="0.25">
      <c r="A11" s="181"/>
      <c r="B11" s="47" t="str">
        <f>A11&amp;"-"&amp;IF(DAY(Variables!$A$2)&lt;10,0,"")&amp;DAY(Variables!$A$2)</f>
        <v>-19</v>
      </c>
      <c r="C11" s="164"/>
      <c r="D11" s="165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1" s="31" t="e">
        <f>VLOOKUP(B11,'Train Runs'!$A$13:$A$100021,1,FALSE)</f>
        <v>#N/A</v>
      </c>
      <c r="K11" s="21" t="e">
        <f t="shared" si="1"/>
        <v>#N/A</v>
      </c>
    </row>
    <row r="12" spans="1:11" x14ac:dyDescent="0.25">
      <c r="A12" s="181"/>
      <c r="B12" s="47" t="str">
        <f>A12&amp;"-"&amp;IF(DAY(Variables!$A$2)&lt;10,0,"")&amp;DAY(Variables!$A$2)</f>
        <v>-19</v>
      </c>
      <c r="C12" s="164"/>
      <c r="D12" s="165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2" s="31" t="e">
        <f>VLOOKUP(B12,'Train Runs'!$A$13:$A$100021,1,FALSE)</f>
        <v>#N/A</v>
      </c>
      <c r="K12" s="21" t="e">
        <f t="shared" si="1"/>
        <v>#N/A</v>
      </c>
    </row>
    <row r="13" spans="1:11" x14ac:dyDescent="0.25">
      <c r="A13" s="181"/>
      <c r="B13" s="47" t="str">
        <f>A13&amp;"-"&amp;IF(DAY(Variables!$A$2)&lt;10,0,"")&amp;DAY(Variables!$A$2)</f>
        <v>-19</v>
      </c>
      <c r="C13" s="164"/>
      <c r="D13" s="165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3" s="31" t="e">
        <f>VLOOKUP(B13,'Train Runs'!$A$13:$A$100021,1,FALSE)</f>
        <v>#N/A</v>
      </c>
      <c r="K13" s="21" t="e">
        <f t="shared" si="1"/>
        <v>#N/A</v>
      </c>
    </row>
    <row r="14" spans="1:11" x14ac:dyDescent="0.25">
      <c r="A14" s="181"/>
      <c r="B14" s="47" t="str">
        <f>A14&amp;"-"&amp;IF(DAY(Variables!$A$2)&lt;10,0,"")&amp;DAY(Variables!$A$2)</f>
        <v>-19</v>
      </c>
      <c r="C14" s="164"/>
      <c r="D14" s="165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4" s="31" t="e">
        <f>VLOOKUP(B14,'Train Runs'!$A$13:$A$100021,1,FALSE)</f>
        <v>#N/A</v>
      </c>
      <c r="K14" s="21" t="e">
        <f t="shared" si="1"/>
        <v>#N/A</v>
      </c>
    </row>
    <row r="15" spans="1:11" x14ac:dyDescent="0.25">
      <c r="A15" s="181"/>
      <c r="B15" s="47" t="str">
        <f>A15&amp;"-"&amp;IF(DAY(Variables!$A$2)&lt;10,0,"")&amp;DAY(Variables!$A$2)</f>
        <v>-19</v>
      </c>
      <c r="C15" s="164"/>
      <c r="D15" s="165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5" s="31" t="e">
        <f>VLOOKUP(B15,'Train Runs'!$A$13:$A$100021,1,FALSE)</f>
        <v>#N/A</v>
      </c>
      <c r="K15" s="21" t="e">
        <f t="shared" si="1"/>
        <v>#N/A</v>
      </c>
    </row>
    <row r="16" spans="1:11" x14ac:dyDescent="0.25">
      <c r="A16" s="181"/>
      <c r="B16" s="47" t="str">
        <f>A16&amp;"-"&amp;IF(DAY(Variables!$A$2)&lt;10,0,"")&amp;DAY(Variables!$A$2)</f>
        <v>-19</v>
      </c>
      <c r="C16" s="164"/>
      <c r="D16" s="165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16" s="31" t="e">
        <f>VLOOKUP(B16,'Train Runs'!$A$13:$A$100021,1,FALSE)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0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42662.055069444446</v>
      </c>
      <c r="B2" s="21" t="s">
        <v>292</v>
      </c>
      <c r="C2" s="21" t="s">
        <v>402</v>
      </c>
      <c r="D2" s="21">
        <v>1800000</v>
      </c>
      <c r="E2" s="21" t="s">
        <v>209</v>
      </c>
      <c r="F2" s="21" t="str">
        <f t="shared" ref="F2:F65" si="0">B2</f>
        <v>rtdc.l.rtdc.4029:itc</v>
      </c>
      <c r="G2" s="8">
        <f t="shared" ref="G2:G65" si="1">A2</f>
        <v>42662.055069444446</v>
      </c>
    </row>
    <row r="3" spans="1:7" x14ac:dyDescent="0.25">
      <c r="A3" s="8">
        <v>42662.055243055554</v>
      </c>
      <c r="B3" s="21" t="s">
        <v>354</v>
      </c>
      <c r="C3" s="21" t="s">
        <v>403</v>
      </c>
      <c r="D3" s="21">
        <v>2350000</v>
      </c>
      <c r="E3" s="21" t="s">
        <v>297</v>
      </c>
      <c r="F3" s="21" t="str">
        <f t="shared" si="0"/>
        <v>rtdc.l.rtdc.4015:itc</v>
      </c>
      <c r="G3" s="8">
        <f t="shared" si="1"/>
        <v>42662.055243055554</v>
      </c>
    </row>
    <row r="4" spans="1:7" x14ac:dyDescent="0.25">
      <c r="A4" s="8">
        <v>42662.06527777778</v>
      </c>
      <c r="B4" s="21" t="s">
        <v>196</v>
      </c>
      <c r="C4" s="21" t="s">
        <v>404</v>
      </c>
      <c r="D4" s="21">
        <v>1180000</v>
      </c>
      <c r="E4" s="21" t="s">
        <v>189</v>
      </c>
      <c r="F4" s="21" t="str">
        <f t="shared" si="0"/>
        <v>rtdc.l.rtdc.4044:itc</v>
      </c>
      <c r="G4" s="8">
        <f t="shared" si="1"/>
        <v>42662.06527777778</v>
      </c>
    </row>
    <row r="5" spans="1:7" x14ac:dyDescent="0.25">
      <c r="A5" s="8">
        <v>42662.090370370373</v>
      </c>
      <c r="B5" s="21" t="s">
        <v>353</v>
      </c>
      <c r="C5" s="21" t="s">
        <v>405</v>
      </c>
      <c r="D5" s="21">
        <v>2350000</v>
      </c>
      <c r="E5" s="21" t="s">
        <v>297</v>
      </c>
      <c r="F5" s="21" t="str">
        <f t="shared" si="0"/>
        <v>rtdc.l.rtdc.4016:itc</v>
      </c>
      <c r="G5" s="8">
        <f t="shared" si="1"/>
        <v>42662.090370370373</v>
      </c>
    </row>
    <row r="6" spans="1:7" x14ac:dyDescent="0.25">
      <c r="A6" s="8">
        <v>42662.182662037034</v>
      </c>
      <c r="B6" s="21" t="s">
        <v>466</v>
      </c>
      <c r="C6" s="21" t="s">
        <v>467</v>
      </c>
      <c r="D6" s="21">
        <v>2010000</v>
      </c>
      <c r="E6" s="21" t="s">
        <v>468</v>
      </c>
      <c r="F6" s="21" t="str">
        <f t="shared" si="0"/>
        <v>rtdc.l.rtdc.4014:itc</v>
      </c>
      <c r="G6" s="8">
        <f t="shared" si="1"/>
        <v>42662.182662037034</v>
      </c>
    </row>
    <row r="7" spans="1:7" x14ac:dyDescent="0.25">
      <c r="A7" s="8">
        <v>42662.190069444441</v>
      </c>
      <c r="B7" s="21" t="s">
        <v>312</v>
      </c>
      <c r="C7" s="21" t="s">
        <v>469</v>
      </c>
      <c r="D7" s="21">
        <v>1260000</v>
      </c>
      <c r="E7" s="21" t="s">
        <v>293</v>
      </c>
      <c r="F7" s="21" t="str">
        <f t="shared" si="0"/>
        <v>rtdc.l.rtdc.4002:itc</v>
      </c>
      <c r="G7" s="8">
        <f t="shared" si="1"/>
        <v>42662.190069444441</v>
      </c>
    </row>
    <row r="8" spans="1:7" x14ac:dyDescent="0.25">
      <c r="A8" s="8">
        <v>42662.193240740744</v>
      </c>
      <c r="B8" s="21" t="s">
        <v>262</v>
      </c>
      <c r="C8" s="21" t="s">
        <v>470</v>
      </c>
      <c r="D8" s="21">
        <v>1240000</v>
      </c>
      <c r="E8" s="21" t="s">
        <v>315</v>
      </c>
      <c r="F8" s="21" t="str">
        <f t="shared" si="0"/>
        <v>rtdc.l.rtdc.4040:itc</v>
      </c>
      <c r="G8" s="8">
        <f t="shared" si="1"/>
        <v>42662.193240740744</v>
      </c>
    </row>
    <row r="9" spans="1:7" ht="15.75" thickBot="1" x14ac:dyDescent="0.3">
      <c r="A9" s="25">
        <v>42662.194606481484</v>
      </c>
      <c r="B9" s="21" t="s">
        <v>262</v>
      </c>
      <c r="C9" s="21" t="s">
        <v>470</v>
      </c>
      <c r="D9" s="21">
        <v>1240000</v>
      </c>
      <c r="E9" s="21" t="s">
        <v>315</v>
      </c>
      <c r="F9" s="21" t="str">
        <f t="shared" si="0"/>
        <v>rtdc.l.rtdc.4040:itc</v>
      </c>
      <c r="G9" s="8">
        <f t="shared" si="1"/>
        <v>42662.194606481484</v>
      </c>
    </row>
    <row r="10" spans="1:7" x14ac:dyDescent="0.25">
      <c r="A10" s="8">
        <v>42662.204942129632</v>
      </c>
      <c r="B10" s="21" t="s">
        <v>198</v>
      </c>
      <c r="C10" s="21" t="s">
        <v>471</v>
      </c>
      <c r="D10" s="21">
        <v>900000</v>
      </c>
      <c r="E10" s="21" t="s">
        <v>317</v>
      </c>
      <c r="F10" s="21" t="str">
        <f t="shared" si="0"/>
        <v>rtdc.l.rtdc.4046:itc</v>
      </c>
      <c r="G10" s="8">
        <f t="shared" si="1"/>
        <v>42662.204942129632</v>
      </c>
    </row>
    <row r="11" spans="1:7" x14ac:dyDescent="0.25">
      <c r="A11" s="8">
        <v>42662.205312500002</v>
      </c>
      <c r="B11" s="21" t="s">
        <v>316</v>
      </c>
      <c r="C11" s="21" t="s">
        <v>472</v>
      </c>
      <c r="D11" s="21">
        <v>1110000</v>
      </c>
      <c r="E11" s="21" t="s">
        <v>473</v>
      </c>
      <c r="F11" s="21" t="str">
        <f t="shared" si="0"/>
        <v>rtdc.l.rtdc.4053:itc</v>
      </c>
      <c r="G11" s="8">
        <f t="shared" si="1"/>
        <v>42662.205312500002</v>
      </c>
    </row>
    <row r="12" spans="1:7" x14ac:dyDescent="0.25">
      <c r="A12" s="8">
        <v>42662.209699074076</v>
      </c>
      <c r="B12" s="21" t="s">
        <v>282</v>
      </c>
      <c r="C12" s="21" t="s">
        <v>474</v>
      </c>
      <c r="D12" s="21">
        <v>1760000</v>
      </c>
      <c r="E12" s="21" t="s">
        <v>475</v>
      </c>
      <c r="F12" s="21" t="str">
        <f t="shared" si="0"/>
        <v>rtdc.l.rtdc.4011:itc</v>
      </c>
      <c r="G12" s="8">
        <f t="shared" si="1"/>
        <v>42662.209699074076</v>
      </c>
    </row>
    <row r="13" spans="1:7" x14ac:dyDescent="0.25">
      <c r="A13" s="8">
        <v>42662.214814814812</v>
      </c>
      <c r="B13" s="21" t="s">
        <v>263</v>
      </c>
      <c r="C13" s="21" t="s">
        <v>476</v>
      </c>
      <c r="D13" s="21">
        <v>2010000</v>
      </c>
      <c r="E13" s="21" t="s">
        <v>468</v>
      </c>
      <c r="F13" s="21" t="str">
        <f t="shared" si="0"/>
        <v>rtdc.l.rtdc.4028:itc</v>
      </c>
      <c r="G13" s="8">
        <f t="shared" si="1"/>
        <v>42662.214814814812</v>
      </c>
    </row>
    <row r="14" spans="1:7" x14ac:dyDescent="0.25">
      <c r="A14" s="8">
        <v>42662.215104166666</v>
      </c>
      <c r="B14" s="21" t="s">
        <v>313</v>
      </c>
      <c r="C14" s="21" t="s">
        <v>477</v>
      </c>
      <c r="D14" s="21">
        <v>1110000</v>
      </c>
      <c r="E14" s="21" t="s">
        <v>473</v>
      </c>
      <c r="F14" s="21" t="str">
        <f t="shared" si="0"/>
        <v>rtdc.l.rtdc.4054:itc</v>
      </c>
      <c r="G14" s="8">
        <f t="shared" si="1"/>
        <v>42662.215104166666</v>
      </c>
    </row>
    <row r="15" spans="1:7" x14ac:dyDescent="0.25">
      <c r="A15" s="8">
        <v>42662.216168981482</v>
      </c>
      <c r="B15" s="21" t="s">
        <v>263</v>
      </c>
      <c r="C15" s="21" t="s">
        <v>476</v>
      </c>
      <c r="D15" s="21">
        <v>2010000</v>
      </c>
      <c r="E15" s="21" t="s">
        <v>468</v>
      </c>
      <c r="F15" s="21" t="str">
        <f t="shared" si="0"/>
        <v>rtdc.l.rtdc.4028:itc</v>
      </c>
      <c r="G15" s="8">
        <f t="shared" si="1"/>
        <v>42662.216168981482</v>
      </c>
    </row>
    <row r="16" spans="1:7" x14ac:dyDescent="0.25">
      <c r="A16" s="8">
        <v>42662.218402777777</v>
      </c>
      <c r="B16" s="21" t="s">
        <v>295</v>
      </c>
      <c r="C16" s="21" t="s">
        <v>478</v>
      </c>
      <c r="D16" s="21">
        <v>1190000</v>
      </c>
      <c r="E16" s="21" t="s">
        <v>358</v>
      </c>
      <c r="F16" s="21" t="str">
        <f t="shared" si="0"/>
        <v>rtdc.l.rtdc.4025:itc</v>
      </c>
      <c r="G16" s="8">
        <f t="shared" si="1"/>
        <v>42662.218402777777</v>
      </c>
    </row>
    <row r="17" spans="1:7" x14ac:dyDescent="0.25">
      <c r="A17" s="8">
        <v>42662.221400462964</v>
      </c>
      <c r="B17" s="21" t="s">
        <v>268</v>
      </c>
      <c r="C17" s="21" t="s">
        <v>479</v>
      </c>
      <c r="D17" s="21">
        <v>1260000</v>
      </c>
      <c r="E17" s="21" t="s">
        <v>293</v>
      </c>
      <c r="F17" s="21" t="str">
        <f t="shared" si="0"/>
        <v>rtdc.l.rtdc.4001:itc</v>
      </c>
      <c r="G17" s="8">
        <f t="shared" si="1"/>
        <v>42662.221400462964</v>
      </c>
    </row>
    <row r="18" spans="1:7" x14ac:dyDescent="0.25">
      <c r="A18" s="8">
        <v>42662.226122685184</v>
      </c>
      <c r="B18" s="21" t="s">
        <v>214</v>
      </c>
      <c r="C18" s="21" t="s">
        <v>480</v>
      </c>
      <c r="D18" s="21">
        <v>1240000</v>
      </c>
      <c r="E18" s="21" t="s">
        <v>315</v>
      </c>
      <c r="F18" s="21" t="str">
        <f t="shared" si="0"/>
        <v>rtdc.l.rtdc.4039:itc</v>
      </c>
      <c r="G18" s="8">
        <f t="shared" si="1"/>
        <v>42662.226122685184</v>
      </c>
    </row>
    <row r="19" spans="1:7" x14ac:dyDescent="0.25">
      <c r="A19" s="8">
        <v>42662.229201388887</v>
      </c>
      <c r="B19" s="21" t="s">
        <v>267</v>
      </c>
      <c r="C19" s="21" t="s">
        <v>481</v>
      </c>
      <c r="D19" s="21">
        <v>1090000</v>
      </c>
      <c r="E19" s="21" t="s">
        <v>314</v>
      </c>
      <c r="F19" s="21" t="str">
        <f t="shared" si="0"/>
        <v>rtdc.l.rtdc.4042:itc</v>
      </c>
      <c r="G19" s="8">
        <f t="shared" si="1"/>
        <v>42662.229201388887</v>
      </c>
    </row>
    <row r="20" spans="1:7" x14ac:dyDescent="0.25">
      <c r="A20" s="8">
        <v>42662.230358796296</v>
      </c>
      <c r="B20" s="21" t="s">
        <v>267</v>
      </c>
      <c r="C20" s="21" t="s">
        <v>481</v>
      </c>
      <c r="D20" s="21">
        <v>1090000</v>
      </c>
      <c r="E20" s="21" t="s">
        <v>314</v>
      </c>
      <c r="F20" s="21" t="str">
        <f t="shared" si="0"/>
        <v>rtdc.l.rtdc.4042:itc</v>
      </c>
      <c r="G20" s="8">
        <f t="shared" si="1"/>
        <v>42662.230358796296</v>
      </c>
    </row>
    <row r="21" spans="1:7" x14ac:dyDescent="0.25">
      <c r="A21" s="8">
        <v>42662.24114583333</v>
      </c>
      <c r="B21" s="21" t="s">
        <v>316</v>
      </c>
      <c r="C21" s="21" t="s">
        <v>482</v>
      </c>
      <c r="D21" s="21">
        <v>1110000</v>
      </c>
      <c r="E21" s="21" t="s">
        <v>473</v>
      </c>
      <c r="F21" s="21" t="str">
        <f t="shared" si="0"/>
        <v>rtdc.l.rtdc.4053:itc</v>
      </c>
      <c r="G21" s="8">
        <f t="shared" si="1"/>
        <v>42662.24114583333</v>
      </c>
    </row>
    <row r="22" spans="1:7" x14ac:dyDescent="0.25">
      <c r="A22" s="27">
        <v>42662.24732638889</v>
      </c>
      <c r="B22" s="21" t="s">
        <v>466</v>
      </c>
      <c r="C22" s="21" t="s">
        <v>483</v>
      </c>
      <c r="D22" s="21">
        <v>2010000</v>
      </c>
      <c r="E22" s="21" t="s">
        <v>468</v>
      </c>
      <c r="F22" s="21" t="str">
        <f t="shared" si="0"/>
        <v>rtdc.l.rtdc.4014:itc</v>
      </c>
      <c r="G22" s="8">
        <f t="shared" si="1"/>
        <v>42662.24732638889</v>
      </c>
    </row>
    <row r="23" spans="1:7" x14ac:dyDescent="0.25">
      <c r="A23" s="8">
        <v>42662.248020833336</v>
      </c>
      <c r="B23" s="21" t="s">
        <v>280</v>
      </c>
      <c r="C23" s="21" t="s">
        <v>484</v>
      </c>
      <c r="D23" s="21">
        <v>900000</v>
      </c>
      <c r="E23" s="21" t="s">
        <v>317</v>
      </c>
      <c r="F23" s="21" t="str">
        <f t="shared" si="0"/>
        <v>rtdc.l.rtdc.4045:itc</v>
      </c>
      <c r="G23" s="8">
        <f t="shared" si="1"/>
        <v>42662.248020833336</v>
      </c>
    </row>
    <row r="24" spans="1:7" x14ac:dyDescent="0.25">
      <c r="A24" s="8">
        <v>42662.252928240741</v>
      </c>
      <c r="B24" s="21" t="s">
        <v>281</v>
      </c>
      <c r="C24" s="21" t="s">
        <v>485</v>
      </c>
      <c r="D24" s="21">
        <v>1760000</v>
      </c>
      <c r="E24" s="21" t="s">
        <v>475</v>
      </c>
      <c r="F24" s="21" t="str">
        <f t="shared" si="0"/>
        <v>rtdc.l.rtdc.4012:itc</v>
      </c>
      <c r="G24" s="8">
        <f t="shared" si="1"/>
        <v>42662.252928240741</v>
      </c>
    </row>
    <row r="25" spans="1:7" x14ac:dyDescent="0.25">
      <c r="A25" s="8">
        <v>42662.255324074074</v>
      </c>
      <c r="B25" s="21" t="s">
        <v>313</v>
      </c>
      <c r="C25" s="21" t="s">
        <v>438</v>
      </c>
      <c r="D25" s="21">
        <v>1110000</v>
      </c>
      <c r="E25" s="21" t="s">
        <v>473</v>
      </c>
      <c r="F25" s="21" t="str">
        <f t="shared" si="0"/>
        <v>rtdc.l.rtdc.4054:itc</v>
      </c>
      <c r="G25" s="8">
        <f t="shared" si="1"/>
        <v>42662.255324074074</v>
      </c>
    </row>
    <row r="26" spans="1:7" x14ac:dyDescent="0.25">
      <c r="A26" s="8">
        <v>42662.255810185183</v>
      </c>
      <c r="B26" s="21" t="s">
        <v>312</v>
      </c>
      <c r="C26" s="21" t="s">
        <v>486</v>
      </c>
      <c r="D26" s="21">
        <v>1260000</v>
      </c>
      <c r="E26" s="21" t="s">
        <v>293</v>
      </c>
      <c r="F26" s="21" t="str">
        <f t="shared" si="0"/>
        <v>rtdc.l.rtdc.4002:itc</v>
      </c>
      <c r="G26" s="8">
        <f t="shared" si="1"/>
        <v>42662.255810185183</v>
      </c>
    </row>
    <row r="27" spans="1:7" x14ac:dyDescent="0.25">
      <c r="A27" s="8">
        <v>42662.262546296297</v>
      </c>
      <c r="B27" s="21" t="s">
        <v>294</v>
      </c>
      <c r="C27" s="21" t="s">
        <v>487</v>
      </c>
      <c r="D27" s="21">
        <v>1190000</v>
      </c>
      <c r="E27" s="21" t="s">
        <v>358</v>
      </c>
      <c r="F27" s="21" t="str">
        <f t="shared" si="0"/>
        <v>rtdc.l.rtdc.4026:itc</v>
      </c>
      <c r="G27" s="8">
        <f t="shared" si="1"/>
        <v>42662.262546296297</v>
      </c>
    </row>
    <row r="28" spans="1:7" x14ac:dyDescent="0.25">
      <c r="A28" s="8">
        <v>42662.264606481483</v>
      </c>
      <c r="B28" s="21" t="s">
        <v>217</v>
      </c>
      <c r="C28" s="21" t="s">
        <v>488</v>
      </c>
      <c r="D28" s="21">
        <v>1100000</v>
      </c>
      <c r="E28" s="21" t="s">
        <v>359</v>
      </c>
      <c r="F28" s="21" t="str">
        <f t="shared" si="0"/>
        <v>rtdc.l.rtdc.4031:itc</v>
      </c>
      <c r="G28" s="8">
        <f t="shared" si="1"/>
        <v>42662.264606481483</v>
      </c>
    </row>
    <row r="29" spans="1:7" x14ac:dyDescent="0.25">
      <c r="A29" s="8">
        <v>42662.266539351855</v>
      </c>
      <c r="B29" s="21" t="s">
        <v>262</v>
      </c>
      <c r="C29" s="21" t="s">
        <v>489</v>
      </c>
      <c r="D29" s="21">
        <v>2030000</v>
      </c>
      <c r="E29" s="21" t="s">
        <v>286</v>
      </c>
      <c r="F29" s="21" t="str">
        <f t="shared" si="0"/>
        <v>rtdc.l.rtdc.4040:itc</v>
      </c>
      <c r="G29" s="8">
        <f t="shared" si="1"/>
        <v>42662.266539351855</v>
      </c>
    </row>
    <row r="30" spans="1:7" x14ac:dyDescent="0.25">
      <c r="A30" s="8">
        <v>42662.277199074073</v>
      </c>
      <c r="B30" s="21" t="s">
        <v>269</v>
      </c>
      <c r="C30" s="21" t="s">
        <v>490</v>
      </c>
      <c r="D30" s="21">
        <v>1090000</v>
      </c>
      <c r="E30" s="21" t="s">
        <v>314</v>
      </c>
      <c r="F30" s="21" t="str">
        <f t="shared" si="0"/>
        <v>rtdc.l.rtdc.4041:itc</v>
      </c>
      <c r="G30" s="8">
        <f t="shared" si="1"/>
        <v>42662.277199074073</v>
      </c>
    </row>
    <row r="31" spans="1:7" x14ac:dyDescent="0.25">
      <c r="A31" s="8">
        <v>42662.277442129627</v>
      </c>
      <c r="B31" s="21" t="s">
        <v>216</v>
      </c>
      <c r="C31" s="21" t="s">
        <v>491</v>
      </c>
      <c r="D31" s="21">
        <v>1100000</v>
      </c>
      <c r="E31" s="21" t="s">
        <v>359</v>
      </c>
      <c r="F31" s="21" t="str">
        <f t="shared" si="0"/>
        <v>rtdc.l.rtdc.4032:itc</v>
      </c>
      <c r="G31" s="8">
        <f t="shared" si="1"/>
        <v>42662.277442129627</v>
      </c>
    </row>
    <row r="32" spans="1:7" x14ac:dyDescent="0.25">
      <c r="A32" s="8">
        <v>42662.278402777774</v>
      </c>
      <c r="B32" s="21" t="s">
        <v>198</v>
      </c>
      <c r="C32" s="21" t="s">
        <v>492</v>
      </c>
      <c r="D32" s="21">
        <v>900000</v>
      </c>
      <c r="E32" s="21" t="s">
        <v>317</v>
      </c>
      <c r="F32" s="21" t="str">
        <f t="shared" si="0"/>
        <v>rtdc.l.rtdc.4046:itc</v>
      </c>
      <c r="G32" s="8">
        <f t="shared" si="1"/>
        <v>42662.278402777774</v>
      </c>
    </row>
    <row r="33" spans="1:7" x14ac:dyDescent="0.25">
      <c r="A33" s="8">
        <v>42662.282326388886</v>
      </c>
      <c r="B33" s="21" t="s">
        <v>459</v>
      </c>
      <c r="C33" s="21" t="s">
        <v>493</v>
      </c>
      <c r="D33" s="21">
        <v>2010000</v>
      </c>
      <c r="E33" s="21" t="s">
        <v>468</v>
      </c>
      <c r="F33" s="21" t="str">
        <f t="shared" si="0"/>
        <v>rtdc.l.rtdc.4013:itc</v>
      </c>
      <c r="G33" s="8">
        <f t="shared" si="1"/>
        <v>42662.282326388886</v>
      </c>
    </row>
    <row r="34" spans="1:7" x14ac:dyDescent="0.25">
      <c r="A34" s="8">
        <v>42662.28361111111</v>
      </c>
      <c r="B34" s="21" t="s">
        <v>316</v>
      </c>
      <c r="C34" s="21" t="s">
        <v>494</v>
      </c>
      <c r="D34" s="21">
        <v>1110000</v>
      </c>
      <c r="E34" s="21" t="s">
        <v>473</v>
      </c>
      <c r="F34" s="21" t="str">
        <f t="shared" si="0"/>
        <v>rtdc.l.rtdc.4053:itc</v>
      </c>
      <c r="G34" s="8">
        <f t="shared" si="1"/>
        <v>42662.28361111111</v>
      </c>
    </row>
    <row r="35" spans="1:7" x14ac:dyDescent="0.25">
      <c r="A35" s="8">
        <v>42662.288842592592</v>
      </c>
      <c r="B35" s="21" t="s">
        <v>282</v>
      </c>
      <c r="C35" s="21" t="s">
        <v>495</v>
      </c>
      <c r="D35" s="21">
        <v>1760000</v>
      </c>
      <c r="E35" s="21" t="s">
        <v>475</v>
      </c>
      <c r="F35" s="21" t="str">
        <f t="shared" si="0"/>
        <v>rtdc.l.rtdc.4011:itc</v>
      </c>
      <c r="G35" s="8">
        <f t="shared" si="1"/>
        <v>42662.288842592592</v>
      </c>
    </row>
    <row r="36" spans="1:7" x14ac:dyDescent="0.25">
      <c r="A36" s="8">
        <v>42662.29310185185</v>
      </c>
      <c r="B36" s="21" t="s">
        <v>268</v>
      </c>
      <c r="C36" s="21" t="s">
        <v>440</v>
      </c>
      <c r="D36" s="21">
        <v>1260000</v>
      </c>
      <c r="E36" s="21" t="s">
        <v>293</v>
      </c>
      <c r="F36" s="21" t="str">
        <f t="shared" si="0"/>
        <v>rtdc.l.rtdc.4001:itc</v>
      </c>
      <c r="G36" s="8">
        <f t="shared" si="1"/>
        <v>42662.29310185185</v>
      </c>
    </row>
    <row r="37" spans="1:7" x14ac:dyDescent="0.25">
      <c r="A37" s="8">
        <v>42662.294525462959</v>
      </c>
      <c r="B37" s="21" t="s">
        <v>217</v>
      </c>
      <c r="C37" s="21" t="s">
        <v>439</v>
      </c>
      <c r="D37" s="21">
        <v>1100000</v>
      </c>
      <c r="E37" s="21" t="s">
        <v>359</v>
      </c>
      <c r="F37" s="21" t="str">
        <f t="shared" si="0"/>
        <v>rtdc.l.rtdc.4031:itc</v>
      </c>
      <c r="G37" s="8">
        <f t="shared" si="1"/>
        <v>42662.294525462959</v>
      </c>
    </row>
    <row r="38" spans="1:7" x14ac:dyDescent="0.25">
      <c r="A38" s="8">
        <v>42662.297071759262</v>
      </c>
      <c r="B38" s="21" t="s">
        <v>313</v>
      </c>
      <c r="C38" s="21" t="s">
        <v>496</v>
      </c>
      <c r="D38" s="21">
        <v>1110000</v>
      </c>
      <c r="E38" s="21" t="s">
        <v>473</v>
      </c>
      <c r="F38" s="21" t="str">
        <f t="shared" si="0"/>
        <v>rtdc.l.rtdc.4054:itc</v>
      </c>
      <c r="G38" s="8">
        <f t="shared" si="1"/>
        <v>42662.297071759262</v>
      </c>
    </row>
    <row r="39" spans="1:7" x14ac:dyDescent="0.25">
      <c r="A39" s="8">
        <v>42662.299502314818</v>
      </c>
      <c r="B39" s="21" t="s">
        <v>295</v>
      </c>
      <c r="C39" s="21" t="s">
        <v>497</v>
      </c>
      <c r="D39" s="21">
        <v>1190000</v>
      </c>
      <c r="E39" s="21" t="s">
        <v>358</v>
      </c>
      <c r="F39" s="21" t="str">
        <f t="shared" si="0"/>
        <v>rtdc.l.rtdc.4025:itc</v>
      </c>
      <c r="G39" s="8">
        <f t="shared" si="1"/>
        <v>42662.299502314818</v>
      </c>
    </row>
    <row r="40" spans="1:7" x14ac:dyDescent="0.25">
      <c r="A40" s="8">
        <v>42662.302118055559</v>
      </c>
      <c r="B40" s="26" t="s">
        <v>214</v>
      </c>
      <c r="C40" s="21" t="s">
        <v>498</v>
      </c>
      <c r="D40" s="21">
        <v>2030000</v>
      </c>
      <c r="E40" s="21" t="s">
        <v>286</v>
      </c>
      <c r="F40" s="21" t="str">
        <f t="shared" si="0"/>
        <v>rtdc.l.rtdc.4039:itc</v>
      </c>
      <c r="G40" s="8">
        <f t="shared" si="1"/>
        <v>42662.302118055559</v>
      </c>
    </row>
    <row r="41" spans="1:7" x14ac:dyDescent="0.25">
      <c r="A41" s="8">
        <v>42662.309618055559</v>
      </c>
      <c r="B41" s="21" t="s">
        <v>267</v>
      </c>
      <c r="C41" s="21" t="s">
        <v>499</v>
      </c>
      <c r="D41" s="21">
        <v>1090000</v>
      </c>
      <c r="E41" s="21" t="s">
        <v>314</v>
      </c>
      <c r="F41" s="21" t="str">
        <f t="shared" si="0"/>
        <v>rtdc.l.rtdc.4042:itc</v>
      </c>
      <c r="G41" s="8">
        <f t="shared" si="1"/>
        <v>42662.309618055559</v>
      </c>
    </row>
    <row r="42" spans="1:7" x14ac:dyDescent="0.25">
      <c r="A42" s="8">
        <v>42662.310358796298</v>
      </c>
      <c r="B42" s="21" t="s">
        <v>280</v>
      </c>
      <c r="C42" s="21" t="s">
        <v>500</v>
      </c>
      <c r="D42" s="21">
        <v>900000</v>
      </c>
      <c r="E42" s="21" t="s">
        <v>317</v>
      </c>
      <c r="F42" s="21" t="str">
        <f t="shared" si="0"/>
        <v>rtdc.l.rtdc.4045:itc</v>
      </c>
      <c r="G42" s="8">
        <f t="shared" si="1"/>
        <v>42662.310358796298</v>
      </c>
    </row>
    <row r="43" spans="1:7" x14ac:dyDescent="0.25">
      <c r="A43" s="8">
        <v>42662.318807870368</v>
      </c>
      <c r="B43" s="21" t="s">
        <v>216</v>
      </c>
      <c r="C43" s="21" t="s">
        <v>501</v>
      </c>
      <c r="D43" s="21">
        <v>1100000</v>
      </c>
      <c r="E43" s="21" t="s">
        <v>359</v>
      </c>
      <c r="F43" s="21" t="str">
        <f t="shared" si="0"/>
        <v>rtdc.l.rtdc.4032:itc</v>
      </c>
      <c r="G43" s="8">
        <f t="shared" si="1"/>
        <v>42662.318807870368</v>
      </c>
    </row>
    <row r="44" spans="1:7" x14ac:dyDescent="0.25">
      <c r="A44" s="8">
        <v>42662.318819444445</v>
      </c>
      <c r="B44" s="21" t="s">
        <v>466</v>
      </c>
      <c r="C44" s="21" t="s">
        <v>502</v>
      </c>
      <c r="D44" s="21">
        <v>2010000</v>
      </c>
      <c r="E44" s="21" t="s">
        <v>468</v>
      </c>
      <c r="F44" s="21" t="str">
        <f t="shared" si="0"/>
        <v>rtdc.l.rtdc.4014:itc</v>
      </c>
      <c r="G44" s="8">
        <f t="shared" si="1"/>
        <v>42662.318819444445</v>
      </c>
    </row>
    <row r="45" spans="1:7" x14ac:dyDescent="0.25">
      <c r="A45" s="8">
        <v>42662.324560185189</v>
      </c>
      <c r="B45" s="21" t="s">
        <v>316</v>
      </c>
      <c r="C45" s="21" t="s">
        <v>503</v>
      </c>
      <c r="D45" s="21">
        <v>1110000</v>
      </c>
      <c r="E45" s="21" t="s">
        <v>473</v>
      </c>
      <c r="F45" s="21" t="str">
        <f t="shared" si="0"/>
        <v>rtdc.l.rtdc.4053:itc</v>
      </c>
      <c r="G45" s="8">
        <f t="shared" si="1"/>
        <v>42662.324560185189</v>
      </c>
    </row>
    <row r="46" spans="1:7" x14ac:dyDescent="0.25">
      <c r="A46" s="8">
        <v>42662.32880787037</v>
      </c>
      <c r="B46" s="21" t="s">
        <v>281</v>
      </c>
      <c r="C46" s="21" t="s">
        <v>441</v>
      </c>
      <c r="D46" s="21">
        <v>1760000</v>
      </c>
      <c r="E46" s="21" t="s">
        <v>475</v>
      </c>
      <c r="F46" s="21" t="str">
        <f t="shared" si="0"/>
        <v>rtdc.l.rtdc.4012:itc</v>
      </c>
      <c r="G46" s="8">
        <f t="shared" si="1"/>
        <v>42662.32880787037</v>
      </c>
    </row>
    <row r="47" spans="1:7" x14ac:dyDescent="0.25">
      <c r="A47" s="8">
        <v>42662.330127314817</v>
      </c>
      <c r="B47" s="21" t="s">
        <v>312</v>
      </c>
      <c r="C47" s="21" t="s">
        <v>504</v>
      </c>
      <c r="D47" s="21">
        <v>1260000</v>
      </c>
      <c r="E47" s="21" t="s">
        <v>293</v>
      </c>
      <c r="F47" s="21" t="str">
        <f t="shared" si="0"/>
        <v>rtdc.l.rtdc.4002:itc</v>
      </c>
      <c r="G47" s="8">
        <f t="shared" si="1"/>
        <v>42662.330127314817</v>
      </c>
    </row>
    <row r="48" spans="1:7" x14ac:dyDescent="0.25">
      <c r="A48" s="8">
        <v>42662.332395833335</v>
      </c>
      <c r="B48" s="21" t="s">
        <v>217</v>
      </c>
      <c r="C48" s="21" t="s">
        <v>442</v>
      </c>
      <c r="D48" s="21">
        <v>1100000</v>
      </c>
      <c r="E48" s="21" t="s">
        <v>359</v>
      </c>
      <c r="F48" s="21" t="str">
        <f t="shared" si="0"/>
        <v>rtdc.l.rtdc.4031:itc</v>
      </c>
      <c r="G48" s="8">
        <f t="shared" si="1"/>
        <v>42662.332395833335</v>
      </c>
    </row>
    <row r="49" spans="1:7" x14ac:dyDescent="0.25">
      <c r="A49" s="8">
        <v>42662.332974537036</v>
      </c>
      <c r="B49" s="21" t="s">
        <v>294</v>
      </c>
      <c r="C49" s="21" t="s">
        <v>505</v>
      </c>
      <c r="D49" s="21">
        <v>1190000</v>
      </c>
      <c r="E49" s="21" t="s">
        <v>358</v>
      </c>
      <c r="F49" s="21" t="str">
        <f t="shared" si="0"/>
        <v>rtdc.l.rtdc.4026:itc</v>
      </c>
      <c r="G49" s="8">
        <f t="shared" si="1"/>
        <v>42662.332974537036</v>
      </c>
    </row>
    <row r="50" spans="1:7" x14ac:dyDescent="0.25">
      <c r="A50" s="8">
        <v>42662.33865740741</v>
      </c>
      <c r="B50" s="21" t="s">
        <v>313</v>
      </c>
      <c r="C50" s="21" t="s">
        <v>506</v>
      </c>
      <c r="D50" s="21">
        <v>1110000</v>
      </c>
      <c r="E50" s="21" t="s">
        <v>473</v>
      </c>
      <c r="F50" s="21" t="str">
        <f t="shared" si="0"/>
        <v>rtdc.l.rtdc.4054:itc</v>
      </c>
      <c r="G50" s="8">
        <f t="shared" si="1"/>
        <v>42662.33865740741</v>
      </c>
    </row>
    <row r="51" spans="1:7" x14ac:dyDescent="0.25">
      <c r="A51" s="8">
        <v>42662.340740740743</v>
      </c>
      <c r="B51" s="21" t="s">
        <v>262</v>
      </c>
      <c r="C51" s="21" t="s">
        <v>507</v>
      </c>
      <c r="D51" s="21">
        <v>2030000</v>
      </c>
      <c r="E51" s="21" t="s">
        <v>286</v>
      </c>
      <c r="F51" s="21" t="str">
        <f t="shared" si="0"/>
        <v>rtdc.l.rtdc.4040:itc</v>
      </c>
      <c r="G51" s="8">
        <f t="shared" si="1"/>
        <v>42662.340740740743</v>
      </c>
    </row>
    <row r="52" spans="1:7" x14ac:dyDescent="0.25">
      <c r="A52" s="8">
        <v>42662.344421296293</v>
      </c>
      <c r="B52" s="21" t="s">
        <v>269</v>
      </c>
      <c r="C52" s="21" t="s">
        <v>508</v>
      </c>
      <c r="D52" s="21">
        <v>1090000</v>
      </c>
      <c r="E52" s="21" t="s">
        <v>314</v>
      </c>
      <c r="F52" s="21" t="str">
        <f t="shared" si="0"/>
        <v>rtdc.l.rtdc.4041:itc</v>
      </c>
      <c r="G52" s="8">
        <f t="shared" si="1"/>
        <v>42662.344421296293</v>
      </c>
    </row>
    <row r="53" spans="1:7" x14ac:dyDescent="0.25">
      <c r="A53" s="8">
        <v>42662.349398148152</v>
      </c>
      <c r="B53" s="21" t="s">
        <v>198</v>
      </c>
      <c r="C53" s="21" t="s">
        <v>444</v>
      </c>
      <c r="D53" s="21">
        <v>900000</v>
      </c>
      <c r="E53" s="21" t="s">
        <v>317</v>
      </c>
      <c r="F53" s="21" t="str">
        <f t="shared" si="0"/>
        <v>rtdc.l.rtdc.4046:itc</v>
      </c>
      <c r="G53" s="8">
        <f t="shared" si="1"/>
        <v>42662.349398148152</v>
      </c>
    </row>
    <row r="54" spans="1:7" x14ac:dyDescent="0.25">
      <c r="A54" s="8">
        <v>42662.354224537034</v>
      </c>
      <c r="B54" s="21" t="s">
        <v>316</v>
      </c>
      <c r="C54" s="21" t="s">
        <v>509</v>
      </c>
      <c r="D54" s="21">
        <v>1110000</v>
      </c>
      <c r="E54" s="21" t="s">
        <v>473</v>
      </c>
      <c r="F54" s="21" t="str">
        <f t="shared" si="0"/>
        <v>rtdc.l.rtdc.4053:itc</v>
      </c>
      <c r="G54" s="8">
        <f t="shared" si="1"/>
        <v>42662.354224537034</v>
      </c>
    </row>
    <row r="55" spans="1:7" x14ac:dyDescent="0.25">
      <c r="A55" s="8">
        <v>42662.35434027778</v>
      </c>
      <c r="B55" s="21" t="s">
        <v>459</v>
      </c>
      <c r="C55" s="21" t="s">
        <v>510</v>
      </c>
      <c r="D55" s="21">
        <v>2010000</v>
      </c>
      <c r="E55" s="21" t="s">
        <v>468</v>
      </c>
      <c r="F55" s="21" t="str">
        <f t="shared" si="0"/>
        <v>rtdc.l.rtdc.4013:itc</v>
      </c>
      <c r="G55" s="8">
        <f t="shared" si="1"/>
        <v>42662.35434027778</v>
      </c>
    </row>
    <row r="56" spans="1:7" x14ac:dyDescent="0.25">
      <c r="A56" s="8">
        <v>42662.36005787037</v>
      </c>
      <c r="B56" s="21" t="s">
        <v>216</v>
      </c>
      <c r="C56" s="21" t="s">
        <v>511</v>
      </c>
      <c r="D56" s="21">
        <v>1100000</v>
      </c>
      <c r="E56" s="21" t="s">
        <v>359</v>
      </c>
      <c r="F56" s="21" t="str">
        <f t="shared" si="0"/>
        <v>rtdc.l.rtdc.4032:itc</v>
      </c>
      <c r="G56" s="8">
        <f t="shared" si="1"/>
        <v>42662.36005787037</v>
      </c>
    </row>
    <row r="57" spans="1:7" x14ac:dyDescent="0.25">
      <c r="A57" s="8">
        <v>42662.360462962963</v>
      </c>
      <c r="B57" s="21" t="s">
        <v>282</v>
      </c>
      <c r="C57" s="21" t="s">
        <v>512</v>
      </c>
      <c r="D57" s="21">
        <v>1760000</v>
      </c>
      <c r="E57" s="21" t="s">
        <v>475</v>
      </c>
      <c r="F57" s="21" t="str">
        <f t="shared" si="0"/>
        <v>rtdc.l.rtdc.4011:itc</v>
      </c>
      <c r="G57" s="8">
        <f t="shared" si="1"/>
        <v>42662.360462962963</v>
      </c>
    </row>
    <row r="58" spans="1:7" x14ac:dyDescent="0.25">
      <c r="A58" s="8">
        <v>42662.362210648149</v>
      </c>
      <c r="B58" s="21" t="s">
        <v>268</v>
      </c>
      <c r="C58" s="21" t="s">
        <v>443</v>
      </c>
      <c r="D58" s="21">
        <v>1260000</v>
      </c>
      <c r="E58" s="21" t="s">
        <v>293</v>
      </c>
      <c r="F58" s="21" t="str">
        <f t="shared" si="0"/>
        <v>rtdc.l.rtdc.4001:itc</v>
      </c>
      <c r="G58" s="8">
        <f t="shared" si="1"/>
        <v>42662.362210648149</v>
      </c>
    </row>
    <row r="59" spans="1:7" x14ac:dyDescent="0.25">
      <c r="A59" s="8">
        <v>42662.371435185189</v>
      </c>
      <c r="B59" s="21" t="s">
        <v>295</v>
      </c>
      <c r="C59" s="21" t="s">
        <v>513</v>
      </c>
      <c r="D59" s="21">
        <v>1190000</v>
      </c>
      <c r="E59" s="21" t="s">
        <v>358</v>
      </c>
      <c r="F59" s="21" t="str">
        <f t="shared" si="0"/>
        <v>rtdc.l.rtdc.4025:itc</v>
      </c>
      <c r="G59" s="8">
        <f t="shared" si="1"/>
        <v>42662.371435185189</v>
      </c>
    </row>
    <row r="60" spans="1:7" x14ac:dyDescent="0.25">
      <c r="A60" s="8">
        <v>42662.374259259261</v>
      </c>
      <c r="B60" s="21" t="s">
        <v>217</v>
      </c>
      <c r="C60" s="21" t="s">
        <v>514</v>
      </c>
      <c r="D60" s="21">
        <v>1100000</v>
      </c>
      <c r="E60" s="21" t="s">
        <v>359</v>
      </c>
      <c r="F60" s="21" t="str">
        <f t="shared" si="0"/>
        <v>rtdc.l.rtdc.4031:itc</v>
      </c>
      <c r="G60" s="8">
        <f t="shared" si="1"/>
        <v>42662.374259259261</v>
      </c>
    </row>
    <row r="61" spans="1:7" x14ac:dyDescent="0.25">
      <c r="A61" s="8">
        <v>42662.374907407408</v>
      </c>
      <c r="B61" s="21" t="s">
        <v>214</v>
      </c>
      <c r="C61" s="21" t="s">
        <v>515</v>
      </c>
      <c r="D61" s="21">
        <v>2030000</v>
      </c>
      <c r="E61" s="21" t="s">
        <v>286</v>
      </c>
      <c r="F61" s="21" t="str">
        <f t="shared" si="0"/>
        <v>rtdc.l.rtdc.4039:itc</v>
      </c>
      <c r="G61" s="8">
        <f t="shared" si="1"/>
        <v>42662.374907407408</v>
      </c>
    </row>
    <row r="62" spans="1:7" x14ac:dyDescent="0.25">
      <c r="A62" s="8">
        <v>42662.384756944448</v>
      </c>
      <c r="B62" s="21" t="s">
        <v>267</v>
      </c>
      <c r="C62" s="21" t="s">
        <v>516</v>
      </c>
      <c r="D62" s="21">
        <v>970000</v>
      </c>
      <c r="E62" s="21" t="s">
        <v>517</v>
      </c>
      <c r="F62" s="21" t="str">
        <f t="shared" si="0"/>
        <v>rtdc.l.rtdc.4042:itc</v>
      </c>
      <c r="G62" s="8">
        <f t="shared" si="1"/>
        <v>42662.384756944448</v>
      </c>
    </row>
    <row r="63" spans="1:7" x14ac:dyDescent="0.25">
      <c r="A63" s="8">
        <v>42662.391909722224</v>
      </c>
      <c r="B63" s="21" t="s">
        <v>466</v>
      </c>
      <c r="C63" s="21" t="s">
        <v>518</v>
      </c>
      <c r="D63" s="21">
        <v>2010000</v>
      </c>
      <c r="E63" s="21" t="s">
        <v>468</v>
      </c>
      <c r="F63" s="21" t="str">
        <f t="shared" si="0"/>
        <v>rtdc.l.rtdc.4014:itc</v>
      </c>
      <c r="G63" s="8">
        <f t="shared" si="1"/>
        <v>42662.391909722224</v>
      </c>
    </row>
    <row r="64" spans="1:7" x14ac:dyDescent="0.25">
      <c r="A64" s="27">
        <v>42662.392500000002</v>
      </c>
      <c r="B64" s="21" t="s">
        <v>280</v>
      </c>
      <c r="C64" s="21" t="s">
        <v>519</v>
      </c>
      <c r="D64" s="21">
        <v>900000</v>
      </c>
      <c r="E64" s="21" t="s">
        <v>317</v>
      </c>
      <c r="F64" s="21" t="str">
        <f t="shared" si="0"/>
        <v>rtdc.l.rtdc.4045:itc</v>
      </c>
      <c r="G64" s="8">
        <f t="shared" si="1"/>
        <v>42662.392500000002</v>
      </c>
    </row>
    <row r="65" spans="1:7" x14ac:dyDescent="0.25">
      <c r="A65" s="8">
        <v>42662.398831018516</v>
      </c>
      <c r="B65" s="21" t="s">
        <v>281</v>
      </c>
      <c r="C65" s="21" t="s">
        <v>520</v>
      </c>
      <c r="D65" s="21">
        <v>1760000</v>
      </c>
      <c r="E65" s="21" t="s">
        <v>475</v>
      </c>
      <c r="F65" s="21" t="str">
        <f t="shared" si="0"/>
        <v>rtdc.l.rtdc.4012:itc</v>
      </c>
      <c r="G65" s="8">
        <f t="shared" si="1"/>
        <v>42662.398831018516</v>
      </c>
    </row>
    <row r="66" spans="1:7" x14ac:dyDescent="0.25">
      <c r="A66" s="8">
        <v>42662.401608796295</v>
      </c>
      <c r="B66" s="21" t="s">
        <v>216</v>
      </c>
      <c r="C66" s="21" t="s">
        <v>521</v>
      </c>
      <c r="D66" s="21">
        <v>1100000</v>
      </c>
      <c r="E66" s="21" t="s">
        <v>359</v>
      </c>
      <c r="F66" s="21" t="str">
        <f t="shared" ref="F66:F129" si="2">B66</f>
        <v>rtdc.l.rtdc.4032:itc</v>
      </c>
      <c r="G66" s="8">
        <f t="shared" ref="G66:G129" si="3">A66</f>
        <v>42662.401608796295</v>
      </c>
    </row>
    <row r="67" spans="1:7" x14ac:dyDescent="0.25">
      <c r="A67" s="8">
        <v>42662.402349537035</v>
      </c>
      <c r="B67" s="21" t="s">
        <v>312</v>
      </c>
      <c r="C67" s="21" t="s">
        <v>522</v>
      </c>
      <c r="D67" s="21">
        <v>1260000</v>
      </c>
      <c r="E67" s="21" t="s">
        <v>293</v>
      </c>
      <c r="F67" s="21" t="str">
        <f t="shared" si="2"/>
        <v>rtdc.l.rtdc.4002:itc</v>
      </c>
      <c r="G67" s="8">
        <f t="shared" si="3"/>
        <v>42662.402349537035</v>
      </c>
    </row>
    <row r="68" spans="1:7" x14ac:dyDescent="0.25">
      <c r="A68" s="8">
        <v>42662.410613425927</v>
      </c>
      <c r="B68" s="21" t="s">
        <v>294</v>
      </c>
      <c r="C68" s="21" t="s">
        <v>523</v>
      </c>
      <c r="D68" s="21">
        <v>1190000</v>
      </c>
      <c r="E68" s="21" t="s">
        <v>358</v>
      </c>
      <c r="F68" s="21" t="str">
        <f t="shared" si="2"/>
        <v>rtdc.l.rtdc.4026:itc</v>
      </c>
      <c r="G68" s="8">
        <f t="shared" si="3"/>
        <v>42662.410613425927</v>
      </c>
    </row>
    <row r="69" spans="1:7" x14ac:dyDescent="0.25">
      <c r="A69" s="8">
        <v>42662.411793981482</v>
      </c>
      <c r="B69" s="21" t="s">
        <v>262</v>
      </c>
      <c r="C69" s="21" t="s">
        <v>524</v>
      </c>
      <c r="D69" s="21">
        <v>2030000</v>
      </c>
      <c r="E69" s="21" t="s">
        <v>286</v>
      </c>
      <c r="F69" s="21" t="str">
        <f t="shared" si="2"/>
        <v>rtdc.l.rtdc.4040:itc</v>
      </c>
      <c r="G69" s="8">
        <f t="shared" si="3"/>
        <v>42662.411793981482</v>
      </c>
    </row>
    <row r="70" spans="1:7" x14ac:dyDescent="0.25">
      <c r="A70" s="8">
        <v>42662.415833333333</v>
      </c>
      <c r="B70" s="21" t="s">
        <v>217</v>
      </c>
      <c r="C70" s="21" t="s">
        <v>525</v>
      </c>
      <c r="D70" s="21">
        <v>1100000</v>
      </c>
      <c r="E70" s="21" t="s">
        <v>359</v>
      </c>
      <c r="F70" s="21" t="str">
        <f t="shared" si="2"/>
        <v>rtdc.l.rtdc.4031:itc</v>
      </c>
      <c r="G70" s="8">
        <f t="shared" si="3"/>
        <v>42662.415833333333</v>
      </c>
    </row>
    <row r="71" spans="1:7" x14ac:dyDescent="0.25">
      <c r="A71" s="8">
        <v>42662.417002314818</v>
      </c>
      <c r="B71" s="21" t="s">
        <v>269</v>
      </c>
      <c r="C71" s="21" t="s">
        <v>526</v>
      </c>
      <c r="D71" s="21">
        <v>1970000</v>
      </c>
      <c r="E71" s="21" t="s">
        <v>527</v>
      </c>
      <c r="F71" s="21" t="str">
        <f t="shared" si="2"/>
        <v>rtdc.l.rtdc.4041:itc</v>
      </c>
      <c r="G71" s="8">
        <f t="shared" si="3"/>
        <v>42662.417002314818</v>
      </c>
    </row>
    <row r="72" spans="1:7" x14ac:dyDescent="0.25">
      <c r="A72" s="8">
        <v>42662.425856481481</v>
      </c>
      <c r="B72" s="21" t="s">
        <v>198</v>
      </c>
      <c r="C72" s="21" t="s">
        <v>446</v>
      </c>
      <c r="D72" s="21">
        <v>900000</v>
      </c>
      <c r="E72" s="21" t="s">
        <v>317</v>
      </c>
      <c r="F72" s="21" t="str">
        <f t="shared" si="2"/>
        <v>rtdc.l.rtdc.4046:itc</v>
      </c>
      <c r="G72" s="8">
        <f t="shared" si="3"/>
        <v>42662.425856481481</v>
      </c>
    </row>
    <row r="73" spans="1:7" x14ac:dyDescent="0.25">
      <c r="A73" s="8">
        <v>42662.431122685186</v>
      </c>
      <c r="B73" s="21" t="s">
        <v>459</v>
      </c>
      <c r="C73" s="21" t="s">
        <v>528</v>
      </c>
      <c r="D73" s="21">
        <v>2010000</v>
      </c>
      <c r="E73" s="21" t="s">
        <v>468</v>
      </c>
      <c r="F73" s="21" t="str">
        <f t="shared" si="2"/>
        <v>rtdc.l.rtdc.4013:itc</v>
      </c>
      <c r="G73" s="8">
        <f t="shared" si="3"/>
        <v>42662.431122685186</v>
      </c>
    </row>
    <row r="74" spans="1:7" x14ac:dyDescent="0.25">
      <c r="A74" s="8">
        <v>42662.438726851855</v>
      </c>
      <c r="B74" s="21" t="s">
        <v>282</v>
      </c>
      <c r="C74" s="21" t="s">
        <v>447</v>
      </c>
      <c r="D74" s="21">
        <v>1110000</v>
      </c>
      <c r="E74" s="21" t="s">
        <v>473</v>
      </c>
      <c r="F74" s="21" t="str">
        <f t="shared" si="2"/>
        <v>rtdc.l.rtdc.4011:itc</v>
      </c>
      <c r="G74" s="8">
        <f t="shared" si="3"/>
        <v>42662.438726851855</v>
      </c>
    </row>
    <row r="75" spans="1:7" x14ac:dyDescent="0.25">
      <c r="A75" s="8">
        <v>42662.440393518518</v>
      </c>
      <c r="B75" s="21" t="s">
        <v>268</v>
      </c>
      <c r="C75" s="21" t="s">
        <v>448</v>
      </c>
      <c r="D75" s="21">
        <v>1260000</v>
      </c>
      <c r="E75" s="21" t="s">
        <v>293</v>
      </c>
      <c r="F75" s="21" t="str">
        <f t="shared" si="2"/>
        <v>rtdc.l.rtdc.4001:itc</v>
      </c>
      <c r="G75" s="8">
        <f t="shared" si="3"/>
        <v>42662.440393518518</v>
      </c>
    </row>
    <row r="76" spans="1:7" x14ac:dyDescent="0.25">
      <c r="A76" s="8">
        <v>42662.443749999999</v>
      </c>
      <c r="B76" s="21" t="s">
        <v>216</v>
      </c>
      <c r="C76" s="21" t="s">
        <v>529</v>
      </c>
      <c r="D76" s="21">
        <v>1100000</v>
      </c>
      <c r="E76" s="21" t="s">
        <v>359</v>
      </c>
      <c r="F76" s="21" t="str">
        <f t="shared" si="2"/>
        <v>rtdc.l.rtdc.4032:itc</v>
      </c>
      <c r="G76" s="8">
        <f t="shared" si="3"/>
        <v>42662.443749999999</v>
      </c>
    </row>
    <row r="77" spans="1:7" x14ac:dyDescent="0.25">
      <c r="A77" s="8">
        <v>42662.445590277777</v>
      </c>
      <c r="B77" s="21" t="s">
        <v>295</v>
      </c>
      <c r="C77" s="21" t="s">
        <v>530</v>
      </c>
      <c r="D77" s="21">
        <v>1190000</v>
      </c>
      <c r="E77" s="21" t="s">
        <v>358</v>
      </c>
      <c r="F77" s="21" t="str">
        <f t="shared" si="2"/>
        <v>rtdc.l.rtdc.4025:itc</v>
      </c>
      <c r="G77" s="8">
        <f t="shared" si="3"/>
        <v>42662.445590277777</v>
      </c>
    </row>
    <row r="78" spans="1:7" x14ac:dyDescent="0.25">
      <c r="A78" s="8">
        <v>42662.447847222225</v>
      </c>
      <c r="B78" s="21" t="s">
        <v>214</v>
      </c>
      <c r="C78" s="21" t="s">
        <v>449</v>
      </c>
      <c r="D78" s="21">
        <v>2030000</v>
      </c>
      <c r="E78" s="21" t="s">
        <v>286</v>
      </c>
      <c r="F78" s="21" t="str">
        <f t="shared" si="2"/>
        <v>rtdc.l.rtdc.4039:itc</v>
      </c>
      <c r="G78" s="8">
        <f t="shared" si="3"/>
        <v>42662.447847222225</v>
      </c>
    </row>
    <row r="79" spans="1:7" x14ac:dyDescent="0.25">
      <c r="A79" s="8">
        <v>42662.456134259257</v>
      </c>
      <c r="B79" s="21" t="s">
        <v>267</v>
      </c>
      <c r="C79" s="21" t="s">
        <v>531</v>
      </c>
      <c r="D79" s="21">
        <v>1780000</v>
      </c>
      <c r="E79" s="21" t="s">
        <v>532</v>
      </c>
      <c r="F79" s="21" t="str">
        <f t="shared" si="2"/>
        <v>rtdc.l.rtdc.4042:itc</v>
      </c>
      <c r="G79" s="8">
        <f t="shared" si="3"/>
        <v>42662.456134259257</v>
      </c>
    </row>
    <row r="80" spans="1:7" x14ac:dyDescent="0.25">
      <c r="A80" s="8">
        <v>42662.456932870373</v>
      </c>
      <c r="B80" s="21" t="s">
        <v>217</v>
      </c>
      <c r="C80" s="21" t="s">
        <v>533</v>
      </c>
      <c r="D80" s="21">
        <v>1100000</v>
      </c>
      <c r="E80" s="21" t="s">
        <v>359</v>
      </c>
      <c r="F80" s="21" t="str">
        <f t="shared" si="2"/>
        <v>rtdc.l.rtdc.4031:itc</v>
      </c>
      <c r="G80" s="8">
        <f t="shared" si="3"/>
        <v>42662.456932870373</v>
      </c>
    </row>
    <row r="81" spans="1:7" x14ac:dyDescent="0.25">
      <c r="A81" s="8">
        <v>42662.459016203706</v>
      </c>
      <c r="B81" s="21" t="s">
        <v>280</v>
      </c>
      <c r="C81" s="21" t="s">
        <v>534</v>
      </c>
      <c r="D81" s="21">
        <v>900000</v>
      </c>
      <c r="E81" s="21" t="s">
        <v>317</v>
      </c>
      <c r="F81" s="21" t="str">
        <f t="shared" si="2"/>
        <v>rtdc.l.rtdc.4045:itc</v>
      </c>
      <c r="G81" s="8">
        <f t="shared" si="3"/>
        <v>42662.459016203706</v>
      </c>
    </row>
    <row r="82" spans="1:7" x14ac:dyDescent="0.25">
      <c r="A82" s="8">
        <v>42662.463240740741</v>
      </c>
      <c r="B82" s="21" t="s">
        <v>318</v>
      </c>
      <c r="C82" s="21" t="s">
        <v>535</v>
      </c>
      <c r="D82" s="21">
        <v>1540000</v>
      </c>
      <c r="E82" s="21" t="s">
        <v>319</v>
      </c>
      <c r="F82" s="21" t="str">
        <f t="shared" si="2"/>
        <v>rtdc.l.rtdc.4021:itc</v>
      </c>
      <c r="G82" s="8">
        <f t="shared" si="3"/>
        <v>42662.463240740741</v>
      </c>
    </row>
    <row r="83" spans="1:7" x14ac:dyDescent="0.25">
      <c r="A83" s="8">
        <v>42662.465381944443</v>
      </c>
      <c r="B83" s="21" t="s">
        <v>466</v>
      </c>
      <c r="C83" s="21" t="s">
        <v>536</v>
      </c>
      <c r="D83" s="21">
        <v>970000</v>
      </c>
      <c r="E83" s="21" t="s">
        <v>517</v>
      </c>
      <c r="F83" s="21" t="str">
        <f t="shared" si="2"/>
        <v>rtdc.l.rtdc.4014:itc</v>
      </c>
      <c r="G83" s="8">
        <f t="shared" si="3"/>
        <v>42662.465381944443</v>
      </c>
    </row>
    <row r="84" spans="1:7" x14ac:dyDescent="0.25">
      <c r="A84" s="8">
        <v>42662.472141203703</v>
      </c>
      <c r="B84" s="21" t="s">
        <v>281</v>
      </c>
      <c r="C84" s="21" t="s">
        <v>537</v>
      </c>
      <c r="D84" s="21">
        <v>1110000</v>
      </c>
      <c r="E84" s="21" t="s">
        <v>473</v>
      </c>
      <c r="F84" s="21" t="str">
        <f t="shared" si="2"/>
        <v>rtdc.l.rtdc.4012:itc</v>
      </c>
      <c r="G84" s="8">
        <f t="shared" si="3"/>
        <v>42662.472141203703</v>
      </c>
    </row>
    <row r="85" spans="1:7" x14ac:dyDescent="0.25">
      <c r="A85" s="8">
        <v>42662.479837962965</v>
      </c>
      <c r="B85" s="21" t="s">
        <v>312</v>
      </c>
      <c r="C85" s="21" t="s">
        <v>538</v>
      </c>
      <c r="D85" s="21">
        <v>1540000</v>
      </c>
      <c r="E85" s="21" t="s">
        <v>319</v>
      </c>
      <c r="F85" s="21" t="str">
        <f t="shared" si="2"/>
        <v>rtdc.l.rtdc.4002:itc</v>
      </c>
      <c r="G85" s="8">
        <f t="shared" si="3"/>
        <v>42662.479837962965</v>
      </c>
    </row>
    <row r="86" spans="1:7" x14ac:dyDescent="0.25">
      <c r="A86" s="8">
        <v>42662.482037037036</v>
      </c>
      <c r="B86" s="21" t="s">
        <v>294</v>
      </c>
      <c r="C86" s="21" t="s">
        <v>539</v>
      </c>
      <c r="D86" s="21">
        <v>1190000</v>
      </c>
      <c r="E86" s="21" t="s">
        <v>358</v>
      </c>
      <c r="F86" s="21" t="str">
        <f t="shared" si="2"/>
        <v>rtdc.l.rtdc.4026:itc</v>
      </c>
      <c r="G86" s="8">
        <f t="shared" si="3"/>
        <v>42662.482037037036</v>
      </c>
    </row>
    <row r="87" spans="1:7" x14ac:dyDescent="0.25">
      <c r="A87" s="8">
        <v>42662.4840625</v>
      </c>
      <c r="B87" s="21" t="s">
        <v>216</v>
      </c>
      <c r="C87" s="21" t="s">
        <v>540</v>
      </c>
      <c r="D87" s="21">
        <v>1100000</v>
      </c>
      <c r="E87" s="21" t="s">
        <v>359</v>
      </c>
      <c r="F87" s="21" t="str">
        <f t="shared" si="2"/>
        <v>rtdc.l.rtdc.4032:itc</v>
      </c>
      <c r="G87" s="8">
        <f t="shared" si="3"/>
        <v>42662.4840625</v>
      </c>
    </row>
    <row r="88" spans="1:7" x14ac:dyDescent="0.25">
      <c r="A88" s="8">
        <v>42662.488796296297</v>
      </c>
      <c r="B88" s="21" t="s">
        <v>262</v>
      </c>
      <c r="C88" s="21" t="s">
        <v>541</v>
      </c>
      <c r="D88" s="21">
        <v>1820000</v>
      </c>
      <c r="E88" s="21" t="s">
        <v>542</v>
      </c>
      <c r="F88" s="21" t="str">
        <f t="shared" si="2"/>
        <v>rtdc.l.rtdc.4040:itc</v>
      </c>
      <c r="G88" s="8">
        <f t="shared" si="3"/>
        <v>42662.488796296297</v>
      </c>
    </row>
    <row r="89" spans="1:7" x14ac:dyDescent="0.25">
      <c r="A89" s="8">
        <v>42662.492928240739</v>
      </c>
      <c r="B89" s="21" t="s">
        <v>322</v>
      </c>
      <c r="C89" s="21" t="s">
        <v>543</v>
      </c>
      <c r="D89" s="21">
        <v>2030000</v>
      </c>
      <c r="E89" s="21" t="s">
        <v>286</v>
      </c>
      <c r="F89" s="21" t="str">
        <f t="shared" si="2"/>
        <v>rtdc.l.rtdc.4022:itc</v>
      </c>
      <c r="G89" s="8">
        <f t="shared" si="3"/>
        <v>42662.492928240739</v>
      </c>
    </row>
    <row r="90" spans="1:7" x14ac:dyDescent="0.25">
      <c r="A90" s="8">
        <v>42662.494317129633</v>
      </c>
      <c r="B90" s="21" t="s">
        <v>269</v>
      </c>
      <c r="C90" s="21" t="s">
        <v>544</v>
      </c>
      <c r="D90" s="21">
        <v>1780000</v>
      </c>
      <c r="E90" s="21" t="s">
        <v>532</v>
      </c>
      <c r="F90" s="21" t="str">
        <f t="shared" si="2"/>
        <v>rtdc.l.rtdc.4041:itc</v>
      </c>
      <c r="G90" s="8">
        <f t="shared" si="3"/>
        <v>42662.494317129633</v>
      </c>
    </row>
    <row r="91" spans="1:7" x14ac:dyDescent="0.25">
      <c r="A91" s="8">
        <v>42662.497546296298</v>
      </c>
      <c r="B91" s="21" t="s">
        <v>198</v>
      </c>
      <c r="C91" s="21" t="s">
        <v>545</v>
      </c>
      <c r="D91" s="21">
        <v>2000000</v>
      </c>
      <c r="E91" s="21" t="s">
        <v>546</v>
      </c>
      <c r="F91" s="21" t="str">
        <f t="shared" si="2"/>
        <v>rtdc.l.rtdc.4046:itc</v>
      </c>
      <c r="G91" s="8">
        <f t="shared" si="3"/>
        <v>42662.497546296298</v>
      </c>
    </row>
    <row r="92" spans="1:7" x14ac:dyDescent="0.25">
      <c r="A92" s="8">
        <v>42662.499027777776</v>
      </c>
      <c r="B92" s="21" t="s">
        <v>217</v>
      </c>
      <c r="C92" s="21" t="s">
        <v>450</v>
      </c>
      <c r="D92" s="21">
        <v>1100000</v>
      </c>
      <c r="E92" s="21" t="s">
        <v>359</v>
      </c>
      <c r="F92" s="21" t="str">
        <f t="shared" si="2"/>
        <v>rtdc.l.rtdc.4031:itc</v>
      </c>
      <c r="G92" s="8">
        <f t="shared" si="3"/>
        <v>42662.499027777776</v>
      </c>
    </row>
    <row r="93" spans="1:7" x14ac:dyDescent="0.25">
      <c r="A93" s="8">
        <v>42662.503136574072</v>
      </c>
      <c r="B93" s="21" t="s">
        <v>459</v>
      </c>
      <c r="C93" s="21" t="s">
        <v>547</v>
      </c>
      <c r="D93" s="21">
        <v>970000</v>
      </c>
      <c r="E93" s="21" t="s">
        <v>517</v>
      </c>
      <c r="F93" s="21" t="str">
        <f t="shared" si="2"/>
        <v>rtdc.l.rtdc.4013:itc</v>
      </c>
      <c r="G93" s="8">
        <f t="shared" si="3"/>
        <v>42662.503136574072</v>
      </c>
    </row>
    <row r="94" spans="1:7" x14ac:dyDescent="0.25">
      <c r="A94" s="8">
        <v>42662.509618055556</v>
      </c>
      <c r="B94" s="21" t="s">
        <v>282</v>
      </c>
      <c r="C94" s="21" t="s">
        <v>548</v>
      </c>
      <c r="D94" s="21">
        <v>1770000</v>
      </c>
      <c r="E94" s="21" t="s">
        <v>287</v>
      </c>
      <c r="F94" s="21" t="str">
        <f t="shared" si="2"/>
        <v>rtdc.l.rtdc.4011:itc</v>
      </c>
      <c r="G94" s="8">
        <f t="shared" si="3"/>
        <v>42662.509618055556</v>
      </c>
    </row>
    <row r="95" spans="1:7" x14ac:dyDescent="0.25">
      <c r="A95" s="8">
        <v>42662.514398148145</v>
      </c>
      <c r="B95" s="21" t="s">
        <v>268</v>
      </c>
      <c r="C95" s="21" t="s">
        <v>549</v>
      </c>
      <c r="D95" s="21">
        <v>1540000</v>
      </c>
      <c r="E95" s="21" t="s">
        <v>319</v>
      </c>
      <c r="F95" s="21" t="str">
        <f t="shared" si="2"/>
        <v>rtdc.l.rtdc.4001:itc</v>
      </c>
      <c r="G95" s="8">
        <f t="shared" si="3"/>
        <v>42662.514398148145</v>
      </c>
    </row>
    <row r="96" spans="1:7" x14ac:dyDescent="0.25">
      <c r="A96" s="8">
        <v>42662.521840277775</v>
      </c>
      <c r="B96" s="21" t="s">
        <v>295</v>
      </c>
      <c r="C96" s="21" t="s">
        <v>550</v>
      </c>
      <c r="D96" s="21">
        <v>1740000</v>
      </c>
      <c r="E96" s="21" t="s">
        <v>362</v>
      </c>
      <c r="F96" s="21" t="str">
        <f t="shared" si="2"/>
        <v>rtdc.l.rtdc.4025:itc</v>
      </c>
      <c r="G96" s="8">
        <f t="shared" si="3"/>
        <v>42662.521840277775</v>
      </c>
    </row>
    <row r="97" spans="1:7" x14ac:dyDescent="0.25">
      <c r="A97" s="8">
        <v>42662.524664351855</v>
      </c>
      <c r="B97" s="21" t="s">
        <v>214</v>
      </c>
      <c r="C97" s="21" t="s">
        <v>551</v>
      </c>
      <c r="D97" s="21">
        <v>1820000</v>
      </c>
      <c r="E97" s="21" t="s">
        <v>542</v>
      </c>
      <c r="F97" s="21" t="str">
        <f t="shared" si="2"/>
        <v>rtdc.l.rtdc.4039:itc</v>
      </c>
      <c r="G97" s="8">
        <f t="shared" si="3"/>
        <v>42662.524664351855</v>
      </c>
    </row>
    <row r="98" spans="1:7" x14ac:dyDescent="0.25">
      <c r="A98" s="8">
        <v>42662.526423611111</v>
      </c>
      <c r="B98" s="21" t="s">
        <v>216</v>
      </c>
      <c r="C98" s="21" t="s">
        <v>451</v>
      </c>
      <c r="D98" s="21">
        <v>1100000</v>
      </c>
      <c r="E98" s="21" t="s">
        <v>359</v>
      </c>
      <c r="F98" s="21" t="str">
        <f t="shared" si="2"/>
        <v>rtdc.l.rtdc.4032:itc</v>
      </c>
      <c r="G98" s="8">
        <f t="shared" si="3"/>
        <v>42662.526423611111</v>
      </c>
    </row>
    <row r="99" spans="1:7" x14ac:dyDescent="0.25">
      <c r="A99" s="8">
        <v>42662.529733796298</v>
      </c>
      <c r="B99" s="21" t="s">
        <v>280</v>
      </c>
      <c r="C99" s="21" t="s">
        <v>552</v>
      </c>
      <c r="D99" s="21">
        <v>2000000</v>
      </c>
      <c r="E99" s="21" t="s">
        <v>546</v>
      </c>
      <c r="F99" s="21" t="str">
        <f t="shared" si="2"/>
        <v>rtdc.l.rtdc.4045:itc</v>
      </c>
      <c r="G99" s="8">
        <f t="shared" si="3"/>
        <v>42662.529733796298</v>
      </c>
    </row>
    <row r="100" spans="1:7" x14ac:dyDescent="0.25">
      <c r="A100" s="8">
        <v>42662.52983796296</v>
      </c>
      <c r="B100" s="21" t="s">
        <v>267</v>
      </c>
      <c r="C100" s="21" t="s">
        <v>553</v>
      </c>
      <c r="D100" s="21">
        <v>2220000</v>
      </c>
      <c r="E100" s="21" t="s">
        <v>361</v>
      </c>
      <c r="F100" s="21" t="str">
        <f t="shared" si="2"/>
        <v>rtdc.l.rtdc.4042:itc</v>
      </c>
      <c r="G100" s="8">
        <f t="shared" si="3"/>
        <v>42662.52983796296</v>
      </c>
    </row>
    <row r="101" spans="1:7" x14ac:dyDescent="0.25">
      <c r="A101" s="8">
        <v>42662.539641203701</v>
      </c>
      <c r="B101" s="21" t="s">
        <v>466</v>
      </c>
      <c r="C101" s="21" t="s">
        <v>554</v>
      </c>
      <c r="D101" s="21">
        <v>1280000</v>
      </c>
      <c r="E101" s="21" t="s">
        <v>555</v>
      </c>
      <c r="F101" s="21" t="str">
        <f t="shared" si="2"/>
        <v>rtdc.l.rtdc.4014:itc</v>
      </c>
      <c r="G101" s="8">
        <f t="shared" si="3"/>
        <v>42662.539641203701</v>
      </c>
    </row>
    <row r="102" spans="1:7" x14ac:dyDescent="0.25">
      <c r="A102" s="8">
        <v>42662.545624999999</v>
      </c>
      <c r="B102" s="21" t="s">
        <v>281</v>
      </c>
      <c r="C102" s="21" t="s">
        <v>556</v>
      </c>
      <c r="D102" s="21">
        <v>1770000</v>
      </c>
      <c r="E102" s="21" t="s">
        <v>287</v>
      </c>
      <c r="F102" s="21" t="str">
        <f t="shared" si="2"/>
        <v>rtdc.l.rtdc.4012:itc</v>
      </c>
      <c r="G102" s="8">
        <f t="shared" si="3"/>
        <v>42662.545624999999</v>
      </c>
    </row>
    <row r="103" spans="1:7" x14ac:dyDescent="0.25">
      <c r="A103" s="8">
        <v>42662.548726851855</v>
      </c>
      <c r="B103" s="21" t="s">
        <v>312</v>
      </c>
      <c r="C103" s="21" t="s">
        <v>557</v>
      </c>
      <c r="D103" s="21">
        <v>1540000</v>
      </c>
      <c r="E103" s="21" t="s">
        <v>319</v>
      </c>
      <c r="F103" s="21" t="str">
        <f t="shared" si="2"/>
        <v>rtdc.l.rtdc.4002:itc</v>
      </c>
      <c r="G103" s="8">
        <f t="shared" si="3"/>
        <v>42662.548726851855</v>
      </c>
    </row>
    <row r="104" spans="1:7" x14ac:dyDescent="0.25">
      <c r="A104" s="8">
        <v>42662.551435185182</v>
      </c>
      <c r="B104" s="21" t="s">
        <v>294</v>
      </c>
      <c r="C104" s="21" t="s">
        <v>558</v>
      </c>
      <c r="D104" s="21">
        <v>1740000</v>
      </c>
      <c r="E104" s="21" t="s">
        <v>362</v>
      </c>
      <c r="F104" s="21" t="str">
        <f t="shared" si="2"/>
        <v>rtdc.l.rtdc.4026:itc</v>
      </c>
      <c r="G104" s="8">
        <f t="shared" si="3"/>
        <v>42662.551435185182</v>
      </c>
    </row>
    <row r="105" spans="1:7" x14ac:dyDescent="0.25">
      <c r="A105" s="8">
        <v>42662.552523148152</v>
      </c>
      <c r="B105" s="21" t="s">
        <v>217</v>
      </c>
      <c r="C105" s="21" t="s">
        <v>559</v>
      </c>
      <c r="D105" s="21">
        <v>2040000</v>
      </c>
      <c r="E105" s="21" t="s">
        <v>560</v>
      </c>
      <c r="F105" s="21" t="str">
        <f t="shared" si="2"/>
        <v>rtdc.l.rtdc.4031:itc</v>
      </c>
      <c r="G105" s="8">
        <f t="shared" si="3"/>
        <v>42662.552523148152</v>
      </c>
    </row>
    <row r="106" spans="1:7" x14ac:dyDescent="0.25">
      <c r="A106" s="8">
        <v>42662.561932870369</v>
      </c>
      <c r="B106" s="21" t="s">
        <v>262</v>
      </c>
      <c r="C106" s="21" t="s">
        <v>561</v>
      </c>
      <c r="D106" s="21">
        <v>2260000</v>
      </c>
      <c r="E106" s="21" t="s">
        <v>562</v>
      </c>
      <c r="F106" s="21" t="str">
        <f t="shared" si="2"/>
        <v>rtdc.l.rtdc.4040:itc</v>
      </c>
      <c r="G106" s="8">
        <f t="shared" si="3"/>
        <v>42662.561932870369</v>
      </c>
    </row>
    <row r="107" spans="1:7" x14ac:dyDescent="0.25">
      <c r="A107" s="8">
        <v>42662.566689814812</v>
      </c>
      <c r="B107" s="21" t="s">
        <v>269</v>
      </c>
      <c r="C107" s="21" t="s">
        <v>563</v>
      </c>
      <c r="D107" s="21">
        <v>2220000</v>
      </c>
      <c r="E107" s="21" t="s">
        <v>361</v>
      </c>
      <c r="F107" s="21" t="str">
        <f t="shared" si="2"/>
        <v>rtdc.l.rtdc.4041:itc</v>
      </c>
      <c r="G107" s="8">
        <f t="shared" si="3"/>
        <v>42662.566689814812</v>
      </c>
    </row>
    <row r="108" spans="1:7" x14ac:dyDescent="0.25">
      <c r="A108" s="8">
        <v>42662.569351851853</v>
      </c>
      <c r="B108" s="21" t="s">
        <v>216</v>
      </c>
      <c r="C108" s="21" t="s">
        <v>564</v>
      </c>
      <c r="D108" s="21">
        <v>2040000</v>
      </c>
      <c r="E108" s="21" t="s">
        <v>560</v>
      </c>
      <c r="F108" s="21" t="str">
        <f t="shared" si="2"/>
        <v>rtdc.l.rtdc.4032:itc</v>
      </c>
      <c r="G108" s="8">
        <f t="shared" si="3"/>
        <v>42662.569351851853</v>
      </c>
    </row>
    <row r="109" spans="1:7" x14ac:dyDescent="0.25">
      <c r="A109" s="8">
        <v>42662.569918981484</v>
      </c>
      <c r="B109" s="21" t="s">
        <v>198</v>
      </c>
      <c r="C109" s="21" t="s">
        <v>565</v>
      </c>
      <c r="D109" s="21">
        <v>120000</v>
      </c>
      <c r="E109" s="21" t="s">
        <v>566</v>
      </c>
      <c r="F109" s="21" t="str">
        <f t="shared" si="2"/>
        <v>rtdc.l.rtdc.4046:itc</v>
      </c>
      <c r="G109" s="8">
        <f t="shared" si="3"/>
        <v>42662.569918981484</v>
      </c>
    </row>
    <row r="110" spans="1:7" x14ac:dyDescent="0.25">
      <c r="A110" s="8">
        <v>42662.571435185186</v>
      </c>
      <c r="B110" s="21" t="s">
        <v>459</v>
      </c>
      <c r="C110" s="21" t="s">
        <v>567</v>
      </c>
      <c r="D110" s="21">
        <v>1280000</v>
      </c>
      <c r="E110" s="21" t="s">
        <v>555</v>
      </c>
      <c r="F110" s="21" t="str">
        <f t="shared" si="2"/>
        <v>rtdc.l.rtdc.4013:itc</v>
      </c>
      <c r="G110" s="8">
        <f t="shared" si="3"/>
        <v>42662.571435185186</v>
      </c>
    </row>
    <row r="111" spans="1:7" x14ac:dyDescent="0.25">
      <c r="A111" s="8">
        <v>42662.579270833332</v>
      </c>
      <c r="B111" s="21" t="s">
        <v>282</v>
      </c>
      <c r="C111" s="21" t="s">
        <v>568</v>
      </c>
      <c r="D111" s="21">
        <v>1770000</v>
      </c>
      <c r="E111" s="21" t="s">
        <v>287</v>
      </c>
      <c r="F111" s="21" t="str">
        <f t="shared" si="2"/>
        <v>rtdc.l.rtdc.4011:itc</v>
      </c>
      <c r="G111" s="8">
        <f t="shared" si="3"/>
        <v>42662.579270833332</v>
      </c>
    </row>
    <row r="112" spans="1:7" x14ac:dyDescent="0.25">
      <c r="A112" s="8">
        <v>42662.586851851855</v>
      </c>
      <c r="B112" s="21" t="s">
        <v>268</v>
      </c>
      <c r="C112" s="21" t="s">
        <v>569</v>
      </c>
      <c r="D112" s="21">
        <v>1540000</v>
      </c>
      <c r="E112" s="21" t="s">
        <v>319</v>
      </c>
      <c r="F112" s="21" t="str">
        <f t="shared" si="2"/>
        <v>rtdc.l.rtdc.4001:itc</v>
      </c>
      <c r="G112" s="8">
        <f t="shared" si="3"/>
        <v>42662.586851851855</v>
      </c>
    </row>
    <row r="113" spans="1:7" x14ac:dyDescent="0.25">
      <c r="A113" s="8">
        <v>42662.589131944442</v>
      </c>
      <c r="B113" s="21" t="s">
        <v>295</v>
      </c>
      <c r="C113" s="21" t="s">
        <v>570</v>
      </c>
      <c r="D113" s="21">
        <v>1740000</v>
      </c>
      <c r="E113" s="21" t="s">
        <v>362</v>
      </c>
      <c r="F113" s="21" t="str">
        <f t="shared" si="2"/>
        <v>rtdc.l.rtdc.4025:itc</v>
      </c>
      <c r="G113" s="8">
        <f t="shared" si="3"/>
        <v>42662.589131944442</v>
      </c>
    </row>
    <row r="114" spans="1:7" x14ac:dyDescent="0.25">
      <c r="A114" s="8">
        <v>42662.592743055553</v>
      </c>
      <c r="B114" s="21" t="s">
        <v>217</v>
      </c>
      <c r="C114" s="21" t="s">
        <v>452</v>
      </c>
      <c r="D114" s="21">
        <v>2040000</v>
      </c>
      <c r="E114" s="21" t="s">
        <v>560</v>
      </c>
      <c r="F114" s="21" t="str">
        <f t="shared" si="2"/>
        <v>rtdc.l.rtdc.4031:itc</v>
      </c>
      <c r="G114" s="8">
        <f t="shared" si="3"/>
        <v>42662.592743055553</v>
      </c>
    </row>
    <row r="115" spans="1:7" x14ac:dyDescent="0.25">
      <c r="A115" s="8">
        <v>42662.596388888887</v>
      </c>
      <c r="B115" s="21" t="s">
        <v>214</v>
      </c>
      <c r="C115" s="21" t="s">
        <v>453</v>
      </c>
      <c r="D115" s="21">
        <v>2260000</v>
      </c>
      <c r="E115" s="21" t="s">
        <v>562</v>
      </c>
      <c r="F115" s="21" t="str">
        <f t="shared" si="2"/>
        <v>rtdc.l.rtdc.4039:itc</v>
      </c>
      <c r="G115" s="8">
        <f t="shared" si="3"/>
        <v>42662.596388888887</v>
      </c>
    </row>
    <row r="116" spans="1:7" x14ac:dyDescent="0.25">
      <c r="A116" s="8">
        <v>42662.600648148145</v>
      </c>
      <c r="B116" s="21" t="s">
        <v>267</v>
      </c>
      <c r="C116" s="21" t="s">
        <v>454</v>
      </c>
      <c r="D116" s="21">
        <v>2220000</v>
      </c>
      <c r="E116" s="21" t="s">
        <v>361</v>
      </c>
      <c r="F116" s="21" t="str">
        <f t="shared" si="2"/>
        <v>rtdc.l.rtdc.4042:itc</v>
      </c>
      <c r="G116" s="8">
        <f t="shared" si="3"/>
        <v>42662.600648148145</v>
      </c>
    </row>
    <row r="117" spans="1:7" x14ac:dyDescent="0.25">
      <c r="A117" s="8">
        <v>42662.60664351852</v>
      </c>
      <c r="B117" s="21" t="s">
        <v>280</v>
      </c>
      <c r="C117" s="21" t="s">
        <v>571</v>
      </c>
      <c r="D117" s="21">
        <v>120000</v>
      </c>
      <c r="E117" s="21" t="s">
        <v>566</v>
      </c>
      <c r="F117" s="21" t="str">
        <f t="shared" si="2"/>
        <v>rtdc.l.rtdc.4045:itc</v>
      </c>
      <c r="G117" s="8">
        <f t="shared" si="3"/>
        <v>42662.60664351852</v>
      </c>
    </row>
    <row r="118" spans="1:7" x14ac:dyDescent="0.25">
      <c r="A118" s="8">
        <v>42662.611574074072</v>
      </c>
      <c r="B118" s="21" t="s">
        <v>216</v>
      </c>
      <c r="C118" s="21" t="s">
        <v>572</v>
      </c>
      <c r="D118" s="21">
        <v>2040000</v>
      </c>
      <c r="E118" s="21" t="s">
        <v>560</v>
      </c>
      <c r="F118" s="21" t="str">
        <f t="shared" si="2"/>
        <v>rtdc.l.rtdc.4032:itc</v>
      </c>
      <c r="G118" s="8">
        <f t="shared" si="3"/>
        <v>42662.611574074072</v>
      </c>
    </row>
    <row r="119" spans="1:7" x14ac:dyDescent="0.25">
      <c r="A119" s="8">
        <v>42662.611805555556</v>
      </c>
      <c r="B119" s="21" t="s">
        <v>466</v>
      </c>
      <c r="C119" s="21" t="s">
        <v>573</v>
      </c>
      <c r="D119" s="21">
        <v>1280000</v>
      </c>
      <c r="E119" s="21" t="s">
        <v>555</v>
      </c>
      <c r="F119" s="21" t="str">
        <f t="shared" si="2"/>
        <v>rtdc.l.rtdc.4014:itc</v>
      </c>
      <c r="G119" s="8">
        <f t="shared" si="3"/>
        <v>42662.611805555556</v>
      </c>
    </row>
    <row r="120" spans="1:7" x14ac:dyDescent="0.25">
      <c r="A120" s="8">
        <v>42662.613194444442</v>
      </c>
      <c r="B120" s="21" t="s">
        <v>281</v>
      </c>
      <c r="C120" s="21" t="s">
        <v>574</v>
      </c>
      <c r="D120" s="21">
        <v>1770000</v>
      </c>
      <c r="E120" s="21" t="s">
        <v>287</v>
      </c>
      <c r="F120" s="21" t="str">
        <f t="shared" si="2"/>
        <v>rtdc.l.rtdc.4012:itc</v>
      </c>
      <c r="G120" s="8">
        <f t="shared" si="3"/>
        <v>42662.613194444442</v>
      </c>
    </row>
    <row r="121" spans="1:7" x14ac:dyDescent="0.25">
      <c r="A121" s="8">
        <v>42662.621770833335</v>
      </c>
      <c r="B121" s="21" t="s">
        <v>312</v>
      </c>
      <c r="C121" s="21" t="s">
        <v>575</v>
      </c>
      <c r="D121" s="21">
        <v>1540000</v>
      </c>
      <c r="E121" s="21" t="s">
        <v>319</v>
      </c>
      <c r="F121" s="21" t="str">
        <f t="shared" si="2"/>
        <v>rtdc.l.rtdc.4002:itc</v>
      </c>
      <c r="G121" s="8">
        <f t="shared" si="3"/>
        <v>42662.621770833335</v>
      </c>
    </row>
    <row r="122" spans="1:7" x14ac:dyDescent="0.25">
      <c r="A122" s="8">
        <v>42662.623657407406</v>
      </c>
      <c r="B122" s="26" t="s">
        <v>294</v>
      </c>
      <c r="C122" s="21" t="s">
        <v>455</v>
      </c>
      <c r="D122" s="21">
        <v>1740000</v>
      </c>
      <c r="E122" s="21" t="s">
        <v>362</v>
      </c>
      <c r="F122" s="21" t="str">
        <f t="shared" si="2"/>
        <v>rtdc.l.rtdc.4026:itc</v>
      </c>
      <c r="G122" s="8">
        <f t="shared" si="3"/>
        <v>42662.623657407406</v>
      </c>
    </row>
    <row r="123" spans="1:7" x14ac:dyDescent="0.25">
      <c r="A123" s="8">
        <v>42662.634421296294</v>
      </c>
      <c r="B123" s="21" t="s">
        <v>262</v>
      </c>
      <c r="C123" s="21" t="s">
        <v>576</v>
      </c>
      <c r="D123" s="21">
        <v>2260000</v>
      </c>
      <c r="E123" s="21" t="s">
        <v>562</v>
      </c>
      <c r="F123" s="21" t="str">
        <f t="shared" si="2"/>
        <v>rtdc.l.rtdc.4040:itc</v>
      </c>
      <c r="G123" s="8">
        <f t="shared" si="3"/>
        <v>42662.634421296294</v>
      </c>
    </row>
    <row r="124" spans="1:7" x14ac:dyDescent="0.25">
      <c r="A124" s="8">
        <v>42662.634432870371</v>
      </c>
      <c r="B124" s="21" t="s">
        <v>269</v>
      </c>
      <c r="C124" s="21" t="s">
        <v>577</v>
      </c>
      <c r="D124" s="21">
        <v>2220000</v>
      </c>
      <c r="E124" s="21" t="s">
        <v>361</v>
      </c>
      <c r="F124" s="21" t="str">
        <f t="shared" si="2"/>
        <v>rtdc.l.rtdc.4041:itc</v>
      </c>
      <c r="G124" s="8">
        <f t="shared" si="3"/>
        <v>42662.634432870371</v>
      </c>
    </row>
    <row r="125" spans="1:7" x14ac:dyDescent="0.25">
      <c r="A125" s="8">
        <v>42662.635671296295</v>
      </c>
      <c r="B125" s="21" t="s">
        <v>217</v>
      </c>
      <c r="C125" s="21" t="s">
        <v>578</v>
      </c>
      <c r="D125" s="21">
        <v>2040000</v>
      </c>
      <c r="E125" s="21" t="s">
        <v>560</v>
      </c>
      <c r="F125" s="21" t="str">
        <f t="shared" si="2"/>
        <v>rtdc.l.rtdc.4031:itc</v>
      </c>
      <c r="G125" s="8">
        <f t="shared" si="3"/>
        <v>42662.635671296295</v>
      </c>
    </row>
    <row r="126" spans="1:7" x14ac:dyDescent="0.25">
      <c r="A126" s="8">
        <v>42662.640983796293</v>
      </c>
      <c r="B126" s="21" t="s">
        <v>198</v>
      </c>
      <c r="C126" s="21" t="s">
        <v>579</v>
      </c>
      <c r="D126" s="21">
        <v>140000</v>
      </c>
      <c r="E126" s="21" t="s">
        <v>580</v>
      </c>
      <c r="F126" s="21" t="str">
        <f t="shared" si="2"/>
        <v>rtdc.l.rtdc.4046:itc</v>
      </c>
      <c r="G126" s="8">
        <f t="shared" si="3"/>
        <v>42662.640983796293</v>
      </c>
    </row>
    <row r="127" spans="1:7" x14ac:dyDescent="0.25">
      <c r="A127" s="8">
        <v>42662.641516203701</v>
      </c>
      <c r="B127" s="21" t="s">
        <v>313</v>
      </c>
      <c r="C127" s="21" t="s">
        <v>456</v>
      </c>
      <c r="D127" s="21">
        <v>1180000</v>
      </c>
      <c r="E127" s="21" t="s">
        <v>189</v>
      </c>
      <c r="F127" s="21" t="str">
        <f t="shared" si="2"/>
        <v>rtdc.l.rtdc.4054:itc</v>
      </c>
      <c r="G127" s="8">
        <f t="shared" si="3"/>
        <v>42662.641516203701</v>
      </c>
    </row>
    <row r="128" spans="1:7" x14ac:dyDescent="0.25">
      <c r="A128" s="8">
        <v>42662.64266203704</v>
      </c>
      <c r="B128" s="21" t="s">
        <v>459</v>
      </c>
      <c r="C128" s="21" t="s">
        <v>581</v>
      </c>
      <c r="D128" s="21">
        <v>1280000</v>
      </c>
      <c r="E128" s="21" t="s">
        <v>555</v>
      </c>
      <c r="F128" s="21" t="str">
        <f t="shared" si="2"/>
        <v>rtdc.l.rtdc.4013:itc</v>
      </c>
      <c r="G128" s="8">
        <f t="shared" si="3"/>
        <v>42662.64266203704</v>
      </c>
    </row>
    <row r="129" spans="1:7" x14ac:dyDescent="0.25">
      <c r="A129" s="8">
        <v>42662.64435185185</v>
      </c>
      <c r="B129" s="21" t="s">
        <v>313</v>
      </c>
      <c r="C129" s="21" t="s">
        <v>456</v>
      </c>
      <c r="D129" s="21">
        <v>1180000</v>
      </c>
      <c r="E129" s="21" t="s">
        <v>189</v>
      </c>
      <c r="F129" s="21" t="str">
        <f t="shared" si="2"/>
        <v>rtdc.l.rtdc.4054:itc</v>
      </c>
      <c r="G129" s="8">
        <f t="shared" si="3"/>
        <v>42662.64435185185</v>
      </c>
    </row>
    <row r="130" spans="1:7" x14ac:dyDescent="0.25">
      <c r="A130" s="8">
        <v>42662.651643518519</v>
      </c>
      <c r="B130" s="21" t="s">
        <v>216</v>
      </c>
      <c r="C130" s="21" t="s">
        <v>457</v>
      </c>
      <c r="D130" s="21">
        <v>2040000</v>
      </c>
      <c r="E130" s="21" t="s">
        <v>560</v>
      </c>
      <c r="F130" s="21" t="str">
        <f t="shared" ref="F130:F193" si="4">B130</f>
        <v>rtdc.l.rtdc.4032:itc</v>
      </c>
      <c r="G130" s="8">
        <f t="shared" ref="G130:G193" si="5">A130</f>
        <v>42662.651643518519</v>
      </c>
    </row>
    <row r="131" spans="1:7" x14ac:dyDescent="0.25">
      <c r="A131" s="8">
        <v>42662.653900462959</v>
      </c>
      <c r="B131" s="21" t="s">
        <v>282</v>
      </c>
      <c r="C131" s="21" t="s">
        <v>582</v>
      </c>
      <c r="D131" s="21">
        <v>1770000</v>
      </c>
      <c r="E131" s="21" t="s">
        <v>287</v>
      </c>
      <c r="F131" s="21" t="str">
        <f t="shared" si="4"/>
        <v>rtdc.l.rtdc.4011:itc</v>
      </c>
      <c r="G131" s="8">
        <f t="shared" si="5"/>
        <v>42662.653900462959</v>
      </c>
    </row>
    <row r="132" spans="1:7" x14ac:dyDescent="0.25">
      <c r="A132" s="8">
        <v>42662.656967592593</v>
      </c>
      <c r="B132" s="21" t="s">
        <v>316</v>
      </c>
      <c r="C132" s="21" t="s">
        <v>583</v>
      </c>
      <c r="D132" s="21">
        <v>1180000</v>
      </c>
      <c r="E132" s="21" t="s">
        <v>189</v>
      </c>
      <c r="F132" s="21" t="str">
        <f t="shared" si="4"/>
        <v>rtdc.l.rtdc.4053:itc</v>
      </c>
      <c r="G132" s="8">
        <f t="shared" si="5"/>
        <v>42662.656967592593</v>
      </c>
    </row>
    <row r="133" spans="1:7" x14ac:dyDescent="0.25">
      <c r="A133" s="8">
        <v>42662.660555555558</v>
      </c>
      <c r="B133" s="21" t="s">
        <v>268</v>
      </c>
      <c r="C133" s="21" t="s">
        <v>584</v>
      </c>
      <c r="D133" s="21">
        <v>1540000</v>
      </c>
      <c r="E133" s="21" t="s">
        <v>319</v>
      </c>
      <c r="F133" s="21" t="str">
        <f t="shared" si="4"/>
        <v>rtdc.l.rtdc.4001:itc</v>
      </c>
      <c r="G133" s="8">
        <f t="shared" si="5"/>
        <v>42662.660555555558</v>
      </c>
    </row>
    <row r="134" spans="1:7" x14ac:dyDescent="0.25">
      <c r="A134" s="8">
        <v>42662.663506944446</v>
      </c>
      <c r="B134" s="21" t="s">
        <v>295</v>
      </c>
      <c r="C134" s="21" t="s">
        <v>585</v>
      </c>
      <c r="D134" s="21">
        <v>1740000</v>
      </c>
      <c r="E134" s="21" t="s">
        <v>362</v>
      </c>
      <c r="F134" s="21" t="str">
        <f t="shared" si="4"/>
        <v>rtdc.l.rtdc.4025:itc</v>
      </c>
      <c r="G134" s="8">
        <f t="shared" si="5"/>
        <v>42662.663506944446</v>
      </c>
    </row>
    <row r="135" spans="1:7" x14ac:dyDescent="0.25">
      <c r="A135" s="8">
        <v>42662.670810185184</v>
      </c>
      <c r="B135" s="21" t="s">
        <v>214</v>
      </c>
      <c r="C135" s="21" t="s">
        <v>586</v>
      </c>
      <c r="D135" s="21">
        <v>2260000</v>
      </c>
      <c r="E135" s="21" t="s">
        <v>562</v>
      </c>
      <c r="F135" s="21" t="str">
        <f t="shared" si="4"/>
        <v>rtdc.l.rtdc.4039:itc</v>
      </c>
      <c r="G135" s="8">
        <f t="shared" si="5"/>
        <v>42662.670810185184</v>
      </c>
    </row>
    <row r="136" spans="1:7" x14ac:dyDescent="0.25">
      <c r="A136" s="8">
        <v>42662.672592592593</v>
      </c>
      <c r="B136" s="21" t="s">
        <v>313</v>
      </c>
      <c r="C136" s="21" t="s">
        <v>587</v>
      </c>
      <c r="D136" s="21">
        <v>1180000</v>
      </c>
      <c r="E136" s="21" t="s">
        <v>189</v>
      </c>
      <c r="F136" s="21" t="str">
        <f t="shared" si="4"/>
        <v>rtdc.l.rtdc.4054:itc</v>
      </c>
      <c r="G136" s="8">
        <f t="shared" si="5"/>
        <v>42662.672592592593</v>
      </c>
    </row>
    <row r="137" spans="1:7" x14ac:dyDescent="0.25">
      <c r="A137" s="8">
        <v>42662.673391203702</v>
      </c>
      <c r="B137" s="21" t="s">
        <v>217</v>
      </c>
      <c r="C137" s="21" t="s">
        <v>588</v>
      </c>
      <c r="D137" s="21">
        <v>2040000</v>
      </c>
      <c r="E137" s="21" t="s">
        <v>560</v>
      </c>
      <c r="F137" s="21" t="str">
        <f t="shared" si="4"/>
        <v>rtdc.l.rtdc.4031:itc</v>
      </c>
      <c r="G137" s="8">
        <f t="shared" si="5"/>
        <v>42662.673391203702</v>
      </c>
    </row>
    <row r="138" spans="1:7" x14ac:dyDescent="0.25">
      <c r="A138" s="8">
        <v>42662.674641203703</v>
      </c>
      <c r="B138" s="21" t="s">
        <v>267</v>
      </c>
      <c r="C138" s="21" t="s">
        <v>458</v>
      </c>
      <c r="D138" s="21">
        <v>2220000</v>
      </c>
      <c r="E138" s="21" t="s">
        <v>361</v>
      </c>
      <c r="F138" s="21" t="str">
        <f t="shared" si="4"/>
        <v>rtdc.l.rtdc.4042:itc</v>
      </c>
      <c r="G138" s="8">
        <f t="shared" si="5"/>
        <v>42662.674641203703</v>
      </c>
    </row>
    <row r="139" spans="1:7" x14ac:dyDescent="0.25">
      <c r="A139" s="8">
        <v>42662.679837962962</v>
      </c>
      <c r="B139" s="21" t="s">
        <v>280</v>
      </c>
      <c r="C139" s="21" t="s">
        <v>589</v>
      </c>
      <c r="D139" s="21">
        <v>140000</v>
      </c>
      <c r="E139" s="21" t="s">
        <v>580</v>
      </c>
      <c r="F139" s="21" t="str">
        <f t="shared" si="4"/>
        <v>rtdc.l.rtdc.4045:itc</v>
      </c>
      <c r="G139" s="8">
        <f t="shared" si="5"/>
        <v>42662.679837962962</v>
      </c>
    </row>
    <row r="140" spans="1:7" x14ac:dyDescent="0.25">
      <c r="A140" s="8">
        <v>42662.684374999997</v>
      </c>
      <c r="B140" s="21" t="s">
        <v>466</v>
      </c>
      <c r="C140" s="21" t="s">
        <v>590</v>
      </c>
      <c r="D140" s="21">
        <v>1280000</v>
      </c>
      <c r="E140" s="21" t="s">
        <v>555</v>
      </c>
      <c r="F140" s="21" t="str">
        <f t="shared" si="4"/>
        <v>rtdc.l.rtdc.4014:itc</v>
      </c>
      <c r="G140" s="8">
        <f t="shared" si="5"/>
        <v>42662.684374999997</v>
      </c>
    </row>
    <row r="141" spans="1:7" x14ac:dyDescent="0.25">
      <c r="A141" s="8">
        <v>42662.689641203702</v>
      </c>
      <c r="B141" s="21" t="s">
        <v>281</v>
      </c>
      <c r="C141" s="21" t="s">
        <v>591</v>
      </c>
      <c r="D141" s="21">
        <v>1770000</v>
      </c>
      <c r="E141" s="21" t="s">
        <v>287</v>
      </c>
      <c r="F141" s="21" t="str">
        <f t="shared" si="4"/>
        <v>rtdc.l.rtdc.4012:itc</v>
      </c>
      <c r="G141" s="8">
        <f t="shared" si="5"/>
        <v>42662.689641203702</v>
      </c>
    </row>
    <row r="142" spans="1:7" x14ac:dyDescent="0.25">
      <c r="A142" s="8">
        <v>42662.693680555552</v>
      </c>
      <c r="B142" s="21" t="s">
        <v>216</v>
      </c>
      <c r="C142" s="21" t="s">
        <v>592</v>
      </c>
      <c r="D142" s="21">
        <v>2040000</v>
      </c>
      <c r="E142" s="21" t="s">
        <v>560</v>
      </c>
      <c r="F142" s="21" t="str">
        <f t="shared" si="4"/>
        <v>rtdc.l.rtdc.4032:itc</v>
      </c>
      <c r="G142" s="8">
        <f t="shared" si="5"/>
        <v>42662.693680555552</v>
      </c>
    </row>
    <row r="143" spans="1:7" x14ac:dyDescent="0.25">
      <c r="A143" s="8">
        <v>42662.695416666669</v>
      </c>
      <c r="B143" s="21" t="s">
        <v>312</v>
      </c>
      <c r="C143" s="21" t="s">
        <v>593</v>
      </c>
      <c r="D143" s="21">
        <v>1540000</v>
      </c>
      <c r="E143" s="21" t="s">
        <v>319</v>
      </c>
      <c r="F143" s="21" t="str">
        <f t="shared" si="4"/>
        <v>rtdc.l.rtdc.4002:itc</v>
      </c>
      <c r="G143" s="8">
        <f t="shared" si="5"/>
        <v>42662.695416666669</v>
      </c>
    </row>
    <row r="144" spans="1:7" x14ac:dyDescent="0.25">
      <c r="A144" s="8">
        <v>42662.697083333333</v>
      </c>
      <c r="B144" s="21" t="s">
        <v>316</v>
      </c>
      <c r="C144" s="21" t="s">
        <v>594</v>
      </c>
      <c r="D144" s="21">
        <v>1180000</v>
      </c>
      <c r="E144" s="21" t="s">
        <v>189</v>
      </c>
      <c r="F144" s="21" t="str">
        <f t="shared" si="4"/>
        <v>rtdc.l.rtdc.4053:itc</v>
      </c>
      <c r="G144" s="8">
        <f t="shared" si="5"/>
        <v>42662.697083333333</v>
      </c>
    </row>
    <row r="145" spans="1:7" x14ac:dyDescent="0.25">
      <c r="A145" s="8">
        <v>42662.701782407406</v>
      </c>
      <c r="B145" s="21" t="s">
        <v>294</v>
      </c>
      <c r="C145" s="21" t="s">
        <v>595</v>
      </c>
      <c r="D145" s="21">
        <v>1740000</v>
      </c>
      <c r="E145" s="21" t="s">
        <v>362</v>
      </c>
      <c r="F145" s="21" t="str">
        <f t="shared" si="4"/>
        <v>rtdc.l.rtdc.4026:itc</v>
      </c>
      <c r="G145" s="8">
        <f t="shared" si="5"/>
        <v>42662.701782407406</v>
      </c>
    </row>
    <row r="146" spans="1:7" x14ac:dyDescent="0.25">
      <c r="A146" s="8">
        <v>42662.70653935185</v>
      </c>
      <c r="B146" s="21" t="s">
        <v>262</v>
      </c>
      <c r="C146" s="21" t="s">
        <v>596</v>
      </c>
      <c r="D146" s="21">
        <v>2260000</v>
      </c>
      <c r="E146" s="21" t="s">
        <v>562</v>
      </c>
      <c r="F146" s="21" t="str">
        <f t="shared" si="4"/>
        <v>rtdc.l.rtdc.4040:itc</v>
      </c>
      <c r="G146" s="8">
        <f t="shared" si="5"/>
        <v>42662.70653935185</v>
      </c>
    </row>
    <row r="147" spans="1:7" x14ac:dyDescent="0.25">
      <c r="A147" s="8">
        <v>42662.709409722222</v>
      </c>
      <c r="B147" s="21" t="s">
        <v>269</v>
      </c>
      <c r="C147" s="21" t="s">
        <v>597</v>
      </c>
      <c r="D147" s="21">
        <v>2220000</v>
      </c>
      <c r="E147" s="21" t="s">
        <v>361</v>
      </c>
      <c r="F147" s="21" t="str">
        <f t="shared" si="4"/>
        <v>rtdc.l.rtdc.4041:itc</v>
      </c>
      <c r="G147" s="8">
        <f t="shared" si="5"/>
        <v>42662.709409722222</v>
      </c>
    </row>
    <row r="148" spans="1:7" x14ac:dyDescent="0.25">
      <c r="A148" s="8">
        <v>42662.715775462966</v>
      </c>
      <c r="B148" s="21" t="s">
        <v>313</v>
      </c>
      <c r="C148" s="21" t="s">
        <v>598</v>
      </c>
      <c r="D148" s="21">
        <v>1180000</v>
      </c>
      <c r="E148" s="21" t="s">
        <v>189</v>
      </c>
      <c r="F148" s="21" t="str">
        <f t="shared" si="4"/>
        <v>rtdc.l.rtdc.4054:itc</v>
      </c>
      <c r="G148" s="8">
        <f t="shared" si="5"/>
        <v>42662.715775462966</v>
      </c>
    </row>
    <row r="149" spans="1:7" x14ac:dyDescent="0.25">
      <c r="A149" s="8">
        <v>42662.716111111113</v>
      </c>
      <c r="B149" s="21" t="s">
        <v>459</v>
      </c>
      <c r="C149" s="21" t="s">
        <v>599</v>
      </c>
      <c r="D149" s="21">
        <v>1280000</v>
      </c>
      <c r="E149" s="21" t="s">
        <v>555</v>
      </c>
      <c r="F149" s="21" t="str">
        <f t="shared" si="4"/>
        <v>rtdc.l.rtdc.4013:itc</v>
      </c>
      <c r="G149" s="8">
        <f t="shared" si="5"/>
        <v>42662.716111111113</v>
      </c>
    </row>
    <row r="150" spans="1:7" x14ac:dyDescent="0.25">
      <c r="A150" s="8">
        <v>42662.716840277775</v>
      </c>
      <c r="B150" s="21" t="s">
        <v>600</v>
      </c>
      <c r="C150" s="21" t="s">
        <v>601</v>
      </c>
      <c r="D150" s="21">
        <v>1230000</v>
      </c>
      <c r="E150" s="21" t="s">
        <v>215</v>
      </c>
      <c r="F150" s="21" t="str">
        <f t="shared" si="4"/>
        <v>rtdc.l.rtdc.4008:itc</v>
      </c>
      <c r="G150" s="8">
        <f t="shared" si="5"/>
        <v>42662.716840277775</v>
      </c>
    </row>
    <row r="151" spans="1:7" x14ac:dyDescent="0.25">
      <c r="A151" s="8">
        <v>42662.71837962963</v>
      </c>
      <c r="B151" s="21" t="s">
        <v>217</v>
      </c>
      <c r="C151" s="21" t="s">
        <v>602</v>
      </c>
      <c r="D151" s="21">
        <v>2040000</v>
      </c>
      <c r="E151" s="21" t="s">
        <v>560</v>
      </c>
      <c r="F151" s="21" t="str">
        <f t="shared" si="4"/>
        <v>rtdc.l.rtdc.4031:itc</v>
      </c>
      <c r="G151" s="8">
        <f t="shared" si="5"/>
        <v>42662.71837962963</v>
      </c>
    </row>
    <row r="152" spans="1:7" x14ac:dyDescent="0.25">
      <c r="A152" s="8">
        <v>42662.720266203702</v>
      </c>
      <c r="B152" s="21" t="s">
        <v>198</v>
      </c>
      <c r="C152" s="21" t="s">
        <v>603</v>
      </c>
      <c r="D152" s="21">
        <v>1480000</v>
      </c>
      <c r="E152" s="21" t="s">
        <v>191</v>
      </c>
      <c r="F152" s="21" t="str">
        <f t="shared" si="4"/>
        <v>rtdc.l.rtdc.4046:itc</v>
      </c>
      <c r="G152" s="8">
        <f t="shared" si="5"/>
        <v>42662.720266203702</v>
      </c>
    </row>
    <row r="153" spans="1:7" x14ac:dyDescent="0.25">
      <c r="A153" s="8">
        <v>42662.729386574072</v>
      </c>
      <c r="B153" s="21" t="s">
        <v>282</v>
      </c>
      <c r="C153" s="21" t="s">
        <v>604</v>
      </c>
      <c r="D153" s="21">
        <v>120000</v>
      </c>
      <c r="E153" s="21" t="s">
        <v>566</v>
      </c>
      <c r="F153" s="21" t="str">
        <f t="shared" si="4"/>
        <v>rtdc.l.rtdc.4011:itc</v>
      </c>
      <c r="G153" s="8">
        <f t="shared" si="5"/>
        <v>42662.729386574072</v>
      </c>
    </row>
    <row r="154" spans="1:7" x14ac:dyDescent="0.25">
      <c r="A154" s="8">
        <v>42662.733368055553</v>
      </c>
      <c r="B154" s="21" t="s">
        <v>268</v>
      </c>
      <c r="C154" s="21" t="s">
        <v>605</v>
      </c>
      <c r="D154" s="21">
        <v>1540000</v>
      </c>
      <c r="E154" s="21" t="s">
        <v>319</v>
      </c>
      <c r="F154" s="21" t="str">
        <f t="shared" si="4"/>
        <v>rtdc.l.rtdc.4001:itc</v>
      </c>
      <c r="G154" s="8">
        <f t="shared" si="5"/>
        <v>42662.733368055553</v>
      </c>
    </row>
    <row r="155" spans="1:7" x14ac:dyDescent="0.25">
      <c r="A155" s="8">
        <v>42662.735775462963</v>
      </c>
      <c r="B155" s="21" t="s">
        <v>216</v>
      </c>
      <c r="C155" s="21" t="s">
        <v>606</v>
      </c>
      <c r="D155" s="21">
        <v>2040000</v>
      </c>
      <c r="E155" s="21" t="s">
        <v>560</v>
      </c>
      <c r="F155" s="21" t="str">
        <f t="shared" si="4"/>
        <v>rtdc.l.rtdc.4032:itc</v>
      </c>
      <c r="G155" s="8">
        <f t="shared" si="5"/>
        <v>42662.735775462963</v>
      </c>
    </row>
    <row r="156" spans="1:7" x14ac:dyDescent="0.25">
      <c r="A156" s="8">
        <v>42662.737175925926</v>
      </c>
      <c r="B156" s="21" t="s">
        <v>295</v>
      </c>
      <c r="C156" s="21" t="s">
        <v>607</v>
      </c>
      <c r="D156" s="21">
        <v>1230000</v>
      </c>
      <c r="E156" s="21" t="s">
        <v>215</v>
      </c>
      <c r="F156" s="21" t="str">
        <f t="shared" si="4"/>
        <v>rtdc.l.rtdc.4025:itc</v>
      </c>
      <c r="G156" s="8">
        <f t="shared" si="5"/>
        <v>42662.737175925926</v>
      </c>
    </row>
    <row r="157" spans="1:7" x14ac:dyDescent="0.25">
      <c r="A157" s="8">
        <v>42662.737962962965</v>
      </c>
      <c r="B157" s="21" t="s">
        <v>316</v>
      </c>
      <c r="C157" s="21" t="s">
        <v>608</v>
      </c>
      <c r="D157" s="21">
        <v>1180000</v>
      </c>
      <c r="E157" s="21" t="s">
        <v>189</v>
      </c>
      <c r="F157" s="21" t="str">
        <f t="shared" si="4"/>
        <v>rtdc.l.rtdc.4053:itc</v>
      </c>
      <c r="G157" s="8">
        <f t="shared" si="5"/>
        <v>42662.737962962965</v>
      </c>
    </row>
    <row r="158" spans="1:7" x14ac:dyDescent="0.25">
      <c r="A158" s="8">
        <v>42662.744641203702</v>
      </c>
      <c r="B158" s="21" t="s">
        <v>214</v>
      </c>
      <c r="C158" s="21" t="s">
        <v>609</v>
      </c>
      <c r="D158" s="21">
        <v>2260000</v>
      </c>
      <c r="E158" s="21" t="s">
        <v>562</v>
      </c>
      <c r="F158" s="21" t="str">
        <f t="shared" si="4"/>
        <v>rtdc.l.rtdc.4039:itc</v>
      </c>
      <c r="G158" s="8">
        <f t="shared" si="5"/>
        <v>42662.744641203702</v>
      </c>
    </row>
    <row r="159" spans="1:7" x14ac:dyDescent="0.25">
      <c r="A159" s="8">
        <v>42662.748981481483</v>
      </c>
      <c r="B159" s="21" t="s">
        <v>267</v>
      </c>
      <c r="C159" s="21" t="s">
        <v>610</v>
      </c>
      <c r="D159" s="21">
        <v>1740000</v>
      </c>
      <c r="E159" s="21" t="s">
        <v>362</v>
      </c>
      <c r="F159" s="21" t="str">
        <f t="shared" si="4"/>
        <v>rtdc.l.rtdc.4042:itc</v>
      </c>
      <c r="G159" s="8">
        <f t="shared" si="5"/>
        <v>42662.748981481483</v>
      </c>
    </row>
    <row r="160" spans="1:7" x14ac:dyDescent="0.25">
      <c r="A160" s="8">
        <v>42662.754074074073</v>
      </c>
      <c r="B160" s="21" t="s">
        <v>197</v>
      </c>
      <c r="C160" s="21" t="s">
        <v>611</v>
      </c>
      <c r="D160" s="21">
        <v>2220000</v>
      </c>
      <c r="E160" s="21" t="s">
        <v>361</v>
      </c>
      <c r="F160" s="21" t="str">
        <f t="shared" si="4"/>
        <v>rtdc.l.rtdc.4007:itc</v>
      </c>
      <c r="G160" s="8">
        <f t="shared" si="5"/>
        <v>42662.754074074073</v>
      </c>
    </row>
    <row r="161" spans="1:7" x14ac:dyDescent="0.25">
      <c r="A161" s="8">
        <v>42662.75409722222</v>
      </c>
      <c r="B161" s="21" t="s">
        <v>280</v>
      </c>
      <c r="C161" s="21" t="s">
        <v>612</v>
      </c>
      <c r="D161" s="21">
        <v>1480000</v>
      </c>
      <c r="E161" s="21" t="s">
        <v>191</v>
      </c>
      <c r="F161" s="21" t="str">
        <f t="shared" si="4"/>
        <v>rtdc.l.rtdc.4045:itc</v>
      </c>
      <c r="G161" s="8">
        <f t="shared" si="5"/>
        <v>42662.75409722222</v>
      </c>
    </row>
    <row r="162" spans="1:7" x14ac:dyDescent="0.25">
      <c r="A162" s="8">
        <v>42662.755474537036</v>
      </c>
      <c r="B162" s="21" t="s">
        <v>313</v>
      </c>
      <c r="C162" s="21" t="s">
        <v>613</v>
      </c>
      <c r="D162" s="21">
        <v>1180000</v>
      </c>
      <c r="E162" s="21" t="s">
        <v>189</v>
      </c>
      <c r="F162" s="21" t="str">
        <f t="shared" si="4"/>
        <v>rtdc.l.rtdc.4054:itc</v>
      </c>
      <c r="G162" s="8">
        <f t="shared" si="5"/>
        <v>42662.755474537036</v>
      </c>
    </row>
    <row r="163" spans="1:7" x14ac:dyDescent="0.25">
      <c r="A163" s="8">
        <v>42662.758275462962</v>
      </c>
      <c r="B163" s="21" t="s">
        <v>466</v>
      </c>
      <c r="C163" s="21" t="s">
        <v>614</v>
      </c>
      <c r="D163" s="21">
        <v>1300000</v>
      </c>
      <c r="E163" s="21" t="s">
        <v>114</v>
      </c>
      <c r="F163" s="21" t="str">
        <f t="shared" si="4"/>
        <v>rtdc.l.rtdc.4014:itc</v>
      </c>
      <c r="G163" s="8">
        <f t="shared" si="5"/>
        <v>42662.758275462962</v>
      </c>
    </row>
    <row r="164" spans="1:7" x14ac:dyDescent="0.25">
      <c r="A164" s="8">
        <v>42662.759791666664</v>
      </c>
      <c r="B164" s="21" t="s">
        <v>281</v>
      </c>
      <c r="C164" s="21" t="s">
        <v>615</v>
      </c>
      <c r="D164" s="21">
        <v>120000</v>
      </c>
      <c r="E164" s="21" t="s">
        <v>566</v>
      </c>
      <c r="F164" s="21" t="str">
        <f t="shared" si="4"/>
        <v>rtdc.l.rtdc.4012:itc</v>
      </c>
      <c r="G164" s="8">
        <f t="shared" si="5"/>
        <v>42662.759791666664</v>
      </c>
    </row>
    <row r="165" spans="1:7" x14ac:dyDescent="0.25">
      <c r="A165" s="8">
        <v>42662.761979166666</v>
      </c>
      <c r="B165" s="21" t="s">
        <v>217</v>
      </c>
      <c r="C165" s="21" t="s">
        <v>616</v>
      </c>
      <c r="D165" s="21">
        <v>2040000</v>
      </c>
      <c r="E165" s="21" t="s">
        <v>560</v>
      </c>
      <c r="F165" s="21" t="str">
        <f t="shared" si="4"/>
        <v>rtdc.l.rtdc.4031:itc</v>
      </c>
      <c r="G165" s="8">
        <f t="shared" si="5"/>
        <v>42662.761979166666</v>
      </c>
    </row>
    <row r="166" spans="1:7" x14ac:dyDescent="0.25">
      <c r="A166" s="8">
        <v>42662.765798611108</v>
      </c>
      <c r="B166" s="21" t="s">
        <v>294</v>
      </c>
      <c r="C166" s="21" t="s">
        <v>617</v>
      </c>
      <c r="D166" s="21">
        <v>1230000</v>
      </c>
      <c r="E166" s="21" t="s">
        <v>215</v>
      </c>
      <c r="F166" s="21" t="str">
        <f t="shared" si="4"/>
        <v>rtdc.l.rtdc.4026:itc</v>
      </c>
      <c r="G166" s="8">
        <f t="shared" si="5"/>
        <v>42662.765798611108</v>
      </c>
    </row>
    <row r="167" spans="1:7" x14ac:dyDescent="0.25">
      <c r="A167" s="8">
        <v>42662.768912037034</v>
      </c>
      <c r="B167" s="21" t="s">
        <v>312</v>
      </c>
      <c r="C167" s="21" t="s">
        <v>618</v>
      </c>
      <c r="D167" s="21">
        <v>2370000</v>
      </c>
      <c r="E167" s="21" t="s">
        <v>320</v>
      </c>
      <c r="F167" s="21" t="str">
        <f t="shared" si="4"/>
        <v>rtdc.l.rtdc.4002:itc</v>
      </c>
      <c r="G167" s="8">
        <f t="shared" si="5"/>
        <v>42662.768912037034</v>
      </c>
    </row>
    <row r="168" spans="1:7" x14ac:dyDescent="0.25">
      <c r="A168" s="8">
        <v>42662.776932870373</v>
      </c>
      <c r="B168" s="21" t="s">
        <v>216</v>
      </c>
      <c r="C168" s="21" t="s">
        <v>619</v>
      </c>
      <c r="D168" s="21">
        <v>2040000</v>
      </c>
      <c r="E168" s="21" t="s">
        <v>560</v>
      </c>
      <c r="F168" s="21" t="str">
        <f t="shared" si="4"/>
        <v>rtdc.l.rtdc.4032:itc</v>
      </c>
      <c r="G168" s="8">
        <f t="shared" si="5"/>
        <v>42662.776932870373</v>
      </c>
    </row>
    <row r="169" spans="1:7" x14ac:dyDescent="0.25">
      <c r="A169" s="8">
        <v>42662.778055555558</v>
      </c>
      <c r="B169" s="21" t="s">
        <v>316</v>
      </c>
      <c r="C169" s="21" t="s">
        <v>620</v>
      </c>
      <c r="D169" s="21">
        <v>1180000</v>
      </c>
      <c r="E169" s="21" t="s">
        <v>189</v>
      </c>
      <c r="F169" s="21" t="str">
        <f t="shared" si="4"/>
        <v>rtdc.l.rtdc.4053:itc</v>
      </c>
      <c r="G169" s="8">
        <f t="shared" si="5"/>
        <v>42662.778055555558</v>
      </c>
    </row>
    <row r="170" spans="1:7" x14ac:dyDescent="0.25">
      <c r="A170" s="8">
        <v>42662.781770833331</v>
      </c>
      <c r="B170" s="21" t="s">
        <v>262</v>
      </c>
      <c r="C170" s="21" t="s">
        <v>621</v>
      </c>
      <c r="D170" s="21">
        <v>2260000</v>
      </c>
      <c r="E170" s="21" t="s">
        <v>562</v>
      </c>
      <c r="F170" s="21" t="str">
        <f t="shared" si="4"/>
        <v>rtdc.l.rtdc.4040:itc</v>
      </c>
      <c r="G170" s="8">
        <f t="shared" si="5"/>
        <v>42662.781770833331</v>
      </c>
    </row>
    <row r="171" spans="1:7" x14ac:dyDescent="0.25">
      <c r="A171" s="8">
        <v>42662.784155092595</v>
      </c>
      <c r="B171" s="21" t="s">
        <v>269</v>
      </c>
      <c r="C171" s="21" t="s">
        <v>622</v>
      </c>
      <c r="D171" s="21">
        <v>1740000</v>
      </c>
      <c r="E171" s="21" t="s">
        <v>362</v>
      </c>
      <c r="F171" s="21" t="str">
        <f t="shared" si="4"/>
        <v>rtdc.l.rtdc.4041:itc</v>
      </c>
      <c r="G171" s="8">
        <f t="shared" si="5"/>
        <v>42662.784155092595</v>
      </c>
    </row>
    <row r="172" spans="1:7" x14ac:dyDescent="0.25">
      <c r="A172" s="8">
        <v>42662.788182870368</v>
      </c>
      <c r="B172" s="21" t="s">
        <v>198</v>
      </c>
      <c r="C172" s="21" t="s">
        <v>623</v>
      </c>
      <c r="D172" s="21">
        <v>1480000</v>
      </c>
      <c r="E172" s="21" t="s">
        <v>191</v>
      </c>
      <c r="F172" s="21" t="str">
        <f t="shared" si="4"/>
        <v>rtdc.l.rtdc.4046:itc</v>
      </c>
      <c r="G172" s="8">
        <f t="shared" si="5"/>
        <v>42662.788182870368</v>
      </c>
    </row>
    <row r="173" spans="1:7" x14ac:dyDescent="0.25">
      <c r="A173" s="8">
        <v>42662.794976851852</v>
      </c>
      <c r="B173" s="21" t="s">
        <v>459</v>
      </c>
      <c r="C173" s="21" t="s">
        <v>460</v>
      </c>
      <c r="D173" s="21">
        <v>1300000</v>
      </c>
      <c r="E173" s="21" t="s">
        <v>114</v>
      </c>
      <c r="F173" s="21" t="str">
        <f t="shared" si="4"/>
        <v>rtdc.l.rtdc.4013:itc</v>
      </c>
      <c r="G173" s="8">
        <f t="shared" si="5"/>
        <v>42662.794976851852</v>
      </c>
    </row>
    <row r="174" spans="1:7" x14ac:dyDescent="0.25">
      <c r="A174" s="8">
        <v>42662.798750000002</v>
      </c>
      <c r="B174" s="21" t="s">
        <v>313</v>
      </c>
      <c r="C174" s="21" t="s">
        <v>624</v>
      </c>
      <c r="D174" s="21">
        <v>1180000</v>
      </c>
      <c r="E174" s="21" t="s">
        <v>189</v>
      </c>
      <c r="F174" s="21" t="str">
        <f t="shared" si="4"/>
        <v>rtdc.l.rtdc.4054:itc</v>
      </c>
      <c r="G174" s="8">
        <f t="shared" si="5"/>
        <v>42662.798750000002</v>
      </c>
    </row>
    <row r="175" spans="1:7" x14ac:dyDescent="0.25">
      <c r="A175" s="8">
        <v>42662.799259259256</v>
      </c>
      <c r="B175" s="21" t="s">
        <v>282</v>
      </c>
      <c r="C175" s="21" t="s">
        <v>625</v>
      </c>
      <c r="D175" s="21">
        <v>120000</v>
      </c>
      <c r="E175" s="21" t="s">
        <v>566</v>
      </c>
      <c r="F175" s="21" t="str">
        <f t="shared" si="4"/>
        <v>rtdc.l.rtdc.4011:itc</v>
      </c>
      <c r="G175" s="8">
        <f t="shared" si="5"/>
        <v>42662.799259259256</v>
      </c>
    </row>
    <row r="176" spans="1:7" x14ac:dyDescent="0.25">
      <c r="A176" s="8">
        <v>42662.803252314814</v>
      </c>
      <c r="B176" s="21" t="s">
        <v>217</v>
      </c>
      <c r="C176" s="21" t="s">
        <v>626</v>
      </c>
      <c r="D176" s="21">
        <v>2040000</v>
      </c>
      <c r="E176" s="21" t="s">
        <v>560</v>
      </c>
      <c r="F176" s="21" t="str">
        <f t="shared" si="4"/>
        <v>rtdc.l.rtdc.4031:itc</v>
      </c>
      <c r="G176" s="8">
        <f t="shared" si="5"/>
        <v>42662.803252314814</v>
      </c>
    </row>
    <row r="177" spans="1:7" x14ac:dyDescent="0.25">
      <c r="A177" s="8">
        <v>42662.8046412037</v>
      </c>
      <c r="B177" s="21" t="s">
        <v>268</v>
      </c>
      <c r="C177" s="21" t="s">
        <v>627</v>
      </c>
      <c r="D177" s="21">
        <v>2370000</v>
      </c>
      <c r="E177" s="21" t="s">
        <v>320</v>
      </c>
      <c r="F177" s="21" t="str">
        <f t="shared" si="4"/>
        <v>rtdc.l.rtdc.4001:itc</v>
      </c>
      <c r="G177" s="8">
        <f t="shared" si="5"/>
        <v>42662.8046412037</v>
      </c>
    </row>
    <row r="178" spans="1:7" x14ac:dyDescent="0.25">
      <c r="A178" s="8">
        <v>42662.807025462964</v>
      </c>
      <c r="B178" s="21" t="s">
        <v>295</v>
      </c>
      <c r="C178" s="21" t="s">
        <v>628</v>
      </c>
      <c r="D178" s="21">
        <v>1230000</v>
      </c>
      <c r="E178" s="21" t="s">
        <v>215</v>
      </c>
      <c r="F178" s="21" t="str">
        <f t="shared" si="4"/>
        <v>rtdc.l.rtdc.4025:itc</v>
      </c>
      <c r="G178" s="8">
        <f t="shared" si="5"/>
        <v>42662.807025462964</v>
      </c>
    </row>
    <row r="179" spans="1:7" x14ac:dyDescent="0.25">
      <c r="A179" s="8">
        <v>42662.818622685183</v>
      </c>
      <c r="B179" s="21" t="s">
        <v>216</v>
      </c>
      <c r="C179" s="21" t="s">
        <v>629</v>
      </c>
      <c r="D179" s="21">
        <v>2040000</v>
      </c>
      <c r="E179" s="21" t="s">
        <v>560</v>
      </c>
      <c r="F179" s="21" t="str">
        <f t="shared" si="4"/>
        <v>rtdc.l.rtdc.4032:itc</v>
      </c>
      <c r="G179" s="8">
        <f t="shared" si="5"/>
        <v>42662.818622685183</v>
      </c>
    </row>
    <row r="180" spans="1:7" x14ac:dyDescent="0.25">
      <c r="A180" s="8">
        <v>42662.819351851853</v>
      </c>
      <c r="B180" s="21" t="s">
        <v>267</v>
      </c>
      <c r="C180" s="21" t="s">
        <v>630</v>
      </c>
      <c r="D180" s="21">
        <v>1740000</v>
      </c>
      <c r="E180" s="21" t="s">
        <v>362</v>
      </c>
      <c r="F180" s="21" t="str">
        <f t="shared" si="4"/>
        <v>rtdc.l.rtdc.4042:itc</v>
      </c>
      <c r="G180" s="8">
        <f t="shared" si="5"/>
        <v>42662.819351851853</v>
      </c>
    </row>
    <row r="181" spans="1:7" x14ac:dyDescent="0.25">
      <c r="A181" s="8">
        <v>42662.822743055556</v>
      </c>
      <c r="B181" s="21" t="s">
        <v>280</v>
      </c>
      <c r="C181" s="21" t="s">
        <v>631</v>
      </c>
      <c r="D181" s="21">
        <v>1480000</v>
      </c>
      <c r="E181" s="21" t="s">
        <v>191</v>
      </c>
      <c r="F181" s="21" t="str">
        <f t="shared" si="4"/>
        <v>rtdc.l.rtdc.4045:itc</v>
      </c>
      <c r="G181" s="8">
        <f t="shared" si="5"/>
        <v>42662.822743055556</v>
      </c>
    </row>
    <row r="182" spans="1:7" x14ac:dyDescent="0.25">
      <c r="A182" s="8">
        <v>42662.829687500001</v>
      </c>
      <c r="B182" s="21" t="s">
        <v>466</v>
      </c>
      <c r="C182" s="21" t="s">
        <v>632</v>
      </c>
      <c r="D182" s="21">
        <v>1300000</v>
      </c>
      <c r="E182" s="21" t="s">
        <v>114</v>
      </c>
      <c r="F182" s="21" t="str">
        <f t="shared" si="4"/>
        <v>rtdc.l.rtdc.4014:itc</v>
      </c>
      <c r="G182" s="8">
        <f t="shared" si="5"/>
        <v>42662.829687500001</v>
      </c>
    </row>
    <row r="183" spans="1:7" x14ac:dyDescent="0.25">
      <c r="A183" s="8">
        <v>42662.838807870372</v>
      </c>
      <c r="B183" s="21" t="s">
        <v>294</v>
      </c>
      <c r="C183" s="21" t="s">
        <v>633</v>
      </c>
      <c r="D183" s="21">
        <v>1230000</v>
      </c>
      <c r="E183" s="21" t="s">
        <v>215</v>
      </c>
      <c r="F183" s="21" t="str">
        <f t="shared" si="4"/>
        <v>rtdc.l.rtdc.4026:itc</v>
      </c>
      <c r="G183" s="8">
        <f t="shared" si="5"/>
        <v>42662.838807870372</v>
      </c>
    </row>
    <row r="184" spans="1:7" x14ac:dyDescent="0.25">
      <c r="A184" s="8">
        <v>42662.843888888892</v>
      </c>
      <c r="B184" s="21" t="s">
        <v>312</v>
      </c>
      <c r="C184" s="21" t="s">
        <v>634</v>
      </c>
      <c r="D184" s="21">
        <v>2370000</v>
      </c>
      <c r="E184" s="21" t="s">
        <v>320</v>
      </c>
      <c r="F184" s="21" t="str">
        <f t="shared" si="4"/>
        <v>rtdc.l.rtdc.4002:itc</v>
      </c>
      <c r="G184" s="8">
        <f t="shared" si="5"/>
        <v>42662.843888888892</v>
      </c>
    </row>
    <row r="185" spans="1:7" x14ac:dyDescent="0.25">
      <c r="A185" s="8">
        <v>42662.845069444447</v>
      </c>
      <c r="B185" s="21" t="s">
        <v>217</v>
      </c>
      <c r="C185" s="21" t="s">
        <v>461</v>
      </c>
      <c r="D185" s="21">
        <v>2040000</v>
      </c>
      <c r="E185" s="21" t="s">
        <v>560</v>
      </c>
      <c r="F185" s="21" t="str">
        <f t="shared" si="4"/>
        <v>rtdc.l.rtdc.4031:itc</v>
      </c>
      <c r="G185" s="8">
        <f t="shared" si="5"/>
        <v>42662.845069444447</v>
      </c>
    </row>
    <row r="186" spans="1:7" x14ac:dyDescent="0.25">
      <c r="A186" s="8">
        <v>42662.860844907409</v>
      </c>
      <c r="B186" s="21" t="s">
        <v>216</v>
      </c>
      <c r="C186" s="21" t="s">
        <v>635</v>
      </c>
      <c r="D186" s="21">
        <v>2040000</v>
      </c>
      <c r="E186" s="21" t="s">
        <v>560</v>
      </c>
      <c r="F186" s="21" t="str">
        <f t="shared" si="4"/>
        <v>rtdc.l.rtdc.4032:itc</v>
      </c>
      <c r="G186" s="8">
        <f t="shared" si="5"/>
        <v>42662.860844907409</v>
      </c>
    </row>
    <row r="187" spans="1:7" x14ac:dyDescent="0.25">
      <c r="A187" s="8">
        <v>42662.864444444444</v>
      </c>
      <c r="B187" s="21" t="s">
        <v>198</v>
      </c>
      <c r="C187" s="21" t="s">
        <v>636</v>
      </c>
      <c r="D187" s="21">
        <v>1480000</v>
      </c>
      <c r="E187" s="21" t="s">
        <v>191</v>
      </c>
      <c r="F187" s="21" t="str">
        <f t="shared" si="4"/>
        <v>rtdc.l.rtdc.4046:itc</v>
      </c>
      <c r="G187" s="8">
        <f t="shared" si="5"/>
        <v>42662.864444444444</v>
      </c>
    </row>
    <row r="188" spans="1:7" x14ac:dyDescent="0.25">
      <c r="A188" s="8">
        <v>42662.870266203703</v>
      </c>
      <c r="B188" s="21" t="s">
        <v>459</v>
      </c>
      <c r="C188" s="21" t="s">
        <v>463</v>
      </c>
      <c r="D188" s="21">
        <v>1300000</v>
      </c>
      <c r="E188" s="21" t="s">
        <v>114</v>
      </c>
      <c r="F188" s="21" t="str">
        <f t="shared" si="4"/>
        <v>rtdc.l.rtdc.4013:itc</v>
      </c>
      <c r="G188" s="8">
        <f t="shared" si="5"/>
        <v>42662.870266203703</v>
      </c>
    </row>
    <row r="189" spans="1:7" x14ac:dyDescent="0.25">
      <c r="A189" s="8">
        <v>42662.879988425928</v>
      </c>
      <c r="B189" s="21" t="s">
        <v>217</v>
      </c>
      <c r="C189" s="21" t="s">
        <v>462</v>
      </c>
      <c r="D189" s="21">
        <v>1180000</v>
      </c>
      <c r="E189" s="21" t="s">
        <v>189</v>
      </c>
      <c r="F189" s="21" t="str">
        <f t="shared" si="4"/>
        <v>rtdc.l.rtdc.4031:itc</v>
      </c>
      <c r="G189" s="8">
        <f t="shared" si="5"/>
        <v>42662.879988425928</v>
      </c>
    </row>
    <row r="190" spans="1:7" x14ac:dyDescent="0.25">
      <c r="A190" s="8">
        <v>42662.881620370368</v>
      </c>
      <c r="B190" s="21" t="s">
        <v>295</v>
      </c>
      <c r="C190" s="21" t="s">
        <v>637</v>
      </c>
      <c r="D190" s="21">
        <v>1230000</v>
      </c>
      <c r="E190" s="21" t="s">
        <v>215</v>
      </c>
      <c r="F190" s="21" t="str">
        <f t="shared" si="4"/>
        <v>rtdc.l.rtdc.4025:itc</v>
      </c>
      <c r="G190" s="8">
        <f t="shared" si="5"/>
        <v>42662.881620370368</v>
      </c>
    </row>
    <row r="191" spans="1:7" x14ac:dyDescent="0.25">
      <c r="A191" s="8">
        <v>42662.890590277777</v>
      </c>
      <c r="B191" s="21" t="s">
        <v>268</v>
      </c>
      <c r="C191" s="21" t="s">
        <v>638</v>
      </c>
      <c r="D191" s="21">
        <v>2370000</v>
      </c>
      <c r="E191" s="21" t="s">
        <v>320</v>
      </c>
      <c r="F191" s="21" t="str">
        <f t="shared" si="4"/>
        <v>rtdc.l.rtdc.4001:itc</v>
      </c>
      <c r="G191" s="8">
        <f t="shared" si="5"/>
        <v>42662.890590277777</v>
      </c>
    </row>
    <row r="192" spans="1:7" x14ac:dyDescent="0.25">
      <c r="A192" s="8">
        <v>42662.90247685185</v>
      </c>
      <c r="B192" s="21" t="s">
        <v>216</v>
      </c>
      <c r="C192" s="21" t="s">
        <v>639</v>
      </c>
      <c r="D192" s="21">
        <v>1180000</v>
      </c>
      <c r="E192" s="21" t="s">
        <v>189</v>
      </c>
      <c r="F192" s="21" t="str">
        <f t="shared" si="4"/>
        <v>rtdc.l.rtdc.4032:itc</v>
      </c>
      <c r="G192" s="8">
        <f t="shared" si="5"/>
        <v>42662.90247685185</v>
      </c>
    </row>
    <row r="193" spans="1:7" x14ac:dyDescent="0.25">
      <c r="A193" s="8">
        <v>42662.904409722221</v>
      </c>
      <c r="B193" s="21" t="s">
        <v>280</v>
      </c>
      <c r="C193" s="21" t="s">
        <v>640</v>
      </c>
      <c r="D193" s="21">
        <v>1480000</v>
      </c>
      <c r="E193" s="21" t="s">
        <v>191</v>
      </c>
      <c r="F193" s="21" t="str">
        <f t="shared" si="4"/>
        <v>rtdc.l.rtdc.4045:itc</v>
      </c>
      <c r="G193" s="8">
        <f t="shared" si="5"/>
        <v>42662.904409722221</v>
      </c>
    </row>
    <row r="194" spans="1:7" x14ac:dyDescent="0.25">
      <c r="A194" s="8">
        <v>42662.913344907407</v>
      </c>
      <c r="B194" s="21" t="s">
        <v>466</v>
      </c>
      <c r="C194" s="21" t="s">
        <v>641</v>
      </c>
      <c r="D194" s="21">
        <v>1300000</v>
      </c>
      <c r="E194" s="21" t="s">
        <v>114</v>
      </c>
      <c r="F194" s="21" t="str">
        <f t="shared" ref="F194:F235" si="6">B194</f>
        <v>rtdc.l.rtdc.4014:itc</v>
      </c>
      <c r="G194" s="8">
        <f t="shared" ref="G194:G235" si="7">A194</f>
        <v>42662.913344907407</v>
      </c>
    </row>
    <row r="195" spans="1:7" x14ac:dyDescent="0.25">
      <c r="A195" s="8">
        <v>42662.923715277779</v>
      </c>
      <c r="B195" s="21" t="s">
        <v>294</v>
      </c>
      <c r="C195" s="21" t="s">
        <v>642</v>
      </c>
      <c r="D195" s="21">
        <v>1230000</v>
      </c>
      <c r="E195" s="21" t="s">
        <v>215</v>
      </c>
      <c r="F195" s="21" t="str">
        <f t="shared" si="6"/>
        <v>rtdc.l.rtdc.4026:itc</v>
      </c>
      <c r="G195" s="8">
        <f t="shared" si="7"/>
        <v>42662.923715277779</v>
      </c>
    </row>
    <row r="196" spans="1:7" x14ac:dyDescent="0.25">
      <c r="A196" s="8">
        <v>42662.92659722222</v>
      </c>
      <c r="B196" s="21" t="s">
        <v>217</v>
      </c>
      <c r="C196" s="21" t="s">
        <v>643</v>
      </c>
      <c r="D196" s="21">
        <v>1180000</v>
      </c>
      <c r="E196" s="21" t="s">
        <v>189</v>
      </c>
      <c r="F196" s="21" t="str">
        <f t="shared" si="6"/>
        <v>rtdc.l.rtdc.4031:itc</v>
      </c>
      <c r="G196" s="8">
        <f t="shared" si="7"/>
        <v>42662.92659722222</v>
      </c>
    </row>
    <row r="197" spans="1:7" x14ac:dyDescent="0.25">
      <c r="A197" s="8">
        <v>42662.931932870371</v>
      </c>
      <c r="B197" s="21" t="s">
        <v>312</v>
      </c>
      <c r="C197" s="21" t="s">
        <v>644</v>
      </c>
      <c r="D197" s="21">
        <v>2370000</v>
      </c>
      <c r="E197" s="21" t="s">
        <v>320</v>
      </c>
      <c r="F197" s="21" t="str">
        <f t="shared" si="6"/>
        <v>rtdc.l.rtdc.4002:itc</v>
      </c>
      <c r="G197" s="8">
        <f t="shared" si="7"/>
        <v>42662.931932870371</v>
      </c>
    </row>
    <row r="198" spans="1:7" x14ac:dyDescent="0.25">
      <c r="A198" s="8">
        <v>42662.945243055554</v>
      </c>
      <c r="B198" s="21" t="s">
        <v>216</v>
      </c>
      <c r="C198" s="21" t="s">
        <v>645</v>
      </c>
      <c r="D198" s="21">
        <v>1180000</v>
      </c>
      <c r="E198" s="21" t="s">
        <v>189</v>
      </c>
      <c r="F198" s="21" t="str">
        <f t="shared" si="6"/>
        <v>rtdc.l.rtdc.4032:itc</v>
      </c>
      <c r="G198" s="8">
        <f t="shared" si="7"/>
        <v>42662.945243055554</v>
      </c>
    </row>
    <row r="199" spans="1:7" x14ac:dyDescent="0.25">
      <c r="A199" s="8">
        <v>42662.951805555553</v>
      </c>
      <c r="B199" s="21" t="s">
        <v>459</v>
      </c>
      <c r="C199" s="21" t="s">
        <v>646</v>
      </c>
      <c r="D199" s="21">
        <v>1300000</v>
      </c>
      <c r="E199" s="21" t="s">
        <v>114</v>
      </c>
      <c r="F199" s="21" t="str">
        <f t="shared" si="6"/>
        <v>rtdc.l.rtdc.4013:itc</v>
      </c>
      <c r="G199" s="8">
        <f t="shared" si="7"/>
        <v>42662.951805555553</v>
      </c>
    </row>
    <row r="200" spans="1:7" x14ac:dyDescent="0.25">
      <c r="A200" s="8">
        <v>42662.951828703706</v>
      </c>
      <c r="B200" s="21" t="s">
        <v>198</v>
      </c>
      <c r="C200" s="21" t="s">
        <v>647</v>
      </c>
      <c r="D200" s="21">
        <v>1480000</v>
      </c>
      <c r="E200" s="21" t="s">
        <v>191</v>
      </c>
      <c r="F200" s="21" t="str">
        <f t="shared" si="6"/>
        <v>rtdc.l.rtdc.4046:itc</v>
      </c>
      <c r="G200" s="8">
        <f t="shared" si="7"/>
        <v>42662.951828703706</v>
      </c>
    </row>
    <row r="201" spans="1:7" x14ac:dyDescent="0.25">
      <c r="A201" s="8">
        <v>42662.963067129633</v>
      </c>
      <c r="B201" s="21" t="s">
        <v>295</v>
      </c>
      <c r="C201" s="21" t="s">
        <v>648</v>
      </c>
      <c r="D201" s="21">
        <v>1230000</v>
      </c>
      <c r="E201" s="21" t="s">
        <v>215</v>
      </c>
      <c r="F201" s="21" t="str">
        <f t="shared" si="6"/>
        <v>rtdc.l.rtdc.4025:itc</v>
      </c>
      <c r="G201" s="8">
        <f t="shared" si="7"/>
        <v>42662.963067129633</v>
      </c>
    </row>
    <row r="202" spans="1:7" x14ac:dyDescent="0.25">
      <c r="A202" s="27">
        <v>42662.973530092589</v>
      </c>
      <c r="B202" s="21" t="s">
        <v>268</v>
      </c>
      <c r="C202" s="21" t="s">
        <v>649</v>
      </c>
      <c r="D202" s="21">
        <v>2370000</v>
      </c>
      <c r="E202" s="21" t="s">
        <v>320</v>
      </c>
      <c r="F202" s="21" t="str">
        <f t="shared" si="6"/>
        <v>rtdc.l.rtdc.4001:itc</v>
      </c>
      <c r="G202" s="8">
        <f t="shared" si="7"/>
        <v>42662.973530092589</v>
      </c>
    </row>
    <row r="203" spans="1:7" x14ac:dyDescent="0.25">
      <c r="A203" s="8">
        <v>42662.996921296297</v>
      </c>
      <c r="B203" s="21" t="s">
        <v>466</v>
      </c>
      <c r="C203" s="21" t="s">
        <v>650</v>
      </c>
      <c r="D203" s="21">
        <v>1300000</v>
      </c>
      <c r="E203" s="21" t="s">
        <v>114</v>
      </c>
      <c r="F203" s="21" t="str">
        <f t="shared" si="6"/>
        <v>rtdc.l.rtdc.4014:itc</v>
      </c>
      <c r="G203" s="8">
        <f t="shared" si="7"/>
        <v>42662.996921296297</v>
      </c>
    </row>
    <row r="204" spans="1:7" x14ac:dyDescent="0.25">
      <c r="A204" s="8">
        <v>42663.01834490741</v>
      </c>
      <c r="B204" s="21" t="s">
        <v>294</v>
      </c>
      <c r="C204" s="21" t="s">
        <v>651</v>
      </c>
      <c r="D204" s="21">
        <v>1230000</v>
      </c>
      <c r="E204" s="21" t="s">
        <v>215</v>
      </c>
      <c r="F204" s="21" t="str">
        <f t="shared" si="6"/>
        <v>rtdc.l.rtdc.4026:itc</v>
      </c>
      <c r="G204" s="8">
        <f t="shared" si="7"/>
        <v>42663.01834490741</v>
      </c>
    </row>
    <row r="205" spans="1:7" x14ac:dyDescent="0.25">
      <c r="A205" s="8">
        <v>42663.02008101852</v>
      </c>
      <c r="B205" s="21" t="s">
        <v>312</v>
      </c>
      <c r="C205" s="21" t="s">
        <v>652</v>
      </c>
      <c r="D205" s="21">
        <v>2370000</v>
      </c>
      <c r="E205" s="21" t="s">
        <v>320</v>
      </c>
      <c r="F205" s="21" t="str">
        <f t="shared" si="6"/>
        <v>rtdc.l.rtdc.4002:itc</v>
      </c>
      <c r="G205" s="8">
        <f t="shared" si="7"/>
        <v>42663.02008101852</v>
      </c>
    </row>
    <row r="206" spans="1:7" x14ac:dyDescent="0.25">
      <c r="A206" s="8">
        <v>42663.05269675926</v>
      </c>
      <c r="B206" s="21" t="s">
        <v>198</v>
      </c>
      <c r="C206" s="21" t="s">
        <v>653</v>
      </c>
      <c r="D206" s="21">
        <v>1480000</v>
      </c>
      <c r="E206" s="21" t="s">
        <v>191</v>
      </c>
      <c r="F206" s="21" t="str">
        <f t="shared" si="6"/>
        <v>rtdc.l.rtdc.4046:itc</v>
      </c>
      <c r="G206" s="8">
        <f t="shared" si="7"/>
        <v>42663.05269675926</v>
      </c>
    </row>
    <row r="207" spans="1:7" x14ac:dyDescent="0.25">
      <c r="A207" s="8">
        <v>42663.054305555554</v>
      </c>
      <c r="B207" s="21" t="s">
        <v>268</v>
      </c>
      <c r="C207" s="21" t="s">
        <v>464</v>
      </c>
      <c r="D207" s="21">
        <v>1300000</v>
      </c>
      <c r="E207" s="21" t="s">
        <v>114</v>
      </c>
      <c r="F207" s="21" t="str">
        <f t="shared" si="6"/>
        <v>rtdc.l.rtdc.4001:itc</v>
      </c>
      <c r="G207" s="8">
        <f t="shared" si="7"/>
        <v>42663.054305555554</v>
      </c>
    </row>
    <row r="208" spans="1:7" x14ac:dyDescent="0.25">
      <c r="A208" s="8">
        <v>42661.777094907404</v>
      </c>
      <c r="B208" s="21" t="s">
        <v>313</v>
      </c>
      <c r="C208" s="21" t="s">
        <v>364</v>
      </c>
      <c r="D208" s="21">
        <v>1770000</v>
      </c>
      <c r="E208" s="21" t="s">
        <v>287</v>
      </c>
      <c r="F208" s="21" t="str">
        <f t="shared" si="6"/>
        <v>rtdc.l.rtdc.4054:itc</v>
      </c>
      <c r="G208" s="8">
        <f t="shared" si="7"/>
        <v>42661.777094907404</v>
      </c>
    </row>
    <row r="209" spans="1:7" x14ac:dyDescent="0.25">
      <c r="A209" s="8">
        <v>42661.777395833335</v>
      </c>
      <c r="B209" s="21" t="s">
        <v>282</v>
      </c>
      <c r="C209" s="21" t="s">
        <v>365</v>
      </c>
      <c r="D209" s="21">
        <v>2090000</v>
      </c>
      <c r="E209" s="21" t="s">
        <v>360</v>
      </c>
      <c r="F209" s="21" t="str">
        <f t="shared" si="6"/>
        <v>rtdc.l.rtdc.4011:itc</v>
      </c>
      <c r="G209" s="8">
        <f t="shared" si="7"/>
        <v>42661.777395833335</v>
      </c>
    </row>
    <row r="210" spans="1:7" x14ac:dyDescent="0.25">
      <c r="A210" s="8">
        <v>42661.779456018521</v>
      </c>
      <c r="B210" s="21" t="s">
        <v>198</v>
      </c>
      <c r="C210" s="21" t="s">
        <v>366</v>
      </c>
      <c r="D210" s="21">
        <v>1480000</v>
      </c>
      <c r="E210" s="21" t="s">
        <v>191</v>
      </c>
      <c r="F210" s="21" t="str">
        <f t="shared" si="6"/>
        <v>rtdc.l.rtdc.4046:itc</v>
      </c>
      <c r="G210" s="8">
        <f t="shared" si="7"/>
        <v>42661.779456018521</v>
      </c>
    </row>
    <row r="211" spans="1:7" x14ac:dyDescent="0.25">
      <c r="A211" s="8">
        <v>42661.783020833333</v>
      </c>
      <c r="B211" s="21" t="s">
        <v>269</v>
      </c>
      <c r="C211" s="21" t="s">
        <v>355</v>
      </c>
      <c r="D211" s="21">
        <v>1740000</v>
      </c>
      <c r="E211" s="21" t="s">
        <v>362</v>
      </c>
      <c r="F211" s="21" t="str">
        <f t="shared" si="6"/>
        <v>rtdc.l.rtdc.4041:itc</v>
      </c>
      <c r="G211" s="8">
        <f t="shared" si="7"/>
        <v>42661.783020833333</v>
      </c>
    </row>
    <row r="212" spans="1:7" x14ac:dyDescent="0.25">
      <c r="A212" s="8">
        <v>42661.789050925923</v>
      </c>
      <c r="B212" s="21" t="s">
        <v>196</v>
      </c>
      <c r="C212" s="21" t="s">
        <v>367</v>
      </c>
      <c r="D212" s="21">
        <v>1180000</v>
      </c>
      <c r="E212" s="21" t="s">
        <v>189</v>
      </c>
      <c r="F212" s="21" t="str">
        <f t="shared" si="6"/>
        <v>rtdc.l.rtdc.4044:itc</v>
      </c>
      <c r="G212" s="8">
        <f t="shared" si="7"/>
        <v>42661.789050925923</v>
      </c>
    </row>
    <row r="213" spans="1:7" x14ac:dyDescent="0.25">
      <c r="A213" s="8">
        <v>42661.793055555558</v>
      </c>
      <c r="B213" s="21" t="s">
        <v>316</v>
      </c>
      <c r="C213" s="21" t="s">
        <v>368</v>
      </c>
      <c r="D213" s="21">
        <v>1770000</v>
      </c>
      <c r="E213" s="21" t="s">
        <v>287</v>
      </c>
      <c r="F213" s="21" t="str">
        <f t="shared" si="6"/>
        <v>rtdc.l.rtdc.4053:itc</v>
      </c>
      <c r="G213" s="8">
        <f t="shared" si="7"/>
        <v>42661.793055555558</v>
      </c>
    </row>
    <row r="214" spans="1:7" x14ac:dyDescent="0.25">
      <c r="A214" s="8">
        <v>42661.796412037038</v>
      </c>
      <c r="B214" s="21" t="s">
        <v>257</v>
      </c>
      <c r="C214" s="21" t="s">
        <v>369</v>
      </c>
      <c r="D214" s="21">
        <v>1230000</v>
      </c>
      <c r="E214" s="21" t="s">
        <v>215</v>
      </c>
      <c r="F214" s="21" t="str">
        <f t="shared" si="6"/>
        <v>rtdc.l.rtdc.4017:itc</v>
      </c>
      <c r="G214" s="8">
        <f t="shared" si="7"/>
        <v>42661.796412037038</v>
      </c>
    </row>
    <row r="215" spans="1:7" x14ac:dyDescent="0.25">
      <c r="A215" s="8">
        <v>42661.798043981478</v>
      </c>
      <c r="B215" s="21" t="s">
        <v>295</v>
      </c>
      <c r="C215" s="21" t="s">
        <v>370</v>
      </c>
      <c r="D215" s="21">
        <v>2220000</v>
      </c>
      <c r="E215" s="21" t="s">
        <v>361</v>
      </c>
      <c r="F215" s="21" t="str">
        <f t="shared" si="6"/>
        <v>rtdc.l.rtdc.4025:itc</v>
      </c>
      <c r="G215" s="8">
        <f t="shared" si="7"/>
        <v>42661.798043981478</v>
      </c>
    </row>
    <row r="216" spans="1:7" x14ac:dyDescent="0.25">
      <c r="A216" s="8">
        <v>42661.798333333332</v>
      </c>
      <c r="B216" s="21" t="s">
        <v>280</v>
      </c>
      <c r="C216" s="21" t="s">
        <v>371</v>
      </c>
      <c r="D216" s="21">
        <v>1480000</v>
      </c>
      <c r="E216" s="21" t="s">
        <v>191</v>
      </c>
      <c r="F216" s="21" t="str">
        <f t="shared" si="6"/>
        <v>rtdc.l.rtdc.4045:itc</v>
      </c>
      <c r="G216" s="8">
        <f t="shared" si="7"/>
        <v>42661.798333333332</v>
      </c>
    </row>
    <row r="217" spans="1:7" x14ac:dyDescent="0.25">
      <c r="A217" s="8">
        <v>42661.809467592589</v>
      </c>
      <c r="B217" s="21" t="s">
        <v>296</v>
      </c>
      <c r="C217" s="21" t="s">
        <v>372</v>
      </c>
      <c r="D217" s="21">
        <v>1800000</v>
      </c>
      <c r="E217" s="21" t="s">
        <v>209</v>
      </c>
      <c r="F217" s="21" t="str">
        <f t="shared" si="6"/>
        <v>rtdc.l.rtdc.4030:itc</v>
      </c>
      <c r="G217" s="8">
        <f t="shared" si="7"/>
        <v>42661.809467592589</v>
      </c>
    </row>
    <row r="218" spans="1:7" x14ac:dyDescent="0.25">
      <c r="A218" s="8">
        <v>42661.809618055559</v>
      </c>
      <c r="B218" s="21" t="s">
        <v>353</v>
      </c>
      <c r="C218" s="21" t="s">
        <v>373</v>
      </c>
      <c r="D218" s="21">
        <v>2350000</v>
      </c>
      <c r="E218" s="21" t="s">
        <v>297</v>
      </c>
      <c r="F218" s="21" t="str">
        <f t="shared" si="6"/>
        <v>rtdc.l.rtdc.4016:itc</v>
      </c>
      <c r="G218" s="8">
        <f t="shared" si="7"/>
        <v>42661.809618055559</v>
      </c>
    </row>
    <row r="219" spans="1:7" x14ac:dyDescent="0.25">
      <c r="A219" s="8">
        <v>42661.818298611113</v>
      </c>
      <c r="B219" s="21" t="s">
        <v>267</v>
      </c>
      <c r="C219" s="21" t="s">
        <v>374</v>
      </c>
      <c r="D219" s="21">
        <v>1740000</v>
      </c>
      <c r="E219" s="21" t="s">
        <v>362</v>
      </c>
      <c r="F219" s="21" t="str">
        <f t="shared" si="6"/>
        <v>rtdc.l.rtdc.4042:itc</v>
      </c>
      <c r="G219" s="8">
        <f t="shared" si="7"/>
        <v>42661.818298611113</v>
      </c>
    </row>
    <row r="220" spans="1:7" x14ac:dyDescent="0.25">
      <c r="A220" s="8">
        <v>42661.819155092591</v>
      </c>
      <c r="B220" s="21" t="s">
        <v>313</v>
      </c>
      <c r="C220" s="21" t="s">
        <v>375</v>
      </c>
      <c r="D220" s="21">
        <v>1770000</v>
      </c>
      <c r="E220" s="21" t="s">
        <v>287</v>
      </c>
      <c r="F220" s="21" t="str">
        <f t="shared" si="6"/>
        <v>rtdc.l.rtdc.4054:itc</v>
      </c>
      <c r="G220" s="8">
        <f t="shared" si="7"/>
        <v>42661.819155092591</v>
      </c>
    </row>
    <row r="221" spans="1:7" x14ac:dyDescent="0.25">
      <c r="A221" s="8">
        <v>42661.82471064815</v>
      </c>
      <c r="B221" s="21" t="s">
        <v>211</v>
      </c>
      <c r="C221" s="21" t="s">
        <v>376</v>
      </c>
      <c r="D221" s="21">
        <v>1180000</v>
      </c>
      <c r="E221" s="21" t="s">
        <v>189</v>
      </c>
      <c r="F221" s="21" t="str">
        <f t="shared" si="6"/>
        <v>rtdc.l.rtdc.4043:itc</v>
      </c>
      <c r="G221" s="8">
        <f t="shared" si="7"/>
        <v>42661.82471064815</v>
      </c>
    </row>
    <row r="222" spans="1:7" x14ac:dyDescent="0.25">
      <c r="A222" s="8">
        <v>42661.831006944441</v>
      </c>
      <c r="B222" s="21" t="s">
        <v>188</v>
      </c>
      <c r="C222" s="21" t="s">
        <v>377</v>
      </c>
      <c r="D222" s="21">
        <v>1230000</v>
      </c>
      <c r="E222" s="21" t="s">
        <v>215</v>
      </c>
      <c r="F222" s="21" t="str">
        <f t="shared" si="6"/>
        <v>rtdc.l.rtdc.4018:itc</v>
      </c>
      <c r="G222" s="8">
        <f t="shared" si="7"/>
        <v>42661.831006944441</v>
      </c>
    </row>
    <row r="223" spans="1:7" x14ac:dyDescent="0.25">
      <c r="A223" s="8">
        <v>42661.837789351855</v>
      </c>
      <c r="B223" s="21" t="s">
        <v>316</v>
      </c>
      <c r="C223" s="21" t="s">
        <v>356</v>
      </c>
      <c r="D223" s="21">
        <v>1770000</v>
      </c>
      <c r="E223" s="21" t="s">
        <v>287</v>
      </c>
      <c r="F223" s="21" t="str">
        <f t="shared" si="6"/>
        <v>rtdc.l.rtdc.4053:itc</v>
      </c>
      <c r="G223" s="8">
        <f t="shared" si="7"/>
        <v>42661.837789351855</v>
      </c>
    </row>
    <row r="224" spans="1:7" x14ac:dyDescent="0.25">
      <c r="A224" s="8">
        <v>42661.848657407405</v>
      </c>
      <c r="B224" t="s">
        <v>354</v>
      </c>
      <c r="C224" t="s">
        <v>378</v>
      </c>
      <c r="D224">
        <v>2350000</v>
      </c>
      <c r="E224" t="s">
        <v>297</v>
      </c>
      <c r="F224" s="21" t="str">
        <f t="shared" si="6"/>
        <v>rtdc.l.rtdc.4015:itc</v>
      </c>
      <c r="G224" s="8">
        <f t="shared" si="7"/>
        <v>42661.848657407405</v>
      </c>
    </row>
    <row r="225" spans="1:7" x14ac:dyDescent="0.25">
      <c r="A225" s="8">
        <v>42661.851435185185</v>
      </c>
      <c r="B225" t="s">
        <v>292</v>
      </c>
      <c r="C225" t="s">
        <v>379</v>
      </c>
      <c r="D225">
        <v>1800000</v>
      </c>
      <c r="E225" t="s">
        <v>209</v>
      </c>
      <c r="F225" s="21" t="str">
        <f t="shared" si="6"/>
        <v>rtdc.l.rtdc.4029:itc</v>
      </c>
      <c r="G225" s="8">
        <f t="shared" si="7"/>
        <v>42661.851435185185</v>
      </c>
    </row>
    <row r="226" spans="1:7" x14ac:dyDescent="0.25">
      <c r="A226" s="8">
        <v>42661.860289351855</v>
      </c>
      <c r="B226" t="s">
        <v>313</v>
      </c>
      <c r="C226" t="s">
        <v>380</v>
      </c>
      <c r="D226">
        <v>1770000</v>
      </c>
      <c r="E226" t="s">
        <v>287</v>
      </c>
      <c r="F226" s="21" t="str">
        <f t="shared" si="6"/>
        <v>rtdc.l.rtdc.4054:itc</v>
      </c>
      <c r="G226" s="8">
        <f t="shared" si="7"/>
        <v>42661.860289351855</v>
      </c>
    </row>
    <row r="227" spans="1:7" x14ac:dyDescent="0.25">
      <c r="A227" s="8">
        <v>42661.870185185187</v>
      </c>
      <c r="B227" t="s">
        <v>257</v>
      </c>
      <c r="C227" t="s">
        <v>381</v>
      </c>
      <c r="D227">
        <v>1230000</v>
      </c>
      <c r="E227" t="s">
        <v>215</v>
      </c>
      <c r="F227" s="21" t="str">
        <f t="shared" si="6"/>
        <v>rtdc.l.rtdc.4017:itc</v>
      </c>
      <c r="G227" s="8">
        <f t="shared" si="7"/>
        <v>42661.870185185187</v>
      </c>
    </row>
    <row r="228" spans="1:7" x14ac:dyDescent="0.25">
      <c r="A228" s="8">
        <v>42661.870439814818</v>
      </c>
      <c r="B228" t="s">
        <v>196</v>
      </c>
      <c r="C228" t="s">
        <v>382</v>
      </c>
      <c r="D228">
        <v>1180000</v>
      </c>
      <c r="E228" t="s">
        <v>189</v>
      </c>
      <c r="F228" s="21" t="str">
        <f t="shared" si="6"/>
        <v>rtdc.l.rtdc.4044:itc</v>
      </c>
      <c r="G228" s="8">
        <f t="shared" si="7"/>
        <v>42661.870439814818</v>
      </c>
    </row>
    <row r="229" spans="1:7" x14ac:dyDescent="0.25">
      <c r="A229" s="8">
        <v>42661.876342592594</v>
      </c>
      <c r="B229" t="s">
        <v>316</v>
      </c>
      <c r="C229" t="s">
        <v>383</v>
      </c>
      <c r="D229">
        <v>1840000</v>
      </c>
      <c r="E229" t="s">
        <v>384</v>
      </c>
      <c r="F229" s="21" t="str">
        <f t="shared" si="6"/>
        <v>rtdc.l.rtdc.4053:itc</v>
      </c>
      <c r="G229" s="8">
        <f t="shared" si="7"/>
        <v>42661.876342592594</v>
      </c>
    </row>
    <row r="230" spans="1:7" x14ac:dyDescent="0.25">
      <c r="A230" s="8">
        <v>42661.882939814815</v>
      </c>
      <c r="B230" t="s">
        <v>292</v>
      </c>
      <c r="C230" t="s">
        <v>385</v>
      </c>
      <c r="D230">
        <v>1800000</v>
      </c>
      <c r="E230" t="s">
        <v>209</v>
      </c>
      <c r="F230" s="21" t="str">
        <f t="shared" si="6"/>
        <v>rtdc.l.rtdc.4029:itc</v>
      </c>
      <c r="G230" s="8">
        <f t="shared" si="7"/>
        <v>42661.882939814815</v>
      </c>
    </row>
    <row r="231" spans="1:7" x14ac:dyDescent="0.25">
      <c r="A231" s="8">
        <v>42661.883611111109</v>
      </c>
      <c r="B231" t="s">
        <v>292</v>
      </c>
      <c r="C231" t="s">
        <v>385</v>
      </c>
      <c r="D231">
        <v>1800000</v>
      </c>
      <c r="E231" t="s">
        <v>209</v>
      </c>
      <c r="F231" s="21" t="str">
        <f t="shared" si="6"/>
        <v>rtdc.l.rtdc.4029:itc</v>
      </c>
      <c r="G231" s="8">
        <f t="shared" si="7"/>
        <v>42661.883611111109</v>
      </c>
    </row>
    <row r="232" spans="1:7" x14ac:dyDescent="0.25">
      <c r="A232" s="8">
        <v>42661.88753472222</v>
      </c>
      <c r="B232" t="s">
        <v>353</v>
      </c>
      <c r="C232" t="s">
        <v>386</v>
      </c>
      <c r="D232">
        <v>2370000</v>
      </c>
      <c r="E232" t="s">
        <v>320</v>
      </c>
      <c r="F232" s="21" t="str">
        <f t="shared" si="6"/>
        <v>rtdc.l.rtdc.4016:itc</v>
      </c>
      <c r="G232" s="8">
        <f t="shared" si="7"/>
        <v>42661.88753472222</v>
      </c>
    </row>
    <row r="233" spans="1:7" x14ac:dyDescent="0.25">
      <c r="A233" s="8">
        <v>42661.88758101852</v>
      </c>
      <c r="B233" t="s">
        <v>296</v>
      </c>
      <c r="C233" t="s">
        <v>385</v>
      </c>
      <c r="D233">
        <v>1800000</v>
      </c>
      <c r="E233" t="s">
        <v>209</v>
      </c>
      <c r="F233" s="21" t="str">
        <f t="shared" si="6"/>
        <v>rtdc.l.rtdc.4030:itc</v>
      </c>
      <c r="G233" s="8">
        <f t="shared" si="7"/>
        <v>42661.88758101852</v>
      </c>
    </row>
    <row r="234" spans="1:7" x14ac:dyDescent="0.25">
      <c r="A234" s="8">
        <v>42661.902175925927</v>
      </c>
      <c r="B234" t="s">
        <v>313</v>
      </c>
      <c r="C234" t="s">
        <v>387</v>
      </c>
      <c r="D234">
        <v>1480000</v>
      </c>
      <c r="E234" t="s">
        <v>191</v>
      </c>
      <c r="F234" s="21" t="str">
        <f t="shared" si="6"/>
        <v>rtdc.l.rtdc.4054:itc</v>
      </c>
      <c r="G234" s="8">
        <f t="shared" si="7"/>
        <v>42661.902175925927</v>
      </c>
    </row>
    <row r="235" spans="1:7" x14ac:dyDescent="0.25">
      <c r="A235" s="8">
        <v>42661.910914351851</v>
      </c>
      <c r="B235" t="s">
        <v>211</v>
      </c>
      <c r="C235" t="s">
        <v>388</v>
      </c>
      <c r="D235">
        <v>1180000</v>
      </c>
      <c r="E235" t="s">
        <v>189</v>
      </c>
      <c r="F235" s="21" t="str">
        <f t="shared" si="6"/>
        <v>rtdc.l.rtdc.4043:itc</v>
      </c>
      <c r="G235" s="8">
        <f t="shared" si="7"/>
        <v>42661.910914351851</v>
      </c>
    </row>
    <row r="236" spans="1:7" x14ac:dyDescent="0.25">
      <c r="A236" s="8">
        <v>42661.915162037039</v>
      </c>
      <c r="B236" t="s">
        <v>188</v>
      </c>
      <c r="C236" t="s">
        <v>389</v>
      </c>
      <c r="D236">
        <v>1230000</v>
      </c>
      <c r="E236" t="s">
        <v>215</v>
      </c>
      <c r="F236" s="21" t="str">
        <f t="shared" ref="F236:F265" si="8">B236</f>
        <v>rtdc.l.rtdc.4018:itc</v>
      </c>
      <c r="G236" s="8">
        <f t="shared" ref="G236:G265" si="9">A236</f>
        <v>42661.915162037039</v>
      </c>
    </row>
    <row r="237" spans="1:7" x14ac:dyDescent="0.25">
      <c r="A237" s="8">
        <v>42661.925324074073</v>
      </c>
      <c r="B237" t="s">
        <v>316</v>
      </c>
      <c r="C237" t="s">
        <v>390</v>
      </c>
      <c r="D237">
        <v>1480000</v>
      </c>
      <c r="E237" t="s">
        <v>191</v>
      </c>
      <c r="F237" s="21" t="str">
        <f t="shared" si="8"/>
        <v>rtdc.l.rtdc.4053:itc</v>
      </c>
      <c r="G237" s="8">
        <f t="shared" si="9"/>
        <v>42661.925324074073</v>
      </c>
    </row>
    <row r="238" spans="1:7" x14ac:dyDescent="0.25">
      <c r="A238" s="8">
        <v>42661.934999999998</v>
      </c>
      <c r="B238" t="s">
        <v>354</v>
      </c>
      <c r="C238" t="s">
        <v>391</v>
      </c>
      <c r="D238">
        <v>2370000</v>
      </c>
      <c r="E238" t="s">
        <v>320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313</v>
      </c>
      <c r="C239" t="s">
        <v>392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292</v>
      </c>
      <c r="C240" t="s">
        <v>393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292</v>
      </c>
      <c r="C241" t="s">
        <v>394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257</v>
      </c>
      <c r="C242" t="s">
        <v>395</v>
      </c>
      <c r="D242">
        <v>1230000</v>
      </c>
      <c r="E242" t="s">
        <v>215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263</v>
      </c>
      <c r="C243" t="s">
        <v>396</v>
      </c>
      <c r="D243">
        <v>110000</v>
      </c>
      <c r="E243" t="s">
        <v>363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214</v>
      </c>
      <c r="C244" t="s">
        <v>357</v>
      </c>
      <c r="D244">
        <v>150000</v>
      </c>
      <c r="E244" t="s">
        <v>321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397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296</v>
      </c>
      <c r="C246" t="s">
        <v>398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353</v>
      </c>
      <c r="C247" t="s">
        <v>399</v>
      </c>
      <c r="D247">
        <v>2350000</v>
      </c>
      <c r="E247" t="s">
        <v>297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400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401</v>
      </c>
      <c r="D249">
        <v>1230000</v>
      </c>
      <c r="E249" t="s">
        <v>215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401</v>
      </c>
      <c r="D250">
        <v>1230000</v>
      </c>
      <c r="E250" t="s">
        <v>215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292</v>
      </c>
      <c r="C251" t="s">
        <v>402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354</v>
      </c>
      <c r="C252" t="s">
        <v>403</v>
      </c>
      <c r="D252">
        <v>2350000</v>
      </c>
      <c r="E252" t="s">
        <v>297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404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353</v>
      </c>
      <c r="C254" t="s">
        <v>405</v>
      </c>
      <c r="D254">
        <v>2350000</v>
      </c>
      <c r="E254" t="s">
        <v>297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/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9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82" t="s">
        <v>168</v>
      </c>
      <c r="B1" s="182" t="s">
        <v>171</v>
      </c>
      <c r="C1" s="182" t="s">
        <v>164</v>
      </c>
      <c r="D1" s="166" t="s">
        <v>178</v>
      </c>
      <c r="E1" s="182" t="s">
        <v>165</v>
      </c>
      <c r="F1" s="182" t="s">
        <v>163</v>
      </c>
      <c r="G1" s="182" t="s">
        <v>161</v>
      </c>
      <c r="H1" s="182" t="s">
        <v>174</v>
      </c>
      <c r="I1" s="182" t="s">
        <v>175</v>
      </c>
      <c r="J1" s="182" t="s">
        <v>406</v>
      </c>
      <c r="K1" s="182" t="s">
        <v>169</v>
      </c>
      <c r="L1" s="182" t="s">
        <v>167</v>
      </c>
      <c r="M1" s="182" t="s">
        <v>162</v>
      </c>
      <c r="N1" s="182" t="s">
        <v>172</v>
      </c>
      <c r="O1" s="182" t="s">
        <v>166</v>
      </c>
      <c r="P1" s="182" t="s">
        <v>173</v>
      </c>
      <c r="Q1" s="182" t="s">
        <v>170</v>
      </c>
    </row>
    <row r="2" spans="1:17" x14ac:dyDescent="0.25">
      <c r="A2" s="168">
        <v>41.52</v>
      </c>
      <c r="B2" s="168">
        <v>0.2</v>
      </c>
      <c r="C2" s="168">
        <v>32.799999999999997</v>
      </c>
      <c r="D2" s="8">
        <v>42662</v>
      </c>
      <c r="E2" s="168">
        <v>0.64</v>
      </c>
      <c r="F2" s="168" t="s">
        <v>264</v>
      </c>
      <c r="G2" s="168">
        <v>290.08999999999997</v>
      </c>
      <c r="H2" s="168">
        <v>0</v>
      </c>
      <c r="I2" s="168">
        <v>0</v>
      </c>
      <c r="J2" s="168"/>
      <c r="K2" s="168">
        <v>1016.22</v>
      </c>
      <c r="L2" s="168" t="s">
        <v>265</v>
      </c>
      <c r="M2" s="168">
        <v>44.36</v>
      </c>
      <c r="N2" s="168">
        <v>1476856800</v>
      </c>
      <c r="O2" s="168">
        <v>7.93</v>
      </c>
      <c r="P2" s="168">
        <v>355</v>
      </c>
      <c r="Q2" s="168">
        <v>5.0999999999999996</v>
      </c>
    </row>
    <row r="3" spans="1:17" x14ac:dyDescent="0.25">
      <c r="A3" s="168">
        <v>39.880000000000003</v>
      </c>
      <c r="B3" s="168">
        <v>0.23</v>
      </c>
      <c r="C3" s="168">
        <v>33.39</v>
      </c>
      <c r="D3" s="8">
        <v>42662.041666666664</v>
      </c>
      <c r="E3" s="168">
        <v>0.69</v>
      </c>
      <c r="F3" s="168" t="s">
        <v>407</v>
      </c>
      <c r="G3" s="168">
        <v>291.47000000000003</v>
      </c>
      <c r="H3" s="168">
        <v>5.8999999999999999E-3</v>
      </c>
      <c r="I3" s="168">
        <v>0.25</v>
      </c>
      <c r="J3" s="168" t="s">
        <v>407</v>
      </c>
      <c r="K3" s="168">
        <v>1017.16</v>
      </c>
      <c r="L3" s="168" t="s">
        <v>408</v>
      </c>
      <c r="M3" s="168">
        <v>42.75</v>
      </c>
      <c r="N3" s="168">
        <v>1476860400</v>
      </c>
      <c r="O3" s="168">
        <v>6.79</v>
      </c>
      <c r="P3" s="168">
        <v>10</v>
      </c>
      <c r="Q3" s="168">
        <v>4.76</v>
      </c>
    </row>
    <row r="4" spans="1:17" x14ac:dyDescent="0.25">
      <c r="A4" s="168">
        <v>42.03</v>
      </c>
      <c r="B4" s="168">
        <v>0.28000000000000003</v>
      </c>
      <c r="C4" s="168">
        <v>34.46</v>
      </c>
      <c r="D4" s="8">
        <v>42662.083333333336</v>
      </c>
      <c r="E4" s="168">
        <v>0.74</v>
      </c>
      <c r="F4" s="168" t="s">
        <v>407</v>
      </c>
      <c r="G4" s="168">
        <v>292.83999999999997</v>
      </c>
      <c r="H4" s="168">
        <v>6.6E-3</v>
      </c>
      <c r="I4" s="168">
        <v>0.3</v>
      </c>
      <c r="J4" s="168" t="s">
        <v>407</v>
      </c>
      <c r="K4" s="168">
        <v>1018.09</v>
      </c>
      <c r="L4" s="168" t="s">
        <v>408</v>
      </c>
      <c r="M4" s="168">
        <v>42.03</v>
      </c>
      <c r="N4" s="168">
        <v>1476864000</v>
      </c>
      <c r="O4" s="168">
        <v>5.19</v>
      </c>
      <c r="P4" s="168">
        <v>12</v>
      </c>
      <c r="Q4" s="168">
        <v>2.23</v>
      </c>
    </row>
    <row r="5" spans="1:17" x14ac:dyDescent="0.25">
      <c r="A5" s="168">
        <v>40.99</v>
      </c>
      <c r="B5" s="168">
        <v>0.33</v>
      </c>
      <c r="C5" s="168">
        <v>34.71</v>
      </c>
      <c r="D5" s="8">
        <v>42662.125</v>
      </c>
      <c r="E5" s="168">
        <v>0.78</v>
      </c>
      <c r="F5" s="168" t="s">
        <v>407</v>
      </c>
      <c r="G5" s="168">
        <v>294.20999999999998</v>
      </c>
      <c r="H5" s="168">
        <v>9.7999999999999997E-3</v>
      </c>
      <c r="I5" s="168">
        <v>0.47</v>
      </c>
      <c r="J5" s="168" t="s">
        <v>407</v>
      </c>
      <c r="K5" s="168">
        <v>1019.04</v>
      </c>
      <c r="L5" s="168" t="s">
        <v>654</v>
      </c>
      <c r="M5" s="168">
        <v>40.99</v>
      </c>
      <c r="N5" s="168">
        <v>1476867600</v>
      </c>
      <c r="O5" s="168">
        <v>4.79</v>
      </c>
      <c r="P5" s="168">
        <v>35</v>
      </c>
      <c r="Q5" s="168">
        <v>1.67</v>
      </c>
    </row>
    <row r="6" spans="1:17" x14ac:dyDescent="0.25">
      <c r="A6" s="168">
        <v>40.04</v>
      </c>
      <c r="B6" s="168">
        <v>0.34</v>
      </c>
      <c r="C6" s="168">
        <v>34.799999999999997</v>
      </c>
      <c r="D6" s="8">
        <v>42662.166666666664</v>
      </c>
      <c r="E6" s="168">
        <v>0.81</v>
      </c>
      <c r="F6" s="168" t="s">
        <v>407</v>
      </c>
      <c r="G6" s="168">
        <v>295.42</v>
      </c>
      <c r="H6" s="168">
        <v>6.4999999999999997E-3</v>
      </c>
      <c r="I6" s="168">
        <v>0.28999999999999998</v>
      </c>
      <c r="J6" s="168" t="s">
        <v>407</v>
      </c>
      <c r="K6" s="168">
        <v>1019.92</v>
      </c>
      <c r="L6" s="168" t="s">
        <v>408</v>
      </c>
      <c r="M6" s="168">
        <v>40.04</v>
      </c>
      <c r="N6" s="168">
        <v>1476871200</v>
      </c>
      <c r="O6" s="168">
        <v>4.7300000000000004</v>
      </c>
      <c r="P6" s="168">
        <v>60</v>
      </c>
      <c r="Q6" s="168">
        <v>0.1</v>
      </c>
    </row>
    <row r="7" spans="1:17" x14ac:dyDescent="0.25">
      <c r="A7" s="168">
        <v>39.770000000000003</v>
      </c>
      <c r="B7" s="168">
        <v>0.33</v>
      </c>
      <c r="C7" s="168">
        <v>35.1</v>
      </c>
      <c r="D7" s="8">
        <v>42662.208333333336</v>
      </c>
      <c r="E7" s="168">
        <v>0.83</v>
      </c>
      <c r="F7" s="168" t="s">
        <v>213</v>
      </c>
      <c r="G7" s="168">
        <v>296.55</v>
      </c>
      <c r="H7" s="168">
        <v>3.3999999999999998E-3</v>
      </c>
      <c r="I7" s="168">
        <v>0.11</v>
      </c>
      <c r="J7" s="168" t="s">
        <v>407</v>
      </c>
      <c r="K7" s="168">
        <v>1020.47</v>
      </c>
      <c r="L7" s="168" t="s">
        <v>212</v>
      </c>
      <c r="M7" s="168">
        <v>39.770000000000003</v>
      </c>
      <c r="N7" s="168">
        <v>1476874800</v>
      </c>
      <c r="O7" s="168">
        <v>5.19</v>
      </c>
      <c r="P7" s="168">
        <v>198</v>
      </c>
      <c r="Q7" s="168">
        <v>2.23</v>
      </c>
    </row>
    <row r="8" spans="1:17" x14ac:dyDescent="0.25">
      <c r="A8" s="168">
        <v>39.64</v>
      </c>
      <c r="B8" s="168">
        <v>0.3</v>
      </c>
      <c r="C8" s="168">
        <v>35.229999999999997</v>
      </c>
      <c r="D8" s="8">
        <v>42662.25</v>
      </c>
      <c r="E8" s="168">
        <v>0.84</v>
      </c>
      <c r="F8" s="168" t="s">
        <v>213</v>
      </c>
      <c r="G8" s="168">
        <v>297.72000000000003</v>
      </c>
      <c r="H8" s="168">
        <v>8.9999999999999998E-4</v>
      </c>
      <c r="I8" s="168">
        <v>0.01</v>
      </c>
      <c r="J8" s="168" t="s">
        <v>407</v>
      </c>
      <c r="K8" s="168">
        <v>1020.87</v>
      </c>
      <c r="L8" s="168" t="s">
        <v>212</v>
      </c>
      <c r="M8" s="168">
        <v>39.64</v>
      </c>
      <c r="N8" s="168">
        <v>1476878400</v>
      </c>
      <c r="O8" s="168">
        <v>5.89</v>
      </c>
      <c r="P8" s="168">
        <v>213</v>
      </c>
      <c r="Q8" s="168">
        <v>2.8</v>
      </c>
    </row>
    <row r="9" spans="1:17" x14ac:dyDescent="0.25">
      <c r="A9" s="168">
        <v>39.72</v>
      </c>
      <c r="B9" s="168">
        <v>0.23</v>
      </c>
      <c r="C9" s="168">
        <v>34.93</v>
      </c>
      <c r="D9" s="8">
        <v>42662.291666666664</v>
      </c>
      <c r="E9" s="168">
        <v>0.83</v>
      </c>
      <c r="F9" s="168" t="s">
        <v>264</v>
      </c>
      <c r="G9" s="168">
        <v>299.12</v>
      </c>
      <c r="H9" s="168">
        <v>0</v>
      </c>
      <c r="I9" s="168">
        <v>0</v>
      </c>
      <c r="J9" s="168"/>
      <c r="K9" s="168">
        <v>1021.21</v>
      </c>
      <c r="L9" s="168" t="s">
        <v>265</v>
      </c>
      <c r="M9" s="168">
        <v>39.72</v>
      </c>
      <c r="N9" s="168">
        <v>1476882000</v>
      </c>
      <c r="O9" s="168">
        <v>4.72</v>
      </c>
      <c r="P9" s="168">
        <v>198</v>
      </c>
      <c r="Q9" s="168">
        <v>2.8</v>
      </c>
    </row>
    <row r="10" spans="1:17" x14ac:dyDescent="0.25">
      <c r="A10" s="168">
        <v>40.49</v>
      </c>
      <c r="B10" s="168">
        <v>0.13</v>
      </c>
      <c r="C10" s="168">
        <v>35.14</v>
      </c>
      <c r="D10" s="8">
        <v>42662.333333333336</v>
      </c>
      <c r="E10" s="168">
        <v>0.81</v>
      </c>
      <c r="F10" s="168" t="s">
        <v>288</v>
      </c>
      <c r="G10" s="168">
        <v>300.54000000000002</v>
      </c>
      <c r="H10" s="168">
        <v>0</v>
      </c>
      <c r="I10" s="168">
        <v>0</v>
      </c>
      <c r="J10" s="168"/>
      <c r="K10" s="168">
        <v>1021.37</v>
      </c>
      <c r="L10" s="168" t="s">
        <v>265</v>
      </c>
      <c r="M10" s="168">
        <v>40.49</v>
      </c>
      <c r="N10" s="168">
        <v>1476885600</v>
      </c>
      <c r="O10" s="168">
        <v>4.41</v>
      </c>
      <c r="P10" s="168">
        <v>217</v>
      </c>
      <c r="Q10" s="168">
        <v>1.89</v>
      </c>
    </row>
    <row r="11" spans="1:17" x14ac:dyDescent="0.25">
      <c r="A11" s="168">
        <v>45.5</v>
      </c>
      <c r="B11" s="168">
        <v>0.05</v>
      </c>
      <c r="C11" s="168">
        <v>34.659999999999997</v>
      </c>
      <c r="D11" s="8">
        <v>42662.375</v>
      </c>
      <c r="E11" s="168">
        <v>0.66</v>
      </c>
      <c r="F11" s="168" t="s">
        <v>288</v>
      </c>
      <c r="G11" s="168">
        <v>301.55</v>
      </c>
      <c r="H11" s="168">
        <v>0</v>
      </c>
      <c r="I11" s="168">
        <v>0</v>
      </c>
      <c r="J11" s="168"/>
      <c r="K11" s="168">
        <v>1021.39</v>
      </c>
      <c r="L11" s="168" t="s">
        <v>265</v>
      </c>
      <c r="M11" s="168">
        <v>45.5</v>
      </c>
      <c r="N11" s="168">
        <v>1476889200</v>
      </c>
      <c r="O11" s="168">
        <v>4.87</v>
      </c>
      <c r="P11" s="168">
        <v>208</v>
      </c>
      <c r="Q11" s="168">
        <v>1.24</v>
      </c>
    </row>
    <row r="12" spans="1:17" x14ac:dyDescent="0.25">
      <c r="A12" s="168">
        <v>50.31</v>
      </c>
      <c r="B12" s="168">
        <v>0.03</v>
      </c>
      <c r="C12" s="168">
        <v>31.88</v>
      </c>
      <c r="D12" s="8">
        <v>42662.416666666664</v>
      </c>
      <c r="E12" s="168">
        <v>0.49</v>
      </c>
      <c r="F12" s="168" t="s">
        <v>288</v>
      </c>
      <c r="G12" s="168">
        <v>301.83999999999997</v>
      </c>
      <c r="H12" s="168">
        <v>0</v>
      </c>
      <c r="I12" s="168">
        <v>0</v>
      </c>
      <c r="J12" s="168"/>
      <c r="K12" s="168">
        <v>1021.3</v>
      </c>
      <c r="L12" s="168" t="s">
        <v>265</v>
      </c>
      <c r="M12" s="168">
        <v>50.31</v>
      </c>
      <c r="N12" s="168">
        <v>1476892800</v>
      </c>
      <c r="O12" s="168">
        <v>4.8600000000000003</v>
      </c>
      <c r="P12" s="168">
        <v>357</v>
      </c>
      <c r="Q12" s="168">
        <v>2.93</v>
      </c>
    </row>
    <row r="13" spans="1:17" x14ac:dyDescent="0.25">
      <c r="A13" s="168">
        <v>54.18</v>
      </c>
      <c r="B13" s="168">
        <v>0.04</v>
      </c>
      <c r="C13" s="168">
        <v>28.71</v>
      </c>
      <c r="D13" s="8">
        <v>42662.458333333336</v>
      </c>
      <c r="E13" s="168">
        <v>0.37</v>
      </c>
      <c r="F13" s="168" t="s">
        <v>288</v>
      </c>
      <c r="G13" s="168">
        <v>301.70999999999998</v>
      </c>
      <c r="H13" s="168">
        <v>0</v>
      </c>
      <c r="I13" s="168">
        <v>0</v>
      </c>
      <c r="J13" s="168"/>
      <c r="K13" s="168">
        <v>1021.16</v>
      </c>
      <c r="L13" s="168" t="s">
        <v>265</v>
      </c>
      <c r="M13" s="168">
        <v>54.18</v>
      </c>
      <c r="N13" s="168">
        <v>1476896400</v>
      </c>
      <c r="O13" s="168">
        <v>4.8899999999999997</v>
      </c>
      <c r="P13" s="168">
        <v>16</v>
      </c>
      <c r="Q13" s="168">
        <v>2.2999999999999998</v>
      </c>
    </row>
    <row r="14" spans="1:17" x14ac:dyDescent="0.25">
      <c r="A14" s="168">
        <v>56.65</v>
      </c>
      <c r="B14" s="168">
        <v>0.05</v>
      </c>
      <c r="C14" s="168">
        <v>26.37</v>
      </c>
      <c r="D14" s="8">
        <v>42662.5</v>
      </c>
      <c r="E14" s="168">
        <v>0.31</v>
      </c>
      <c r="F14" s="168" t="s">
        <v>288</v>
      </c>
      <c r="G14" s="168">
        <v>301.58</v>
      </c>
      <c r="H14" s="168">
        <v>0</v>
      </c>
      <c r="I14" s="168">
        <v>0</v>
      </c>
      <c r="J14" s="168"/>
      <c r="K14" s="168">
        <v>1021</v>
      </c>
      <c r="L14" s="168" t="s">
        <v>265</v>
      </c>
      <c r="M14" s="168">
        <v>56.65</v>
      </c>
      <c r="N14" s="168">
        <v>1476900000</v>
      </c>
      <c r="O14" s="168">
        <v>4.87</v>
      </c>
      <c r="P14" s="168">
        <v>46</v>
      </c>
      <c r="Q14" s="168">
        <v>3.27</v>
      </c>
    </row>
    <row r="15" spans="1:17" x14ac:dyDescent="0.25">
      <c r="A15" s="168">
        <v>58.06</v>
      </c>
      <c r="B15" s="168">
        <v>0.06</v>
      </c>
      <c r="C15" s="168">
        <v>24.57</v>
      </c>
      <c r="D15" s="8">
        <v>42662.541666666664</v>
      </c>
      <c r="E15" s="168">
        <v>0.27</v>
      </c>
      <c r="F15" s="168" t="s">
        <v>288</v>
      </c>
      <c r="G15" s="168">
        <v>301.67</v>
      </c>
      <c r="H15" s="168">
        <v>0</v>
      </c>
      <c r="I15" s="168">
        <v>0</v>
      </c>
      <c r="J15" s="168"/>
      <c r="K15" s="168">
        <v>1020.74</v>
      </c>
      <c r="L15" s="168" t="s">
        <v>265</v>
      </c>
      <c r="M15" s="168">
        <v>58.06</v>
      </c>
      <c r="N15" s="168">
        <v>1476903600</v>
      </c>
      <c r="O15" s="168">
        <v>4.9000000000000004</v>
      </c>
      <c r="P15" s="168">
        <v>22</v>
      </c>
      <c r="Q15" s="168">
        <v>3.94</v>
      </c>
    </row>
    <row r="16" spans="1:17" x14ac:dyDescent="0.25">
      <c r="A16" s="168">
        <v>58.79</v>
      </c>
      <c r="B16" s="168">
        <v>0.08</v>
      </c>
      <c r="C16" s="168">
        <v>23.27</v>
      </c>
      <c r="D16" s="8">
        <v>42662.583333333336</v>
      </c>
      <c r="E16" s="168">
        <v>0.25</v>
      </c>
      <c r="F16" s="168" t="s">
        <v>288</v>
      </c>
      <c r="G16" s="168">
        <v>301.76</v>
      </c>
      <c r="H16" s="168">
        <v>0</v>
      </c>
      <c r="I16" s="168">
        <v>0</v>
      </c>
      <c r="J16" s="168"/>
      <c r="K16" s="168">
        <v>1020.47</v>
      </c>
      <c r="L16" s="168" t="s">
        <v>265</v>
      </c>
      <c r="M16" s="168">
        <v>58.79</v>
      </c>
      <c r="N16" s="168">
        <v>1476907200</v>
      </c>
      <c r="O16" s="168">
        <v>5</v>
      </c>
      <c r="P16" s="168">
        <v>11</v>
      </c>
      <c r="Q16" s="168">
        <v>4.5599999999999996</v>
      </c>
    </row>
    <row r="17" spans="1:17" x14ac:dyDescent="0.25">
      <c r="A17" s="168">
        <v>59.19</v>
      </c>
      <c r="B17" s="168">
        <v>0.11</v>
      </c>
      <c r="C17" s="168">
        <v>22.12</v>
      </c>
      <c r="D17" s="8">
        <v>42662.625</v>
      </c>
      <c r="E17" s="168">
        <v>0.24</v>
      </c>
      <c r="F17" s="168" t="s">
        <v>288</v>
      </c>
      <c r="G17" s="168">
        <v>301.7</v>
      </c>
      <c r="H17" s="168">
        <v>0</v>
      </c>
      <c r="I17" s="168">
        <v>0</v>
      </c>
      <c r="J17" s="168"/>
      <c r="K17" s="168">
        <v>1020.48</v>
      </c>
      <c r="L17" s="168" t="s">
        <v>265</v>
      </c>
      <c r="M17" s="168">
        <v>59.19</v>
      </c>
      <c r="N17" s="168">
        <v>1476910800</v>
      </c>
      <c r="O17" s="168">
        <v>4.97</v>
      </c>
      <c r="P17" s="168">
        <v>338</v>
      </c>
      <c r="Q17" s="168">
        <v>4.79</v>
      </c>
    </row>
    <row r="18" spans="1:17" x14ac:dyDescent="0.25">
      <c r="A18" s="168">
        <v>57.9</v>
      </c>
      <c r="B18" s="168">
        <v>0.14000000000000001</v>
      </c>
      <c r="C18" s="168">
        <v>19.61</v>
      </c>
      <c r="D18" s="8">
        <v>42662.666666666664</v>
      </c>
      <c r="E18" s="168">
        <v>0.22</v>
      </c>
      <c r="F18" s="168" t="s">
        <v>288</v>
      </c>
      <c r="G18" s="168">
        <v>301.32</v>
      </c>
      <c r="H18" s="168">
        <v>0</v>
      </c>
      <c r="I18" s="168">
        <v>0</v>
      </c>
      <c r="J18" s="168"/>
      <c r="K18" s="168">
        <v>1020.92</v>
      </c>
      <c r="L18" s="168" t="s">
        <v>265</v>
      </c>
      <c r="M18" s="168">
        <v>57.9</v>
      </c>
      <c r="N18" s="168">
        <v>1476914400</v>
      </c>
      <c r="O18" s="168">
        <v>5.07</v>
      </c>
      <c r="P18" s="168">
        <v>343</v>
      </c>
      <c r="Q18" s="168">
        <v>6.81</v>
      </c>
    </row>
    <row r="19" spans="1:17" x14ac:dyDescent="0.25">
      <c r="A19" s="168">
        <v>56.74</v>
      </c>
      <c r="B19" s="168">
        <v>0.17</v>
      </c>
      <c r="C19" s="168">
        <v>19.899999999999999</v>
      </c>
      <c r="D19" s="8">
        <v>42662.708333333336</v>
      </c>
      <c r="E19" s="168">
        <v>0.24</v>
      </c>
      <c r="F19" s="168" t="s">
        <v>288</v>
      </c>
      <c r="G19" s="168">
        <v>300.8</v>
      </c>
      <c r="H19" s="168">
        <v>0</v>
      </c>
      <c r="I19" s="168">
        <v>0</v>
      </c>
      <c r="J19" s="168"/>
      <c r="K19" s="168">
        <v>1021.67</v>
      </c>
      <c r="L19" s="168" t="s">
        <v>265</v>
      </c>
      <c r="M19" s="168">
        <v>56.74</v>
      </c>
      <c r="N19" s="168">
        <v>1476918000</v>
      </c>
      <c r="O19" s="168">
        <v>5.0599999999999996</v>
      </c>
      <c r="P19" s="168">
        <v>346</v>
      </c>
      <c r="Q19" s="168">
        <v>7.2</v>
      </c>
    </row>
    <row r="20" spans="1:17" x14ac:dyDescent="0.25">
      <c r="A20" s="168">
        <v>54.11</v>
      </c>
      <c r="B20" s="168">
        <v>0.19</v>
      </c>
      <c r="C20" s="168">
        <v>21.2</v>
      </c>
      <c r="D20" s="8">
        <v>42662.75</v>
      </c>
      <c r="E20" s="168">
        <v>0.27</v>
      </c>
      <c r="F20" s="168" t="s">
        <v>288</v>
      </c>
      <c r="G20" s="168">
        <v>300.41000000000003</v>
      </c>
      <c r="H20" s="168">
        <v>0</v>
      </c>
      <c r="I20" s="168">
        <v>0</v>
      </c>
      <c r="J20" s="168"/>
      <c r="K20" s="168">
        <v>1022.6</v>
      </c>
      <c r="L20" s="168" t="s">
        <v>265</v>
      </c>
      <c r="M20" s="168">
        <v>54.11</v>
      </c>
      <c r="N20" s="168">
        <v>1476921600</v>
      </c>
      <c r="O20" s="168">
        <v>5.36</v>
      </c>
      <c r="P20" s="168">
        <v>342</v>
      </c>
      <c r="Q20" s="168">
        <v>6.87</v>
      </c>
    </row>
    <row r="21" spans="1:17" x14ac:dyDescent="0.25">
      <c r="A21" s="168">
        <v>50.5</v>
      </c>
      <c r="B21" s="168">
        <v>0.25</v>
      </c>
      <c r="C21" s="168">
        <v>20.68</v>
      </c>
      <c r="D21" s="8">
        <v>42662.791666666664</v>
      </c>
      <c r="E21" s="168">
        <v>0.31</v>
      </c>
      <c r="F21" s="168" t="s">
        <v>213</v>
      </c>
      <c r="G21" s="168">
        <v>300.41000000000003</v>
      </c>
      <c r="H21" s="168">
        <v>0</v>
      </c>
      <c r="I21" s="168">
        <v>0</v>
      </c>
      <c r="J21" s="168"/>
      <c r="K21" s="168">
        <v>1023.62</v>
      </c>
      <c r="L21" s="168" t="s">
        <v>212</v>
      </c>
      <c r="M21" s="168">
        <v>50.5</v>
      </c>
      <c r="N21" s="168">
        <v>1476925200</v>
      </c>
      <c r="O21" s="168">
        <v>5.8</v>
      </c>
      <c r="P21" s="168">
        <v>340</v>
      </c>
      <c r="Q21" s="168">
        <v>4.08</v>
      </c>
    </row>
    <row r="22" spans="1:17" x14ac:dyDescent="0.25">
      <c r="A22" s="168">
        <v>46.75</v>
      </c>
      <c r="B22" s="168">
        <v>0.21</v>
      </c>
      <c r="C22" s="168">
        <v>20.93</v>
      </c>
      <c r="D22" s="8">
        <v>42662.833333333336</v>
      </c>
      <c r="E22" s="168">
        <v>0.34</v>
      </c>
      <c r="F22" s="168" t="s">
        <v>264</v>
      </c>
      <c r="G22" s="168">
        <v>300.55</v>
      </c>
      <c r="H22" s="168">
        <v>0</v>
      </c>
      <c r="I22" s="168">
        <v>0</v>
      </c>
      <c r="J22" s="168"/>
      <c r="K22" s="168">
        <v>1024.97</v>
      </c>
      <c r="L22" s="168" t="s">
        <v>265</v>
      </c>
      <c r="M22" s="168">
        <v>47.8</v>
      </c>
      <c r="N22" s="168">
        <v>1476928800</v>
      </c>
      <c r="O22" s="168">
        <v>6.58</v>
      </c>
      <c r="P22" s="168">
        <v>333</v>
      </c>
      <c r="Q22" s="168">
        <v>3.47</v>
      </c>
    </row>
    <row r="23" spans="1:17" x14ac:dyDescent="0.25">
      <c r="A23" s="168">
        <v>45.62</v>
      </c>
      <c r="B23" s="168">
        <v>0.2</v>
      </c>
      <c r="C23" s="168">
        <v>20.21</v>
      </c>
      <c r="D23" s="8">
        <v>42662.875</v>
      </c>
      <c r="E23" s="168">
        <v>0.36</v>
      </c>
      <c r="F23" s="168" t="s">
        <v>264</v>
      </c>
      <c r="G23" s="168">
        <v>300.44</v>
      </c>
      <c r="H23" s="168">
        <v>0</v>
      </c>
      <c r="I23" s="168">
        <v>0</v>
      </c>
      <c r="J23" s="168"/>
      <c r="K23" s="168">
        <v>1026.3699999999999</v>
      </c>
      <c r="L23" s="168" t="s">
        <v>265</v>
      </c>
      <c r="M23" s="168">
        <v>45.62</v>
      </c>
      <c r="N23" s="168">
        <v>1476932400</v>
      </c>
      <c r="O23" s="168">
        <v>7.57</v>
      </c>
      <c r="P23" s="168">
        <v>358</v>
      </c>
      <c r="Q23" s="168">
        <v>1.0900000000000001</v>
      </c>
    </row>
    <row r="24" spans="1:17" x14ac:dyDescent="0.25">
      <c r="A24" s="168">
        <v>43.32</v>
      </c>
      <c r="B24" s="168">
        <v>0.21</v>
      </c>
      <c r="C24" s="168">
        <v>25.65</v>
      </c>
      <c r="D24" s="8">
        <v>42662.916666666664</v>
      </c>
      <c r="E24" s="168">
        <v>0.49</v>
      </c>
      <c r="F24" s="168" t="s">
        <v>264</v>
      </c>
      <c r="G24" s="168">
        <v>299.86</v>
      </c>
      <c r="H24" s="168">
        <v>0</v>
      </c>
      <c r="I24" s="168">
        <v>0</v>
      </c>
      <c r="J24" s="168"/>
      <c r="K24" s="168">
        <v>1027.81</v>
      </c>
      <c r="L24" s="168" t="s">
        <v>265</v>
      </c>
      <c r="M24" s="168">
        <v>43.32</v>
      </c>
      <c r="N24" s="168">
        <v>1476936000</v>
      </c>
      <c r="O24" s="168">
        <v>6.83</v>
      </c>
      <c r="P24" s="168">
        <v>75</v>
      </c>
      <c r="Q24" s="168">
        <v>2.66</v>
      </c>
    </row>
    <row r="25" spans="1:17" x14ac:dyDescent="0.25">
      <c r="A25" s="168">
        <v>41.29</v>
      </c>
      <c r="B25" s="168">
        <v>0.18</v>
      </c>
      <c r="C25" s="168">
        <v>27.85</v>
      </c>
      <c r="D25" s="8">
        <v>42662.958333333336</v>
      </c>
      <c r="E25" s="168">
        <v>0.57999999999999996</v>
      </c>
      <c r="F25" s="168" t="s">
        <v>264</v>
      </c>
      <c r="G25" s="168">
        <v>299.02999999999997</v>
      </c>
      <c r="H25" s="168">
        <v>0</v>
      </c>
      <c r="I25" s="168">
        <v>0</v>
      </c>
      <c r="J25" s="168"/>
      <c r="K25" s="168">
        <v>1029.25</v>
      </c>
      <c r="L25" s="168" t="s">
        <v>265</v>
      </c>
      <c r="M25" s="168">
        <v>41.29</v>
      </c>
      <c r="N25" s="168">
        <v>1476939600</v>
      </c>
      <c r="O25" s="168">
        <v>6.96</v>
      </c>
      <c r="P25" s="168">
        <v>88</v>
      </c>
      <c r="Q25" s="168">
        <v>1.07</v>
      </c>
    </row>
    <row r="26" spans="1:17" x14ac:dyDescent="0.25">
      <c r="A26" s="168">
        <v>38.33</v>
      </c>
      <c r="B26" s="168">
        <v>0.17</v>
      </c>
      <c r="C26" s="168">
        <v>27.28</v>
      </c>
      <c r="D26" s="8">
        <v>42663</v>
      </c>
      <c r="E26" s="168">
        <v>0.64</v>
      </c>
      <c r="F26" s="168" t="s">
        <v>264</v>
      </c>
      <c r="G26" s="168">
        <v>298.27</v>
      </c>
      <c r="H26" s="168">
        <v>0</v>
      </c>
      <c r="I26" s="168">
        <v>0</v>
      </c>
      <c r="J26" s="168"/>
      <c r="K26" s="168">
        <v>1030.47</v>
      </c>
      <c r="L26" s="168" t="s">
        <v>265</v>
      </c>
      <c r="M26" s="168">
        <v>38.33</v>
      </c>
      <c r="N26" s="168">
        <v>1476943200</v>
      </c>
      <c r="O26" s="168">
        <v>7.54</v>
      </c>
      <c r="P26" s="168">
        <v>198</v>
      </c>
      <c r="Q26" s="168">
        <v>0.62</v>
      </c>
    </row>
    <row r="27" spans="1:17" x14ac:dyDescent="0.25">
      <c r="A27" s="168">
        <v>36.909999999999997</v>
      </c>
      <c r="B27" s="168">
        <v>0.16</v>
      </c>
      <c r="C27" s="168">
        <v>27.65</v>
      </c>
      <c r="D27" s="8">
        <v>42663.041666666664</v>
      </c>
      <c r="E27" s="168">
        <v>0.69</v>
      </c>
      <c r="F27" s="168" t="s">
        <v>264</v>
      </c>
      <c r="G27" s="168">
        <v>297.73</v>
      </c>
      <c r="H27" s="168">
        <v>0</v>
      </c>
      <c r="I27" s="168">
        <v>0</v>
      </c>
      <c r="J27" s="168"/>
      <c r="K27" s="168">
        <v>1031.26</v>
      </c>
      <c r="L27" s="168" t="s">
        <v>265</v>
      </c>
      <c r="M27" s="168">
        <v>36.909999999999997</v>
      </c>
      <c r="N27" s="168">
        <v>1476946800</v>
      </c>
      <c r="O27" s="168">
        <v>7.47</v>
      </c>
      <c r="P27" s="168">
        <v>240</v>
      </c>
      <c r="Q27" s="168">
        <v>0.72</v>
      </c>
    </row>
    <row r="28" spans="1:17" x14ac:dyDescent="0.25">
      <c r="A28" s="168">
        <v>35.75</v>
      </c>
      <c r="B28" s="168">
        <v>0.13</v>
      </c>
      <c r="C28" s="168">
        <v>27</v>
      </c>
      <c r="D28" s="8">
        <v>42663.083333333336</v>
      </c>
      <c r="E28" s="168">
        <v>0.7</v>
      </c>
      <c r="F28" s="168" t="s">
        <v>264</v>
      </c>
      <c r="G28" s="168">
        <v>297.2</v>
      </c>
      <c r="H28" s="168">
        <v>0</v>
      </c>
      <c r="I28" s="168">
        <v>0</v>
      </c>
      <c r="J28" s="168"/>
      <c r="K28" s="168">
        <v>1032.02</v>
      </c>
      <c r="L28" s="168" t="s">
        <v>265</v>
      </c>
      <c r="M28" s="168">
        <v>35.75</v>
      </c>
      <c r="N28" s="168">
        <v>1476950400</v>
      </c>
      <c r="O28" s="168">
        <v>6.61</v>
      </c>
      <c r="P28" s="168">
        <v>169</v>
      </c>
      <c r="Q28" s="168">
        <v>1.61</v>
      </c>
    </row>
    <row r="29" spans="1:17" x14ac:dyDescent="0.25">
      <c r="A29" s="168">
        <v>34.130000000000003</v>
      </c>
      <c r="B29" s="168">
        <v>7.0000000000000007E-2</v>
      </c>
      <c r="C29" s="168">
        <v>25.64</v>
      </c>
      <c r="D29" s="8">
        <v>42663.125</v>
      </c>
      <c r="E29" s="168">
        <v>0.71</v>
      </c>
      <c r="F29" s="168" t="s">
        <v>264</v>
      </c>
      <c r="G29" s="168">
        <v>296.67</v>
      </c>
      <c r="H29" s="168">
        <v>0</v>
      </c>
      <c r="I29" s="168">
        <v>0</v>
      </c>
      <c r="J29" s="168"/>
      <c r="K29" s="168">
        <v>1032.74</v>
      </c>
      <c r="L29" s="168" t="s">
        <v>265</v>
      </c>
      <c r="M29" s="168">
        <v>34.130000000000003</v>
      </c>
      <c r="N29" s="168">
        <v>1476954000</v>
      </c>
      <c r="O29" s="168">
        <v>6.04</v>
      </c>
      <c r="P29" s="168">
        <v>155</v>
      </c>
      <c r="Q29" s="168">
        <v>2.0699999999999998</v>
      </c>
    </row>
    <row r="31" spans="1:17" x14ac:dyDescent="0.25">
      <c r="A31" s="136" t="s">
        <v>266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4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8" t="s">
        <v>100</v>
      </c>
      <c r="D1" s="149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42662</v>
      </c>
      <c r="B2" s="4"/>
      <c r="C2" s="150">
        <v>50</v>
      </c>
      <c r="D2" s="151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8" t="s">
        <v>100</v>
      </c>
      <c r="D4" s="149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7" t="s">
        <v>279</v>
      </c>
      <c r="J17" s="33"/>
      <c r="K17" s="34"/>
      <c r="L17" s="34"/>
    </row>
    <row r="18" spans="3:13" x14ac:dyDescent="0.25">
      <c r="C18" t="s">
        <v>766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767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768</v>
      </c>
      <c r="J20" t="s">
        <v>87</v>
      </c>
      <c r="M20" s="68" t="s">
        <v>190</v>
      </c>
    </row>
    <row r="21" spans="3:13" x14ac:dyDescent="0.25">
      <c r="C21" t="s">
        <v>769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770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771</v>
      </c>
      <c r="J23" s="29" t="s">
        <v>95</v>
      </c>
      <c r="K23" s="21"/>
      <c r="M23" s="69">
        <v>-6</v>
      </c>
    </row>
    <row r="24" spans="3:13" x14ac:dyDescent="0.25">
      <c r="C24" t="s">
        <v>772</v>
      </c>
      <c r="J24" s="21" t="s">
        <v>109</v>
      </c>
      <c r="K24" s="21"/>
      <c r="M24" s="68" t="s">
        <v>111</v>
      </c>
    </row>
    <row r="25" spans="3:13" x14ac:dyDescent="0.25"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C:\Users\stu\Documents\GitHub\eaglep3-reporting\EC\2016-10-19-refined-times.txt</v>
      </c>
    </row>
    <row r="27" spans="3:13" x14ac:dyDescent="0.25">
      <c r="J27" t="s">
        <v>219</v>
      </c>
      <c r="M27" s="68" t="str">
        <f>"C:\Users\stu\Documents\GitHub\eaglep3-reporting\EC\"&amp;TEXT(A2,"YYYY-MM-DD")&amp;"-Enforcements.txt"</f>
        <v>C:\Users\stu\Documents\GitHub\eaglep3-reporting\EC\2016-10-19-Enforcements.txt</v>
      </c>
    </row>
    <row r="28" spans="3:13" x14ac:dyDescent="0.25">
      <c r="J28" t="s">
        <v>220</v>
      </c>
      <c r="M28" s="106" t="str">
        <f>"C:\Users\stu\Documents\GitHub\eaglep3-reporting\EC\"&amp;TEXT(A2,"YYYY-MM-DD")&amp;"-Runs-Refined.txt"</f>
        <v>C:\Users\stu\Documents\GitHub\eaglep3-reporting\EC\2016-10-19-Runs-Refined.txt</v>
      </c>
    </row>
    <row r="29" spans="3:13" x14ac:dyDescent="0.25">
      <c r="J29" t="s">
        <v>221</v>
      </c>
      <c r="M29" s="106" t="str">
        <f>"C:\Users\stu\Documents\GitHub\eaglep3-reporting\EC\"&amp;TEXT(A2,"YYYY-MM-DD")&amp;"-Trips.txt"</f>
        <v>C:\Users\stu\Documents\GitHub\eaglep3-reporting\EC\2016-10-19-Trips.txt</v>
      </c>
    </row>
    <row r="30" spans="3:13" x14ac:dyDescent="0.25">
      <c r="J30" t="s">
        <v>222</v>
      </c>
      <c r="M30" s="106" t="str">
        <f>"C:\Users\stu\Documents\GitHub\eaglep3-reporting\EC\"&amp;TEXT(A2,"YYYY-MM-DD")&amp;"-Weather.txt"</f>
        <v>C:\Users\stu\Documents\GitHub\eaglep3-reporting\EC\2016-10-19-Weather.txt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2016-10-20T16:26:25Z</dcterms:modified>
</cp:coreProperties>
</file>