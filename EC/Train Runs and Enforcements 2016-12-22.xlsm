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Runs'!$A$12:$AG$241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Runs'!$A$12:$J$74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31" i="1" l="1"/>
  <c r="S18" i="1"/>
  <c r="B88" i="9" l="1"/>
  <c r="C88" i="9" s="1"/>
  <c r="B89" i="9"/>
  <c r="B90" i="9"/>
  <c r="C90" i="9" s="1"/>
  <c r="B91" i="9"/>
  <c r="B92" i="9"/>
  <c r="C92" i="9" s="1"/>
  <c r="B93" i="9"/>
  <c r="B94" i="9"/>
  <c r="C94" i="9" s="1"/>
  <c r="B95" i="9"/>
  <c r="B96" i="9"/>
  <c r="C96" i="9" s="1"/>
  <c r="B97" i="9"/>
  <c r="B98" i="9"/>
  <c r="C98" i="9" s="1"/>
  <c r="B99" i="9"/>
  <c r="B100" i="9"/>
  <c r="C100" i="9" s="1"/>
  <c r="B101" i="9"/>
  <c r="B102" i="9"/>
  <c r="C102" i="9" s="1"/>
  <c r="B103" i="9"/>
  <c r="B104" i="9"/>
  <c r="C104" i="9" s="1"/>
  <c r="B105" i="9"/>
  <c r="B106" i="9"/>
  <c r="C106" i="9" s="1"/>
  <c r="B107" i="9"/>
  <c r="B108" i="9"/>
  <c r="C108" i="9" s="1"/>
  <c r="B109" i="9"/>
  <c r="B110" i="9"/>
  <c r="C110" i="9" s="1"/>
  <c r="B111" i="9"/>
  <c r="B112" i="9"/>
  <c r="C112" i="9" s="1"/>
  <c r="B113" i="9"/>
  <c r="B114" i="9"/>
  <c r="C114" i="9" s="1"/>
  <c r="B115" i="9"/>
  <c r="B116" i="9"/>
  <c r="C116" i="9" s="1"/>
  <c r="C115" i="9" l="1"/>
  <c r="C113" i="9"/>
  <c r="C111" i="9"/>
  <c r="C109" i="9"/>
  <c r="C107" i="9"/>
  <c r="C105" i="9"/>
  <c r="C103" i="9"/>
  <c r="C101" i="9"/>
  <c r="C99" i="9"/>
  <c r="C97" i="9"/>
  <c r="C95" i="9"/>
  <c r="C93" i="9"/>
  <c r="C91" i="9"/>
  <c r="C89" i="9"/>
  <c r="AH31" i="1"/>
  <c r="AF31" i="1"/>
  <c r="AE31" i="1"/>
  <c r="AD31" i="1"/>
  <c r="AG31" i="1" s="1"/>
  <c r="AC31" i="1"/>
  <c r="AB31" i="1"/>
  <c r="Z31" i="1"/>
  <c r="Y31" i="1"/>
  <c r="V31" i="1"/>
  <c r="M31" i="1"/>
  <c r="L31" i="1"/>
  <c r="K31" i="1"/>
  <c r="K18" i="1"/>
  <c r="L18" i="1"/>
  <c r="M18" i="1"/>
  <c r="V18" i="1"/>
  <c r="Y18" i="1"/>
  <c r="Z18" i="1"/>
  <c r="AB18" i="1"/>
  <c r="AC18" i="1"/>
  <c r="AD18" i="1"/>
  <c r="AG18" i="1" s="1"/>
  <c r="AE18" i="1"/>
  <c r="AF18" i="1"/>
  <c r="AH18" i="1"/>
  <c r="T18" i="1" l="1"/>
  <c r="AA18" i="1"/>
  <c r="W18" i="1" s="1"/>
  <c r="AA31" i="1"/>
  <c r="X31" i="1"/>
  <c r="AI31" i="1"/>
  <c r="W31" i="1"/>
  <c r="T31" i="1"/>
  <c r="U31" i="1" s="1"/>
  <c r="U18" i="1"/>
  <c r="AI18" i="1"/>
  <c r="K14" i="1"/>
  <c r="L14" i="1"/>
  <c r="M14" i="1"/>
  <c r="N14" i="1" s="1"/>
  <c r="V14" i="1"/>
  <c r="S32" i="3" s="1"/>
  <c r="Y14" i="1"/>
  <c r="Z14" i="1"/>
  <c r="AB14" i="1"/>
  <c r="AC14" i="1"/>
  <c r="AD14" i="1"/>
  <c r="AE14" i="1"/>
  <c r="R31" i="3" s="1"/>
  <c r="AF14" i="1"/>
  <c r="AH14" i="1"/>
  <c r="K15" i="1"/>
  <c r="L15" i="1"/>
  <c r="M15" i="1"/>
  <c r="P15" i="1" s="1"/>
  <c r="V15" i="1"/>
  <c r="S21" i="3" s="1"/>
  <c r="Y15" i="1"/>
  <c r="Z15" i="1"/>
  <c r="AB15" i="1"/>
  <c r="AC15" i="1"/>
  <c r="AD15" i="1"/>
  <c r="T15" i="1" s="1"/>
  <c r="AE15" i="1"/>
  <c r="R21" i="3" s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V17" i="1"/>
  <c r="Y17" i="1"/>
  <c r="Z17" i="1"/>
  <c r="AB17" i="1"/>
  <c r="AC17" i="1"/>
  <c r="AD17" i="1"/>
  <c r="AE17" i="1"/>
  <c r="AF17" i="1"/>
  <c r="AH17" i="1"/>
  <c r="K19" i="1"/>
  <c r="L19" i="1"/>
  <c r="M19" i="1"/>
  <c r="N19" i="1" s="1"/>
  <c r="V19" i="1"/>
  <c r="Y19" i="1"/>
  <c r="Z19" i="1"/>
  <c r="AB19" i="1"/>
  <c r="AC19" i="1"/>
  <c r="AD19" i="1"/>
  <c r="X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S17" i="3" s="1"/>
  <c r="Y25" i="1"/>
  <c r="Z25" i="1"/>
  <c r="AB25" i="1"/>
  <c r="AC25" i="1"/>
  <c r="AD25" i="1"/>
  <c r="T25" i="1" s="1"/>
  <c r="AE25" i="1"/>
  <c r="R17" i="3" s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V27" i="1"/>
  <c r="S20" i="3" s="1"/>
  <c r="Y27" i="1"/>
  <c r="Z27" i="1"/>
  <c r="AB27" i="1"/>
  <c r="AC27" i="1"/>
  <c r="AD27" i="1"/>
  <c r="AE27" i="1"/>
  <c r="R20" i="3" s="1"/>
  <c r="AF27" i="1"/>
  <c r="AH27" i="1"/>
  <c r="K28" i="1"/>
  <c r="L28" i="1"/>
  <c r="M28" i="1"/>
  <c r="P28" i="1" s="1"/>
  <c r="V28" i="1"/>
  <c r="Y28" i="1"/>
  <c r="Z28" i="1"/>
  <c r="AB28" i="1"/>
  <c r="AC28" i="1"/>
  <c r="AD28" i="1"/>
  <c r="T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R29" i="3" s="1"/>
  <c r="AF33" i="1"/>
  <c r="AH33" i="1"/>
  <c r="K34" i="1"/>
  <c r="L34" i="1"/>
  <c r="M34" i="1"/>
  <c r="N34" i="1" s="1"/>
  <c r="V34" i="1"/>
  <c r="Y34" i="1"/>
  <c r="Z34" i="1"/>
  <c r="AB34" i="1"/>
  <c r="AC34" i="1"/>
  <c r="AD34" i="1"/>
  <c r="X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K37" i="1"/>
  <c r="L37" i="1"/>
  <c r="M37" i="1"/>
  <c r="N37" i="1" s="1"/>
  <c r="V37" i="1"/>
  <c r="S25" i="3" s="1"/>
  <c r="Y37" i="1"/>
  <c r="AA37" i="1" s="1"/>
  <c r="AB37" i="1"/>
  <c r="AC37" i="1"/>
  <c r="AD37" i="1"/>
  <c r="T37" i="1" s="1"/>
  <c r="AE37" i="1"/>
  <c r="R25" i="3" s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S11" i="3" s="1"/>
  <c r="Y39" i="1"/>
  <c r="Z39" i="1"/>
  <c r="AB39" i="1"/>
  <c r="AC39" i="1"/>
  <c r="AD39" i="1"/>
  <c r="T39" i="1" s="1"/>
  <c r="AE39" i="1"/>
  <c r="R11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S26" i="3" s="1"/>
  <c r="Y41" i="1"/>
  <c r="Z41" i="1"/>
  <c r="AB41" i="1"/>
  <c r="AC41" i="1"/>
  <c r="AD41" i="1"/>
  <c r="T41" i="1" s="1"/>
  <c r="AE41" i="1"/>
  <c r="R26" i="3" s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P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K54" i="1"/>
  <c r="L54" i="1"/>
  <c r="M54" i="1"/>
  <c r="N54" i="1" s="1"/>
  <c r="V54" i="1"/>
  <c r="S18" i="3" s="1"/>
  <c r="Y54" i="1"/>
  <c r="Z54" i="1"/>
  <c r="AB54" i="1"/>
  <c r="AC54" i="1"/>
  <c r="AD54" i="1"/>
  <c r="AE54" i="1"/>
  <c r="AF54" i="1"/>
  <c r="AH54" i="1"/>
  <c r="K55" i="1"/>
  <c r="L55" i="1"/>
  <c r="M55" i="1"/>
  <c r="N55" i="1" s="1"/>
  <c r="V55" i="1"/>
  <c r="S12" i="3" s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K59" i="1"/>
  <c r="L59" i="1"/>
  <c r="M59" i="1"/>
  <c r="N59" i="1" s="1"/>
  <c r="V59" i="1"/>
  <c r="S14" i="3" s="1"/>
  <c r="Y59" i="1"/>
  <c r="Z59" i="1"/>
  <c r="AB59" i="1"/>
  <c r="AC59" i="1"/>
  <c r="AD59" i="1"/>
  <c r="AG59" i="1" s="1"/>
  <c r="AE59" i="1"/>
  <c r="R14" i="3" s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X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S13" i="3" s="1"/>
  <c r="Y68" i="1"/>
  <c r="Z68" i="1"/>
  <c r="AB68" i="1"/>
  <c r="AC68" i="1"/>
  <c r="AD68" i="1"/>
  <c r="X68" i="1" s="1"/>
  <c r="AE68" i="1"/>
  <c r="R22" i="3" s="1"/>
  <c r="AF68" i="1"/>
  <c r="AH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I76" i="1" s="1"/>
  <c r="AB76" i="1"/>
  <c r="AC76" i="1"/>
  <c r="AD76" i="1"/>
  <c r="AG76" i="1" s="1"/>
  <c r="AE76" i="1"/>
  <c r="AF76" i="1"/>
  <c r="AH76" i="1"/>
  <c r="K77" i="1"/>
  <c r="L77" i="1"/>
  <c r="M77" i="1"/>
  <c r="N77" i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X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I90" i="1"/>
  <c r="K91" i="1"/>
  <c r="L91" i="1"/>
  <c r="M91" i="1"/>
  <c r="N91" i="1" s="1"/>
  <c r="V91" i="1"/>
  <c r="S30" i="3" s="1"/>
  <c r="Y91" i="1"/>
  <c r="Z91" i="1"/>
  <c r="AB91" i="1"/>
  <c r="AC91" i="1"/>
  <c r="AD91" i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AA94" i="1" s="1"/>
  <c r="W94" i="1" s="1"/>
  <c r="Z94" i="1"/>
  <c r="AB94" i="1"/>
  <c r="AC94" i="1"/>
  <c r="AD94" i="1"/>
  <c r="AG94" i="1" s="1"/>
  <c r="AE94" i="1"/>
  <c r="AF94" i="1"/>
  <c r="AH94" i="1"/>
  <c r="AI94" i="1"/>
  <c r="K95" i="1"/>
  <c r="L95" i="1"/>
  <c r="M95" i="1"/>
  <c r="V95" i="1"/>
  <c r="Y95" i="1"/>
  <c r="Z95" i="1"/>
  <c r="AB95" i="1"/>
  <c r="AC95" i="1"/>
  <c r="AD95" i="1"/>
  <c r="AE95" i="1"/>
  <c r="AF95" i="1"/>
  <c r="AH95" i="1"/>
  <c r="K96" i="1"/>
  <c r="L96" i="1"/>
  <c r="M96" i="1"/>
  <c r="V96" i="1"/>
  <c r="Y96" i="1"/>
  <c r="Z96" i="1"/>
  <c r="AB96" i="1"/>
  <c r="AC96" i="1"/>
  <c r="AD96" i="1"/>
  <c r="T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K98" i="1"/>
  <c r="L98" i="1"/>
  <c r="M98" i="1"/>
  <c r="P98" i="1" s="1"/>
  <c r="V98" i="1"/>
  <c r="Y98" i="1"/>
  <c r="Z98" i="1"/>
  <c r="AB98" i="1"/>
  <c r="AC98" i="1"/>
  <c r="AD98" i="1"/>
  <c r="AG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K102" i="1"/>
  <c r="L102" i="1"/>
  <c r="M102" i="1"/>
  <c r="N102" i="1" s="1"/>
  <c r="V102" i="1"/>
  <c r="Y102" i="1"/>
  <c r="Z102" i="1"/>
  <c r="AA102" i="1" s="1"/>
  <c r="W102" i="1" s="1"/>
  <c r="AB102" i="1"/>
  <c r="AC102" i="1"/>
  <c r="AD102" i="1"/>
  <c r="AG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G103" i="1"/>
  <c r="AH103" i="1"/>
  <c r="K104" i="1"/>
  <c r="L104" i="1"/>
  <c r="M104" i="1"/>
  <c r="N104" i="1" s="1"/>
  <c r="V104" i="1"/>
  <c r="X104" i="1"/>
  <c r="Y104" i="1"/>
  <c r="Z104" i="1"/>
  <c r="AB104" i="1"/>
  <c r="AC104" i="1"/>
  <c r="AD104" i="1"/>
  <c r="T104" i="1" s="1"/>
  <c r="AE104" i="1"/>
  <c r="AF104" i="1"/>
  <c r="AG104" i="1"/>
  <c r="AH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K106" i="1"/>
  <c r="L106" i="1"/>
  <c r="M106" i="1"/>
  <c r="N106" i="1" s="1"/>
  <c r="V106" i="1"/>
  <c r="S16" i="3" s="1"/>
  <c r="Y106" i="1"/>
  <c r="Z106" i="1"/>
  <c r="AB106" i="1"/>
  <c r="AC106" i="1"/>
  <c r="AD106" i="1"/>
  <c r="T106" i="1" s="1"/>
  <c r="AE106" i="1"/>
  <c r="R16" i="3" s="1"/>
  <c r="AF106" i="1"/>
  <c r="AH106" i="1"/>
  <c r="K107" i="1"/>
  <c r="L107" i="1"/>
  <c r="M107" i="1"/>
  <c r="N107" i="1" s="1"/>
  <c r="V107" i="1"/>
  <c r="Y107" i="1"/>
  <c r="AA107" i="1" s="1"/>
  <c r="Z107" i="1"/>
  <c r="AB107" i="1"/>
  <c r="AC107" i="1"/>
  <c r="AD107" i="1"/>
  <c r="T107" i="1" s="1"/>
  <c r="AE107" i="1"/>
  <c r="R33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K111" i="1"/>
  <c r="L111" i="1"/>
  <c r="M111" i="1"/>
  <c r="N111" i="1" s="1"/>
  <c r="V111" i="1"/>
  <c r="S15" i="3" s="1"/>
  <c r="Y111" i="1"/>
  <c r="AA111" i="1" s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AH115" i="1"/>
  <c r="K116" i="1"/>
  <c r="L116" i="1"/>
  <c r="M116" i="1"/>
  <c r="P116" i="1" s="1"/>
  <c r="V116" i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X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X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AE120" i="1"/>
  <c r="R27" i="3" s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S34" i="3" s="1"/>
  <c r="Y127" i="1"/>
  <c r="Z127" i="1"/>
  <c r="AB127" i="1"/>
  <c r="AC127" i="1"/>
  <c r="AD127" i="1"/>
  <c r="X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/>
  <c r="V132" i="1"/>
  <c r="S28" i="3" s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T134" i="1"/>
  <c r="V134" i="1"/>
  <c r="Y134" i="1"/>
  <c r="Z134" i="1"/>
  <c r="AA134" i="1" s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R9" i="3" s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K145" i="1"/>
  <c r="L145" i="1"/>
  <c r="M145" i="1"/>
  <c r="P145" i="1" s="1"/>
  <c r="V145" i="1"/>
  <c r="S23" i="3" s="1"/>
  <c r="Y145" i="1"/>
  <c r="Z145" i="1"/>
  <c r="AB145" i="1"/>
  <c r="AC145" i="1"/>
  <c r="AD145" i="1"/>
  <c r="T145" i="1" s="1"/>
  <c r="AE145" i="1"/>
  <c r="R23" i="3" s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S24" i="3" s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X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I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X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K159" i="1"/>
  <c r="L159" i="1"/>
  <c r="M159" i="1"/>
  <c r="N159" i="1" s="1"/>
  <c r="V159" i="1"/>
  <c r="S8" i="3" s="1"/>
  <c r="Y159" i="1"/>
  <c r="Z159" i="1"/>
  <c r="AB159" i="1"/>
  <c r="AC159" i="1"/>
  <c r="AD159" i="1"/>
  <c r="AG159" i="1" s="1"/>
  <c r="AE159" i="1"/>
  <c r="R8" i="3" s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K210" i="1"/>
  <c r="L210" i="1"/>
  <c r="M210" i="1"/>
  <c r="N210" i="1" s="1"/>
  <c r="V210" i="1"/>
  <c r="Y210" i="1"/>
  <c r="AA210" i="1" s="1"/>
  <c r="Z210" i="1"/>
  <c r="AB210" i="1"/>
  <c r="AC210" i="1"/>
  <c r="AD210" i="1"/>
  <c r="T210" i="1" s="1"/>
  <c r="AE210" i="1"/>
  <c r="AF210" i="1"/>
  <c r="AH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K213" i="1"/>
  <c r="L213" i="1"/>
  <c r="M213" i="1"/>
  <c r="N213" i="1" s="1"/>
  <c r="T213" i="1"/>
  <c r="V213" i="1"/>
  <c r="Y213" i="1"/>
  <c r="Z213" i="1"/>
  <c r="AA213" i="1" s="1"/>
  <c r="AB213" i="1"/>
  <c r="AC213" i="1"/>
  <c r="AD213" i="1"/>
  <c r="AG213" i="1" s="1"/>
  <c r="AE213" i="1"/>
  <c r="AF213" i="1"/>
  <c r="AH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K215" i="1"/>
  <c r="L215" i="1"/>
  <c r="M215" i="1"/>
  <c r="N215" i="1" s="1"/>
  <c r="V215" i="1"/>
  <c r="Y215" i="1"/>
  <c r="Z215" i="1"/>
  <c r="AA215" i="1" s="1"/>
  <c r="AB215" i="1"/>
  <c r="AC215" i="1"/>
  <c r="AD215" i="1"/>
  <c r="T215" i="1" s="1"/>
  <c r="AE215" i="1"/>
  <c r="AF215" i="1"/>
  <c r="AH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G216" i="1"/>
  <c r="AI216" i="1" s="1"/>
  <c r="AH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3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K229" i="1"/>
  <c r="L229" i="1"/>
  <c r="M229" i="1"/>
  <c r="N229" i="1" s="1"/>
  <c r="V229" i="1"/>
  <c r="S48" i="3" s="1"/>
  <c r="Y229" i="1"/>
  <c r="Z229" i="1"/>
  <c r="AB229" i="1"/>
  <c r="AC229" i="1"/>
  <c r="AD229" i="1"/>
  <c r="T229" i="1" s="1"/>
  <c r="AE229" i="1"/>
  <c r="AF229" i="1"/>
  <c r="AH177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9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80" i="1"/>
  <c r="K233" i="1"/>
  <c r="L233" i="1"/>
  <c r="M233" i="1"/>
  <c r="N233" i="1" s="1"/>
  <c r="V233" i="1"/>
  <c r="S45" i="3" s="1"/>
  <c r="Y233" i="1"/>
  <c r="Z233" i="1"/>
  <c r="AB233" i="1"/>
  <c r="AC233" i="1"/>
  <c r="AD233" i="1"/>
  <c r="T233" i="1" s="1"/>
  <c r="AE233" i="1"/>
  <c r="R45" i="3" s="1"/>
  <c r="AF233" i="1"/>
  <c r="AH181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2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3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4" i="1"/>
  <c r="K237" i="1"/>
  <c r="L237" i="1"/>
  <c r="M237" i="1"/>
  <c r="N237" i="1" s="1"/>
  <c r="V237" i="1"/>
  <c r="Y237" i="1"/>
  <c r="Z237" i="1"/>
  <c r="AB237" i="1"/>
  <c r="AC237" i="1"/>
  <c r="AD237" i="1"/>
  <c r="T237" i="1" s="1"/>
  <c r="AE237" i="1"/>
  <c r="AF237" i="1"/>
  <c r="AH185" i="1"/>
  <c r="K238" i="1"/>
  <c r="L238" i="1"/>
  <c r="M238" i="1"/>
  <c r="N238" i="1" s="1"/>
  <c r="V238" i="1"/>
  <c r="S49" i="3" s="1"/>
  <c r="Y238" i="1"/>
  <c r="Z238" i="1"/>
  <c r="AB238" i="1"/>
  <c r="AC238" i="1"/>
  <c r="AD238" i="1"/>
  <c r="AG238" i="1" s="1"/>
  <c r="AE238" i="1"/>
  <c r="AF238" i="1"/>
  <c r="AH186" i="1"/>
  <c r="K239" i="1"/>
  <c r="L239" i="1"/>
  <c r="M239" i="1"/>
  <c r="N239" i="1" s="1"/>
  <c r="T239" i="1"/>
  <c r="V239" i="1"/>
  <c r="Y239" i="1"/>
  <c r="Z239" i="1"/>
  <c r="AB239" i="1"/>
  <c r="AC239" i="1"/>
  <c r="AD239" i="1"/>
  <c r="AG239" i="1" s="1"/>
  <c r="AE239" i="1"/>
  <c r="AF239" i="1"/>
  <c r="AH187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8" i="1"/>
  <c r="K241" i="1"/>
  <c r="L241" i="1"/>
  <c r="M241" i="1"/>
  <c r="N241" i="1" s="1"/>
  <c r="V241" i="1"/>
  <c r="Y241" i="1"/>
  <c r="Z241" i="1"/>
  <c r="AB241" i="1"/>
  <c r="AC241" i="1"/>
  <c r="AD241" i="1"/>
  <c r="T241" i="1" s="1"/>
  <c r="AE241" i="1"/>
  <c r="AF241" i="1"/>
  <c r="AH189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90" i="1"/>
  <c r="K162" i="1"/>
  <c r="L162" i="1"/>
  <c r="M162" i="1"/>
  <c r="N162" i="1" s="1"/>
  <c r="V162" i="1"/>
  <c r="Y162" i="1"/>
  <c r="Z162" i="1"/>
  <c r="AA162" i="1" s="1"/>
  <c r="W162" i="1" s="1"/>
  <c r="AB162" i="1"/>
  <c r="AC162" i="1"/>
  <c r="AD162" i="1"/>
  <c r="AG162" i="1" s="1"/>
  <c r="AE162" i="1"/>
  <c r="AF162" i="1"/>
  <c r="AH191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92" i="1"/>
  <c r="K164" i="1"/>
  <c r="L164" i="1"/>
  <c r="M164" i="1"/>
  <c r="P164" i="1" s="1"/>
  <c r="V164" i="1"/>
  <c r="Y164" i="1"/>
  <c r="Z164" i="1"/>
  <c r="AB164" i="1"/>
  <c r="AC164" i="1"/>
  <c r="AD164" i="1"/>
  <c r="T164" i="1" s="1"/>
  <c r="AE164" i="1"/>
  <c r="AF164" i="1"/>
  <c r="AH19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94" i="1"/>
  <c r="K166" i="1"/>
  <c r="L166" i="1"/>
  <c r="M166" i="1"/>
  <c r="N166" i="1" s="1"/>
  <c r="V166" i="1"/>
  <c r="S41" i="3" s="1"/>
  <c r="Y166" i="1"/>
  <c r="Z166" i="1"/>
  <c r="AB166" i="1"/>
  <c r="AC166" i="1"/>
  <c r="AD166" i="1"/>
  <c r="AG166" i="1" s="1"/>
  <c r="AE166" i="1"/>
  <c r="R41" i="3" s="1"/>
  <c r="AF166" i="1"/>
  <c r="AH195" i="1"/>
  <c r="K167" i="1"/>
  <c r="L167" i="1"/>
  <c r="M167" i="1"/>
  <c r="N167" i="1"/>
  <c r="V167" i="1"/>
  <c r="Y167" i="1"/>
  <c r="Z167" i="1"/>
  <c r="AB167" i="1"/>
  <c r="AC167" i="1"/>
  <c r="AD167" i="1"/>
  <c r="T167" i="1" s="1"/>
  <c r="AE167" i="1"/>
  <c r="AF167" i="1"/>
  <c r="AH196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9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98" i="1"/>
  <c r="K170" i="1"/>
  <c r="L170" i="1"/>
  <c r="M170" i="1"/>
  <c r="N170" i="1" s="1"/>
  <c r="V170" i="1"/>
  <c r="S42" i="3" s="1"/>
  <c r="Y170" i="1"/>
  <c r="Z170" i="1"/>
  <c r="AB170" i="1"/>
  <c r="AC170" i="1"/>
  <c r="AD170" i="1"/>
  <c r="T170" i="1" s="1"/>
  <c r="AE170" i="1"/>
  <c r="R42" i="3" s="1"/>
  <c r="AF170" i="1"/>
  <c r="AH199" i="1"/>
  <c r="K171" i="1"/>
  <c r="L171" i="1"/>
  <c r="M171" i="1"/>
  <c r="N171" i="1" s="1"/>
  <c r="V171" i="1"/>
  <c r="S38" i="3" s="1"/>
  <c r="Y171" i="1"/>
  <c r="Z171" i="1"/>
  <c r="AB171" i="1"/>
  <c r="AC171" i="1"/>
  <c r="AD171" i="1"/>
  <c r="T171" i="1" s="1"/>
  <c r="AE171" i="1"/>
  <c r="R38" i="3" s="1"/>
  <c r="AF171" i="1"/>
  <c r="AH200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204" i="1"/>
  <c r="K176" i="1"/>
  <c r="L176" i="1"/>
  <c r="M176" i="1"/>
  <c r="N176" i="1" s="1"/>
  <c r="V176" i="1"/>
  <c r="S35" i="3" s="1"/>
  <c r="Y176" i="1"/>
  <c r="Z176" i="1"/>
  <c r="AB176" i="1"/>
  <c r="AC176" i="1"/>
  <c r="AD176" i="1"/>
  <c r="T176" i="1" s="1"/>
  <c r="AE176" i="1"/>
  <c r="AF176" i="1"/>
  <c r="AH20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7" i="1"/>
  <c r="K179" i="1"/>
  <c r="L179" i="1"/>
  <c r="M179" i="1"/>
  <c r="N179" i="1" s="1"/>
  <c r="V179" i="1"/>
  <c r="S36" i="3" s="1"/>
  <c r="Y179" i="1"/>
  <c r="Z179" i="1"/>
  <c r="AB179" i="1"/>
  <c r="AC179" i="1"/>
  <c r="AD179" i="1"/>
  <c r="AE179" i="1"/>
  <c r="AF179" i="1"/>
  <c r="AH20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0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11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212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1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4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5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AG187" i="1" s="1"/>
  <c r="AE187" i="1"/>
  <c r="AF187" i="1"/>
  <c r="AH216" i="1"/>
  <c r="K188" i="1"/>
  <c r="L188" i="1"/>
  <c r="M188" i="1"/>
  <c r="N188" i="1" s="1"/>
  <c r="V188" i="1"/>
  <c r="S37" i="3" s="1"/>
  <c r="Y188" i="1"/>
  <c r="Z188" i="1"/>
  <c r="AB188" i="1"/>
  <c r="AC188" i="1"/>
  <c r="AD188" i="1"/>
  <c r="AG188" i="1" s="1"/>
  <c r="AE188" i="1"/>
  <c r="R37" i="3" s="1"/>
  <c r="AF188" i="1"/>
  <c r="AH217" i="1"/>
  <c r="K189" i="1"/>
  <c r="L189" i="1"/>
  <c r="M189" i="1"/>
  <c r="N189" i="1" s="1"/>
  <c r="V189" i="1"/>
  <c r="S39" i="3" s="1"/>
  <c r="Y189" i="1"/>
  <c r="Z189" i="1"/>
  <c r="AA189" i="1" s="1"/>
  <c r="AB189" i="1"/>
  <c r="AC189" i="1"/>
  <c r="AD189" i="1"/>
  <c r="T189" i="1" s="1"/>
  <c r="AE189" i="1"/>
  <c r="R39" i="3" s="1"/>
  <c r="AF189" i="1"/>
  <c r="AH218" i="1"/>
  <c r="K190" i="1"/>
  <c r="L190" i="1"/>
  <c r="M190" i="1"/>
  <c r="N190" i="1" s="1"/>
  <c r="V190" i="1"/>
  <c r="Y190" i="1"/>
  <c r="Z190" i="1"/>
  <c r="AA190" i="1" s="1"/>
  <c r="AB190" i="1"/>
  <c r="AC190" i="1"/>
  <c r="AD190" i="1"/>
  <c r="T190" i="1" s="1"/>
  <c r="AE190" i="1"/>
  <c r="AF190" i="1"/>
  <c r="AH219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0" i="1"/>
  <c r="K192" i="1"/>
  <c r="L192" i="1"/>
  <c r="M192" i="1"/>
  <c r="N192" i="1"/>
  <c r="V192" i="1"/>
  <c r="Y192" i="1"/>
  <c r="AA192" i="1" s="1"/>
  <c r="Z192" i="1"/>
  <c r="AB192" i="1"/>
  <c r="AC192" i="1"/>
  <c r="AD192" i="1"/>
  <c r="AG192" i="1" s="1"/>
  <c r="AE192" i="1"/>
  <c r="AF192" i="1"/>
  <c r="AH221" i="1"/>
  <c r="K193" i="1"/>
  <c r="L193" i="1"/>
  <c r="M193" i="1"/>
  <c r="N193" i="1" s="1"/>
  <c r="V193" i="1"/>
  <c r="S40" i="3" s="1"/>
  <c r="Y193" i="1"/>
  <c r="Z193" i="1"/>
  <c r="AB193" i="1"/>
  <c r="AC193" i="1"/>
  <c r="AD193" i="1"/>
  <c r="T193" i="1" s="1"/>
  <c r="AE193" i="1"/>
  <c r="AF193" i="1"/>
  <c r="AH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K199" i="1"/>
  <c r="L199" i="1"/>
  <c r="M199" i="1"/>
  <c r="N199" i="1" s="1"/>
  <c r="T199" i="1"/>
  <c r="V199" i="1"/>
  <c r="Y199" i="1"/>
  <c r="Z199" i="1"/>
  <c r="AB199" i="1"/>
  <c r="AC199" i="1"/>
  <c r="AD199" i="1"/>
  <c r="AE199" i="1"/>
  <c r="AF199" i="1"/>
  <c r="AH228" i="1"/>
  <c r="K200" i="1"/>
  <c r="L200" i="1"/>
  <c r="M200" i="1"/>
  <c r="N200" i="1" s="1"/>
  <c r="V200" i="1"/>
  <c r="Y200" i="1"/>
  <c r="Z200" i="1"/>
  <c r="AA200" i="1" s="1"/>
  <c r="AB200" i="1"/>
  <c r="AC200" i="1"/>
  <c r="AD200" i="1"/>
  <c r="AG200" i="1" s="1"/>
  <c r="AE200" i="1"/>
  <c r="AF200" i="1"/>
  <c r="AH229" i="1"/>
  <c r="K201" i="1"/>
  <c r="L201" i="1"/>
  <c r="M201" i="1"/>
  <c r="N201" i="1"/>
  <c r="V201" i="1"/>
  <c r="Y201" i="1"/>
  <c r="Z201" i="1"/>
  <c r="AB201" i="1"/>
  <c r="AC201" i="1"/>
  <c r="AD201" i="1"/>
  <c r="T201" i="1" s="1"/>
  <c r="AE201" i="1"/>
  <c r="AF201" i="1"/>
  <c r="AH230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2" i="1"/>
  <c r="K204" i="1"/>
  <c r="L204" i="1"/>
  <c r="M204" i="1"/>
  <c r="N204" i="1" s="1"/>
  <c r="V204" i="1"/>
  <c r="Y204" i="1"/>
  <c r="Z204" i="1"/>
  <c r="AA204" i="1" s="1"/>
  <c r="W204" i="1" s="1"/>
  <c r="AB204" i="1"/>
  <c r="AC204" i="1"/>
  <c r="AD204" i="1"/>
  <c r="AG204" i="1" s="1"/>
  <c r="AE204" i="1"/>
  <c r="AF204" i="1"/>
  <c r="AH23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4" i="1"/>
  <c r="K206" i="1"/>
  <c r="L206" i="1"/>
  <c r="M206" i="1"/>
  <c r="N206" i="1" s="1"/>
  <c r="V206" i="1"/>
  <c r="Y206" i="1"/>
  <c r="Z206" i="1"/>
  <c r="AA206" i="1" s="1"/>
  <c r="AB206" i="1"/>
  <c r="AC206" i="1"/>
  <c r="AD206" i="1"/>
  <c r="T206" i="1" s="1"/>
  <c r="AE206" i="1"/>
  <c r="AF206" i="1"/>
  <c r="AH235" i="1"/>
  <c r="K207" i="1"/>
  <c r="L207" i="1"/>
  <c r="M207" i="1"/>
  <c r="N207" i="1" s="1"/>
  <c r="V207" i="1"/>
  <c r="S43" i="3" s="1"/>
  <c r="Y207" i="1"/>
  <c r="Z207" i="1"/>
  <c r="AB207" i="1"/>
  <c r="AC207" i="1"/>
  <c r="AD207" i="1"/>
  <c r="AG207" i="1" s="1"/>
  <c r="AE207" i="1"/>
  <c r="R43" i="3" s="1"/>
  <c r="AF207" i="1"/>
  <c r="AH23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37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38" i="1"/>
  <c r="K221" i="1"/>
  <c r="L221" i="1"/>
  <c r="M221" i="1"/>
  <c r="N221" i="1" s="1"/>
  <c r="V221" i="1"/>
  <c r="S47" i="3" s="1"/>
  <c r="Y221" i="1"/>
  <c r="Z221" i="1"/>
  <c r="AA221" i="1" s="1"/>
  <c r="AB221" i="1"/>
  <c r="AC221" i="1"/>
  <c r="AD221" i="1"/>
  <c r="T221" i="1" s="1"/>
  <c r="AE221" i="1"/>
  <c r="R47" i="3" s="1"/>
  <c r="AF221" i="1"/>
  <c r="AH23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0" i="1"/>
  <c r="K223" i="1"/>
  <c r="L223" i="1"/>
  <c r="M223" i="1"/>
  <c r="N223" i="1" s="1"/>
  <c r="V223" i="1"/>
  <c r="S46" i="3" s="1"/>
  <c r="Y223" i="1"/>
  <c r="Z223" i="1"/>
  <c r="AB223" i="1"/>
  <c r="AC223" i="1"/>
  <c r="AD223" i="1"/>
  <c r="AG223" i="1" s="1"/>
  <c r="AE223" i="1"/>
  <c r="R46" i="3" s="1"/>
  <c r="AF223" i="1"/>
  <c r="AH241" i="1"/>
  <c r="M21" i="3"/>
  <c r="U21" i="3"/>
  <c r="T21" i="3" s="1"/>
  <c r="V21" i="3"/>
  <c r="W21" i="3"/>
  <c r="Y21" i="3" s="1"/>
  <c r="X21" i="3"/>
  <c r="AC21" i="3"/>
  <c r="M31" i="3"/>
  <c r="S31" i="3"/>
  <c r="U31" i="3"/>
  <c r="T31" i="3" s="1"/>
  <c r="V31" i="3"/>
  <c r="W31" i="3"/>
  <c r="X31" i="3"/>
  <c r="AC31" i="3"/>
  <c r="M32" i="3"/>
  <c r="U32" i="3"/>
  <c r="T32" i="3" s="1"/>
  <c r="V32" i="3"/>
  <c r="W32" i="3"/>
  <c r="X32" i="3"/>
  <c r="M20" i="3"/>
  <c r="U20" i="3"/>
  <c r="T20" i="3" s="1"/>
  <c r="V20" i="3"/>
  <c r="W20" i="3"/>
  <c r="X20" i="3"/>
  <c r="AC20" i="3"/>
  <c r="M17" i="3"/>
  <c r="U17" i="3"/>
  <c r="T17" i="3" s="1"/>
  <c r="V17" i="3"/>
  <c r="W17" i="3"/>
  <c r="X17" i="3"/>
  <c r="AC17" i="3"/>
  <c r="M19" i="3"/>
  <c r="S19" i="3"/>
  <c r="U19" i="3"/>
  <c r="T19" i="3" s="1"/>
  <c r="V19" i="3"/>
  <c r="W19" i="3"/>
  <c r="X19" i="3"/>
  <c r="AC19" i="3"/>
  <c r="M48" i="3"/>
  <c r="R48" i="3"/>
  <c r="U48" i="3"/>
  <c r="T48" i="3" s="1"/>
  <c r="V48" i="3"/>
  <c r="W48" i="3"/>
  <c r="X48" i="3"/>
  <c r="AC48" i="3"/>
  <c r="M41" i="3"/>
  <c r="U41" i="3"/>
  <c r="T41" i="3" s="1"/>
  <c r="V41" i="3"/>
  <c r="W41" i="3"/>
  <c r="X41" i="3"/>
  <c r="AC41" i="3"/>
  <c r="M29" i="3"/>
  <c r="S29" i="3"/>
  <c r="U29" i="3"/>
  <c r="T29" i="3" s="1"/>
  <c r="V29" i="3"/>
  <c r="W29" i="3"/>
  <c r="X29" i="3"/>
  <c r="AC29" i="3"/>
  <c r="M25" i="3"/>
  <c r="U25" i="3"/>
  <c r="T25" i="3" s="1"/>
  <c r="V25" i="3"/>
  <c r="W25" i="3"/>
  <c r="X25" i="3"/>
  <c r="M11" i="3"/>
  <c r="U11" i="3"/>
  <c r="T11" i="3" s="1"/>
  <c r="V11" i="3"/>
  <c r="W11" i="3"/>
  <c r="X11" i="3"/>
  <c r="AC11" i="3"/>
  <c r="M26" i="3"/>
  <c r="U26" i="3"/>
  <c r="T26" i="3" s="1"/>
  <c r="V26" i="3"/>
  <c r="W26" i="3"/>
  <c r="X26" i="3"/>
  <c r="AC26" i="3"/>
  <c r="M42" i="3"/>
  <c r="U42" i="3"/>
  <c r="T42" i="3" s="1"/>
  <c r="V42" i="3"/>
  <c r="W42" i="3"/>
  <c r="X42" i="3"/>
  <c r="AC42" i="3"/>
  <c r="M38" i="3"/>
  <c r="U38" i="3"/>
  <c r="T38" i="3" s="1"/>
  <c r="V38" i="3"/>
  <c r="W38" i="3"/>
  <c r="X38" i="3"/>
  <c r="M18" i="3"/>
  <c r="R18" i="3"/>
  <c r="U18" i="3"/>
  <c r="T18" i="3" s="1"/>
  <c r="V18" i="3"/>
  <c r="W18" i="3"/>
  <c r="X18" i="3"/>
  <c r="AC18" i="3"/>
  <c r="M12" i="3"/>
  <c r="R12" i="3"/>
  <c r="U12" i="3"/>
  <c r="T12" i="3" s="1"/>
  <c r="V12" i="3"/>
  <c r="W12" i="3"/>
  <c r="X12" i="3"/>
  <c r="AC12" i="3"/>
  <c r="M14" i="3"/>
  <c r="U14" i="3"/>
  <c r="T14" i="3" s="1"/>
  <c r="V14" i="3"/>
  <c r="W14" i="3"/>
  <c r="X14" i="3"/>
  <c r="AC14" i="3"/>
  <c r="M35" i="3"/>
  <c r="R35" i="3"/>
  <c r="U35" i="3"/>
  <c r="T35" i="3" s="1"/>
  <c r="V35" i="3"/>
  <c r="W35" i="3"/>
  <c r="X35" i="3"/>
  <c r="AC35" i="3"/>
  <c r="M13" i="3"/>
  <c r="R13" i="3"/>
  <c r="U13" i="3"/>
  <c r="T13" i="3" s="1"/>
  <c r="V13" i="3"/>
  <c r="W13" i="3"/>
  <c r="X13" i="3"/>
  <c r="AC13" i="3"/>
  <c r="M22" i="3"/>
  <c r="U22" i="3"/>
  <c r="T22" i="3" s="1"/>
  <c r="V22" i="3"/>
  <c r="W22" i="3"/>
  <c r="X22" i="3"/>
  <c r="AC22" i="3"/>
  <c r="M36" i="3"/>
  <c r="R36" i="3"/>
  <c r="U36" i="3"/>
  <c r="T36" i="3" s="1"/>
  <c r="V36" i="3"/>
  <c r="W36" i="3"/>
  <c r="X36" i="3"/>
  <c r="AC36" i="3"/>
  <c r="M30" i="3"/>
  <c r="R30" i="3"/>
  <c r="U30" i="3"/>
  <c r="T30" i="3" s="1"/>
  <c r="V30" i="3"/>
  <c r="W30" i="3"/>
  <c r="X30" i="3"/>
  <c r="AC30" i="3"/>
  <c r="M7" i="3"/>
  <c r="R7" i="3"/>
  <c r="S7" i="3"/>
  <c r="U7" i="3"/>
  <c r="T7" i="3" s="1"/>
  <c r="V7" i="3"/>
  <c r="W7" i="3"/>
  <c r="X7" i="3"/>
  <c r="AC7" i="3"/>
  <c r="M10" i="3"/>
  <c r="R10" i="3"/>
  <c r="S10" i="3"/>
  <c r="U10" i="3"/>
  <c r="T10" i="3" s="1"/>
  <c r="V10" i="3"/>
  <c r="W10" i="3"/>
  <c r="X10" i="3"/>
  <c r="AC10" i="3"/>
  <c r="M47" i="3"/>
  <c r="U47" i="3"/>
  <c r="T47" i="3" s="1"/>
  <c r="V47" i="3"/>
  <c r="W47" i="3"/>
  <c r="X47" i="3"/>
  <c r="AC47" i="3"/>
  <c r="M33" i="3"/>
  <c r="S33" i="3"/>
  <c r="U33" i="3"/>
  <c r="T33" i="3" s="1"/>
  <c r="V33" i="3"/>
  <c r="W33" i="3"/>
  <c r="X33" i="3"/>
  <c r="AC33" i="3"/>
  <c r="M16" i="3"/>
  <c r="U16" i="3"/>
  <c r="T16" i="3" s="1"/>
  <c r="V16" i="3"/>
  <c r="W16" i="3"/>
  <c r="X16" i="3"/>
  <c r="AC16" i="3"/>
  <c r="M37" i="3"/>
  <c r="U37" i="3"/>
  <c r="T37" i="3" s="1"/>
  <c r="V37" i="3"/>
  <c r="W37" i="3"/>
  <c r="X37" i="3"/>
  <c r="AC37" i="3"/>
  <c r="M15" i="3"/>
  <c r="R15" i="3"/>
  <c r="U15" i="3"/>
  <c r="T15" i="3" s="1"/>
  <c r="V15" i="3"/>
  <c r="W15" i="3"/>
  <c r="X15" i="3"/>
  <c r="AC15" i="3"/>
  <c r="M39" i="3"/>
  <c r="U39" i="3"/>
  <c r="T39" i="3" s="1"/>
  <c r="V39" i="3"/>
  <c r="W39" i="3"/>
  <c r="X39" i="3"/>
  <c r="AC39" i="3"/>
  <c r="M45" i="3"/>
  <c r="U45" i="3"/>
  <c r="T45" i="3" s="1"/>
  <c r="V45" i="3"/>
  <c r="W45" i="3"/>
  <c r="X45" i="3"/>
  <c r="AC45" i="3"/>
  <c r="M40" i="3"/>
  <c r="R40" i="3"/>
  <c r="U40" i="3"/>
  <c r="T40" i="3" s="1"/>
  <c r="V40" i="3"/>
  <c r="W40" i="3"/>
  <c r="X40" i="3"/>
  <c r="AC40" i="3"/>
  <c r="M27" i="3"/>
  <c r="S27" i="3"/>
  <c r="U27" i="3"/>
  <c r="T27" i="3" s="1"/>
  <c r="V27" i="3"/>
  <c r="W27" i="3"/>
  <c r="X27" i="3"/>
  <c r="AC27" i="3"/>
  <c r="M34" i="3"/>
  <c r="R34" i="3"/>
  <c r="U34" i="3"/>
  <c r="T34" i="3" s="1"/>
  <c r="V34" i="3"/>
  <c r="W34" i="3"/>
  <c r="X34" i="3"/>
  <c r="AC34" i="3"/>
  <c r="M49" i="3"/>
  <c r="R49" i="3"/>
  <c r="U49" i="3"/>
  <c r="T49" i="3" s="1"/>
  <c r="V49" i="3"/>
  <c r="W49" i="3"/>
  <c r="X49" i="3"/>
  <c r="AC49" i="3"/>
  <c r="M28" i="3"/>
  <c r="R28" i="3"/>
  <c r="U28" i="3"/>
  <c r="T28" i="3" s="1"/>
  <c r="V28" i="3"/>
  <c r="W28" i="3"/>
  <c r="X28" i="3"/>
  <c r="AC28" i="3"/>
  <c r="M9" i="3"/>
  <c r="S9" i="3"/>
  <c r="U9" i="3"/>
  <c r="T9" i="3" s="1"/>
  <c r="V9" i="3"/>
  <c r="W9" i="3"/>
  <c r="X9" i="3"/>
  <c r="AC9" i="3"/>
  <c r="M23" i="3"/>
  <c r="U23" i="3"/>
  <c r="T23" i="3" s="1"/>
  <c r="V23" i="3"/>
  <c r="W23" i="3"/>
  <c r="X23" i="3"/>
  <c r="AC23" i="3"/>
  <c r="M24" i="3"/>
  <c r="R24" i="3"/>
  <c r="U24" i="3"/>
  <c r="T24" i="3" s="1"/>
  <c r="V24" i="3"/>
  <c r="W24" i="3"/>
  <c r="X24" i="3"/>
  <c r="AC24" i="3"/>
  <c r="M43" i="3"/>
  <c r="U43" i="3"/>
  <c r="T43" i="3" s="1"/>
  <c r="V43" i="3"/>
  <c r="W43" i="3"/>
  <c r="X43" i="3"/>
  <c r="AC43" i="3"/>
  <c r="M46" i="3"/>
  <c r="U46" i="3"/>
  <c r="T46" i="3" s="1"/>
  <c r="V46" i="3"/>
  <c r="W46" i="3"/>
  <c r="X46" i="3"/>
  <c r="M8" i="3"/>
  <c r="U8" i="3"/>
  <c r="T8" i="3" s="1"/>
  <c r="V8" i="3"/>
  <c r="W8" i="3"/>
  <c r="X8" i="3"/>
  <c r="AC8" i="3"/>
  <c r="Y18" i="3" l="1"/>
  <c r="Y11" i="3"/>
  <c r="Y48" i="3"/>
  <c r="Y49" i="3"/>
  <c r="Y45" i="3"/>
  <c r="Y7" i="3"/>
  <c r="Y13" i="3"/>
  <c r="AC32" i="3"/>
  <c r="Y24" i="3"/>
  <c r="Y16" i="3"/>
  <c r="AC25" i="3"/>
  <c r="Y32" i="3"/>
  <c r="AG231" i="1"/>
  <c r="AG138" i="1"/>
  <c r="W138" i="1" s="1"/>
  <c r="AI115" i="1"/>
  <c r="T93" i="1"/>
  <c r="AA153" i="1"/>
  <c r="AA152" i="1"/>
  <c r="W152" i="1" s="1"/>
  <c r="AA147" i="1"/>
  <c r="AA144" i="1"/>
  <c r="AI86" i="1"/>
  <c r="AG35" i="1"/>
  <c r="AI35" i="1" s="1"/>
  <c r="X35" i="1"/>
  <c r="T33" i="1"/>
  <c r="X33" i="1"/>
  <c r="AG182" i="1"/>
  <c r="AI182" i="1" s="1"/>
  <c r="AA171" i="1"/>
  <c r="AA170" i="1"/>
  <c r="X238" i="1"/>
  <c r="AI217" i="1"/>
  <c r="AG142" i="1"/>
  <c r="U142" i="1" s="1"/>
  <c r="S142" i="1" s="1"/>
  <c r="AA121" i="1"/>
  <c r="AA120" i="1"/>
  <c r="AG113" i="1"/>
  <c r="U113" i="1" s="1"/>
  <c r="S113" i="1" s="1"/>
  <c r="AG97" i="1"/>
  <c r="AI97" i="1" s="1"/>
  <c r="AI78" i="1"/>
  <c r="T230" i="1"/>
  <c r="W111" i="1"/>
  <c r="X111" i="1"/>
  <c r="P95" i="1"/>
  <c r="T89" i="1"/>
  <c r="T203" i="1"/>
  <c r="U203" i="1" s="1"/>
  <c r="S203" i="1" s="1"/>
  <c r="AI213" i="1"/>
  <c r="AG172" i="1"/>
  <c r="AA238" i="1"/>
  <c r="T238" i="1"/>
  <c r="AA231" i="1"/>
  <c r="W231" i="1" s="1"/>
  <c r="AA230" i="1"/>
  <c r="AA160" i="1"/>
  <c r="AG146" i="1"/>
  <c r="AI146" i="1" s="1"/>
  <c r="X146" i="1"/>
  <c r="AG129" i="1"/>
  <c r="AG111" i="1"/>
  <c r="AI111" i="1" s="1"/>
  <c r="T102" i="1"/>
  <c r="U102" i="1" s="1"/>
  <c r="S102" i="1" s="1"/>
  <c r="AA101" i="1"/>
  <c r="AG85" i="1"/>
  <c r="AA63" i="1"/>
  <c r="AI61" i="1"/>
  <c r="AA59" i="1"/>
  <c r="W59" i="1" s="1"/>
  <c r="AA26" i="1"/>
  <c r="AA68" i="1"/>
  <c r="AA67" i="1"/>
  <c r="AA64" i="1"/>
  <c r="T59" i="1"/>
  <c r="AA22" i="1"/>
  <c r="T17" i="1"/>
  <c r="X18" i="1"/>
  <c r="AI57" i="1"/>
  <c r="AA54" i="1"/>
  <c r="AA53" i="1"/>
  <c r="AI52" i="1"/>
  <c r="AI48" i="1"/>
  <c r="T63" i="1"/>
  <c r="X63" i="1"/>
  <c r="T62" i="1"/>
  <c r="X62" i="1"/>
  <c r="AG56" i="1"/>
  <c r="AI56" i="1" s="1"/>
  <c r="X56" i="1"/>
  <c r="AG37" i="1"/>
  <c r="AI37" i="1" s="1"/>
  <c r="AG22" i="1"/>
  <c r="AI22" i="1" s="1"/>
  <c r="AA60" i="1"/>
  <c r="AG15" i="1"/>
  <c r="U15" i="1" s="1"/>
  <c r="S15" i="1" s="1"/>
  <c r="S22" i="3"/>
  <c r="R19" i="3"/>
  <c r="R32" i="3"/>
  <c r="AG75" i="1"/>
  <c r="AI75" i="1" s="1"/>
  <c r="T67" i="1"/>
  <c r="X67" i="1"/>
  <c r="T66" i="1"/>
  <c r="X66" i="1"/>
  <c r="AG64" i="1"/>
  <c r="W64" i="1" s="1"/>
  <c r="X64" i="1"/>
  <c r="AA36" i="1"/>
  <c r="AA35" i="1"/>
  <c r="W35" i="1" s="1"/>
  <c r="AG24" i="1"/>
  <c r="U24" i="1" s="1"/>
  <c r="S24" i="1" s="1"/>
  <c r="AI98" i="1"/>
  <c r="AG195" i="1"/>
  <c r="AA241" i="1"/>
  <c r="AG222" i="1"/>
  <c r="AG174" i="1"/>
  <c r="U174" i="1" s="1"/>
  <c r="S174" i="1" s="1"/>
  <c r="AG164" i="1"/>
  <c r="AA201" i="1"/>
  <c r="AA193" i="1"/>
  <c r="AG184" i="1"/>
  <c r="U184" i="1" s="1"/>
  <c r="S184" i="1" s="1"/>
  <c r="AA180" i="1"/>
  <c r="AA168" i="1"/>
  <c r="AA166" i="1"/>
  <c r="W166" i="1" s="1"/>
  <c r="T218" i="1"/>
  <c r="AA146" i="1"/>
  <c r="AG131" i="1"/>
  <c r="AI131" i="1" s="1"/>
  <c r="X131" i="1"/>
  <c r="AG121" i="1"/>
  <c r="U121" i="1" s="1"/>
  <c r="S121" i="1" s="1"/>
  <c r="T118" i="1"/>
  <c r="AG106" i="1"/>
  <c r="W106" i="1" s="1"/>
  <c r="X106" i="1"/>
  <c r="AG100" i="1"/>
  <c r="AA93" i="1"/>
  <c r="AG89" i="1"/>
  <c r="U89" i="1" s="1"/>
  <c r="S89" i="1" s="1"/>
  <c r="T81" i="1"/>
  <c r="AA77" i="1"/>
  <c r="AA75" i="1"/>
  <c r="T71" i="1"/>
  <c r="U71" i="1" s="1"/>
  <c r="S71" i="1" s="1"/>
  <c r="AG63" i="1"/>
  <c r="AI63" i="1" s="1"/>
  <c r="X48" i="1"/>
  <c r="AA44" i="1"/>
  <c r="X26" i="1"/>
  <c r="AA24" i="1"/>
  <c r="W24" i="1" s="1"/>
  <c r="AI156" i="1"/>
  <c r="X142" i="1"/>
  <c r="AA139" i="1"/>
  <c r="X138" i="1"/>
  <c r="AA125" i="1"/>
  <c r="AA123" i="1"/>
  <c r="W123" i="1" s="1"/>
  <c r="AA122" i="1"/>
  <c r="AA118" i="1"/>
  <c r="AA90" i="1"/>
  <c r="W90" i="1" s="1"/>
  <c r="AA82" i="1"/>
  <c r="W82" i="1" s="1"/>
  <c r="X51" i="1"/>
  <c r="X21" i="1"/>
  <c r="AA20" i="1"/>
  <c r="AA19" i="1"/>
  <c r="U239" i="1"/>
  <c r="S239" i="1" s="1"/>
  <c r="AA239" i="1"/>
  <c r="X230" i="1"/>
  <c r="AG208" i="1"/>
  <c r="AA143" i="1"/>
  <c r="W143" i="1" s="1"/>
  <c r="AG141" i="1"/>
  <c r="X139" i="1"/>
  <c r="X135" i="1"/>
  <c r="AA131" i="1"/>
  <c r="AG125" i="1"/>
  <c r="AG119" i="1"/>
  <c r="AI119" i="1" s="1"/>
  <c r="AG107" i="1"/>
  <c r="AI107" i="1" s="1"/>
  <c r="AG88" i="1"/>
  <c r="AI88" i="1" s="1"/>
  <c r="AG50" i="1"/>
  <c r="AG41" i="1"/>
  <c r="U41" i="1" s="1"/>
  <c r="AA39" i="1"/>
  <c r="AG33" i="1"/>
  <c r="U33" i="1" s="1"/>
  <c r="S33" i="1" s="1"/>
  <c r="AG20" i="1"/>
  <c r="AA43" i="1"/>
  <c r="AA220" i="1"/>
  <c r="AA219" i="1"/>
  <c r="W219" i="1" s="1"/>
  <c r="AA191" i="1"/>
  <c r="AA188" i="1"/>
  <c r="W188" i="1" s="1"/>
  <c r="AG186" i="1"/>
  <c r="U186" i="1" s="1"/>
  <c r="S186" i="1" s="1"/>
  <c r="X186" i="1"/>
  <c r="AA185" i="1"/>
  <c r="W185" i="1" s="1"/>
  <c r="AA176" i="1"/>
  <c r="X173" i="1"/>
  <c r="T166" i="1"/>
  <c r="U166" i="1" s="1"/>
  <c r="S166" i="1" s="1"/>
  <c r="X165" i="1"/>
  <c r="AA236" i="1"/>
  <c r="AA235" i="1"/>
  <c r="AA228" i="1"/>
  <c r="AA227" i="1"/>
  <c r="AA218" i="1"/>
  <c r="W218" i="1" s="1"/>
  <c r="AA217" i="1"/>
  <c r="W217" i="1" s="1"/>
  <c r="T217" i="1"/>
  <c r="U217" i="1" s="1"/>
  <c r="S217" i="1" s="1"/>
  <c r="AA214" i="1"/>
  <c r="AG212" i="1"/>
  <c r="U212" i="1" s="1"/>
  <c r="S212" i="1" s="1"/>
  <c r="X209" i="1"/>
  <c r="T159" i="1"/>
  <c r="T155" i="1"/>
  <c r="AG147" i="1"/>
  <c r="AI147" i="1" s="1"/>
  <c r="AG143" i="1"/>
  <c r="AI143" i="1" s="1"/>
  <c r="AG130" i="1"/>
  <c r="AI130" i="1" s="1"/>
  <c r="X130" i="1"/>
  <c r="AA128" i="1"/>
  <c r="AA127" i="1"/>
  <c r="AI123" i="1"/>
  <c r="AA119" i="1"/>
  <c r="AG114" i="1"/>
  <c r="U114" i="1" s="1"/>
  <c r="S114" i="1" s="1"/>
  <c r="X114" i="1"/>
  <c r="AG110" i="1"/>
  <c r="AI110" i="1" s="1"/>
  <c r="AA98" i="1"/>
  <c r="W98" i="1" s="1"/>
  <c r="T98" i="1"/>
  <c r="U98" i="1" s="1"/>
  <c r="S98" i="1" s="1"/>
  <c r="AG96" i="1"/>
  <c r="AA86" i="1"/>
  <c r="W86" i="1" s="1"/>
  <c r="AI82" i="1"/>
  <c r="X78" i="1"/>
  <c r="AA73" i="1"/>
  <c r="AA58" i="1"/>
  <c r="AA51" i="1"/>
  <c r="AA50" i="1"/>
  <c r="W50" i="1" s="1"/>
  <c r="AA49" i="1"/>
  <c r="AA41" i="1"/>
  <c r="AG39" i="1"/>
  <c r="AI39" i="1" s="1"/>
  <c r="AG28" i="1"/>
  <c r="U28" i="1" s="1"/>
  <c r="AG25" i="1"/>
  <c r="U25" i="1" s="1"/>
  <c r="S25" i="1" s="1"/>
  <c r="X25" i="1"/>
  <c r="AI195" i="1"/>
  <c r="W239" i="1"/>
  <c r="U218" i="1"/>
  <c r="X213" i="1"/>
  <c r="T151" i="1"/>
  <c r="X147" i="1"/>
  <c r="AA136" i="1"/>
  <c r="AA135" i="1"/>
  <c r="X134" i="1"/>
  <c r="AA132" i="1"/>
  <c r="AA124" i="1"/>
  <c r="AA115" i="1"/>
  <c r="W115" i="1" s="1"/>
  <c r="T110" i="1"/>
  <c r="AA103" i="1"/>
  <c r="W103" i="1" s="1"/>
  <c r="X97" i="1"/>
  <c r="U93" i="1"/>
  <c r="S93" i="1" s="1"/>
  <c r="AG62" i="1"/>
  <c r="AI62" i="1" s="1"/>
  <c r="U59" i="1"/>
  <c r="S59" i="1" s="1"/>
  <c r="AA48" i="1"/>
  <c r="W48" i="1" s="1"/>
  <c r="AA32" i="1"/>
  <c r="AA30" i="1"/>
  <c r="AA17" i="1"/>
  <c r="AA223" i="1"/>
  <c r="W223" i="1" s="1"/>
  <c r="AA205" i="1"/>
  <c r="AA199" i="1"/>
  <c r="AA198" i="1"/>
  <c r="AA197" i="1"/>
  <c r="AA196" i="1"/>
  <c r="W196" i="1" s="1"/>
  <c r="AI187" i="1"/>
  <c r="AA182" i="1"/>
  <c r="AA179" i="1"/>
  <c r="AA178" i="1"/>
  <c r="W178" i="1" s="1"/>
  <c r="AA174" i="1"/>
  <c r="W174" i="1" s="1"/>
  <c r="AA173" i="1"/>
  <c r="T173" i="1"/>
  <c r="U173" i="1" s="1"/>
  <c r="S173" i="1" s="1"/>
  <c r="AA165" i="1"/>
  <c r="T165" i="1"/>
  <c r="AG237" i="1"/>
  <c r="AA233" i="1"/>
  <c r="AG229" i="1"/>
  <c r="AI229" i="1" s="1"/>
  <c r="AA225" i="1"/>
  <c r="X217" i="1"/>
  <c r="AA211" i="1"/>
  <c r="AA209" i="1"/>
  <c r="W209" i="1" s="1"/>
  <c r="T209" i="1"/>
  <c r="AA159" i="1"/>
  <c r="AA157" i="1"/>
  <c r="AG155" i="1"/>
  <c r="U155" i="1" s="1"/>
  <c r="S155" i="1" s="1"/>
  <c r="AA154" i="1"/>
  <c r="AI152" i="1"/>
  <c r="AG139" i="1"/>
  <c r="AI139" i="1" s="1"/>
  <c r="AA110" i="1"/>
  <c r="W110" i="1" s="1"/>
  <c r="AA106" i="1"/>
  <c r="AI103" i="1"/>
  <c r="X98" i="1"/>
  <c r="X94" i="1"/>
  <c r="AA88" i="1"/>
  <c r="AA83" i="1"/>
  <c r="AA78" i="1"/>
  <c r="W78" i="1" s="1"/>
  <c r="AA76" i="1"/>
  <c r="W76" i="1" s="1"/>
  <c r="AA71" i="1"/>
  <c r="W71" i="1" s="1"/>
  <c r="AA61" i="1"/>
  <c r="AA57" i="1"/>
  <c r="W57" i="1" s="1"/>
  <c r="AA47" i="1"/>
  <c r="AA46" i="1"/>
  <c r="AA28" i="1"/>
  <c r="AA27" i="1"/>
  <c r="X96" i="1"/>
  <c r="X90" i="1"/>
  <c r="W39" i="1"/>
  <c r="AI207" i="1"/>
  <c r="AA207" i="1"/>
  <c r="W207" i="1" s="1"/>
  <c r="X204" i="1"/>
  <c r="AG199" i="1"/>
  <c r="AI199" i="1" s="1"/>
  <c r="X200" i="1"/>
  <c r="T196" i="1"/>
  <c r="U196" i="1" s="1"/>
  <c r="S196" i="1" s="1"/>
  <c r="W227" i="1"/>
  <c r="AG219" i="1"/>
  <c r="X219" i="1"/>
  <c r="AA222" i="1"/>
  <c r="T207" i="1"/>
  <c r="U207" i="1" s="1"/>
  <c r="S207" i="1" s="1"/>
  <c r="T204" i="1"/>
  <c r="U204" i="1" s="1"/>
  <c r="S204" i="1" s="1"/>
  <c r="X196" i="1"/>
  <c r="U159" i="1"/>
  <c r="S159" i="1" s="1"/>
  <c r="AI159" i="1"/>
  <c r="T223" i="1"/>
  <c r="X223" i="1"/>
  <c r="AI203" i="1"/>
  <c r="U151" i="1"/>
  <c r="AI151" i="1"/>
  <c r="T187" i="1"/>
  <c r="U187" i="1" s="1"/>
  <c r="S187" i="1" s="1"/>
  <c r="U182" i="1"/>
  <c r="S182" i="1" s="1"/>
  <c r="W159" i="1"/>
  <c r="X152" i="1"/>
  <c r="AA151" i="1"/>
  <c r="W151" i="1" s="1"/>
  <c r="AA148" i="1"/>
  <c r="AG145" i="1"/>
  <c r="U145" i="1" s="1"/>
  <c r="S145" i="1" s="1"/>
  <c r="X143" i="1"/>
  <c r="AA141" i="1"/>
  <c r="W141" i="1" s="1"/>
  <c r="AA140" i="1"/>
  <c r="AG137" i="1"/>
  <c r="U137" i="1" s="1"/>
  <c r="AG135" i="1"/>
  <c r="AG133" i="1"/>
  <c r="U133" i="1" s="1"/>
  <c r="AA126" i="1"/>
  <c r="X122" i="1"/>
  <c r="AG122" i="1"/>
  <c r="T119" i="1"/>
  <c r="W73" i="1"/>
  <c r="AI26" i="1"/>
  <c r="AA203" i="1"/>
  <c r="W203" i="1" s="1"/>
  <c r="AA202" i="1"/>
  <c r="T200" i="1"/>
  <c r="U200" i="1" s="1"/>
  <c r="S200" i="1" s="1"/>
  <c r="X192" i="1"/>
  <c r="AG191" i="1"/>
  <c r="AI191" i="1" s="1"/>
  <c r="AA186" i="1"/>
  <c r="W186" i="1" s="1"/>
  <c r="T185" i="1"/>
  <c r="U185" i="1" s="1"/>
  <c r="S185" i="1" s="1"/>
  <c r="AA181" i="1"/>
  <c r="W181" i="1" s="1"/>
  <c r="T181" i="1"/>
  <c r="T178" i="1"/>
  <c r="U178" i="1" s="1"/>
  <c r="S178" i="1" s="1"/>
  <c r="X177" i="1"/>
  <c r="AG176" i="1"/>
  <c r="AA172" i="1"/>
  <c r="W172" i="1" s="1"/>
  <c r="AG170" i="1"/>
  <c r="U170" i="1" s="1"/>
  <c r="S170" i="1" s="1"/>
  <c r="AA169" i="1"/>
  <c r="W169" i="1" s="1"/>
  <c r="T169" i="1"/>
  <c r="AA167" i="1"/>
  <c r="T162" i="1"/>
  <c r="U162" i="1" s="1"/>
  <c r="S162" i="1" s="1"/>
  <c r="X161" i="1"/>
  <c r="AG241" i="1"/>
  <c r="AA237" i="1"/>
  <c r="W237" i="1" s="1"/>
  <c r="AG235" i="1"/>
  <c r="U235" i="1" s="1"/>
  <c r="S235" i="1" s="1"/>
  <c r="AA234" i="1"/>
  <c r="W234" i="1" s="1"/>
  <c r="T234" i="1"/>
  <c r="AA232" i="1"/>
  <c r="T227" i="1"/>
  <c r="U227" i="1" s="1"/>
  <c r="S227" i="1" s="1"/>
  <c r="X226" i="1"/>
  <c r="AG225" i="1"/>
  <c r="W225" i="1" s="1"/>
  <c r="AA216" i="1"/>
  <c r="W216" i="1" s="1"/>
  <c r="AG214" i="1"/>
  <c r="U214" i="1" s="1"/>
  <c r="S214" i="1" s="1"/>
  <c r="AA212" i="1"/>
  <c r="AG210" i="1"/>
  <c r="U210" i="1" s="1"/>
  <c r="AA208" i="1"/>
  <c r="W208" i="1" s="1"/>
  <c r="AA155" i="1"/>
  <c r="AG154" i="1"/>
  <c r="U154" i="1" s="1"/>
  <c r="X154" i="1"/>
  <c r="AA142" i="1"/>
  <c r="U141" i="1"/>
  <c r="S141" i="1" s="1"/>
  <c r="T127" i="1"/>
  <c r="T123" i="1"/>
  <c r="U123" i="1" s="1"/>
  <c r="S123" i="1" s="1"/>
  <c r="W121" i="1"/>
  <c r="X187" i="1"/>
  <c r="U231" i="1"/>
  <c r="S231" i="1" s="1"/>
  <c r="AA156" i="1"/>
  <c r="W156" i="1" s="1"/>
  <c r="T152" i="1"/>
  <c r="U152" i="1" s="1"/>
  <c r="S152" i="1" s="1"/>
  <c r="AA137" i="1"/>
  <c r="AA130" i="1"/>
  <c r="AG127" i="1"/>
  <c r="W127" i="1" s="1"/>
  <c r="AG126" i="1"/>
  <c r="U126" i="1" s="1"/>
  <c r="S126" i="1" s="1"/>
  <c r="X126" i="1"/>
  <c r="W125" i="1"/>
  <c r="T122" i="1"/>
  <c r="AA195" i="1"/>
  <c r="W195" i="1" s="1"/>
  <c r="AA194" i="1"/>
  <c r="T192" i="1"/>
  <c r="U192" i="1" s="1"/>
  <c r="S192" i="1" s="1"/>
  <c r="AA184" i="1"/>
  <c r="W184" i="1" s="1"/>
  <c r="AA183" i="1"/>
  <c r="X181" i="1"/>
  <c r="AG180" i="1"/>
  <c r="U180" i="1" s="1"/>
  <c r="AA177" i="1"/>
  <c r="W177" i="1" s="1"/>
  <c r="T177" i="1"/>
  <c r="U177" i="1" s="1"/>
  <c r="S177" i="1" s="1"/>
  <c r="AA175" i="1"/>
  <c r="X169" i="1"/>
  <c r="AG168" i="1"/>
  <c r="AA164" i="1"/>
  <c r="W164" i="1" s="1"/>
  <c r="AA161" i="1"/>
  <c r="T161" i="1"/>
  <c r="U161" i="1" s="1"/>
  <c r="S161" i="1" s="1"/>
  <c r="AA240" i="1"/>
  <c r="X234" i="1"/>
  <c r="AG233" i="1"/>
  <c r="AA229" i="1"/>
  <c r="AA226" i="1"/>
  <c r="T226" i="1"/>
  <c r="U226" i="1" s="1"/>
  <c r="S226" i="1" s="1"/>
  <c r="AA224" i="1"/>
  <c r="W153" i="1"/>
  <c r="U143" i="1"/>
  <c r="S143" i="1" s="1"/>
  <c r="W134" i="1"/>
  <c r="X123" i="1"/>
  <c r="U125" i="1"/>
  <c r="S125" i="1" s="1"/>
  <c r="AG118" i="1"/>
  <c r="X115" i="1"/>
  <c r="AA113" i="1"/>
  <c r="AA112" i="1"/>
  <c r="AG109" i="1"/>
  <c r="X107" i="1"/>
  <c r="AA105" i="1"/>
  <c r="AI102" i="1"/>
  <c r="AG101" i="1"/>
  <c r="AA99" i="1"/>
  <c r="AA96" i="1"/>
  <c r="W96" i="1" s="1"/>
  <c r="AG95" i="1"/>
  <c r="AI95" i="1" s="1"/>
  <c r="T94" i="1"/>
  <c r="T90" i="1"/>
  <c r="U90" i="1" s="1"/>
  <c r="S90" i="1" s="1"/>
  <c r="AA87" i="1"/>
  <c r="AA85" i="1"/>
  <c r="W85" i="1" s="1"/>
  <c r="AG84" i="1"/>
  <c r="U84" i="1" s="1"/>
  <c r="X82" i="1"/>
  <c r="AA81" i="1"/>
  <c r="W81" i="1" s="1"/>
  <c r="AG80" i="1"/>
  <c r="AG77" i="1"/>
  <c r="W77" i="1" s="1"/>
  <c r="X77" i="1"/>
  <c r="AG67" i="1"/>
  <c r="AG66" i="1"/>
  <c r="U66" i="1" s="1"/>
  <c r="AA65" i="1"/>
  <c r="AG60" i="1"/>
  <c r="AI60" i="1" s="1"/>
  <c r="X60" i="1"/>
  <c r="AA52" i="1"/>
  <c r="W52" i="1" s="1"/>
  <c r="T52" i="1"/>
  <c r="U52" i="1" s="1"/>
  <c r="S52" i="1" s="1"/>
  <c r="T51" i="1"/>
  <c r="U50" i="1"/>
  <c r="AG47" i="1"/>
  <c r="AI47" i="1" s="1"/>
  <c r="AG43" i="1"/>
  <c r="AG42" i="1"/>
  <c r="U42" i="1" s="1"/>
  <c r="S42" i="1" s="1"/>
  <c r="X42" i="1"/>
  <c r="X39" i="1"/>
  <c r="AG38" i="1"/>
  <c r="U38" i="1" s="1"/>
  <c r="X38" i="1"/>
  <c r="AA34" i="1"/>
  <c r="T34" i="1"/>
  <c r="AG30" i="1"/>
  <c r="W30" i="1" s="1"/>
  <c r="AG29" i="1"/>
  <c r="AI29" i="1" s="1"/>
  <c r="X29" i="1"/>
  <c r="W26" i="1"/>
  <c r="AA25" i="1"/>
  <c r="W25" i="1" s="1"/>
  <c r="AA23" i="1"/>
  <c r="AA21" i="1"/>
  <c r="T21" i="1"/>
  <c r="AG17" i="1"/>
  <c r="W17" i="1" s="1"/>
  <c r="AG16" i="1"/>
  <c r="U16" i="1" s="1"/>
  <c r="X16" i="1"/>
  <c r="AA117" i="1"/>
  <c r="AA114" i="1"/>
  <c r="U111" i="1"/>
  <c r="S111" i="1" s="1"/>
  <c r="X110" i="1"/>
  <c r="X100" i="1"/>
  <c r="U96" i="1"/>
  <c r="W93" i="1"/>
  <c r="AA91" i="1"/>
  <c r="AA89" i="1"/>
  <c r="X86" i="1"/>
  <c r="U85" i="1"/>
  <c r="S85" i="1" s="1"/>
  <c r="X85" i="1"/>
  <c r="X81" i="1"/>
  <c r="T78" i="1"/>
  <c r="U78" i="1" s="1"/>
  <c r="S78" i="1" s="1"/>
  <c r="X76" i="1"/>
  <c r="AI71" i="1"/>
  <c r="T48" i="1"/>
  <c r="U48" i="1" s="1"/>
  <c r="S48" i="1" s="1"/>
  <c r="X47" i="1"/>
  <c r="X43" i="1"/>
  <c r="T35" i="1"/>
  <c r="X30" i="1"/>
  <c r="T26" i="1"/>
  <c r="U26" i="1" s="1"/>
  <c r="S26" i="1" s="1"/>
  <c r="U22" i="1"/>
  <c r="S22" i="1" s="1"/>
  <c r="X17" i="1"/>
  <c r="AA14" i="1"/>
  <c r="AA116" i="1"/>
  <c r="AA109" i="1"/>
  <c r="W109" i="1" s="1"/>
  <c r="AA108" i="1"/>
  <c r="AG105" i="1"/>
  <c r="AI105" i="1" s="1"/>
  <c r="AA97" i="1"/>
  <c r="W97" i="1" s="1"/>
  <c r="AA95" i="1"/>
  <c r="AA84" i="1"/>
  <c r="T82" i="1"/>
  <c r="U82" i="1" s="1"/>
  <c r="S82" i="1" s="1"/>
  <c r="AA79" i="1"/>
  <c r="AA72" i="1"/>
  <c r="AG70" i="1"/>
  <c r="U70" i="1" s="1"/>
  <c r="S70" i="1" s="1"/>
  <c r="X70" i="1"/>
  <c r="AA69" i="1"/>
  <c r="AA66" i="1"/>
  <c r="AA56" i="1"/>
  <c r="AG55" i="1"/>
  <c r="U55" i="1" s="1"/>
  <c r="S55" i="1" s="1"/>
  <c r="X52" i="1"/>
  <c r="AG51" i="1"/>
  <c r="X46" i="1"/>
  <c r="AA45" i="1"/>
  <c r="AA42" i="1"/>
  <c r="AA40" i="1"/>
  <c r="AA38" i="1"/>
  <c r="AG34" i="1"/>
  <c r="U34" i="1" s="1"/>
  <c r="S34" i="1" s="1"/>
  <c r="AA29" i="1"/>
  <c r="X22" i="1"/>
  <c r="AG21" i="1"/>
  <c r="AI21" i="1" s="1"/>
  <c r="AA16" i="1"/>
  <c r="AG117" i="1"/>
  <c r="U117" i="1" s="1"/>
  <c r="U115" i="1"/>
  <c r="S115" i="1" s="1"/>
  <c r="U107" i="1"/>
  <c r="S107" i="1" s="1"/>
  <c r="W101" i="1"/>
  <c r="T86" i="1"/>
  <c r="U86" i="1" s="1"/>
  <c r="S86" i="1" s="1"/>
  <c r="U39" i="1"/>
  <c r="S39" i="1" s="1"/>
  <c r="U219" i="1"/>
  <c r="S219" i="1" s="1"/>
  <c r="AI237" i="1"/>
  <c r="AI233" i="1"/>
  <c r="W200" i="1"/>
  <c r="U223" i="1"/>
  <c r="S223" i="1" s="1"/>
  <c r="AI241" i="1"/>
  <c r="W192" i="1"/>
  <c r="U195" i="1"/>
  <c r="S195" i="1" s="1"/>
  <c r="W173" i="1"/>
  <c r="W238" i="1"/>
  <c r="AI174" i="1"/>
  <c r="W213" i="1"/>
  <c r="X222" i="1"/>
  <c r="AG221" i="1"/>
  <c r="AI221" i="1" s="1"/>
  <c r="X207" i="1"/>
  <c r="AG206" i="1"/>
  <c r="W206" i="1" s="1"/>
  <c r="X203" i="1"/>
  <c r="AG202" i="1"/>
  <c r="X199" i="1"/>
  <c r="AG198" i="1"/>
  <c r="AI198" i="1" s="1"/>
  <c r="X195" i="1"/>
  <c r="AG194" i="1"/>
  <c r="AI194" i="1" s="1"/>
  <c r="X191" i="1"/>
  <c r="AG190" i="1"/>
  <c r="AI190" i="1" s="1"/>
  <c r="T188" i="1"/>
  <c r="U188" i="1" s="1"/>
  <c r="S188" i="1" s="1"/>
  <c r="X188" i="1"/>
  <c r="AI202" i="1"/>
  <c r="AI186" i="1"/>
  <c r="U238" i="1"/>
  <c r="S238" i="1" s="1"/>
  <c r="AI166" i="1"/>
  <c r="U213" i="1"/>
  <c r="S213" i="1" s="1"/>
  <c r="AI162" i="1"/>
  <c r="U209" i="1"/>
  <c r="S209" i="1" s="1"/>
  <c r="AI149" i="1"/>
  <c r="U222" i="1"/>
  <c r="S222" i="1" s="1"/>
  <c r="X221" i="1"/>
  <c r="AG220" i="1"/>
  <c r="AI220" i="1" s="1"/>
  <c r="X206" i="1"/>
  <c r="AG205" i="1"/>
  <c r="AI205" i="1" s="1"/>
  <c r="X202" i="1"/>
  <c r="AG201" i="1"/>
  <c r="AI201" i="1" s="1"/>
  <c r="X198" i="1"/>
  <c r="AG197" i="1"/>
  <c r="AI197" i="1" s="1"/>
  <c r="X194" i="1"/>
  <c r="AG193" i="1"/>
  <c r="AI193" i="1" s="1"/>
  <c r="X190" i="1"/>
  <c r="AG189" i="1"/>
  <c r="AI189" i="1" s="1"/>
  <c r="X185" i="1"/>
  <c r="AI210" i="1"/>
  <c r="U181" i="1"/>
  <c r="S181" i="1" s="1"/>
  <c r="U169" i="1"/>
  <c r="S169" i="1" s="1"/>
  <c r="W165" i="1"/>
  <c r="U234" i="1"/>
  <c r="S234" i="1" s="1"/>
  <c r="W230" i="1"/>
  <c r="X220" i="1"/>
  <c r="X205" i="1"/>
  <c r="X201" i="1"/>
  <c r="X197" i="1"/>
  <c r="X193" i="1"/>
  <c r="X189" i="1"/>
  <c r="T183" i="1"/>
  <c r="X183" i="1"/>
  <c r="AG183" i="1"/>
  <c r="AI183" i="1" s="1"/>
  <c r="AI209" i="1"/>
  <c r="T179" i="1"/>
  <c r="X179" i="1"/>
  <c r="AG179" i="1"/>
  <c r="AI179" i="1" s="1"/>
  <c r="U165" i="1"/>
  <c r="S165" i="1" s="1"/>
  <c r="W161" i="1"/>
  <c r="AI178" i="1"/>
  <c r="U230" i="1"/>
  <c r="S230" i="1" s="1"/>
  <c r="W226" i="1"/>
  <c r="X182" i="1"/>
  <c r="X178" i="1"/>
  <c r="X174" i="1"/>
  <c r="X170" i="1"/>
  <c r="X166" i="1"/>
  <c r="X162" i="1"/>
  <c r="X239" i="1"/>
  <c r="X235" i="1"/>
  <c r="X231" i="1"/>
  <c r="X227" i="1"/>
  <c r="X218" i="1"/>
  <c r="X214" i="1"/>
  <c r="X210" i="1"/>
  <c r="X159" i="1"/>
  <c r="AG158" i="1"/>
  <c r="X158" i="1"/>
  <c r="T156" i="1"/>
  <c r="T153" i="1"/>
  <c r="U153" i="1" s="1"/>
  <c r="S153" i="1" s="1"/>
  <c r="X153" i="1"/>
  <c r="X151" i="1"/>
  <c r="AA150" i="1"/>
  <c r="T144" i="1"/>
  <c r="X144" i="1"/>
  <c r="AG144" i="1"/>
  <c r="W144" i="1" s="1"/>
  <c r="AI129" i="1"/>
  <c r="T128" i="1"/>
  <c r="X128" i="1"/>
  <c r="AG128" i="1"/>
  <c r="U176" i="1"/>
  <c r="S176" i="1" s="1"/>
  <c r="U172" i="1"/>
  <c r="S172" i="1" s="1"/>
  <c r="U168" i="1"/>
  <c r="S168" i="1" s="1"/>
  <c r="U164" i="1"/>
  <c r="S164" i="1" s="1"/>
  <c r="U241" i="1"/>
  <c r="S241" i="1" s="1"/>
  <c r="U237" i="1"/>
  <c r="S237" i="1" s="1"/>
  <c r="U233" i="1"/>
  <c r="S233" i="1" s="1"/>
  <c r="U225" i="1"/>
  <c r="S225" i="1" s="1"/>
  <c r="S218" i="1"/>
  <c r="U216" i="1"/>
  <c r="S216" i="1" s="1"/>
  <c r="S210" i="1"/>
  <c r="U208" i="1"/>
  <c r="S208" i="1" s="1"/>
  <c r="T157" i="1"/>
  <c r="X157" i="1"/>
  <c r="X156" i="1"/>
  <c r="S151" i="1"/>
  <c r="T150" i="1"/>
  <c r="AI141" i="1"/>
  <c r="T140" i="1"/>
  <c r="X140" i="1"/>
  <c r="AG140" i="1"/>
  <c r="AA133" i="1"/>
  <c r="W133" i="1" s="1"/>
  <c r="U129" i="1"/>
  <c r="S129" i="1" s="1"/>
  <c r="AI125" i="1"/>
  <c r="T124" i="1"/>
  <c r="X124" i="1"/>
  <c r="AG124" i="1"/>
  <c r="W124" i="1" s="1"/>
  <c r="X184" i="1"/>
  <c r="X180" i="1"/>
  <c r="X176" i="1"/>
  <c r="AG175" i="1"/>
  <c r="X172" i="1"/>
  <c r="AG171" i="1"/>
  <c r="X168" i="1"/>
  <c r="AG167" i="1"/>
  <c r="AI167" i="1" s="1"/>
  <c r="X164" i="1"/>
  <c r="AG163" i="1"/>
  <c r="AI163" i="1" s="1"/>
  <c r="X241" i="1"/>
  <c r="AG240" i="1"/>
  <c r="W240" i="1" s="1"/>
  <c r="X237" i="1"/>
  <c r="AG236" i="1"/>
  <c r="AI236" i="1" s="1"/>
  <c r="X233" i="1"/>
  <c r="AG232" i="1"/>
  <c r="W232" i="1" s="1"/>
  <c r="X229" i="1"/>
  <c r="AG228" i="1"/>
  <c r="X225" i="1"/>
  <c r="AG224" i="1"/>
  <c r="W224" i="1" s="1"/>
  <c r="X216" i="1"/>
  <c r="AG215" i="1"/>
  <c r="W215" i="1" s="1"/>
  <c r="X212" i="1"/>
  <c r="AG211" i="1"/>
  <c r="X208" i="1"/>
  <c r="AG160" i="1"/>
  <c r="W160" i="1" s="1"/>
  <c r="AA158" i="1"/>
  <c r="W158" i="1" s="1"/>
  <c r="AG157" i="1"/>
  <c r="AG150" i="1"/>
  <c r="AA149" i="1"/>
  <c r="W149" i="1" s="1"/>
  <c r="T148" i="1"/>
  <c r="X148" i="1"/>
  <c r="AG148" i="1"/>
  <c r="AA145" i="1"/>
  <c r="T136" i="1"/>
  <c r="X136" i="1"/>
  <c r="AG136" i="1"/>
  <c r="AA129" i="1"/>
  <c r="W129" i="1" s="1"/>
  <c r="AI121" i="1"/>
  <c r="T120" i="1"/>
  <c r="X120" i="1"/>
  <c r="AG120" i="1"/>
  <c r="X175" i="1"/>
  <c r="X171" i="1"/>
  <c r="X167" i="1"/>
  <c r="X163" i="1"/>
  <c r="X240" i="1"/>
  <c r="AI185" i="1"/>
  <c r="X236" i="1"/>
  <c r="AI181" i="1"/>
  <c r="X232" i="1"/>
  <c r="AI177" i="1"/>
  <c r="X228" i="1"/>
  <c r="AI173" i="1"/>
  <c r="X224" i="1"/>
  <c r="AI169" i="1"/>
  <c r="X215" i="1"/>
  <c r="AI165" i="1"/>
  <c r="X211" i="1"/>
  <c r="AI161" i="1"/>
  <c r="X160" i="1"/>
  <c r="U156" i="1"/>
  <c r="S156" i="1" s="1"/>
  <c r="T149" i="1"/>
  <c r="U149" i="1" s="1"/>
  <c r="S149" i="1" s="1"/>
  <c r="X149" i="1"/>
  <c r="S133" i="1"/>
  <c r="AI133" i="1"/>
  <c r="T132" i="1"/>
  <c r="X132" i="1"/>
  <c r="AG132" i="1"/>
  <c r="W132" i="1" s="1"/>
  <c r="W128" i="1"/>
  <c r="T116" i="1"/>
  <c r="X116" i="1"/>
  <c r="AG116" i="1"/>
  <c r="U134" i="1"/>
  <c r="S134" i="1" s="1"/>
  <c r="U130" i="1"/>
  <c r="S130" i="1" s="1"/>
  <c r="U122" i="1"/>
  <c r="S122" i="1" s="1"/>
  <c r="U118" i="1"/>
  <c r="S118" i="1" s="1"/>
  <c r="U106" i="1"/>
  <c r="S106" i="1" s="1"/>
  <c r="AI100" i="1"/>
  <c r="U97" i="1"/>
  <c r="S97" i="1" s="1"/>
  <c r="T95" i="1"/>
  <c r="X95" i="1"/>
  <c r="AA92" i="1"/>
  <c r="AI84" i="1"/>
  <c r="T83" i="1"/>
  <c r="X83" i="1"/>
  <c r="AG83" i="1"/>
  <c r="X75" i="1"/>
  <c r="X74" i="1"/>
  <c r="AG74" i="1"/>
  <c r="W61" i="1"/>
  <c r="T19" i="1"/>
  <c r="AG19" i="1"/>
  <c r="U109" i="1"/>
  <c r="S109" i="1" s="1"/>
  <c r="AI104" i="1"/>
  <c r="U101" i="1"/>
  <c r="S101" i="1" s="1"/>
  <c r="T99" i="1"/>
  <c r="X99" i="1"/>
  <c r="T92" i="1"/>
  <c r="X92" i="1"/>
  <c r="AI80" i="1"/>
  <c r="T79" i="1"/>
  <c r="X79" i="1"/>
  <c r="AG79" i="1"/>
  <c r="W79" i="1" s="1"/>
  <c r="AG68" i="1"/>
  <c r="T68" i="1"/>
  <c r="X145" i="1"/>
  <c r="X141" i="1"/>
  <c r="X137" i="1"/>
  <c r="AI134" i="1"/>
  <c r="X133" i="1"/>
  <c r="X129" i="1"/>
  <c r="X125" i="1"/>
  <c r="AI122" i="1"/>
  <c r="X121" i="1"/>
  <c r="AI118" i="1"/>
  <c r="X117" i="1"/>
  <c r="X113" i="1"/>
  <c r="AG112" i="1"/>
  <c r="X109" i="1"/>
  <c r="AG108" i="1"/>
  <c r="X105" i="1"/>
  <c r="T103" i="1"/>
  <c r="U103" i="1" s="1"/>
  <c r="S103" i="1" s="1"/>
  <c r="X103" i="1"/>
  <c r="X102" i="1"/>
  <c r="X101" i="1"/>
  <c r="AA100" i="1"/>
  <c r="W100" i="1" s="1"/>
  <c r="U100" i="1"/>
  <c r="S100" i="1" s="1"/>
  <c r="AG99" i="1"/>
  <c r="U94" i="1"/>
  <c r="S94" i="1" s="1"/>
  <c r="AI93" i="1"/>
  <c r="X93" i="1"/>
  <c r="AG92" i="1"/>
  <c r="T91" i="1"/>
  <c r="X91" i="1"/>
  <c r="AG91" i="1"/>
  <c r="W84" i="1"/>
  <c r="U81" i="1"/>
  <c r="S81" i="1" s="1"/>
  <c r="U80" i="1"/>
  <c r="S80" i="1" s="1"/>
  <c r="T74" i="1"/>
  <c r="AG72" i="1"/>
  <c r="X72" i="1"/>
  <c r="T72" i="1"/>
  <c r="X112" i="1"/>
  <c r="AI109" i="1"/>
  <c r="X108" i="1"/>
  <c r="AA104" i="1"/>
  <c r="W104" i="1" s="1"/>
  <c r="U104" i="1"/>
  <c r="S104" i="1" s="1"/>
  <c r="AI101" i="1"/>
  <c r="AI96" i="1"/>
  <c r="T87" i="1"/>
  <c r="X87" i="1"/>
  <c r="AG87" i="1"/>
  <c r="AA80" i="1"/>
  <c r="W80" i="1" s="1"/>
  <c r="T65" i="1"/>
  <c r="AG65" i="1"/>
  <c r="X88" i="1"/>
  <c r="AI85" i="1"/>
  <c r="X84" i="1"/>
  <c r="AI81" i="1"/>
  <c r="X80" i="1"/>
  <c r="AI73" i="1"/>
  <c r="T69" i="1"/>
  <c r="X69" i="1"/>
  <c r="AA55" i="1"/>
  <c r="T36" i="1"/>
  <c r="AG36" i="1"/>
  <c r="W36" i="1" s="1"/>
  <c r="AI20" i="1"/>
  <c r="U20" i="1"/>
  <c r="S20" i="1" s="1"/>
  <c r="T76" i="1"/>
  <c r="U76" i="1" s="1"/>
  <c r="S76" i="1" s="1"/>
  <c r="T73" i="1"/>
  <c r="U73" i="1" s="1"/>
  <c r="S73" i="1" s="1"/>
  <c r="X73" i="1"/>
  <c r="X71" i="1"/>
  <c r="AA70" i="1"/>
  <c r="AG69" i="1"/>
  <c r="AI59" i="1"/>
  <c r="AI45" i="1"/>
  <c r="U37" i="1"/>
  <c r="S37" i="1" s="1"/>
  <c r="AA74" i="1"/>
  <c r="S66" i="1"/>
  <c r="AI66" i="1"/>
  <c r="AA62" i="1"/>
  <c r="W62" i="1" s="1"/>
  <c r="T58" i="1"/>
  <c r="X58" i="1"/>
  <c r="AG58" i="1"/>
  <c r="X59" i="1"/>
  <c r="T54" i="1"/>
  <c r="X54" i="1"/>
  <c r="AG54" i="1"/>
  <c r="W51" i="1"/>
  <c r="T49" i="1"/>
  <c r="X49" i="1"/>
  <c r="AG49" i="1"/>
  <c r="X50" i="1"/>
  <c r="T64" i="1"/>
  <c r="X61" i="1"/>
  <c r="T61" i="1"/>
  <c r="U61" i="1" s="1"/>
  <c r="S61" i="1" s="1"/>
  <c r="X57" i="1"/>
  <c r="T57" i="1"/>
  <c r="U57" i="1" s="1"/>
  <c r="S57" i="1" s="1"/>
  <c r="S50" i="1"/>
  <c r="AI50" i="1"/>
  <c r="T45" i="1"/>
  <c r="U45" i="1" s="1"/>
  <c r="S45" i="1" s="1"/>
  <c r="X45" i="1"/>
  <c r="T40" i="1"/>
  <c r="X40" i="1"/>
  <c r="AG40" i="1"/>
  <c r="W40" i="1" s="1"/>
  <c r="AA33" i="1"/>
  <c r="T23" i="1"/>
  <c r="X23" i="1"/>
  <c r="AG23" i="1"/>
  <c r="AA15" i="1"/>
  <c r="X55" i="1"/>
  <c r="T53" i="1"/>
  <c r="X53" i="1"/>
  <c r="T46" i="1"/>
  <c r="T32" i="1"/>
  <c r="AG32" i="1"/>
  <c r="T14" i="1"/>
  <c r="AG14" i="1"/>
  <c r="AG53" i="1"/>
  <c r="AG46" i="1"/>
  <c r="W45" i="1"/>
  <c r="T44" i="1"/>
  <c r="X44" i="1"/>
  <c r="AG44" i="1"/>
  <c r="W44" i="1" s="1"/>
  <c r="W37" i="1"/>
  <c r="T27" i="1"/>
  <c r="X27" i="1"/>
  <c r="AG27" i="1"/>
  <c r="W20" i="1"/>
  <c r="X41" i="1"/>
  <c r="X37" i="1"/>
  <c r="X28" i="1"/>
  <c r="X24" i="1"/>
  <c r="X20" i="1"/>
  <c r="X15" i="1"/>
  <c r="AC38" i="3"/>
  <c r="AC46" i="3"/>
  <c r="Y46" i="3"/>
  <c r="Y9" i="3"/>
  <c r="Y27" i="3"/>
  <c r="Y15" i="3"/>
  <c r="Y47" i="3"/>
  <c r="Y36" i="3"/>
  <c r="Y14" i="3"/>
  <c r="Y42" i="3"/>
  <c r="Y29" i="3"/>
  <c r="Y17" i="3"/>
  <c r="AD21" i="3"/>
  <c r="Y8" i="3"/>
  <c r="Y43" i="3"/>
  <c r="Y23" i="3"/>
  <c r="Y28" i="3"/>
  <c r="Y34" i="3"/>
  <c r="Y40" i="3"/>
  <c r="Y39" i="3"/>
  <c r="Y37" i="3"/>
  <c r="Y33" i="3"/>
  <c r="Y10" i="3"/>
  <c r="Y30" i="3"/>
  <c r="Y22" i="3"/>
  <c r="Y35" i="3"/>
  <c r="Y12" i="3"/>
  <c r="Y26" i="3"/>
  <c r="Y25" i="3"/>
  <c r="Y41" i="3"/>
  <c r="AD8" i="3"/>
  <c r="AD43" i="3"/>
  <c r="AD23" i="3"/>
  <c r="AD28" i="3"/>
  <c r="AD34" i="3"/>
  <c r="AD40" i="3"/>
  <c r="AD39" i="3"/>
  <c r="AD37" i="3"/>
  <c r="AD33" i="3"/>
  <c r="AD10" i="3"/>
  <c r="AD30" i="3"/>
  <c r="AD22" i="3"/>
  <c r="AD35" i="3"/>
  <c r="AD12" i="3"/>
  <c r="AD38" i="3"/>
  <c r="AD26" i="3"/>
  <c r="AD25" i="3"/>
  <c r="AD41" i="3"/>
  <c r="AD19" i="3"/>
  <c r="AD20" i="3"/>
  <c r="AD31" i="3"/>
  <c r="AD46" i="3"/>
  <c r="AD24" i="3"/>
  <c r="AD49" i="3"/>
  <c r="AD27" i="3"/>
  <c r="AD45" i="3"/>
  <c r="AD15" i="3"/>
  <c r="AD16" i="3"/>
  <c r="AD47" i="3"/>
  <c r="AD7" i="3"/>
  <c r="AD36" i="3"/>
  <c r="AD13" i="3"/>
  <c r="AD14" i="3"/>
  <c r="AD18" i="3"/>
  <c r="AD42" i="3"/>
  <c r="AD11" i="3"/>
  <c r="AD29" i="3"/>
  <c r="AD48" i="3"/>
  <c r="AD17" i="3"/>
  <c r="AD32" i="3"/>
  <c r="Y38" i="3"/>
  <c r="Y19" i="3"/>
  <c r="Y20" i="3"/>
  <c r="Y31" i="3"/>
  <c r="U51" i="1" l="1"/>
  <c r="U29" i="1"/>
  <c r="S29" i="1" s="1"/>
  <c r="AI138" i="1"/>
  <c r="U138" i="1"/>
  <c r="S138" i="1" s="1"/>
  <c r="W180" i="1"/>
  <c r="W16" i="1"/>
  <c r="AI113" i="1"/>
  <c r="AI106" i="1"/>
  <c r="U146" i="1"/>
  <c r="S146" i="1" s="1"/>
  <c r="U229" i="1"/>
  <c r="S229" i="1" s="1"/>
  <c r="U35" i="1"/>
  <c r="S35" i="1" s="1"/>
  <c r="W113" i="1"/>
  <c r="W146" i="1"/>
  <c r="U62" i="1"/>
  <c r="S62" i="1" s="1"/>
  <c r="U110" i="1"/>
  <c r="S110" i="1" s="1"/>
  <c r="U191" i="1"/>
  <c r="S191" i="1" s="1"/>
  <c r="AI225" i="1"/>
  <c r="W155" i="1"/>
  <c r="W23" i="1"/>
  <c r="W58" i="1"/>
  <c r="W116" i="1"/>
  <c r="AI16" i="1"/>
  <c r="U63" i="1"/>
  <c r="S63" i="1" s="1"/>
  <c r="W55" i="1"/>
  <c r="W228" i="1"/>
  <c r="U88" i="1"/>
  <c r="S88" i="1" s="1"/>
  <c r="W229" i="1"/>
  <c r="W130" i="1"/>
  <c r="W88" i="1"/>
  <c r="W182" i="1"/>
  <c r="AI126" i="1"/>
  <c r="AI142" i="1"/>
  <c r="AI34" i="1"/>
  <c r="AI33" i="1"/>
  <c r="AI155" i="1"/>
  <c r="AI170" i="1"/>
  <c r="W29" i="1"/>
  <c r="W118" i="1"/>
  <c r="W107" i="1"/>
  <c r="W33" i="1"/>
  <c r="W142" i="1"/>
  <c r="W222" i="1"/>
  <c r="W63" i="1"/>
  <c r="W19" i="1"/>
  <c r="W32" i="1"/>
  <c r="W15" i="1"/>
  <c r="AI70" i="1"/>
  <c r="W28" i="1"/>
  <c r="W22" i="1"/>
  <c r="W60" i="1"/>
  <c r="U56" i="1"/>
  <c r="S56" i="1" s="1"/>
  <c r="AI55" i="1"/>
  <c r="W56" i="1"/>
  <c r="U75" i="1"/>
  <c r="S75" i="1" s="1"/>
  <c r="AI64" i="1"/>
  <c r="W75" i="1"/>
  <c r="AI25" i="1"/>
  <c r="U60" i="1"/>
  <c r="S60" i="1" s="1"/>
  <c r="U64" i="1"/>
  <c r="S64" i="1" s="1"/>
  <c r="AI42" i="1"/>
  <c r="AI24" i="1"/>
  <c r="AI38" i="1"/>
  <c r="AI15" i="1"/>
  <c r="W49" i="1"/>
  <c r="W74" i="1"/>
  <c r="AI77" i="1"/>
  <c r="S28" i="1"/>
  <c r="S41" i="1"/>
  <c r="W65" i="1"/>
  <c r="W99" i="1"/>
  <c r="U105" i="1"/>
  <c r="S105" i="1" s="1"/>
  <c r="S117" i="1"/>
  <c r="W145" i="1"/>
  <c r="AI145" i="1"/>
  <c r="W201" i="1"/>
  <c r="W41" i="1"/>
  <c r="W168" i="1"/>
  <c r="W212" i="1"/>
  <c r="W14" i="1"/>
  <c r="U47" i="1"/>
  <c r="S47" i="1" s="1"/>
  <c r="AI89" i="1"/>
  <c r="W83" i="1"/>
  <c r="S84" i="1"/>
  <c r="AI137" i="1"/>
  <c r="S180" i="1"/>
  <c r="W233" i="1"/>
  <c r="W137" i="1"/>
  <c r="U147" i="1"/>
  <c r="S147" i="1" s="1"/>
  <c r="U119" i="1"/>
  <c r="S119" i="1" s="1"/>
  <c r="U131" i="1"/>
  <c r="S131" i="1" s="1"/>
  <c r="W119" i="1"/>
  <c r="AI28" i="1"/>
  <c r="W46" i="1"/>
  <c r="AI41" i="1"/>
  <c r="W70" i="1"/>
  <c r="AI114" i="1"/>
  <c r="AI117" i="1"/>
  <c r="S137" i="1"/>
  <c r="AI214" i="1"/>
  <c r="W89" i="1"/>
  <c r="W114" i="1"/>
  <c r="U139" i="1"/>
  <c r="S139" i="1" s="1"/>
  <c r="W241" i="1"/>
  <c r="W176" i="1"/>
  <c r="W122" i="1"/>
  <c r="W131" i="1"/>
  <c r="AI215" i="1"/>
  <c r="W117" i="1"/>
  <c r="AI232" i="1"/>
  <c r="S51" i="1"/>
  <c r="W66" i="1"/>
  <c r="W210" i="1"/>
  <c r="W191" i="1"/>
  <c r="W147" i="1"/>
  <c r="W139" i="1"/>
  <c r="U43" i="1"/>
  <c r="S43" i="1" s="1"/>
  <c r="AI43" i="1"/>
  <c r="U67" i="1"/>
  <c r="S67" i="1" s="1"/>
  <c r="AI67" i="1"/>
  <c r="AI51" i="1"/>
  <c r="U95" i="1"/>
  <c r="S95" i="1" s="1"/>
  <c r="AI154" i="1"/>
  <c r="W171" i="1"/>
  <c r="AI171" i="1"/>
  <c r="AI228" i="1"/>
  <c r="W42" i="1"/>
  <c r="W21" i="1"/>
  <c r="W105" i="1"/>
  <c r="W43" i="1"/>
  <c r="W47" i="1"/>
  <c r="W214" i="1"/>
  <c r="W170" i="1"/>
  <c r="S38" i="1"/>
  <c r="S154" i="1"/>
  <c r="AI224" i="1"/>
  <c r="AI240" i="1"/>
  <c r="AI206" i="1"/>
  <c r="U199" i="1"/>
  <c r="S199" i="1" s="1"/>
  <c r="U21" i="1"/>
  <c r="S21" i="1" s="1"/>
  <c r="W95" i="1"/>
  <c r="W34" i="1"/>
  <c r="U77" i="1"/>
  <c r="S77" i="1" s="1"/>
  <c r="W67" i="1"/>
  <c r="U135" i="1"/>
  <c r="S135" i="1" s="1"/>
  <c r="AI135" i="1"/>
  <c r="W235" i="1"/>
  <c r="W199" i="1"/>
  <c r="W211" i="1"/>
  <c r="AI211" i="1"/>
  <c r="W175" i="1"/>
  <c r="AI175" i="1"/>
  <c r="W140" i="1"/>
  <c r="W154" i="1"/>
  <c r="W38" i="1"/>
  <c r="U17" i="1"/>
  <c r="AI17" i="1"/>
  <c r="U30" i="1"/>
  <c r="S30" i="1" s="1"/>
  <c r="AI30" i="1"/>
  <c r="U127" i="1"/>
  <c r="S127" i="1" s="1"/>
  <c r="AI127" i="1"/>
  <c r="W126" i="1"/>
  <c r="W135" i="1"/>
  <c r="AI36" i="1"/>
  <c r="U36" i="1"/>
  <c r="S36" i="1" s="1"/>
  <c r="AI91" i="1"/>
  <c r="U91" i="1"/>
  <c r="S91" i="1" s="1"/>
  <c r="U108" i="1"/>
  <c r="S108" i="1" s="1"/>
  <c r="AI108" i="1"/>
  <c r="U148" i="1"/>
  <c r="S148" i="1" s="1"/>
  <c r="AI148" i="1"/>
  <c r="AI150" i="1"/>
  <c r="U150" i="1"/>
  <c r="S150" i="1" s="1"/>
  <c r="U179" i="1"/>
  <c r="S179" i="1" s="1"/>
  <c r="AI208" i="1"/>
  <c r="W179" i="1"/>
  <c r="U193" i="1"/>
  <c r="S193" i="1" s="1"/>
  <c r="AI222" i="1"/>
  <c r="U220" i="1"/>
  <c r="S220" i="1" s="1"/>
  <c r="AI238" i="1"/>
  <c r="AI223" i="1"/>
  <c r="U194" i="1"/>
  <c r="S194" i="1" s="1"/>
  <c r="AI231" i="1"/>
  <c r="U202" i="1"/>
  <c r="S202" i="1" s="1"/>
  <c r="AI239" i="1"/>
  <c r="U221" i="1"/>
  <c r="S221" i="1" s="1"/>
  <c r="W194" i="1"/>
  <c r="U53" i="1"/>
  <c r="S53" i="1" s="1"/>
  <c r="AI53" i="1"/>
  <c r="AI14" i="1"/>
  <c r="U14" i="1"/>
  <c r="S14" i="1" s="1"/>
  <c r="U58" i="1"/>
  <c r="S58" i="1" s="1"/>
  <c r="AI58" i="1"/>
  <c r="U69" i="1"/>
  <c r="S69" i="1" s="1"/>
  <c r="AI69" i="1"/>
  <c r="AI87" i="1"/>
  <c r="U87" i="1"/>
  <c r="S87" i="1" s="1"/>
  <c r="U72" i="1"/>
  <c r="S72" i="1" s="1"/>
  <c r="AI72" i="1"/>
  <c r="U99" i="1"/>
  <c r="S99" i="1" s="1"/>
  <c r="AI99" i="1"/>
  <c r="W53" i="1"/>
  <c r="U68" i="1"/>
  <c r="S68" i="1" s="1"/>
  <c r="AI68" i="1"/>
  <c r="W72" i="1"/>
  <c r="AI74" i="1"/>
  <c r="U74" i="1"/>
  <c r="S74" i="1" s="1"/>
  <c r="AI83" i="1"/>
  <c r="U83" i="1"/>
  <c r="S83" i="1" s="1"/>
  <c r="U132" i="1"/>
  <c r="S132" i="1" s="1"/>
  <c r="AI132" i="1"/>
  <c r="U120" i="1"/>
  <c r="S120" i="1" s="1"/>
  <c r="AI120" i="1"/>
  <c r="U136" i="1"/>
  <c r="S136" i="1" s="1"/>
  <c r="AI136" i="1"/>
  <c r="U160" i="1"/>
  <c r="S160" i="1" s="1"/>
  <c r="AI160" i="1"/>
  <c r="U215" i="1"/>
  <c r="S215" i="1" s="1"/>
  <c r="AI168" i="1"/>
  <c r="U228" i="1"/>
  <c r="S228" i="1" s="1"/>
  <c r="AI176" i="1"/>
  <c r="U236" i="1"/>
  <c r="S236" i="1" s="1"/>
  <c r="AI184" i="1"/>
  <c r="U163" i="1"/>
  <c r="S163" i="1" s="1"/>
  <c r="AI192" i="1"/>
  <c r="U171" i="1"/>
  <c r="S171" i="1" s="1"/>
  <c r="AI200" i="1"/>
  <c r="W120" i="1"/>
  <c r="U144" i="1"/>
  <c r="S144" i="1" s="1"/>
  <c r="AI144" i="1"/>
  <c r="U183" i="1"/>
  <c r="S183" i="1" s="1"/>
  <c r="AI212" i="1"/>
  <c r="W183" i="1"/>
  <c r="U189" i="1"/>
  <c r="S189" i="1" s="1"/>
  <c r="AI218" i="1"/>
  <c r="U205" i="1"/>
  <c r="S205" i="1" s="1"/>
  <c r="AI234" i="1"/>
  <c r="W221" i="1"/>
  <c r="W189" i="1"/>
  <c r="AI27" i="1"/>
  <c r="U27" i="1"/>
  <c r="U44" i="1"/>
  <c r="S44" i="1" s="1"/>
  <c r="AI44" i="1"/>
  <c r="AI46" i="1"/>
  <c r="U46" i="1"/>
  <c r="S46" i="1" s="1"/>
  <c r="W27" i="1"/>
  <c r="W69" i="1"/>
  <c r="W87" i="1"/>
  <c r="AI79" i="1"/>
  <c r="U79" i="1"/>
  <c r="S79" i="1" s="1"/>
  <c r="W92" i="1"/>
  <c r="U116" i="1"/>
  <c r="S116" i="1" s="1"/>
  <c r="AI116" i="1"/>
  <c r="W108" i="1"/>
  <c r="U124" i="1"/>
  <c r="S124" i="1" s="1"/>
  <c r="AI124" i="1"/>
  <c r="W136" i="1"/>
  <c r="U128" i="1"/>
  <c r="S128" i="1" s="1"/>
  <c r="AI128" i="1"/>
  <c r="W150" i="1"/>
  <c r="U158" i="1"/>
  <c r="S158" i="1" s="1"/>
  <c r="AI158" i="1"/>
  <c r="W163" i="1"/>
  <c r="U201" i="1"/>
  <c r="S201" i="1" s="1"/>
  <c r="AI230" i="1"/>
  <c r="AI219" i="1"/>
  <c r="U190" i="1"/>
  <c r="S190" i="1" s="1"/>
  <c r="AI227" i="1"/>
  <c r="U198" i="1"/>
  <c r="S198" i="1" s="1"/>
  <c r="AI235" i="1"/>
  <c r="U206" i="1"/>
  <c r="S206" i="1" s="1"/>
  <c r="W148" i="1"/>
  <c r="W236" i="1"/>
  <c r="W202" i="1"/>
  <c r="W190" i="1"/>
  <c r="W220" i="1"/>
  <c r="AI32" i="1"/>
  <c r="U32" i="1"/>
  <c r="S32" i="1" s="1"/>
  <c r="AI23" i="1"/>
  <c r="U23" i="1"/>
  <c r="S23" i="1" s="1"/>
  <c r="AI40" i="1"/>
  <c r="U40" i="1"/>
  <c r="S40" i="1" s="1"/>
  <c r="AI49" i="1"/>
  <c r="U49" i="1"/>
  <c r="S49" i="1" s="1"/>
  <c r="U54" i="1"/>
  <c r="S54" i="1" s="1"/>
  <c r="AI54" i="1"/>
  <c r="W54" i="1"/>
  <c r="U65" i="1"/>
  <c r="S65" i="1" s="1"/>
  <c r="AI65" i="1"/>
  <c r="AI92" i="1"/>
  <c r="U92" i="1"/>
  <c r="S92" i="1" s="1"/>
  <c r="U112" i="1"/>
  <c r="S112" i="1" s="1"/>
  <c r="AI112" i="1"/>
  <c r="W91" i="1"/>
  <c r="AI19" i="1"/>
  <c r="U19" i="1"/>
  <c r="S19" i="1" s="1"/>
  <c r="W68" i="1"/>
  <c r="U157" i="1"/>
  <c r="S157" i="1" s="1"/>
  <c r="AI157" i="1"/>
  <c r="U211" i="1"/>
  <c r="S211" i="1" s="1"/>
  <c r="AI164" i="1"/>
  <c r="U224" i="1"/>
  <c r="S224" i="1" s="1"/>
  <c r="AI172" i="1"/>
  <c r="U232" i="1"/>
  <c r="S232" i="1"/>
  <c r="AI180" i="1"/>
  <c r="U240" i="1"/>
  <c r="S240" i="1" s="1"/>
  <c r="AI188" i="1"/>
  <c r="U167" i="1"/>
  <c r="S167" i="1" s="1"/>
  <c r="AI196" i="1"/>
  <c r="U175" i="1"/>
  <c r="S175" i="1" s="1"/>
  <c r="AI204" i="1"/>
  <c r="U140" i="1"/>
  <c r="S140" i="1" s="1"/>
  <c r="AI140" i="1"/>
  <c r="W112" i="1"/>
  <c r="U197" i="1"/>
  <c r="S197" i="1" s="1"/>
  <c r="AI226" i="1"/>
  <c r="W167" i="1"/>
  <c r="W157" i="1"/>
  <c r="W197" i="1"/>
  <c r="W198" i="1"/>
  <c r="W205" i="1"/>
  <c r="W193" i="1"/>
  <c r="M44" i="3"/>
  <c r="U44" i="3"/>
  <c r="V44" i="3"/>
  <c r="W44" i="3"/>
  <c r="X44" i="3"/>
  <c r="M28" i="5"/>
  <c r="T44" i="3" l="1"/>
  <c r="AD9" i="3"/>
  <c r="AC44" i="3"/>
  <c r="R44" i="3"/>
  <c r="S44" i="3"/>
  <c r="Y44" i="3"/>
  <c r="AD44" i="3"/>
  <c r="B4" i="6" l="1"/>
  <c r="F4" i="6" s="1"/>
  <c r="K4" i="6"/>
  <c r="B5" i="6"/>
  <c r="F5" i="6" s="1"/>
  <c r="K5" i="6"/>
  <c r="B6" i="6"/>
  <c r="G6" i="6" s="1"/>
  <c r="K6" i="6"/>
  <c r="B7" i="6"/>
  <c r="F7" i="6" s="1"/>
  <c r="K7" i="6"/>
  <c r="B8" i="6"/>
  <c r="F8" i="6" s="1"/>
  <c r="K8" i="6"/>
  <c r="B9" i="6"/>
  <c r="F9" i="6" s="1"/>
  <c r="K9" i="6"/>
  <c r="B10" i="6"/>
  <c r="G10" i="6" s="1"/>
  <c r="K10" i="6"/>
  <c r="B11" i="6"/>
  <c r="K11" i="6"/>
  <c r="B12" i="6"/>
  <c r="F12" i="6" s="1"/>
  <c r="K12" i="6"/>
  <c r="B13" i="6"/>
  <c r="F13" i="6" s="1"/>
  <c r="K13" i="6"/>
  <c r="B14" i="6"/>
  <c r="G14" i="6" s="1"/>
  <c r="K14" i="6"/>
  <c r="B15" i="6"/>
  <c r="F15" i="6" s="1"/>
  <c r="K15" i="6"/>
  <c r="B16" i="6"/>
  <c r="F16" i="6" s="1"/>
  <c r="K16" i="6"/>
  <c r="I7" i="6" l="1"/>
  <c r="F10" i="6"/>
  <c r="G4" i="6"/>
  <c r="F11" i="6"/>
  <c r="I11" i="6"/>
  <c r="G8" i="6"/>
  <c r="F14" i="6"/>
  <c r="I15" i="6"/>
  <c r="G12" i="6"/>
  <c r="G16" i="6"/>
  <c r="F6" i="6"/>
  <c r="H15" i="6"/>
  <c r="H11" i="6"/>
  <c r="H7" i="6"/>
  <c r="I16" i="6"/>
  <c r="G15" i="6"/>
  <c r="J14" i="6"/>
  <c r="I12" i="6"/>
  <c r="G11" i="6"/>
  <c r="J10" i="6"/>
  <c r="I8" i="6"/>
  <c r="G7" i="6"/>
  <c r="J6" i="6"/>
  <c r="I4" i="6"/>
  <c r="H16" i="6"/>
  <c r="J15" i="6"/>
  <c r="I14" i="6"/>
  <c r="I13" i="6"/>
  <c r="H12" i="6"/>
  <c r="J11" i="6"/>
  <c r="I10" i="6"/>
  <c r="I9" i="6"/>
  <c r="H8" i="6"/>
  <c r="J7" i="6"/>
  <c r="I6" i="6"/>
  <c r="I5" i="6"/>
  <c r="H13" i="6"/>
  <c r="H9" i="6"/>
  <c r="H5" i="6"/>
  <c r="J16" i="6"/>
  <c r="H14" i="6"/>
  <c r="G13" i="6"/>
  <c r="J12" i="6"/>
  <c r="H10" i="6"/>
  <c r="G9" i="6"/>
  <c r="J8" i="6"/>
  <c r="H6" i="6"/>
  <c r="G5" i="6"/>
  <c r="J4" i="6"/>
  <c r="J13" i="6"/>
  <c r="J9" i="6"/>
  <c r="J5" i="6"/>
  <c r="B86" i="9" l="1"/>
  <c r="B87" i="9"/>
  <c r="C87" i="9" l="1"/>
  <c r="B3" i="6" l="1"/>
  <c r="G3" i="6" s="1"/>
  <c r="K3" i="6"/>
  <c r="I3" i="6" l="1"/>
  <c r="J3" i="6"/>
  <c r="F3" i="6"/>
  <c r="B81" i="9"/>
  <c r="B82" i="9"/>
  <c r="B83" i="9"/>
  <c r="B84" i="9"/>
  <c r="B85" i="9"/>
  <c r="C86" i="9" s="1"/>
  <c r="C83" i="9" l="1"/>
  <c r="C85" i="9"/>
  <c r="C84" i="9"/>
  <c r="C82" i="9"/>
  <c r="B53" i="9" l="1"/>
  <c r="B54" i="9"/>
  <c r="B55" i="9"/>
  <c r="B56" i="9"/>
  <c r="B57" i="9"/>
  <c r="B58" i="9"/>
  <c r="B59" i="9"/>
  <c r="B60" i="9"/>
  <c r="B61" i="9"/>
  <c r="B62" i="9"/>
  <c r="C62" i="9" s="1"/>
  <c r="B63" i="9"/>
  <c r="B64" i="9"/>
  <c r="B65" i="9"/>
  <c r="B66" i="9"/>
  <c r="C66" i="9" s="1"/>
  <c r="B67" i="9"/>
  <c r="B68" i="9"/>
  <c r="B69" i="9"/>
  <c r="B70" i="9"/>
  <c r="C70" i="9" s="1"/>
  <c r="B71" i="9"/>
  <c r="B72" i="9"/>
  <c r="B73" i="9"/>
  <c r="B74" i="9"/>
  <c r="C74" i="9" s="1"/>
  <c r="B75" i="9"/>
  <c r="B76" i="9"/>
  <c r="B77" i="9"/>
  <c r="B78" i="9"/>
  <c r="C78" i="9" s="1"/>
  <c r="B79" i="9"/>
  <c r="B80" i="9"/>
  <c r="C76" i="9" l="1"/>
  <c r="C72" i="9"/>
  <c r="C68" i="9"/>
  <c r="C64" i="9"/>
  <c r="C60" i="9"/>
  <c r="C56" i="9"/>
  <c r="C58" i="9"/>
  <c r="C80" i="9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21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20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N29" i="3" s="1"/>
  <c r="G56" i="4"/>
  <c r="G57" i="4"/>
  <c r="G58" i="4"/>
  <c r="G59" i="4"/>
  <c r="N41" i="3" s="1"/>
  <c r="G60" i="4"/>
  <c r="N48" i="3" s="1"/>
  <c r="G61" i="4"/>
  <c r="G62" i="4"/>
  <c r="G63" i="4"/>
  <c r="G64" i="4"/>
  <c r="N25" i="3" s="1"/>
  <c r="G65" i="4"/>
  <c r="G66" i="4"/>
  <c r="G67" i="4"/>
  <c r="N11" i="3" s="1"/>
  <c r="G68" i="4"/>
  <c r="G69" i="4"/>
  <c r="G70" i="4"/>
  <c r="N26" i="3" s="1"/>
  <c r="G71" i="4"/>
  <c r="G72" i="4"/>
  <c r="G73" i="4"/>
  <c r="N42" i="3" s="1"/>
  <c r="G74" i="4"/>
  <c r="G75" i="4"/>
  <c r="G76" i="4"/>
  <c r="G77" i="4"/>
  <c r="N38" i="3" s="1"/>
  <c r="G78" i="4"/>
  <c r="G79" i="4"/>
  <c r="G80" i="4"/>
  <c r="G81" i="4"/>
  <c r="N18" i="3" s="1"/>
  <c r="G82" i="4"/>
  <c r="G83" i="4"/>
  <c r="G84" i="4"/>
  <c r="G85" i="4"/>
  <c r="G86" i="4"/>
  <c r="G87" i="4"/>
  <c r="G88" i="4"/>
  <c r="G89" i="4"/>
  <c r="G90" i="4"/>
  <c r="G91" i="4"/>
  <c r="N12" i="3" s="1"/>
  <c r="G92" i="4"/>
  <c r="G93" i="4"/>
  <c r="G94" i="4"/>
  <c r="G95" i="4"/>
  <c r="G96" i="4"/>
  <c r="G97" i="4"/>
  <c r="G98" i="4"/>
  <c r="G99" i="4"/>
  <c r="G100" i="4"/>
  <c r="N14" i="3" s="1"/>
  <c r="G101" i="4"/>
  <c r="G102" i="4"/>
  <c r="G103" i="4"/>
  <c r="G104" i="4"/>
  <c r="N35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N36" i="3" s="1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N30" i="3" s="1"/>
  <c r="G144" i="4"/>
  <c r="G145" i="4"/>
  <c r="G146" i="4"/>
  <c r="G147" i="4"/>
  <c r="G148" i="4"/>
  <c r="G149" i="4"/>
  <c r="G150" i="4"/>
  <c r="G151" i="4"/>
  <c r="G152" i="4"/>
  <c r="G153" i="4"/>
  <c r="G154" i="4"/>
  <c r="N33" i="3" s="1"/>
  <c r="G155" i="4"/>
  <c r="G156" i="4"/>
  <c r="G157" i="4"/>
  <c r="N15" i="3" s="1"/>
  <c r="G158" i="4"/>
  <c r="G159" i="4"/>
  <c r="G160" i="4"/>
  <c r="G161" i="4"/>
  <c r="N47" i="3" s="1"/>
  <c r="G162" i="4"/>
  <c r="G163" i="4"/>
  <c r="G164" i="4"/>
  <c r="N16" i="3" s="1"/>
  <c r="G165" i="4"/>
  <c r="G166" i="4"/>
  <c r="N37" i="3" s="1"/>
  <c r="G167" i="4"/>
  <c r="G168" i="4"/>
  <c r="G169" i="4"/>
  <c r="G170" i="4"/>
  <c r="N39" i="3" s="1"/>
  <c r="G171" i="4"/>
  <c r="G172" i="4"/>
  <c r="G173" i="4"/>
  <c r="G174" i="4"/>
  <c r="G175" i="4"/>
  <c r="G176" i="4"/>
  <c r="G177" i="4"/>
  <c r="G178" i="4"/>
  <c r="G179" i="4"/>
  <c r="G180" i="4"/>
  <c r="G181" i="4"/>
  <c r="N45" i="3" s="1"/>
  <c r="G182" i="4"/>
  <c r="G183" i="4"/>
  <c r="G184" i="4"/>
  <c r="N40" i="3" s="1"/>
  <c r="G185" i="4"/>
  <c r="G186" i="4"/>
  <c r="N27" i="3" s="1"/>
  <c r="G187" i="4"/>
  <c r="N34" i="3" s="1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49" i="3" s="1"/>
  <c r="G204" i="4"/>
  <c r="G205" i="4"/>
  <c r="G206" i="4"/>
  <c r="G207" i="4"/>
  <c r="G208" i="4"/>
  <c r="G209" i="4"/>
  <c r="N28" i="3" s="1"/>
  <c r="G210" i="4"/>
  <c r="G211" i="4"/>
  <c r="G212" i="4"/>
  <c r="G213" i="4"/>
  <c r="G214" i="4"/>
  <c r="G215" i="4"/>
  <c r="G216" i="4"/>
  <c r="G217" i="4"/>
  <c r="G218" i="4"/>
  <c r="G219" i="4"/>
  <c r="G220" i="4"/>
  <c r="N9" i="3" s="1"/>
  <c r="G221" i="4"/>
  <c r="G222" i="4"/>
  <c r="G223" i="4"/>
  <c r="G224" i="4"/>
  <c r="G225" i="4"/>
  <c r="N23" i="3" s="1"/>
  <c r="G226" i="4"/>
  <c r="G227" i="4"/>
  <c r="G228" i="4"/>
  <c r="G229" i="4"/>
  <c r="G230" i="4"/>
  <c r="G231" i="4"/>
  <c r="G232" i="4"/>
  <c r="G233" i="4"/>
  <c r="G234" i="4"/>
  <c r="N43" i="3" s="1"/>
  <c r="G235" i="4"/>
  <c r="N24" i="3" s="1"/>
  <c r="G236" i="4"/>
  <c r="N46" i="3" s="1"/>
  <c r="G237" i="4"/>
  <c r="G238" i="4"/>
  <c r="G239" i="4"/>
  <c r="G240" i="4"/>
  <c r="G241" i="4"/>
  <c r="G242" i="4"/>
  <c r="G243" i="4"/>
  <c r="N8" i="3" s="1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0" i="3" l="1"/>
  <c r="N7" i="3"/>
  <c r="N17" i="3"/>
  <c r="N19" i="3"/>
  <c r="N31" i="3"/>
  <c r="N32" i="3"/>
  <c r="N22" i="3"/>
  <c r="N13" i="3"/>
  <c r="H4" i="6"/>
  <c r="H3" i="6"/>
  <c r="N4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<sst xmlns="http://schemas.openxmlformats.org/spreadsheetml/2006/main" count="2737" uniqueCount="989">
  <si>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</si>
  <si>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</si>
  <si>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</si>
  <si>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</si>
  <si>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</si>
  <si>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</si>
  <si>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</si>
  <si>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</si>
  <si>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</si>
  <si>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</si>
  <si>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</si>
  <si>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</si>
  <si>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</si>
  <si>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</si>
  <si>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</si>
  <si>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</si>
  <si>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</si>
  <si>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</si>
  <si>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</si>
  <si>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</si>
  <si>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</si>
  <si>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</si>
  <si>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</si>
  <si>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</si>
  <si>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</si>
  <si>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</si>
  <si>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</si>
  <si>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</si>
  <si>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</si>
  <si>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</si>
  <si>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</si>
  <si>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</si>
  <si>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</si>
  <si>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</si>
  <si>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</si>
  <si>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</si>
  <si>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</si>
  <si>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</si>
  <si>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</si>
  <si>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</si>
  <si>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</si>
  <si>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</si>
  <si>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</si>
  <si>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</si>
  <si>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</si>
  <si>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</si>
  <si>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</si>
  <si>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</si>
  <si>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</si>
  <si>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</si>
  <si>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</si>
  <si>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</si>
  <si>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</si>
  <si>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</si>
  <si>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</si>
  <si>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</si>
  <si>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</si>
  <si>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</si>
  <si>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</si>
  <si>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</si>
  <si>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</si>
  <si>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</si>
  <si>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</si>
  <si>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</si>
  <si>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</si>
  <si>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</si>
  <si>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</si>
  <si>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</si>
  <si>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</si>
  <si>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</si>
  <si>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</si>
  <si>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</si>
  <si>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</si>
  <si>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</si>
  <si>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</si>
  <si>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</si>
  <si>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</si>
  <si>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</si>
  <si>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</si>
  <si>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</si>
  <si>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</si>
  <si>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</si>
  <si>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</si>
  <si>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</si>
  <si>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</si>
  <si>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</si>
  <si>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</si>
  <si>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</si>
  <si>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</si>
  <si>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</si>
  <si>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</si>
  <si>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</si>
  <si>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</si>
  <si>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</si>
  <si>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</si>
  <si>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</si>
  <si>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</si>
  <si>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</si>
  <si>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</si>
  <si>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</si>
  <si>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</si>
  <si>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</si>
  <si>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</si>
  <si>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</si>
  <si>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</si>
  <si>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</si>
  <si>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</si>
  <si>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</si>
  <si>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</si>
  <si>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</si>
  <si>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</si>
  <si>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</si>
  <si>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</si>
  <si>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</si>
  <si>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</si>
  <si>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</si>
  <si>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</si>
  <si>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</si>
  <si>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</si>
  <si>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</si>
  <si>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</si>
  <si>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</si>
  <si>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</si>
  <si>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</si>
  <si>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</si>
  <si>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</si>
  <si>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</si>
  <si>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</si>
  <si>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</si>
  <si>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</si>
  <si>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</si>
  <si>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</si>
  <si>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</si>
  <si>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</si>
  <si>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</si>
  <si>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</si>
  <si>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</si>
  <si>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</si>
  <si>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</si>
  <si>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</si>
  <si>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</si>
  <si>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</si>
  <si>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</si>
  <si>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</si>
  <si>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</si>
  <si>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</si>
  <si>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</si>
  <si>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</si>
  <si>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</si>
  <si>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</si>
  <si>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</si>
  <si>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</si>
  <si>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</si>
  <si>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</si>
  <si>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</si>
  <si>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</si>
  <si>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</si>
  <si>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</si>
  <si>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</si>
  <si>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</si>
  <si>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</si>
  <si>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</si>
  <si>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</si>
  <si>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</si>
  <si>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</si>
  <si>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</si>
  <si>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</si>
  <si>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</si>
  <si>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</si>
  <si>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</si>
  <si>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</si>
  <si>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</si>
  <si>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</si>
  <si>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</si>
  <si>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</si>
  <si>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</si>
  <si>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</si>
  <si>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</si>
  <si>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</si>
  <si>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</si>
  <si>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</si>
  <si>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</si>
  <si>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</si>
  <si>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</si>
  <si>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</si>
  <si>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</si>
  <si>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</si>
  <si>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</si>
  <si>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</si>
  <si>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</si>
  <si>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</si>
  <si>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</si>
  <si>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</si>
  <si>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</si>
  <si>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</si>
  <si>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</si>
  <si>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</si>
  <si>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</si>
  <si>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</si>
  <si>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</si>
  <si>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</si>
  <si>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</si>
  <si>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</si>
  <si>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</si>
  <si>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</si>
  <si>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</si>
  <si>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</si>
  <si>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</si>
  <si>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</si>
  <si>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</si>
  <si>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</si>
  <si>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</si>
  <si>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</si>
  <si>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</si>
  <si>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</si>
  <si>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</si>
  <si>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</si>
  <si>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</si>
  <si>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</si>
  <si>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</si>
  <si>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</si>
  <si>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</si>
  <si>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</si>
  <si>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</si>
  <si>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</si>
  <si>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</si>
  <si>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</si>
  <si>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</si>
  <si>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</si>
  <si>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</si>
  <si>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</si>
  <si>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204:471</t>
  </si>
  <si>
    <t>rtdc.l.rtdc.4042:itc</t>
  </si>
  <si>
    <t>rtdc.l.rtdc.4041:itc</t>
  </si>
  <si>
    <t>DAVIDSON</t>
  </si>
  <si>
    <t>204:145</t>
  </si>
  <si>
    <t>rtdc.l.rtdc.4032:itc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</si>
  <si>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</si>
  <si>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</si>
  <si>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</si>
  <si>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</si>
  <si>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</si>
  <si>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</si>
  <si>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</si>
  <si>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</si>
  <si>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</si>
  <si>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</si>
  <si>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</si>
  <si>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</si>
  <si>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</si>
  <si>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</si>
  <si>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</si>
  <si>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</si>
  <si>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</si>
  <si>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</si>
  <si>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</si>
  <si>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</si>
  <si>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</si>
  <si>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</si>
  <si>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</si>
  <si>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</si>
  <si>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</si>
  <si>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</si>
  <si>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</si>
  <si>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</si>
  <si>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</si>
  <si>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</si>
  <si>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</si>
  <si>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</si>
  <si>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</si>
  <si>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204:232985</t>
  </si>
  <si>
    <t>rtdc.l.rtdc.4004:itc</t>
  </si>
  <si>
    <t>204:138</t>
  </si>
  <si>
    <t>204:444</t>
  </si>
  <si>
    <t>rtdc.l.rtdc.4018:itc</t>
  </si>
  <si>
    <t>rtdc.l.rtdc.4017:itc</t>
  </si>
  <si>
    <t>204:233289</t>
  </si>
  <si>
    <t>204:233000</t>
  </si>
  <si>
    <t>204:232986</t>
  </si>
  <si>
    <t>204:440</t>
  </si>
  <si>
    <t>204:233299</t>
  </si>
  <si>
    <t>204:233298</t>
  </si>
  <si>
    <t>204:969</t>
  </si>
  <si>
    <t>300:58939</t>
  </si>
  <si>
    <t>300:58615</t>
  </si>
  <si>
    <t>rtdc.l.rtdc.4010:itc</t>
  </si>
  <si>
    <t>SMITH</t>
  </si>
  <si>
    <t>NEWELL</t>
  </si>
  <si>
    <t>204:233310</t>
  </si>
  <si>
    <t>204:449</t>
  </si>
  <si>
    <t>204:469</t>
  </si>
  <si>
    <t>204:442</t>
  </si>
  <si>
    <t>204:233295</t>
  </si>
  <si>
    <t>204:233308</t>
  </si>
  <si>
    <t>204:232973</t>
  </si>
  <si>
    <t>204:232972</t>
  </si>
  <si>
    <t>204:232978</t>
  </si>
  <si>
    <t>300:58924</t>
  </si>
  <si>
    <t>300:58926</t>
  </si>
  <si>
    <t>300:58920</t>
  </si>
  <si>
    <t>rtdc.l.rtdc.4028:itc</t>
  </si>
  <si>
    <t>rtdc.l.rtdc.4027:itc</t>
  </si>
  <si>
    <t>rtdc.l.rtdc.4044:itc</t>
  </si>
  <si>
    <t>rtdc.l.rtdc.4043:itc</t>
  </si>
  <si>
    <t>OUN</t>
  </si>
  <si>
    <t>ZACK</t>
  </si>
  <si>
    <t>BARTLETT</t>
  </si>
  <si>
    <t>KIANDRA</t>
  </si>
  <si>
    <t>MCREYNOLDS</t>
  </si>
  <si>
    <t>KYLE</t>
  </si>
  <si>
    <t>244-18</t>
  </si>
  <si>
    <t>313-18</t>
  </si>
  <si>
    <t>315-18</t>
  </si>
  <si>
    <t>302-19</t>
  </si>
  <si>
    <t>204:232981</t>
  </si>
  <si>
    <t>204:433</t>
  </si>
  <si>
    <t>204:1018</t>
  </si>
  <si>
    <t>300:58611</t>
  </si>
  <si>
    <t>204:172</t>
  </si>
  <si>
    <t>204:170</t>
  </si>
  <si>
    <t>204:233297</t>
  </si>
  <si>
    <t>300:23302</t>
  </si>
  <si>
    <t>rtdc.l.rtdc.4019:itc</t>
  </si>
  <si>
    <t>MAGEE</t>
  </si>
  <si>
    <t>KENYA</t>
  </si>
  <si>
    <t>STARKS</t>
  </si>
  <si>
    <t>ANGELINA</t>
  </si>
  <si>
    <t>SIMMONS</t>
  </si>
  <si>
    <t>SHYHESHA</t>
  </si>
  <si>
    <t>rtdc.l.rtdc.4020:itc</t>
  </si>
  <si>
    <t>DUNCAN</t>
  </si>
  <si>
    <t>SHEILA</t>
  </si>
  <si>
    <t>CLARK</t>
  </si>
  <si>
    <t>KATHLEEN</t>
  </si>
  <si>
    <t>COMELLA</t>
  </si>
  <si>
    <t>JUSTIN</t>
  </si>
  <si>
    <t>YANG</t>
  </si>
  <si>
    <t>JAN</t>
  </si>
  <si>
    <t>partly-cloudy-day</t>
  </si>
  <si>
    <t>Mostly Cloudy</t>
  </si>
  <si>
    <t>204:748</t>
  </si>
  <si>
    <t>204:233312</t>
  </si>
  <si>
    <t>204:233293</t>
  </si>
  <si>
    <t>204:233288</t>
  </si>
  <si>
    <t>204:232959</t>
  </si>
  <si>
    <t>204:232991</t>
  </si>
  <si>
    <t>204:233300</t>
  </si>
  <si>
    <t>204:152</t>
  </si>
  <si>
    <t>204:232967</t>
  </si>
  <si>
    <t>204:232975</t>
  </si>
  <si>
    <t>204:233025</t>
  </si>
  <si>
    <t>204:233002</t>
  </si>
  <si>
    <t>204:233302</t>
  </si>
  <si>
    <t>204:232979</t>
  </si>
  <si>
    <t>204:232980</t>
  </si>
  <si>
    <t>204:232983</t>
  </si>
  <si>
    <t>204:232982</t>
  </si>
  <si>
    <t>204:233287</t>
  </si>
  <si>
    <t>204:466</t>
  </si>
  <si>
    <t>204:911</t>
  </si>
  <si>
    <t>300:58630</t>
  </si>
  <si>
    <t>300:58609</t>
  </si>
  <si>
    <t>300:58608</t>
  </si>
  <si>
    <t>300:58922</t>
  </si>
  <si>
    <t>204:692</t>
  </si>
  <si>
    <t>ISHMAEL</t>
  </si>
  <si>
    <t>JOSEPH</t>
  </si>
  <si>
    <t>GEBRETEKLE</t>
  </si>
  <si>
    <t>DAGNEW</t>
  </si>
  <si>
    <t>BONDS</t>
  </si>
  <si>
    <t>REYNALDO</t>
  </si>
  <si>
    <t>HELVIE</t>
  </si>
  <si>
    <t>ADAM</t>
  </si>
  <si>
    <t>BRANNON</t>
  </si>
  <si>
    <t>JEFFREY</t>
  </si>
  <si>
    <t>BRUDER</t>
  </si>
  <si>
    <t>RICHARD</t>
  </si>
  <si>
    <t>HILLS</t>
  </si>
  <si>
    <t>DUSTIN</t>
  </si>
  <si>
    <t>BROWN</t>
  </si>
  <si>
    <t>JACOB</t>
  </si>
  <si>
    <t>rtdc.l.rtdc.4030:itc</t>
  </si>
  <si>
    <t>60-21</t>
  </si>
  <si>
    <t>52-21</t>
  </si>
  <si>
    <t>PERKINS</t>
  </si>
  <si>
    <t>DARREN</t>
  </si>
  <si>
    <t>311-21</t>
  </si>
  <si>
    <t>rtdc.l.rtdc.4029:itc</t>
  </si>
  <si>
    <t>61-21</t>
  </si>
  <si>
    <t>51-21</t>
  </si>
  <si>
    <t>302-22</t>
  </si>
  <si>
    <t>cloudy</t>
  </si>
  <si>
    <t>Overcast</t>
  </si>
  <si>
    <t>204:132</t>
  </si>
  <si>
    <t>204:232989</t>
  </si>
  <si>
    <t>204:158</t>
  </si>
  <si>
    <t>204:232998</t>
  </si>
  <si>
    <t>204:233303</t>
  </si>
  <si>
    <t>204:232992</t>
  </si>
  <si>
    <t>204:233006</t>
  </si>
  <si>
    <t>204:446</t>
  </si>
  <si>
    <t>204:232987</t>
  </si>
  <si>
    <t>204:141</t>
  </si>
  <si>
    <t>204:233307</t>
  </si>
  <si>
    <t>204:233314</t>
  </si>
  <si>
    <t>204:232988</t>
  </si>
  <si>
    <t>204:233306</t>
  </si>
  <si>
    <t>204:232996</t>
  </si>
  <si>
    <t>204:212</t>
  </si>
  <si>
    <t>204:233338</t>
  </si>
  <si>
    <t>204:183</t>
  </si>
  <si>
    <t>204:404</t>
  </si>
  <si>
    <t>300:23061</t>
  </si>
  <si>
    <t>204:67467</t>
  </si>
  <si>
    <t>204:128266</t>
  </si>
  <si>
    <t>204:67710</t>
  </si>
  <si>
    <t>204:128312</t>
  </si>
  <si>
    <t>204:127999</t>
  </si>
  <si>
    <t>204:70054</t>
  </si>
  <si>
    <t>204:128005</t>
  </si>
  <si>
    <t>204:69409</t>
  </si>
  <si>
    <t>204:128044</t>
  </si>
  <si>
    <t>204:72392</t>
  </si>
  <si>
    <t>204:67796</t>
  </si>
  <si>
    <t>204:128305</t>
  </si>
  <si>
    <t>300:58583</t>
  </si>
  <si>
    <t>204:684</t>
  </si>
  <si>
    <t>204:964</t>
  </si>
  <si>
    <t>204:965</t>
  </si>
  <si>
    <t>300:58950</t>
  </si>
  <si>
    <t>204:699</t>
  </si>
  <si>
    <t>300:58937</t>
  </si>
  <si>
    <t>300:58624</t>
  </si>
  <si>
    <t>300:58935</t>
  </si>
  <si>
    <t>204:694</t>
  </si>
  <si>
    <t>204:663</t>
  </si>
  <si>
    <t>204:629</t>
  </si>
  <si>
    <t>204:677</t>
  </si>
  <si>
    <t>204:978</t>
  </si>
  <si>
    <t>300:58643</t>
  </si>
  <si>
    <t>306-22</t>
  </si>
  <si>
    <t>103-22</t>
  </si>
  <si>
    <t>102-22</t>
  </si>
  <si>
    <t>113-22</t>
  </si>
  <si>
    <t>111-22</t>
  </si>
  <si>
    <t>52-22</t>
  </si>
  <si>
    <t>805-22</t>
  </si>
  <si>
    <t>118-22</t>
  </si>
  <si>
    <t>122-22</t>
  </si>
  <si>
    <t>SWITCH UNKNOWN</t>
  </si>
  <si>
    <t>Track device (7)</t>
  </si>
  <si>
    <t>124-22</t>
  </si>
  <si>
    <t>126-22</t>
  </si>
  <si>
    <t>809-22</t>
  </si>
  <si>
    <t>810-22</t>
  </si>
  <si>
    <t>139-22</t>
  </si>
  <si>
    <t>140-22</t>
  </si>
  <si>
    <t>144-22</t>
  </si>
  <si>
    <t>815-22</t>
  </si>
  <si>
    <t>153-22</t>
  </si>
  <si>
    <t>818-22</t>
  </si>
  <si>
    <t>176-22</t>
  </si>
  <si>
    <t>189-22</t>
  </si>
  <si>
    <t>904-22</t>
  </si>
  <si>
    <t>191-22</t>
  </si>
  <si>
    <t>190-22</t>
  </si>
  <si>
    <t>827-22</t>
  </si>
  <si>
    <t>195-22</t>
  </si>
  <si>
    <t>828-22</t>
  </si>
  <si>
    <t>rtdc.l.rtdc.4054:itc</t>
  </si>
  <si>
    <t>56-22</t>
  </si>
  <si>
    <t>832-22</t>
  </si>
  <si>
    <t>204-22</t>
  </si>
  <si>
    <t>211-22</t>
  </si>
  <si>
    <t>60-22</t>
  </si>
  <si>
    <t>216-22</t>
  </si>
  <si>
    <t>225-22</t>
  </si>
  <si>
    <t>229-22</t>
  </si>
  <si>
    <t>232-22</t>
  </si>
  <si>
    <t>847-22</t>
  </si>
  <si>
    <t>908-22</t>
  </si>
  <si>
    <t>243-22</t>
  </si>
  <si>
    <t>101-22</t>
  </si>
  <si>
    <t>50-22</t>
  </si>
  <si>
    <t>ROBINSON</t>
  </si>
  <si>
    <t>KADDIBA</t>
  </si>
  <si>
    <t>308-22</t>
  </si>
  <si>
    <t>105-22</t>
  </si>
  <si>
    <t>310-22</t>
  </si>
  <si>
    <t>SIMONEAUX</t>
  </si>
  <si>
    <t>TERA</t>
  </si>
  <si>
    <t>107-22</t>
  </si>
  <si>
    <t>109-22</t>
  </si>
  <si>
    <t>901-22</t>
  </si>
  <si>
    <t>SHOOK</t>
  </si>
  <si>
    <t>106-22</t>
  </si>
  <si>
    <t>108-22</t>
  </si>
  <si>
    <t>800-22</t>
  </si>
  <si>
    <t>115-22</t>
  </si>
  <si>
    <t>110-22</t>
  </si>
  <si>
    <t>117-22</t>
  </si>
  <si>
    <t>112-22</t>
  </si>
  <si>
    <t>801-22</t>
  </si>
  <si>
    <t>119-22</t>
  </si>
  <si>
    <t>114-22</t>
  </si>
  <si>
    <t>902-22</t>
  </si>
  <si>
    <t>802-22</t>
  </si>
  <si>
    <t>121-22</t>
  </si>
  <si>
    <t>803-22</t>
  </si>
  <si>
    <t>123-22</t>
  </si>
  <si>
    <t>125-22</t>
  </si>
  <si>
    <t>SPECTOR</t>
  </si>
  <si>
    <t>127-22</t>
  </si>
  <si>
    <t>120-22</t>
  </si>
  <si>
    <t>804-22</t>
  </si>
  <si>
    <t>806-22</t>
  </si>
  <si>
    <t>129-22</t>
  </si>
  <si>
    <t>807-22</t>
  </si>
  <si>
    <t>131-22</t>
  </si>
  <si>
    <t>133-22</t>
  </si>
  <si>
    <t>808-22</t>
  </si>
  <si>
    <t>128-22</t>
  </si>
  <si>
    <t>135-22</t>
  </si>
  <si>
    <t>130-22</t>
  </si>
  <si>
    <t>137-22</t>
  </si>
  <si>
    <t>811-22</t>
  </si>
  <si>
    <t>132-22</t>
  </si>
  <si>
    <t>134-22</t>
  </si>
  <si>
    <t>903-22</t>
  </si>
  <si>
    <t>141-22</t>
  </si>
  <si>
    <t>812-22</t>
  </si>
  <si>
    <t>136-22</t>
  </si>
  <si>
    <t>143-22</t>
  </si>
  <si>
    <t>138-22</t>
  </si>
  <si>
    <t>813-22</t>
  </si>
  <si>
    <t>145-22</t>
  </si>
  <si>
    <t>BRANDNER</t>
  </si>
  <si>
    <t>MELINDA</t>
  </si>
  <si>
    <t>147-22</t>
  </si>
  <si>
    <t>142-22</t>
  </si>
  <si>
    <t>814-22</t>
  </si>
  <si>
    <t>149-22</t>
  </si>
  <si>
    <t>151-22</t>
  </si>
  <si>
    <t>146-22</t>
  </si>
  <si>
    <t>148-22</t>
  </si>
  <si>
    <t>150-22</t>
  </si>
  <si>
    <t>155-22</t>
  </si>
  <si>
    <t>816-22</t>
  </si>
  <si>
    <t>157-22</t>
  </si>
  <si>
    <t>152-22</t>
  </si>
  <si>
    <t>159-22</t>
  </si>
  <si>
    <t>54-22</t>
  </si>
  <si>
    <t>MOSES</t>
  </si>
  <si>
    <t>BRADLEY</t>
  </si>
  <si>
    <t>161-22</t>
  </si>
  <si>
    <t>KILLION</t>
  </si>
  <si>
    <t>154-22</t>
  </si>
  <si>
    <t>817-22</t>
  </si>
  <si>
    <t>156-22</t>
  </si>
  <si>
    <t>163-22</t>
  </si>
  <si>
    <t>158-22</t>
  </si>
  <si>
    <t>rtdc.l.rtdc.4053:itc</t>
  </si>
  <si>
    <t>53-22</t>
  </si>
  <si>
    <t>165-22</t>
  </si>
  <si>
    <t>160-22</t>
  </si>
  <si>
    <t>167-22</t>
  </si>
  <si>
    <t>162-22</t>
  </si>
  <si>
    <t>169-22</t>
  </si>
  <si>
    <t>819-22</t>
  </si>
  <si>
    <t>164-22</t>
  </si>
  <si>
    <t>166-22</t>
  </si>
  <si>
    <t>171-22</t>
  </si>
  <si>
    <t>820-22</t>
  </si>
  <si>
    <t>168-22</t>
  </si>
  <si>
    <t>173-22</t>
  </si>
  <si>
    <t>175-22</t>
  </si>
  <si>
    <t>821-22</t>
  </si>
  <si>
    <t>170-22</t>
  </si>
  <si>
    <t>177-22</t>
  </si>
  <si>
    <t>172-22</t>
  </si>
  <si>
    <t>179-22</t>
  </si>
  <si>
    <t>174-22</t>
  </si>
  <si>
    <t>822-22</t>
  </si>
  <si>
    <t>181-22</t>
  </si>
  <si>
    <t>183-22</t>
  </si>
  <si>
    <t>178-22</t>
  </si>
  <si>
    <t>823-22</t>
  </si>
  <si>
    <t>185-22</t>
  </si>
  <si>
    <t>180-22</t>
  </si>
  <si>
    <t>187-22</t>
  </si>
  <si>
    <t>182-22</t>
  </si>
  <si>
    <t>824-22</t>
  </si>
  <si>
    <t>184-22</t>
  </si>
  <si>
    <t>186-22</t>
  </si>
  <si>
    <t>825-22</t>
  </si>
  <si>
    <t>193-22</t>
  </si>
  <si>
    <t>188-22</t>
  </si>
  <si>
    <t>826-22</t>
  </si>
  <si>
    <t>197-22</t>
  </si>
  <si>
    <t>STRICKLAND</t>
  </si>
  <si>
    <t>EVAN</t>
  </si>
  <si>
    <t>192-22</t>
  </si>
  <si>
    <t>199-22</t>
  </si>
  <si>
    <t>194-22</t>
  </si>
  <si>
    <t>829-22</t>
  </si>
  <si>
    <t>201-22</t>
  </si>
  <si>
    <t>196-22</t>
  </si>
  <si>
    <t>203-22</t>
  </si>
  <si>
    <t>198-22</t>
  </si>
  <si>
    <t>830-22</t>
  </si>
  <si>
    <t>205-22</t>
  </si>
  <si>
    <t>831-22</t>
  </si>
  <si>
    <t>200-22</t>
  </si>
  <si>
    <t>207-22</t>
  </si>
  <si>
    <t>202-22</t>
  </si>
  <si>
    <t>209-22</t>
  </si>
  <si>
    <t>WHITED</t>
  </si>
  <si>
    <t>833-22</t>
  </si>
  <si>
    <t>213-22</t>
  </si>
  <si>
    <t>206-22</t>
  </si>
  <si>
    <t>834-22</t>
  </si>
  <si>
    <t>58-22</t>
  </si>
  <si>
    <t>835-22</t>
  </si>
  <si>
    <t>208-22</t>
  </si>
  <si>
    <t>215-22</t>
  </si>
  <si>
    <t>75-22</t>
  </si>
  <si>
    <t>210-22</t>
  </si>
  <si>
    <t>836-22</t>
  </si>
  <si>
    <t>212-22</t>
  </si>
  <si>
    <t>217-22</t>
  </si>
  <si>
    <t>55-22</t>
  </si>
  <si>
    <t>837-22</t>
  </si>
  <si>
    <t>57-22</t>
  </si>
  <si>
    <t>219-22</t>
  </si>
  <si>
    <t>214-22</t>
  </si>
  <si>
    <t>838-22</t>
  </si>
  <si>
    <t>303-22</t>
  </si>
  <si>
    <t>839-22</t>
  </si>
  <si>
    <t>221-22</t>
  </si>
  <si>
    <t>218-22</t>
  </si>
  <si>
    <t>305-22</t>
  </si>
  <si>
    <t>220-22</t>
  </si>
  <si>
    <t>906-22</t>
  </si>
  <si>
    <t>841-22</t>
  </si>
  <si>
    <t>223-22</t>
  </si>
  <si>
    <t>307-22</t>
  </si>
  <si>
    <t>840-22</t>
  </si>
  <si>
    <t>222-22</t>
  </si>
  <si>
    <t>224-22</t>
  </si>
  <si>
    <t>227-22</t>
  </si>
  <si>
    <t>843-22</t>
  </si>
  <si>
    <t>842-22</t>
  </si>
  <si>
    <t>226-22</t>
  </si>
  <si>
    <t>845-22</t>
  </si>
  <si>
    <t>231-22</t>
  </si>
  <si>
    <t>228-22</t>
  </si>
  <si>
    <t>844-22</t>
  </si>
  <si>
    <t>230-22</t>
  </si>
  <si>
    <t>233-22</t>
  </si>
  <si>
    <t>235-22</t>
  </si>
  <si>
    <t>237-22</t>
  </si>
  <si>
    <t>234-22</t>
  </si>
  <si>
    <t>239-22</t>
  </si>
  <si>
    <t>236-22</t>
  </si>
  <si>
    <t>238-22</t>
  </si>
  <si>
    <t>241-22</t>
  </si>
  <si>
    <t>240-22</t>
  </si>
  <si>
    <t>309-22</t>
  </si>
  <si>
    <t>242-22</t>
  </si>
  <si>
    <t>244-22</t>
  </si>
  <si>
    <t>311-22</t>
  </si>
  <si>
    <t>313-22</t>
  </si>
  <si>
    <t>315-22</t>
  </si>
  <si>
    <t>precipAccumulation</t>
  </si>
  <si>
    <t>precipType</t>
  </si>
  <si>
    <t>fog</t>
  </si>
  <si>
    <t>Foggy</t>
  </si>
  <si>
    <t>snow</t>
  </si>
  <si>
    <t>Flurries</t>
  </si>
  <si>
    <t>204:232668</t>
  </si>
  <si>
    <t>204:888</t>
  </si>
  <si>
    <t>204:154503</t>
  </si>
  <si>
    <t>204:155815</t>
  </si>
  <si>
    <t>204:27383</t>
  </si>
  <si>
    <t>204:772</t>
  </si>
  <si>
    <t>204:774</t>
  </si>
  <si>
    <t>204:666</t>
  </si>
  <si>
    <t>204:232711</t>
  </si>
  <si>
    <t>204:134</t>
  </si>
  <si>
    <t>204:233317</t>
  </si>
  <si>
    <t>204:233286</t>
  </si>
  <si>
    <t>204:1533</t>
  </si>
  <si>
    <t>204:2061</t>
  </si>
  <si>
    <t>204:37655</t>
  </si>
  <si>
    <t>204:233321</t>
  </si>
  <si>
    <t>204:233008</t>
  </si>
  <si>
    <t>204:752</t>
  </si>
  <si>
    <t>204:478</t>
  </si>
  <si>
    <t>204:233283</t>
  </si>
  <si>
    <t>204:233291</t>
  </si>
  <si>
    <t>204:69215</t>
  </si>
  <si>
    <t>204:457</t>
  </si>
  <si>
    <t>204:169</t>
  </si>
  <si>
    <t>204:232962</t>
  </si>
  <si>
    <t>204:233284</t>
  </si>
  <si>
    <t>204:232971</t>
  </si>
  <si>
    <t>204:435</t>
  </si>
  <si>
    <t>204:233004</t>
  </si>
  <si>
    <t>204:233331</t>
  </si>
  <si>
    <t>204:1209</t>
  </si>
  <si>
    <t>204:233305</t>
  </si>
  <si>
    <t>204:121</t>
  </si>
  <si>
    <t>204:437</t>
  </si>
  <si>
    <t>204:233387</t>
  </si>
  <si>
    <t>204:233065</t>
  </si>
  <si>
    <t>204:233311</t>
  </si>
  <si>
    <t>204:156</t>
  </si>
  <si>
    <t>204:232964</t>
  </si>
  <si>
    <t>204:232950</t>
  </si>
  <si>
    <t>204:79329</t>
  </si>
  <si>
    <t>204:64149</t>
  </si>
  <si>
    <t>204:181</t>
  </si>
  <si>
    <t>204:429</t>
  </si>
  <si>
    <t>204:233249</t>
  </si>
  <si>
    <t>204:232925</t>
  </si>
  <si>
    <t>204:233363</t>
  </si>
  <si>
    <t>204:233068</t>
  </si>
  <si>
    <t>204:228112</t>
  </si>
  <si>
    <t>204:504</t>
  </si>
  <si>
    <t>204:484</t>
  </si>
  <si>
    <t>204:233280</t>
  </si>
  <si>
    <t>204:233374</t>
  </si>
  <si>
    <t>204:233051</t>
  </si>
  <si>
    <t>204:1894</t>
  </si>
  <si>
    <t>204:493</t>
  </si>
  <si>
    <t>204:233385</t>
  </si>
  <si>
    <t>204:233077</t>
  </si>
  <si>
    <t>204:74</t>
  </si>
  <si>
    <t>204:233353</t>
  </si>
  <si>
    <t>204:233021</t>
  </si>
  <si>
    <t>204:384</t>
  </si>
  <si>
    <t>204:233406</t>
  </si>
  <si>
    <t>204:233102</t>
  </si>
  <si>
    <t>204:184460</t>
  </si>
  <si>
    <t>204:233315</t>
  </si>
  <si>
    <t>204:424</t>
  </si>
  <si>
    <t>204:233417</t>
  </si>
  <si>
    <t>204:233093</t>
  </si>
  <si>
    <t>204:85</t>
  </si>
  <si>
    <t>204:233323</t>
  </si>
  <si>
    <t>204:107</t>
  </si>
  <si>
    <t>300:23304</t>
  </si>
  <si>
    <t>300:23222</t>
  </si>
  <si>
    <t>204:67</t>
  </si>
  <si>
    <t>300:23316</t>
  </si>
  <si>
    <t>300:23440</t>
  </si>
  <si>
    <t>204:480</t>
  </si>
  <si>
    <t>300:23308</t>
  </si>
  <si>
    <t>300:19808</t>
  </si>
  <si>
    <t>300:23295</t>
  </si>
  <si>
    <t>300:23142</t>
  </si>
  <si>
    <t>204:402</t>
  </si>
  <si>
    <t>204:128046</t>
  </si>
  <si>
    <t>204:1184</t>
  </si>
  <si>
    <t>204:128059</t>
  </si>
  <si>
    <t>204:100</t>
  </si>
  <si>
    <t>300:22204</t>
  </si>
  <si>
    <t>204:895</t>
  </si>
  <si>
    <t>204:448</t>
  </si>
  <si>
    <t>300:24195</t>
  </si>
  <si>
    <t>300:22045</t>
  </si>
  <si>
    <t>204:750</t>
  </si>
  <si>
    <t>300:24074</t>
  </si>
  <si>
    <t>300:23400</t>
  </si>
  <si>
    <t>204:166</t>
  </si>
  <si>
    <t>300:23671</t>
  </si>
  <si>
    <t>300:23135</t>
  </si>
  <si>
    <t>300:21191</t>
  </si>
  <si>
    <t>204:879</t>
  </si>
  <si>
    <t>204:67841</t>
  </si>
  <si>
    <t>204:128299</t>
  </si>
  <si>
    <t>204:1484</t>
  </si>
  <si>
    <t>300:23312</t>
  </si>
  <si>
    <t>300:58653</t>
  </si>
  <si>
    <t>204:997</t>
  </si>
  <si>
    <t>300:59003</t>
  </si>
  <si>
    <t>300:58698</t>
  </si>
  <si>
    <t>300:6551</t>
  </si>
  <si>
    <t>300:8205</t>
  </si>
  <si>
    <t>300:58585</t>
  </si>
  <si>
    <t>204:146</t>
  </si>
  <si>
    <t>204:992</t>
  </si>
  <si>
    <t>300:58877</t>
  </si>
  <si>
    <t>300:58557</t>
  </si>
  <si>
    <t>204:705</t>
  </si>
  <si>
    <t>204:432</t>
  </si>
  <si>
    <t>204:769</t>
  </si>
  <si>
    <t>204:999</t>
  </si>
  <si>
    <t>300:58984</t>
  </si>
  <si>
    <t>300:58664</t>
  </si>
  <si>
    <t>204:729</t>
  </si>
  <si>
    <t>204:1056</t>
  </si>
  <si>
    <t>204:974</t>
  </si>
  <si>
    <t>300:58600</t>
  </si>
  <si>
    <t>204:682</t>
  </si>
  <si>
    <t>300:58928</t>
  </si>
  <si>
    <t>204:979</t>
  </si>
  <si>
    <t>204:689</t>
  </si>
  <si>
    <t>300:58952</t>
  </si>
  <si>
    <t>300:58632</t>
  </si>
  <si>
    <t>204:661</t>
  </si>
  <si>
    <t>300:58961</t>
  </si>
  <si>
    <t>300:58640</t>
  </si>
  <si>
    <t>204:696</t>
  </si>
  <si>
    <t>204:909</t>
  </si>
  <si>
    <t>300:58683</t>
  </si>
  <si>
    <t>204:680</t>
  </si>
  <si>
    <t>300:58948</t>
  </si>
  <si>
    <t>204:951</t>
  </si>
  <si>
    <t>300:58628</t>
  </si>
  <si>
    <t>204:654</t>
  </si>
  <si>
    <t>300:58941</t>
  </si>
  <si>
    <t>204:685</t>
  </si>
  <si>
    <t>204:948</t>
  </si>
  <si>
    <t>204:615</t>
  </si>
  <si>
    <t>204:985</t>
  </si>
  <si>
    <t>300:58954</t>
  </si>
  <si>
    <t>300:58638</t>
  </si>
  <si>
    <t>204:691</t>
  </si>
  <si>
    <t>204:619</t>
  </si>
  <si>
    <t>204:916</t>
  </si>
  <si>
    <t>300:29987</t>
  </si>
  <si>
    <t>300:58967</t>
  </si>
  <si>
    <t>204:1013</t>
  </si>
  <si>
    <t>300:31284</t>
  </si>
  <si>
    <t>300:23224</t>
  </si>
  <si>
    <t>300:28795</t>
  </si>
  <si>
    <t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t>
  </si>
  <si>
    <t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t>
  </si>
  <si>
    <t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t>
  </si>
  <si>
    <t>aws s3 cp s3://rtdc.mdm.uploadarchive.raw/RTDC4013/ "%USERPROFILE%\AppData\Local\Temp\OnboardLogs"\RTDC4013\1969-12-31 --exclude "*" --recursive --include "*19691231*" &amp; "%USERPROFILE%\Documents\GitHub\mrs-test-scripts\Headless Mode &amp; Sideloading\WalkAndUnGZ.bat" "%USERPROFILE%\AppData\Local\Temp\OnboardLogs"\RTDC4013\1969-12-31 &amp; aws s3 cp s3://rtdc.mdm.uploadarchive.raw/RTDC4013/ "%USERPROFILE%\AppData\Local\Temp\OnboardLogs"\RTDC4013\1970-01-01 --exclude "*" --recursive --include "*19700101*" &amp; "%USERPROFILE%\Documents\GitHub\mrs-test-scripts\Headless Mode &amp; Sideloading\WalkAndUnGZ.bat" "%USERPROFILE%\AppData\Local\Temp\OnboardLogs"\RTDC4013\1970-01-01</t>
  </si>
  <si>
    <t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t>
  </si>
  <si>
    <t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t>
  </si>
  <si>
    <t>aws s3 cp s3://rtdc.mdm.uploadarchive.raw/RTDC4030/ "%USERPROFILE%\AppData\Local\Temp\OnboardLogs"\RTDC4030\1969-12-31 --exclude "*" --recursive --include "*19691231*" &amp; "%USERPROFILE%\Documents\GitHub\mrs-test-scripts\Headless Mode &amp; Sideloading\WalkAndUnGZ.bat" "%USERPROFILE%\AppData\Local\Temp\OnboardLogs"\RTDC4030\1969-12-31 &amp; aws s3 cp s3://rtdc.mdm.uploadarchive.raw/RTDC4030/ "%USERPROFILE%\AppData\Local\Temp\OnboardLogs"\RTDC4030\1970-01-01 --exclude "*" --recursive --include "*19700101*" &amp; "%USERPROFILE%\Documents\GitHub\mrs-test-scripts\Headless Mode &amp; Sideloading\WalkAndUnGZ.bat" "%USERPROFILE%\AppData\Local\Temp\OnboardLogs"\RTDC4030\1970-01-01</t>
  </si>
  <si>
    <t>aws s3 cp s3://rtdc.mdm.uploadarchive.raw/RTDC4019/ "%USERPROFILE%\AppData\Local\Temp\OnboardLogs"\RTDC4019\1969-12-31 --exclude "*" --recursive --include "*19691231*" &amp; "%USERPROFILE%\Documents\GitHub\mrs-test-scripts\Headless Mode &amp; Sideloading\WalkAndUnGZ.bat" "%USERPROFILE%\AppData\Local\Temp\OnboardLogs"\RTDC4019\1969-12-31 &amp; aws s3 cp s3://rtdc.mdm.uploadarchive.raw/RTDC4019/ "%USERPROFILE%\AppData\Local\Temp\OnboardLogs"\RTDC4019\1970-01-01 --exclude "*" --recursive --include "*19700101*" &amp; "%USERPROFILE%\Documents\GitHub\mrs-test-scripts\Headless Mode &amp; Sideloading\WalkAndUnGZ.bat" "%USERPROFILE%\AppData\Local\Temp\OnboardLogs"\RTDC4019\1970-01-01</t>
  </si>
  <si>
    <t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t>
  </si>
  <si>
    <t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t>
  </si>
  <si>
    <t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t>
  </si>
  <si>
    <t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t>
  </si>
  <si>
    <t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t>
  </si>
  <si>
    <t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t>
  </si>
  <si>
    <t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t>
  </si>
  <si>
    <t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t>
  </si>
  <si>
    <t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t>
  </si>
  <si>
    <t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t>
  </si>
  <si>
    <t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t>
  </si>
  <si>
    <t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t>
  </si>
  <si>
    <t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t>
  </si>
  <si>
    <t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t>
  </si>
  <si>
    <t>Onboard networking issues</t>
  </si>
  <si>
    <t>Main 3 Departure</t>
  </si>
  <si>
    <t>Wi-MAX data drop</t>
  </si>
  <si>
    <t>Onboard in-route failure</t>
  </si>
  <si>
    <t>http://stevetu21.github.io/eaglep3/load_kml.html?kml=http://rtdc.gmaps-snips.s3.amazonaws.com/171d16c2-21e7-4958-b9c4-a24f4c3adcab.kml</t>
  </si>
  <si>
    <t>CCROC/crew/equipment mismatch, then Onboard in-route failure</t>
  </si>
  <si>
    <t>Early arrival</t>
  </si>
  <si>
    <t>http://stevetu21.github.io/eaglep3/load_kml.html?kml=http://rtdc.gmaps-snips.s3.amazonaws.com/c67f1cfa-e825-43c5-a352-a4fd381ba74c.kml</t>
  </si>
  <si>
    <t>Pena 4S STOP</t>
  </si>
  <si>
    <t>104-22</t>
  </si>
  <si>
    <t>116-22</t>
  </si>
  <si>
    <t>Onboard networking issues with pair 4019/4020</t>
  </si>
  <si>
    <t>SYS :2016/12/22 11:20:00.569:ENFORCEMENT:Reactive Enforcement Action:  Target Number: 00006027  Target Speed:  20.0  Current Speed:  25.8</t>
  </si>
  <si>
    <t>SYS :2016/12/22 11:20:00.595:ENFORCEMENT:Predictive Enforcement Action:  Target Number: 00006028  Target Speed:   0.0  Current Speed:  25.8</t>
  </si>
  <si>
    <t>SYS :2016/12/22 11:20:00.606:ENFORCEMENT:Predictive Enforcement Action:  Target Number: 00004008  Target Speed:   0.0  Current Speed:  25.8</t>
  </si>
  <si>
    <t>SYS :2016/12/22 11:20:01.283:ENFORCEMENT:Reactive Enforcement Action:  Target Number: 000060B9  Target Speed:  20.0  Current Speed:  25.8</t>
  </si>
  <si>
    <t>SYS :2016/12/22 11:20:01.303:ENFORCEMENT:Predictive Enforcement Action:  Target Number: 000060BA  Target Speed:   0.0  Current Speed:  25.8</t>
  </si>
  <si>
    <t>SYS :2016/12/22 11:20:01.313:ENFORCEMENT:Reactive Enforcement Action:  Target Number: 0000609C  Target Speed:  20.0  Current Speed:  25.8</t>
  </si>
  <si>
    <t>SYS :2016/12/22 11:20:01.314:ENFORCEMENT:Predictive Enforcement Action:  Target Number: 0000407A  Target Speed:   0.0  Current Speed:  25.8</t>
  </si>
  <si>
    <t>SYS :2016/12/22 11:20:01.334:ENFORCEMENT:Predictive Enforcement Action:  Target Number: 0000609D  Target Speed:   0.0  Current Speed:  25.8</t>
  </si>
  <si>
    <t>SYS :2016/12/22 11:20:01.344:ENFORCEMENT:Predictive Enforcement Action:  Target Number: 00004074  Target Speed:   0.0  Current Speed:  25.8</t>
  </si>
  <si>
    <t>SYS :2016/12/22 12:02:22.730:ENFORCEMENT:Predictive Enforcement Action:  Target Number: 00001006  Target Speed:   0.0  Current Speed:   4.7</t>
  </si>
  <si>
    <t>SYS :2016/12/22 12:02:22.993:ENFORCEMENT:Predictive Enforcement Action:  Target Number: 00001006  Target Speed:   0.0  Current Speed:   4.7</t>
  </si>
  <si>
    <t>SYS :2016/12/22 12:02:23.092:ENFORCEMENT:Predictive Enforcement Action:  Target Number: 00001006  Target Speed:   0.0  Current Speed:   4.7</t>
  </si>
  <si>
    <t>SYS :2016/12/22 12:03:15.727:ENFORCEMENT:Predictive Enforcement Action:  Target Number: 00001006  Target Speed:   0.0  Current Speed:   3.1</t>
  </si>
  <si>
    <t>SYS :2016/12/22 12:03:15.990:ENFORCEMENT:Predictive Enforcement Action:  Target Number: 00001006  Target Speed:   0.0  Current Speed:   3.0</t>
  </si>
  <si>
    <t>SYS :2016/12/22 12:03:16.088:ENFORCEMENT:Predictive Enforcement Action:  Target Number: 00001006  Target Speed:   0.0  Current Speed:   3.0</t>
  </si>
  <si>
    <t>SYS :2016/12/22 12:16:29.615:ENFORCEMENT:Reactive Enforcement Action:  Target Number: 00006041  Target Speed:   0.0  Current Speed:   9.4</t>
  </si>
  <si>
    <t>SYS :2016/12/22 12:16:30.678:ENFORCEMENT:Reactive Enforcement Action:  Target Number: 00006041  Target Speed:   0.0  Current Speed:   9.3</t>
  </si>
  <si>
    <t>SYS :2016/12/22 12:31:21.750:ENFORCEMENT:Predictive Enforcement Action:  Target Number: 00010075  Target Speed:  45.0  Current Speed:  59.3</t>
  </si>
  <si>
    <t>SYS :2016/12/22 12:31:21.930:ENFORCEMENT:Predictive Enforcement Action:  Target Number: 00010074  Target Speed:  45.0  Current Speed:  59.1</t>
  </si>
  <si>
    <t>SYS :2016/12/22 12:31:22.078:ENFORCEMENT:Predictive Enforcement Action:  Target Number: 00010074  Target Speed:  45.0  Current Speed:  59.1</t>
  </si>
  <si>
    <t>SYS :2016/12/22 12:36:47.733:ENFORCEMENT:Predictive Enforcement Action:  Target Number: 0001007B  Target Speed:  15.0  Current Speed:  22.7</t>
  </si>
  <si>
    <t>SYS :2016/12/22 12:36:47.912:ENFORCEMENT:Predictive Enforcement Action:  Target Number: 0001007A  Target Speed:  15.0  Current Speed:  22.7</t>
  </si>
  <si>
    <t>SYS :2016/12/22 12:36:48.070:ENFORCEMENT:Predictive Enforcement Action:  Target Number: 0001007A  Target Speed:  15.0  Current Speed:  22.7</t>
  </si>
  <si>
    <t>SYS :2016/12/22 14:07:28.798:ENFORCEMENT:Predictive Enforcement Action:  Target Number: 0000100B  Target Speed:   0.0  Current Speed:   5.8</t>
  </si>
  <si>
    <t>SYS :2016/12/22 14:07:28.925:ENFORCEMENT:Predictive Enforcement Action:  Target Number: 0000101B  Target Speed:   0.0  Current Speed:   5.8</t>
  </si>
  <si>
    <t>SYS :2016/12/22 14:20:43.940:ENFORCEMENT:Predictive Enforcement Action:  Target Number: 00001003  Target Speed:   0.0  Current Speed:   4.3</t>
  </si>
  <si>
    <t>SYS :2016/12/22 14:20:44.117:ENFORCEMENT:Predictive Enforcement Action:  Target Number: 00001003  Target Speed:   0.0  Current Speed:   4.3</t>
  </si>
  <si>
    <t>SYS :2016/12/22 14:20:44.861:ENFORCEMENT:Predictive Enforcement Action:  Target Number: 00001003  Target Speed:   0.0  Current Speed:   4.3</t>
  </si>
  <si>
    <t>SYS :2016/12/22 14:32:41.812:ENFORCEMENT:Predictive Enforcement Action:  Target Number: 00004043  Target Speed:   0.0  Current Speed:  64.6</t>
  </si>
  <si>
    <t>SYS :2016/12/22 14:32:41.876:ENFORCEMENT:Predictive Enforcement Action:  Target Number: 00004043  Target Speed:   0.0  Current Speed:  64.6</t>
  </si>
  <si>
    <t>SYS :2016/12/22 14:32:42.754:ENFORCEMENT:Predictive Enforcement Action:  Target Number: 00004043  Target Speed:   0.0  Current Speed:  64.0</t>
  </si>
  <si>
    <t>SYS :2016/12/22 14:57:33.393:ENFORCEMENT:Predictive Enforcement Action:  Target Number: 00001002  Target Speed:   0.0  Current Speed:   7.1</t>
  </si>
  <si>
    <t>SYS :2016/12/22 14:57:33.691:ENFORCEMENT:Predictive Enforcement Action:  Target Number: 00001002  Target Speed:   0.0  Current Speed:   7.1</t>
  </si>
  <si>
    <t>SYS :2016/12/22 15:04:13.752:ENFORCEMENT:Predictive Enforcement Action:  Target Number: 000101C6  Target Speed:  20.0  Current Speed:  32.5</t>
  </si>
  <si>
    <t>SYS :2016/12/22 15:04:13.975:ENFORCEMENT:Predictive Enforcement Action:  Target Number: 000101C6  Target Speed:  20.0  Current Speed:  32.5</t>
  </si>
  <si>
    <t>SYS :2016/12/22 15:04:14.194:ENFORCEMENT:Predictive Enforcement Action:  Target Number: 000101C6  Target Speed:  20.0  Current Speed:  32.0</t>
  </si>
  <si>
    <t>SYS :2016/12/22 15:04:43.359:ENFORCEMENT:Predictive Enforcement Action:  Target Number: 0000A008  Target Speed:  10.0  Current Speed:  44.9</t>
  </si>
  <si>
    <t>SYS :2016/12/22 15:04:43.773:ENFORCEMENT:Predictive Enforcement Action:  Target Number: 0000A008  Target Speed:  10.0  Current Speed:  44.9</t>
  </si>
  <si>
    <t>SYS :2016/12/22 15:04:44.432:ENFORCEMENT:Predictive Enforcement Action:  Target Number: 0000A008  Target Speed:  10.0  Current Speed:  44.2</t>
  </si>
  <si>
    <t>SYS :2016/12/22 15:07:37.797:ENFORCEMENT:Predictive Enforcement Action:  Target Number: 0000100D  Target Speed:   0.0  Current Speed:   1.7</t>
  </si>
  <si>
    <t>SYS :2016/12/22 15:07:37.926:ENFORCEMENT:Predictive Enforcement Action:  Target Number: 0000101D  Target Speed:   0.0  Current Speed:   1.4</t>
  </si>
  <si>
    <t>SYS :2016/12/22 15:07:38.427:ENFORCEMENT:Predictive Enforcement Action:  Target Number: 0000101E  Target Speed:   0.0  Current Speed:   1.7</t>
  </si>
  <si>
    <t>SYS :2016/12/22 15:26:37.857:ENFORCEMENT:Predictive Enforcement Action:  Target Number: 00001032  Target Speed:   0.0  Current Speed:   4.6</t>
  </si>
  <si>
    <t>SYS :2016/12/22 15:26:38.092:ENFORCEMENT:Predictive Enforcement Action:  Target Number: 00001031  Target Speed:   0.0  Current Speed:   4.6</t>
  </si>
  <si>
    <t>SYS :2016/12/22 15:26:38.290:ENFORCEMENT:Predictive Enforcement Action:  Target Number: 00001008  Target Speed:   0.0  Current Speed:   4.6</t>
  </si>
  <si>
    <t>SYS :2016/12/22 16:02:48.067:ENFORCEMENT:Predictive Enforcement Action:  Target Number: 000100C6  Target Speed:  35.0  Current Speed:  54.0</t>
  </si>
  <si>
    <t>SYS :2016/12/22 16:02:48.738:ENFORCEMENT:Predictive Enforcement Action:  Target Number: 000100C7  Target Speed:  35.0  Current Speed:  53.6</t>
  </si>
  <si>
    <t>SYS :2016/12/22 16:02:48.919:ENFORCEMENT:Predictive Enforcement Action:  Target Number: 000100C6  Target Speed:  35.0  Current Speed:  53.6</t>
  </si>
  <si>
    <t>SYS :2016/12/22 17:00:22.758:ENFORCEMENT:Predictive Enforcement Action:  Target Number: 000100CC  Target Speed:  30.0  Current Speed:  38.4</t>
  </si>
  <si>
    <t>SYS :2016/12/22 17:00:23.355:ENFORCEMENT:Predictive Enforcement Action:  Target Number: 000100CC  Target Speed:  30.0  Current Speed:  38.3</t>
  </si>
  <si>
    <t>SYS :2016/12/22 17:00:23.419:ENFORCEMENT:Predictive Enforcement Action:  Target Number: 000100CC  Target Speed:  30.0  Current Speed:  38.4</t>
  </si>
  <si>
    <t>SYS :2016/12/22 17:11:41.473:ENFORCEMENT:Predictive Enforcement Action:  Target Number: 00010038  Target Speed:  40.0  Current Speed:  46.8</t>
  </si>
  <si>
    <t>SYS :2016/12/22 17:11:42.214:ENFORCEMENT:Predictive Enforcement Action:  Target Number: 00010038  Target Speed:  40.0  Current Speed:  46.8</t>
  </si>
  <si>
    <t>SYS :2016/12/22 17:11:42.437:ENFORCEMENT:Predictive Enforcement Action:  Target Number: 00010038  Target Speed:  40.0  Current Speed:  46.8</t>
  </si>
  <si>
    <t>SYS :2016/12/22 17:23:30.079:ENFORCEMENT:Reactive Enforcement Action:  Target Number: 00010064  Target Speed:  20.0  Current Speed:  25.3</t>
  </si>
  <si>
    <t>SYS :2016/12/22 17:23:30.328:ENFORCEMENT:Reactive Enforcement Action:  Target Number: 00010063  Target Speed:  20.0  Current Speed:  25.3</t>
  </si>
  <si>
    <t>SYS :2016/12/22 17:35:42.745:ENFORCEMENT:Predictive Enforcement Action:  Target Number: 000100E7  Target Speed:  40.0  Current Speed:  52.6</t>
  </si>
  <si>
    <t>SYS :2016/12/22 17:35:42.923:ENFORCEMENT:Predictive Enforcement Action:  Target Number: 000100E7  Target Speed:  40.0  Current Speed:  52.6</t>
  </si>
  <si>
    <t>SYS :2016/12/22 17:35:43.071:ENFORCEMENT:Predictive Enforcement Action:  Target Number: 000100E7  Target Speed:  40.0  Current Speed:  52.6</t>
  </si>
  <si>
    <t>SYS :2016/12/22 17:40:52.740:ENFORCEMENT:Reactive Enforcement Action:  Target Number: 000061C2  Target Speed:   0.0  Current Speed:  71.0</t>
  </si>
  <si>
    <t>SYS :2016/12/22 17:40:52.918:ENFORCEMENT:Reactive Enforcement Action:  Target Number: 000061BD  Target Speed:   0.0  Current Speed:  71.0</t>
  </si>
  <si>
    <t>SYS :2016/12/22 18:44:11.084:ENFORCEMENT:Predictive Enforcement Action:  Target Number: 0001005C  Target Speed:  40.0  Current Speed:  53.3</t>
  </si>
  <si>
    <t>SYS :2016/12/22 18:44:11.411:ENFORCEMENT:Predictive Enforcement Action:  Target Number: 0001005C  Target Speed:  40.0  Current Speed:  53.3</t>
  </si>
  <si>
    <t>SYS :2016/12/22 18:44:11.741:ENFORCEMENT:Predictive Enforcement Action:  Target Number: 0001005C  Target Speed:  40.0  Current Speed:  53.3</t>
  </si>
  <si>
    <t>SYS :2016/12/22 19:04:16.433:ENFORCEMENT:Predictive Enforcement Action:  Target Number: 0000A003  Target Speed:  10.0  Current Speed:  33.2</t>
  </si>
  <si>
    <t>SYS :2016/12/22 21:39:11.827:ENFORCEMENT:Predictive Enforcement Action:  Target Number: 0000100C  Target Speed:   0.0  Current Speed:   4.6</t>
  </si>
  <si>
    <t>SYS :2016/12/22 21:39:11.841:ENFORCEMENT:Predictive Enforcement Action:  Target Number: 0000100C  Target Speed:   0.0  Current Speed:   4.6</t>
  </si>
  <si>
    <t>SYS :2016/12/22 21:39:12.690:ENFORCEMENT:Predictive Enforcement Action:  Target Number: 0000100C  Target Speed:   0.0  Current Speed:   4.6</t>
  </si>
  <si>
    <t>SYS :2016/12/22 21:51:25.944:ENFORCEMENT:Predictive Enforcement Action:  Target Number: 0001705C  Target Speed:   0.0  Current Speed:  22.2</t>
  </si>
  <si>
    <t>SYS :2016/12/22 21:51:26.156:ENFORCEMENT:Predictive Enforcement Action:  Target Number: 0001705C  Target Speed:   0.0  Current Speed:  22.2</t>
  </si>
  <si>
    <t>SYS :2016/12/22 21:56:28.958:ENFORCEMENT:Predictive Enforcement Action:  Target Number: 00017060  Target Speed:  31.0  Current Speed:  36.0</t>
  </si>
  <si>
    <t>SYS :2016/12/22 21:56:29.154:ENFORCEMENT:Predictive Enforcement Action:  Target Number: 00017060  Target Speed:  31.0  Current Speed:  36.0</t>
  </si>
  <si>
    <t>SYS :2016/12/22 22:34:12.867:ENFORCEMENT:Predictive Enforcement Action:  Target Number: 00001034  Target Speed:   0.0  Current Speed:   2.7</t>
  </si>
  <si>
    <t>SYS :2016/12/22 22:34:25.092:ENFORCEMENT:Predictive Enforcement Action:  Target Number: 00001033  Target Speed:   0.0  Current Speed:   1.1</t>
  </si>
  <si>
    <t>SYS :2016/12/22 22:34:25.275:ENFORCEMENT:Predictive Enforcement Action:  Target Number: 0000100A  Target Speed:   0.0  Current Speed:   1.0</t>
  </si>
  <si>
    <t>SYS :2016/12/22 22:34:53.270:ENFORCEMENT:Predictive Enforcement Action:  Target Number: 0000100F  Target Speed:   0.0  Current Speed:   7.1</t>
  </si>
  <si>
    <t>SYS :2016/12/22 22:34:53.859:ENFORCEMENT:Predictive Enforcement Action:  Target Number: 0000100F  Target Speed:   0.0  Current Speed:   7.1</t>
  </si>
  <si>
    <t>SYS :2016/12/22 22:52:00.857:ENFORCEMENT:Reactive Enforcement Action:  Target Number: 00010088  Target Speed:  70.0  Current Speed:  75.1</t>
  </si>
  <si>
    <t>SYS :2016/12/22 22:52:01.705:ENFORCEMENT:Reactive Enforcement Action:  Target Number: 00010088  Target Speed:  70.0  Current Speed:  75.1</t>
  </si>
  <si>
    <t>SYS :2016/12/22 22:52:01.845:ENFORCEMENT:Reactive Enforcement Action:  Target Number: 00010088  Target Speed:  70.0  Current Speed:  75.1</t>
  </si>
  <si>
    <t>SYS :2016/12/22 23:02:58.432:ENFORCEMENT:Predictive Enforcement Action:  Target Number: 00010208  Target Speed:  15.0  Current Speed:  34.7</t>
  </si>
  <si>
    <t>SYS :2016/12/22 23:02:58.805:ENFORCEMENT:Predictive Enforcement Action:  Target Number: 000100DE  Target Speed:  15.0  Current Speed:  34.1</t>
  </si>
  <si>
    <t>SYS :2016/12/22 23:02:58.967:ENFORCEMENT:Predictive Enforcement Action:  Target Number: 00010203  Target Speed:  15.0  Current Speed:  34.1</t>
  </si>
  <si>
    <t>SYS :2016/12/22 23:06:42.426:ENFORCEMENT:Predictive Enforcement Action:  Target Number: 00001021  Target Speed:   0.0  Current Speed:   1.8</t>
  </si>
  <si>
    <t>SYS :2016/12/22 23:08:20.158:ENFORCEMENT:Reactive Enforcement Action:  Target Number: 000100D1  Target Speed:  70.0  Current Speed:  75.0</t>
  </si>
  <si>
    <t>SYS :2016/12/22 23:08:20.262:ENFORCEMENT:Reactive Enforcement Action:  Target Number: 000100D2  Target Speed:  70.0  Current Speed:  75.0</t>
  </si>
  <si>
    <t>SYS :2016/12/22 23:08:20.352:ENFORCEMENT:Reactive Enforcement Action:  Target Number: 000100D2  Target Speed:  70.0  Current Speed:  75.0</t>
  </si>
  <si>
    <t>SYS :2016/12/22 23:26:18.284:ENFORCEMENT:Predictive Enforcement Action:  Target Number: 0000100C  Target Speed:   0.0  Current Speed:   2.6</t>
  </si>
  <si>
    <t>SYS :2016/12/22 23:26:18.855:ENFORCEMENT:Predictive Enforcement Action:  Target Number: 00001036  Target Speed:   0.0  Current Speed:   2.6</t>
  </si>
  <si>
    <t>SYS :2016/12/22 23:26:19.094:ENFORCEMENT:Predictive Enforcement Action:  Target Number: 00001035  Target Speed:   0.0  Current Speed:   2.6</t>
  </si>
  <si>
    <t>SYS :2016/12/23 00:26:54.858:ENFORCEMENT:Predictive Enforcement Action:  Target Number: 00001039  Target Speed:   0.0  Current Speed:   3.2</t>
  </si>
  <si>
    <t>SYS :2016/12/23 00:26:55.097:ENFORCEMENT:Predictive Enforcement Action:  Target Number: 00001038  Target Speed:   0.0  Current Speed:   3.2</t>
  </si>
  <si>
    <t>SYS :2016/12/23 00:26:55.285:ENFORCEMENT:Predictive Enforcement Action:  Target Number: 0000100F  Target Speed:   0.0  Current Speed:   3.1</t>
  </si>
  <si>
    <t>SYS :2016/12/23 00:48:48.854:ENFORCEMENT:Predictive Enforcement Action:  Target Number: 0000A006  Target Speed:  10.0  Current Speed:  32.8</t>
  </si>
  <si>
    <t>SYS :2016/12/23 00:48:49.708:ENFORCEMENT:Predictive Enforcement Action:  Target Number: 0000A006  Target Speed:  10.0  Current Speed:  32.8</t>
  </si>
  <si>
    <t>SYS :2016/12/23 01:06:54.008:ENFORCEMENT:Predictive Enforcement Action:  Target Number: 00001001  Target Speed:   0.0  Current Speed:   3.0</t>
  </si>
  <si>
    <t>SYS :2016/12/23 01:06:54.052:ENFORCEMENT:Predictive Enforcement Action:  Target Number: 0000100E  Target Speed:   0.0  Current Speed:   3.0</t>
  </si>
  <si>
    <t>SYS :2016/12/23 01:06:54.142:ENFORCEMENT:Predictive Enforcement Action:  Target Number: 0000100E  Target Speed:   0.0  Current Speed:   3.0</t>
  </si>
  <si>
    <t>SYS :2016/12/23 02:18:01.145:ENFORCEMENT:Predictive Enforcement Action:  Target Number: 0000A008  Target Speed:  10.0  Current Speed:  43.3</t>
  </si>
  <si>
    <t>SYS :2016/12/23 02:18:01.886:ENFORCEMENT:Predictive Enforcement Action:  Target Number: 0000A008  Target Speed:  10.0  Current Speed:  43.3</t>
  </si>
  <si>
    <t>SYS :2016/12/23 02:18:01.962:ENFORCEMENT:Predictive Enforcement Action:  Target Number: 0000A008  Target Speed:  10.0  Current Speed:  42.6</t>
  </si>
  <si>
    <t>SYS :2016/12/23 03:08:36.277:ENFORCEMENT:Predictive Enforcement Action:  Target Number: 00017033  Target Speed:   0.0  Current Speed:  15.4</t>
  </si>
  <si>
    <t>SYS :2016/12/23 03:08:36.702:ENFORCEMENT:Predictive Enforcement Action:  Target Number: 00017033  Target Speed:   0.0  Current Speed:  15.3</t>
  </si>
  <si>
    <t>SYS :2016/12/23 03:08:36.936:ENFORCEMENT:Predictive Enforcement Action:  Target Number: 00017033  Target Speed:   0.0  Current Speed:  15.4</t>
  </si>
  <si>
    <t>SYS :2016/12/23 04:30:43.257:ENFORCEMENT:Predictive Enforcement Action:  Target Number: 00006223  Target Speed:   0.0  Current Speed:  61.1</t>
  </si>
  <si>
    <t>SYS :2016/12/23 04:30:44.146:ENFORCEMENT:Predictive Enforcement Action:  Target Number: 00006248  Target Speed:   0.0  Current Speed:  60.8</t>
  </si>
  <si>
    <t>SYS :2016/12/23 04:30:44.342:ENFORCEMENT:Predictive Enforcement Action:  Target Number: 00006227  Target Speed:   0.0  Current Speed:  60.8</t>
  </si>
  <si>
    <t>SYS :2016/12/23 05:30:44.326:ENFORCEMENT:Predictive Enforcement Action:  Target Number: 000060B6  Target Speed:   0.0  Current Speed:  38.8</t>
  </si>
  <si>
    <t>SYS :2016/12/23 05:30:44.375:ENFORCEMENT:Predictive Enforcement Action:  Target Number: 0000609D  Target Speed:   0.0  Current Speed:  39.4</t>
  </si>
  <si>
    <t>SYS :2016/12/23 05:30:44.376:ENFORCEMENT:Predictive Enforcement Action:  Target Number: 0000609D  Target Speed:   0.0  Current Speed:  38.8</t>
  </si>
  <si>
    <t>SYS :2016/12/23 05:35:42.170:ENFORCEMENT:Predictive Enforcement Action:  Target Number: 0000101F  Target Speed:   0.0  Current Speed:   4.9</t>
  </si>
  <si>
    <t>SYS :2016/12/23 05:35:42.285:ENFORCEMENT:Predictive Enforcement Action:  Target Number: 00001029  Target Speed:   0.0  Current Speed:   4.9</t>
  </si>
  <si>
    <t>SYS :2016/12/23 05:35:43.047:ENFORCEMENT:Predictive Enforcement Action:  Target Number: 00001029  Target Speed:   0.0  Current Speed:   4.7</t>
  </si>
  <si>
    <t>SYS :2016/12/23 07:36:11.877:ENFORCEMENT:Predictive Enforcement Action:  Target Number: 000170D4  Target Speed:   0.0  Current Speed:  21.1</t>
  </si>
  <si>
    <t>SYS :2016/12/23 07:36:12.278:ENFORCEMENT:Reactive Enforcement Action:  Target Number: 000170E0  Target Speed:   0.0  Current Speed:  21.1</t>
  </si>
  <si>
    <t>SYS :2016/12/23 08:04:59.265:ENFORCEMENT:Predictive Enforcement Action:  Target Number: 0000101A  Target Speed:   0.0  Current Speed:   7.8</t>
  </si>
  <si>
    <t>Delayed due to going active too close to Westminster 2S</t>
  </si>
  <si>
    <t>Onboard in-route failure delayed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</si>
</sst>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171d16c2-21e7-4958-b9c4-a24f4c3adcab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c67f1cfa-e825-43c5-a352-a4fd381ba74c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4"/>
  <sheetViews>
    <sheetView topLeftCell="A94" zoomScaleNormal="100" workbookViewId="0">
      <selection activeCell="R106" sqref="R10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42726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42726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COUNTIFS($N$13:$N$9364,"&gt;0",$AG$13:$AG$9364,I1)</f>
        <v>135</v>
      </c>
      <c r="K5" s="44"/>
      <c r="L5" s="44"/>
      <c r="M5" s="45">
        <f>AVERAGEIFS($N$13:$N$9364,$AG$13:$AG$9364,I1)</f>
        <v>38.754444445172943</v>
      </c>
      <c r="N5" s="43">
        <f t="array" ref="N5">MIN(IF($AG$13:$AG$9364=I1,IF(ISNUMBER($N$13:$N$9364),IF($N$13:$N$9364&gt;0,$N$13:$N$9364))))</f>
        <v>33.499999993946403</v>
      </c>
      <c r="O5" s="3">
        <f t="array" ref="O5">MAX(IF($AG$13:$AG$9364=I1,IF(ISNUMBER($N$13:$N$9364),IF($N$13:$N$9364&gt;0,$N$13:$N$9364))))</f>
        <v>57.08333333954215</v>
      </c>
      <c r="P5" s="2"/>
      <c r="R5" s="80" t="s">
        <v>17</v>
      </c>
      <c r="S5" s="55">
        <f>COUNTIFS($N$13:$N$9364,"&gt;0",$AG$13:$AG$9364,R1)</f>
        <v>46</v>
      </c>
      <c r="T5" s="44"/>
      <c r="U5" s="168"/>
      <c r="V5" s="45">
        <f>AVERAGEIFS($N$13:$N$9364,$AG$13:$AG$9364,R1)</f>
        <v>15.690942028253946</v>
      </c>
      <c r="W5" s="43">
        <f t="array" ref="W5">MIN(IF($AG$13:$AG$9364=R1,IF(ISNUMBER($N$13:$N$9364),IF($N$13:$N$9364&gt;0,$N$13:$N$9364))))</f>
        <v>13.016666671028361</v>
      </c>
      <c r="X5" s="173">
        <f t="array" ref="X5">MAX(IF($AG$13:$AG$9364=R1,IF(ISNUMBER($N$13:$N$9364),IF($N$13:$N$9364&gt;0,$N$13:$N$9364))))</f>
        <v>22.783333336701617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COUNT($O$13:$O$144)</f>
        <v>0</v>
      </c>
      <c r="K6" s="44"/>
      <c r="L6" s="44"/>
      <c r="M6" s="45">
        <f>IFERROR(AVERAGE($O$13:$O$144),0)</f>
        <v>0</v>
      </c>
      <c r="N6" s="43">
        <f>MIN($O$13:$O$144)</f>
        <v>0</v>
      </c>
      <c r="O6" s="3">
        <f>MAX($O$13:$O$144)</f>
        <v>0</v>
      </c>
      <c r="P6" s="2"/>
      <c r="R6" s="81" t="s">
        <v>43</v>
      </c>
      <c r="S6" s="55">
        <f>COUNT($O$13:$O$144)</f>
        <v>0</v>
      </c>
      <c r="T6" s="44"/>
      <c r="U6" s="168"/>
      <c r="V6" s="45">
        <f>IFERROR(AVERAGE($O$13:$O$144),0)</f>
        <v>0</v>
      </c>
      <c r="W6" s="43">
        <f>MIN($O$13:$O$144)</f>
        <v>0</v>
      </c>
      <c r="X6" s="173">
        <f>MAX($O$13:$O$144)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COUNTIFS($P$13:$P$9364,"&gt;0",$AG$13:$AG$9364,I1)</f>
        <v>9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COUNTIFS($P$13:$P$9364,"&gt;0",$AG$13:$AG$9364,R1)</f>
        <v>1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135</v>
      </c>
      <c r="K8" s="44"/>
      <c r="L8" s="44"/>
      <c r="M8" s="45">
        <f>M5</f>
        <v>38.754444445172943</v>
      </c>
      <c r="N8" s="43">
        <f>N5</f>
        <v>33.499999993946403</v>
      </c>
      <c r="O8" s="3">
        <f>O5</f>
        <v>57.08333333954215</v>
      </c>
      <c r="P8" s="2"/>
      <c r="R8" s="80" t="s">
        <v>16</v>
      </c>
      <c r="S8" s="55">
        <f>S5</f>
        <v>46</v>
      </c>
      <c r="T8" s="44"/>
      <c r="U8" s="168"/>
      <c r="V8" s="45">
        <f>V5</f>
        <v>15.690942028253946</v>
      </c>
      <c r="W8" s="43">
        <f>W5</f>
        <v>13.016666671028361</v>
      </c>
      <c r="X8" s="173">
        <f>X5</f>
        <v>22.783333336701617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0.9375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- 2016-12-22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AVERAGE(S13:S103)</f>
        <v>0.93869731800766287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482</v>
      </c>
      <c r="B13" s="7">
        <v>4014</v>
      </c>
      <c r="C13" s="22" t="s">
        <v>205</v>
      </c>
      <c r="D13" s="22" t="s">
        <v>340</v>
      </c>
      <c r="E13" s="13">
        <v>42726.124664351853</v>
      </c>
      <c r="F13" s="13">
        <v>42726.135694444441</v>
      </c>
      <c r="G13" s="7">
        <v>1</v>
      </c>
      <c r="H13" s="22" t="s">
        <v>342</v>
      </c>
      <c r="I13" s="13">
        <v>42726.175335648149</v>
      </c>
      <c r="J13" s="7">
        <v>0</v>
      </c>
      <c r="K13" s="109" t="str">
        <f t="shared" ref="K13:K77" si="0">IF(ISEVEN(B13),(B13-1)&amp;"/"&amp;B13,B13&amp;"/"&amp;(B13+1))</f>
        <v>4013/4014</v>
      </c>
      <c r="L13" s="22" t="str">
        <f>VLOOKUP(A13,'Trips&amp;Operators'!$C$1:$G$99999,5,FALSE)</f>
        <v>ISHMAEL JOSEPH</v>
      </c>
      <c r="M13" s="6">
        <f t="shared" ref="M13:M77" si="1">I13-F13</f>
        <v>3.9641203708015382E-2</v>
      </c>
      <c r="N13" s="7">
        <f t="shared" ref="N13:P77" si="2">24*60*SUM($M13:$M13)</f>
        <v>57.08333333954215</v>
      </c>
      <c r="O13" s="7"/>
      <c r="P13" s="7"/>
      <c r="Q13" s="23"/>
      <c r="R13" s="23"/>
      <c r="S13" s="35">
        <f t="shared" ref="S13:S77" si="3">SUM(U13:U13)/IF(AG13="EC",12,1)</f>
        <v>1</v>
      </c>
      <c r="T13" s="50" t="str">
        <f t="shared" ref="T13:T77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7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https://search-rtdc-monitor-bjffxe2xuh6vdkpspy63sjmuny.us-east-1.es.amazonaws.com/_plugin/kibana/#/discover/Steve-Slow-Train-Analysis-(2080s-and-2083s)?_g=(refreshInterval:(display:Off,section:0,value:0),time:(from:'2016-12-22 01:59:31-700',mode:absolute,to:'2016-12-22 05:12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" s="52" t="str">
        <f t="shared" ref="W13:W77" si="6">IF(AA13&lt;IF(AG13="EC",23,5.65),"Y","N")</f>
        <v>N</v>
      </c>
      <c r="X13" s="177" t="e">
        <f t="shared" ref="X13:X77" si="7">VALUE(LEFT(AD13,4))-VALUE(LEFT(AD12,4))</f>
        <v>#VALUE!</v>
      </c>
      <c r="Y13" s="67">
        <f t="shared" ref="Y13:Y77" si="8">RIGHT(D13,LEN(D13)-4)/10000</f>
        <v>7.4800000000000005E-2</v>
      </c>
      <c r="Z13" s="67">
        <f t="shared" ref="Z13:Z77" si="9">RIGHT(H13,LEN(H13)-4)/10000</f>
        <v>23.3293</v>
      </c>
      <c r="AA13" s="67">
        <f t="shared" ref="AA13:AA77" si="10">ABS(Z13-Y13)</f>
        <v>23.2545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7" si="11">IF(LEN(A13)=6,"0"&amp;A13,A13)</f>
        <v>0101-22</v>
      </c>
      <c r="AE13" s="91" t="str">
        <f t="shared" ref="AE13:AE77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13" s="88" t="str">
        <f t="shared" ref="AF13:AF77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/stypes="app*4014*20161222*" /stext=" 11:.+((SYSTEM_STATE.+slice.+state.+changed )|(ment ac)|(multiple cpu faults)|(system.+state.+changed )|(\[timeout)|(PRM\|1\|D)|(kpr)|(kdp)|(\|lc)|(penalty))" /e /r /s</v>
      </c>
      <c r="AG13" s="1" t="str">
        <f t="shared" ref="AG13:AG77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101-22 --locoid 4014 --swversion DE.1.0.8.0 --startMP 204:748 --initTime 2016-12-22T02:59:31 --startdatetime 2016-12-22T03:15:24 --delay 1 --endMP 204:233293 --enddatetime 2016-12-22T04:12:29 --enforcementcount 0 &gt;&gt;C:\Users\stu\Documents\GitHub\eaglep3-reporting\EC\2016-12-22-refined-times.txt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ID","value":"101-22"},{"id":16,"name":"Locomotive ID","value":"4014"},{"id":130,"name":"Impact","value":""},{"id":150,"name":"Time of Event (Mountain Time)","value":"04:12:29"},{"id":151,"name":"Denver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442</v>
      </c>
      <c r="B14" s="7">
        <v>4017</v>
      </c>
      <c r="C14" s="22" t="s">
        <v>205</v>
      </c>
      <c r="D14" s="22" t="s">
        <v>679</v>
      </c>
      <c r="E14" s="13">
        <v>42726.176874999997</v>
      </c>
      <c r="F14" s="13">
        <v>42726.178263888891</v>
      </c>
      <c r="G14" s="7">
        <v>1</v>
      </c>
      <c r="H14" s="22" t="s">
        <v>680</v>
      </c>
      <c r="I14" s="13">
        <v>42726.210046296299</v>
      </c>
      <c r="J14" s="7">
        <v>0</v>
      </c>
      <c r="K14" s="109" t="str">
        <f t="shared" si="0"/>
        <v>4017/4018</v>
      </c>
      <c r="L14" s="22" t="str">
        <f>VLOOKUP(A14,'Trips&amp;Operators'!$C$1:$G$99999,5,FALSE)</f>
        <v>ISHMAEL JOSEPH</v>
      </c>
      <c r="M14" s="6">
        <f t="shared" si="1"/>
        <v>3.178240740817273E-2</v>
      </c>
      <c r="N14" s="7">
        <f t="shared" si="2"/>
        <v>45.766666667768732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23.2668</v>
      </c>
      <c r="Z14" s="67">
        <f t="shared" si="9"/>
        <v>8.8800000000000004E-2</v>
      </c>
      <c r="AA14" s="67">
        <f t="shared" si="10"/>
        <v>23.178000000000001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0102-22</v>
      </c>
      <c r="AE14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4" s="88" t="str">
        <f t="shared" si="13"/>
        <v>"C:\Program Files (x86)\AstroGrep\AstroGrep.exe" /spath="%USERPROFILE%\AppData\Local\Temp\OnboardLogs" /stypes="app*4017*20161222*" /stext=" 12:.+((SYSTEM_STATE.+slice.+state.+changed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8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102-22 --locoid 4017 --swversion DE.1.0.8.0 --startMP 204:232668 --initTime 2016-12-22T04:14:42 --startdatetime 2016-12-22T04:16:42 --delay 1 --endMP 204:888 --enddatetime 2016-12-22T05:02:28 --enforcementcount 0 &gt;&gt;C:\Users\stu\Documents\GitHub\eaglep3-reporting\EC\2016-12-22-refined-times.txt</v>
      </c>
      <c r="AI14" s="119" t="str">
        <f t="shared" ref="AI14:AI78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{"issue":{"subject":"","project_id":79,"tracker_id":40,"status_id":1,"priority_id":2,"assigned_to_id":23,"start_date":"2016-12-22","description":"","custom_fields":[{"id":1,"name":"Subdivision","value":"EC"},{"id":4,"name":"Milepost","value":"0.0888"},{"id":17,"name":"Train ID","value":"102-22"},{"id":16,"name":"Locomotive ID","value":"4017"},{"id":130,"name":"Impact","value":""},{"id":150,"name":"Time of Event (Mountain Time)","value":"05:02:28"},{"id":151,"name":"Denver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441</v>
      </c>
      <c r="B15" s="7">
        <v>4020</v>
      </c>
      <c r="C15" s="22" t="s">
        <v>205</v>
      </c>
      <c r="D15" s="22" t="s">
        <v>681</v>
      </c>
      <c r="E15" s="13">
        <v>42726.167337962965</v>
      </c>
      <c r="F15" s="13">
        <v>42726.180532407408</v>
      </c>
      <c r="G15" s="7">
        <v>18</v>
      </c>
      <c r="H15" s="22" t="s">
        <v>682</v>
      </c>
      <c r="I15" s="13">
        <v>42726.181435185186</v>
      </c>
      <c r="J15" s="7">
        <v>0</v>
      </c>
      <c r="K15" s="109" t="str">
        <f t="shared" si="0"/>
        <v>4019/4020</v>
      </c>
      <c r="L15" s="22" t="str">
        <f>VLOOKUP(A15,'Trips&amp;Operators'!$C$1:$G$99999,5,FALSE)</f>
        <v>BONDS REYNALDO</v>
      </c>
      <c r="M15" s="6">
        <f t="shared" si="1"/>
        <v>9.0277777781011537E-4</v>
      </c>
      <c r="N15" s="7"/>
      <c r="O15" s="7"/>
      <c r="P15" s="7">
        <f t="shared" si="2"/>
        <v>1.3000000000465661</v>
      </c>
      <c r="Q15" s="23"/>
      <c r="R15" s="23" t="s">
        <v>870</v>
      </c>
      <c r="S15" s="35">
        <f t="shared" si="3"/>
        <v>0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03:00:58-700',mode:absolute,to:'2016-12-22 05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5" s="52" t="str">
        <f t="shared" si="6"/>
        <v>Y</v>
      </c>
      <c r="X15" s="177">
        <f t="shared" si="7"/>
        <v>1</v>
      </c>
      <c r="Y15" s="67">
        <f t="shared" si="8"/>
        <v>15.4503</v>
      </c>
      <c r="Z15" s="67">
        <f t="shared" si="9"/>
        <v>15.5815</v>
      </c>
      <c r="AA15" s="67">
        <f t="shared" si="10"/>
        <v>0.13119999999999976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0103-22</v>
      </c>
      <c r="AE15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5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103-22 --locoid 4020 --swversion DE.1.0.8.0 --startMP 204:154503 --initTime 2016-12-22T04:00:58 --startdatetime 2016-12-22T04:19:58 --delay 18 --endMP 204:155815 --enddatetime 2016-12-22T04:21:16 --enforcementcount 0 &gt;&gt;C:\Users\stu\Documents\GitHub\eaglep3-reporting\EC\2016-12-22-refined-times.txt</v>
      </c>
      <c r="AI15" s="119" t="str">
        <f t="shared" si="18"/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4019/4020","project_id":79,"tracker_id":40,"status_id":1,"priority_id":2,"assigned_to_id":23,"start_date":"2016-12-22","description":"","custom_fields":[{"id":1,"name":"Subdivision","value":"EC"},{"id":4,"name":"Milepost","value":"15.5815"},{"id":17,"name":"Train ID","value":"103-22"},{"id":16,"name":"Locomotive ID","value":"4020"},{"id":130,"name":"Impact","value":""},{"id":150,"name":"Time of Event (Mountain Time)","value":"04:21:16"},{"id":151,"name":"Denver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441</v>
      </c>
      <c r="B16" s="7">
        <v>4020</v>
      </c>
      <c r="C16" s="22" t="s">
        <v>205</v>
      </c>
      <c r="D16" s="22" t="s">
        <v>683</v>
      </c>
      <c r="E16" s="13">
        <v>42726.143483796295</v>
      </c>
      <c r="F16" s="13">
        <v>42726.180532407408</v>
      </c>
      <c r="G16" s="7">
        <v>27</v>
      </c>
      <c r="H16" s="22" t="s">
        <v>684</v>
      </c>
      <c r="I16" s="13">
        <v>42726.18074074074</v>
      </c>
      <c r="J16" s="7">
        <v>0</v>
      </c>
      <c r="K16" s="109" t="str">
        <f t="shared" si="0"/>
        <v>4019/4020</v>
      </c>
      <c r="L16" s="22" t="str">
        <f>VLOOKUP(A16,'Trips&amp;Operators'!$C$1:$G$99999,5,FALSE)</f>
        <v>BONDS REYNALDO</v>
      </c>
      <c r="M16" s="6">
        <f t="shared" si="1"/>
        <v>2.0833333110203966E-4</v>
      </c>
      <c r="N16" s="7"/>
      <c r="O16" s="7"/>
      <c r="P16" s="7"/>
      <c r="Q16" s="23"/>
      <c r="R16" s="23"/>
      <c r="S16" s="35"/>
      <c r="T16" s="50" t="str">
        <f t="shared" si="4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05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6" s="52" t="str">
        <f t="shared" si="6"/>
        <v>Y</v>
      </c>
      <c r="X16" s="177">
        <f t="shared" si="7"/>
        <v>0</v>
      </c>
      <c r="Y16" s="67">
        <f t="shared" si="8"/>
        <v>2.7383000000000002</v>
      </c>
      <c r="Z16" s="67">
        <f t="shared" si="9"/>
        <v>7.7200000000000005E-2</v>
      </c>
      <c r="AA16" s="67">
        <f t="shared" si="10"/>
        <v>2.6611000000000002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0103-22</v>
      </c>
      <c r="AE16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6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103-22 --locoid 4020 --swversion DE.1.0.8.0 --startMP 204:27383 --initTime 2016-12-22T03:26:37 --startdatetime 2016-12-22T04:19:58 --delay 27 --endMP 204:772 --enddatetime 2016-12-22T04:20:16 --enforcementcount 0 &gt;&gt;C:\Users\stu\Documents\GitHub\eaglep3-reporting\EC\2016-12-22-refined-times.txt</v>
      </c>
      <c r="AI1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{"issue":{"subject":"","project_id":79,"tracker_id":40,"status_id":1,"priority_id":2,"assigned_to_id":23,"start_date":"2016-12-22","description":"","custom_fields":[{"id":1,"name":"Subdivision","value":"EC"},{"id":4,"name":"Milepost","value":"0.0772"},{"id":17,"name":"Train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441</v>
      </c>
      <c r="B17" s="7">
        <v>4020</v>
      </c>
      <c r="C17" s="22" t="s">
        <v>205</v>
      </c>
      <c r="D17" s="22" t="s">
        <v>685</v>
      </c>
      <c r="E17" s="13">
        <v>42726.143483796295</v>
      </c>
      <c r="F17" s="13">
        <v>42726.180532407408</v>
      </c>
      <c r="G17" s="7">
        <v>7</v>
      </c>
      <c r="H17" s="22" t="s">
        <v>684</v>
      </c>
      <c r="I17" s="13">
        <v>42726.18074074074</v>
      </c>
      <c r="J17" s="7">
        <v>0</v>
      </c>
      <c r="K17" s="109" t="str">
        <f t="shared" si="0"/>
        <v>4019/4020</v>
      </c>
      <c r="L17" s="22" t="str">
        <f>VLOOKUP(A17,'Trips&amp;Operators'!$C$1:$G$99999,5,FALSE)</f>
        <v>BONDS REYNALDO</v>
      </c>
      <c r="M17" s="6">
        <f t="shared" si="1"/>
        <v>2.0833333110203966E-4</v>
      </c>
      <c r="N17" s="7"/>
      <c r="O17" s="7"/>
      <c r="P17" s="7"/>
      <c r="Q17" s="23"/>
      <c r="R17" s="23"/>
      <c r="S17" s="35"/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05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7" s="52" t="str">
        <f t="shared" si="6"/>
        <v>Y</v>
      </c>
      <c r="X17" s="177">
        <f t="shared" si="7"/>
        <v>0</v>
      </c>
      <c r="Y17" s="67">
        <f t="shared" si="8"/>
        <v>7.7399999999999997E-2</v>
      </c>
      <c r="Z17" s="67">
        <f t="shared" si="9"/>
        <v>7.7200000000000005E-2</v>
      </c>
      <c r="AA17" s="67">
        <f t="shared" si="10"/>
        <v>1.9999999999999185E-4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0103-22</v>
      </c>
      <c r="AE17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7" s="88" t="str">
        <f t="shared" si="13"/>
        <v>"C:\Program Files (x86)\AstroGrep\AstroGrep.exe" /spath="%USERPROFILE%\AppData\Local\Temp\OnboardLogs" /stypes="app*4020*20161222*"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103-22 --locoid 4020 --swversion DE.1.0.8.0 --startMP 204:774 --initTime 2016-12-22T03:26:37 --startdatetime 2016-12-22T04:19:58 --delay 7 --endMP 204:772 --enddatetime 2016-12-22T04:20:16 --enforcementcount 0 &gt;&gt;C:\Users\stu\Documents\GitHub\eaglep3-reporting\EC\2016-12-22-refined-times.txt</v>
      </c>
      <c r="AI1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{"issue":{"subject":"","project_id":79,"tracker_id":40,"status_id":1,"priority_id":2,"assigned_to_id":23,"start_date":"2016-12-22","description":"","custom_fields":[{"id":1,"name":"Subdivision","value":"EC"},{"id":4,"name":"Milepost","value":"0.0772"},{"id":17,"name":"Train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868</v>
      </c>
      <c r="B18" s="7">
        <v>4019</v>
      </c>
      <c r="C18" s="22" t="s">
        <v>205</v>
      </c>
      <c r="D18" s="22" t="s">
        <v>685</v>
      </c>
      <c r="E18" s="13">
        <v>42726.143483796295</v>
      </c>
      <c r="F18" s="13">
        <v>42726.229166666664</v>
      </c>
      <c r="G18" s="7">
        <v>7</v>
      </c>
      <c r="H18" s="22" t="s">
        <v>684</v>
      </c>
      <c r="I18" s="13">
        <v>42726.229166666664</v>
      </c>
      <c r="J18" s="7">
        <v>0</v>
      </c>
      <c r="K18" s="109" t="str">
        <f t="shared" ref="K18" si="19">IF(ISEVEN(B18),(B18-1)&amp;"/"&amp;B18,B18&amp;"/"&amp;(B18+1))</f>
        <v>4019/4020</v>
      </c>
      <c r="L18" s="22" t="e">
        <f>VLOOKUP(A18,'Trips&amp;Operators'!$C$1:$G$99999,5,FALSE)</f>
        <v>#N/A</v>
      </c>
      <c r="M18" s="6">
        <f t="shared" ref="M18" si="20">I18-F18</f>
        <v>0</v>
      </c>
      <c r="N18" s="7"/>
      <c r="O18" s="7"/>
      <c r="P18" s="7">
        <v>1</v>
      </c>
      <c r="Q18" s="23"/>
      <c r="R18" s="23" t="s">
        <v>870</v>
      </c>
      <c r="S18" s="35">
        <f t="shared" si="3"/>
        <v>0</v>
      </c>
      <c r="T18" s="50" t="str">
        <f t="shared" ref="T18" si="21">IF(ISEVEN(LEFT(AD18,4)),"Southbound","NorthBound")</f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98" t="str">
        <f t="shared" ref="V18" si="22">"https://search-rtdc-monitor-bjffxe2xuh6vdkpspy63sjmuny.us-east-1.es.amazonaws.com/_plugin/kibana/#/discover/Steve-Slow-Train-Analysis-(2080s-and-2083s)?_g=(refreshInterval:(display:Off,section:0,value:0),time:(from:'"&amp;TEXT(E18-1/24,"yyyy-MM-DD hh:mm:ss")&amp;utc_offset&amp;"00',mode:absolute,to:'"&amp;TEXT(I18+1/24,"yyyy-MM-DD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06:30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8" s="52" t="str">
        <f t="shared" ref="W18" si="23">IF(AA18&lt;IF(AG18="EC",23,5.65),"Y","N")</f>
        <v>Y</v>
      </c>
      <c r="X18" s="177">
        <f t="shared" ref="X18:X19" si="24">VALUE(LEFT(AD18,4))-VALUE(LEFT(AD17,4))</f>
        <v>1</v>
      </c>
      <c r="Y18" s="67">
        <f t="shared" ref="Y18" si="25">RIGHT(D18,LEN(D18)-4)/10000</f>
        <v>7.7399999999999997E-2</v>
      </c>
      <c r="Z18" s="67">
        <f t="shared" ref="Z18" si="26">RIGHT(H18,LEN(H18)-4)/10000</f>
        <v>7.7200000000000005E-2</v>
      </c>
      <c r="AA18" s="67">
        <f t="shared" ref="AA18" si="27">ABS(Z18-Y18)</f>
        <v>1.9999999999999185E-4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ref="AD18" si="28">IF(LEN(A18)=6,"0"&amp;A18,A18)</f>
        <v>0104-22</v>
      </c>
      <c r="AE18" s="91" t="str">
        <f t="shared" ref="AE18" si="29"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8" s="88" t="str">
        <f t="shared" ref="AF18" si="30"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/stypes="app*4019*20161222*" /stext=" 12:.+((SYSTEM_STATE.+slice.+state.+changed )|(ment ac)|(multiple cpu faults)|(system.+state.+changed )|(\[timeout)|(PRM\|1\|D)|(kpr)|(kdp)|(\|lc)|(penalty))" /e /r /s</v>
      </c>
      <c r="AG18" s="1" t="str">
        <f t="shared" ref="AG18" si="31">IFERROR(IF(VALUE(LEFT(AD18,2))&lt;=2,"EC",IF(OR(VALUE(LEFT(AD18,2))=8,VALUE(LEFT(AD18,2))=18),"NW","Other")),"Other")</f>
        <v>EC</v>
      </c>
      <c r="AH18" s="92" t="str">
        <f t="shared" ref="AH18" si="32">refinertdcruntimes&amp;" --tripid "&amp;A18&amp;" --locoid "&amp;B18&amp;" --swversion "&amp;C18&amp;" --startMP "&amp;D18&amp;" --initTime "&amp;TEXT(E18,"yyyy-mm-ddTHH:MM:SS")&amp;" --startdatetime "&amp;TEXT(F18,"yyyy-mm-ddTHH:MM:SS")&amp;" --delay "&amp;G18&amp;" --endMP "&amp;H18&amp;" --enddatetime "&amp;TEXT(I18,"yyyy-mm-ddTHH:MM:SS")&amp;" --enforcementcount "&amp;J18&amp;IF(outputrefinedruntimes," &gt;&gt;"&amp;RefinedRTDCRunTimesOutputFile,"")</f>
        <v>"%USERPROFILE%\Documents\GitHub\eaglep3\Utilities\RefineRTDCRunTimes.py" --tripid 104-22 --locoid 4019 --swversion DE.1.0.8.0 --startMP 204:774 --initTime 2016-12-22T03:26:37 --startdatetime 2016-12-22T05:30:00 --delay 7 --endMP 204:772 --enddatetime 2016-12-22T05:30:00 --enforcementcount 0 &gt;&gt;C:\Users\stu\Documents\GitHub\eaglep3-reporting\EC\2016-12-22-refined-times.txt</v>
      </c>
      <c r="AI18" s="119" t="str">
        <f t="shared" ref="AI18" si="33">"echo {""issue"":{""subject"":"""&amp;R18&amp;""",""project_id"":79,""tracker_id"":40,""status_id"":"&amp;redmine_status&amp;",""priority_id"":"&amp;redmine_priority&amp;",""assigned_to_id"":"&amp;redmine_assignee&amp;",""start_date"":"""&amp;TEXT(I18,"YYYY-mm-dd")&amp;""",""description"":"""&amp;AJ18&amp;""",""custom_fields"":[{""id"":1,""name"":""Subdivision"",""value"":"""&amp;AG18&amp;"""},{""id"":4,""name"":""Milepost"",""value"":"""&amp;Z18&amp;"""},{""id"":17,""name"":""Train ID"",""value"":"""&amp;A18&amp;"""},{""id"":16,""name"":""Locomotive ID"",""value"":"""&amp;B18&amp;"""},{""id"":130,""name"":""Impact"",""value"":"""&amp;AK18&amp;"""},{""id"":150,""name"":""Time of Event (Mountain Time)"",""value"":"""&amp;TEXT(I18,"hh:mm:ss")&amp;"""},{""id"":151,""name"":""Denver Issue ID"",""value"":"""&amp;"""},{""id"":178,""name"":""Operational Impact"",""value"":"""&amp;redmine_op_impact&amp;"""},{""id"":179,""name"":""Denver Segment Assigned"",""value"":"""&amp;AL18&amp;"""}]}}"&amp;" | curl -X POST -H ""Content-Type: application/json"" -H ""X-Redmine-API-Key: "&amp;redm_api_key&amp;""" "&amp;redm_url&amp;" --data @-"</f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4019/4020","project_id":79,"tracker_id":40,"status_id":1,"priority_id":2,"assigned_to_id":23,"start_date":"2016-12-22","description":"","custom_fields":[{"id":1,"name":"Subdivision","value":"EC"},{"id":4,"name":"Milepost","value":"0.0772"},{"id":17,"name":"Train ID","value":"104-22"},{"id":16,"name":"Locomotive ID","value":"4019"},{"id":130,"name":"Impact","value":""},{"id":150,"name":"Time of Event (Mountain Time)","value":"05:30:00"},{"id":151,"name":"Denver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  <c r="BJ18" s="21"/>
      <c r="BK18" s="21"/>
      <c r="BL18" s="21"/>
      <c r="BM18" s="21"/>
      <c r="BN18" s="21"/>
      <c r="BO18" s="21"/>
      <c r="BP18" s="21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1"/>
      <c r="CB18" s="21"/>
      <c r="CC18" s="21"/>
      <c r="CD18" s="21"/>
      <c r="CE18" s="21"/>
      <c r="CF18" s="21"/>
      <c r="CG18" s="21"/>
      <c r="CH18" s="21"/>
      <c r="CI18" s="21"/>
      <c r="CJ18" s="21"/>
      <c r="CK18" s="21"/>
      <c r="CL18" s="21"/>
      <c r="CM18" s="21"/>
    </row>
    <row r="19" spans="1:91" s="1" customFormat="1" x14ac:dyDescent="0.25">
      <c r="A19" s="37" t="s">
        <v>487</v>
      </c>
      <c r="B19" s="7">
        <v>4009</v>
      </c>
      <c r="C19" s="22" t="s">
        <v>205</v>
      </c>
      <c r="D19" s="22" t="s">
        <v>686</v>
      </c>
      <c r="E19" s="13">
        <v>42726.172476851854</v>
      </c>
      <c r="F19" s="13">
        <v>42726.177268518521</v>
      </c>
      <c r="G19" s="7">
        <v>1</v>
      </c>
      <c r="H19" s="22" t="s">
        <v>409</v>
      </c>
      <c r="I19" s="13">
        <v>42726.205474537041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ROBINSON KADDIBA</v>
      </c>
      <c r="M19" s="6">
        <f t="shared" si="1"/>
        <v>2.8206018519995268E-2</v>
      </c>
      <c r="N19" s="7">
        <f t="shared" si="2"/>
        <v>40.616666668793187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03:08:22-700',mode:absolute,to:'2016-12-22 05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6"/>
        <v>N</v>
      </c>
      <c r="X19" s="177">
        <f t="shared" si="24"/>
        <v>1</v>
      </c>
      <c r="Y19" s="67">
        <f t="shared" si="8"/>
        <v>6.6600000000000006E-2</v>
      </c>
      <c r="Z19" s="67">
        <f t="shared" si="9"/>
        <v>23.3338</v>
      </c>
      <c r="AA19" s="67">
        <f t="shared" si="10"/>
        <v>23.267199999999999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0105-22</v>
      </c>
      <c r="AE19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9" s="88" t="str">
        <f t="shared" si="13"/>
        <v>"C:\Program Files (x86)\AstroGrep\AstroGrep.exe" /spath="%USERPROFILE%\AppData\Local\Temp\OnboardLogs" /stypes="app*4009*20161222*" /stext=" 11:.+((SYSTEM_STATE.+slice.+state.+changed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105-22 --locoid 4009 --swversion DE.1.0.8.0 --startMP 204:666 --initTime 2016-12-22T04:08:22 --startdatetime 2016-12-22T04:15:16 --delay 1 --endMP 204:233338 --enddatetime 2016-12-22T04:55:53 --enforcementcount 0 &gt;&gt;C:\Users\stu\Documents\GitHub\eaglep3-reporting\EC\2016-12-22-refined-times.txt</v>
      </c>
      <c r="AI1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{"issue":{"subject":"","project_id":79,"tracker_id":40,"status_id":1,"priority_id":2,"assigned_to_id":23,"start_date":"2016-12-22","description":"","custom_fields":[{"id":1,"name":"Subdivision","value":"EC"},{"id":4,"name":"Milepost","value":"23.3338"},{"id":17,"name":"Train ID","value":"105-22"},{"id":16,"name":"Locomotive ID","value":"4009"},{"id":130,"name":"Impact","value":""},{"id":150,"name":"Time of Event (Mountain Time)","value":"04:55:53"},{"id":151,"name":"Denver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495</v>
      </c>
      <c r="B20" s="7">
        <v>4032</v>
      </c>
      <c r="C20" s="22" t="s">
        <v>205</v>
      </c>
      <c r="D20" s="22" t="s">
        <v>687</v>
      </c>
      <c r="E20" s="13">
        <v>42726.211944444447</v>
      </c>
      <c r="F20" s="13">
        <v>42726.216180555559</v>
      </c>
      <c r="G20" s="7">
        <v>1</v>
      </c>
      <c r="H20" s="22" t="s">
        <v>688</v>
      </c>
      <c r="I20" s="13">
        <v>42726.244930555556</v>
      </c>
      <c r="J20" s="7">
        <v>0</v>
      </c>
      <c r="K20" s="109" t="str">
        <f t="shared" si="0"/>
        <v>4031/4032</v>
      </c>
      <c r="L20" s="22" t="str">
        <f>VLOOKUP(A20,'Trips&amp;Operators'!$C$1:$G$99999,5,FALSE)</f>
        <v>ROBINSON KADDIBA</v>
      </c>
      <c r="M20" s="6">
        <f t="shared" si="1"/>
        <v>2.8749999997671694E-2</v>
      </c>
      <c r="N20" s="7">
        <f t="shared" si="2"/>
        <v>41.399999996647239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04:05:12-700',mode:absolute,to:'2016-12-22 06:52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23.271100000000001</v>
      </c>
      <c r="Z20" s="67">
        <f t="shared" si="9"/>
        <v>1.34E-2</v>
      </c>
      <c r="AA20" s="67">
        <f t="shared" si="10"/>
        <v>23.2577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0106-22</v>
      </c>
      <c r="AE20" s="91" t="str">
        <f t="shared" si="12"/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AF20" s="88" t="str">
        <f t="shared" si="13"/>
        <v>"C:\Program Files (x86)\AstroGrep\AstroGrep.exe" /spath="%USERPROFILE%\AppData\Local\Temp\OnboardLogs" /stypes="app*4032*20161222*" /stext=" 12:.+((SYSTEM_STATE.+slice.+state.+changed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106-22 --locoid 4032 --swversion DE.1.0.8.0 --startMP 204:232711 --initTime 2016-12-22T05:05:12 --startdatetime 2016-12-22T05:11:18 --delay 1 --endMP 204:134 --enddatetime 2016-12-22T05:52:42 --enforcementcount 0 &gt;&gt;C:\Users\stu\Documents\GitHub\eaglep3-reporting\EC\2016-12-22-refined-times.txt</v>
      </c>
      <c r="AI2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{"issue":{"subject":"","project_id":79,"tracker_id":40,"status_id":1,"priority_id":2,"assigned_to_id":23,"start_date":"2016-12-22","description":"","custom_fields":[{"id":1,"name":"Subdivision","value":"EC"},{"id":4,"name":"Milepost","value":"0.0134"},{"id":17,"name":"Train ID","value":"106-22"},{"id":16,"name":"Locomotive ID","value":"4032"},{"id":130,"name":"Impact","value":""},{"id":150,"name":"Time of Event (Mountain Time)","value":"05:52:42"},{"id":151,"name":"Denver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491</v>
      </c>
      <c r="B21" s="7">
        <v>4046</v>
      </c>
      <c r="C21" s="22" t="s">
        <v>205</v>
      </c>
      <c r="D21" s="22" t="s">
        <v>290</v>
      </c>
      <c r="E21" s="13">
        <v>42726.183113425926</v>
      </c>
      <c r="F21" s="13">
        <v>42726.189872685187</v>
      </c>
      <c r="G21" s="7">
        <v>1</v>
      </c>
      <c r="H21" s="22" t="s">
        <v>341</v>
      </c>
      <c r="I21" s="13">
        <v>42726.213136574072</v>
      </c>
      <c r="J21" s="7">
        <v>0</v>
      </c>
      <c r="K21" s="109" t="str">
        <f t="shared" si="0"/>
        <v>4045/4046</v>
      </c>
      <c r="L21" s="22" t="str">
        <f>VLOOKUP(A21,'Trips&amp;Operators'!$C$1:$G$99999,5,FALSE)</f>
        <v>MAGEE KENYA</v>
      </c>
      <c r="M21" s="6">
        <f t="shared" si="1"/>
        <v>2.3263888884685002E-2</v>
      </c>
      <c r="N21" s="7">
        <f t="shared" si="2"/>
        <v>33.499999993946403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03:23:41-700',mode:absolute,to:'2016-12-22 06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4.6899999999999997E-2</v>
      </c>
      <c r="Z21" s="67">
        <f t="shared" si="9"/>
        <v>23.331199999999999</v>
      </c>
      <c r="AA21" s="67">
        <f t="shared" si="10"/>
        <v>23.284299999999998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0107-22</v>
      </c>
      <c r="AE21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21" s="88" t="str">
        <f t="shared" si="13"/>
        <v>"C:\Program Files (x86)\AstroGrep\AstroGrep.exe" /spath="%USERPROFILE%\AppData\Local\Temp\OnboardLogs" /stypes="app*4046*20161222*"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107-22 --locoid 4046 --swversion DE.1.0.8.0 --startMP 204:469 --initTime 2016-12-22T04:23:41 --startdatetime 2016-12-22T04:33:25 --delay 1 --endMP 204:233312 --enddatetime 2016-12-22T05:06:55 --enforcementcount 0 &gt;&gt;C:\Users\stu\Documents\GitHub\eaglep3-reporting\EC\2016-12-22-refined-times.txt</v>
      </c>
      <c r="AI2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{"issue":{"subject":"","project_id":79,"tracker_id":40,"status_id":1,"priority_id":2,"assigned_to_id":23,"start_date":"2016-12-22","description":"","custom_fields":[{"id":1,"name":"Subdivision","value":"EC"},{"id":4,"name":"Milepost","value":"23.3312"},{"id":17,"name":"Train ID","value":"107-22"},{"id":16,"name":"Locomotive ID","value":"4046"},{"id":130,"name":"Impact","value":""},{"id":150,"name":"Time of Event (Mountain Time)","value":"05:06:55"},{"id":151,"name":"Denver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496</v>
      </c>
      <c r="B22" s="7">
        <v>4045</v>
      </c>
      <c r="C22" s="22" t="s">
        <v>205</v>
      </c>
      <c r="D22" s="22" t="s">
        <v>405</v>
      </c>
      <c r="E22" s="13">
        <v>42726.215011574073</v>
      </c>
      <c r="F22" s="13">
        <v>42726.226574074077</v>
      </c>
      <c r="G22" s="7">
        <v>1</v>
      </c>
      <c r="H22" s="22" t="s">
        <v>347</v>
      </c>
      <c r="I22" s="13">
        <v>42726.255567129629</v>
      </c>
      <c r="J22" s="7">
        <v>0</v>
      </c>
      <c r="K22" s="109" t="str">
        <f t="shared" si="0"/>
        <v>4045/4046</v>
      </c>
      <c r="L22" s="22" t="str">
        <f>VLOOKUP(A22,'Trips&amp;Operators'!$C$1:$G$99999,5,FALSE)</f>
        <v>MAGEE KENYA</v>
      </c>
      <c r="M22" s="6">
        <f t="shared" si="1"/>
        <v>2.8993055551836733E-2</v>
      </c>
      <c r="N22" s="7">
        <f t="shared" si="2"/>
        <v>41.749999994644895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04:09:37-700',mode:absolute,to:'2016-12-22 07:08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1.52E-2</v>
      </c>
      <c r="AA22" s="67">
        <f t="shared" si="10"/>
        <v>23.2836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0108-22</v>
      </c>
      <c r="AE22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22" s="88" t="str">
        <f t="shared" si="13"/>
        <v>"C:\Program Files (x86)\AstroGrep\AstroGrep.exe" /spath="%USERPROFILE%\AppData\Local\Temp\OnboardLogs" /stypes="app*4045*20161222*"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108-22 --locoid 4045 --swversion DE.1.0.8.0 --startMP 204:232988 --initTime 2016-12-22T05:09:37 --startdatetime 2016-12-22T05:26:16 --delay 1 --endMP 204:152 --enddatetime 2016-12-22T06:08:01 --enforcementcount 0 &gt;&gt;C:\Users\stu\Documents\GitHub\eaglep3-reporting\EC\2016-12-22-refined-times.txt</v>
      </c>
      <c r="AI2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ID","value":"108-22"},{"id":16,"name":"Locomotive ID","value":"4045"},{"id":130,"name":"Impact","value":""},{"id":150,"name":"Time of Event (Mountain Time)","value":"06:08:01"},{"id":151,"name":"Denver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492</v>
      </c>
      <c r="B23" s="7">
        <v>4016</v>
      </c>
      <c r="C23" s="22" t="s">
        <v>205</v>
      </c>
      <c r="D23" s="22" t="s">
        <v>255</v>
      </c>
      <c r="E23" s="13">
        <v>42726.195613425924</v>
      </c>
      <c r="F23" s="13">
        <v>42726.198379629626</v>
      </c>
      <c r="G23" s="7">
        <v>3</v>
      </c>
      <c r="H23" s="22" t="s">
        <v>689</v>
      </c>
      <c r="I23" s="13">
        <v>42726.223530092589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SIMONEAUX TERA</v>
      </c>
      <c r="M23" s="6">
        <f t="shared" si="1"/>
        <v>2.5150462963210884E-2</v>
      </c>
      <c r="N23" s="7">
        <f t="shared" si="2"/>
        <v>36.216666667023674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03:41:41-700',mode:absolute,to:'2016-12-22 06:21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4.6399999999999997E-2</v>
      </c>
      <c r="Z23" s="67">
        <f t="shared" si="9"/>
        <v>23.331700000000001</v>
      </c>
      <c r="AA23" s="67">
        <f t="shared" si="10"/>
        <v>23.285300000000003</v>
      </c>
      <c r="AB23" s="64" t="e">
        <f>VLOOKUP(A23,Enforcements!$C$7:$K$19,8,0)</f>
        <v>#N/A</v>
      </c>
      <c r="AC23" s="60" t="e">
        <f>VLOOKUP(A23,Enforcements!$C$7:$E$19,3,0)</f>
        <v>#N/A</v>
      </c>
      <c r="AD23" s="61" t="str">
        <f t="shared" si="11"/>
        <v>0109-22</v>
      </c>
      <c r="AE23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23" s="88" t="str">
        <f t="shared" si="13"/>
        <v>"C:\Program Files (x86)\AstroGrep\AstroGrep.exe" /spath="%USERPROFILE%\AppData\Local\Temp\OnboardLogs" /stypes="app*4016*20161222*"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109-22 --locoid 4016 --swversion DE.1.0.8.0 --startMP 204:464 --initTime 2016-12-22T04:41:41 --startdatetime 2016-12-22T04:45:40 --delay 3 --endMP 204:233317 --enddatetime 2016-12-22T05:21:53 --enforcementcount 0 &gt;&gt;C:\Users\stu\Documents\GitHub\eaglep3-reporting\EC\2016-12-22-refined-times.txt</v>
      </c>
      <c r="AI2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ID","value":"109-22"},{"id":16,"name":"Locomotive ID","value":"4016"},{"id":130,"name":"Impact","value":""},{"id":150,"name":"Time of Event (Mountain Time)","value":"05:21:53"},{"id":151,"name":"Denver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499</v>
      </c>
      <c r="B24" s="7">
        <v>4015</v>
      </c>
      <c r="C24" s="22" t="s">
        <v>205</v>
      </c>
      <c r="D24" s="22" t="s">
        <v>277</v>
      </c>
      <c r="E24" s="13">
        <v>42726.232673611114</v>
      </c>
      <c r="F24" s="13">
        <v>42726.236979166664</v>
      </c>
      <c r="G24" s="7">
        <v>1</v>
      </c>
      <c r="H24" s="22" t="s">
        <v>261</v>
      </c>
      <c r="I24" s="13">
        <v>42726.265625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SIMONEAUX TERA</v>
      </c>
      <c r="M24" s="6">
        <f t="shared" si="1"/>
        <v>2.8645833335758653E-2</v>
      </c>
      <c r="N24" s="7">
        <f t="shared" si="2"/>
        <v>41.25000000349246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04:35:03-700',mode:absolute,to:'2016-12-22 07:22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23.3</v>
      </c>
      <c r="Z24" s="67">
        <f t="shared" si="9"/>
        <v>1.3899999999999999E-2</v>
      </c>
      <c r="AA24" s="67">
        <f t="shared" si="10"/>
        <v>23.286100000000001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0110-22</v>
      </c>
      <c r="AE24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24" s="88" t="str">
        <f t="shared" si="13"/>
        <v>"C:\Program Files (x86)\AstroGrep\AstroGrep.exe" /spath="%USERPROFILE%\AppData\Local\Temp\OnboardLogs" /stypes="app*4015*20161222*"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110-22 --locoid 4015 --swversion DE.1.0.8.0 --startMP 204:233000 --initTime 2016-12-22T05:35:03 --startdatetime 2016-12-22T05:41:15 --delay 1 --endMP 204:139 --enddatetime 2016-12-22T06:22:30 --enforcementcount 0 &gt;&gt;C:\Users\stu\Documents\GitHub\eaglep3-reporting\EC\2016-12-22-refined-times.txt</v>
      </c>
      <c r="AI2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{"issue":{"subject":"","project_id":79,"tracker_id":40,"status_id":1,"priority_id":2,"assigned_to_id":23,"start_date":"2016-12-22","description":"","custom_fields":[{"id":1,"name":"Subdivision","value":"EC"},{"id":4,"name":"Milepost","value":"0.0139"},{"id":17,"name":"Train ID","value":"110-22"},{"id":16,"name":"Locomotive ID","value":"4015"},{"id":130,"name":"Impact","value":""},{"id":150,"name":"Time of Event (Mountain Time)","value":"06:22:30"},{"id":151,"name":"Denver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444</v>
      </c>
      <c r="B25" s="7">
        <v>4029</v>
      </c>
      <c r="C25" s="22" t="s">
        <v>205</v>
      </c>
      <c r="D25" s="22" t="s">
        <v>267</v>
      </c>
      <c r="E25" s="13">
        <v>42726.206967592596</v>
      </c>
      <c r="F25" s="13">
        <v>42726.210740740738</v>
      </c>
      <c r="G25" s="7">
        <v>2</v>
      </c>
      <c r="H25" s="22" t="s">
        <v>690</v>
      </c>
      <c r="I25" s="13">
        <v>42726.235821759263</v>
      </c>
      <c r="J25" s="7">
        <v>0</v>
      </c>
      <c r="K25" s="109" t="str">
        <f t="shared" si="0"/>
        <v>4029/4030</v>
      </c>
      <c r="L25" s="22" t="str">
        <f>VLOOKUP(A25,'Trips&amp;Operators'!$C$1:$G$99999,5,FALSE)</f>
        <v>SIMMONS SHYHESHA</v>
      </c>
      <c r="M25" s="6">
        <f t="shared" si="1"/>
        <v>2.5081018524360843E-2</v>
      </c>
      <c r="N25" s="7">
        <f t="shared" si="2"/>
        <v>36.116666675079614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4.6199999999999998E-2</v>
      </c>
      <c r="Z25" s="67">
        <f t="shared" si="9"/>
        <v>23.328600000000002</v>
      </c>
      <c r="AA25" s="67">
        <f t="shared" si="10"/>
        <v>23.282400000000003</v>
      </c>
      <c r="AB25" s="64" t="str">
        <f>VLOOKUP(A25,Enforcements!$C$7:$K$19,8,0)</f>
        <v>Speed (6)</v>
      </c>
      <c r="AC25" s="60" t="str">
        <f>VLOOKUP(A25,Enforcements!$C$7:$E$19,3,0)</f>
        <v>PERMANENT SPEED RESTRICTION</v>
      </c>
      <c r="AD25" s="61" t="str">
        <f t="shared" si="11"/>
        <v>0111-22</v>
      </c>
      <c r="AE25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5" s="88" t="str">
        <f t="shared" si="13"/>
        <v>"C:\Program Files (x86)\AstroGrep\AstroGrep.exe" /spath="%USERPROFILE%\AppData\Local\Temp\OnboardLogs" /stypes="app*4029*20161222*"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111-22 --locoid 4029 --swversion DE.1.0.8.0 --startMP 204:462 --initTime 2016-12-22T04:58:02 --startdatetime 2016-12-22T05:03:28 --delay 2 --endMP 204:233286 --enddatetime 2016-12-22T05:39:35 --enforcementcount 0 &gt;&gt;C:\Users\stu\Documents\GitHub\eaglep3-reporting\EC\2016-12-22-refined-times.txt</v>
      </c>
      <c r="AI2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ID","value":"111-22"},{"id":16,"name":"Locomotive ID","value":"4029"},{"id":130,"name":"Impact","value":""},{"id":150,"name":"Time of Event (Mountain Time)","value":"05:39:35"},{"id":151,"name":"Denver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501</v>
      </c>
      <c r="B26" s="7">
        <v>4030</v>
      </c>
      <c r="C26" s="22" t="s">
        <v>205</v>
      </c>
      <c r="D26" s="22" t="s">
        <v>344</v>
      </c>
      <c r="E26" s="13">
        <v>42726.237581018519</v>
      </c>
      <c r="F26" s="13">
        <v>42726.247777777775</v>
      </c>
      <c r="G26" s="7">
        <v>1</v>
      </c>
      <c r="H26" s="22" t="s">
        <v>347</v>
      </c>
      <c r="I26" s="13">
        <v>42726.277303240742</v>
      </c>
      <c r="J26" s="7">
        <v>0</v>
      </c>
      <c r="K26" s="109" t="str">
        <f t="shared" si="0"/>
        <v>4029/4030</v>
      </c>
      <c r="L26" s="22" t="str">
        <f>VLOOKUP(A26,'Trips&amp;Operators'!$C$1:$G$99999,5,FALSE)</f>
        <v>SIMMONS SHYHESHA</v>
      </c>
      <c r="M26" s="6">
        <f t="shared" si="1"/>
        <v>2.9525462967285421E-2</v>
      </c>
      <c r="N26" s="7">
        <f t="shared" si="2"/>
        <v>42.516666672891006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04:42:07-700',mode:absolute,to:'2016-12-22 07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23.2959</v>
      </c>
      <c r="Z26" s="67">
        <f t="shared" si="9"/>
        <v>1.52E-2</v>
      </c>
      <c r="AA26" s="67">
        <f t="shared" si="10"/>
        <v>23.2807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0112-22</v>
      </c>
      <c r="AE26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6" s="88" t="str">
        <f t="shared" si="13"/>
        <v>"C:\Program Files (x86)\AstroGrep\AstroGrep.exe" /spath="%USERPROFILE%\AppData\Local\Temp\OnboardLogs" /stypes="app*4030*20161222*"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112-22 --locoid 4030 --swversion DE.1.0.8.0 --startMP 204:232959 --initTime 2016-12-22T05:42:07 --startdatetime 2016-12-22T05:56:48 --delay 1 --endMP 204:152 --enddatetime 2016-12-22T06:39:19 --enforcementcount 0 &gt;&gt;C:\Users\stu\Documents\GitHub\eaglep3-reporting\EC\2016-12-22-refined-times.txt</v>
      </c>
      <c r="AI2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ID","value":"112-22"},{"id":16,"name":"Locomotive ID","value":"4030"},{"id":130,"name":"Impact","value":""},{"id":150,"name":"Time of Event (Mountain Time)","value":"06:39:19"},{"id":151,"name":"Denver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443</v>
      </c>
      <c r="B27" s="7">
        <v>4014</v>
      </c>
      <c r="C27" s="22" t="s">
        <v>205</v>
      </c>
      <c r="D27" s="22" t="s">
        <v>691</v>
      </c>
      <c r="E27" s="13">
        <v>42726.215416666666</v>
      </c>
      <c r="F27" s="13">
        <v>42726.227280092593</v>
      </c>
      <c r="G27" s="7">
        <v>1</v>
      </c>
      <c r="H27" s="22" t="s">
        <v>692</v>
      </c>
      <c r="I27" s="13">
        <v>42726.245324074072</v>
      </c>
      <c r="J27" s="7">
        <v>0</v>
      </c>
      <c r="K27" s="109" t="str">
        <f t="shared" si="0"/>
        <v>4013/4014</v>
      </c>
      <c r="L27" s="22" t="str">
        <f>VLOOKUP(A27,'Trips&amp;Operators'!$C$1:$G$99999,5,FALSE)</f>
        <v>ISHMAEL JOSEPH</v>
      </c>
      <c r="M27" s="6">
        <f t="shared" si="1"/>
        <v>1.8043981479422655E-2</v>
      </c>
      <c r="N27" s="7"/>
      <c r="O27" s="7"/>
      <c r="P27" s="7"/>
      <c r="Q27" s="23"/>
      <c r="R27" s="23"/>
      <c r="S27" s="35"/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04:10:12-700',mode:absolute,to:'2016-12-22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7" s="52" t="str">
        <f t="shared" si="6"/>
        <v>Y</v>
      </c>
      <c r="X27" s="177">
        <f t="shared" si="7"/>
        <v>1</v>
      </c>
      <c r="Y27" s="67">
        <f t="shared" si="8"/>
        <v>0.15329999999999999</v>
      </c>
      <c r="Z27" s="67">
        <f t="shared" si="9"/>
        <v>0.20610000000000001</v>
      </c>
      <c r="AA27" s="67">
        <f t="shared" si="10"/>
        <v>5.2800000000000014E-2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0113-22</v>
      </c>
      <c r="AE27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27" s="88" t="str">
        <f t="shared" si="13"/>
        <v>"C:\Program Files (x86)\AstroGrep\AstroGrep.exe" /spath="%USERPROFILE%\AppData\Local\Temp\OnboardLogs" /stypes="app*4014*20161222*" /stext=" 12:.+((SYSTEM_STATE.+slice.+state.+changed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113-22 --locoid 4014 --swversion DE.1.0.8.0 --startMP 204:1533 --initTime 2016-12-22T05:10:12 --startdatetime 2016-12-22T05:27:17 --delay 1 --endMP 204:2061 --enddatetime 2016-12-22T05:53:16 --enforcementcount 0 &gt;&gt;C:\Users\stu\Documents\GitHub\eaglep3-reporting\EC\2016-12-22-refined-times.txt</v>
      </c>
      <c r="AI2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{"issue":{"subject":"","project_id":79,"tracker_id":40,"status_id":1,"priority_id":2,"assigned_to_id":23,"start_date":"2016-12-22","description":"","custom_fields":[{"id":1,"name":"Subdivision","value":"EC"},{"id":4,"name":"Milepost","value":"0.2061"},{"id":17,"name":"Train ID","value":"113-22"},{"id":16,"name":"Locomotive ID","value":"4014"},{"id":130,"name":"Impact","value":""},{"id":150,"name":"Time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443</v>
      </c>
      <c r="B28" s="7">
        <v>4014</v>
      </c>
      <c r="C28" s="22" t="s">
        <v>205</v>
      </c>
      <c r="D28" s="22" t="s">
        <v>693</v>
      </c>
      <c r="E28" s="13">
        <v>42726.226469907408</v>
      </c>
      <c r="F28" s="13">
        <v>42726.227280092593</v>
      </c>
      <c r="G28" s="7">
        <v>1</v>
      </c>
      <c r="H28" s="22" t="s">
        <v>694</v>
      </c>
      <c r="I28" s="13">
        <v>42726.245324074072</v>
      </c>
      <c r="J28" s="7">
        <v>0</v>
      </c>
      <c r="K28" s="109" t="str">
        <f t="shared" si="0"/>
        <v>4013/4014</v>
      </c>
      <c r="L28" s="22" t="str">
        <f>VLOOKUP(A28,'Trips&amp;Operators'!$C$1:$G$99999,5,FALSE)</f>
        <v>ISHMAEL JOSEPH</v>
      </c>
      <c r="M28" s="6">
        <f t="shared" si="1"/>
        <v>1.8043981479422655E-2</v>
      </c>
      <c r="N28" s="7"/>
      <c r="O28" s="7"/>
      <c r="P28" s="7">
        <f t="shared" si="2"/>
        <v>25.983333330368623</v>
      </c>
      <c r="Q28" s="23"/>
      <c r="R28" s="23" t="s">
        <v>860</v>
      </c>
      <c r="S28" s="35">
        <f t="shared" si="3"/>
        <v>0.75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9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04:26:07-700',mode:absolute,to:'2016-12-22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8" s="52" t="str">
        <f t="shared" si="6"/>
        <v>Y</v>
      </c>
      <c r="X28" s="177">
        <f t="shared" si="7"/>
        <v>0</v>
      </c>
      <c r="Y28" s="67">
        <f t="shared" si="8"/>
        <v>3.7654999999999998</v>
      </c>
      <c r="Z28" s="67">
        <f t="shared" si="9"/>
        <v>23.332100000000001</v>
      </c>
      <c r="AA28" s="67">
        <f t="shared" si="10"/>
        <v>19.566600000000001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0113-22</v>
      </c>
      <c r="AE28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28" s="88" t="str">
        <f t="shared" si="13"/>
        <v>"C:\Program Files (x86)\AstroGrep\AstroGrep.exe" /spath="%USERPROFILE%\AppData\Local\Temp\OnboardLogs" /stypes="app*4014*20161222*" /stext=" 12:.+((SYSTEM_STATE.+slice.+state.+changed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113-22 --locoid 4014 --swversion DE.1.0.8.0 --startMP 204:37655 --initTime 2016-12-22T05:26:07 --startdatetime 2016-12-22T05:27:17 --delay 1 --endMP 204:233321 --enddatetime 2016-12-22T05:53:16 --enforcementcount 0 &gt;&gt;C:\Users\stu\Documents\GitHub\eaglep3-reporting\EC\2016-12-22-refined-times.txt</v>
      </c>
      <c r="AI28" s="119" t="str">
        <f t="shared" si="18"/>
        <v>echo {"issue":{"subject":"Main 3 Departure","project_id":79,"tracker_id":40,"status_id":1,"priority_id":2,"assigned_to_id":23,"start_date":"2016-12-22","description":"","custom_fields":[{"id":1,"name":"Subdivision","value":"EC"},{"id":4,"name":"Milepost","value":"23.3321"},{"id":17,"name":"Train ID","value":"113-22"},{"id":16,"name":"Locomotive ID","value":"4014"},{"id":130,"name":"Impact","value":""},{"id":150,"name":"Time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504</v>
      </c>
      <c r="B29" s="7">
        <v>4013</v>
      </c>
      <c r="C29" s="22" t="s">
        <v>205</v>
      </c>
      <c r="D29" s="22" t="s">
        <v>695</v>
      </c>
      <c r="E29" s="13">
        <v>42726.252685185187</v>
      </c>
      <c r="F29" s="13">
        <v>42726.257835648146</v>
      </c>
      <c r="G29" s="7">
        <v>1</v>
      </c>
      <c r="H29" s="22" t="s">
        <v>192</v>
      </c>
      <c r="I29" s="13">
        <v>42726.284849537034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ISHMAEL JOSEPH</v>
      </c>
      <c r="M29" s="6">
        <f t="shared" si="1"/>
        <v>2.7013888888177462E-2</v>
      </c>
      <c r="N29" s="7">
        <f t="shared" si="2"/>
        <v>38.899999998975545</v>
      </c>
      <c r="O29" s="7"/>
      <c r="P29" s="7"/>
      <c r="Q29" s="23"/>
      <c r="R29" s="23"/>
      <c r="S29" s="35">
        <f t="shared" si="3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05:03:52-700',mode:absolute,to:'2016-12-22 07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23.300799999999999</v>
      </c>
      <c r="Z29" s="67">
        <f t="shared" si="9"/>
        <v>1.43E-2</v>
      </c>
      <c r="AA29" s="67">
        <f t="shared" si="10"/>
        <v>23.2865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0114-22</v>
      </c>
      <c r="AE29" s="91" t="str">
        <f t="shared" si="12"/>
        <v>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 &amp; 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</v>
      </c>
      <c r="AF29" s="88" t="str">
        <f t="shared" si="13"/>
        <v>"C:\Program Files (x86)\AstroGrep\AstroGrep.exe" /spath="%USERPROFILE%\AppData\Local\Temp\OnboardLogs" /stypes="app*4013*20161222*"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114-22 --locoid 4013 --swversion DE.1.0.8.0 --startMP 204:233008 --initTime 2016-12-22T06:03:52 --startdatetime 2016-12-22T06:11:17 --delay 1 --endMP 204:143 --enddatetime 2016-12-22T06:50:11 --enforcementcount 0 &gt;&gt;C:\Users\stu\Documents\GitHub\eaglep3-reporting\EC\2016-12-22-refined-times.txt</v>
      </c>
      <c r="AI2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ID","value":"114-22"},{"id":16,"name":"Locomotive ID","value":"4013"},{"id":130,"name":"Impact","value":""},{"id":150,"name":"Time of Event (Mountain Time)","value":"06:50:11"},{"id":151,"name":"Denver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498</v>
      </c>
      <c r="B30" s="7">
        <v>4020</v>
      </c>
      <c r="C30" s="22" t="s">
        <v>205</v>
      </c>
      <c r="D30" s="22" t="s">
        <v>696</v>
      </c>
      <c r="E30" s="13">
        <v>42726.231608796297</v>
      </c>
      <c r="F30" s="13">
        <v>42726.233194444445</v>
      </c>
      <c r="G30" s="7">
        <v>1</v>
      </c>
      <c r="H30" s="22" t="s">
        <v>342</v>
      </c>
      <c r="I30" s="13">
        <v>42726.25854166667</v>
      </c>
      <c r="J30" s="7">
        <v>0</v>
      </c>
      <c r="K30" s="109" t="str">
        <f t="shared" si="0"/>
        <v>4019/4020</v>
      </c>
      <c r="L30" s="22" t="str">
        <f>VLOOKUP(A30,'Trips&amp;Operators'!$C$1:$G$99999,5,FALSE)</f>
        <v>STARKS ANGELINA</v>
      </c>
      <c r="M30" s="6">
        <f t="shared" si="1"/>
        <v>2.5347222224809229E-2</v>
      </c>
      <c r="N30" s="7">
        <f t="shared" si="2"/>
        <v>36.50000000372529</v>
      </c>
      <c r="O30" s="7"/>
      <c r="P30" s="7"/>
      <c r="Q30" s="23"/>
      <c r="R30" s="23"/>
      <c r="S30" s="35">
        <f t="shared" si="3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04:33:31-700',mode:absolute,to:'2016-12-22 07:12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7.5200000000000003E-2</v>
      </c>
      <c r="Z30" s="67">
        <f t="shared" si="9"/>
        <v>23.3293</v>
      </c>
      <c r="AA30" s="67">
        <f t="shared" si="10"/>
        <v>23.254100000000001</v>
      </c>
      <c r="AB30" s="64" t="e">
        <f>VLOOKUP(A30,Enforcements!$C$7:$K$19,8,0)</f>
        <v>#N/A</v>
      </c>
      <c r="AC30" s="60" t="e">
        <f>VLOOKUP(A30,Enforcements!$C$7:$E$19,3,0)</f>
        <v>#N/A</v>
      </c>
      <c r="AD30" s="61" t="str">
        <f t="shared" si="11"/>
        <v>0115-22</v>
      </c>
      <c r="AE30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30" s="88" t="str">
        <f t="shared" si="13"/>
        <v>"C:\Program Files (x86)\AstroGrep\AstroGrep.exe" /spath="%USERPROFILE%\AppData\Local\Temp\OnboardLogs" /stypes="app*4020*20161222*"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115-22 --locoid 4020 --swversion DE.1.0.8.0 --startMP 204:752 --initTime 2016-12-22T05:33:31 --startdatetime 2016-12-22T05:35:48 --delay 1 --endMP 204:233293 --enddatetime 2016-12-22T06:12:18 --enforcementcount 0 &gt;&gt;C:\Users\stu\Documents\GitHub\eaglep3-reporting\EC\2016-12-22-refined-times.txt</v>
      </c>
      <c r="AI3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ID","value":"115-22"},{"id":16,"name":"Locomotive ID","value":"4020"},{"id":130,"name":"Impact","value":""},{"id":150,"name":"Time of Event (Mountain Time)","value":"06:12:18"},{"id":151,"name":"Denver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869</v>
      </c>
      <c r="B31" s="7">
        <v>4019</v>
      </c>
      <c r="C31" s="22" t="s">
        <v>205</v>
      </c>
      <c r="D31" s="22" t="s">
        <v>685</v>
      </c>
      <c r="E31" s="13">
        <v>42726.143483796295</v>
      </c>
      <c r="F31" s="13">
        <v>42726.267361111109</v>
      </c>
      <c r="G31" s="7">
        <v>7</v>
      </c>
      <c r="H31" s="22" t="s">
        <v>684</v>
      </c>
      <c r="I31" s="13">
        <v>42726.267361111109</v>
      </c>
      <c r="J31" s="7">
        <v>0</v>
      </c>
      <c r="K31" s="109" t="str">
        <f t="shared" si="0"/>
        <v>4019/4020</v>
      </c>
      <c r="L31" s="22" t="e">
        <f>VLOOKUP(A31,'Trips&amp;Operators'!$C$1:$G$99999,5,FALSE)</f>
        <v>#N/A</v>
      </c>
      <c r="M31" s="6">
        <f t="shared" si="1"/>
        <v>0</v>
      </c>
      <c r="N31" s="7"/>
      <c r="O31" s="7"/>
      <c r="P31" s="7">
        <v>1</v>
      </c>
      <c r="Q31" s="23"/>
      <c r="R31" s="23" t="s">
        <v>870</v>
      </c>
      <c r="S31" s="35">
        <f t="shared" si="3"/>
        <v>0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02:26:37-700',mode:absolute,to:'2016-12-22 07:25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52" t="str">
        <f t="shared" si="6"/>
        <v>Y</v>
      </c>
      <c r="X31" s="177">
        <f t="shared" si="7"/>
        <v>1</v>
      </c>
      <c r="Y31" s="67">
        <f t="shared" si="8"/>
        <v>7.7399999999999997E-2</v>
      </c>
      <c r="Z31" s="67">
        <f t="shared" si="9"/>
        <v>7.7200000000000005E-2</v>
      </c>
      <c r="AA31" s="67">
        <f t="shared" si="10"/>
        <v>1.9999999999999185E-4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0116-22</v>
      </c>
      <c r="AE31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31" s="88" t="str">
        <f t="shared" si="13"/>
        <v>"C:\Program Files (x86)\AstroGrep\AstroGrep.exe" /spath="%USERPROFILE%\AppData\Local\Temp\OnboardLogs" /stypes="app*4019*20161222*"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116-22 --locoid 4019 --swversion DE.1.0.8.0 --startMP 204:774 --initTime 2016-12-22T03:26:37 --startdatetime 2016-12-22T06:25:00 --delay 7 --endMP 204:772 --enddatetime 2016-12-22T06:25:00 --enforcementcount 0 &gt;&gt;C:\Users\stu\Documents\GitHub\eaglep3-reporting\EC\2016-12-22-refined-times.txt</v>
      </c>
      <c r="AI31" s="119" t="str">
        <f t="shared" si="18"/>
        <v>echo {"issue":{"subject":"Onboard networking issues with pair 4019/4020","project_id":79,"tracker_id":40,"status_id":1,"priority_id":2,"assigned_to_id":23,"start_date":"2016-12-22","description":"","custom_fields":[{"id":1,"name":"Subdivision","value":"EC"},{"id":4,"name":"Milepost","value":"0.0772"},{"id":17,"name":"Train ID","value":"116-22"},{"id":16,"name":"Locomotive ID","value":"4019"},{"id":130,"name":"Impact","value":""},{"id":150,"name":"Time of Event (Mountain Time)","value":"06:25:00"},{"id":151,"name":"Denver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7" t="s">
        <v>500</v>
      </c>
      <c r="B32" s="7">
        <v>4051</v>
      </c>
      <c r="C32" s="22" t="s">
        <v>205</v>
      </c>
      <c r="D32" s="22" t="s">
        <v>697</v>
      </c>
      <c r="E32" s="13">
        <v>42726.234074074076</v>
      </c>
      <c r="F32" s="13">
        <v>42726.239988425928</v>
      </c>
      <c r="G32" s="7">
        <v>1</v>
      </c>
      <c r="H32" s="22" t="s">
        <v>698</v>
      </c>
      <c r="I32" s="13">
        <v>42726.265162037038</v>
      </c>
      <c r="J32" s="7">
        <v>0</v>
      </c>
      <c r="K32" s="109" t="str">
        <f t="shared" si="0"/>
        <v>4051/4052</v>
      </c>
      <c r="L32" s="22" t="str">
        <f>VLOOKUP(A32,'Trips&amp;Operators'!$C$1:$G$99999,5,FALSE)</f>
        <v>BONDS REYNALDO</v>
      </c>
      <c r="M32" s="6">
        <f t="shared" si="1"/>
        <v>2.5173611109494232E-2</v>
      </c>
      <c r="N32" s="7">
        <f t="shared" si="2"/>
        <v>36.249999997671694</v>
      </c>
      <c r="O32" s="7"/>
      <c r="P32" s="7"/>
      <c r="Q32" s="23"/>
      <c r="R32" s="23"/>
      <c r="S32" s="35">
        <f t="shared" si="3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04:37:04-700',mode:absolute,to:'2016-12-22 07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4.7800000000000002E-2</v>
      </c>
      <c r="Z32" s="67">
        <f t="shared" si="9"/>
        <v>23.328299999999999</v>
      </c>
      <c r="AA32" s="67">
        <f t="shared" si="10"/>
        <v>23.2805</v>
      </c>
      <c r="AB32" s="64" t="e">
        <f>VLOOKUP(A32,Enforcements!$C$7:$K$19,8,0)</f>
        <v>#N/A</v>
      </c>
      <c r="AC32" s="60" t="e">
        <f>VLOOKUP(A32,Enforcements!$C$7:$E$19,3,0)</f>
        <v>#N/A</v>
      </c>
      <c r="AD32" s="61" t="str">
        <f t="shared" si="11"/>
        <v>0117-22</v>
      </c>
      <c r="AE32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32" s="88" t="str">
        <f t="shared" si="13"/>
        <v>"C:\Program Files (x86)\AstroGrep\AstroGrep.exe" /spath="%USERPROFILE%\AppData\Local\Temp\OnboardLogs" /stypes="app*4051*20161222*"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117-22 --locoid 4051 --swversion DE.1.0.8.0 --startMP 204:478 --initTime 2016-12-22T05:37:04 --startdatetime 2016-12-22T05:45:35 --delay 1 --endMP 204:233283 --enddatetime 2016-12-22T06:21:50 --enforcementcount 0 &gt;&gt;C:\Users\stu\Documents\GitHub\eaglep3-reporting\EC\2016-12-22-refined-times.txt</v>
      </c>
      <c r="AI3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{"issue":{"subject":"","project_id":79,"tracker_id":40,"status_id":1,"priority_id":2,"assigned_to_id":23,"start_date":"2016-12-22","description":"","custom_fields":[{"id":1,"name":"Subdivision","value":"EC"},{"id":4,"name":"Milepost","value":"23.3283"},{"id":17,"name":"Train ID","value":"117-22"},{"id":16,"name":"Locomotive ID","value":"4051"},{"id":130,"name":"Impact","value":""},{"id":150,"name":"Time of Event (Mountain Time)","value":"06:21:50"},{"id":151,"name":"Denver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447</v>
      </c>
      <c r="B33" s="7">
        <v>4052</v>
      </c>
      <c r="C33" s="22" t="s">
        <v>205</v>
      </c>
      <c r="D33" s="22" t="s">
        <v>353</v>
      </c>
      <c r="E33" s="13">
        <v>42726.267488425925</v>
      </c>
      <c r="F33" s="13">
        <v>42726.278668981482</v>
      </c>
      <c r="G33" s="7">
        <v>2</v>
      </c>
      <c r="H33" s="22" t="s">
        <v>261</v>
      </c>
      <c r="I33" s="13">
        <v>42726.306134259263</v>
      </c>
      <c r="J33" s="7">
        <v>0</v>
      </c>
      <c r="K33" s="109" t="str">
        <f t="shared" si="0"/>
        <v>4051/4052</v>
      </c>
      <c r="L33" s="22" t="str">
        <f>VLOOKUP(A33,'Trips&amp;Operators'!$C$1:$G$99999,5,FALSE)</f>
        <v>BONDS REYNALDO</v>
      </c>
      <c r="M33" s="6">
        <f t="shared" si="1"/>
        <v>2.7465277780720498E-2</v>
      </c>
      <c r="N33" s="7">
        <f t="shared" si="2"/>
        <v>39.550000004237518</v>
      </c>
      <c r="O33" s="7"/>
      <c r="P33" s="7"/>
      <c r="Q33" s="23"/>
      <c r="R33" s="23"/>
      <c r="S33" s="35">
        <f t="shared" si="3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05:25:11-700',mode:absolute,to:'2016-12-22 08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23.297899999999998</v>
      </c>
      <c r="Z33" s="67">
        <f t="shared" si="9"/>
        <v>1.3899999999999999E-2</v>
      </c>
      <c r="AA33" s="67">
        <f t="shared" si="10"/>
        <v>23.283999999999999</v>
      </c>
      <c r="AB33" s="64" t="e">
        <f>VLOOKUP(A33,Enforcements!$C$7:$K$19,8,0)</f>
        <v>#N/A</v>
      </c>
      <c r="AC33" s="60" t="e">
        <f>VLOOKUP(A33,Enforcements!$C$7:$E$19,3,0)</f>
        <v>#N/A</v>
      </c>
      <c r="AD33" s="61" t="str">
        <f t="shared" si="11"/>
        <v>0118-22</v>
      </c>
      <c r="AE33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33" s="88" t="str">
        <f t="shared" si="13"/>
        <v>"C:\Program Files (x86)\AstroGrep\AstroGrep.exe" /spath="%USERPROFILE%\AppData\Local\Temp\OnboardLogs" /stypes="app*4052*20161222*"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118-22 --locoid 4052 --swversion DE.1.0.8.0 --startMP 204:232979 --initTime 2016-12-22T06:25:11 --startdatetime 2016-12-22T06:41:17 --delay 2 --endMP 204:139 --enddatetime 2016-12-22T07:20:50 --enforcementcount 0 &gt;&gt;C:\Users\stu\Documents\GitHub\eaglep3-reporting\EC\2016-12-22-refined-times.txt</v>
      </c>
      <c r="AI3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{"issue":{"subject":"","project_id":79,"tracker_id":40,"status_id":1,"priority_id":2,"assigned_to_id":23,"start_date":"2016-12-22","description":"","custom_fields":[{"id":1,"name":"Subdivision","value":"EC"},{"id":4,"name":"Milepost","value":"0.0139"},{"id":17,"name":"Train ID","value":"118-22"},{"id":16,"name":"Locomotive ID","value":"4052"},{"id":130,"name":"Impact","value":""},{"id":150,"name":"Time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503</v>
      </c>
      <c r="B34" s="7">
        <v>4009</v>
      </c>
      <c r="C34" s="22" t="s">
        <v>205</v>
      </c>
      <c r="D34" s="22" t="s">
        <v>340</v>
      </c>
      <c r="E34" s="13">
        <v>42726.248877314814</v>
      </c>
      <c r="F34" s="13">
        <v>42726.250219907408</v>
      </c>
      <c r="G34" s="7">
        <v>1</v>
      </c>
      <c r="H34" s="22" t="s">
        <v>404</v>
      </c>
      <c r="I34" s="13">
        <v>42726.274664351855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ROBINSON KADDIBA</v>
      </c>
      <c r="M34" s="6">
        <f t="shared" si="1"/>
        <v>2.4444444446999114E-2</v>
      </c>
      <c r="N34" s="7">
        <f t="shared" si="2"/>
        <v>35.200000003678724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04:58:23-700',mode:absolute,to:'2016-12-22 07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7.4800000000000005E-2</v>
      </c>
      <c r="Z34" s="67">
        <f t="shared" si="9"/>
        <v>23.331399999999999</v>
      </c>
      <c r="AA34" s="67">
        <f t="shared" si="10"/>
        <v>23.256599999999999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0119-22</v>
      </c>
      <c r="AE34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34" s="88" t="str">
        <f t="shared" si="13"/>
        <v>"C:\Program Files (x86)\AstroGrep\AstroGrep.exe" /spath="%USERPROFILE%\AppData\Local\Temp\OnboardLogs" /stypes="app*4009*20161222*"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119-22 --locoid 4009 --swversion DE.1.0.8.0 --startMP 204:748 --initTime 2016-12-22T05:58:23 --startdatetime 2016-12-22T06:00:19 --delay 1 --endMP 204:233314 --enddatetime 2016-12-22T06:35:31 --enforcementcount 0 &gt;&gt;C:\Users\stu\Documents\GitHub\eaglep3-reporting\EC\2016-12-22-refined-times.txt</v>
      </c>
      <c r="AI3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{"issue":{"subject":"","project_id":79,"tracker_id":40,"status_id":1,"priority_id":2,"assigned_to_id":23,"start_date":"2016-12-22","description":"","custom_fields":[{"id":1,"name":"Subdivision","value":"EC"},{"id":4,"name":"Milepost","value":"23.3314"},{"id":17,"name":"Train ID","value":"119-22"},{"id":16,"name":"Locomotive ID","value":"4009"},{"id":130,"name":"Impact","value":""},{"id":150,"name":"Time of Event (Mountain Time)","value":"06:35:31"},{"id":151,"name":"Denver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513</v>
      </c>
      <c r="B35" s="7">
        <v>4010</v>
      </c>
      <c r="C35" s="22" t="s">
        <v>205</v>
      </c>
      <c r="D35" s="22" t="s">
        <v>405</v>
      </c>
      <c r="E35" s="13">
        <v>42726.286377314813</v>
      </c>
      <c r="F35" s="13">
        <v>42726.289039351854</v>
      </c>
      <c r="G35" s="7">
        <v>1</v>
      </c>
      <c r="H35" s="22" t="s">
        <v>347</v>
      </c>
      <c r="I35" s="13">
        <v>42726.31622685185</v>
      </c>
      <c r="J35" s="7">
        <v>0</v>
      </c>
      <c r="K35" s="109" t="str">
        <f t="shared" si="0"/>
        <v>4009/4010</v>
      </c>
      <c r="L35" s="22" t="str">
        <f>VLOOKUP(A35,'Trips&amp;Operators'!$C$1:$G$99999,5,FALSE)</f>
        <v>ROBINSON KADDIBA</v>
      </c>
      <c r="M35" s="6">
        <f t="shared" si="1"/>
        <v>2.7187499996216502E-2</v>
      </c>
      <c r="N35" s="7">
        <f t="shared" si="2"/>
        <v>39.149999994551763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05:52:23-700',mode:absolute,to:'2016-12-22 08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23.2988</v>
      </c>
      <c r="Z35" s="67">
        <f t="shared" si="9"/>
        <v>1.52E-2</v>
      </c>
      <c r="AA35" s="67">
        <f t="shared" si="10"/>
        <v>23.2836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0120-22</v>
      </c>
      <c r="AE35" s="91" t="str">
        <f t="shared" si="12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35" s="88" t="str">
        <f t="shared" si="13"/>
        <v>"C:\Program Files (x86)\AstroGrep\AstroGrep.exe" /spath="%USERPROFILE%\AppData\Local\Temp\OnboardLogs" /stypes="app*4010*20161222*"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120-22 --locoid 4010 --swversion DE.1.0.8.0 --startMP 204:232988 --initTime 2016-12-22T06:52:23 --startdatetime 2016-12-22T06:56:13 --delay 1 --endMP 204:152 --enddatetime 2016-12-22T07:35:22 --enforcementcount 0 &gt;&gt;C:\Users\stu\Documents\GitHub\eaglep3-reporting\EC\2016-12-22-refined-times.txt</v>
      </c>
      <c r="AI3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ID","value":"120-22"},{"id":16,"name":"Locomotive ID","value":"4010"},{"id":130,"name":"Impact","value":""},{"id":150,"name":"Time of Event (Mountain Time)","value":"07:35:22"},{"id":151,"name":"Denver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507</v>
      </c>
      <c r="B36" s="7">
        <v>4046</v>
      </c>
      <c r="C36" s="22" t="s">
        <v>205</v>
      </c>
      <c r="D36" s="22" t="s">
        <v>231</v>
      </c>
      <c r="E36" s="13">
        <v>42726.257557870369</v>
      </c>
      <c r="F36" s="13">
        <v>42726.261076388888</v>
      </c>
      <c r="G36" s="7">
        <v>4</v>
      </c>
      <c r="H36" s="22" t="s">
        <v>699</v>
      </c>
      <c r="I36" s="13">
        <v>42726.285740740743</v>
      </c>
      <c r="J36" s="7">
        <v>0</v>
      </c>
      <c r="K36" s="109" t="str">
        <f t="shared" si="0"/>
        <v>4045/4046</v>
      </c>
      <c r="L36" s="22" t="str">
        <f>VLOOKUP(A36,'Trips&amp;Operators'!$C$1:$G$99999,5,FALSE)</f>
        <v>MAGEE KENYA</v>
      </c>
      <c r="M36" s="6">
        <f t="shared" si="1"/>
        <v>2.4664351854880806E-2</v>
      </c>
      <c r="N36" s="7">
        <f t="shared" si="2"/>
        <v>35.516666671028361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05:10:53-700',mode:absolute,to:'2016-12-22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4.7100000000000003E-2</v>
      </c>
      <c r="Z36" s="67">
        <f t="shared" si="9"/>
        <v>23.3291</v>
      </c>
      <c r="AA36" s="67">
        <f t="shared" si="10"/>
        <v>23.282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0121-22</v>
      </c>
      <c r="AE36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36" s="88" t="str">
        <f t="shared" si="13"/>
        <v>"C:\Program Files (x86)\AstroGrep\AstroGrep.exe" /spath="%USERPROFILE%\AppData\Local\Temp\OnboardLogs" /stypes="app*4046*20161222*" /stext=" 13:.+((SYSTEM_STATE.+slice.+state.+changed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121-22 --locoid 4046 --swversion DE.1.0.8.0 --startMP 204:471 --initTime 2016-12-22T06:10:53 --startdatetime 2016-12-22T06:15:57 --delay 4 --endMP 204:233291 --enddatetime 2016-12-22T06:51:28 --enforcementcount 0 &gt;&gt;C:\Users\stu\Documents\GitHub\eaglep3-reporting\EC\2016-12-22-refined-times.txt</v>
      </c>
      <c r="AI3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ID","value":"121-22"},{"id":16,"name":"Locomotive ID","value":"4046"},{"id":130,"name":"Impact","value":""},{"id":150,"name":"Time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448</v>
      </c>
      <c r="B37" s="7">
        <v>4045</v>
      </c>
      <c r="C37" s="22" t="s">
        <v>205</v>
      </c>
      <c r="D37" s="22" t="s">
        <v>355</v>
      </c>
      <c r="E37" s="13">
        <v>42726.288194444445</v>
      </c>
      <c r="F37" s="13">
        <v>42726.299456018518</v>
      </c>
      <c r="G37" s="7">
        <v>3</v>
      </c>
      <c r="H37" s="22" t="s">
        <v>700</v>
      </c>
      <c r="I37" s="13">
        <v>42726.326932870368</v>
      </c>
      <c r="J37" s="7">
        <v>0</v>
      </c>
      <c r="K37" s="109" t="str">
        <f t="shared" si="0"/>
        <v>4045/4046</v>
      </c>
      <c r="L37" s="22" t="str">
        <f>VLOOKUP(A37,'Trips&amp;Operators'!$C$1:$G$99999,5,FALSE)</f>
        <v>MAGEE KENYA</v>
      </c>
      <c r="M37" s="6">
        <f t="shared" si="1"/>
        <v>2.7476851850224193E-2</v>
      </c>
      <c r="N37" s="7">
        <f t="shared" si="2"/>
        <v>39.566666664322838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05:55:00-700',mode:absolute,to:'2016-12-22 08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23.298300000000001</v>
      </c>
      <c r="Z37" s="67">
        <v>1.52E-2</v>
      </c>
      <c r="AA37" s="67">
        <f t="shared" si="10"/>
        <v>23.283100000000001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0122-22</v>
      </c>
      <c r="AE37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37" s="88" t="str">
        <f t="shared" si="13"/>
        <v>"C:\Program Files (x86)\AstroGrep\AstroGrep.exe" /spath="%USERPROFILE%\AppData\Local\Temp\OnboardLogs" /stypes="app*4045*20161222*" /stext=" 14:.+((SYSTEM_STATE.+slice.+state.+changed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122-22 --locoid 4045 --swversion DE.1.0.8.0 --startMP 204:232983 --initTime 2016-12-22T06:55:00 --startdatetime 2016-12-22T07:11:13 --delay 3 --endMP 204:69215 --enddatetime 2016-12-22T07:50:47 --enforcementcount 0 &gt;&gt;C:\Users\stu\Documents\GitHub\eaglep3-reporting\EC\2016-12-22-refined-times.txt</v>
      </c>
      <c r="AI3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ID","value":"122-22"},{"id":16,"name":"Locomotive ID","value":"4045"},{"id":130,"name":"Impact","value":""},{"id":150,"name":"Time of Event (Mountain Time)","value":"07:50:47"},{"id":151,"name":"Denver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509</v>
      </c>
      <c r="B38" s="7">
        <v>4016</v>
      </c>
      <c r="C38" s="22" t="s">
        <v>205</v>
      </c>
      <c r="D38" s="22" t="s">
        <v>701</v>
      </c>
      <c r="E38" s="13">
        <v>42726.267569444448</v>
      </c>
      <c r="F38" s="13">
        <v>42726.271238425928</v>
      </c>
      <c r="G38" s="7">
        <v>1</v>
      </c>
      <c r="H38" s="22" t="s">
        <v>699</v>
      </c>
      <c r="I38" s="13">
        <v>42726.2965625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SIMONEAUX TERA</v>
      </c>
      <c r="M38" s="6">
        <f t="shared" si="1"/>
        <v>2.5324074071249925E-2</v>
      </c>
      <c r="N38" s="7">
        <f t="shared" si="2"/>
        <v>36.466666662599891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05:25:18-700',mode:absolute,to:'2016-12-22 08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4.5699999999999998E-2</v>
      </c>
      <c r="Z38" s="67">
        <f t="shared" si="9"/>
        <v>23.3291</v>
      </c>
      <c r="AA38" s="67">
        <f t="shared" si="10"/>
        <v>23.2834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0123-22</v>
      </c>
      <c r="AE38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38" s="88" t="str">
        <f t="shared" si="13"/>
        <v>"C:\Program Files (x86)\AstroGrep\AstroGrep.exe" /spath="%USERPROFILE%\AppData\Local\Temp\OnboardLogs" /stypes="app*4016*20161222*"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123-22 --locoid 4016 --swversion DE.1.0.8.0 --startMP 204:457 --initTime 2016-12-22T06:25:18 --startdatetime 2016-12-22T06:30:35 --delay 1 --endMP 204:233291 --enddatetime 2016-12-22T07:07:03 --enforcementcount 0 &gt;&gt;C:\Users\stu\Documents\GitHub\eaglep3-reporting\EC\2016-12-22-refined-times.txt</v>
      </c>
      <c r="AI3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ID","value":"123-22"},{"id":16,"name":"Locomotive ID","value":"4016"},{"id":130,"name":"Impact","value":""},{"id":150,"name":"Time of Event (Mountain Time)","value":"07:07:03"},{"id":151,"name":"Denver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451</v>
      </c>
      <c r="B39" s="7">
        <v>4015</v>
      </c>
      <c r="C39" s="22" t="s">
        <v>205</v>
      </c>
      <c r="D39" s="22" t="s">
        <v>398</v>
      </c>
      <c r="E39" s="13">
        <v>42726.304537037038</v>
      </c>
      <c r="F39" s="13">
        <v>42726.310254629629</v>
      </c>
      <c r="G39" s="7">
        <v>1</v>
      </c>
      <c r="H39" s="22" t="s">
        <v>702</v>
      </c>
      <c r="I39" s="13">
        <v>42726.338703703703</v>
      </c>
      <c r="J39" s="7">
        <v>0</v>
      </c>
      <c r="K39" s="109" t="str">
        <f t="shared" si="0"/>
        <v>4015/4016</v>
      </c>
      <c r="L39" s="22" t="str">
        <f>VLOOKUP(A39,'Trips&amp;Operators'!$C$1:$G$99999,5,FALSE)</f>
        <v>SIMONEAUX TERA</v>
      </c>
      <c r="M39" s="6">
        <f t="shared" si="1"/>
        <v>2.8449074074160308E-2</v>
      </c>
      <c r="N39" s="7">
        <f t="shared" si="2"/>
        <v>40.966666666790843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06:18:32-700',mode:absolute,to:'2016-12-22 09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23.299199999999999</v>
      </c>
      <c r="Z39" s="67">
        <f t="shared" si="9"/>
        <v>1.6899999999999998E-2</v>
      </c>
      <c r="AA39" s="67">
        <f t="shared" si="10"/>
        <v>23.282299999999999</v>
      </c>
      <c r="AB39" s="64" t="str">
        <f>VLOOKUP(A39,Enforcements!$C$7:$K$19,8,0)</f>
        <v>Speed (6)</v>
      </c>
      <c r="AC39" s="60" t="str">
        <f>VLOOKUP(A39,Enforcements!$C$7:$E$19,3,0)</f>
        <v>PERMANENT SPEED RESTRICTION</v>
      </c>
      <c r="AD39" s="61" t="str">
        <f t="shared" si="11"/>
        <v>0124-22</v>
      </c>
      <c r="AE39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39" s="88" t="str">
        <f t="shared" si="13"/>
        <v>"C:\Program Files (x86)\AstroGrep\AstroGrep.exe" /spath="%USERPROFILE%\AppData\Local\Temp\OnboardLogs" /stypes="app*4015*20161222*"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124-22 --locoid 4015 --swversion DE.1.0.8.0 --startMP 204:232992 --initTime 2016-12-22T07:18:32 --startdatetime 2016-12-22T07:26:46 --delay 1 --endMP 204:169 --enddatetime 2016-12-22T08:07:44 --enforcementcount 0 &gt;&gt;C:\Users\stu\Documents\GitHub\eaglep3-reporting\EC\2016-12-22-refined-times.txt</v>
      </c>
      <c r="AI3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{"issue":{"subject":"","project_id":79,"tracker_id":40,"status_id":1,"priority_id":2,"assigned_to_id":23,"start_date":"2016-12-22","description":"","custom_fields":[{"id":1,"name":"Subdivision","value":"EC"},{"id":4,"name":"Milepost","value":"0.0169"},{"id":17,"name":"Train ID","value":"124-22"},{"id":16,"name":"Locomotive ID","value":"4015"},{"id":130,"name":"Impact","value":""},{"id":150,"name":"Time of Event (Mountain Time)","value":"08:07:44"},{"id":151,"name":"Denver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510</v>
      </c>
      <c r="B40" s="7">
        <v>4029</v>
      </c>
      <c r="C40" s="22" t="s">
        <v>205</v>
      </c>
      <c r="D40" s="22" t="s">
        <v>228</v>
      </c>
      <c r="E40" s="13">
        <v>42726.279560185183</v>
      </c>
      <c r="F40" s="13">
        <v>42726.281863425924</v>
      </c>
      <c r="G40" s="7">
        <v>1</v>
      </c>
      <c r="H40" s="22" t="s">
        <v>357</v>
      </c>
      <c r="I40" s="13">
        <v>42726.305972222224</v>
      </c>
      <c r="J40" s="7">
        <v>0</v>
      </c>
      <c r="K40" s="109" t="str">
        <f t="shared" si="0"/>
        <v>4029/4030</v>
      </c>
      <c r="L40" s="22" t="str">
        <f>VLOOKUP(A40,'Trips&amp;Operators'!$C$1:$G$99999,5,FALSE)</f>
        <v>SIMMONS SHYHESHA</v>
      </c>
      <c r="M40" s="6">
        <f t="shared" si="1"/>
        <v>2.4108796300424729E-2</v>
      </c>
      <c r="N40" s="7">
        <f t="shared" si="2"/>
        <v>34.716666672611609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05:42:34-700',mode:absolute,to:'2016-12-22 08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4.5499999999999999E-2</v>
      </c>
      <c r="Z40" s="67">
        <f t="shared" si="9"/>
        <v>23.328700000000001</v>
      </c>
      <c r="AA40" s="67">
        <f t="shared" si="10"/>
        <v>23.283200000000001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0125-22</v>
      </c>
      <c r="AE40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40" s="88" t="str">
        <f t="shared" si="13"/>
        <v>"C:\Program Files (x86)\AstroGrep\AstroGrep.exe" /spath="%USERPROFILE%\AppData\Local\Temp\OnboardLogs" /stypes="app*4029*20161222*"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125-22 --locoid 4029 --swversion DE.1.0.8.0 --startMP 204:455 --initTime 2016-12-22T06:42:34 --startdatetime 2016-12-22T06:45:53 --delay 1 --endMP 204:233287 --enddatetime 2016-12-22T07:20:36 --enforcementcount 0 &gt;&gt;C:\Users\stu\Documents\GitHub\eaglep3-reporting\EC\2016-12-22-refined-times.txt</v>
      </c>
      <c r="AI4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{"issue":{"subject":"","project_id":79,"tracker_id":40,"status_id":1,"priority_id":2,"assigned_to_id":23,"start_date":"2016-12-22","description":"","custom_fields":[{"id":1,"name":"Subdivision","value":"EC"},{"id":4,"name":"Milepost","value":"23.3287"},{"id":17,"name":"Train ID","value":"125-22"},{"id":16,"name":"Locomotive ID","value":"4029"},{"id":130,"name":"Impact","value":""},{"id":150,"name":"Time of Event (Mountain Time)","value":"07:20:36"},{"id":151,"name":"Denver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452</v>
      </c>
      <c r="B41" s="7">
        <v>4030</v>
      </c>
      <c r="C41" s="22" t="s">
        <v>205</v>
      </c>
      <c r="D41" s="22" t="s">
        <v>703</v>
      </c>
      <c r="E41" s="13">
        <v>42726.316643518519</v>
      </c>
      <c r="F41" s="13">
        <v>42726.320567129631</v>
      </c>
      <c r="G41" s="7">
        <v>0</v>
      </c>
      <c r="H41" s="22" t="s">
        <v>319</v>
      </c>
      <c r="I41" s="13">
        <v>42726.349212962959</v>
      </c>
      <c r="J41" s="7">
        <v>0</v>
      </c>
      <c r="K41" s="109" t="str">
        <f t="shared" si="0"/>
        <v>4029/4030</v>
      </c>
      <c r="L41" s="22" t="str">
        <f>VLOOKUP(A41,'Trips&amp;Operators'!$C$1:$G$99999,5,FALSE)</f>
        <v>SIMMONS SHYHESHA</v>
      </c>
      <c r="M41" s="6">
        <f t="shared" si="1"/>
        <v>2.8645833328482695E-2</v>
      </c>
      <c r="N41" s="7">
        <f t="shared" si="2"/>
        <v>41.249999993015081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06:35:58-700',mode:absolute,to:'2016-12-22 09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23.296199999999999</v>
      </c>
      <c r="Z41" s="67">
        <f t="shared" si="9"/>
        <v>1.7000000000000001E-2</v>
      </c>
      <c r="AA41" s="67">
        <f t="shared" si="10"/>
        <v>23.279199999999999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0126-22</v>
      </c>
      <c r="AE41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41" s="88" t="str">
        <f t="shared" si="13"/>
        <v>"C:\Program Files (x86)\AstroGrep\AstroGrep.exe" /spath="%USERPROFILE%\AppData\Local\Temp\OnboardLogs" /stypes="app*4030*20161222*"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126-22 --locoid 4030 --swversion DE.1.0.8.0 --startMP 204:232962 --initTime 2016-12-22T07:35:58 --startdatetime 2016-12-22T07:41:37 --delay 0 --endMP 204:170 --enddatetime 2016-12-22T08:22:52 --enforcementcount 0 &gt;&gt;C:\Users\stu\Documents\GitHub\eaglep3-reporting\EC\2016-12-22-refined-times.txt</v>
      </c>
      <c r="AI4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{"issue":{"subject":"","project_id":79,"tracker_id":40,"status_id":1,"priority_id":2,"assigned_to_id":23,"start_date":"2016-12-22","description":"","custom_fields":[{"id":1,"name":"Subdivision","value":"EC"},{"id":4,"name":"Milepost","value":"0.017"},{"id":17,"name":"Train ID","value":"126-22"},{"id":16,"name":"Locomotive ID","value":"4030"},{"id":130,"name":"Impact","value":""},{"id":150,"name":"Time of Event (Mountain Time)","value":"08:22:52"},{"id":151,"name":"Denver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512</v>
      </c>
      <c r="B42" s="7">
        <v>4014</v>
      </c>
      <c r="C42" s="22" t="s">
        <v>205</v>
      </c>
      <c r="D42" s="22" t="s">
        <v>194</v>
      </c>
      <c r="E42" s="13">
        <v>42726.285787037035</v>
      </c>
      <c r="F42" s="13">
        <v>42726.292002314818</v>
      </c>
      <c r="G42" s="7">
        <v>1</v>
      </c>
      <c r="H42" s="22" t="s">
        <v>403</v>
      </c>
      <c r="I42" s="13">
        <v>42726.316157407404</v>
      </c>
      <c r="J42" s="7">
        <v>0</v>
      </c>
      <c r="K42" s="109" t="str">
        <f t="shared" si="0"/>
        <v>4013/4014</v>
      </c>
      <c r="L42" s="22" t="str">
        <f>VLOOKUP(A42,'Trips&amp;Operators'!$C$1:$G$99999,5,FALSE)</f>
        <v>ISHMAEL JOSEPH</v>
      </c>
      <c r="M42" s="6">
        <f t="shared" si="1"/>
        <v>2.4155092585715465E-2</v>
      </c>
      <c r="N42" s="7">
        <f t="shared" si="2"/>
        <v>34.78333332343027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05:51:32-700',mode:absolute,to:'2016-12-22 08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4.5100000000000001E-2</v>
      </c>
      <c r="Z42" s="67">
        <f t="shared" si="9"/>
        <v>23.3307</v>
      </c>
      <c r="AA42" s="67">
        <f t="shared" si="10"/>
        <v>23.285599999999999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0127-22</v>
      </c>
      <c r="AE42" s="91" t="str">
        <f t="shared" si="12"/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AF42" s="88" t="str">
        <f t="shared" si="13"/>
        <v>"C:\Program Files (x86)\AstroGrep\AstroGrep.exe" /spath="%USERPROFILE%\AppData\Local\Temp\OnboardLogs" /stypes="app*4014*20161222*"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127-22 --locoid 4014 --swversion DE.1.0.8.0 --startMP 204:451 --initTime 2016-12-22T06:51:32 --startdatetime 2016-12-22T07:00:29 --delay 1 --endMP 204:233307 --enddatetime 2016-12-22T07:35:16 --enforcementcount 0 &gt;&gt;C:\Users\stu\Documents\GitHub\eaglep3-reporting\EC\2016-12-22-refined-times.txt</v>
      </c>
      <c r="AI4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{"issue":{"subject":"","project_id":79,"tracker_id":40,"status_id":1,"priority_id":2,"assigned_to_id":23,"start_date":"2016-12-22","description":"","custom_fields":[{"id":1,"name":"Subdivision","value":"EC"},{"id":4,"name":"Milepost","value":"23.3307"},{"id":17,"name":"Train ID","value":"127-22"},{"id":16,"name":"Locomotive ID","value":"4014"},{"id":130,"name":"Impact","value":""},{"id":150,"name":"Time of Event (Mountain Time)","value":"07:35:16"},{"id":151,"name":"Denver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521</v>
      </c>
      <c r="B43" s="7">
        <v>4013</v>
      </c>
      <c r="C43" s="22" t="s">
        <v>205</v>
      </c>
      <c r="D43" s="22" t="s">
        <v>278</v>
      </c>
      <c r="E43" s="13">
        <v>42726.325879629629</v>
      </c>
      <c r="F43" s="13">
        <v>42726.326932870368</v>
      </c>
      <c r="G43" s="7">
        <v>1</v>
      </c>
      <c r="H43" s="22" t="s">
        <v>278</v>
      </c>
      <c r="I43" s="13">
        <v>42726.327662037038</v>
      </c>
      <c r="J43" s="7">
        <v>0</v>
      </c>
      <c r="K43" s="109" t="str">
        <f t="shared" si="0"/>
        <v>4013/4014</v>
      </c>
      <c r="L43" s="22" t="str">
        <f>VLOOKUP(A43,'Trips&amp;Operators'!$C$1:$G$99999,5,FALSE)</f>
        <v>ISHMAEL JOSEPH</v>
      </c>
      <c r="M43" s="6">
        <f t="shared" si="1"/>
        <v>7.2916666977107525E-4</v>
      </c>
      <c r="N43" s="7"/>
      <c r="O43" s="7"/>
      <c r="P43" s="7">
        <f t="shared" si="2"/>
        <v>1.0500000044703484</v>
      </c>
      <c r="Q43" s="23"/>
      <c r="R43" s="23" t="s">
        <v>862</v>
      </c>
      <c r="S43" s="35">
        <f t="shared" si="3"/>
        <v>0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06:49:16-700',mode:absolute,to:'2016-12-22 08:51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3" s="52" t="str">
        <f t="shared" si="6"/>
        <v>Y</v>
      </c>
      <c r="X43" s="177">
        <f t="shared" si="7"/>
        <v>1</v>
      </c>
      <c r="Y43" s="67">
        <f t="shared" si="8"/>
        <v>23.2986</v>
      </c>
      <c r="Z43" s="67">
        <f t="shared" si="9"/>
        <v>23.2986</v>
      </c>
      <c r="AA43" s="67">
        <f t="shared" si="10"/>
        <v>0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0128-22</v>
      </c>
      <c r="AE43" s="91" t="str">
        <f t="shared" si="12"/>
        <v>aws s3 cp s3://rtdc.mdm.uploadarchive.raw/RTDC4013/ "%USERPROFILE%\AppData\Local\Temp\OnboardLogs"\RTDC4013\2016-12-22 --exclude "*" --recursive --include "*20161222*" &amp; "%USERPROFILE%\Documents\GitHub\mrs-test-scripts\Headless Mode &amp; Sideloading\WalkAndUnGZ.bat" "%USERPROFILE%\AppData\Local\Temp\OnboardLogs"\RTDC4013\2016-12-22 &amp; aws s3 cp s3://rtdc.mdm.uploadarchive.raw/RTDC4013/ "%USERPROFILE%\AppData\Local\Temp\OnboardLogs"\RTDC4013\2016-12-23 --exclude "*" --recursive --include "*20161223*" &amp; "%USERPROFILE%\Documents\GitHub\mrs-test-scripts\Headless Mode &amp; Sideloading\WalkAndUnGZ.bat" "%USERPROFILE%\AppData\Local\Temp\OnboardLogs"\RTDC4013\2016-12-23</v>
      </c>
      <c r="AF43" s="88" t="str">
        <f t="shared" si="13"/>
        <v>"C:\Program Files (x86)\AstroGrep\AstroGrep.exe" /spath="%USERPROFILE%\AppData\Local\Temp\OnboardLogs" /stypes="app*4013*20161222*" /stext=" 14:.+((SYSTEM_STATE.+slice.+state.+changed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128-22 --locoid 4013 --swversion DE.1.0.8.0 --startMP 204:232986 --initTime 2016-12-22T07:49:16 --startdatetime 2016-12-22T07:50:47 --delay 1 --endMP 204:232986 --enddatetime 2016-12-22T07:51:50 --enforcementcount 0 &gt;&gt;C:\Users\stu\Documents\GitHub\eaglep3-reporting\EC\2016-12-22-refined-times.txt</v>
      </c>
      <c r="AI43" s="119" t="str">
        <f t="shared" si="18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failure","project_id":79,"tracker_id":40,"status_id":1,"priority_id":2,"assigned_to_id":23,"start_date":"2016-12-22","description":"","custom_fields":[{"id":1,"name":"Subdivision","value":"EC"},{"id":4,"name":"Milepost","value":"23.2986"},{"id":17,"name":"Train ID","value":"128-22"},{"id":16,"name":"Locomotive ID","value":"4013"},{"id":130,"name":"Impact","value":""},{"id":150,"name":"Time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4020</v>
      </c>
      <c r="C44" s="22" t="s">
        <v>205</v>
      </c>
      <c r="D44" s="22" t="s">
        <v>242</v>
      </c>
      <c r="E44" s="13">
        <v>42726.30259259259</v>
      </c>
      <c r="F44" s="13">
        <v>42726.304594907408</v>
      </c>
      <c r="G44" s="7">
        <v>2</v>
      </c>
      <c r="H44" s="22" t="s">
        <v>342</v>
      </c>
      <c r="I44" s="13">
        <v>42726.329467592594</v>
      </c>
      <c r="J44" s="7">
        <v>0</v>
      </c>
      <c r="K44" s="109" t="str">
        <f t="shared" si="0"/>
        <v>4019/4020</v>
      </c>
      <c r="L44" s="22" t="str">
        <f>VLOOKUP(A44,'Trips&amp;Operators'!$C$1:$G$99999,5,FALSE)</f>
        <v>STARKS ANGELINA</v>
      </c>
      <c r="M44" s="6">
        <f t="shared" si="1"/>
        <v>2.4872685185982846E-2</v>
      </c>
      <c r="N44" s="7">
        <f t="shared" si="2"/>
        <v>35.816666667815298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06:15:44-700',mode:absolute,to:'2016-12-22 08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4.58E-2</v>
      </c>
      <c r="Z44" s="67">
        <f t="shared" si="9"/>
        <v>23.3293</v>
      </c>
      <c r="AA44" s="67">
        <f t="shared" si="10"/>
        <v>23.2835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0129-22</v>
      </c>
      <c r="AE44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44" s="88" t="str">
        <f t="shared" si="13"/>
        <v>"C:\Program Files (x86)\AstroGrep\AstroGrep.exe" /spath="%USERPROFILE%\AppData\Local\Temp\OnboardLogs" /stypes="app*4020*20161222*" /stext=" 14:.+((SYSTEM_STATE.+slice.+state.+changed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129-22 --locoid 4020 --swversion DE.1.0.8.0 --startMP 204:458 --initTime 2016-12-22T07:15:44 --startdatetime 2016-12-22T07:18:37 --delay 2 --endMP 204:233293 --enddatetime 2016-12-22T07:54:26 --enforcementcount 0 &gt;&gt;C:\Users\stu\Documents\GitHub\eaglep3-reporting\EC\2016-12-22-refined-times.txt</v>
      </c>
      <c r="AI4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{"issue":{"subject":"","project_id":79,"tracker_id":40,"status_id":1,"priority_id":2,"assigned_to_id":23,"start_date":"2016-12-22","description":"","custom_fields":[{"id":1,"name":"Subdivision","value":"EC"},{"id":4,"name":"Milepost","value":"23.3293"},{"id":17,"name":"Train ID","value":"129-22"},{"id":16,"name":"Locomotive ID","value":"4020"},{"id":130,"name":"Impact","value":""},{"id":150,"name":"Time of Event (Mountain Time)","value":"07:54:26"},{"id":151,"name":"Denver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523</v>
      </c>
      <c r="B45" s="7">
        <v>4019</v>
      </c>
      <c r="C45" s="22" t="s">
        <v>205</v>
      </c>
      <c r="D45" s="22" t="s">
        <v>314</v>
      </c>
      <c r="E45" s="13">
        <v>42726.338784722226</v>
      </c>
      <c r="F45" s="13">
        <v>42726.344490740739</v>
      </c>
      <c r="G45" s="7">
        <v>2</v>
      </c>
      <c r="H45" s="22" t="s">
        <v>191</v>
      </c>
      <c r="I45" s="13">
        <v>42726.37394675926</v>
      </c>
      <c r="J45" s="7">
        <v>0</v>
      </c>
      <c r="K45" s="109" t="str">
        <f t="shared" si="0"/>
        <v>4019/4020</v>
      </c>
      <c r="L45" s="22" t="str">
        <f>VLOOKUP(A45,'Trips&amp;Operators'!$C$1:$G$99999,5,FALSE)</f>
        <v>STARKS ANGELINA</v>
      </c>
      <c r="M45" s="6">
        <f t="shared" si="1"/>
        <v>2.9456018521159422E-2</v>
      </c>
      <c r="N45" s="7">
        <f t="shared" si="2"/>
        <v>42.416666670469567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07:07:51-700',mode:absolute,to:'2016-12-22 09:58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23.298100000000002</v>
      </c>
      <c r="Z45" s="67">
        <f t="shared" si="9"/>
        <v>1.49E-2</v>
      </c>
      <c r="AA45" s="67">
        <f t="shared" si="10"/>
        <v>23.283200000000001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0130-22</v>
      </c>
      <c r="AE45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45" s="88" t="str">
        <f t="shared" si="13"/>
        <v>"C:\Program Files (x86)\AstroGrep\AstroGrep.exe" /spath="%USERPROFILE%\AppData\Local\Temp\OnboardLogs" /stypes="app*4019*20161222*" /stext=" 15:.+((SYSTEM_STATE.+slice.+state.+changed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130-22 --locoid 4019 --swversion DE.1.0.8.0 --startMP 204:232981 --initTime 2016-12-22T08:07:51 --startdatetime 2016-12-22T08:16:04 --delay 2 --endMP 204:149 --enddatetime 2016-12-22T08:58:29 --enforcementcount 0 &gt;&gt;C:\Users\stu\Documents\GitHub\eaglep3-reporting\EC\2016-12-22-refined-times.txt</v>
      </c>
      <c r="AI4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ID","value":"130-22"},{"id":16,"name":"Locomotive ID","value":"4019"},{"id":130,"name":"Impact","value":""},{"id":150,"name":"Time of Event (Mountain Time)","value":"08:58:29"},{"id":151,"name":"Denver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518</v>
      </c>
      <c r="B46" s="7">
        <v>4051</v>
      </c>
      <c r="C46" s="22" t="s">
        <v>205</v>
      </c>
      <c r="D46" s="22" t="s">
        <v>194</v>
      </c>
      <c r="E46" s="13">
        <v>42726.307812500003</v>
      </c>
      <c r="F46" s="13">
        <v>42726.313067129631</v>
      </c>
      <c r="G46" s="7">
        <v>1</v>
      </c>
      <c r="H46" s="22" t="s">
        <v>704</v>
      </c>
      <c r="I46" s="13">
        <v>42726.345682870371</v>
      </c>
      <c r="J46" s="7">
        <v>0</v>
      </c>
      <c r="K46" s="109" t="str">
        <f t="shared" si="0"/>
        <v>4051/4052</v>
      </c>
      <c r="L46" s="22" t="str">
        <f>VLOOKUP(A46,'Trips&amp;Operators'!$C$1:$G$99999,5,FALSE)</f>
        <v>BONDS REYNALDO</v>
      </c>
      <c r="M46" s="6">
        <f t="shared" si="1"/>
        <v>3.2615740739856847E-2</v>
      </c>
      <c r="N46" s="7">
        <f t="shared" si="2"/>
        <v>46.966666665393859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06:23:15-700',mode:absolute,to:'2016-12-22 09:17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4.5100000000000001E-2</v>
      </c>
      <c r="Z46" s="67">
        <f t="shared" si="9"/>
        <v>23.328399999999998</v>
      </c>
      <c r="AA46" s="67">
        <f t="shared" si="10"/>
        <v>23.283299999999997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0131-22</v>
      </c>
      <c r="AE46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46" s="88" t="str">
        <f t="shared" si="13"/>
        <v>"C:\Program Files (x86)\AstroGrep\AstroGrep.exe" /spath="%USERPROFILE%\AppData\Local\Temp\OnboardLogs" /stypes="app*4051*20161222*"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131-22 --locoid 4051 --swversion DE.1.0.8.0 --startMP 204:451 --initTime 2016-12-22T07:23:15 --startdatetime 2016-12-22T07:30:49 --delay 1 --endMP 204:233284 --enddatetime 2016-12-22T08:17:47 --enforcementcount 0 &gt;&gt;C:\Users\stu\Documents\GitHub\eaglep3-reporting\EC\2016-12-22-refined-times.txt</v>
      </c>
      <c r="AI4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{"issue":{"subject":"","project_id":79,"tracker_id":40,"status_id":1,"priority_id":2,"assigned_to_id":23,"start_date":"2016-12-22","description":"","custom_fields":[{"id":1,"name":"Subdivision","value":"EC"},{"id":4,"name":"Milepost","value":"23.3284"},{"id":17,"name":"Train ID","value":"131-22"},{"id":16,"name":"Locomotive ID","value":"4051"},{"id":130,"name":"Impact","value":""},{"id":150,"name":"Time of Event (Mountain Time)","value":"08:17:47"},{"id":151,"name":"Denver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526</v>
      </c>
      <c r="B47" s="7">
        <v>4052</v>
      </c>
      <c r="C47" s="22" t="s">
        <v>205</v>
      </c>
      <c r="D47" s="22" t="s">
        <v>705</v>
      </c>
      <c r="E47" s="13">
        <v>42726.347905092596</v>
      </c>
      <c r="F47" s="13">
        <v>42726.351724537039</v>
      </c>
      <c r="G47" s="7">
        <v>1</v>
      </c>
      <c r="H47" s="22" t="s">
        <v>260</v>
      </c>
      <c r="I47" s="13">
        <v>42726.379444444443</v>
      </c>
      <c r="J47" s="7">
        <v>0</v>
      </c>
      <c r="K47" s="109" t="str">
        <f t="shared" si="0"/>
        <v>4051/4052</v>
      </c>
      <c r="L47" s="22" t="str">
        <f>VLOOKUP(A47,'Trips&amp;Operators'!$C$1:$G$99999,5,FALSE)</f>
        <v>BONDS REYNALDO</v>
      </c>
      <c r="M47" s="6">
        <f t="shared" si="1"/>
        <v>2.7719907404389232E-2</v>
      </c>
      <c r="N47" s="7">
        <f t="shared" si="2"/>
        <v>39.916666662320495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07:20:59-700',mode:absolute,to:'2016-12-22 10:06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23.2971</v>
      </c>
      <c r="Z47" s="67">
        <f t="shared" si="9"/>
        <v>1.47E-2</v>
      </c>
      <c r="AA47" s="67">
        <f t="shared" si="10"/>
        <v>23.282399999999999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0132-22</v>
      </c>
      <c r="AE47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47" s="88" t="str">
        <f t="shared" si="13"/>
        <v>"C:\Program Files (x86)\AstroGrep\AstroGrep.exe" /spath="%USERPROFILE%\AppData\Local\Temp\OnboardLogs" /stypes="app*4052*20161222*"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132-22 --locoid 4052 --swversion DE.1.0.8.0 --startMP 204:232971 --initTime 2016-12-22T08:20:59 --startdatetime 2016-12-22T08:26:29 --delay 1 --endMP 204:147 --enddatetime 2016-12-22T09:06:24 --enforcementcount 0 &gt;&gt;C:\Users\stu\Documents\GitHub\eaglep3-reporting\EC\2016-12-22-refined-times.txt</v>
      </c>
      <c r="AI4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ID","value":"132-22"},{"id":16,"name":"Locomotive ID","value":"4052"},{"id":130,"name":"Impact","value":""},{"id":150,"name":"Time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519</v>
      </c>
      <c r="B48" s="7">
        <v>4009</v>
      </c>
      <c r="C48" s="22" t="s">
        <v>205</v>
      </c>
      <c r="D48" s="22" t="s">
        <v>267</v>
      </c>
      <c r="E48" s="13">
        <v>42726.319710648146</v>
      </c>
      <c r="F48" s="13">
        <v>42726.323101851849</v>
      </c>
      <c r="G48" s="7">
        <v>1</v>
      </c>
      <c r="H48" s="22" t="s">
        <v>699</v>
      </c>
      <c r="I48" s="13">
        <v>42726.348124999997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ROBINSON KADDIBA</v>
      </c>
      <c r="M48" s="6">
        <f t="shared" si="1"/>
        <v>2.5023148147738539E-2</v>
      </c>
      <c r="N48" s="7">
        <f t="shared" si="2"/>
        <v>36.033333332743496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06:40:23-700',mode:absolute,to:'2016-12-22 09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4.6199999999999998E-2</v>
      </c>
      <c r="Z48" s="67">
        <f t="shared" si="9"/>
        <v>23.3291</v>
      </c>
      <c r="AA48" s="67">
        <f t="shared" si="10"/>
        <v>23.282900000000001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0133-22</v>
      </c>
      <c r="AE48" s="91" t="str">
        <f t="shared" si="12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48" s="88" t="str">
        <f t="shared" si="13"/>
        <v>"C:\Program Files (x86)\AstroGrep\AstroGrep.exe" /spath="%USERPROFILE%\AppData\Local\Temp\OnboardLogs" /stypes="app*4009*20161222*"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133-22 --locoid 4009 --swversion DE.1.0.8.0 --startMP 204:462 --initTime 2016-12-22T07:40:23 --startdatetime 2016-12-22T07:45:16 --delay 1 --endMP 204:233291 --enddatetime 2016-12-22T08:21:18 --enforcementcount 0 &gt;&gt;C:\Users\stu\Documents\GitHub\eaglep3-reporting\EC\2016-12-22-refined-times.txt</v>
      </c>
      <c r="AI4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ID","value":"133-22"},{"id":16,"name":"Locomotive ID","value":"4009"},{"id":130,"name":"Impact","value":""},{"id":150,"name":"Time of Event (Mountain Time)","value":"08:21:18"},{"id":151,"name":"Denver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527</v>
      </c>
      <c r="B49" s="7">
        <v>4010</v>
      </c>
      <c r="C49" s="22" t="s">
        <v>205</v>
      </c>
      <c r="D49" s="22" t="s">
        <v>353</v>
      </c>
      <c r="E49" s="13">
        <v>42726.354386574072</v>
      </c>
      <c r="F49" s="13">
        <v>42726.361990740741</v>
      </c>
      <c r="G49" s="7">
        <v>1</v>
      </c>
      <c r="H49" s="22" t="s">
        <v>191</v>
      </c>
      <c r="I49" s="13">
        <v>42726.390949074077</v>
      </c>
      <c r="J49" s="7">
        <v>0</v>
      </c>
      <c r="K49" s="109" t="str">
        <f t="shared" si="0"/>
        <v>4009/4010</v>
      </c>
      <c r="L49" s="22" t="str">
        <f>VLOOKUP(A49,'Trips&amp;Operators'!$C$1:$G$99999,5,FALSE)</f>
        <v>ROBINSON KADDIBA</v>
      </c>
      <c r="M49" s="6">
        <f t="shared" si="1"/>
        <v>2.8958333336049691E-2</v>
      </c>
      <c r="N49" s="7">
        <f t="shared" si="2"/>
        <v>41.700000003911555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07:30:19-700',mode:absolute,to:'2016-12-22 10:22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23.297899999999998</v>
      </c>
      <c r="Z49" s="67">
        <f t="shared" si="9"/>
        <v>1.49E-2</v>
      </c>
      <c r="AA49" s="67">
        <f t="shared" si="10"/>
        <v>23.282999999999998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0134-22</v>
      </c>
      <c r="AE49" s="91" t="str">
        <f t="shared" si="12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49" s="88" t="str">
        <f t="shared" si="13"/>
        <v>"C:\Program Files (x86)\AstroGrep\AstroGrep.exe" /spath="%USERPROFILE%\AppData\Local\Temp\OnboardLogs" /stypes="app*4010*20161222*"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134-22 --locoid 4010 --swversion DE.1.0.8.0 --startMP 204:232979 --initTime 2016-12-22T08:30:19 --startdatetime 2016-12-22T08:41:16 --delay 1 --endMP 204:149 --enddatetime 2016-12-22T09:22:58 --enforcementcount 0 &gt;&gt;C:\Users\stu\Documents\GitHub\eaglep3-reporting\EC\2016-12-22-refined-times.txt</v>
      </c>
      <c r="AI4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ID","value":"134-22"},{"id":16,"name":"Locomotive ID","value":"4010"},{"id":130,"name":"Impact","value":""},{"id":150,"name":"Time of Event (Mountain Time)","value":"09:22:58"},{"id":151,"name":"Denver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522</v>
      </c>
      <c r="B50" s="7">
        <v>4046</v>
      </c>
      <c r="C50" s="22" t="s">
        <v>205</v>
      </c>
      <c r="D50" s="22" t="s">
        <v>706</v>
      </c>
      <c r="E50" s="13">
        <v>42726.32917824074</v>
      </c>
      <c r="F50" s="13">
        <v>42726.333506944444</v>
      </c>
      <c r="G50" s="7">
        <v>1</v>
      </c>
      <c r="H50" s="22" t="s">
        <v>280</v>
      </c>
      <c r="I50" s="13">
        <v>42726.357685185183</v>
      </c>
      <c r="J50" s="7">
        <v>0</v>
      </c>
      <c r="K50" s="109" t="str">
        <f t="shared" si="0"/>
        <v>4045/4046</v>
      </c>
      <c r="L50" s="22" t="str">
        <f>VLOOKUP(A50,'Trips&amp;Operators'!$C$1:$G$99999,5,FALSE)</f>
        <v>MAGEE KENYA</v>
      </c>
      <c r="M50" s="6">
        <f t="shared" si="1"/>
        <v>2.417824073927477E-2</v>
      </c>
      <c r="N50" s="7">
        <f t="shared" si="2"/>
        <v>34.816666664555669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06:54:01-700',mode:absolute,to:'2016-12-22 09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4.3499999999999997E-2</v>
      </c>
      <c r="Z50" s="67">
        <f t="shared" si="9"/>
        <v>23.329899999999999</v>
      </c>
      <c r="AA50" s="67">
        <f t="shared" si="10"/>
        <v>23.286399999999997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0135-22</v>
      </c>
      <c r="AE50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50" s="88" t="str">
        <f t="shared" si="13"/>
        <v>"C:\Program Files (x86)\AstroGrep\AstroGrep.exe" /spath="%USERPROFILE%\AppData\Local\Temp\OnboardLogs" /stypes="app*4046*20161222*"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135-22 --locoid 4046 --swversion DE.1.0.8.0 --startMP 204:435 --initTime 2016-12-22T07:54:01 --startdatetime 2016-12-22T08:00:15 --delay 1 --endMP 204:233299 --enddatetime 2016-12-22T08:35:04 --enforcementcount 0 &gt;&gt;C:\Users\stu\Documents\GitHub\eaglep3-reporting\EC\2016-12-22-refined-times.txt</v>
      </c>
      <c r="AI5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{"issue":{"subject":"","project_id":79,"tracker_id":40,"status_id":1,"priority_id":2,"assigned_to_id":23,"start_date":"2016-12-22","description":"","custom_fields":[{"id":1,"name":"Subdivision","value":"EC"},{"id":4,"name":"Milepost","value":"23.3299"},{"id":17,"name":"Train ID","value":"135-22"},{"id":16,"name":"Locomotive ID","value":"4046"},{"id":130,"name":"Impact","value":""},{"id":150,"name":"Time of Event (Mountain Time)","value":"08:35:04"},{"id":151,"name":"Denver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531</v>
      </c>
      <c r="B51" s="7">
        <v>4045</v>
      </c>
      <c r="C51" s="22" t="s">
        <v>205</v>
      </c>
      <c r="D51" s="22" t="s">
        <v>705</v>
      </c>
      <c r="E51" s="13">
        <v>42726.364016203705</v>
      </c>
      <c r="F51" s="13">
        <v>42726.372407407405</v>
      </c>
      <c r="G51" s="7">
        <v>1</v>
      </c>
      <c r="H51" s="22" t="s">
        <v>192</v>
      </c>
      <c r="I51" s="13">
        <v>42726.400277777779</v>
      </c>
      <c r="J51" s="7">
        <v>0</v>
      </c>
      <c r="K51" s="109" t="str">
        <f t="shared" si="0"/>
        <v>4045/4046</v>
      </c>
      <c r="L51" s="22" t="str">
        <f>VLOOKUP(A51,'Trips&amp;Operators'!$C$1:$G$99999,5,FALSE)</f>
        <v>MAGEE KENYA</v>
      </c>
      <c r="M51" s="6">
        <f t="shared" si="1"/>
        <v>2.7870370373420883E-2</v>
      </c>
      <c r="N51" s="7">
        <f t="shared" si="2"/>
        <v>40.133333337726071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07:44:11-700',mode:absolute,to:'2016-12-22 10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23.2971</v>
      </c>
      <c r="Z51" s="67">
        <f t="shared" si="9"/>
        <v>1.43E-2</v>
      </c>
      <c r="AA51" s="67">
        <f t="shared" si="10"/>
        <v>23.282800000000002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0136-22</v>
      </c>
      <c r="AE51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51" s="88" t="str">
        <f t="shared" si="13"/>
        <v>"C:\Program Files (x86)\AstroGrep\AstroGrep.exe" /spath="%USERPROFILE%\AppData\Local\Temp\OnboardLogs" /stypes="app*4045*20161222*"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136-22 --locoid 4045 --swversion DE.1.0.8.0 --startMP 204:232971 --initTime 2016-12-22T08:44:11 --startdatetime 2016-12-22T08:56:16 --delay 1 --endMP 204:143 --enddatetime 2016-12-22T09:36:24 --enforcementcount 0 &gt;&gt;C:\Users\stu\Documents\GitHub\eaglep3-reporting\EC\2016-12-22-refined-times.txt</v>
      </c>
      <c r="AI5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ID","value":"136-22"},{"id":16,"name":"Locomotive ID","value":"4045"},{"id":130,"name":"Impact","value":""},{"id":150,"name":"Time of Event (Mountain Time)","value":"09:36:24"},{"id":151,"name":"Denver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524</v>
      </c>
      <c r="B52" s="7">
        <v>4016</v>
      </c>
      <c r="C52" s="22" t="s">
        <v>205</v>
      </c>
      <c r="D52" s="22" t="s">
        <v>231</v>
      </c>
      <c r="E52" s="13">
        <v>42726.340555555558</v>
      </c>
      <c r="F52" s="13">
        <v>42726.345173611109</v>
      </c>
      <c r="G52" s="7">
        <v>1</v>
      </c>
      <c r="H52" s="22" t="s">
        <v>346</v>
      </c>
      <c r="I52" s="13">
        <v>42726.371435185189</v>
      </c>
      <c r="J52" s="7">
        <v>0</v>
      </c>
      <c r="K52" s="109" t="str">
        <f t="shared" si="0"/>
        <v>4015/4016</v>
      </c>
      <c r="L52" s="22" t="str">
        <f>VLOOKUP(A52,'Trips&amp;Operators'!$C$1:$G$99999,5,FALSE)</f>
        <v>SIMONEAUX TERA</v>
      </c>
      <c r="M52" s="6">
        <f t="shared" si="1"/>
        <v>2.6261574079398997E-2</v>
      </c>
      <c r="N52" s="7">
        <f t="shared" si="2"/>
        <v>37.816666674334556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07:10:24-700',mode:absolute,to:'2016-12-22 09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4.7100000000000003E-2</v>
      </c>
      <c r="Z52" s="67">
        <f t="shared" si="9"/>
        <v>23.33</v>
      </c>
      <c r="AA52" s="67">
        <f t="shared" si="10"/>
        <v>23.282899999999998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0137-22</v>
      </c>
      <c r="AE52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52" s="88" t="str">
        <f t="shared" si="13"/>
        <v>"C:\Program Files (x86)\AstroGrep\AstroGrep.exe" /spath="%USERPROFILE%\AppData\Local\Temp\OnboardLogs" /stypes="app*4016*20161222*" /stext=" 15:.+((SYSTEM_STATE.+slice.+state.+changed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137-22 --locoid 4016 --swversion DE.1.0.8.0 --startMP 204:471 --initTime 2016-12-22T08:10:24 --startdatetime 2016-12-22T08:17:03 --delay 1 --endMP 204:233300 --enddatetime 2016-12-22T08:54:52 --enforcementcount 0 &gt;&gt;C:\Users\stu\Documents\GitHub\eaglep3-reporting\EC\2016-12-22-refined-times.txt</v>
      </c>
      <c r="AI5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ID","value":"137-22"},{"id":16,"name":"Locomotive ID","value":"4016"},{"id":130,"name":"Impact","value":""},{"id":150,"name":"Time of Event (Mountain Time)","value":"08:54:52"},{"id":151,"name":"Denver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533</v>
      </c>
      <c r="B53" s="7">
        <v>4015</v>
      </c>
      <c r="C53" s="22" t="s">
        <v>205</v>
      </c>
      <c r="D53" s="22" t="s">
        <v>707</v>
      </c>
      <c r="E53" s="13">
        <v>42726.378078703703</v>
      </c>
      <c r="F53" s="13">
        <v>42726.383136574077</v>
      </c>
      <c r="G53" s="7">
        <v>1</v>
      </c>
      <c r="H53" s="22" t="s">
        <v>244</v>
      </c>
      <c r="I53" s="13">
        <v>42726.41138888889</v>
      </c>
      <c r="J53" s="7">
        <v>0</v>
      </c>
      <c r="K53" s="109" t="str">
        <f t="shared" si="0"/>
        <v>4015/4016</v>
      </c>
      <c r="L53" s="22" t="str">
        <f>VLOOKUP(A53,'Trips&amp;Operators'!$C$1:$G$99999,5,FALSE)</f>
        <v>SIMONEAUX TERA</v>
      </c>
      <c r="M53" s="6">
        <f t="shared" si="1"/>
        <v>2.8252314812561963E-2</v>
      </c>
      <c r="N53" s="7">
        <f t="shared" si="2"/>
        <v>40.683333330089226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08:04:26-700',mode:absolute,to:'2016-12-22 10:52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23.3004</v>
      </c>
      <c r="Z53" s="67">
        <f t="shared" si="9"/>
        <v>1.6299999999999999E-2</v>
      </c>
      <c r="AA53" s="67">
        <f t="shared" si="10"/>
        <v>23.284099999999999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0138-22</v>
      </c>
      <c r="AE53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53" s="88" t="str">
        <f t="shared" si="13"/>
        <v>"C:\Program Files (x86)\AstroGrep\AstroGrep.exe" /spath="%USERPROFILE%\AppData\Local\Temp\OnboardLogs" /stypes="app*4015*20161222*" /stext=" 16:.+((SYSTEM_STATE.+slice.+state.+changed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138-22 --locoid 4015 --swversion DE.1.0.8.0 --startMP 204:233004 --initTime 2016-12-22T09:04:26 --startdatetime 2016-12-22T09:11:43 --delay 1 --endMP 204:163 --enddatetime 2016-12-22T09:52:24 --enforcementcount 0 &gt;&gt;C:\Users\stu\Documents\GitHub\eaglep3-reporting\EC\2016-12-22-refined-times.txt</v>
      </c>
      <c r="AI5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ID","value":"138-22"},{"id":16,"name":"Locomotive ID","value":"4015"},{"id":130,"name":"Impact","value":""},{"id":150,"name":"Time of Event (Mountain Time)","value":"09:52:24"},{"id":151,"name":"Denver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455</v>
      </c>
      <c r="B54" s="7">
        <v>4029</v>
      </c>
      <c r="C54" s="22" t="s">
        <v>205</v>
      </c>
      <c r="D54" s="22" t="s">
        <v>697</v>
      </c>
      <c r="E54" s="13">
        <v>42726.351122685184</v>
      </c>
      <c r="F54" s="13">
        <v>42726.354479166665</v>
      </c>
      <c r="G54" s="7">
        <v>1</v>
      </c>
      <c r="H54" s="22" t="s">
        <v>343</v>
      </c>
      <c r="I54" s="13">
        <v>42726.379432870373</v>
      </c>
      <c r="J54" s="7">
        <v>0</v>
      </c>
      <c r="K54" s="109" t="str">
        <f t="shared" si="0"/>
        <v>4029/4030</v>
      </c>
      <c r="L54" s="22" t="str">
        <f>VLOOKUP(A54,'Trips&amp;Operators'!$C$1:$G$99999,5,FALSE)</f>
        <v>SIMMONS SHYHESHA</v>
      </c>
      <c r="M54" s="6">
        <f t="shared" si="1"/>
        <v>2.4953703708888497E-2</v>
      </c>
      <c r="N54" s="7">
        <f t="shared" si="2"/>
        <v>35.933333340799436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07:25:37-700',mode:absolute,to:'2016-12-22 10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4.7800000000000002E-2</v>
      </c>
      <c r="Z54" s="67">
        <f t="shared" si="9"/>
        <v>23.328800000000001</v>
      </c>
      <c r="AA54" s="67">
        <f t="shared" si="10"/>
        <v>23.281000000000002</v>
      </c>
      <c r="AB54" s="64" t="str">
        <f>VLOOKUP(A54,Enforcements!$C$7:$K$19,8,0)</f>
        <v>Speed (6)</v>
      </c>
      <c r="AC54" s="60" t="str">
        <f>VLOOKUP(A54,Enforcements!$C$7:$E$19,3,0)</f>
        <v>PERMANENT SPEED RESTRICTION</v>
      </c>
      <c r="AD54" s="61" t="str">
        <f t="shared" si="11"/>
        <v>0139-22</v>
      </c>
      <c r="AE54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54" s="88" t="str">
        <f t="shared" si="13"/>
        <v>"C:\Program Files (x86)\AstroGrep\AstroGrep.exe" /spath="%USERPROFILE%\AppData\Local\Temp\OnboardLogs" /stypes="app*4029*20161222*"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139-22 --locoid 4029 --swversion DE.1.0.8.0 --startMP 204:478 --initTime 2016-12-22T08:25:37 --startdatetime 2016-12-22T08:30:27 --delay 1 --endMP 204:233288 --enddatetime 2016-12-22T09:06:23 --enforcementcount 0 &gt;&gt;C:\Users\stu\Documents\GitHub\eaglep3-reporting\EC\2016-12-22-refined-times.txt</v>
      </c>
      <c r="AI5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{"issue":{"subject":"","project_id":79,"tracker_id":40,"status_id":1,"priority_id":2,"assigned_to_id":23,"start_date":"2016-12-22","description":"","custom_fields":[{"id":1,"name":"Subdivision","value":"EC"},{"id":4,"name":"Milepost","value":"23.3288"},{"id":17,"name":"Train ID","value":"139-22"},{"id":16,"name":"Locomotive ID","value":"4029"},{"id":130,"name":"Impact","value":""},{"id":150,"name":"Time of Event (Mountain Time)","value":"09:06:23"},{"id":151,"name":"Denver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456</v>
      </c>
      <c r="B55" s="7">
        <v>4030</v>
      </c>
      <c r="C55" s="22" t="s">
        <v>205</v>
      </c>
      <c r="D55" s="22" t="s">
        <v>348</v>
      </c>
      <c r="E55" s="13">
        <v>42726.3828125</v>
      </c>
      <c r="F55" s="13">
        <v>42726.393564814818</v>
      </c>
      <c r="G55" s="7">
        <v>1</v>
      </c>
      <c r="H55" s="22" t="s">
        <v>192</v>
      </c>
      <c r="I55" s="13">
        <v>42726.421585648146</v>
      </c>
      <c r="J55" s="7">
        <v>0</v>
      </c>
      <c r="K55" s="109" t="str">
        <f t="shared" si="0"/>
        <v>4029/4030</v>
      </c>
      <c r="L55" s="22" t="str">
        <f>VLOOKUP(A55,'Trips&amp;Operators'!$C$1:$G$99999,5,FALSE)</f>
        <v>SIMMONS SHYHESHA</v>
      </c>
      <c r="M55" s="6">
        <f t="shared" si="1"/>
        <v>2.8020833327900618E-2</v>
      </c>
      <c r="N55" s="7">
        <f t="shared" si="2"/>
        <v>40.34999999217689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08:11:15-700',mode:absolute,to:'2016-12-22 11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23.296700000000001</v>
      </c>
      <c r="Z55" s="67">
        <f t="shared" si="9"/>
        <v>1.43E-2</v>
      </c>
      <c r="AA55" s="67">
        <f t="shared" si="10"/>
        <v>23.282400000000003</v>
      </c>
      <c r="AB55" s="64" t="str">
        <f>VLOOKUP(A55,Enforcements!$C$7:$K$19,8,0)</f>
        <v>Speed (6)</v>
      </c>
      <c r="AC55" s="60" t="str">
        <f>VLOOKUP(A55,Enforcements!$C$7:$E$19,3,0)</f>
        <v>PERMANENT SPEED RESTRICTION</v>
      </c>
      <c r="AD55" s="61" t="str">
        <f t="shared" si="11"/>
        <v>0140-22</v>
      </c>
      <c r="AE55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55" s="88" t="str">
        <f t="shared" si="13"/>
        <v>"C:\Program Files (x86)\AstroGrep\AstroGrep.exe" /spath="%USERPROFILE%\AppData\Local\Temp\OnboardLogs" /stypes="app*4030*20161222*"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140-22 --locoid 4030 --swversion DE.1.0.8.0 --startMP 204:232967 --initTime 2016-12-22T09:11:15 --startdatetime 2016-12-22T09:26:44 --delay 1 --endMP 204:143 --enddatetime 2016-12-22T10:07:05 --enforcementcount 0 &gt;&gt;C:\Users\stu\Documents\GitHub\eaglep3-reporting\EC\2016-12-22-refined-times.txt</v>
      </c>
      <c r="AI5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{"issue":{"subject":"","project_id":79,"tracker_id":40,"status_id":1,"priority_id":2,"assigned_to_id":23,"start_date":"2016-12-22","description":"","custom_fields":[{"id":1,"name":"Subdivision","value":"EC"},{"id":4,"name":"Milepost","value":"0.0143"},{"id":17,"name":"Train ID","value":"140-22"},{"id":16,"name":"Locomotive ID","value":"4030"},{"id":130,"name":"Impact","value":""},{"id":150,"name":"Time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529</v>
      </c>
      <c r="B56" s="7">
        <v>4018</v>
      </c>
      <c r="C56" s="22" t="s">
        <v>205</v>
      </c>
      <c r="D56" s="22" t="s">
        <v>358</v>
      </c>
      <c r="E56" s="13">
        <v>42726.356041666666</v>
      </c>
      <c r="F56" s="13">
        <v>42726.364988425928</v>
      </c>
      <c r="G56" s="7">
        <v>1</v>
      </c>
      <c r="H56" s="22" t="s">
        <v>708</v>
      </c>
      <c r="I56" s="13">
        <v>42726.39025462963</v>
      </c>
      <c r="J56" s="7">
        <v>0</v>
      </c>
      <c r="K56" s="109" t="str">
        <f t="shared" si="0"/>
        <v>4017/4018</v>
      </c>
      <c r="L56" s="22" t="str">
        <f>VLOOKUP(A56,'Trips&amp;Operators'!$C$1:$G$99999,5,FALSE)</f>
        <v>SPECTOR MICHAEL</v>
      </c>
      <c r="M56" s="6">
        <f t="shared" si="1"/>
        <v>2.5266203701903578E-2</v>
      </c>
      <c r="N56" s="7">
        <f t="shared" si="2"/>
        <v>36.383333330741152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07:32:42-700',mode:absolute,to:'2016-12-22 10:21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4.6600000000000003E-2</v>
      </c>
      <c r="Z56" s="67">
        <f t="shared" si="9"/>
        <v>23.333100000000002</v>
      </c>
      <c r="AA56" s="67">
        <f t="shared" si="10"/>
        <v>23.2865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0141-22</v>
      </c>
      <c r="AE56" s="91" t="str">
        <f t="shared" si="12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56" s="88" t="str">
        <f t="shared" si="13"/>
        <v>"C:\Program Files (x86)\AstroGrep\AstroGrep.exe" /spath="%USERPROFILE%\AppData\Local\Temp\OnboardLogs" /stypes="app*4018*20161222*"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141-22 --locoid 4018 --swversion DE.1.0.8.0 --startMP 204:466 --initTime 2016-12-22T08:32:42 --startdatetime 2016-12-22T08:45:35 --delay 1 --endMP 204:233331 --enddatetime 2016-12-22T09:21:58 --enforcementcount 0 &gt;&gt;C:\Users\stu\Documents\GitHub\eaglep3-reporting\EC\2016-12-22-refined-times.txt</v>
      </c>
      <c r="AI5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{"issue":{"subject":"","project_id":79,"tracker_id":40,"status_id":1,"priority_id":2,"assigned_to_id":23,"start_date":"2016-12-22","description":"","custom_fields":[{"id":1,"name":"Subdivision","value":"EC"},{"id":4,"name":"Milepost","value":"23.3331"},{"id":17,"name":"Train ID","value":"141-22"},{"id":16,"name":"Locomotive ID","value":"4018"},{"id":130,"name":"Impact","value":""},{"id":150,"name":"Time of Event (Mountain Time)","value":"09:21:58"},{"id":151,"name":"Denver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539</v>
      </c>
      <c r="B57" s="7">
        <v>4017</v>
      </c>
      <c r="C57" s="22" t="s">
        <v>205</v>
      </c>
      <c r="D57" s="22" t="s">
        <v>268</v>
      </c>
      <c r="E57" s="13">
        <v>42726.397430555553</v>
      </c>
      <c r="F57" s="13">
        <v>42726.403657407405</v>
      </c>
      <c r="G57" s="7">
        <v>1</v>
      </c>
      <c r="H57" s="22" t="s">
        <v>347</v>
      </c>
      <c r="I57" s="13">
        <v>42726.433136574073</v>
      </c>
      <c r="J57" s="7">
        <v>0</v>
      </c>
      <c r="K57" s="109" t="str">
        <f t="shared" si="0"/>
        <v>4017/4018</v>
      </c>
      <c r="L57" s="22" t="str">
        <f>VLOOKUP(A57,'Trips&amp;Operators'!$C$1:$G$99999,5,FALSE)</f>
        <v>SPECTOR MICHAEL</v>
      </c>
      <c r="M57" s="6">
        <f t="shared" si="1"/>
        <v>2.9479166667442769E-2</v>
      </c>
      <c r="N57" s="7">
        <f t="shared" si="2"/>
        <v>42.450000001117587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08:32:18-700',mode:absolute,to:'2016-12-22 11:23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23.299299999999999</v>
      </c>
      <c r="Z57" s="67">
        <f t="shared" si="9"/>
        <v>1.52E-2</v>
      </c>
      <c r="AA57" s="67">
        <f t="shared" si="10"/>
        <v>23.284099999999999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0142-22</v>
      </c>
      <c r="AE57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57" s="88" t="str">
        <f t="shared" si="13"/>
        <v>"C:\Program Files (x86)\AstroGrep\AstroGrep.exe" /spath="%USERPROFILE%\AppData\Local\Temp\OnboardLogs" /stypes="app*4017*20161222*"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142-22 --locoid 4017 --swversion DE.1.0.8.0 --startMP 204:232993 --initTime 2016-12-22T09:32:18 --startdatetime 2016-12-22T09:41:16 --delay 1 --endMP 204:152 --enddatetime 2016-12-22T10:23:43 --enforcementcount 0 &gt;&gt;C:\Users\stu\Documents\GitHub\eaglep3-reporting\EC\2016-12-22-refined-times.txt</v>
      </c>
      <c r="AI5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ID","value":"142-22"},{"id":16,"name":"Locomotive ID","value":"4017"},{"id":130,"name":"Impact","value":""},{"id":150,"name":"Time of Event (Mountain Time)","value":"10:23:43"},{"id":151,"name":"Denver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532</v>
      </c>
      <c r="B58" s="7">
        <v>4020</v>
      </c>
      <c r="C58" s="22" t="s">
        <v>205</v>
      </c>
      <c r="D58" s="22" t="s">
        <v>255</v>
      </c>
      <c r="E58" s="13">
        <v>42726.3752662037</v>
      </c>
      <c r="F58" s="13">
        <v>42726.376585648148</v>
      </c>
      <c r="G58" s="7">
        <v>1</v>
      </c>
      <c r="H58" s="22" t="s">
        <v>690</v>
      </c>
      <c r="I58" s="13">
        <v>42726.401435185187</v>
      </c>
      <c r="J58" s="7">
        <v>0</v>
      </c>
      <c r="K58" s="109" t="str">
        <f t="shared" si="0"/>
        <v>4019/4020</v>
      </c>
      <c r="L58" s="22" t="str">
        <f>VLOOKUP(A58,'Trips&amp;Operators'!$C$1:$G$99999,5,FALSE)</f>
        <v>STARKS ANGELINA</v>
      </c>
      <c r="M58" s="6">
        <f t="shared" si="1"/>
        <v>2.4849537039699499E-2</v>
      </c>
      <c r="N58" s="7">
        <f t="shared" si="2"/>
        <v>35.783333337167278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08:00:23-700',mode:absolute,to:'2016-12-22 10:38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4.6399999999999997E-2</v>
      </c>
      <c r="Z58" s="67">
        <f t="shared" si="9"/>
        <v>23.328600000000002</v>
      </c>
      <c r="AA58" s="67">
        <f t="shared" si="10"/>
        <v>23.282200000000003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0143-22</v>
      </c>
      <c r="AE58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58" s="88" t="str">
        <f t="shared" si="13"/>
        <v>"C:\Program Files (x86)\AstroGrep\AstroGrep.exe" /spath="%USERPROFILE%\AppData\Local\Temp\OnboardLogs" /stypes="app*4020*20161222*"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143-22 --locoid 4020 --swversion DE.1.0.8.0 --startMP 204:464 --initTime 2016-12-22T09:00:23 --startdatetime 2016-12-22T09:02:17 --delay 1 --endMP 204:233286 --enddatetime 2016-12-22T09:38:04 --enforcementcount 0 &gt;&gt;C:\Users\stu\Documents\GitHub\eaglep3-reporting\EC\2016-12-22-refined-times.txt</v>
      </c>
      <c r="AI5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ID","value":"143-22"},{"id":16,"name":"Locomotive ID","value":"4020"},{"id":130,"name":"Impact","value":""},{"id":150,"name":"Time of Event (Mountain Time)","value":"09:38:04"},{"id":151,"name":"Denver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457</v>
      </c>
      <c r="B59" s="7">
        <v>4019</v>
      </c>
      <c r="C59" s="22" t="s">
        <v>205</v>
      </c>
      <c r="D59" s="22" t="s">
        <v>264</v>
      </c>
      <c r="E59" s="13">
        <v>42726.411863425928</v>
      </c>
      <c r="F59" s="13">
        <v>42726.414074074077</v>
      </c>
      <c r="G59" s="7">
        <v>1</v>
      </c>
      <c r="H59" s="22" t="s">
        <v>347</v>
      </c>
      <c r="I59" s="13">
        <v>42726.442025462966</v>
      </c>
      <c r="J59" s="7">
        <v>0</v>
      </c>
      <c r="K59" s="109" t="str">
        <f t="shared" si="0"/>
        <v>4019/4020</v>
      </c>
      <c r="L59" s="22" t="str">
        <f>VLOOKUP(A59,'Trips&amp;Operators'!$C$1:$G$99999,5,FALSE)</f>
        <v>STARKS ANGELINA</v>
      </c>
      <c r="M59" s="6">
        <f t="shared" si="1"/>
        <v>2.7951388889050577E-2</v>
      </c>
      <c r="N59" s="7">
        <f t="shared" si="2"/>
        <v>40.250000000232831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08:53:05-700',mode:absolute,to:'2016-12-22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23.297699999999999</v>
      </c>
      <c r="Z59" s="67">
        <f t="shared" si="9"/>
        <v>1.52E-2</v>
      </c>
      <c r="AA59" s="67">
        <f t="shared" si="10"/>
        <v>23.282499999999999</v>
      </c>
      <c r="AB59" s="64" t="str">
        <f>VLOOKUP(A59,Enforcements!$C$7:$K$19,8,0)</f>
        <v>Speed (6)</v>
      </c>
      <c r="AC59" s="60" t="str">
        <f>VLOOKUP(A59,Enforcements!$C$7:$E$19,3,0)</f>
        <v>PERMANENT SPEED RESTRICTION</v>
      </c>
      <c r="AD59" s="61" t="str">
        <f t="shared" si="11"/>
        <v>0144-22</v>
      </c>
      <c r="AE59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59" s="88" t="str">
        <f t="shared" si="13"/>
        <v>"C:\Program Files (x86)\AstroGrep\AstroGrep.exe" /spath="%USERPROFILE%\AppData\Local\Temp\OnboardLogs" /stypes="app*4019*20161222*"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144-22 --locoid 4019 --swversion DE.1.0.8.0 --startMP 204:232977 --initTime 2016-12-22T09:53:05 --startdatetime 2016-12-22T09:56:16 --delay 1 --endMP 204:152 --enddatetime 2016-12-22T10:36:31 --enforcementcount 0 &gt;&gt;C:\Users\stu\Documents\GitHub\eaglep3-reporting\EC\2016-12-22-refined-times.txt</v>
      </c>
      <c r="AI5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ID","value":"144-22"},{"id":16,"name":"Locomotive ID","value":"4019"},{"id":130,"name":"Impact","value":""},{"id":150,"name":"Time of Event (Mountain Time)","value":"10:36:31"},{"id":151,"name":"Denver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535</v>
      </c>
      <c r="B60" s="7">
        <v>4051</v>
      </c>
      <c r="C60" s="22" t="s">
        <v>205</v>
      </c>
      <c r="D60" s="22" t="s">
        <v>263</v>
      </c>
      <c r="E60" s="13">
        <v>42726.382303240738</v>
      </c>
      <c r="F60" s="13">
        <v>42726.38585648148</v>
      </c>
      <c r="G60" s="7">
        <v>2</v>
      </c>
      <c r="H60" s="22" t="s">
        <v>699</v>
      </c>
      <c r="I60" s="13">
        <v>42726.412997685184</v>
      </c>
      <c r="J60" s="7">
        <v>0</v>
      </c>
      <c r="K60" s="109" t="str">
        <f t="shared" si="0"/>
        <v>4051/4052</v>
      </c>
      <c r="L60" s="22" t="str">
        <f>VLOOKUP(A60,'Trips&amp;Operators'!$C$1:$G$99999,5,FALSE)</f>
        <v>BRANDNER MELINDA</v>
      </c>
      <c r="M60" s="6">
        <f t="shared" si="1"/>
        <v>2.7141203703649808E-2</v>
      </c>
      <c r="N60" s="7">
        <f t="shared" si="2"/>
        <v>39.083333333255723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08:10:31-700',mode:absolute,to:'2016-12-22 10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4.6699999999999998E-2</v>
      </c>
      <c r="Z60" s="67">
        <f t="shared" si="9"/>
        <v>23.3291</v>
      </c>
      <c r="AA60" s="67">
        <f t="shared" si="10"/>
        <v>23.282399999999999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0145-22</v>
      </c>
      <c r="AE60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60" s="88" t="str">
        <f t="shared" si="13"/>
        <v>"C:\Program Files (x86)\AstroGrep\AstroGrep.exe" /spath="%USERPROFILE%\AppData\Local\Temp\OnboardLogs" /stypes="app*4051*20161222*" /stext=" 16:.+((SYSTEM_STATE.+slice.+state.+changed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145-22 --locoid 4051 --swversion DE.1.0.8.0 --startMP 204:467 --initTime 2016-12-22T09:10:31 --startdatetime 2016-12-22T09:15:38 --delay 2 --endMP 204:233291 --enddatetime 2016-12-22T09:54:43 --enforcementcount 0 &gt;&gt;C:\Users\stu\Documents\GitHub\eaglep3-reporting\EC\2016-12-22-refined-times.txt</v>
      </c>
      <c r="AI6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{"issue":{"subject":"","project_id":79,"tracker_id":40,"status_id":1,"priority_id":2,"assigned_to_id":23,"start_date":"2016-12-22","description":"","custom_fields":[{"id":1,"name":"Subdivision","value":"EC"},{"id":4,"name":"Milepost","value":"23.3291"},{"id":17,"name":"Train ID","value":"145-22"},{"id":16,"name":"Locomotive ID","value":"4051"},{"id":130,"name":"Impact","value":""},{"id":150,"name":"Time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543</v>
      </c>
      <c r="B61" s="7">
        <v>4052</v>
      </c>
      <c r="C61" s="22" t="s">
        <v>205</v>
      </c>
      <c r="D61" s="22" t="s">
        <v>345</v>
      </c>
      <c r="E61" s="13">
        <v>42726.418229166666</v>
      </c>
      <c r="F61" s="13">
        <v>42726.424687500003</v>
      </c>
      <c r="G61" s="7">
        <v>1</v>
      </c>
      <c r="H61" s="22" t="s">
        <v>402</v>
      </c>
      <c r="I61" s="13">
        <v>42726.454502314817</v>
      </c>
      <c r="J61" s="7">
        <v>0</v>
      </c>
      <c r="K61" s="109" t="str">
        <f t="shared" si="0"/>
        <v>4051/4052</v>
      </c>
      <c r="L61" s="22" t="str">
        <f>VLOOKUP(A61,'Trips&amp;Operators'!$C$1:$G$99999,5,FALSE)</f>
        <v>BRANDNER MELINDA</v>
      </c>
      <c r="M61" s="6">
        <f t="shared" si="1"/>
        <v>2.9814814814017154E-2</v>
      </c>
      <c r="N61" s="7">
        <f t="shared" si="2"/>
        <v>42.933333332184702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09:02:15-700',mode:absolute,to:'2016-12-22 11:54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23.299099999999999</v>
      </c>
      <c r="Z61" s="67">
        <f t="shared" si="9"/>
        <v>1.41E-2</v>
      </c>
      <c r="AA61" s="67">
        <f t="shared" si="10"/>
        <v>23.285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0146-22</v>
      </c>
      <c r="AE61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61" s="88" t="str">
        <f t="shared" si="13"/>
        <v>"C:\Program Files (x86)\AstroGrep\AstroGrep.exe" /spath="%USERPROFILE%\AppData\Local\Temp\OnboardLogs" /stypes="app*4052*20161222*" /stext=" 17:.+((SYSTEM_STATE.+slice.+state.+changed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146-22 --locoid 4052 --swversion DE.1.0.8.0 --startMP 204:232991 --initTime 2016-12-22T10:02:15 --startdatetime 2016-12-22T10:11:33 --delay 1 --endMP 204:141 --enddatetime 2016-12-22T10:54:29 --enforcementcount 0 &gt;&gt;C:\Users\stu\Documents\GitHub\eaglep3-reporting\EC\2016-12-22-refined-times.txt</v>
      </c>
      <c r="AI6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{"issue":{"subject":"","project_id":79,"tracker_id":40,"status_id":1,"priority_id":2,"assigned_to_id":23,"start_date":"2016-12-22","description":"","custom_fields":[{"id":1,"name":"Subdivision","value":"EC"},{"id":4,"name":"Milepost","value":"0.0141"},{"id":17,"name":"Train ID","value":"146-22"},{"id":16,"name":"Locomotive ID","value":"4052"},{"id":130,"name":"Impact","value":""},{"id":150,"name":"Time of Event (Mountain Time)","value":"10:54:29"},{"id":151,"name":"Denver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538</v>
      </c>
      <c r="B62" s="7">
        <v>4027</v>
      </c>
      <c r="C62" s="22" t="s">
        <v>205</v>
      </c>
      <c r="D62" s="22" t="s">
        <v>709</v>
      </c>
      <c r="E62" s="13">
        <v>42726.403611111113</v>
      </c>
      <c r="F62" s="13">
        <v>42726.405115740738</v>
      </c>
      <c r="G62" s="7">
        <v>1</v>
      </c>
      <c r="H62" s="22" t="s">
        <v>292</v>
      </c>
      <c r="I62" s="13">
        <v>42726.429548611108</v>
      </c>
      <c r="J62" s="7">
        <v>0</v>
      </c>
      <c r="K62" s="109" t="str">
        <f t="shared" si="0"/>
        <v>4027/4028</v>
      </c>
      <c r="L62" s="22" t="str">
        <f>VLOOKUP(A62,'Trips&amp;Operators'!$C$1:$G$99999,5,FALSE)</f>
        <v>ROBINSON KADDIBA</v>
      </c>
      <c r="M62" s="6">
        <f t="shared" si="1"/>
        <v>2.4432870370219462E-2</v>
      </c>
      <c r="N62" s="7">
        <f t="shared" si="2"/>
        <v>35.183333333116025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08:41:12-700',mode:absolute,to:'2016-12-22 11:18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0.12089999999999999</v>
      </c>
      <c r="Z62" s="67">
        <f t="shared" si="9"/>
        <v>23.329499999999999</v>
      </c>
      <c r="AA62" s="67">
        <f t="shared" si="10"/>
        <v>23.208600000000001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0147-22</v>
      </c>
      <c r="AE62" s="91" t="str">
        <f t="shared" si="12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62" s="88" t="str">
        <f t="shared" si="13"/>
        <v>"C:\Program Files (x86)\AstroGrep\AstroGrep.exe" /spath="%USERPROFILE%\AppData\Local\Temp\OnboardLogs" /stypes="app*4027*20161222*"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147-22 --locoid 4027 --swversion DE.1.0.8.0 --startMP 204:1209 --initTime 2016-12-22T09:41:12 --startdatetime 2016-12-22T09:43:22 --delay 1 --endMP 204:233295 --enddatetime 2016-12-22T10:18:33 --enforcementcount 0 &gt;&gt;C:\Users\stu\Documents\GitHub\eaglep3-reporting\EC\2016-12-22-refined-times.txt</v>
      </c>
      <c r="AI6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ID","value":"147-22"},{"id":16,"name":"Locomotive ID","value":"4027"},{"id":130,"name":"Impact","value":""},{"id":150,"name":"Time of Event (Mountain Time)","value":"10:18:33"},{"id":151,"name":"Denver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544</v>
      </c>
      <c r="B63" s="7">
        <v>4028</v>
      </c>
      <c r="C63" s="22" t="s">
        <v>205</v>
      </c>
      <c r="D63" s="22" t="s">
        <v>354</v>
      </c>
      <c r="E63" s="13">
        <v>42726.431863425925</v>
      </c>
      <c r="F63" s="13">
        <v>42726.434224537035</v>
      </c>
      <c r="G63" s="7">
        <v>1</v>
      </c>
      <c r="H63" s="22" t="s">
        <v>402</v>
      </c>
      <c r="I63" s="13">
        <v>42726.461585648147</v>
      </c>
      <c r="J63" s="7">
        <v>0</v>
      </c>
      <c r="K63" s="109" t="str">
        <f t="shared" si="0"/>
        <v>4027/4028</v>
      </c>
      <c r="L63" s="22" t="str">
        <f>VLOOKUP(A63,'Trips&amp;Operators'!$C$1:$G$99999,5,FALSE)</f>
        <v>ROBINSON KADDIBA</v>
      </c>
      <c r="M63" s="6">
        <f t="shared" si="1"/>
        <v>2.73611111115315E-2</v>
      </c>
      <c r="N63" s="7">
        <f t="shared" si="2"/>
        <v>39.40000000060536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09:21:53-700',mode:absolute,to:'2016-12-22 12:04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23.297999999999998</v>
      </c>
      <c r="Z63" s="67">
        <f t="shared" si="9"/>
        <v>1.41E-2</v>
      </c>
      <c r="AA63" s="67">
        <f t="shared" si="10"/>
        <v>23.283899999999999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0148-22</v>
      </c>
      <c r="AE63" s="91" t="str">
        <f t="shared" si="12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63" s="88" t="str">
        <f t="shared" si="13"/>
        <v>"C:\Program Files (x86)\AstroGrep\AstroGrep.exe" /spath="%USERPROFILE%\AppData\Local\Temp\OnboardLogs" /stypes="app*4028*20161222*"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148-22 --locoid 4028 --swversion DE.1.0.8.0 --startMP 204:232980 --initTime 2016-12-22T10:21:53 --startdatetime 2016-12-22T10:25:17 --delay 1 --endMP 204:141 --enddatetime 2016-12-22T11:04:41 --enforcementcount 0 &gt;&gt;C:\Users\stu\Documents\GitHub\eaglep3-reporting\EC\2016-12-22-refined-times.txt</v>
      </c>
      <c r="AI6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{"issue":{"subject":"","project_id":79,"tracker_id":40,"status_id":1,"priority_id":2,"assigned_to_id":23,"start_date":"2016-12-22","description":"","custom_fields":[{"id":1,"name":"Subdivision","value":"EC"},{"id":4,"name":"Milepost","value":"0.0141"},{"id":17,"name":"Train ID","value":"148-22"},{"id":16,"name":"Locomotive ID","value":"4028"},{"id":130,"name":"Impact","value":""},{"id":150,"name":"Time of Event (Mountain Time)","value":"11:04:41"},{"id":151,"name":"Denver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541</v>
      </c>
      <c r="B64" s="7">
        <v>4046</v>
      </c>
      <c r="C64" s="22" t="s">
        <v>205</v>
      </c>
      <c r="D64" s="22" t="s">
        <v>315</v>
      </c>
      <c r="E64" s="13">
        <v>42726.403692129628</v>
      </c>
      <c r="F64" s="13">
        <v>42726.406956018516</v>
      </c>
      <c r="G64" s="7">
        <v>1</v>
      </c>
      <c r="H64" s="22" t="s">
        <v>689</v>
      </c>
      <c r="I64" s="13">
        <v>42726.43246527778</v>
      </c>
      <c r="J64" s="7">
        <v>0</v>
      </c>
      <c r="K64" s="109" t="str">
        <f t="shared" si="0"/>
        <v>4045/4046</v>
      </c>
      <c r="L64" s="22" t="str">
        <f>VLOOKUP(A64,'Trips&amp;Operators'!$C$1:$G$99999,5,FALSE)</f>
        <v>MAGEE KENYA</v>
      </c>
      <c r="M64" s="6">
        <f t="shared" si="1"/>
        <v>2.5509259263344575E-2</v>
      </c>
      <c r="N64" s="7">
        <f t="shared" si="2"/>
        <v>36.733333339216188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08:41:19-700',mode:absolute,to:'2016-12-22 11:22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4.3299999999999998E-2</v>
      </c>
      <c r="Z64" s="67">
        <f t="shared" si="9"/>
        <v>23.331700000000001</v>
      </c>
      <c r="AA64" s="67">
        <f t="shared" si="10"/>
        <v>23.288400000000003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0149-22</v>
      </c>
      <c r="AE64" s="91" t="str">
        <f t="shared" si="12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64" s="88" t="str">
        <f t="shared" si="13"/>
        <v>"C:\Program Files (x86)\AstroGrep\AstroGrep.exe" /spath="%USERPROFILE%\AppData\Local\Temp\OnboardLogs" /stypes="app*4046*20161222*"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149-22 --locoid 4046 --swversion DE.1.0.8.0 --startMP 204:433 --initTime 2016-12-22T09:41:19 --startdatetime 2016-12-22T09:46:01 --delay 1 --endMP 204:233317 --enddatetime 2016-12-22T10:22:45 --enforcementcount 0 &gt;&gt;C:\Users\stu\Documents\GitHub\eaglep3-reporting\EC\2016-12-22-refined-times.txt</v>
      </c>
      <c r="AI6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ID","value":"149-22"},{"id":16,"name":"Locomotive ID","value":"4046"},{"id":130,"name":"Impact","value":""},{"id":150,"name":"Time of Event (Mountain Time)","value":"10:22:45"},{"id":151,"name":"Denver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545</v>
      </c>
      <c r="B65" s="7">
        <v>4045</v>
      </c>
      <c r="C65" s="22" t="s">
        <v>205</v>
      </c>
      <c r="D65" s="22" t="s">
        <v>314</v>
      </c>
      <c r="E65" s="13">
        <v>42726.434525462966</v>
      </c>
      <c r="F65" s="13">
        <v>42726.445520833331</v>
      </c>
      <c r="G65" s="7">
        <v>6</v>
      </c>
      <c r="H65" s="22" t="s">
        <v>347</v>
      </c>
      <c r="I65" s="13">
        <v>42726.473124999997</v>
      </c>
      <c r="J65" s="7">
        <v>0</v>
      </c>
      <c r="K65" s="109" t="str">
        <f t="shared" si="0"/>
        <v>4045/4046</v>
      </c>
      <c r="L65" s="22" t="str">
        <f>VLOOKUP(A65,'Trips&amp;Operators'!$C$1:$G$99999,5,FALSE)</f>
        <v>MAGEE KENYA</v>
      </c>
      <c r="M65" s="6">
        <f t="shared" si="1"/>
        <v>2.7604166665696539E-2</v>
      </c>
      <c r="N65" s="7">
        <f t="shared" si="2"/>
        <v>39.749999998603016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09:25:43-700',mode:absolute,to:'2016-12-22 12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23.298100000000002</v>
      </c>
      <c r="Z65" s="67">
        <f t="shared" si="9"/>
        <v>1.52E-2</v>
      </c>
      <c r="AA65" s="67">
        <f t="shared" si="10"/>
        <v>23.282900000000001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0150-22</v>
      </c>
      <c r="AE65" s="91" t="str">
        <f t="shared" si="12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65" s="88" t="str">
        <f t="shared" si="13"/>
        <v>"C:\Program Files (x86)\AstroGrep\AstroGrep.exe" /spath="%USERPROFILE%\AppData\Local\Temp\OnboardLogs" /stypes="app*4045*20161222*"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150-22 --locoid 4045 --swversion DE.1.0.8.0 --startMP 204:232981 --initTime 2016-12-22T10:25:43 --startdatetime 2016-12-22T10:41:33 --delay 6 --endMP 204:152 --enddatetime 2016-12-22T11:21:18 --enforcementcount 0 &gt;&gt;C:\Users\stu\Documents\GitHub\eaglep3-reporting\EC\2016-12-22-refined-times.txt</v>
      </c>
      <c r="AI6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ID","value":"150-22"},{"id":16,"name":"Locomotive ID","value":"4045"},{"id":130,"name":"Impact","value":""},{"id":150,"name":"Time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542</v>
      </c>
      <c r="B66" s="7">
        <v>4016</v>
      </c>
      <c r="C66" s="22" t="s">
        <v>205</v>
      </c>
      <c r="D66" s="22" t="s">
        <v>194</v>
      </c>
      <c r="E66" s="13">
        <v>42726.413518518515</v>
      </c>
      <c r="F66" s="13">
        <v>42726.416863425926</v>
      </c>
      <c r="G66" s="7">
        <v>2</v>
      </c>
      <c r="H66" s="22" t="s">
        <v>320</v>
      </c>
      <c r="I66" s="13">
        <v>42726.440925925926</v>
      </c>
      <c r="J66" s="7">
        <v>0</v>
      </c>
      <c r="K66" s="109" t="str">
        <f t="shared" si="0"/>
        <v>4015/4016</v>
      </c>
      <c r="L66" s="22" t="str">
        <f>VLOOKUP(A66,'Trips&amp;Operators'!$C$1:$G$99999,5,FALSE)</f>
        <v>SIMONEAUX TERA</v>
      </c>
      <c r="M66" s="6">
        <f t="shared" si="1"/>
        <v>2.4062500000582077E-2</v>
      </c>
      <c r="N66" s="7">
        <f t="shared" si="2"/>
        <v>34.65000000083819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08:55:28-700',mode:absolute,to:'2016-12-22 11:34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4.5100000000000001E-2</v>
      </c>
      <c r="Z66" s="67">
        <f t="shared" si="9"/>
        <v>23.329699999999999</v>
      </c>
      <c r="AA66" s="67">
        <f t="shared" si="10"/>
        <v>23.284599999999998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0151-22</v>
      </c>
      <c r="AE66" s="91" t="str">
        <f t="shared" si="12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66" s="88" t="str">
        <f t="shared" si="13"/>
        <v>"C:\Program Files (x86)\AstroGrep\AstroGrep.exe" /spath="%USERPROFILE%\AppData\Local\Temp\OnboardLogs" /stypes="app*4016*20161222*"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151-22 --locoid 4016 --swversion DE.1.0.8.0 --startMP 204:451 --initTime 2016-12-22T09:55:28 --startdatetime 2016-12-22T10:00:17 --delay 2 --endMP 204:233297 --enddatetime 2016-12-22T10:34:56 --enforcementcount 0 &gt;&gt;C:\Users\stu\Documents\GitHub\eaglep3-reporting\EC\2016-12-22-refined-times.txt</v>
      </c>
      <c r="AI6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ID","value":"151-22"},{"id":16,"name":"Locomotive ID","value":"4016"},{"id":130,"name":"Impact","value":""},{"id":150,"name":"Time of Event (Mountain Time)","value":"10:34:56"},{"id":151,"name":"Denver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549</v>
      </c>
      <c r="B67" s="7">
        <v>4015</v>
      </c>
      <c r="C67" s="22" t="s">
        <v>205</v>
      </c>
      <c r="D67" s="22" t="s">
        <v>354</v>
      </c>
      <c r="E67" s="13">
        <v>42726.450740740744</v>
      </c>
      <c r="F67" s="13">
        <v>42726.455706018518</v>
      </c>
      <c r="G67" s="7">
        <v>1</v>
      </c>
      <c r="H67" s="22" t="s">
        <v>191</v>
      </c>
      <c r="I67" s="13">
        <v>42726.482245370367</v>
      </c>
      <c r="J67" s="7">
        <v>0</v>
      </c>
      <c r="K67" s="109" t="str">
        <f t="shared" si="0"/>
        <v>4015/4016</v>
      </c>
      <c r="L67" s="22" t="str">
        <f>VLOOKUP(A67,'Trips&amp;Operators'!$C$1:$G$99999,5,FALSE)</f>
        <v>SIMONEAUX TERA</v>
      </c>
      <c r="M67" s="6">
        <f t="shared" si="1"/>
        <v>2.6539351849351078E-2</v>
      </c>
      <c r="N67" s="7">
        <f t="shared" si="2"/>
        <v>38.216666663065553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09:49:04-700',mode:absolute,to:'2016-12-22 12:34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23.297999999999998</v>
      </c>
      <c r="Z67" s="67">
        <f t="shared" si="9"/>
        <v>1.49E-2</v>
      </c>
      <c r="AA67" s="67">
        <f t="shared" si="10"/>
        <v>23.283099999999997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0152-22</v>
      </c>
      <c r="AE67" s="91" t="str">
        <f t="shared" si="12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67" s="88" t="str">
        <f t="shared" si="13"/>
        <v>"C:\Program Files (x86)\AstroGrep\AstroGrep.exe" /spath="%USERPROFILE%\AppData\Local\Temp\OnboardLogs" /stypes="app*4015*20161222*"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152-22 --locoid 4015 --swversion DE.1.0.8.0 --startMP 204:232980 --initTime 2016-12-22T10:49:04 --startdatetime 2016-12-22T10:56:13 --delay 1 --endMP 204:149 --enddatetime 2016-12-22T11:34:26 --enforcementcount 0 &gt;&gt;C:\Users\stu\Documents\GitHub\eaglep3-reporting\EC\2016-12-22-refined-times.txt</v>
      </c>
      <c r="AI6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ID","value":"152-22"},{"id":16,"name":"Locomotive ID","value":"4015"},{"id":130,"name":"Impact","value":""},{"id":150,"name":"Time of Event (Mountain Time)","value":"11:34:26"},{"id":151,"name":"Denver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459</v>
      </c>
      <c r="B68" s="7">
        <v>4029</v>
      </c>
      <c r="C68" s="22" t="s">
        <v>205</v>
      </c>
      <c r="D68" s="22" t="s">
        <v>279</v>
      </c>
      <c r="E68" s="13">
        <v>42726.423668981479</v>
      </c>
      <c r="F68" s="13">
        <v>42726.427800925929</v>
      </c>
      <c r="G68" s="7">
        <v>1</v>
      </c>
      <c r="H68" s="22" t="s">
        <v>276</v>
      </c>
      <c r="I68" s="13">
        <v>42726.453287037039</v>
      </c>
      <c r="J68" s="7">
        <v>0</v>
      </c>
      <c r="K68" s="109" t="str">
        <f t="shared" si="0"/>
        <v>4029/4030</v>
      </c>
      <c r="L68" s="22" t="str">
        <f>VLOOKUP(A68,'Trips&amp;Operators'!$C$1:$G$99999,5,FALSE)</f>
        <v>SIMMONS SHYHESHA</v>
      </c>
      <c r="M68" s="6">
        <f t="shared" si="1"/>
        <v>2.548611110978527E-2</v>
      </c>
      <c r="N68" s="7">
        <f t="shared" si="2"/>
        <v>36.699999998090789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4.3999999999999997E-2</v>
      </c>
      <c r="Z68" s="67">
        <f t="shared" si="9"/>
        <v>23.328900000000001</v>
      </c>
      <c r="AA68" s="67">
        <f t="shared" si="10"/>
        <v>23.2849</v>
      </c>
      <c r="AB68" s="64" t="str">
        <f>VLOOKUP(A68,Enforcements!$C$7:$K$19,8,0)</f>
        <v>Speed (6)</v>
      </c>
      <c r="AC68" s="60" t="str">
        <f>VLOOKUP(A68,Enforcements!$C$7:$E$19,3,0)</f>
        <v>PERMANENT SPEED RESTRICTION</v>
      </c>
      <c r="AD68" s="61" t="str">
        <f t="shared" si="11"/>
        <v>0153-22</v>
      </c>
      <c r="AE68" s="91" t="str">
        <f t="shared" si="12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68" s="88" t="str">
        <f t="shared" si="13"/>
        <v>"C:\Program Files (x86)\AstroGrep\AstroGrep.exe" /spath="%USERPROFILE%\AppData\Local\Temp\OnboardLogs" /stypes="app*4029*20161222*" /stext=" 17:.+((SYSTEM_STATE.+slice.+state.+changed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153-22 --locoid 4029 --swversion DE.1.0.8.0 --startMP 204:440 --initTime 2016-12-22T10:10:05 --startdatetime 2016-12-22T10:16:02 --delay 1 --endMP 204:233289 --enddatetime 2016-12-22T10:52:44 --enforcementcount 0 &gt;&gt;C:\Users\stu\Documents\GitHub\eaglep3-reporting\EC\2016-12-22-refined-times.txt</v>
      </c>
      <c r="AI6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{"issue":{"subject":"","project_id":79,"tracker_id":40,"status_id":1,"priority_id":2,"assigned_to_id":23,"start_date":"2016-12-22","description":"","custom_fields":[{"id":1,"name":"Subdivision","value":"EC"},{"id":4,"name":"Milepost","value":"23.3289"},{"id":17,"name":"Train ID","value":"153-22"},{"id":16,"name":"Locomotive ID","value":"4029"},{"id":130,"name":"Impact","value":""},{"id":150,"name":"Time of Event (Mountain Time)","value":"10:52:44"},{"id":151,"name":"Denver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556</v>
      </c>
      <c r="B69" s="7">
        <v>4030</v>
      </c>
      <c r="C69" s="22" t="s">
        <v>205</v>
      </c>
      <c r="D69" s="22" t="s">
        <v>353</v>
      </c>
      <c r="E69" s="13">
        <v>42726.464236111111</v>
      </c>
      <c r="F69" s="13">
        <v>42726.466585648152</v>
      </c>
      <c r="G69" s="7">
        <v>1</v>
      </c>
      <c r="H69" s="22" t="s">
        <v>211</v>
      </c>
      <c r="I69" s="13">
        <v>42726.49291666667</v>
      </c>
      <c r="J69" s="7">
        <v>0</v>
      </c>
      <c r="K69" s="109" t="str">
        <f t="shared" si="0"/>
        <v>4029/4030</v>
      </c>
      <c r="L69" s="22" t="str">
        <f>VLOOKUP(A69,'Trips&amp;Operators'!$C$1:$G$99999,5,FALSE)</f>
        <v>SIMMONS SHYHESHA</v>
      </c>
      <c r="M69" s="6">
        <f t="shared" si="1"/>
        <v>2.6331018518249039E-2</v>
      </c>
      <c r="N69" s="7">
        <f t="shared" si="2"/>
        <v>37.916666666278616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10:08:30-700',mode:absolute,to:'2016-12-22 12:49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23.297899999999998</v>
      </c>
      <c r="Z69" s="67">
        <f t="shared" si="9"/>
        <v>1.4999999999999999E-2</v>
      </c>
      <c r="AA69" s="67">
        <f t="shared" si="10"/>
        <v>23.282899999999998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0154-22</v>
      </c>
      <c r="AE69" s="91" t="str">
        <f t="shared" si="12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69" s="88" t="str">
        <f t="shared" si="13"/>
        <v>"C:\Program Files (x86)\AstroGrep\AstroGrep.exe" /spath="%USERPROFILE%\AppData\Local\Temp\OnboardLogs" /stypes="app*4030*20161222*" /stext=" 18:.+((SYSTEM_STATE.+slice.+state.+changed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154-22 --locoid 4030 --swversion DE.1.0.8.0 --startMP 204:232979 --initTime 2016-12-22T11:08:30 --startdatetime 2016-12-22T11:11:53 --delay 1 --endMP 204:150 --enddatetime 2016-12-22T11:49:48 --enforcementcount 0 &gt;&gt;C:\Users\stu\Documents\GitHub\eaglep3-reporting\EC\2016-12-22-refined-times.txt</v>
      </c>
      <c r="AI69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ID","value":"154-22"},{"id":16,"name":"Locomotive ID","value":"4030"},{"id":130,"name":"Impact","value":""},{"id":150,"name":"Time of Event (Mountain Time)","value":"11:49:48"},{"id":151,"name":"Denver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546</v>
      </c>
      <c r="B70" s="7">
        <v>4018</v>
      </c>
      <c r="C70" s="22" t="s">
        <v>205</v>
      </c>
      <c r="D70" s="22" t="s">
        <v>273</v>
      </c>
      <c r="E70" s="13">
        <v>42726.435173611113</v>
      </c>
      <c r="F70" s="13">
        <v>42726.437696759262</v>
      </c>
      <c r="G70" s="7">
        <v>3</v>
      </c>
      <c r="H70" s="22" t="s">
        <v>710</v>
      </c>
      <c r="I70" s="13">
        <v>42726.463067129633</v>
      </c>
      <c r="J70" s="7">
        <v>0</v>
      </c>
      <c r="K70" s="109" t="str">
        <f t="shared" si="0"/>
        <v>4017/4018</v>
      </c>
      <c r="L70" s="22" t="str">
        <f>VLOOKUP(A70,'Trips&amp;Operators'!$C$1:$G$99999,5,FALSE)</f>
        <v>SHOOK JOHN</v>
      </c>
      <c r="M70" s="6">
        <f t="shared" si="1"/>
        <v>2.5370370371092577E-2</v>
      </c>
      <c r="N70" s="7">
        <f t="shared" si="2"/>
        <v>36.53333333437331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09:26:39-700',mode:absolute,to:'2016-12-22 12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4.4400000000000002E-2</v>
      </c>
      <c r="Z70" s="67">
        <f t="shared" si="9"/>
        <v>23.330500000000001</v>
      </c>
      <c r="AA70" s="67">
        <f t="shared" si="10"/>
        <v>23.286100000000001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0155-22</v>
      </c>
      <c r="AE70" s="91" t="str">
        <f t="shared" si="12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70" s="88" t="str">
        <f t="shared" si="13"/>
        <v>"C:\Program Files (x86)\AstroGrep\AstroGrep.exe" /spath="%USERPROFILE%\AppData\Local\Temp\OnboardLogs" /stypes="app*4018*20161222*"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155-22 --locoid 4018 --swversion DE.1.0.8.0 --startMP 204:444 --initTime 2016-12-22T10:26:39 --startdatetime 2016-12-22T10:30:17 --delay 3 --endMP 204:233305 --enddatetime 2016-12-22T11:06:49 --enforcementcount 0 &gt;&gt;C:\Users\stu\Documents\GitHub\eaglep3-reporting\EC\2016-12-22-refined-times.txt</v>
      </c>
      <c r="AI70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{"issue":{"subject":"","project_id":79,"tracker_id":40,"status_id":1,"priority_id":2,"assigned_to_id":23,"start_date":"2016-12-22","description":"","custom_fields":[{"id":1,"name":"Subdivision","value":"EC"},{"id":4,"name":"Milepost","value":"23.3305"},{"id":17,"name":"Train ID","value":"155-22"},{"id":16,"name":"Locomotive ID","value":"4018"},{"id":130,"name":"Impact","value":""},{"id":150,"name":"Time of Event (Mountain Time)","value":"11:06:49"},{"id":151,"name":"Denver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558</v>
      </c>
      <c r="B71" s="7">
        <v>4017</v>
      </c>
      <c r="C71" s="22" t="s">
        <v>205</v>
      </c>
      <c r="D71" s="22" t="s">
        <v>407</v>
      </c>
      <c r="E71" s="13">
        <v>42726.471585648149</v>
      </c>
      <c r="F71" s="13">
        <v>42726.476643518516</v>
      </c>
      <c r="G71" s="7">
        <v>1</v>
      </c>
      <c r="H71" s="22" t="s">
        <v>711</v>
      </c>
      <c r="I71" s="13">
        <v>42726.504108796296</v>
      </c>
      <c r="J71" s="7">
        <v>0</v>
      </c>
      <c r="K71" s="109" t="str">
        <f t="shared" si="0"/>
        <v>4017/4018</v>
      </c>
      <c r="L71" s="22" t="str">
        <f>VLOOKUP(A71,'Trips&amp;Operators'!$C$1:$G$99999,5,FALSE)</f>
        <v>SHOOK JOHN</v>
      </c>
      <c r="M71" s="6">
        <f t="shared" si="1"/>
        <v>2.7465277780720498E-2</v>
      </c>
      <c r="N71" s="7">
        <f t="shared" si="2"/>
        <v>39.550000004237518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10:19:05-700',mode:absolute,to:'2016-12-22 13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23.299600000000002</v>
      </c>
      <c r="Z71" s="67">
        <f t="shared" si="9"/>
        <v>1.21E-2</v>
      </c>
      <c r="AA71" s="67">
        <f t="shared" si="10"/>
        <v>23.287500000000001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0156-22</v>
      </c>
      <c r="AE71" s="91" t="str">
        <f t="shared" si="12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71" s="88" t="str">
        <f t="shared" si="13"/>
        <v>"C:\Program Files (x86)\AstroGrep\AstroGrep.exe" /spath="%USERPROFILE%\AppData\Local\Temp\OnboardLogs" /stypes="app*4017*20161222*"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156-22 --locoid 4017 --swversion DE.1.0.8.0 --startMP 204:232996 --initTime 2016-12-22T11:19:05 --startdatetime 2016-12-22T11:26:22 --delay 1 --endMP 204:121 --enddatetime 2016-12-22T12:05:55 --enforcementcount 0 &gt;&gt;C:\Users\stu\Documents\GitHub\eaglep3-reporting\EC\2016-12-22-refined-times.txt</v>
      </c>
      <c r="AI71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{"issue":{"subject":"","project_id":79,"tracker_id":40,"status_id":1,"priority_id":2,"assigned_to_id":23,"start_date":"2016-12-22","description":"","custom_fields":[{"id":1,"name":"Subdivision","value":"EC"},{"id":4,"name":"Milepost","value":"0.0121"},{"id":17,"name":"Train ID","value":"156-22"},{"id":16,"name":"Locomotive ID","value":"4017"},{"id":130,"name":"Impact","value":""},{"id":150,"name":"Time of Event (Mountain Time)","value":"12:05:55"},{"id":151,"name":"Denver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548</v>
      </c>
      <c r="B72" s="7">
        <v>4020</v>
      </c>
      <c r="C72" s="22" t="s">
        <v>205</v>
      </c>
      <c r="D72" s="22" t="s">
        <v>267</v>
      </c>
      <c r="E72" s="13">
        <v>42726.444502314815</v>
      </c>
      <c r="F72" s="13">
        <v>42726.448252314818</v>
      </c>
      <c r="G72" s="7">
        <v>1</v>
      </c>
      <c r="H72" s="22" t="s">
        <v>352</v>
      </c>
      <c r="I72" s="13">
        <v>42726.472858796296</v>
      </c>
      <c r="J72" s="7">
        <v>0</v>
      </c>
      <c r="K72" s="109" t="str">
        <f t="shared" si="0"/>
        <v>4019/4020</v>
      </c>
      <c r="L72" s="22" t="str">
        <f>VLOOKUP(A72,'Trips&amp;Operators'!$C$1:$G$99999,5,FALSE)</f>
        <v>STARKS ANGELINA</v>
      </c>
      <c r="M72" s="6">
        <f t="shared" si="1"/>
        <v>2.4606481478258502E-2</v>
      </c>
      <c r="N72" s="7">
        <f t="shared" si="2"/>
        <v>35.433333328692243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09:40:05-700',mode:absolute,to:'2016-12-22 12:20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4.6199999999999998E-2</v>
      </c>
      <c r="Z72" s="67">
        <f t="shared" si="9"/>
        <v>23.330200000000001</v>
      </c>
      <c r="AA72" s="67">
        <f t="shared" si="10"/>
        <v>23.284000000000002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0157-22</v>
      </c>
      <c r="AE72" s="91" t="str">
        <f t="shared" si="12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72" s="88" t="str">
        <f t="shared" si="13"/>
        <v>"C:\Program Files (x86)\AstroGrep\AstroGrep.exe" /spath="%USERPROFILE%\AppData\Local\Temp\OnboardLogs" /stypes="app*4020*20161222*"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157-22 --locoid 4020 --swversion DE.1.0.8.0 --startMP 204:462 --initTime 2016-12-22T10:40:05 --startdatetime 2016-12-22T10:45:29 --delay 1 --endMP 204:233302 --enddatetime 2016-12-22T11:20:55 --enforcementcount 0 &gt;&gt;C:\Users\stu\Documents\GitHub\eaglep3-reporting\EC\2016-12-22-refined-times.txt</v>
      </c>
      <c r="AI72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ID","value":"157-22"},{"id":16,"name":"Locomotive ID","value":"4020"},{"id":130,"name":"Impact","value":""},{"id":150,"name":"Time of Event (Mountain Time)","value":"11:20:55"},{"id":151,"name":"Denver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560</v>
      </c>
      <c r="B73" s="7">
        <v>4019</v>
      </c>
      <c r="C73" s="22" t="s">
        <v>205</v>
      </c>
      <c r="D73" s="22" t="s">
        <v>256</v>
      </c>
      <c r="E73" s="13">
        <v>42726.482604166667</v>
      </c>
      <c r="F73" s="13">
        <v>42726.487037037034</v>
      </c>
      <c r="G73" s="7">
        <v>1</v>
      </c>
      <c r="H73" s="22" t="s">
        <v>347</v>
      </c>
      <c r="I73" s="13">
        <v>42726.515694444446</v>
      </c>
      <c r="J73" s="7">
        <v>0</v>
      </c>
      <c r="K73" s="109" t="str">
        <f t="shared" si="0"/>
        <v>4019/4020</v>
      </c>
      <c r="L73" s="22" t="str">
        <f>VLOOKUP(A73,'Trips&amp;Operators'!$C$1:$G$99999,5,FALSE)</f>
        <v>STARKS ANGELINA</v>
      </c>
      <c r="M73" s="6">
        <f t="shared" si="1"/>
        <v>2.8657407412538305E-2</v>
      </c>
      <c r="N73" s="7">
        <f t="shared" si="2"/>
        <v>41.266666674055159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10:34:57-700',mode:absolute,to:'2016-12-22 13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23.299399999999999</v>
      </c>
      <c r="Z73" s="67">
        <f t="shared" si="9"/>
        <v>1.52E-2</v>
      </c>
      <c r="AA73" s="67">
        <f t="shared" si="10"/>
        <v>23.284199999999998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0158-22</v>
      </c>
      <c r="AE73" s="91" t="str">
        <f t="shared" si="12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73" s="88" t="str">
        <f t="shared" si="13"/>
        <v>"C:\Program Files (x86)\AstroGrep\AstroGrep.exe" /spath="%USERPROFILE%\AppData\Local\Temp\OnboardLogs" /stypes="app*4019*20161222*"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158-22 --locoid 4019 --swversion DE.1.0.8.0 --startMP 204:232994 --initTime 2016-12-22T11:34:57 --startdatetime 2016-12-22T11:41:20 --delay 1 --endMP 204:152 --enddatetime 2016-12-22T12:22:36 --enforcementcount 0 &gt;&gt;C:\Users\stu\Documents\GitHub\eaglep3-reporting\EC\2016-12-22-refined-times.txt</v>
      </c>
      <c r="AI73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ID","value":"158-22"},{"id":16,"name":"Locomotive ID","value":"4019"},{"id":130,"name":"Impact","value":""},{"id":150,"name":"Time of Event (Mountain Time)","value":"12:22:36"},{"id":151,"name":"Denver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550</v>
      </c>
      <c r="B74" s="7">
        <v>4051</v>
      </c>
      <c r="C74" s="22" t="s">
        <v>205</v>
      </c>
      <c r="D74" s="22" t="s">
        <v>712</v>
      </c>
      <c r="E74" s="13">
        <v>42726.45621527778</v>
      </c>
      <c r="F74" s="13">
        <v>42726.458506944444</v>
      </c>
      <c r="G74" s="7">
        <v>1</v>
      </c>
      <c r="H74" s="22" t="s">
        <v>713</v>
      </c>
      <c r="I74" s="13">
        <v>42726.484351851854</v>
      </c>
      <c r="J74" s="7">
        <v>0</v>
      </c>
      <c r="K74" s="109" t="str">
        <f t="shared" si="0"/>
        <v>4051/4052</v>
      </c>
      <c r="L74" s="22" t="str">
        <f>VLOOKUP(A74,'Trips&amp;Operators'!$C$1:$G$99999,5,FALSE)</f>
        <v>CLARK KATHLEEN</v>
      </c>
      <c r="M74" s="6">
        <f t="shared" si="1"/>
        <v>2.584490740991896E-2</v>
      </c>
      <c r="N74" s="7">
        <f t="shared" si="2"/>
        <v>37.216666670283303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09:56:57-700',mode:absolute,to:'2016-12-22 12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4.3700000000000003E-2</v>
      </c>
      <c r="Z74" s="67">
        <f t="shared" si="9"/>
        <v>23.338699999999999</v>
      </c>
      <c r="AA74" s="67">
        <f t="shared" si="10"/>
        <v>23.294999999999998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0159-22</v>
      </c>
      <c r="AE74" s="91" t="str">
        <f t="shared" si="12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74" s="88" t="str">
        <f t="shared" si="13"/>
        <v>"C:\Program Files (x86)\AstroGrep\AstroGrep.exe" /spath="%USERPROFILE%\AppData\Local\Temp\OnboardLogs" /stypes="app*4051*20161222*"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159-22 --locoid 4051 --swversion DE.1.0.8.0 --startMP 204:437 --initTime 2016-12-22T10:56:57 --startdatetime 2016-12-22T11:00:15 --delay 1 --endMP 204:233387 --enddatetime 2016-12-22T11:37:28 --enforcementcount 0 &gt;&gt;C:\Users\stu\Documents\GitHub\eaglep3-reporting\EC\2016-12-22-refined-times.txt</v>
      </c>
      <c r="AI74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{"issue":{"subject":"","project_id":79,"tracker_id":40,"status_id":1,"priority_id":2,"assigned_to_id":23,"start_date":"2016-12-22","description":"","custom_fields":[{"id":1,"name":"Subdivision","value":"EC"},{"id":4,"name":"Milepost","value":"23.3387"},{"id":17,"name":"Train ID","value":"159-22"},{"id":16,"name":"Locomotive ID","value":"4051"},{"id":130,"name":"Impact","value":""},{"id":150,"name":"Time of Event (Mountain Time)","value":"11:37:28"},{"id":151,"name":"Denver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564</v>
      </c>
      <c r="B75" s="7">
        <v>4052</v>
      </c>
      <c r="C75" s="22" t="s">
        <v>205</v>
      </c>
      <c r="D75" s="22" t="s">
        <v>714</v>
      </c>
      <c r="E75" s="13">
        <v>42726.490393518521</v>
      </c>
      <c r="F75" s="13">
        <v>42726.497395833336</v>
      </c>
      <c r="G75" s="7">
        <v>1</v>
      </c>
      <c r="H75" s="22" t="s">
        <v>319</v>
      </c>
      <c r="I75" s="13">
        <v>42726.526747685188</v>
      </c>
      <c r="J75" s="7">
        <v>0</v>
      </c>
      <c r="K75" s="109" t="str">
        <f t="shared" si="0"/>
        <v>4051/4052</v>
      </c>
      <c r="L75" s="22" t="str">
        <f>VLOOKUP(A75,'Trips&amp;Operators'!$C$1:$G$99999,5,FALSE)</f>
        <v>CLARK KATHLEEN</v>
      </c>
      <c r="M75" s="6">
        <f t="shared" si="1"/>
        <v>2.9351851851970423E-2</v>
      </c>
      <c r="N75" s="7">
        <f t="shared" si="2"/>
        <v>42.266666666837409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10:46:10-700',mode:absolute,to:'2016-12-22 13:38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23.3065</v>
      </c>
      <c r="Z75" s="67">
        <f t="shared" si="9"/>
        <v>1.7000000000000001E-2</v>
      </c>
      <c r="AA75" s="67">
        <f t="shared" si="10"/>
        <v>23.2895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0160-22</v>
      </c>
      <c r="AE75" s="91" t="str">
        <f t="shared" si="12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75" s="88" t="str">
        <f t="shared" si="13"/>
        <v>"C:\Program Files (x86)\AstroGrep\AstroGrep.exe" /spath="%USERPROFILE%\AppData\Local\Temp\OnboardLogs" /stypes="app*4052*20161222*"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160-22 --locoid 4052 --swversion DE.1.0.8.0 --startMP 204:233065 --initTime 2016-12-22T11:46:10 --startdatetime 2016-12-22T11:56:15 --delay 1 --endMP 204:170 --enddatetime 2016-12-22T12:38:31 --enforcementcount 0 &gt;&gt;C:\Users\stu\Documents\GitHub\eaglep3-reporting\EC\2016-12-22-refined-times.txt</v>
      </c>
      <c r="AI75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{"issue":{"subject":"","project_id":79,"tracker_id":40,"status_id":1,"priority_id":2,"assigned_to_id":23,"start_date":"2016-12-22","description":"","custom_fields":[{"id":1,"name":"Subdivision","value":"EC"},{"id":4,"name":"Milepost","value":"0.017"},{"id":17,"name":"Train ID","value":"160-22"},{"id":16,"name":"Locomotive ID","value":"4052"},{"id":130,"name":"Impact","value":""},{"id":150,"name":"Time of Event (Mountain Time)","value":"12:38:31"},{"id":151,"name":"Denver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554</v>
      </c>
      <c r="B76" s="7">
        <v>4027</v>
      </c>
      <c r="C76" s="22" t="s">
        <v>205</v>
      </c>
      <c r="D76" s="22" t="s">
        <v>228</v>
      </c>
      <c r="E76" s="13">
        <v>42726.462789351855</v>
      </c>
      <c r="F76" s="13">
        <v>42726.468946759262</v>
      </c>
      <c r="G76" s="7">
        <v>1</v>
      </c>
      <c r="H76" s="22" t="s">
        <v>406</v>
      </c>
      <c r="I76" s="13">
        <v>42726.495810185188</v>
      </c>
      <c r="J76" s="7">
        <v>0</v>
      </c>
      <c r="K76" s="109" t="str">
        <f t="shared" si="0"/>
        <v>4027/4028</v>
      </c>
      <c r="L76" s="22" t="str">
        <f>VLOOKUP(A76,'Trips&amp;Operators'!$C$1:$G$99999,5,FALSE)</f>
        <v>KILLION DAVID</v>
      </c>
      <c r="M76" s="6">
        <f t="shared" si="1"/>
        <v>2.6863425926421769E-2</v>
      </c>
      <c r="N76" s="7">
        <f t="shared" si="2"/>
        <v>38.683333334047347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10:06:25-700',mode:absolute,to:'2016-12-22 12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4.5499999999999999E-2</v>
      </c>
      <c r="Z76" s="67">
        <f t="shared" si="9"/>
        <v>23.3306</v>
      </c>
      <c r="AA76" s="67">
        <f t="shared" si="10"/>
        <v>23.2851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0161-22</v>
      </c>
      <c r="AE76" s="91" t="str">
        <f t="shared" si="12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76" s="88" t="str">
        <f t="shared" si="13"/>
        <v>"C:\Program Files (x86)\AstroGrep\AstroGrep.exe" /spath="%USERPROFILE%\AppData\Local\Temp\OnboardLogs" /stypes="app*4027*20161222*" /stext=" 18:.+((SYSTEM_STATE.+slice.+state.+changed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161-22 --locoid 4027 --swversion DE.1.0.8.0 --startMP 204:455 --initTime 2016-12-22T11:06:25 --startdatetime 2016-12-22T11:15:17 --delay 1 --endMP 204:233306 --enddatetime 2016-12-22T11:53:58 --enforcementcount 0 &gt;&gt;C:\Users\stu\Documents\GitHub\eaglep3-reporting\EC\2016-12-22-refined-times.txt</v>
      </c>
      <c r="AI76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{"issue":{"subject":"","project_id":79,"tracker_id":40,"status_id":1,"priority_id":2,"assigned_to_id":23,"start_date":"2016-12-22","description":"","custom_fields":[{"id":1,"name":"Subdivision","value":"EC"},{"id":4,"name":"Milepost","value":"23.3306"},{"id":17,"name":"Train ID","value":"161-22"},{"id":16,"name":"Locomotive ID","value":"4027"},{"id":130,"name":"Impact","value":""},{"id":150,"name":"Time of Event (Mountain Time)","value":"11:53:58"},{"id":151,"name":"Denver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566</v>
      </c>
      <c r="B77" s="7">
        <v>4028</v>
      </c>
      <c r="C77" s="22" t="s">
        <v>205</v>
      </c>
      <c r="D77" s="22" t="s">
        <v>394</v>
      </c>
      <c r="E77" s="13">
        <v>42726.502928240741</v>
      </c>
      <c r="F77" s="13">
        <v>42726.507916666669</v>
      </c>
      <c r="G77" s="7">
        <v>1</v>
      </c>
      <c r="H77" s="22" t="s">
        <v>224</v>
      </c>
      <c r="I77" s="13">
        <v>42726.535763888889</v>
      </c>
      <c r="J77" s="7">
        <v>0</v>
      </c>
      <c r="K77" s="109" t="str">
        <f t="shared" si="0"/>
        <v>4027/4028</v>
      </c>
      <c r="L77" s="22" t="str">
        <f>VLOOKUP(A77,'Trips&amp;Operators'!$C$1:$G$99999,5,FALSE)</f>
        <v>KILLION DAVID</v>
      </c>
      <c r="M77" s="6">
        <f t="shared" si="1"/>
        <v>2.7847222219861578E-2</v>
      </c>
      <c r="N77" s="7">
        <f t="shared" si="2"/>
        <v>40.099999996600673</v>
      </c>
      <c r="O77" s="7"/>
      <c r="P77" s="7"/>
      <c r="Q77" s="23"/>
      <c r="R77" s="23"/>
      <c r="S77" s="35">
        <f t="shared" si="3"/>
        <v>1</v>
      </c>
      <c r="T77" s="50" t="str">
        <f t="shared" si="4"/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https://search-rtdc-monitor-bjffxe2xuh6vdkpspy63sjmuny.us-east-1.es.amazonaws.com/_plugin/kibana/#/discover/Steve-Slow-Train-Analysis-(2080s-and-2083s)?_g=(refreshInterval:(display:Off,section:0,value:0),time:(from:'2016-12-22 11:04:13-700',mode:absolute,to:'2016-12-22 13:51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7" s="52" t="str">
        <f t="shared" si="6"/>
        <v>N</v>
      </c>
      <c r="X77" s="177">
        <f t="shared" si="7"/>
        <v>1</v>
      </c>
      <c r="Y77" s="67">
        <f t="shared" si="8"/>
        <v>23.2989</v>
      </c>
      <c r="Z77" s="67">
        <f t="shared" si="9"/>
        <v>1.54E-2</v>
      </c>
      <c r="AA77" s="67">
        <f t="shared" si="10"/>
        <v>23.2835</v>
      </c>
      <c r="AB77" s="64" t="e">
        <f>VLOOKUP(A77,Enforcements!$C$7:$K$19,8,0)</f>
        <v>#N/A</v>
      </c>
      <c r="AC77" s="60" t="e">
        <f>VLOOKUP(A77,Enforcements!$C$7:$E$19,3,0)</f>
        <v>#N/A</v>
      </c>
      <c r="AD77" s="61" t="str">
        <f t="shared" si="11"/>
        <v>0162-22</v>
      </c>
      <c r="AE77" s="91" t="str">
        <f t="shared" si="12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77" s="88" t="str">
        <f t="shared" si="13"/>
        <v>"C:\Program Files (x86)\AstroGrep\AstroGrep.exe" /spath="%USERPROFILE%\AppData\Local\Temp\OnboardLogs" /stypes="app*4028*20161222*" /stext=" 19:.+((SYSTEM_STATE.+slice.+state.+changed )|(ment ac)|(multiple cpu faults)|(system.+state.+changed )|(\[timeout)|(PRM\|1\|D)|(kpr)|(kdp)|(\|lc)|(penalty))" /e /r /s</v>
      </c>
      <c r="AG77" s="1" t="str">
        <f t="shared" si="14"/>
        <v>EC</v>
      </c>
      <c r="AH77" s="92" t="str">
        <f t="shared" si="17"/>
        <v>"%USERPROFILE%\Documents\GitHub\eaglep3\Utilities\RefineRTDCRunTimes.py" --tripid 162-22 --locoid 4028 --swversion DE.1.0.8.0 --startMP 204:232989 --initTime 2016-12-22T12:04:13 --startdatetime 2016-12-22T12:11:24 --delay 1 --endMP 204:154 --enddatetime 2016-12-22T12:51:30 --enforcementcount 0 &gt;&gt;C:\Users\stu\Documents\GitHub\eaglep3-reporting\EC\2016-12-22-refined-times.txt</v>
      </c>
      <c r="AI77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ID","value":"162-22"},{"id":16,"name":"Locomotive ID","value":"4028"},{"id":130,"name":"Impact","value":""},{"id":150,"name":"Time of Event (Mountain Time)","value":"12:51:30"},{"id":151,"name":"Denver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559</v>
      </c>
      <c r="B78" s="7">
        <v>4046</v>
      </c>
      <c r="C78" s="22" t="s">
        <v>205</v>
      </c>
      <c r="D78" s="22" t="s">
        <v>289</v>
      </c>
      <c r="E78" s="13">
        <v>42726.4765162037</v>
      </c>
      <c r="F78" s="13">
        <v>42726.479479166665</v>
      </c>
      <c r="G78" s="7">
        <v>1</v>
      </c>
      <c r="H78" s="22" t="s">
        <v>292</v>
      </c>
      <c r="I78" s="13">
        <v>42726.504236111112</v>
      </c>
      <c r="J78" s="7">
        <v>0</v>
      </c>
      <c r="K78" s="109" t="str">
        <f t="shared" ref="K78:K141" si="34">IF(ISEVEN(B78),(B78-1)&amp;"/"&amp;B78,B78&amp;"/"&amp;(B78+1))</f>
        <v>4045/4046</v>
      </c>
      <c r="L78" s="22" t="str">
        <f>VLOOKUP(A78,'Trips&amp;Operators'!$C$1:$G$99999,5,FALSE)</f>
        <v>BRUDER RICHARD</v>
      </c>
      <c r="M78" s="6">
        <f t="shared" ref="M78:M141" si="35">I78-F78</f>
        <v>2.4756944447290152E-2</v>
      </c>
      <c r="N78" s="7">
        <f t="shared" ref="N78:P141" si="36">24*60*SUM($M78:$M78)</f>
        <v>35.650000004097819</v>
      </c>
      <c r="O78" s="7"/>
      <c r="P78" s="7"/>
      <c r="Q78" s="23"/>
      <c r="R78" s="23"/>
      <c r="S78" s="35">
        <f t="shared" ref="S78:S141" si="37">SUM(U78:U78)/IF(AG78="EC",12,1)</f>
        <v>1</v>
      </c>
      <c r="T78" s="50" t="str">
        <f t="shared" ref="T78:T141" si="38">IF(ISEVEN(LEFT(AD78,4)),"Southbound","NorthBound")</f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ref="V78:V141" si="39">"https://search-rtdc-monitor-bjffxe2xuh6vdkpspy63sjmuny.us-east-1.es.amazonaws.com/_plugin/kibana/#/discover/Steve-Slow-Train-Analysis-(2080s-and-2083s)?_g=(refreshInterval:(display:Off,section:0,value:0),time:(from:'"&amp;TEXT(E78-1/24,"yyyy-MM-DD hh:mm:ss")&amp;utc_offset&amp;"00',mode:absolute,to:'"&amp;TEXT(I78+1/24,"yyyy-MM-DD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https://search-rtdc-monitor-bjffxe2xuh6vdkpspy63sjmuny.us-east-1.es.amazonaws.com/_plugin/kibana/#/discover/Steve-Slow-Train-Analysis-(2080s-and-2083s)?_g=(refreshInterval:(display:Off,section:0,value:0),time:(from:'2016-12-22 10:26:11-700',mode:absolute,to:'2016-12-22 13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8" s="52" t="str">
        <f t="shared" ref="W78:W141" si="40">IF(AA78&lt;IF(AG78="EC",23,5.65),"Y","N")</f>
        <v>N</v>
      </c>
      <c r="X78" s="177">
        <f t="shared" ref="X78:X141" si="41">VALUE(LEFT(AD78,4))-VALUE(LEFT(AD77,4))</f>
        <v>1</v>
      </c>
      <c r="Y78" s="67">
        <f t="shared" ref="Y78:Y141" si="42">RIGHT(D78,LEN(D78)-4)/10000</f>
        <v>4.4900000000000002E-2</v>
      </c>
      <c r="Z78" s="67">
        <f t="shared" ref="Z78:Z141" si="43">RIGHT(H78,LEN(H78)-4)/10000</f>
        <v>23.329499999999999</v>
      </c>
      <c r="AA78" s="67">
        <f t="shared" ref="AA78:AA141" si="44">ABS(Z78-Y78)</f>
        <v>23.284600000000001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ref="AD78:AD141" si="45">IF(LEN(A78)=6,"0"&amp;A78,A78)</f>
        <v>0163-22</v>
      </c>
      <c r="AE78" s="91" t="str">
        <f t="shared" ref="AE78:AE141" si="46"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78" s="88" t="str">
        <f t="shared" ref="AF78:AF141" si="47"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/stypes="app*4046*20161222*" /stext=" 19:.+((SYSTEM_STATE.+slice.+state.+changed )|(ment ac)|(multiple cpu faults)|(system.+state.+changed )|(\[timeout)|(PRM\|1\|D)|(kpr)|(kdp)|(\|lc)|(penalty))" /e /r /s</v>
      </c>
      <c r="AG78" s="1" t="str">
        <f t="shared" ref="AG78:AG141" si="48">IFERROR(IF(VALUE(LEFT(AD78,2))&lt;=2,"EC",IF(OR(VALUE(LEFT(AD78,2))=8,VALUE(LEFT(AD78,2))=18),"NW","Other")),"Other")</f>
        <v>EC</v>
      </c>
      <c r="AH78" s="92" t="str">
        <f t="shared" si="17"/>
        <v>"%USERPROFILE%\Documents\GitHub\eaglep3\Utilities\RefineRTDCRunTimes.py" --tripid 163-22 --locoid 4046 --swversion DE.1.0.8.0 --startMP 204:449 --initTime 2016-12-22T11:26:11 --startdatetime 2016-12-22T11:30:27 --delay 1 --endMP 204:233295 --enddatetime 2016-12-22T12:06:06 --enforcementcount 0 &gt;&gt;C:\Users\stu\Documents\GitHub\eaglep3-reporting\EC\2016-12-22-refined-times.txt</v>
      </c>
      <c r="AI78" s="119" t="str">
        <f t="shared" si="18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ID","value":"163-22"},{"id":16,"name":"Locomotive ID","value":"4046"},{"id":130,"name":"Impact","value":""},{"id":150,"name":"Time of Event (Mountain Time)","value":"12:06:06"},{"id":151,"name":"Denver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569</v>
      </c>
      <c r="B79" s="7">
        <v>4045</v>
      </c>
      <c r="C79" s="22" t="s">
        <v>205</v>
      </c>
      <c r="D79" s="22" t="s">
        <v>356</v>
      </c>
      <c r="E79" s="13">
        <v>42726.512465277781</v>
      </c>
      <c r="F79" s="13">
        <v>42726.518252314818</v>
      </c>
      <c r="G79" s="7">
        <v>1</v>
      </c>
      <c r="H79" s="22" t="s">
        <v>211</v>
      </c>
      <c r="I79" s="13">
        <v>42726.545416666668</v>
      </c>
      <c r="J79" s="7">
        <v>0</v>
      </c>
      <c r="K79" s="109" t="str">
        <f t="shared" si="34"/>
        <v>4045/4046</v>
      </c>
      <c r="L79" s="22" t="str">
        <f>VLOOKUP(A79,'Trips&amp;Operators'!$C$1:$G$99999,5,FALSE)</f>
        <v>BRUDER RICHARD</v>
      </c>
      <c r="M79" s="6">
        <f t="shared" si="35"/>
        <v>2.7164351849933155E-2</v>
      </c>
      <c r="N79" s="7">
        <f t="shared" si="36"/>
        <v>39.116666663903743</v>
      </c>
      <c r="O79" s="7"/>
      <c r="P79" s="7"/>
      <c r="Q79" s="23"/>
      <c r="R79" s="23"/>
      <c r="S79" s="35">
        <f t="shared" si="37"/>
        <v>1</v>
      </c>
      <c r="T79" s="50" t="str">
        <f t="shared" si="38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11:17:57-700',mode:absolute,to:'2016-12-22 14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9" s="52" t="str">
        <f t="shared" si="40"/>
        <v>N</v>
      </c>
      <c r="X79" s="177">
        <f t="shared" si="41"/>
        <v>1</v>
      </c>
      <c r="Y79" s="67">
        <f t="shared" si="42"/>
        <v>23.298200000000001</v>
      </c>
      <c r="Z79" s="67">
        <f t="shared" si="43"/>
        <v>1.4999999999999999E-2</v>
      </c>
      <c r="AA79" s="67">
        <f t="shared" si="44"/>
        <v>23.283200000000001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45"/>
        <v>0164-22</v>
      </c>
      <c r="AE79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79" s="88" t="str">
        <f t="shared" si="47"/>
        <v>"C:\Program Files (x86)\AstroGrep\AstroGrep.exe" /spath="%USERPROFILE%\AppData\Local\Temp\OnboardLogs" /stypes="app*4045*20161222*" /stext=" 20:.+((SYSTEM_STATE.+slice.+state.+changed )|(ment ac)|(multiple cpu faults)|(system.+state.+changed )|(\[timeout)|(PRM\|1\|D)|(kpr)|(kdp)|(\|lc)|(penalty))" /e /r /s</v>
      </c>
      <c r="AG79" s="1" t="str">
        <f t="shared" si="48"/>
        <v>EC</v>
      </c>
      <c r="AH79" s="92" t="str">
        <f t="shared" ref="AH79:AH142" si="49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164-22 --locoid 4045 --swversion DE.1.0.8.0 --startMP 204:232982 --initTime 2016-12-22T12:17:57 --startdatetime 2016-12-22T12:26:17 --delay 1 --endMP 204:150 --enddatetime 2016-12-22T13:05:24 --enforcementcount 0 &gt;&gt;C:\Users\stu\Documents\GitHub\eaglep3-reporting\EC\2016-12-22-refined-times.txt</v>
      </c>
      <c r="AI79" s="119" t="str">
        <f t="shared" ref="AI79:AI142" si="50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ID","value":"164-22"},{"id":16,"name":"Locomotive ID","value":"4045"},{"id":130,"name":"Impact","value":""},{"id":150,"name":"Time of Event (Mountain Time)","value":"13:05:24"},{"id":151,"name":"Denver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563</v>
      </c>
      <c r="B80" s="7">
        <v>4016</v>
      </c>
      <c r="C80" s="22" t="s">
        <v>205</v>
      </c>
      <c r="D80" s="22" t="s">
        <v>289</v>
      </c>
      <c r="E80" s="13">
        <v>42726.485451388886</v>
      </c>
      <c r="F80" s="13">
        <v>42726.489849537036</v>
      </c>
      <c r="G80" s="7">
        <v>1</v>
      </c>
      <c r="H80" s="22" t="s">
        <v>293</v>
      </c>
      <c r="I80" s="13">
        <v>42726.515567129631</v>
      </c>
      <c r="J80" s="7">
        <v>0</v>
      </c>
      <c r="K80" s="109" t="str">
        <f t="shared" si="34"/>
        <v>4015/4016</v>
      </c>
      <c r="L80" s="22" t="str">
        <f>VLOOKUP(A80,'Trips&amp;Operators'!$C$1:$G$99999,5,FALSE)</f>
        <v>SMITH MICHAEL</v>
      </c>
      <c r="M80" s="6">
        <f t="shared" si="35"/>
        <v>2.5717592594446614E-2</v>
      </c>
      <c r="N80" s="7">
        <f t="shared" si="36"/>
        <v>37.033333336003125</v>
      </c>
      <c r="O80" s="7"/>
      <c r="P80" s="7"/>
      <c r="Q80" s="23"/>
      <c r="R80" s="23"/>
      <c r="S80" s="35">
        <f t="shared" si="37"/>
        <v>1</v>
      </c>
      <c r="T80" s="50" t="str">
        <f t="shared" si="38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10:39:03-700',mode:absolute,to:'2016-12-22 13:22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52" t="str">
        <f t="shared" si="40"/>
        <v>N</v>
      </c>
      <c r="X80" s="177">
        <f t="shared" si="41"/>
        <v>1</v>
      </c>
      <c r="Y80" s="67">
        <f t="shared" si="42"/>
        <v>4.4900000000000002E-2</v>
      </c>
      <c r="Z80" s="67">
        <f t="shared" si="43"/>
        <v>23.3308</v>
      </c>
      <c r="AA80" s="67">
        <f t="shared" si="44"/>
        <v>23.285900000000002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45"/>
        <v>0165-22</v>
      </c>
      <c r="AE80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80" s="88" t="str">
        <f t="shared" si="47"/>
        <v>"C:\Program Files (x86)\AstroGrep\AstroGrep.exe" /spath="%USERPROFILE%\AppData\Local\Temp\OnboardLogs" /stypes="app*4016*20161222*" /stext=" 19:.+((SYSTEM_STATE.+slice.+state.+changed )|(ment ac)|(multiple cpu faults)|(system.+state.+changed )|(\[timeout)|(PRM\|1\|D)|(kpr)|(kdp)|(\|lc)|(penalty))" /e /r /s</v>
      </c>
      <c r="AG80" s="1" t="str">
        <f t="shared" si="48"/>
        <v>EC</v>
      </c>
      <c r="AH80" s="92" t="str">
        <f t="shared" si="49"/>
        <v>"%USERPROFILE%\Documents\GitHub\eaglep3\Utilities\RefineRTDCRunTimes.py" --tripid 165-22 --locoid 4016 --swversion DE.1.0.8.0 --startMP 204:449 --initTime 2016-12-22T11:39:03 --startdatetime 2016-12-22T11:45:23 --delay 1 --endMP 204:233308 --enddatetime 2016-12-22T12:22:25 --enforcementcount 0 &gt;&gt;C:\Users\stu\Documents\GitHub\eaglep3-reporting\EC\2016-12-22-refined-times.txt</v>
      </c>
      <c r="AI8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ID","value":"165-22"},{"id":16,"name":"Locomotive ID","value":"4016"},{"id":130,"name":"Impact","value":""},{"id":150,"name":"Time of Event (Mountain Time)","value":"12:22:25"},{"id":151,"name":"Denver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570</v>
      </c>
      <c r="B81" s="7">
        <v>4015</v>
      </c>
      <c r="C81" s="22" t="s">
        <v>205</v>
      </c>
      <c r="D81" s="22" t="s">
        <v>353</v>
      </c>
      <c r="E81" s="13">
        <v>42726.517870370371</v>
      </c>
      <c r="F81" s="13">
        <v>42726.529108796298</v>
      </c>
      <c r="G81" s="7">
        <v>1</v>
      </c>
      <c r="H81" s="22" t="s">
        <v>410</v>
      </c>
      <c r="I81" s="13">
        <v>42726.56082175926</v>
      </c>
      <c r="J81" s="7">
        <v>0</v>
      </c>
      <c r="K81" s="109" t="str">
        <f t="shared" si="34"/>
        <v>4015/4016</v>
      </c>
      <c r="L81" s="22" t="str">
        <f>VLOOKUP(A81,'Trips&amp;Operators'!$C$1:$G$99999,5,FALSE)</f>
        <v>SMITH MICHAEL</v>
      </c>
      <c r="M81" s="6">
        <f t="shared" si="35"/>
        <v>3.1712962962046731E-2</v>
      </c>
      <c r="N81" s="7">
        <f t="shared" si="36"/>
        <v>45.666666665347293</v>
      </c>
      <c r="O81" s="7"/>
      <c r="P81" s="7"/>
      <c r="Q81" s="23"/>
      <c r="R81" s="23"/>
      <c r="S81" s="35">
        <f t="shared" si="37"/>
        <v>1</v>
      </c>
      <c r="T81" s="50" t="str">
        <f t="shared" si="38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11:25:44-700',mode:absolute,to:'2016-12-22 14:27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1" s="52" t="str">
        <f t="shared" si="40"/>
        <v>N</v>
      </c>
      <c r="X81" s="177">
        <f t="shared" si="41"/>
        <v>1</v>
      </c>
      <c r="Y81" s="67">
        <f t="shared" si="42"/>
        <v>23.297899999999998</v>
      </c>
      <c r="Z81" s="67">
        <f t="shared" si="43"/>
        <v>1.83E-2</v>
      </c>
      <c r="AA81" s="67">
        <f t="shared" si="44"/>
        <v>23.279599999999999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45"/>
        <v>0166-22</v>
      </c>
      <c r="AE81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81" s="88" t="str">
        <f t="shared" si="47"/>
        <v>"C:\Program Files (x86)\AstroGrep\AstroGrep.exe" /spath="%USERPROFILE%\AppData\Local\Temp\OnboardLogs" /stypes="app*4015*20161222*" /stext=" 20:.+((SYSTEM_STATE.+slice.+state.+changed )|(ment ac)|(multiple cpu faults)|(system.+state.+changed )|(\[timeout)|(PRM\|1\|D)|(kpr)|(kdp)|(\|lc)|(penalty))" /e /r /s</v>
      </c>
      <c r="AG81" s="1" t="str">
        <f t="shared" si="48"/>
        <v>EC</v>
      </c>
      <c r="AH81" s="92" t="str">
        <f t="shared" si="49"/>
        <v>"%USERPROFILE%\Documents\GitHub\eaglep3\Utilities\RefineRTDCRunTimes.py" --tripid 166-22 --locoid 4015 --swversion DE.1.0.8.0 --startMP 204:232979 --initTime 2016-12-22T12:25:44 --startdatetime 2016-12-22T12:41:55 --delay 1 --endMP 204:183 --enddatetime 2016-12-22T13:27:35 --enforcementcount 0 &gt;&gt;C:\Users\stu\Documents\GitHub\eaglep3-reporting\EC\2016-12-22-refined-times.txt</v>
      </c>
      <c r="AI8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{"issue":{"subject":"","project_id":79,"tracker_id":40,"status_id":1,"priority_id":2,"assigned_to_id":23,"start_date":"2016-12-22","description":"","custom_fields":[{"id":1,"name":"Subdivision","value":"EC"},{"id":4,"name":"Milepost","value":"0.0183"},{"id":17,"name":"Train ID","value":"166-22"},{"id":16,"name":"Locomotive ID","value":"4015"},{"id":130,"name":"Impact","value":""},{"id":150,"name":"Time of Event (Mountain Time)","value":"13:27:35"},{"id":151,"name":"Denver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565</v>
      </c>
      <c r="B82" s="7">
        <v>4029</v>
      </c>
      <c r="C82" s="22" t="s">
        <v>205</v>
      </c>
      <c r="D82" s="22" t="s">
        <v>254</v>
      </c>
      <c r="E82" s="13">
        <v>42726.495625000003</v>
      </c>
      <c r="F82" s="13">
        <v>42726.500162037039</v>
      </c>
      <c r="G82" s="7">
        <v>1</v>
      </c>
      <c r="H82" s="22" t="s">
        <v>715</v>
      </c>
      <c r="I82" s="13">
        <v>42726.525578703702</v>
      </c>
      <c r="J82" s="7">
        <v>0</v>
      </c>
      <c r="K82" s="109" t="str">
        <f t="shared" si="34"/>
        <v>4029/4030</v>
      </c>
      <c r="L82" s="22" t="str">
        <f>VLOOKUP(A82,'Trips&amp;Operators'!$C$1:$G$99999,5,FALSE)</f>
        <v>BARTLETT KIANDRA</v>
      </c>
      <c r="M82" s="6">
        <f t="shared" si="35"/>
        <v>2.5416666663659271E-2</v>
      </c>
      <c r="N82" s="7">
        <f t="shared" si="36"/>
        <v>36.59999999566935</v>
      </c>
      <c r="O82" s="7"/>
      <c r="P82" s="7"/>
      <c r="Q82" s="23"/>
      <c r="R82" s="23"/>
      <c r="S82" s="35">
        <f t="shared" si="37"/>
        <v>1</v>
      </c>
      <c r="T82" s="50" t="str">
        <f t="shared" si="38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10:53:42-700',mode:absolute,to:'2016-12-22 13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52" t="str">
        <f t="shared" si="40"/>
        <v>N</v>
      </c>
      <c r="X82" s="177">
        <f t="shared" si="41"/>
        <v>1</v>
      </c>
      <c r="Y82" s="67">
        <f t="shared" si="42"/>
        <v>4.53E-2</v>
      </c>
      <c r="Z82" s="67">
        <f t="shared" si="43"/>
        <v>23.331099999999999</v>
      </c>
      <c r="AA82" s="67">
        <f t="shared" si="44"/>
        <v>23.285799999999998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45"/>
        <v>0167-22</v>
      </c>
      <c r="AE82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82" s="88" t="str">
        <f t="shared" si="47"/>
        <v>"C:\Program Files (x86)\AstroGrep\AstroGrep.exe" /spath="%USERPROFILE%\AppData\Local\Temp\OnboardLogs" /stypes="app*4029*20161222*" /stext=" 19:.+((SYSTEM_STATE.+slice.+state.+changed )|(ment ac)|(multiple cpu faults)|(system.+state.+changed )|(\[timeout)|(PRM\|1\|D)|(kpr)|(kdp)|(\|lc)|(penalty))" /e /r /s</v>
      </c>
      <c r="AG82" s="1" t="str">
        <f t="shared" si="48"/>
        <v>EC</v>
      </c>
      <c r="AH82" s="92" t="str">
        <f t="shared" si="49"/>
        <v>"%USERPROFILE%\Documents\GitHub\eaglep3\Utilities\RefineRTDCRunTimes.py" --tripid 167-22 --locoid 4029 --swversion DE.1.0.8.0 --startMP 204:453 --initTime 2016-12-22T11:53:42 --startdatetime 2016-12-22T12:00:14 --delay 1 --endMP 204:233311 --enddatetime 2016-12-22T12:36:50 --enforcementcount 0 &gt;&gt;C:\Users\stu\Documents\GitHub\eaglep3-reporting\EC\2016-12-22-refined-times.txt</v>
      </c>
      <c r="AI8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{"issue":{"subject":"","project_id":79,"tracker_id":40,"status_id":1,"priority_id":2,"assigned_to_id":23,"start_date":"2016-12-22","description":"","custom_fields":[{"id":1,"name":"Subdivision","value":"EC"},{"id":4,"name":"Milepost","value":"23.3311"},{"id":17,"name":"Train ID","value":"167-22"},{"id":16,"name":"Locomotive ID","value":"4029"},{"id":130,"name":"Impact","value":""},{"id":150,"name":"Time of Event (Mountain Time)","value":"12:36:50"},{"id":151,"name":"Denver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573</v>
      </c>
      <c r="B83" s="7">
        <v>4030</v>
      </c>
      <c r="C83" s="22" t="s">
        <v>205</v>
      </c>
      <c r="D83" s="22" t="s">
        <v>398</v>
      </c>
      <c r="E83" s="13">
        <v>42726.527638888889</v>
      </c>
      <c r="F83" s="13">
        <v>42726.539143518516</v>
      </c>
      <c r="G83" s="7">
        <v>1</v>
      </c>
      <c r="H83" s="22" t="s">
        <v>716</v>
      </c>
      <c r="I83" s="13">
        <v>42726.569675925923</v>
      </c>
      <c r="J83" s="7">
        <v>0</v>
      </c>
      <c r="K83" s="109" t="str">
        <f t="shared" si="34"/>
        <v>4029/4030</v>
      </c>
      <c r="L83" s="22" t="str">
        <f>VLOOKUP(A83,'Trips&amp;Operators'!$C$1:$G$99999,5,FALSE)</f>
        <v>BARTLETT KIANDRA</v>
      </c>
      <c r="M83" s="6">
        <f t="shared" si="35"/>
        <v>3.0532407407008577E-2</v>
      </c>
      <c r="N83" s="7">
        <f t="shared" si="36"/>
        <v>43.966666666092351</v>
      </c>
      <c r="O83" s="7"/>
      <c r="P83" s="7"/>
      <c r="Q83" s="23"/>
      <c r="R83" s="23"/>
      <c r="S83" s="35">
        <f t="shared" si="37"/>
        <v>1</v>
      </c>
      <c r="T83" s="50" t="str">
        <f t="shared" si="38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11:39:48-700',mode:absolute,to:'2016-12-22 14:40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52" t="str">
        <f t="shared" si="40"/>
        <v>N</v>
      </c>
      <c r="X83" s="177">
        <f t="shared" si="41"/>
        <v>1</v>
      </c>
      <c r="Y83" s="67">
        <f t="shared" si="42"/>
        <v>23.299199999999999</v>
      </c>
      <c r="Z83" s="67">
        <f t="shared" si="43"/>
        <v>1.5599999999999999E-2</v>
      </c>
      <c r="AA83" s="67">
        <f t="shared" si="44"/>
        <v>23.2836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45"/>
        <v>0168-22</v>
      </c>
      <c r="AE83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83" s="88" t="str">
        <f t="shared" si="47"/>
        <v>"C:\Program Files (x86)\AstroGrep\AstroGrep.exe" /spath="%USERPROFILE%\AppData\Local\Temp\OnboardLogs" /stypes="app*4030*20161222*" /stext=" 20:.+((SYSTEM_STATE.+slice.+state.+changed )|(ment ac)|(multiple cpu faults)|(system.+state.+changed )|(\[timeout)|(PRM\|1\|D)|(kpr)|(kdp)|(\|lc)|(penalty))" /e /r /s</v>
      </c>
      <c r="AG83" s="1" t="str">
        <f t="shared" si="48"/>
        <v>EC</v>
      </c>
      <c r="AH83" s="92" t="str">
        <f t="shared" si="49"/>
        <v>"%USERPROFILE%\Documents\GitHub\eaglep3\Utilities\RefineRTDCRunTimes.py" --tripid 168-22 --locoid 4030 --swversion DE.1.0.8.0 --startMP 204:232992 --initTime 2016-12-22T12:39:48 --startdatetime 2016-12-22T12:56:22 --delay 1 --endMP 204:156 --enddatetime 2016-12-22T13:40:20 --enforcementcount 0 &gt;&gt;C:\Users\stu\Documents\GitHub\eaglep3-reporting\EC\2016-12-22-refined-times.txt</v>
      </c>
      <c r="AI8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{"issue":{"subject":"","project_id":79,"tracker_id":40,"status_id":1,"priority_id":2,"assigned_to_id":23,"start_date":"2016-12-22","description":"","custom_fields":[{"id":1,"name":"Subdivision","value":"EC"},{"id":4,"name":"Milepost","value":"0.0156"},{"id":17,"name":"Train ID","value":"168-22"},{"id":16,"name":"Locomotive ID","value":"4030"},{"id":130,"name":"Impact","value":""},{"id":150,"name":"Time of Event (Mountain Time)","value":"13:40:20"},{"id":151,"name":"Denver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567</v>
      </c>
      <c r="B84" s="7">
        <v>4018</v>
      </c>
      <c r="C84" s="22" t="s">
        <v>205</v>
      </c>
      <c r="D84" s="22" t="s">
        <v>194</v>
      </c>
      <c r="E84" s="13">
        <v>42726.506365740737</v>
      </c>
      <c r="F84" s="13">
        <v>42726.510706018518</v>
      </c>
      <c r="G84" s="7">
        <v>1</v>
      </c>
      <c r="H84" s="22" t="s">
        <v>288</v>
      </c>
      <c r="I84" s="13">
        <v>42726.534826388888</v>
      </c>
      <c r="J84" s="7">
        <v>0</v>
      </c>
      <c r="K84" s="109" t="str">
        <f t="shared" si="34"/>
        <v>4017/4018</v>
      </c>
      <c r="L84" s="22" t="str">
        <f>VLOOKUP(A84,'Trips&amp;Operators'!$C$1:$G$99999,5,FALSE)</f>
        <v>HELVIE ADAM</v>
      </c>
      <c r="M84" s="6">
        <f t="shared" si="35"/>
        <v>2.4120370369928423E-2</v>
      </c>
      <c r="N84" s="7">
        <f t="shared" si="36"/>
        <v>34.73333333269693</v>
      </c>
      <c r="O84" s="7"/>
      <c r="P84" s="7"/>
      <c r="Q84" s="23"/>
      <c r="R84" s="23"/>
      <c r="S84" s="35">
        <f t="shared" si="37"/>
        <v>1</v>
      </c>
      <c r="T84" s="50" t="str">
        <f t="shared" si="38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11:09:10-700',mode:absolute,to:'2016-12-22 13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4" s="52" t="str">
        <f t="shared" si="40"/>
        <v>N</v>
      </c>
      <c r="X84" s="177">
        <f t="shared" si="41"/>
        <v>1</v>
      </c>
      <c r="Y84" s="67">
        <f t="shared" si="42"/>
        <v>4.5100000000000001E-2</v>
      </c>
      <c r="Z84" s="67">
        <f t="shared" si="43"/>
        <v>23.331</v>
      </c>
      <c r="AA84" s="67">
        <f t="shared" si="44"/>
        <v>23.285899999999998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45"/>
        <v>0169-22</v>
      </c>
      <c r="AE84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84" s="88" t="str">
        <f t="shared" si="47"/>
        <v>"C:\Program Files (x86)\AstroGrep\AstroGrep.exe" /spath="%USERPROFILE%\AppData\Local\Temp\OnboardLogs" /stypes="app*4018*20161222*" /stext=" 19:.+((SYSTEM_STATE.+slice.+state.+changed )|(ment ac)|(multiple cpu faults)|(system.+state.+changed )|(\[timeout)|(PRM\|1\|D)|(kpr)|(kdp)|(\|lc)|(penalty))" /e /r /s</v>
      </c>
      <c r="AG84" s="1" t="str">
        <f t="shared" si="48"/>
        <v>EC</v>
      </c>
      <c r="AH84" s="92" t="str">
        <f t="shared" si="49"/>
        <v>"%USERPROFILE%\Documents\GitHub\eaglep3\Utilities\RefineRTDCRunTimes.py" --tripid 169-22 --locoid 4018 --swversion DE.1.0.8.0 --startMP 204:451 --initTime 2016-12-22T12:09:10 --startdatetime 2016-12-22T12:15:25 --delay 1 --endMP 204:233310 --enddatetime 2016-12-22T12:50:09 --enforcementcount 0 &gt;&gt;C:\Users\stu\Documents\GitHub\eaglep3-reporting\EC\2016-12-22-refined-times.txt</v>
      </c>
      <c r="AI8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{"issue":{"subject":"","project_id":79,"tracker_id":40,"status_id":1,"priority_id":2,"assigned_to_id":23,"start_date":"2016-12-22","description":"","custom_fields":[{"id":1,"name":"Subdivision","value":"EC"},{"id":4,"name":"Milepost","value":"23.331"},{"id":17,"name":"Train ID","value":"169-22"},{"id":16,"name":"Locomotive ID","value":"4018"},{"id":130,"name":"Impact","value":""},{"id":150,"name":"Time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577</v>
      </c>
      <c r="B85" s="7">
        <v>4017</v>
      </c>
      <c r="C85" s="22" t="s">
        <v>205</v>
      </c>
      <c r="D85" s="22" t="s">
        <v>401</v>
      </c>
      <c r="E85" s="13">
        <v>42726.545717592591</v>
      </c>
      <c r="F85" s="13">
        <v>42726.549537037034</v>
      </c>
      <c r="G85" s="7">
        <v>2</v>
      </c>
      <c r="H85" s="22" t="s">
        <v>244</v>
      </c>
      <c r="I85" s="13">
        <v>42726.578009259261</v>
      </c>
      <c r="J85" s="7">
        <v>0</v>
      </c>
      <c r="K85" s="109" t="str">
        <f t="shared" si="34"/>
        <v>4017/4018</v>
      </c>
      <c r="L85" s="22" t="str">
        <f>VLOOKUP(A85,'Trips&amp;Operators'!$C$1:$G$99999,5,FALSE)</f>
        <v>HELVIE ADAM</v>
      </c>
      <c r="M85" s="6">
        <f t="shared" si="35"/>
        <v>2.8472222227719612E-2</v>
      </c>
      <c r="N85" s="7">
        <f t="shared" si="36"/>
        <v>41.000000007916242</v>
      </c>
      <c r="O85" s="7"/>
      <c r="P85" s="7"/>
      <c r="Q85" s="23"/>
      <c r="R85" s="23"/>
      <c r="S85" s="35">
        <f t="shared" si="37"/>
        <v>1</v>
      </c>
      <c r="T85" s="50" t="str">
        <f t="shared" si="38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12:05:50-700',mode:absolute,to:'2016-12-22 14:52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5" s="52" t="str">
        <f t="shared" si="40"/>
        <v>N</v>
      </c>
      <c r="X85" s="177">
        <f t="shared" si="41"/>
        <v>1</v>
      </c>
      <c r="Y85" s="67">
        <f t="shared" si="42"/>
        <v>23.2987</v>
      </c>
      <c r="Z85" s="67">
        <f t="shared" si="43"/>
        <v>1.6299999999999999E-2</v>
      </c>
      <c r="AA85" s="67">
        <f t="shared" si="44"/>
        <v>23.282399999999999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45"/>
        <v>0170-22</v>
      </c>
      <c r="AE85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85" s="88" t="str">
        <f t="shared" si="47"/>
        <v>"C:\Program Files (x86)\AstroGrep\AstroGrep.exe" /spath="%USERPROFILE%\AppData\Local\Temp\OnboardLogs" /stypes="app*4017*20161222*" /stext=" 20:.+((SYSTEM_STATE.+slice.+state.+changed )|(ment ac)|(multiple cpu faults)|(system.+state.+changed )|(\[timeout)|(PRM\|1\|D)|(kpr)|(kdp)|(\|lc)|(penalty))" /e /r /s</v>
      </c>
      <c r="AG85" s="1" t="str">
        <f t="shared" si="48"/>
        <v>EC</v>
      </c>
      <c r="AH85" s="92" t="str">
        <f t="shared" si="49"/>
        <v>"%USERPROFILE%\Documents\GitHub\eaglep3\Utilities\RefineRTDCRunTimes.py" --tripid 170-22 --locoid 4017 --swversion DE.1.0.8.0 --startMP 204:232987 --initTime 2016-12-22T13:05:50 --startdatetime 2016-12-22T13:11:20 --delay 2 --endMP 204:163 --enddatetime 2016-12-22T13:52:20 --enforcementcount 0 &gt;&gt;C:\Users\stu\Documents\GitHub\eaglep3-reporting\EC\2016-12-22-refined-times.txt</v>
      </c>
      <c r="AI8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ID","value":"170-22"},{"id":16,"name":"Locomotive ID","value":"4017"},{"id":130,"name":"Impact","value":""},{"id":150,"name":"Time of Event (Mountain Time)","value":"13:52:20"},{"id":151,"name":"Denver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571</v>
      </c>
      <c r="B86" s="7">
        <v>4020</v>
      </c>
      <c r="C86" s="22" t="s">
        <v>205</v>
      </c>
      <c r="D86" s="22" t="s">
        <v>242</v>
      </c>
      <c r="E86" s="13">
        <v>42726.518206018518</v>
      </c>
      <c r="F86" s="13">
        <v>42726.520995370367</v>
      </c>
      <c r="G86" s="7">
        <v>1</v>
      </c>
      <c r="H86" s="22" t="s">
        <v>403</v>
      </c>
      <c r="I86" s="13">
        <v>42726.545312499999</v>
      </c>
      <c r="J86" s="7">
        <v>0</v>
      </c>
      <c r="K86" s="109" t="str">
        <f t="shared" si="34"/>
        <v>4019/4020</v>
      </c>
      <c r="L86" s="22" t="str">
        <f>VLOOKUP(A86,'Trips&amp;Operators'!$C$1:$G$99999,5,FALSE)</f>
        <v>BRANNON JEFFREY</v>
      </c>
      <c r="M86" s="6">
        <f t="shared" si="35"/>
        <v>2.4317129631526768E-2</v>
      </c>
      <c r="N86" s="7">
        <f t="shared" si="36"/>
        <v>35.016666669398546</v>
      </c>
      <c r="O86" s="7"/>
      <c r="P86" s="7"/>
      <c r="Q86" s="23"/>
      <c r="R86" s="23"/>
      <c r="S86" s="35">
        <f t="shared" si="37"/>
        <v>1</v>
      </c>
      <c r="T86" s="50" t="str">
        <f t="shared" si="38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11:26:13-700',mode:absolute,to:'2016-12-22 14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6" s="52" t="str">
        <f t="shared" si="40"/>
        <v>N</v>
      </c>
      <c r="X86" s="177">
        <f t="shared" si="41"/>
        <v>1</v>
      </c>
      <c r="Y86" s="67">
        <f t="shared" si="42"/>
        <v>4.58E-2</v>
      </c>
      <c r="Z86" s="67">
        <f t="shared" si="43"/>
        <v>23.3307</v>
      </c>
      <c r="AA86" s="67">
        <f t="shared" si="44"/>
        <v>23.2849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45"/>
        <v>0171-22</v>
      </c>
      <c r="AE86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86" s="88" t="str">
        <f t="shared" si="47"/>
        <v>"C:\Program Files (x86)\AstroGrep\AstroGrep.exe" /spath="%USERPROFILE%\AppData\Local\Temp\OnboardLogs" /stypes="app*4020*20161222*" /stext=" 20:.+((SYSTEM_STATE.+slice.+state.+changed )|(ment ac)|(multiple cpu faults)|(system.+state.+changed )|(\[timeout)|(PRM\|1\|D)|(kpr)|(kdp)|(\|lc)|(penalty))" /e /r /s</v>
      </c>
      <c r="AG86" s="1" t="str">
        <f t="shared" si="48"/>
        <v>EC</v>
      </c>
      <c r="AH86" s="92" t="str">
        <f t="shared" si="49"/>
        <v>"%USERPROFILE%\Documents\GitHub\eaglep3\Utilities\RefineRTDCRunTimes.py" --tripid 171-22 --locoid 4020 --swversion DE.1.0.8.0 --startMP 204:458 --initTime 2016-12-22T12:26:13 --startdatetime 2016-12-22T12:30:14 --delay 1 --endMP 204:233307 --enddatetime 2016-12-22T13:05:15 --enforcementcount 0 &gt;&gt;C:\Users\stu\Documents\GitHub\eaglep3-reporting\EC\2016-12-22-refined-times.txt</v>
      </c>
      <c r="AI8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{"issue":{"subject":"","project_id":79,"tracker_id":40,"status_id":1,"priority_id":2,"assigned_to_id":23,"start_date":"2016-12-22","description":"","custom_fields":[{"id":1,"name":"Subdivision","value":"EC"},{"id":4,"name":"Milepost","value":"23.3307"},{"id":17,"name":"Train ID","value":"171-22"},{"id":16,"name":"Locomotive ID","value":"4020"},{"id":130,"name":"Impact","value":""},{"id":150,"name":"Time of Event (Mountain Time)","value":"13:05:15"},{"id":151,"name":"Denver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579</v>
      </c>
      <c r="B87" s="7">
        <v>4019</v>
      </c>
      <c r="C87" s="22" t="s">
        <v>205</v>
      </c>
      <c r="D87" s="22" t="s">
        <v>705</v>
      </c>
      <c r="E87" s="13">
        <v>42726.555428240739</v>
      </c>
      <c r="F87" s="13">
        <v>42726.559895833336</v>
      </c>
      <c r="G87" s="7">
        <v>4</v>
      </c>
      <c r="H87" s="22" t="s">
        <v>347</v>
      </c>
      <c r="I87" s="13">
        <v>42726.58935185185</v>
      </c>
      <c r="J87" s="7">
        <v>0</v>
      </c>
      <c r="K87" s="109" t="str">
        <f t="shared" si="34"/>
        <v>4019/4020</v>
      </c>
      <c r="L87" s="22" t="str">
        <f>VLOOKUP(A87,'Trips&amp;Operators'!$C$1:$G$99999,5,FALSE)</f>
        <v>BRANNON JEFFREY</v>
      </c>
      <c r="M87" s="6">
        <f t="shared" si="35"/>
        <v>2.9456018513883464E-2</v>
      </c>
      <c r="N87" s="7">
        <f t="shared" si="36"/>
        <v>42.416666659992188</v>
      </c>
      <c r="O87" s="7"/>
      <c r="P87" s="7"/>
      <c r="Q87" s="23"/>
      <c r="R87" s="23"/>
      <c r="S87" s="35">
        <f t="shared" si="37"/>
        <v>1</v>
      </c>
      <c r="T87" s="50" t="str">
        <f t="shared" si="38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12:19:49-700',mode:absolute,to:'2016-12-22 15:08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7" s="52" t="str">
        <f t="shared" si="40"/>
        <v>N</v>
      </c>
      <c r="X87" s="177">
        <f t="shared" si="41"/>
        <v>1</v>
      </c>
      <c r="Y87" s="67">
        <f t="shared" si="42"/>
        <v>23.2971</v>
      </c>
      <c r="Z87" s="67">
        <f t="shared" si="43"/>
        <v>1.52E-2</v>
      </c>
      <c r="AA87" s="67">
        <f t="shared" si="44"/>
        <v>23.2819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45"/>
        <v>0172-22</v>
      </c>
      <c r="AE87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87" s="88" t="str">
        <f t="shared" si="47"/>
        <v>"C:\Program Files (x86)\AstroGrep\AstroGrep.exe" /spath="%USERPROFILE%\AppData\Local\Temp\OnboardLogs" /stypes="app*4019*20161222*" /stext=" 21:.+((SYSTEM_STATE.+slice.+state.+changed )|(ment ac)|(multiple cpu faults)|(system.+state.+changed )|(\[timeout)|(PRM\|1\|D)|(kpr)|(kdp)|(\|lc)|(penalty))" /e /r /s</v>
      </c>
      <c r="AG87" s="1" t="str">
        <f t="shared" si="48"/>
        <v>EC</v>
      </c>
      <c r="AH87" s="92" t="str">
        <f t="shared" si="49"/>
        <v>"%USERPROFILE%\Documents\GitHub\eaglep3\Utilities\RefineRTDCRunTimes.py" --tripid 172-22 --locoid 4019 --swversion DE.1.0.8.0 --startMP 204:232971 --initTime 2016-12-22T13:19:49 --startdatetime 2016-12-22T13:26:15 --delay 4 --endMP 204:152 --enddatetime 2016-12-22T14:08:40 --enforcementcount 0 &gt;&gt;C:\Users\stu\Documents\GitHub\eaglep3-reporting\EC\2016-12-22-refined-times.txt</v>
      </c>
      <c r="AI8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ID","value":"172-22"},{"id":16,"name":"Locomotive ID","value":"4019"},{"id":130,"name":"Impact","value":""},{"id":150,"name":"Time of Event (Mountain Time)","value":"14:08:40"},{"id":151,"name":"Denver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574</v>
      </c>
      <c r="B88" s="7">
        <v>4051</v>
      </c>
      <c r="C88" s="22" t="s">
        <v>205</v>
      </c>
      <c r="D88" s="22" t="s">
        <v>358</v>
      </c>
      <c r="E88" s="13">
        <v>42726.528391203705</v>
      </c>
      <c r="F88" s="13">
        <v>42726.531412037039</v>
      </c>
      <c r="G88" s="7">
        <v>4</v>
      </c>
      <c r="H88" s="22" t="s">
        <v>281</v>
      </c>
      <c r="I88" s="13">
        <v>42726.558796296296</v>
      </c>
      <c r="J88" s="7">
        <v>0</v>
      </c>
      <c r="K88" s="109" t="str">
        <f t="shared" si="34"/>
        <v>4051/4052</v>
      </c>
      <c r="L88" s="22" t="str">
        <f>VLOOKUP(A88,'Trips&amp;Operators'!$C$1:$G$99999,5,FALSE)</f>
        <v>CLARK KATHLEEN</v>
      </c>
      <c r="M88" s="6">
        <f t="shared" si="35"/>
        <v>2.7384259257814847E-2</v>
      </c>
      <c r="N88" s="7">
        <f t="shared" si="36"/>
        <v>39.43333333125338</v>
      </c>
      <c r="O88" s="7"/>
      <c r="P88" s="7"/>
      <c r="Q88" s="23"/>
      <c r="R88" s="23"/>
      <c r="S88" s="35">
        <f t="shared" si="37"/>
        <v>1</v>
      </c>
      <c r="T88" s="50" t="str">
        <f t="shared" si="38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11:40:53-700',mode:absolute,to:'2016-12-22 14:24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8" s="52" t="str">
        <f t="shared" si="40"/>
        <v>N</v>
      </c>
      <c r="X88" s="177">
        <f t="shared" si="41"/>
        <v>1</v>
      </c>
      <c r="Y88" s="67">
        <f t="shared" si="42"/>
        <v>4.6600000000000003E-2</v>
      </c>
      <c r="Z88" s="67">
        <f t="shared" si="43"/>
        <v>23.329799999999999</v>
      </c>
      <c r="AA88" s="67">
        <f t="shared" si="44"/>
        <v>23.283199999999997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45"/>
        <v>0173-22</v>
      </c>
      <c r="AE88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88" s="88" t="str">
        <f t="shared" si="47"/>
        <v>"C:\Program Files (x86)\AstroGrep\AstroGrep.exe" /spath="%USERPROFILE%\AppData\Local\Temp\OnboardLogs" /stypes="app*4051*20161222*" /stext=" 20:.+((SYSTEM_STATE.+slice.+state.+changed )|(ment ac)|(multiple cpu faults)|(system.+state.+changed )|(\[timeout)|(PRM\|1\|D)|(kpr)|(kdp)|(\|lc)|(penalty))" /e /r /s</v>
      </c>
      <c r="AG88" s="1" t="str">
        <f t="shared" si="48"/>
        <v>EC</v>
      </c>
      <c r="AH88" s="92" t="str">
        <f t="shared" si="49"/>
        <v>"%USERPROFILE%\Documents\GitHub\eaglep3\Utilities\RefineRTDCRunTimes.py" --tripid 173-22 --locoid 4051 --swversion DE.1.0.8.0 --startMP 204:466 --initTime 2016-12-22T12:40:53 --startdatetime 2016-12-22T12:45:14 --delay 4 --endMP 204:233298 --enddatetime 2016-12-22T13:24:40 --enforcementcount 0 &gt;&gt;C:\Users\stu\Documents\GitHub\eaglep3-reporting\EC\2016-12-22-refined-times.txt</v>
      </c>
      <c r="AI8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ID","value":"173-22"},{"id":16,"name":"Locomotive ID","value":"4051"},{"id":130,"name":"Impact","value":""},{"id":150,"name":"Time of Event (Mountain Time)","value":"13:24:40"},{"id":151,"name":"Denver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581</v>
      </c>
      <c r="B89" s="7">
        <v>4052</v>
      </c>
      <c r="C89" s="22" t="s">
        <v>205</v>
      </c>
      <c r="D89" s="22" t="s">
        <v>717</v>
      </c>
      <c r="E89" s="13">
        <v>42726.56459490741</v>
      </c>
      <c r="F89" s="13">
        <v>42726.5703125</v>
      </c>
      <c r="G89" s="7">
        <v>1</v>
      </c>
      <c r="H89" s="22" t="s">
        <v>318</v>
      </c>
      <c r="I89" s="13">
        <v>42726.60050925926</v>
      </c>
      <c r="J89" s="7">
        <v>0</v>
      </c>
      <c r="K89" s="109" t="str">
        <f t="shared" si="34"/>
        <v>4051/4052</v>
      </c>
      <c r="L89" s="22" t="str">
        <f>VLOOKUP(A89,'Trips&amp;Operators'!$C$1:$G$99999,5,FALSE)</f>
        <v>CLARK KATHLEEN</v>
      </c>
      <c r="M89" s="6">
        <f t="shared" si="35"/>
        <v>3.0196759260434192E-2</v>
      </c>
      <c r="N89" s="7">
        <f t="shared" si="36"/>
        <v>43.483333335025236</v>
      </c>
      <c r="O89" s="7"/>
      <c r="P89" s="7"/>
      <c r="Q89" s="23"/>
      <c r="R89" s="23"/>
      <c r="S89" s="35">
        <f t="shared" si="37"/>
        <v>1</v>
      </c>
      <c r="T89" s="50" t="str">
        <f t="shared" si="38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12:33:01-700',mode:absolute,to:'2016-12-22 15:24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9" s="52" t="str">
        <f t="shared" si="40"/>
        <v>N</v>
      </c>
      <c r="X89" s="177">
        <f t="shared" si="41"/>
        <v>1</v>
      </c>
      <c r="Y89" s="67">
        <f t="shared" si="42"/>
        <v>23.296399999999998</v>
      </c>
      <c r="Z89" s="67">
        <f t="shared" si="43"/>
        <v>1.72E-2</v>
      </c>
      <c r="AA89" s="67">
        <f t="shared" si="44"/>
        <v>23.279199999999999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45"/>
        <v>0174-22</v>
      </c>
      <c r="AE89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89" s="88" t="str">
        <f t="shared" si="47"/>
        <v>"C:\Program Files (x86)\AstroGrep\AstroGrep.exe" /spath="%USERPROFILE%\AppData\Local\Temp\OnboardLogs" /stypes="app*4052*20161222*" /stext=" 21:.+((SYSTEM_STATE.+slice.+state.+changed )|(ment ac)|(multiple cpu faults)|(system.+state.+changed )|(\[timeout)|(PRM\|1\|D)|(kpr)|(kdp)|(\|lc)|(penalty))" /e /r /s</v>
      </c>
      <c r="AG89" s="1" t="str">
        <f t="shared" si="48"/>
        <v>EC</v>
      </c>
      <c r="AH89" s="92" t="str">
        <f t="shared" si="49"/>
        <v>"%USERPROFILE%\Documents\GitHub\eaglep3\Utilities\RefineRTDCRunTimes.py" --tripid 174-22 --locoid 4052 --swversion DE.1.0.8.0 --startMP 204:232964 --initTime 2016-12-22T13:33:01 --startdatetime 2016-12-22T13:41:15 --delay 1 --endMP 204:172 --enddatetime 2016-12-22T14:24:44 --enforcementcount 0 &gt;&gt;C:\Users\stu\Documents\GitHub\eaglep3-reporting\EC\2016-12-22-refined-times.txt</v>
      </c>
      <c r="AI8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{"issue":{"subject":"","project_id":79,"tracker_id":40,"status_id":1,"priority_id":2,"assigned_to_id":23,"start_date":"2016-12-22","description":"","custom_fields":[{"id":1,"name":"Subdivision","value":"EC"},{"id":4,"name":"Milepost","value":"0.0172"},{"id":17,"name":"Train ID","value":"174-22"},{"id":16,"name":"Locomotive ID","value":"4052"},{"id":130,"name":"Impact","value":""},{"id":150,"name":"Time of Event (Mountain Time)","value":"14:24:44"},{"id":151,"name":"Denver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575</v>
      </c>
      <c r="B90" s="7">
        <v>4027</v>
      </c>
      <c r="C90" s="22" t="s">
        <v>205</v>
      </c>
      <c r="D90" s="22" t="s">
        <v>279</v>
      </c>
      <c r="E90" s="13">
        <v>42726.538842592592</v>
      </c>
      <c r="F90" s="13">
        <v>42726.543136574073</v>
      </c>
      <c r="G90" s="7">
        <v>1</v>
      </c>
      <c r="H90" s="22" t="s">
        <v>704</v>
      </c>
      <c r="I90" s="13">
        <v>42726.568807870368</v>
      </c>
      <c r="J90" s="7">
        <v>0</v>
      </c>
      <c r="K90" s="109" t="str">
        <f t="shared" si="34"/>
        <v>4027/4028</v>
      </c>
      <c r="L90" s="22" t="str">
        <f>VLOOKUP(A90,'Trips&amp;Operators'!$C$1:$G$99999,5,FALSE)</f>
        <v>KILLION DAVID</v>
      </c>
      <c r="M90" s="6">
        <f t="shared" si="35"/>
        <v>2.5671296294603962E-2</v>
      </c>
      <c r="N90" s="7">
        <f t="shared" si="36"/>
        <v>36.966666664229706</v>
      </c>
      <c r="O90" s="7"/>
      <c r="P90" s="7"/>
      <c r="Q90" s="23"/>
      <c r="R90" s="23"/>
      <c r="S90" s="35">
        <f t="shared" si="37"/>
        <v>1</v>
      </c>
      <c r="T90" s="50" t="str">
        <f t="shared" si="38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11:55:56-700',mode:absolute,to:'2016-12-22 14:39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0" s="52" t="str">
        <f t="shared" si="40"/>
        <v>N</v>
      </c>
      <c r="X90" s="177">
        <f t="shared" si="41"/>
        <v>1</v>
      </c>
      <c r="Y90" s="67">
        <f t="shared" si="42"/>
        <v>4.3999999999999997E-2</v>
      </c>
      <c r="Z90" s="67">
        <f t="shared" si="43"/>
        <v>23.328399999999998</v>
      </c>
      <c r="AA90" s="67">
        <f t="shared" si="44"/>
        <v>23.284399999999998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45"/>
        <v>0175-22</v>
      </c>
      <c r="AE90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90" s="88" t="str">
        <f t="shared" si="47"/>
        <v>"C:\Program Files (x86)\AstroGrep\AstroGrep.exe" /spath="%USERPROFILE%\AppData\Local\Temp\OnboardLogs" /stypes="app*4027*20161222*" /stext=" 20:.+((SYSTEM_STATE.+slice.+state.+changed )|(ment ac)|(multiple cpu faults)|(system.+state.+changed )|(\[timeout)|(PRM\|1\|D)|(kpr)|(kdp)|(\|lc)|(penalty))" /e /r /s</v>
      </c>
      <c r="AG90" s="1" t="str">
        <f t="shared" si="48"/>
        <v>EC</v>
      </c>
      <c r="AH90" s="92" t="str">
        <f t="shared" si="49"/>
        <v>"%USERPROFILE%\Documents\GitHub\eaglep3\Utilities\RefineRTDCRunTimes.py" --tripid 175-22 --locoid 4027 --swversion DE.1.0.8.0 --startMP 204:440 --initTime 2016-12-22T12:55:56 --startdatetime 2016-12-22T13:02:07 --delay 1 --endMP 204:233284 --enddatetime 2016-12-22T13:39:05 --enforcementcount 0 &gt;&gt;C:\Users\stu\Documents\GitHub\eaglep3-reporting\EC\2016-12-22-refined-times.txt</v>
      </c>
      <c r="AI9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{"issue":{"subject":"","project_id":79,"tracker_id":40,"status_id":1,"priority_id":2,"assigned_to_id":23,"start_date":"2016-12-22","description":"","custom_fields":[{"id":1,"name":"Subdivision","value":"EC"},{"id":4,"name":"Milepost","value":"23.3284"},{"id":17,"name":"Train ID","value":"175-22"},{"id":16,"name":"Locomotive ID","value":"4027"},{"id":130,"name":"Impact","value":""},{"id":150,"name":"Time of Event (Mountain Time)","value":"13:39:05"},{"id":151,"name":"Denver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461</v>
      </c>
      <c r="B91" s="7">
        <v>4028</v>
      </c>
      <c r="C91" s="22" t="s">
        <v>205</v>
      </c>
      <c r="D91" s="22" t="s">
        <v>718</v>
      </c>
      <c r="E91" s="13">
        <v>42726.573657407411</v>
      </c>
      <c r="F91" s="13">
        <v>42726.581018518518</v>
      </c>
      <c r="G91" s="7">
        <v>1</v>
      </c>
      <c r="H91" s="22" t="s">
        <v>266</v>
      </c>
      <c r="I91" s="13">
        <v>42726.610636574071</v>
      </c>
      <c r="J91" s="7">
        <v>0</v>
      </c>
      <c r="K91" s="109" t="str">
        <f t="shared" si="34"/>
        <v>4027/4028</v>
      </c>
      <c r="L91" s="22" t="str">
        <f>VLOOKUP(A91,'Trips&amp;Operators'!$C$1:$G$99999,5,FALSE)</f>
        <v>KILLION DAVID</v>
      </c>
      <c r="M91" s="6">
        <f t="shared" si="35"/>
        <v>2.9618055552418809E-2</v>
      </c>
      <c r="N91" s="7">
        <f t="shared" si="36"/>
        <v>42.649999995483086</v>
      </c>
      <c r="O91" s="7"/>
      <c r="P91" s="7"/>
      <c r="Q91" s="23"/>
      <c r="R91" s="23"/>
      <c r="S91" s="35">
        <f t="shared" si="37"/>
        <v>1</v>
      </c>
      <c r="T91" s="50" t="str">
        <f t="shared" si="38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12:46:04-700',mode:absolute,to:'2016-12-22 15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1" s="52" t="str">
        <f t="shared" si="40"/>
        <v>N</v>
      </c>
      <c r="X91" s="177">
        <f t="shared" si="41"/>
        <v>1</v>
      </c>
      <c r="Y91" s="67">
        <f t="shared" si="42"/>
        <v>23.295000000000002</v>
      </c>
      <c r="Z91" s="67">
        <f t="shared" si="43"/>
        <v>1.6E-2</v>
      </c>
      <c r="AA91" s="67">
        <f t="shared" si="44"/>
        <v>23.279000000000003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45"/>
        <v>0176-22</v>
      </c>
      <c r="AE91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91" s="88" t="str">
        <f t="shared" si="47"/>
        <v>"C:\Program Files (x86)\AstroGrep\AstroGrep.exe" /spath="%USERPROFILE%\AppData\Local\Temp\OnboardLogs" /stypes="app*4028*20161222*" /stext=" 21:.+((SYSTEM_STATE.+slice.+state.+changed )|(ment ac)|(multiple cpu faults)|(system.+state.+changed )|(\[timeout)|(PRM\|1\|D)|(kpr)|(kdp)|(\|lc)|(penalty))" /e /r /s</v>
      </c>
      <c r="AG91" s="1" t="str">
        <f t="shared" si="48"/>
        <v>EC</v>
      </c>
      <c r="AH91" s="92" t="str">
        <f t="shared" si="49"/>
        <v>"%USERPROFILE%\Documents\GitHub\eaglep3\Utilities\RefineRTDCRunTimes.py" --tripid 176-22 --locoid 4028 --swversion DE.1.0.8.0 --startMP 204:232950 --initTime 2016-12-22T13:46:04 --startdatetime 2016-12-22T13:56:40 --delay 1 --endMP 204:160 --enddatetime 2016-12-22T14:39:19 --enforcementcount 0 &gt;&gt;C:\Users\stu\Documents\GitHub\eaglep3-reporting\EC\2016-12-22-refined-times.txt</v>
      </c>
      <c r="AI9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{"issue":{"subject":"","project_id":79,"tracker_id":40,"status_id":1,"priority_id":2,"assigned_to_id":23,"start_date":"2016-12-22","description":"","custom_fields":[{"id":1,"name":"Subdivision","value":"EC"},{"id":4,"name":"Milepost","value":"0.016"},{"id":17,"name":"Train ID","value":"176-22"},{"id":16,"name":"Locomotive ID","value":"4028"},{"id":130,"name":"Impact","value":""},{"id":150,"name":"Time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578</v>
      </c>
      <c r="B92" s="7">
        <v>4046</v>
      </c>
      <c r="C92" s="22" t="s">
        <v>205</v>
      </c>
      <c r="D92" s="22" t="s">
        <v>358</v>
      </c>
      <c r="E92" s="13">
        <v>42726.546782407408</v>
      </c>
      <c r="F92" s="13">
        <v>42726.552291666667</v>
      </c>
      <c r="G92" s="7">
        <v>1</v>
      </c>
      <c r="H92" s="22" t="s">
        <v>689</v>
      </c>
      <c r="I92" s="13">
        <v>42726.577187499999</v>
      </c>
      <c r="J92" s="7">
        <v>0</v>
      </c>
      <c r="K92" s="109" t="str">
        <f t="shared" si="34"/>
        <v>4045/4046</v>
      </c>
      <c r="L92" s="22" t="str">
        <f>VLOOKUP(A92,'Trips&amp;Operators'!$C$1:$G$99999,5,FALSE)</f>
        <v>BRUDER RICHARD</v>
      </c>
      <c r="M92" s="6">
        <f t="shared" si="35"/>
        <v>2.4895833332266193E-2</v>
      </c>
      <c r="N92" s="7">
        <f t="shared" si="36"/>
        <v>35.849999998463318</v>
      </c>
      <c r="O92" s="7"/>
      <c r="P92" s="7"/>
      <c r="Q92" s="23"/>
      <c r="R92" s="23"/>
      <c r="S92" s="35">
        <f t="shared" si="37"/>
        <v>1</v>
      </c>
      <c r="T92" s="50" t="str">
        <f t="shared" si="38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12:07:22-700',mode:absolute,to:'2016-12-22 14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2" s="52" t="str">
        <f t="shared" si="40"/>
        <v>N</v>
      </c>
      <c r="X92" s="177">
        <f t="shared" si="41"/>
        <v>1</v>
      </c>
      <c r="Y92" s="67">
        <f t="shared" si="42"/>
        <v>4.6600000000000003E-2</v>
      </c>
      <c r="Z92" s="67">
        <f t="shared" si="43"/>
        <v>23.331700000000001</v>
      </c>
      <c r="AA92" s="67">
        <f t="shared" si="44"/>
        <v>23.2851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45"/>
        <v>0177-22</v>
      </c>
      <c r="AE92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92" s="88" t="str">
        <f t="shared" si="47"/>
        <v>"C:\Program Files (x86)\AstroGrep\AstroGrep.exe" /spath="%USERPROFILE%\AppData\Local\Temp\OnboardLogs" /stypes="app*4046*20161222*" /stext=" 20:.+((SYSTEM_STATE.+slice.+state.+changed )|(ment ac)|(multiple cpu faults)|(system.+state.+changed )|(\[timeout)|(PRM\|1\|D)|(kpr)|(kdp)|(\|lc)|(penalty))" /e /r /s</v>
      </c>
      <c r="AG92" s="1" t="str">
        <f t="shared" si="48"/>
        <v>EC</v>
      </c>
      <c r="AH92" s="92" t="str">
        <f t="shared" si="49"/>
        <v>"%USERPROFILE%\Documents\GitHub\eaglep3\Utilities\RefineRTDCRunTimes.py" --tripid 177-22 --locoid 4046 --swversion DE.1.0.8.0 --startMP 204:466 --initTime 2016-12-22T13:07:22 --startdatetime 2016-12-22T13:15:18 --delay 1 --endMP 204:233317 --enddatetime 2016-12-22T13:51:09 --enforcementcount 0 &gt;&gt;C:\Users\stu\Documents\GitHub\eaglep3-reporting\EC\2016-12-22-refined-times.txt</v>
      </c>
      <c r="AI9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{"issue":{"subject":"","project_id":79,"tracker_id":40,"status_id":1,"priority_id":2,"assigned_to_id":23,"start_date":"2016-12-22","description":"","custom_fields":[{"id":1,"name":"Subdivision","value":"EC"},{"id":4,"name":"Milepost","value":"23.3317"},{"id":17,"name":"Train ID","value":"177-22"},{"id":16,"name":"Locomotive ID","value":"4046"},{"id":130,"name":"Impact","value":""},{"id":150,"name":"Time of Event (Mountain Time)","value":"13:51:09"},{"id":151,"name":"Denver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585</v>
      </c>
      <c r="B93" s="7">
        <v>4045</v>
      </c>
      <c r="C93" s="22" t="s">
        <v>205</v>
      </c>
      <c r="D93" s="22" t="s">
        <v>270</v>
      </c>
      <c r="E93" s="13">
        <v>42726.58556712963</v>
      </c>
      <c r="F93" s="13">
        <v>42726.591226851851</v>
      </c>
      <c r="G93" s="7">
        <v>1</v>
      </c>
      <c r="H93" s="22" t="s">
        <v>272</v>
      </c>
      <c r="I93" s="13">
        <v>42726.61787037037</v>
      </c>
      <c r="J93" s="7">
        <v>0</v>
      </c>
      <c r="K93" s="109" t="str">
        <f t="shared" si="34"/>
        <v>4045/4046</v>
      </c>
      <c r="L93" s="22" t="str">
        <f>VLOOKUP(A93,'Trips&amp;Operators'!$C$1:$G$99999,5,FALSE)</f>
        <v>BRUDER RICHARD</v>
      </c>
      <c r="M93" s="6">
        <f t="shared" si="35"/>
        <v>2.6643518518540077E-2</v>
      </c>
      <c r="N93" s="7">
        <f t="shared" si="36"/>
        <v>38.366666666697711</v>
      </c>
      <c r="O93" s="7"/>
      <c r="P93" s="7"/>
      <c r="Q93" s="23"/>
      <c r="R93" s="23"/>
      <c r="S93" s="35">
        <f t="shared" si="37"/>
        <v>1</v>
      </c>
      <c r="T93" s="50" t="str">
        <f t="shared" si="38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13:03:13-700',mode:absolute,to:'2016-12-22 15:49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3" s="52" t="str">
        <f t="shared" si="40"/>
        <v>N</v>
      </c>
      <c r="X93" s="177">
        <f t="shared" si="41"/>
        <v>1</v>
      </c>
      <c r="Y93" s="67">
        <f t="shared" si="42"/>
        <v>23.298500000000001</v>
      </c>
      <c r="Z93" s="67">
        <f t="shared" si="43"/>
        <v>1.38E-2</v>
      </c>
      <c r="AA93" s="67">
        <f t="shared" si="44"/>
        <v>23.284700000000001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45"/>
        <v>0178-22</v>
      </c>
      <c r="AE93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93" s="88" t="str">
        <f t="shared" si="47"/>
        <v>"C:\Program Files (x86)\AstroGrep\AstroGrep.exe" /spath="%USERPROFILE%\AppData\Local\Temp\OnboardLogs" /stypes="app*4045*20161222*" /stext=" 21:.+((SYSTEM_STATE.+slice.+state.+changed )|(ment ac)|(multiple cpu faults)|(system.+state.+changed )|(\[timeout)|(PRM\|1\|D)|(kpr)|(kdp)|(\|lc)|(penalty))" /e /r /s</v>
      </c>
      <c r="AG93" s="1" t="str">
        <f t="shared" si="48"/>
        <v>EC</v>
      </c>
      <c r="AH93" s="92" t="str">
        <f t="shared" si="49"/>
        <v>"%USERPROFILE%\Documents\GitHub\eaglep3\Utilities\RefineRTDCRunTimes.py" --tripid 178-22 --locoid 4045 --swversion DE.1.0.8.0 --startMP 204:232985 --initTime 2016-12-22T14:03:13 --startdatetime 2016-12-22T14:11:22 --delay 1 --endMP 204:138 --enddatetime 2016-12-22T14:49:44 --enforcementcount 0 &gt;&gt;C:\Users\stu\Documents\GitHub\eaglep3-reporting\EC\2016-12-22-refined-times.txt</v>
      </c>
      <c r="AI9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{"issue":{"subject":"","project_id":79,"tracker_id":40,"status_id":1,"priority_id":2,"assigned_to_id":23,"start_date":"2016-12-22","description":"","custom_fields":[{"id":1,"name":"Subdivision","value":"EC"},{"id":4,"name":"Milepost","value":"0.0138"},{"id":17,"name":"Train ID","value":"178-22"},{"id":16,"name":"Locomotive ID","value":"4045"},{"id":130,"name":"Impact","value":""},{"id":150,"name":"Time of Event (Mountain Time)","value":"14:49:44"},{"id":151,"name":"Denver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7" t="s">
        <v>580</v>
      </c>
      <c r="B94" s="7">
        <v>4016</v>
      </c>
      <c r="C94" s="22" t="s">
        <v>205</v>
      </c>
      <c r="D94" s="22" t="s">
        <v>400</v>
      </c>
      <c r="E94" s="13">
        <v>42726.562245370369</v>
      </c>
      <c r="F94" s="13">
        <v>42726.563715277778</v>
      </c>
      <c r="G94" s="7">
        <v>1</v>
      </c>
      <c r="H94" s="22" t="s">
        <v>292</v>
      </c>
      <c r="I94" s="13">
        <v>42726.590115740742</v>
      </c>
      <c r="J94" s="7">
        <v>0</v>
      </c>
      <c r="K94" s="109" t="str">
        <f t="shared" si="34"/>
        <v>4015/4016</v>
      </c>
      <c r="L94" s="22" t="str">
        <f>VLOOKUP(A94,'Trips&amp;Operators'!$C$1:$G$99999,5,FALSE)</f>
        <v>SMITH MICHAEL</v>
      </c>
      <c r="M94" s="6">
        <f t="shared" si="35"/>
        <v>2.6400462964375038E-2</v>
      </c>
      <c r="N94" s="7">
        <f t="shared" si="36"/>
        <v>38.016666668700054</v>
      </c>
      <c r="O94" s="7"/>
      <c r="P94" s="7"/>
      <c r="Q94" s="23"/>
      <c r="R94" s="23"/>
      <c r="S94" s="35">
        <f t="shared" si="37"/>
        <v>1</v>
      </c>
      <c r="T94" s="50" t="str">
        <f t="shared" si="38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12:29:38-700',mode:absolute,to:'2016-12-22 15:09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52" t="str">
        <f t="shared" si="40"/>
        <v>N</v>
      </c>
      <c r="X94" s="177">
        <f t="shared" si="41"/>
        <v>1</v>
      </c>
      <c r="Y94" s="67">
        <f t="shared" si="42"/>
        <v>4.4600000000000001E-2</v>
      </c>
      <c r="Z94" s="67">
        <f t="shared" si="43"/>
        <v>23.329499999999999</v>
      </c>
      <c r="AA94" s="67">
        <f t="shared" si="44"/>
        <v>23.2849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45"/>
        <v>0179-22</v>
      </c>
      <c r="AE94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94" s="88" t="str">
        <f t="shared" si="47"/>
        <v>"C:\Program Files (x86)\AstroGrep\AstroGrep.exe" /spath="%USERPROFILE%\AppData\Local\Temp\OnboardLogs" /stypes="app*4016*20161222*" /stext=" 21:.+((SYSTEM_STATE.+slice.+state.+changed )|(ment ac)|(multiple cpu faults)|(system.+state.+changed )|(\[timeout)|(PRM\|1\|D)|(kpr)|(kdp)|(\|lc)|(penalty))" /e /r /s</v>
      </c>
      <c r="AG94" s="1" t="str">
        <f t="shared" si="48"/>
        <v>EC</v>
      </c>
      <c r="AH94" s="92" t="str">
        <f t="shared" si="49"/>
        <v>"%USERPROFILE%\Documents\GitHub\eaglep3\Utilities\RefineRTDCRunTimes.py" --tripid 179-22 --locoid 4016 --swversion DE.1.0.8.0 --startMP 204:446 --initTime 2016-12-22T13:29:38 --startdatetime 2016-12-22T13:31:45 --delay 1 --endMP 204:233295 --enddatetime 2016-12-22T14:09:46 --enforcementcount 0 &gt;&gt;C:\Users\stu\Documents\GitHub\eaglep3-reporting\EC\2016-12-22-refined-times.txt</v>
      </c>
      <c r="AI9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{"issue":{"subject":"","project_id":79,"tracker_id":40,"status_id":1,"priority_id":2,"assigned_to_id":23,"start_date":"2016-12-22","description":"","custom_fields":[{"id":1,"name":"Subdivision","value":"EC"},{"id":4,"name":"Milepost","value":"23.3295"},{"id":17,"name":"Train ID","value":"179-22"},{"id":16,"name":"Locomotive ID","value":"4016"},{"id":130,"name":"Impact","value":""},{"id":150,"name":"Time of Event (Mountain Time)","value":"14:09:46"},{"id":151,"name":"Denver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588</v>
      </c>
      <c r="B95" s="7">
        <v>4015</v>
      </c>
      <c r="C95" s="22" t="s">
        <v>205</v>
      </c>
      <c r="D95" s="22" t="s">
        <v>264</v>
      </c>
      <c r="E95" s="13">
        <v>42726.593773148146</v>
      </c>
      <c r="F95" s="13">
        <v>42726.594837962963</v>
      </c>
      <c r="G95" s="7">
        <v>1</v>
      </c>
      <c r="H95" s="22" t="s">
        <v>719</v>
      </c>
      <c r="I95" s="13">
        <v>42726.617627314816</v>
      </c>
      <c r="J95" s="7">
        <v>0</v>
      </c>
      <c r="K95" s="109" t="str">
        <f t="shared" si="34"/>
        <v>4015/4016</v>
      </c>
      <c r="L95" s="22" t="str">
        <f>VLOOKUP(A95,'Trips&amp;Operators'!$C$1:$G$99999,5,FALSE)</f>
        <v>SMITH MICHAEL</v>
      </c>
      <c r="M95" s="6">
        <f t="shared" si="35"/>
        <v>2.2789351853134576E-2</v>
      </c>
      <c r="N95" s="7"/>
      <c r="O95" s="7"/>
      <c r="P95" s="7">
        <f>24*60*SUM($M95:$M96)</f>
        <v>48.683333335211501</v>
      </c>
      <c r="Q95" s="23"/>
      <c r="R95" s="23" t="s">
        <v>862</v>
      </c>
      <c r="S95" s="35">
        <f>SUM(U95:U96)/IF(AG95="EC",12,1)</f>
        <v>0.91666666666666663</v>
      </c>
      <c r="T95" s="50" t="str">
        <f t="shared" si="38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2</v>
      </c>
      <c r="V9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13:15:02-700',mode:absolute,to:'2016-12-22 15:49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5" s="52" t="str">
        <f t="shared" si="40"/>
        <v>Y</v>
      </c>
      <c r="X95" s="177">
        <f t="shared" si="41"/>
        <v>1</v>
      </c>
      <c r="Y95" s="67">
        <f t="shared" si="42"/>
        <v>23.297699999999999</v>
      </c>
      <c r="Z95" s="67">
        <f t="shared" si="43"/>
        <v>7.9329000000000001</v>
      </c>
      <c r="AA95" s="67">
        <f t="shared" si="44"/>
        <v>15.364799999999999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45"/>
        <v>0180-22</v>
      </c>
      <c r="AE95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95" s="88" t="str">
        <f t="shared" si="47"/>
        <v>"C:\Program Files (x86)\AstroGrep\AstroGrep.exe" /spath="%USERPROFILE%\AppData\Local\Temp\OnboardLogs" /stypes="app*4015*20161222*" /stext=" 21:.+((SYSTEM_STATE.+slice.+state.+changed )|(ment ac)|(multiple cpu faults)|(system.+state.+changed )|(\[timeout)|(PRM\|1\|D)|(kpr)|(kdp)|(\|lc)|(penalty))" /e /r /s</v>
      </c>
      <c r="AG95" s="1" t="str">
        <f t="shared" si="48"/>
        <v>EC</v>
      </c>
      <c r="AH95" s="92" t="str">
        <f t="shared" si="49"/>
        <v>"%USERPROFILE%\Documents\GitHub\eaglep3\Utilities\RefineRTDCRunTimes.py" --tripid 180-22 --locoid 4015 --swversion DE.1.0.8.0 --startMP 204:232977 --initTime 2016-12-22T14:15:02 --startdatetime 2016-12-22T14:16:34 --delay 1 --endMP 204:79329 --enddatetime 2016-12-22T14:49:23 --enforcementcount 0 &gt;&gt;C:\Users\stu\Documents\GitHub\eaglep3-reporting\EC\2016-12-22-refined-times.txt</v>
      </c>
      <c r="AI95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failure","project_id":79,"tracker_id":40,"status_id":1,"priority_id":2,"assigned_to_id":23,"start_date":"2016-12-22","description":"","custom_fields":[{"id":1,"name":"Subdivision","value":"EC"},{"id":4,"name":"Milepost","value":"7.9329"},{"id":17,"name":"Train ID","value":"180-22"},{"id":16,"name":"Locomotive ID","value":"4015"},{"id":130,"name":"Impact","value":""},{"id":150,"name":"Time of Event (Mountain Time)","value":"14:49:23"},{"id":151,"name":"Denver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588</v>
      </c>
      <c r="B96" s="7">
        <v>4015</v>
      </c>
      <c r="C96" s="22" t="s">
        <v>205</v>
      </c>
      <c r="D96" s="22" t="s">
        <v>720</v>
      </c>
      <c r="E96" s="13">
        <v>42726.624618055554</v>
      </c>
      <c r="F96" s="13">
        <v>42726.62537037037</v>
      </c>
      <c r="G96" s="7">
        <v>1</v>
      </c>
      <c r="H96" s="22" t="s">
        <v>721</v>
      </c>
      <c r="I96" s="13">
        <v>42726.636388888888</v>
      </c>
      <c r="J96" s="7">
        <v>0</v>
      </c>
      <c r="K96" s="109" t="str">
        <f t="shared" si="34"/>
        <v>4015/4016</v>
      </c>
      <c r="L96" s="22" t="str">
        <f>VLOOKUP(A96,'Trips&amp;Operators'!$C$1:$G$99999,5,FALSE)</f>
        <v>SMITH MICHAEL</v>
      </c>
      <c r="M96" s="6">
        <f t="shared" si="35"/>
        <v>1.1018518518540077E-2</v>
      </c>
      <c r="N96" s="7"/>
      <c r="O96" s="7"/>
      <c r="P96" s="7"/>
      <c r="Q96" s="23"/>
      <c r="R96" s="23"/>
      <c r="S96" s="35"/>
      <c r="T96" s="50" t="str">
        <f t="shared" si="38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9</v>
      </c>
      <c r="V9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13:59:27-700',mode:absolute,to:'2016-12-22 16:16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6" s="52" t="str">
        <f t="shared" si="40"/>
        <v>Y</v>
      </c>
      <c r="X96" s="177">
        <f t="shared" si="41"/>
        <v>0</v>
      </c>
      <c r="Y96" s="67">
        <f t="shared" si="42"/>
        <v>6.4149000000000003</v>
      </c>
      <c r="Z96" s="67">
        <f t="shared" si="43"/>
        <v>1.8100000000000002E-2</v>
      </c>
      <c r="AA96" s="67">
        <f t="shared" si="44"/>
        <v>6.3968000000000007</v>
      </c>
      <c r="AB96" s="64" t="e">
        <f>VLOOKUP(A96,Enforcements!$C$7:$K$19,8,0)</f>
        <v>#N/A</v>
      </c>
      <c r="AC96" s="60" t="e">
        <f>VLOOKUP(A96,Enforcements!$C$7:$E$19,3,0)</f>
        <v>#N/A</v>
      </c>
      <c r="AD96" s="61" t="str">
        <f t="shared" si="45"/>
        <v>0180-22</v>
      </c>
      <c r="AE96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96" s="88" t="str">
        <f t="shared" si="47"/>
        <v>"C:\Program Files (x86)\AstroGrep\AstroGrep.exe" /spath="%USERPROFILE%\AppData\Local\Temp\OnboardLogs" /stypes="app*4015*20161222*" /stext=" 22:.+((SYSTEM_STATE.+slice.+state.+changed )|(ment ac)|(multiple cpu faults)|(system.+state.+changed )|(\[timeout)|(PRM\|1\|D)|(kpr)|(kdp)|(\|lc)|(penalty))" /e /r /s</v>
      </c>
      <c r="AG96" s="1" t="str">
        <f t="shared" si="48"/>
        <v>EC</v>
      </c>
      <c r="AH96" s="92" t="str">
        <f t="shared" si="49"/>
        <v>"%USERPROFILE%\Documents\GitHub\eaglep3\Utilities\RefineRTDCRunTimes.py" --tripid 180-22 --locoid 4015 --swversion DE.1.0.8.0 --startMP 204:64149 --initTime 2016-12-22T14:59:27 --startdatetime 2016-12-22T15:00:32 --delay 1 --endMP 204:181 --enddatetime 2016-12-22T15:16:24 --enforcementcount 0 &gt;&gt;C:\Users\stu\Documents\GitHub\eaglep3-reporting\EC\2016-12-22-refined-times.txt</v>
      </c>
      <c r="AI9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{"issue":{"subject":"","project_id":79,"tracker_id":40,"status_id":1,"priority_id":2,"assigned_to_id":23,"start_date":"2016-12-22","description":"","custom_fields":[{"id":1,"name":"Subdivision","value":"EC"},{"id":4,"name":"Milepost","value":"0.0181"},{"id":17,"name":"Train ID","value":"180-22"},{"id":16,"name":"Locomotive ID","value":"4015"},{"id":130,"name":"Impact","value":""},{"id":150,"name":"Time of Event (Mountain Time)","value":"15:16:24"},{"id":151,"name":"Denver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583</v>
      </c>
      <c r="B97" s="7">
        <v>4029</v>
      </c>
      <c r="C97" s="22" t="s">
        <v>205</v>
      </c>
      <c r="D97" s="22" t="s">
        <v>290</v>
      </c>
      <c r="E97" s="13">
        <v>42726.570891203701</v>
      </c>
      <c r="F97" s="13">
        <v>42726.573217592595</v>
      </c>
      <c r="G97" s="7">
        <v>1</v>
      </c>
      <c r="H97" s="22" t="s">
        <v>293</v>
      </c>
      <c r="I97" s="13">
        <v>42726.59883101852</v>
      </c>
      <c r="J97" s="7">
        <v>0</v>
      </c>
      <c r="K97" s="109" t="str">
        <f t="shared" si="34"/>
        <v>4029/4030</v>
      </c>
      <c r="L97" s="22" t="str">
        <f>VLOOKUP(A97,'Trips&amp;Operators'!$C$1:$G$99999,5,FALSE)</f>
        <v>BARTLETT KIANDRA</v>
      </c>
      <c r="M97" s="6">
        <f t="shared" si="35"/>
        <v>2.5613425925257616E-2</v>
      </c>
      <c r="N97" s="7">
        <f t="shared" si="36"/>
        <v>36.883333332370967</v>
      </c>
      <c r="O97" s="7"/>
      <c r="P97" s="7"/>
      <c r="Q97" s="23"/>
      <c r="R97" s="23"/>
      <c r="S97" s="35">
        <f t="shared" si="37"/>
        <v>1</v>
      </c>
      <c r="T97" s="50" t="str">
        <f t="shared" si="38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12:42:05-700',mode:absolute,to:'2016-12-22 15:22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40"/>
        <v>N</v>
      </c>
      <c r="X97" s="177">
        <f t="shared" si="41"/>
        <v>1</v>
      </c>
      <c r="Y97" s="67">
        <f t="shared" si="42"/>
        <v>4.6899999999999997E-2</v>
      </c>
      <c r="Z97" s="67">
        <f t="shared" si="43"/>
        <v>23.3308</v>
      </c>
      <c r="AA97" s="67">
        <f t="shared" si="44"/>
        <v>23.283899999999999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45"/>
        <v>0181-22</v>
      </c>
      <c r="AE97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97" s="88" t="str">
        <f t="shared" si="47"/>
        <v>"C:\Program Files (x86)\AstroGrep\AstroGrep.exe" /spath="%USERPROFILE%\AppData\Local\Temp\OnboardLogs" /stypes="app*4029*20161222*" /stext=" 21:.+((SYSTEM_STATE.+slice.+state.+changed )|(ment ac)|(multiple cpu faults)|(system.+state.+changed )|(\[timeout)|(PRM\|1\|D)|(kpr)|(kdp)|(\|lc)|(penalty))" /e /r /s</v>
      </c>
      <c r="AG97" s="1" t="str">
        <f t="shared" si="48"/>
        <v>EC</v>
      </c>
      <c r="AH97" s="92" t="str">
        <f t="shared" si="49"/>
        <v>"%USERPROFILE%\Documents\GitHub\eaglep3\Utilities\RefineRTDCRunTimes.py" --tripid 181-22 --locoid 4029 --swversion DE.1.0.8.0 --startMP 204:469 --initTime 2016-12-22T13:42:05 --startdatetime 2016-12-22T13:45:26 --delay 1 --endMP 204:233308 --enddatetime 2016-12-22T14:22:19 --enforcementcount 0 &gt;&gt;C:\Users\stu\Documents\GitHub\eaglep3-reporting\EC\2016-12-22-refined-times.txt</v>
      </c>
      <c r="AI9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ID","value":"181-22"},{"id":16,"name":"Locomotive ID","value":"4029"},{"id":130,"name":"Impact","value":""},{"id":150,"name":"Time of Event (Mountain Time)","value":"14:22:19"},{"id":151,"name":"Denver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590</v>
      </c>
      <c r="B98" s="7">
        <v>4030</v>
      </c>
      <c r="C98" s="22" t="s">
        <v>205</v>
      </c>
      <c r="D98" s="22" t="s">
        <v>345</v>
      </c>
      <c r="E98" s="13">
        <v>42726.601631944446</v>
      </c>
      <c r="F98" s="13">
        <v>42726.602511574078</v>
      </c>
      <c r="G98" s="7">
        <v>1</v>
      </c>
      <c r="H98" s="22" t="s">
        <v>345</v>
      </c>
      <c r="I98" s="13">
        <v>42726.603379629632</v>
      </c>
      <c r="J98" s="7">
        <v>0</v>
      </c>
      <c r="K98" s="109" t="str">
        <f t="shared" si="34"/>
        <v>4029/4030</v>
      </c>
      <c r="L98" s="22" t="str">
        <f>VLOOKUP(A98,'Trips&amp;Operators'!$C$1:$G$99999,5,FALSE)</f>
        <v>BARTLETT KIANDRA</v>
      </c>
      <c r="M98" s="6">
        <f t="shared" si="35"/>
        <v>8.6805555474711582E-4</v>
      </c>
      <c r="N98" s="7"/>
      <c r="O98" s="7"/>
      <c r="P98" s="7">
        <f t="shared" si="36"/>
        <v>1.2499999988358468</v>
      </c>
      <c r="Q98" s="23"/>
      <c r="R98" s="23" t="s">
        <v>862</v>
      </c>
      <c r="S98" s="35">
        <f t="shared" si="37"/>
        <v>0</v>
      </c>
      <c r="T98" s="50" t="str">
        <f t="shared" si="38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0</v>
      </c>
      <c r="V9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13:26:21-700',mode:absolute,to:'2016-12-22 15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40"/>
        <v>Y</v>
      </c>
      <c r="X98" s="177">
        <f t="shared" si="41"/>
        <v>1</v>
      </c>
      <c r="Y98" s="67">
        <f t="shared" si="42"/>
        <v>23.299099999999999</v>
      </c>
      <c r="Z98" s="67">
        <f t="shared" si="43"/>
        <v>23.299099999999999</v>
      </c>
      <c r="AA98" s="67">
        <f t="shared" si="44"/>
        <v>0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45"/>
        <v>0182-22</v>
      </c>
      <c r="AE98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98" s="88" t="str">
        <f t="shared" si="47"/>
        <v>"C:\Program Files (x86)\AstroGrep\AstroGrep.exe" /spath="%USERPROFILE%\AppData\Local\Temp\OnboardLogs" /stypes="app*4030*20161222*" /stext=" 21:.+((SYSTEM_STATE.+slice.+state.+changed )|(ment ac)|(multiple cpu faults)|(system.+state.+changed )|(\[timeout)|(PRM\|1\|D)|(kpr)|(kdp)|(\|lc)|(penalty))" /e /r /s</v>
      </c>
      <c r="AG98" s="1" t="str">
        <f t="shared" si="48"/>
        <v>EC</v>
      </c>
      <c r="AH98" s="92" t="str">
        <f t="shared" si="49"/>
        <v>"%USERPROFILE%\Documents\GitHub\eaglep3\Utilities\RefineRTDCRunTimes.py" --tripid 182-22 --locoid 4030 --swversion DE.1.0.8.0 --startMP 204:232991 --initTime 2016-12-22T14:26:21 --startdatetime 2016-12-22T14:27:37 --delay 1 --endMP 204:232991 --enddatetime 2016-12-22T14:28:52 --enforcementcount 0 &gt;&gt;C:\Users\stu\Documents\GitHub\eaglep3-reporting\EC\2016-12-22-refined-times.txt</v>
      </c>
      <c r="AI98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failure","project_id":79,"tracker_id":40,"status_id":1,"priority_id":2,"assigned_to_id":23,"start_date":"2016-12-22","description":"","custom_fields":[{"id":1,"name":"Subdivision","value":"EC"},{"id":4,"name":"Milepost","value":"23.2991"},{"id":17,"name":"Train ID","value":"182-22"},{"id":16,"name":"Locomotive ID","value":"4030"},{"id":130,"name":"Impact","value":""},{"id":150,"name":"Time of Event (Mountain Time)","value":"14:28:52"},{"id":151,"name":"Denver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7" t="s">
        <v>584</v>
      </c>
      <c r="B99" s="7">
        <v>4018</v>
      </c>
      <c r="C99" s="22" t="s">
        <v>205</v>
      </c>
      <c r="D99" s="22" t="s">
        <v>722</v>
      </c>
      <c r="E99" s="13">
        <v>42726.581377314818</v>
      </c>
      <c r="F99" s="13">
        <v>42726.583541666667</v>
      </c>
      <c r="G99" s="7">
        <v>1</v>
      </c>
      <c r="H99" s="22" t="s">
        <v>397</v>
      </c>
      <c r="I99" s="13">
        <v>42726.607499999998</v>
      </c>
      <c r="J99" s="7">
        <v>0</v>
      </c>
      <c r="K99" s="109" t="str">
        <f t="shared" si="34"/>
        <v>4017/4018</v>
      </c>
      <c r="L99" s="22" t="str">
        <f>VLOOKUP(A99,'Trips&amp;Operators'!$C$1:$G$99999,5,FALSE)</f>
        <v>HELVIE ADAM</v>
      </c>
      <c r="M99" s="6">
        <f t="shared" si="35"/>
        <v>2.3958333331393078E-2</v>
      </c>
      <c r="N99" s="7">
        <f t="shared" si="36"/>
        <v>34.499999997206032</v>
      </c>
      <c r="O99" s="7"/>
      <c r="P99" s="7"/>
      <c r="Q99" s="23"/>
      <c r="R99" s="23"/>
      <c r="S99" s="35">
        <f t="shared" si="37"/>
        <v>1</v>
      </c>
      <c r="T99" s="50" t="str">
        <f t="shared" si="38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12:57:11-700',mode:absolute,to:'2016-12-22 15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9" s="52" t="str">
        <f t="shared" si="40"/>
        <v>N</v>
      </c>
      <c r="X99" s="177">
        <f t="shared" si="41"/>
        <v>1</v>
      </c>
      <c r="Y99" s="67">
        <f t="shared" si="42"/>
        <v>4.2900000000000001E-2</v>
      </c>
      <c r="Z99" s="67">
        <f t="shared" si="43"/>
        <v>23.330300000000001</v>
      </c>
      <c r="AA99" s="67">
        <f t="shared" si="44"/>
        <v>23.287400000000002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45"/>
        <v>0183-22</v>
      </c>
      <c r="AE99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99" s="88" t="str">
        <f t="shared" si="47"/>
        <v>"C:\Program Files (x86)\AstroGrep\AstroGrep.exe" /spath="%USERPROFILE%\AppData\Local\Temp\OnboardLogs" /stypes="app*4018*20161222*" /stext=" 21:.+((SYSTEM_STATE.+slice.+state.+changed )|(ment ac)|(multiple cpu faults)|(system.+state.+changed )|(\[timeout)|(PRM\|1\|D)|(kpr)|(kdp)|(\|lc)|(penalty))" /e /r /s</v>
      </c>
      <c r="AG99" s="1" t="str">
        <f t="shared" si="48"/>
        <v>EC</v>
      </c>
      <c r="AH99" s="92" t="str">
        <f t="shared" si="49"/>
        <v>"%USERPROFILE%\Documents\GitHub\eaglep3\Utilities\RefineRTDCRunTimes.py" --tripid 183-22 --locoid 4018 --swversion DE.1.0.8.0 --startMP 204:429 --initTime 2016-12-22T13:57:11 --startdatetime 2016-12-22T14:00:18 --delay 1 --endMP 204:233303 --enddatetime 2016-12-22T14:34:48 --enforcementcount 0 &gt;&gt;C:\Users\stu\Documents\GitHub\eaglep3-reporting\EC\2016-12-22-refined-times.txt</v>
      </c>
      <c r="AI9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{"issue":{"subject":"","project_id":79,"tracker_id":40,"status_id":1,"priority_id":2,"assigned_to_id":23,"start_date":"2016-12-22","description":"","custom_fields":[{"id":1,"name":"Subdivision","value":"EC"},{"id":4,"name":"Milepost","value":"23.3303"},{"id":17,"name":"Train ID","value":"183-22"},{"id":16,"name":"Locomotive ID","value":"4018"},{"id":130,"name":"Impact","value":""},{"id":150,"name":"Time of Event (Mountain Time)","value":"14:34:48"},{"id":151,"name":"Denver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592</v>
      </c>
      <c r="B100" s="7">
        <v>4017</v>
      </c>
      <c r="C100" s="22" t="s">
        <v>205</v>
      </c>
      <c r="D100" s="22" t="s">
        <v>349</v>
      </c>
      <c r="E100" s="13">
        <v>42726.619780092595</v>
      </c>
      <c r="F100" s="13">
        <v>42726.622407407405</v>
      </c>
      <c r="G100" s="7">
        <v>1</v>
      </c>
      <c r="H100" s="22" t="s">
        <v>265</v>
      </c>
      <c r="I100" s="13">
        <v>42726.648819444446</v>
      </c>
      <c r="J100" s="7">
        <v>0</v>
      </c>
      <c r="K100" s="109" t="str">
        <f t="shared" si="34"/>
        <v>4017/4018</v>
      </c>
      <c r="L100" s="22" t="str">
        <f>VLOOKUP(A100,'Trips&amp;Operators'!$C$1:$G$99999,5,FALSE)</f>
        <v>HELVIE ADAM</v>
      </c>
      <c r="M100" s="6">
        <f t="shared" si="35"/>
        <v>2.641203704115469E-2</v>
      </c>
      <c r="N100" s="7">
        <f t="shared" si="36"/>
        <v>38.033333339262754</v>
      </c>
      <c r="O100" s="7"/>
      <c r="P100" s="7"/>
      <c r="Q100" s="23"/>
      <c r="R100" s="23"/>
      <c r="S100" s="35">
        <f t="shared" si="37"/>
        <v>1</v>
      </c>
      <c r="T100" s="50" t="str">
        <f t="shared" si="38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13:52:29-700',mode:absolute,to:'2016-12-22 16:34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0" s="52" t="str">
        <f t="shared" si="40"/>
        <v>N</v>
      </c>
      <c r="X100" s="177">
        <f t="shared" si="41"/>
        <v>1</v>
      </c>
      <c r="Y100" s="67">
        <f t="shared" si="42"/>
        <v>23.297499999999999</v>
      </c>
      <c r="Z100" s="67">
        <f t="shared" si="43"/>
        <v>1.61E-2</v>
      </c>
      <c r="AA100" s="67">
        <f t="shared" si="44"/>
        <v>23.281399999999998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45"/>
        <v>0184-22</v>
      </c>
      <c r="AE100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00" s="88" t="str">
        <f t="shared" si="47"/>
        <v>"C:\Program Files (x86)\AstroGrep\AstroGrep.exe" /spath="%USERPROFILE%\AppData\Local\Temp\OnboardLogs" /stypes="app*4017*20161222*" /stext=" 22:.+((SYSTEM_STATE.+slice.+state.+changed )|(ment ac)|(multiple cpu faults)|(system.+state.+changed )|(\[timeout)|(PRM\|1\|D)|(kpr)|(kdp)|(\|lc)|(penalty))" /e /r /s</v>
      </c>
      <c r="AG100" s="1" t="str">
        <f t="shared" si="48"/>
        <v>EC</v>
      </c>
      <c r="AH100" s="92" t="str">
        <f t="shared" si="49"/>
        <v>"%USERPROFILE%\Documents\GitHub\eaglep3\Utilities\RefineRTDCRunTimes.py" --tripid 184-22 --locoid 4017 --swversion DE.1.0.8.0 --startMP 204:232975 --initTime 2016-12-22T14:52:29 --startdatetime 2016-12-22T14:56:16 --delay 1 --endMP 204:161 --enddatetime 2016-12-22T15:34:18 --enforcementcount 0 &gt;&gt;C:\Users\stu\Documents\GitHub\eaglep3-reporting\EC\2016-12-22-refined-times.txt</v>
      </c>
      <c r="AI10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{"issue":{"subject":"","project_id":79,"tracker_id":40,"status_id":1,"priority_id":2,"assigned_to_id":23,"start_date":"2016-12-22","description":"","custom_fields":[{"id":1,"name":"Subdivision","value":"EC"},{"id":4,"name":"Milepost","value":"0.0161"},{"id":17,"name":"Train ID","value":"184-22"},{"id":16,"name":"Locomotive ID","value":"4017"},{"id":130,"name":"Impact","value":""},{"id":150,"name":"Time of Event (Mountain Time)","value":"15:34:18"},{"id":151,"name":"Denver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x14ac:dyDescent="0.25">
      <c r="A101" s="37" t="s">
        <v>587</v>
      </c>
      <c r="B101" s="7">
        <v>4020</v>
      </c>
      <c r="C101" s="22" t="s">
        <v>205</v>
      </c>
      <c r="D101" s="22" t="s">
        <v>279</v>
      </c>
      <c r="E101" s="13">
        <v>42726.590821759259</v>
      </c>
      <c r="F101" s="13">
        <v>42726.593900462962</v>
      </c>
      <c r="G101" s="7">
        <v>1</v>
      </c>
      <c r="H101" s="22" t="s">
        <v>352</v>
      </c>
      <c r="I101" s="13">
        <v>42726.618425925924</v>
      </c>
      <c r="J101" s="7">
        <v>0</v>
      </c>
      <c r="K101" s="109" t="str">
        <f t="shared" si="34"/>
        <v>4019/4020</v>
      </c>
      <c r="L101" s="22" t="str">
        <f>VLOOKUP(A101,'Trips&amp;Operators'!$C$1:$G$99999,5,FALSE)</f>
        <v>BRANNON JEFFREY</v>
      </c>
      <c r="M101" s="6">
        <f t="shared" si="35"/>
        <v>2.4525462962628808E-2</v>
      </c>
      <c r="N101" s="7">
        <f t="shared" si="36"/>
        <v>35.316666666185483</v>
      </c>
      <c r="O101" s="7"/>
      <c r="P101" s="7"/>
      <c r="Q101" s="23"/>
      <c r="R101" s="23"/>
      <c r="S101" s="35">
        <f t="shared" si="37"/>
        <v>1</v>
      </c>
      <c r="T101" s="50" t="str">
        <f t="shared" si="38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13:10:47-700',mode:absolute,to:'2016-12-22 15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1" s="52" t="str">
        <f t="shared" si="40"/>
        <v>N</v>
      </c>
      <c r="X101" s="177">
        <f t="shared" si="41"/>
        <v>1</v>
      </c>
      <c r="Y101" s="67">
        <f t="shared" si="42"/>
        <v>4.3999999999999997E-2</v>
      </c>
      <c r="Z101" s="67">
        <f t="shared" si="43"/>
        <v>23.330200000000001</v>
      </c>
      <c r="AA101" s="67">
        <f t="shared" si="44"/>
        <v>23.286200000000001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45"/>
        <v>0185-22</v>
      </c>
      <c r="AE101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01" s="88" t="str">
        <f t="shared" si="47"/>
        <v>"C:\Program Files (x86)\AstroGrep\AstroGrep.exe" /spath="%USERPROFILE%\AppData\Local\Temp\OnboardLogs" /stypes="app*4020*20161222*" /stext=" 21:.+((SYSTEM_STATE.+slice.+state.+changed )|(ment ac)|(multiple cpu faults)|(system.+state.+changed )|(\[timeout)|(PRM\|1\|D)|(kpr)|(kdp)|(\|lc)|(penalty))" /e /r /s</v>
      </c>
      <c r="AG101" s="1" t="str">
        <f t="shared" si="48"/>
        <v>EC</v>
      </c>
      <c r="AH101" s="92" t="str">
        <f t="shared" si="49"/>
        <v>"%USERPROFILE%\Documents\GitHub\eaglep3\Utilities\RefineRTDCRunTimes.py" --tripid 185-22 --locoid 4020 --swversion DE.1.0.8.0 --startMP 204:440 --initTime 2016-12-22T14:10:47 --startdatetime 2016-12-22T14:15:13 --delay 1 --endMP 204:233302 --enddatetime 2016-12-22T14:50:32 --enforcementcount 0 &gt;&gt;C:\Users\stu\Documents\GitHub\eaglep3-reporting\EC\2016-12-22-refined-times.txt</v>
      </c>
      <c r="AI10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ID","value":"185-22"},{"id":16,"name":"Locomotive ID","value":"4020"},{"id":130,"name":"Impact","value":""},{"id":150,"name":"Time of Event (Mountain Time)","value":"14:50:32"},{"id":151,"name":"Denver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</row>
    <row r="102" spans="1:91" s="21" customFormat="1" x14ac:dyDescent="0.25">
      <c r="A102" s="37" t="s">
        <v>593</v>
      </c>
      <c r="B102" s="7">
        <v>4019</v>
      </c>
      <c r="C102" s="22" t="s">
        <v>205</v>
      </c>
      <c r="D102" s="22" t="s">
        <v>345</v>
      </c>
      <c r="E102" s="13">
        <v>42726.622627314813</v>
      </c>
      <c r="F102" s="13">
        <v>42726.632800925923</v>
      </c>
      <c r="G102" s="7">
        <v>1</v>
      </c>
      <c r="H102" s="22" t="s">
        <v>260</v>
      </c>
      <c r="I102" s="13">
        <v>42726.660115740742</v>
      </c>
      <c r="J102" s="7">
        <v>0</v>
      </c>
      <c r="K102" s="109" t="str">
        <f t="shared" si="34"/>
        <v>4019/4020</v>
      </c>
      <c r="L102" s="22" t="str">
        <f>VLOOKUP(A102,'Trips&amp;Operators'!$C$1:$G$99999,5,FALSE)</f>
        <v>BRANNON JEFFREY</v>
      </c>
      <c r="M102" s="6">
        <f t="shared" si="35"/>
        <v>2.7314814818964805E-2</v>
      </c>
      <c r="N102" s="7">
        <f t="shared" si="36"/>
        <v>39.33333333930932</v>
      </c>
      <c r="O102" s="7"/>
      <c r="P102" s="7"/>
      <c r="Q102" s="23"/>
      <c r="R102" s="23"/>
      <c r="S102" s="35">
        <f t="shared" si="37"/>
        <v>1</v>
      </c>
      <c r="T102" s="50" t="str">
        <f t="shared" si="38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13:56:35-700',mode:absolute,to:'2016-12-22 16:50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2" s="52" t="str">
        <f t="shared" si="40"/>
        <v>N</v>
      </c>
      <c r="X102" s="177">
        <f t="shared" si="41"/>
        <v>1</v>
      </c>
      <c r="Y102" s="67">
        <f t="shared" si="42"/>
        <v>23.299099999999999</v>
      </c>
      <c r="Z102" s="67">
        <f t="shared" si="43"/>
        <v>1.47E-2</v>
      </c>
      <c r="AA102" s="67">
        <f t="shared" si="44"/>
        <v>23.284399999999998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45"/>
        <v>0186-22</v>
      </c>
      <c r="AE102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02" s="88" t="str">
        <f t="shared" si="47"/>
        <v>"C:\Program Files (x86)\AstroGrep\AstroGrep.exe" /spath="%USERPROFILE%\AppData\Local\Temp\OnboardLogs" /stypes="app*4019*20161222*" /stext=" 22:.+((SYSTEM_STATE.+slice.+state.+changed )|(ment ac)|(multiple cpu faults)|(system.+state.+changed )|(\[timeout)|(PRM\|1\|D)|(kpr)|(kdp)|(\|lc)|(penalty))" /e /r /s</v>
      </c>
      <c r="AG102" s="1" t="str">
        <f t="shared" si="48"/>
        <v>EC</v>
      </c>
      <c r="AH102" s="92" t="str">
        <f t="shared" si="49"/>
        <v>"%USERPROFILE%\Documents\GitHub\eaglep3\Utilities\RefineRTDCRunTimes.py" --tripid 186-22 --locoid 4019 --swversion DE.1.0.8.0 --startMP 204:232991 --initTime 2016-12-22T14:56:35 --startdatetime 2016-12-22T15:11:14 --delay 1 --endMP 204:147 --enddatetime 2016-12-22T15:50:34 --enforcementcount 0 &gt;&gt;C:\Users\stu\Documents\GitHub\eaglep3-reporting\EC\2016-12-22-refined-times.txt</v>
      </c>
      <c r="AI10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ID","value":"186-22"},{"id":16,"name":"Locomotive ID","value":"4019"},{"id":130,"name":"Impact","value":""},{"id":150,"name":"Time of Event (Mountain Time)","value":"15:50:34"},{"id":151,"name":"Denver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4051</v>
      </c>
      <c r="C103" s="22" t="s">
        <v>205</v>
      </c>
      <c r="D103" s="22" t="s">
        <v>697</v>
      </c>
      <c r="E103" s="13">
        <v>42726.601574074077</v>
      </c>
      <c r="F103" s="13">
        <v>42726.604351851849</v>
      </c>
      <c r="G103" s="7">
        <v>0</v>
      </c>
      <c r="H103" s="22" t="s">
        <v>320</v>
      </c>
      <c r="I103" s="13">
        <v>42726.630601851852</v>
      </c>
      <c r="J103" s="7">
        <v>0</v>
      </c>
      <c r="K103" s="109" t="str">
        <f t="shared" si="34"/>
        <v>4051/4052</v>
      </c>
      <c r="L103" s="22" t="str">
        <f>VLOOKUP(A103,'Trips&amp;Operators'!$C$1:$G$99999,5,FALSE)</f>
        <v>CLARK KATHLEEN</v>
      </c>
      <c r="M103" s="6">
        <f t="shared" si="35"/>
        <v>2.6250000002619345E-2</v>
      </c>
      <c r="N103" s="7">
        <f t="shared" si="36"/>
        <v>37.800000003771856</v>
      </c>
      <c r="O103" s="7"/>
      <c r="P103" s="7"/>
      <c r="Q103" s="23"/>
      <c r="R103" s="23"/>
      <c r="S103" s="35">
        <f t="shared" si="37"/>
        <v>1</v>
      </c>
      <c r="T103" s="50" t="str">
        <f t="shared" si="38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13:26:16-700',mode:absolute,to:'2016-12-22 16:08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3" s="52" t="str">
        <f t="shared" si="40"/>
        <v>N</v>
      </c>
      <c r="X103" s="177">
        <f t="shared" si="41"/>
        <v>1</v>
      </c>
      <c r="Y103" s="67">
        <f t="shared" si="42"/>
        <v>4.7800000000000002E-2</v>
      </c>
      <c r="Z103" s="67">
        <f t="shared" si="43"/>
        <v>23.329699999999999</v>
      </c>
      <c r="AA103" s="67">
        <f t="shared" si="44"/>
        <v>23.2819</v>
      </c>
      <c r="AB103" s="64" t="e">
        <f>VLOOKUP(A103,Enforcements!$C$7:$K$19,8,0)</f>
        <v>#N/A</v>
      </c>
      <c r="AC103" s="60" t="e">
        <f>VLOOKUP(A103,Enforcements!$C$7:$E$19,3,0)</f>
        <v>#N/A</v>
      </c>
      <c r="AD103" s="61" t="str">
        <f t="shared" si="45"/>
        <v>0187-22</v>
      </c>
      <c r="AE103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03" s="88" t="str">
        <f t="shared" si="47"/>
        <v>"C:\Program Files (x86)\AstroGrep\AstroGrep.exe" /spath="%USERPROFILE%\AppData\Local\Temp\OnboardLogs" /stypes="app*4051*20161222*" /stext=" 22:.+((SYSTEM_STATE.+slice.+state.+changed )|(ment ac)|(multiple cpu faults)|(system.+state.+changed )|(\[timeout)|(PRM\|1\|D)|(kpr)|(kdp)|(\|lc)|(penalty))" /e /r /s</v>
      </c>
      <c r="AG103" s="1" t="str">
        <f t="shared" si="48"/>
        <v>EC</v>
      </c>
      <c r="AH103" s="92" t="str">
        <f t="shared" si="49"/>
        <v>"%USERPROFILE%\Documents\GitHub\eaglep3\Utilities\RefineRTDCRunTimes.py" --tripid 187-22 --locoid 4051 --swversion DE.1.0.8.0 --startMP 204:478 --initTime 2016-12-22T14:26:16 --startdatetime 2016-12-22T14:30:16 --delay 0 --endMP 204:233297 --enddatetime 2016-12-22T15:08:04 --enforcementcount 0 &gt;&gt;C:\Users\stu\Documents\GitHub\eaglep3-reporting\EC\2016-12-22-refined-times.txt</v>
      </c>
      <c r="AI10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ID","value":"187-22"},{"id":16,"name":"Locomotive ID","value":"4051"},{"id":130,"name":"Impact","value":""},{"id":150,"name":"Time of Event (Mountain Time)","value":"15:08:04"},{"id":151,"name":"Denver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596</v>
      </c>
      <c r="B104" s="7">
        <v>4052</v>
      </c>
      <c r="C104" s="22" t="s">
        <v>205</v>
      </c>
      <c r="D104" s="22" t="s">
        <v>296</v>
      </c>
      <c r="E104" s="13">
        <v>42726.638425925928</v>
      </c>
      <c r="F104" s="13">
        <v>42726.643229166664</v>
      </c>
      <c r="G104" s="7">
        <v>1</v>
      </c>
      <c r="H104" s="22" t="s">
        <v>721</v>
      </c>
      <c r="I104" s="13">
        <v>42726.674398148149</v>
      </c>
      <c r="J104" s="7">
        <v>0</v>
      </c>
      <c r="K104" s="109" t="str">
        <f t="shared" si="34"/>
        <v>4051/4052</v>
      </c>
      <c r="L104" s="22" t="str">
        <f>VLOOKUP(A104,'Trips&amp;Operators'!$C$1:$G$99999,5,FALSE)</f>
        <v>CLARK KATHLEEN</v>
      </c>
      <c r="M104" s="6">
        <f t="shared" si="35"/>
        <v>3.1168981484370306E-2</v>
      </c>
      <c r="N104" s="7">
        <f t="shared" si="36"/>
        <v>44.883333337493241</v>
      </c>
      <c r="O104" s="7"/>
      <c r="P104" s="7"/>
      <c r="Q104" s="23"/>
      <c r="R104" s="23"/>
      <c r="S104" s="35">
        <f t="shared" si="37"/>
        <v>1</v>
      </c>
      <c r="T104" s="50" t="str">
        <f t="shared" si="38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14:19:20-700',mode:absolute,to:'2016-12-22 17:11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4" s="52" t="str">
        <f t="shared" si="40"/>
        <v>N</v>
      </c>
      <c r="X104" s="177">
        <f t="shared" si="41"/>
        <v>1</v>
      </c>
      <c r="Y104" s="67">
        <f t="shared" si="42"/>
        <v>23.297799999999999</v>
      </c>
      <c r="Z104" s="67">
        <f t="shared" si="43"/>
        <v>1.8100000000000002E-2</v>
      </c>
      <c r="AA104" s="67">
        <f t="shared" si="44"/>
        <v>23.279699999999998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45"/>
        <v>0188-22</v>
      </c>
      <c r="AE104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04" s="88" t="str">
        <f t="shared" si="47"/>
        <v>"C:\Program Files (x86)\AstroGrep\AstroGrep.exe" /spath="%USERPROFILE%\AppData\Local\Temp\OnboardLogs" /stypes="app*4052*20161222*" /stext=" 23:.+((SYSTEM_STATE.+slice.+state.+changed )|(ment ac)|(multiple cpu faults)|(system.+state.+changed )|(\[timeout)|(PRM\|1\|D)|(kpr)|(kdp)|(\|lc)|(penalty))" /e /r /s</v>
      </c>
      <c r="AG104" s="1" t="str">
        <f t="shared" si="48"/>
        <v>EC</v>
      </c>
      <c r="AH104" s="92" t="str">
        <f t="shared" si="49"/>
        <v>"%USERPROFILE%\Documents\GitHub\eaglep3\Utilities\RefineRTDCRunTimes.py" --tripid 188-22 --locoid 4052 --swversion DE.1.0.8.0 --startMP 204:232978 --initTime 2016-12-22T15:19:20 --startdatetime 2016-12-22T15:26:15 --delay 1 --endMP 204:181 --enddatetime 2016-12-22T16:11:08 --enforcementcount 0 &gt;&gt;C:\Users\stu\Documents\GitHub\eaglep3-reporting\EC\2016-12-22-refined-times.txt</v>
      </c>
      <c r="AI10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{"issue":{"subject":"","project_id":79,"tracker_id":40,"status_id":1,"priority_id":2,"assigned_to_id":23,"start_date":"2016-12-22","description":"","custom_fields":[{"id":1,"name":"Subdivision","value":"EC"},{"id":4,"name":"Milepost","value":"0.0181"},{"id":17,"name":"Train ID","value":"188-22"},{"id":16,"name":"Locomotive ID","value":"4052"},{"id":130,"name":"Impact","value":""},{"id":150,"name":"Time of Event (Mountain Time)","value":"16:11:08"},{"id":151,"name":"Denver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462</v>
      </c>
      <c r="B105" s="7">
        <v>4027</v>
      </c>
      <c r="C105" s="22" t="s">
        <v>205</v>
      </c>
      <c r="D105" s="22" t="s">
        <v>263</v>
      </c>
      <c r="E105" s="13">
        <v>42726.612222222226</v>
      </c>
      <c r="F105" s="13">
        <v>42726.614745370367</v>
      </c>
      <c r="G105" s="7">
        <v>1</v>
      </c>
      <c r="H105" s="22" t="s">
        <v>346</v>
      </c>
      <c r="I105" s="13">
        <v>42726.641736111109</v>
      </c>
      <c r="J105" s="7">
        <v>0</v>
      </c>
      <c r="K105" s="109" t="str">
        <f t="shared" si="34"/>
        <v>4027/4028</v>
      </c>
      <c r="L105" s="22" t="str">
        <f>VLOOKUP(A105,'Trips&amp;Operators'!$C$1:$G$99999,5,FALSE)</f>
        <v>KILLION DAVID</v>
      </c>
      <c r="M105" s="6">
        <f t="shared" si="35"/>
        <v>2.6990740741894115E-2</v>
      </c>
      <c r="N105" s="7">
        <f t="shared" si="36"/>
        <v>38.866666668327525</v>
      </c>
      <c r="O105" s="7"/>
      <c r="P105" s="7"/>
      <c r="Q105" s="23"/>
      <c r="R105" s="23"/>
      <c r="S105" s="35">
        <f t="shared" si="37"/>
        <v>1</v>
      </c>
      <c r="T105" s="50" t="str">
        <f t="shared" si="38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5" s="52" t="str">
        <f t="shared" si="40"/>
        <v>N</v>
      </c>
      <c r="X105" s="177">
        <f t="shared" si="41"/>
        <v>1</v>
      </c>
      <c r="Y105" s="67">
        <f t="shared" si="42"/>
        <v>4.6699999999999998E-2</v>
      </c>
      <c r="Z105" s="67">
        <f t="shared" si="43"/>
        <v>23.33</v>
      </c>
      <c r="AA105" s="67">
        <f t="shared" si="44"/>
        <v>23.283299999999997</v>
      </c>
      <c r="AB105" s="64" t="str">
        <f>VLOOKUP(A105,Enforcements!$C$7:$K$19,8,0)</f>
        <v>Bulletin (2)</v>
      </c>
      <c r="AC105" s="60" t="str">
        <f>VLOOKUP(A105,Enforcements!$C$7:$E$19,3,0)</f>
        <v>GRADE CROSSING</v>
      </c>
      <c r="AD105" s="61" t="str">
        <f t="shared" si="45"/>
        <v>0189-22</v>
      </c>
      <c r="AE105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05" s="88" t="str">
        <f t="shared" si="47"/>
        <v>"C:\Program Files (x86)\AstroGrep\AstroGrep.exe" /spath="%USERPROFILE%\AppData\Local\Temp\OnboardLogs" /stypes="app*4027*20161222*" /stext=" 22:.+((SYSTEM_STATE.+slice.+state.+changed )|(ment ac)|(multiple cpu faults)|(system.+state.+changed )|(\[timeout)|(PRM\|1\|D)|(kpr)|(kdp)|(\|lc)|(penalty))" /e /r /s</v>
      </c>
      <c r="AG105" s="1" t="str">
        <f t="shared" si="48"/>
        <v>EC</v>
      </c>
      <c r="AH105" s="92" t="str">
        <f t="shared" si="49"/>
        <v>"%USERPROFILE%\Documents\GitHub\eaglep3\Utilities\RefineRTDCRunTimes.py" --tripid 189-22 --locoid 4027 --swversion DE.1.0.8.0 --startMP 204:467 --initTime 2016-12-22T14:41:36 --startdatetime 2016-12-22T14:45:14 --delay 1 --endMP 204:233300 --enddatetime 2016-12-22T15:24:06 --enforcementcount 0 &gt;&gt;C:\Users\stu\Documents\GitHub\eaglep3-reporting\EC\2016-12-22-refined-times.txt</v>
      </c>
      <c r="AI10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ID","value":"189-22"},{"id":16,"name":"Locomotive ID","value":"4027"},{"id":130,"name":"Impact","value":""},{"id":150,"name":"Time of Event (Mountain Time)","value":"15:24:06"},{"id":151,"name":"Denver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465</v>
      </c>
      <c r="B106" s="7">
        <v>4028</v>
      </c>
      <c r="C106" s="22" t="s">
        <v>205</v>
      </c>
      <c r="D106" s="22" t="s">
        <v>353</v>
      </c>
      <c r="E106" s="13">
        <v>42726.650625000002</v>
      </c>
      <c r="F106" s="13">
        <v>42726.653738425928</v>
      </c>
      <c r="G106" s="7">
        <v>1</v>
      </c>
      <c r="H106" s="22" t="s">
        <v>260</v>
      </c>
      <c r="I106" s="13">
        <v>42726.685555555552</v>
      </c>
      <c r="J106" s="7">
        <v>0</v>
      </c>
      <c r="K106" s="109" t="str">
        <f t="shared" si="34"/>
        <v>4027/4028</v>
      </c>
      <c r="L106" s="22" t="str">
        <f>VLOOKUP(A106,'Trips&amp;Operators'!$C$1:$G$99999,5,FALSE)</f>
        <v>KILLION DAVID</v>
      </c>
      <c r="M106" s="6">
        <f t="shared" si="35"/>
        <v>3.1817129623959772E-2</v>
      </c>
      <c r="N106" s="7">
        <f t="shared" si="36"/>
        <v>45.816666658502072</v>
      </c>
      <c r="O106" s="7"/>
      <c r="P106" s="7"/>
      <c r="Q106" s="23"/>
      <c r="R106" s="23" t="s">
        <v>988</v>
      </c>
      <c r="S106" s="35">
        <f t="shared" si="37"/>
        <v>1</v>
      </c>
      <c r="T106" s="50" t="str">
        <f t="shared" si="38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14:36:54-700',mode:absolute,to:'2016-12-22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6" s="52" t="str">
        <f t="shared" si="40"/>
        <v>N</v>
      </c>
      <c r="X106" s="177">
        <f t="shared" si="41"/>
        <v>1</v>
      </c>
      <c r="Y106" s="67">
        <f t="shared" si="42"/>
        <v>23.297899999999998</v>
      </c>
      <c r="Z106" s="67">
        <f t="shared" si="43"/>
        <v>1.47E-2</v>
      </c>
      <c r="AA106" s="67">
        <f t="shared" si="44"/>
        <v>23.283199999999997</v>
      </c>
      <c r="AB106" s="64" t="str">
        <f>VLOOKUP(A106,Enforcements!$C$7:$K$19,8,0)</f>
        <v>Speed (6)</v>
      </c>
      <c r="AC106" s="60" t="str">
        <f>VLOOKUP(A106,Enforcements!$C$7:$E$19,3,0)</f>
        <v>PERMANENT SPEED RESTRICTION</v>
      </c>
      <c r="AD106" s="61" t="str">
        <f t="shared" si="45"/>
        <v>0190-22</v>
      </c>
      <c r="AE106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06" s="88" t="str">
        <f t="shared" si="47"/>
        <v>"C:\Program Files (x86)\AstroGrep\AstroGrep.exe" /spath="%USERPROFILE%\AppData\Local\Temp\OnboardLogs" /stypes="app*4028*20161222*" /stext=" 23:.+((SYSTEM_STATE.+slice.+state.+changed )|(ment ac)|(multiple cpu faults)|(system.+state.+changed )|(\[timeout)|(PRM\|1\|D)|(kpr)|(kdp)|(\|lc)|(penalty))" /e /r /s</v>
      </c>
      <c r="AG106" s="1" t="str">
        <f t="shared" si="48"/>
        <v>EC</v>
      </c>
      <c r="AH106" s="92" t="str">
        <f t="shared" si="49"/>
        <v>"%USERPROFILE%\Documents\GitHub\eaglep3\Utilities\RefineRTDCRunTimes.py" --tripid 190-22 --locoid 4028 --swversion DE.1.0.8.0 --startMP 204:232979 --initTime 2016-12-22T15:36:54 --startdatetime 2016-12-22T15:41:23 --delay 1 --endMP 204:147 --enddatetime 2016-12-22T16:27:12 --enforcementcount 0 &gt;&gt;C:\Users\stu\Documents\GitHub\eaglep3-reporting\EC\2016-12-22-refined-times.txt</v>
      </c>
      <c r="AI106" s="119" t="str">
        <f t="shared" si="50"/>
        <v>echo {"issue":{"subject":"Onboard in-route failure delayed departure","project_id":79,"tracker_id":40,"status_id":1,"priority_id":2,"assigned_to_id":23,"start_date":"2016-12-22","description":"","custom_fields":[{"id":1,"name":"Subdivision","value":"EC"},{"id":4,"name":"Milepost","value":"0.0147"},{"id":17,"name":"Train ID","value":"190-22"},{"id":16,"name":"Locomotive ID","value":"4028"},{"id":130,"name":"Impact","value":""},{"id":150,"name":"Time of Event (Mountain Time)","value":"16:27:12"},{"id":151,"name":"Denver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x14ac:dyDescent="0.25">
      <c r="A107" s="37" t="s">
        <v>464</v>
      </c>
      <c r="B107" s="7">
        <v>4046</v>
      </c>
      <c r="C107" s="22" t="s">
        <v>205</v>
      </c>
      <c r="D107" s="22" t="s">
        <v>701</v>
      </c>
      <c r="E107" s="13">
        <v>42726.620057870372</v>
      </c>
      <c r="F107" s="13">
        <v>42726.625185185185</v>
      </c>
      <c r="G107" s="7">
        <v>1</v>
      </c>
      <c r="H107" s="22" t="s">
        <v>723</v>
      </c>
      <c r="I107" s="13">
        <v>42726.649305555555</v>
      </c>
      <c r="J107" s="7">
        <v>0</v>
      </c>
      <c r="K107" s="109" t="str">
        <f t="shared" si="34"/>
        <v>4045/4046</v>
      </c>
      <c r="L107" s="22" t="str">
        <f>VLOOKUP(A107,'Trips&amp;Operators'!$C$1:$G$99999,5,FALSE)</f>
        <v>BRUDER RICHARD</v>
      </c>
      <c r="M107" s="6">
        <f t="shared" si="35"/>
        <v>2.4120370369928423E-2</v>
      </c>
      <c r="N107" s="7">
        <f t="shared" si="36"/>
        <v>34.73333333269693</v>
      </c>
      <c r="O107" s="7"/>
      <c r="P107" s="7"/>
      <c r="Q107" s="23"/>
      <c r="R107" s="23"/>
      <c r="S107" s="35">
        <f t="shared" si="37"/>
        <v>1</v>
      </c>
      <c r="T107" s="50" t="str">
        <f t="shared" si="38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13:52:53-700',mode:absolute,to:'2016-12-22 16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7" s="52" t="str">
        <f t="shared" si="40"/>
        <v>N</v>
      </c>
      <c r="X107" s="177">
        <f t="shared" si="41"/>
        <v>1</v>
      </c>
      <c r="Y107" s="67">
        <f t="shared" si="42"/>
        <v>4.5699999999999998E-2</v>
      </c>
      <c r="Z107" s="67">
        <f t="shared" si="43"/>
        <v>23.3249</v>
      </c>
      <c r="AA107" s="67">
        <f t="shared" si="44"/>
        <v>23.279199999999999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45"/>
        <v>0191-22</v>
      </c>
      <c r="AE107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07" s="88" t="str">
        <f t="shared" si="47"/>
        <v>"C:\Program Files (x86)\AstroGrep\AstroGrep.exe" /spath="%USERPROFILE%\AppData\Local\Temp\OnboardLogs" /stypes="app*4046*20161222*" /stext=" 22:.+((SYSTEM_STATE.+slice.+state.+changed )|(ment ac)|(multiple cpu faults)|(system.+state.+changed )|(\[timeout)|(PRM\|1\|D)|(kpr)|(kdp)|(\|lc)|(penalty))" /e /r /s</v>
      </c>
      <c r="AG107" s="1" t="str">
        <f t="shared" si="48"/>
        <v>EC</v>
      </c>
      <c r="AH107" s="92" t="str">
        <f t="shared" si="49"/>
        <v>"%USERPROFILE%\Documents\GitHub\eaglep3\Utilities\RefineRTDCRunTimes.py" --tripid 191-22 --locoid 4046 --swversion DE.1.0.8.0 --startMP 204:457 --initTime 2016-12-22T14:52:53 --startdatetime 2016-12-22T15:00:16 --delay 1 --endMP 204:233249 --enddatetime 2016-12-22T15:35:00 --enforcementcount 0 &gt;&gt;C:\Users\stu\Documents\GitHub\eaglep3-reporting\EC\2016-12-22-refined-times.txt</v>
      </c>
      <c r="AI10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{"issue":{"subject":"","project_id":79,"tracker_id":40,"status_id":1,"priority_id":2,"assigned_to_id":23,"start_date":"2016-12-22","description":"","custom_fields":[{"id":1,"name":"Subdivision","value":"EC"},{"id":4,"name":"Milepost","value":"23.3249"},{"id":17,"name":"Train ID","value":"191-22"},{"id":16,"name":"Locomotive ID","value":"4046"},{"id":130,"name":"Impact","value":""},{"id":150,"name":"Time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</row>
    <row r="108" spans="1:91" s="21" customFormat="1" x14ac:dyDescent="0.25">
      <c r="A108" s="37" t="s">
        <v>601</v>
      </c>
      <c r="B108" s="7">
        <v>4045</v>
      </c>
      <c r="C108" s="22" t="s">
        <v>205</v>
      </c>
      <c r="D108" s="22" t="s">
        <v>724</v>
      </c>
      <c r="E108" s="13">
        <v>42726.659062500003</v>
      </c>
      <c r="F108" s="13">
        <v>42726.664375</v>
      </c>
      <c r="G108" s="7">
        <v>1</v>
      </c>
      <c r="H108" s="22" t="s">
        <v>224</v>
      </c>
      <c r="I108" s="13">
        <v>42726.691041666665</v>
      </c>
      <c r="J108" s="7">
        <v>0</v>
      </c>
      <c r="K108" s="109" t="str">
        <f t="shared" si="34"/>
        <v>4045/4046</v>
      </c>
      <c r="L108" s="22" t="str">
        <f>VLOOKUP(A108,'Trips&amp;Operators'!$C$1:$G$99999,5,FALSE)</f>
        <v>BRUDER RICHARD</v>
      </c>
      <c r="M108" s="6">
        <f t="shared" si="35"/>
        <v>2.6666666664823424E-2</v>
      </c>
      <c r="N108" s="7">
        <f t="shared" si="36"/>
        <v>38.399999997345731</v>
      </c>
      <c r="O108" s="7"/>
      <c r="P108" s="7"/>
      <c r="Q108" s="23"/>
      <c r="R108" s="23"/>
      <c r="S108" s="35">
        <f t="shared" si="37"/>
        <v>1</v>
      </c>
      <c r="T108" s="50" t="str">
        <f t="shared" si="38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14:49:03-700',mode:absolute,to:'2016-12-22 17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8" s="52" t="str">
        <f t="shared" si="40"/>
        <v>N</v>
      </c>
      <c r="X108" s="177">
        <f t="shared" si="41"/>
        <v>1</v>
      </c>
      <c r="Y108" s="67">
        <f t="shared" si="42"/>
        <v>23.2925</v>
      </c>
      <c r="Z108" s="67">
        <f t="shared" si="43"/>
        <v>1.54E-2</v>
      </c>
      <c r="AA108" s="67">
        <f t="shared" si="44"/>
        <v>23.277100000000001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45"/>
        <v>0192-22</v>
      </c>
      <c r="AE108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08" s="88" t="str">
        <f t="shared" si="47"/>
        <v>"C:\Program Files (x86)\AstroGrep\AstroGrep.exe" /spath="%USERPROFILE%\AppData\Local\Temp\OnboardLogs" /stypes="app*4045*20161222*" /stext=" 23:.+((SYSTEM_STATE.+slice.+state.+changed )|(ment ac)|(multiple cpu faults)|(system.+state.+changed )|(\[timeout)|(PRM\|1\|D)|(kpr)|(kdp)|(\|lc)|(penalty))" /e /r /s</v>
      </c>
      <c r="AG108" s="1" t="str">
        <f t="shared" si="48"/>
        <v>EC</v>
      </c>
      <c r="AH108" s="92" t="str">
        <f t="shared" si="49"/>
        <v>"%USERPROFILE%\Documents\GitHub\eaglep3\Utilities\RefineRTDCRunTimes.py" --tripid 192-22 --locoid 4045 --swversion DE.1.0.8.0 --startMP 204:232925 --initTime 2016-12-22T15:49:03 --startdatetime 2016-12-22T15:56:42 --delay 1 --endMP 204:154 --enddatetime 2016-12-22T16:35:06 --enforcementcount 0 &gt;&gt;C:\Users\stu\Documents\GitHub\eaglep3-reporting\EC\2016-12-22-refined-times.txt</v>
      </c>
      <c r="AI10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ID","value":"192-22"},{"id":16,"name":"Locomotive ID","value":"4045"},{"id":130,"name":"Impact","value":""},{"id":150,"name":"Time of Event (Mountain Time)","value":"16:35:06"},{"id":151,"name":"Denver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595</v>
      </c>
      <c r="B109" s="7">
        <v>4016</v>
      </c>
      <c r="C109" s="22" t="s">
        <v>205</v>
      </c>
      <c r="D109" s="22" t="s">
        <v>242</v>
      </c>
      <c r="E109" s="13">
        <v>42726.637361111112</v>
      </c>
      <c r="F109" s="13">
        <v>42726.638993055552</v>
      </c>
      <c r="G109" s="7">
        <v>1</v>
      </c>
      <c r="H109" s="22" t="s">
        <v>281</v>
      </c>
      <c r="I109" s="13">
        <v>42726.663958333331</v>
      </c>
      <c r="J109" s="7">
        <v>0</v>
      </c>
      <c r="K109" s="109" t="str">
        <f t="shared" si="34"/>
        <v>4015/4016</v>
      </c>
      <c r="L109" s="22" t="str">
        <f>VLOOKUP(A109,'Trips&amp;Operators'!$C$1:$G$99999,5,FALSE)</f>
        <v>SMITH MICHAEL</v>
      </c>
      <c r="M109" s="6">
        <f t="shared" si="35"/>
        <v>2.4965277778392192E-2</v>
      </c>
      <c r="N109" s="7">
        <f t="shared" si="36"/>
        <v>35.950000000884756</v>
      </c>
      <c r="O109" s="7"/>
      <c r="P109" s="7"/>
      <c r="Q109" s="23"/>
      <c r="R109" s="23"/>
      <c r="S109" s="35">
        <f t="shared" si="37"/>
        <v>1</v>
      </c>
      <c r="T109" s="50" t="str">
        <f t="shared" si="38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14:17:48-700',mode:absolute,to:'2016-12-22 16:56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9" s="52" t="str">
        <f t="shared" si="40"/>
        <v>N</v>
      </c>
      <c r="X109" s="177">
        <f t="shared" si="41"/>
        <v>1</v>
      </c>
      <c r="Y109" s="67">
        <f t="shared" si="42"/>
        <v>4.58E-2</v>
      </c>
      <c r="Z109" s="67">
        <f t="shared" si="43"/>
        <v>23.329799999999999</v>
      </c>
      <c r="AA109" s="67">
        <f t="shared" si="44"/>
        <v>23.283999999999999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45"/>
        <v>0193-22</v>
      </c>
      <c r="AE109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109" s="88" t="str">
        <f t="shared" si="47"/>
        <v>"C:\Program Files (x86)\AstroGrep\AstroGrep.exe" /spath="%USERPROFILE%\AppData\Local\Temp\OnboardLogs" /stypes="app*4016*20161222*" /stext=" 22:.+((SYSTEM_STATE.+slice.+state.+changed )|(ment ac)|(multiple cpu faults)|(system.+state.+changed )|(\[timeout)|(PRM\|1\|D)|(kpr)|(kdp)|(\|lc)|(penalty))" /e /r /s</v>
      </c>
      <c r="AG109" s="1" t="str">
        <f t="shared" si="48"/>
        <v>EC</v>
      </c>
      <c r="AH109" s="92" t="str">
        <f t="shared" si="49"/>
        <v>"%USERPROFILE%\Documents\GitHub\eaglep3\Utilities\RefineRTDCRunTimes.py" --tripid 193-22 --locoid 4016 --swversion DE.1.0.8.0 --startMP 204:458 --initTime 2016-12-22T15:17:48 --startdatetime 2016-12-22T15:20:09 --delay 1 --endMP 204:233298 --enddatetime 2016-12-22T15:56:06 --enforcementcount 0 &gt;&gt;C:\Users\stu\Documents\GitHub\eaglep3-reporting\EC\2016-12-22-refined-times.txt</v>
      </c>
      <c r="AI10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ID","value":"193-22"},{"id":16,"name":"Locomotive ID","value":"4016"},{"id":130,"name":"Impact","value":""},{"id":150,"name":"Time of Event (Mountain Time)","value":"15:56:06"},{"id":151,"name":"Denver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603</v>
      </c>
      <c r="B110" s="7">
        <v>4015</v>
      </c>
      <c r="C110" s="22" t="s">
        <v>205</v>
      </c>
      <c r="D110" s="22" t="s">
        <v>295</v>
      </c>
      <c r="E110" s="13">
        <v>42726.66609953704</v>
      </c>
      <c r="F110" s="13">
        <v>42726.674583333333</v>
      </c>
      <c r="G110" s="7">
        <v>1</v>
      </c>
      <c r="H110" s="22" t="s">
        <v>395</v>
      </c>
      <c r="I110" s="13">
        <v>42726.702557870369</v>
      </c>
      <c r="J110" s="7">
        <v>0</v>
      </c>
      <c r="K110" s="109" t="str">
        <f t="shared" si="34"/>
        <v>4015/4016</v>
      </c>
      <c r="L110" s="22" t="str">
        <f>VLOOKUP(A110,'Trips&amp;Operators'!$C$1:$G$99999,5,FALSE)</f>
        <v>SMITH MICHAEL</v>
      </c>
      <c r="M110" s="6">
        <f t="shared" si="35"/>
        <v>2.7974537035333924E-2</v>
      </c>
      <c r="N110" s="7">
        <f t="shared" si="36"/>
        <v>40.283333330880851</v>
      </c>
      <c r="O110" s="7"/>
      <c r="P110" s="7"/>
      <c r="Q110" s="23"/>
      <c r="R110" s="23"/>
      <c r="S110" s="35">
        <f t="shared" si="37"/>
        <v>1</v>
      </c>
      <c r="T110" s="50" t="str">
        <f t="shared" si="38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14:59:11-700',mode:absolute,to:'2016-12-22 17:51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0" s="52" t="str">
        <f t="shared" si="40"/>
        <v>N</v>
      </c>
      <c r="X110" s="177">
        <f t="shared" si="41"/>
        <v>1</v>
      </c>
      <c r="Y110" s="67">
        <f t="shared" si="42"/>
        <v>23.2972</v>
      </c>
      <c r="Z110" s="67">
        <f t="shared" si="43"/>
        <v>1.5800000000000002E-2</v>
      </c>
      <c r="AA110" s="67">
        <f t="shared" si="44"/>
        <v>23.281400000000001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45"/>
        <v>0194-22</v>
      </c>
      <c r="AE110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110" s="88" t="str">
        <f t="shared" si="47"/>
        <v>"C:\Program Files (x86)\AstroGrep\AstroGrep.exe" /spath="%USERPROFILE%\AppData\Local\Temp\OnboardLogs" /stypes="app*4015*20161222*" /stext=" 23:.+((SYSTEM_STATE.+slice.+state.+changed )|(ment ac)|(multiple cpu faults)|(system.+state.+changed )|(\[timeout)|(PRM\|1\|D)|(kpr)|(kdp)|(\|lc)|(penalty))" /e /r /s</v>
      </c>
      <c r="AG110" s="1" t="str">
        <f t="shared" si="48"/>
        <v>EC</v>
      </c>
      <c r="AH110" s="92" t="str">
        <f t="shared" si="49"/>
        <v>"%USERPROFILE%\Documents\GitHub\eaglep3\Utilities\RefineRTDCRunTimes.py" --tripid 194-22 --locoid 4015 --swversion DE.1.0.8.0 --startMP 204:232972 --initTime 2016-12-22T15:59:11 --startdatetime 2016-12-22T16:11:24 --delay 1 --endMP 204:158 --enddatetime 2016-12-22T16:51:41 --enforcementcount 0 &gt;&gt;C:\Users\stu\Documents\GitHub\eaglep3-reporting\EC\2016-12-22-refined-times.txt</v>
      </c>
      <c r="AI11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ID","value":"194-22"},{"id":16,"name":"Locomotive ID","value":"4015"},{"id":130,"name":"Impact","value":""},{"id":150,"name":"Time of Event (Mountain Time)","value":"16:51:41"},{"id":151,"name":"Denver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467</v>
      </c>
      <c r="B111" s="7">
        <v>4009</v>
      </c>
      <c r="C111" s="22" t="s">
        <v>205</v>
      </c>
      <c r="D111" s="22" t="s">
        <v>255</v>
      </c>
      <c r="E111" s="13">
        <v>42726.630057870374</v>
      </c>
      <c r="F111" s="13">
        <v>42726.651122685187</v>
      </c>
      <c r="G111" s="7">
        <v>29</v>
      </c>
      <c r="H111" s="22" t="s">
        <v>725</v>
      </c>
      <c r="I111" s="13">
        <v>42726.678888888891</v>
      </c>
      <c r="J111" s="7">
        <v>0</v>
      </c>
      <c r="K111" s="109" t="str">
        <f t="shared" si="34"/>
        <v>4009/4010</v>
      </c>
      <c r="L111" s="22" t="str">
        <f>VLOOKUP(A111,'Trips&amp;Operators'!$C$1:$G$99999,5,FALSE)</f>
        <v>BARTLETT KIANDRA</v>
      </c>
      <c r="M111" s="6">
        <f t="shared" si="35"/>
        <v>2.7766203704231884E-2</v>
      </c>
      <c r="N111" s="7">
        <f t="shared" si="36"/>
        <v>39.983333334093913</v>
      </c>
      <c r="O111" s="7"/>
      <c r="P111" s="7"/>
      <c r="Q111" s="23"/>
      <c r="R111" s="23"/>
      <c r="S111" s="35">
        <f t="shared" si="37"/>
        <v>1</v>
      </c>
      <c r="T111" s="50" t="str">
        <f t="shared" si="38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14:07:17-700',mode:absolute,to:'2016-12-22 17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1" s="52" t="str">
        <f t="shared" si="40"/>
        <v>N</v>
      </c>
      <c r="X111" s="177">
        <f t="shared" si="41"/>
        <v>1</v>
      </c>
      <c r="Y111" s="67">
        <f t="shared" si="42"/>
        <v>4.6399999999999997E-2</v>
      </c>
      <c r="Z111" s="67">
        <f t="shared" si="43"/>
        <v>23.336300000000001</v>
      </c>
      <c r="AA111" s="67">
        <f t="shared" si="44"/>
        <v>23.289900000000003</v>
      </c>
      <c r="AB111" s="64" t="str">
        <f>VLOOKUP(A111,Enforcements!$C$7:$K$19,8,0)</f>
        <v>Speed (6)</v>
      </c>
      <c r="AC111" s="60" t="str">
        <f>VLOOKUP(A111,Enforcements!$C$7:$E$19,3,0)</f>
        <v>PERMANENT SPEED RESTRICTION</v>
      </c>
      <c r="AD111" s="61" t="str">
        <f t="shared" si="45"/>
        <v>0195-22</v>
      </c>
      <c r="AE111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11" s="88" t="str">
        <f t="shared" si="47"/>
        <v>"C:\Program Files (x86)\AstroGrep\AstroGrep.exe" /spath="%USERPROFILE%\AppData\Local\Temp\OnboardLogs" /stypes="app*4009*20161222*" /stext=" 23:.+((SYSTEM_STATE.+slice.+state.+changed )|(ment ac)|(multiple cpu faults)|(system.+state.+changed )|(\[timeout)|(PRM\|1\|D)|(kpr)|(kdp)|(\|lc)|(penalty))" /e /r /s</v>
      </c>
      <c r="AG111" s="1" t="str">
        <f t="shared" si="48"/>
        <v>EC</v>
      </c>
      <c r="AH111" s="92" t="str">
        <f t="shared" si="49"/>
        <v>"%USERPROFILE%\Documents\GitHub\eaglep3\Utilities\RefineRTDCRunTimes.py" --tripid 195-22 --locoid 4009 --swversion DE.1.0.8.0 --startMP 204:464 --initTime 2016-12-22T15:07:17 --startdatetime 2016-12-22T15:37:37 --delay 29 --endMP 204:233363 --enddatetime 2016-12-22T16:17:36 --enforcementcount 0 &gt;&gt;C:\Users\stu\Documents\GitHub\eaglep3-reporting\EC\2016-12-22-refined-times.txt</v>
      </c>
      <c r="AI11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{"issue":{"subject":"","project_id":79,"tracker_id":40,"status_id":1,"priority_id":2,"assigned_to_id":23,"start_date":"2016-12-22","description":"","custom_fields":[{"id":1,"name":"Subdivision","value":"EC"},{"id":4,"name":"Milepost","value":"23.3363"},{"id":17,"name":"Train ID","value":"195-22"},{"id":16,"name":"Locomotive ID","value":"4009"},{"id":130,"name":"Impact","value":""},{"id":150,"name":"Time of Event (Mountain Time)","value":"16:17:36"},{"id":151,"name":"Denver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606</v>
      </c>
      <c r="B112" s="7">
        <v>4010</v>
      </c>
      <c r="C112" s="22" t="s">
        <v>205</v>
      </c>
      <c r="D112" s="22" t="s">
        <v>726</v>
      </c>
      <c r="E112" s="13">
        <v>42726.683576388888</v>
      </c>
      <c r="F112" s="13">
        <v>42726.685150462959</v>
      </c>
      <c r="G112" s="7">
        <v>1</v>
      </c>
      <c r="H112" s="22" t="s">
        <v>244</v>
      </c>
      <c r="I112" s="13">
        <v>42726.71130787037</v>
      </c>
      <c r="J112" s="7">
        <v>0</v>
      </c>
      <c r="K112" s="109" t="str">
        <f t="shared" si="34"/>
        <v>4009/4010</v>
      </c>
      <c r="L112" s="22" t="str">
        <f>VLOOKUP(A112,'Trips&amp;Operators'!$C$1:$G$99999,5,FALSE)</f>
        <v>BARTLETT KIANDRA</v>
      </c>
      <c r="M112" s="6">
        <f t="shared" si="35"/>
        <v>2.6157407410209998E-2</v>
      </c>
      <c r="N112" s="7">
        <f t="shared" si="36"/>
        <v>37.666666670702398</v>
      </c>
      <c r="O112" s="7"/>
      <c r="P112" s="7"/>
      <c r="Q112" s="23"/>
      <c r="R112" s="23"/>
      <c r="S112" s="35">
        <f t="shared" si="37"/>
        <v>1</v>
      </c>
      <c r="T112" s="50" t="str">
        <f t="shared" si="38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15:24:21-700',mode:absolute,to:'2016-12-22 18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2" s="52" t="str">
        <f t="shared" si="40"/>
        <v>N</v>
      </c>
      <c r="X112" s="177">
        <f t="shared" si="41"/>
        <v>1</v>
      </c>
      <c r="Y112" s="67">
        <f t="shared" si="42"/>
        <v>23.306799999999999</v>
      </c>
      <c r="Z112" s="67">
        <f t="shared" si="43"/>
        <v>1.6299999999999999E-2</v>
      </c>
      <c r="AA112" s="67">
        <f t="shared" si="44"/>
        <v>23.290499999999998</v>
      </c>
      <c r="AB112" s="64" t="e">
        <f>VLOOKUP(A112,Enforcements!$C$7:$K$19,8,0)</f>
        <v>#N/A</v>
      </c>
      <c r="AC112" s="60" t="e">
        <f>VLOOKUP(A112,Enforcements!$C$7:$E$19,3,0)</f>
        <v>#N/A</v>
      </c>
      <c r="AD112" s="61" t="str">
        <f t="shared" si="45"/>
        <v>0196-22</v>
      </c>
      <c r="AE112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12" s="88" t="str">
        <f t="shared" si="47"/>
        <v>"C:\Program Files (x86)\AstroGrep\AstroGrep.exe" /spath="%USERPROFILE%\AppData\Local\Temp\OnboardLogs" /stypes="app*4010*20161223*" /stext=" 00:.+((SYSTEM_STATE.+slice.+state.+changed )|(ment ac)|(multiple cpu faults)|(system.+state.+changed )|(\[timeout)|(PRM\|1\|D)|(kpr)|(kdp)|(\|lc)|(penalty))" /e /r /s</v>
      </c>
      <c r="AG112" s="1" t="str">
        <f t="shared" si="48"/>
        <v>EC</v>
      </c>
      <c r="AH112" s="92" t="str">
        <f t="shared" si="49"/>
        <v>"%USERPROFILE%\Documents\GitHub\eaglep3\Utilities\RefineRTDCRunTimes.py" --tripid 196-22 --locoid 4010 --swversion DE.1.0.8.0 --startMP 204:233068 --initTime 2016-12-22T16:24:21 --startdatetime 2016-12-22T16:26:37 --delay 1 --endMP 204:163 --enddatetime 2016-12-22T17:04:17 --enforcementcount 0 &gt;&gt;C:\Users\stu\Documents\GitHub\eaglep3-reporting\EC\2016-12-22-refined-times.txt</v>
      </c>
      <c r="AI11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ID","value":"196-22"},{"id":16,"name":"Locomotive ID","value":"4010"},{"id":130,"name":"Impact","value":""},{"id":150,"name":"Time of Event (Mountain Time)","value":"17:04:17"},{"id":151,"name":"Denver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598</v>
      </c>
      <c r="B113" s="7">
        <v>4018</v>
      </c>
      <c r="C113" s="22" t="s">
        <v>205</v>
      </c>
      <c r="D113" s="22" t="s">
        <v>289</v>
      </c>
      <c r="E113" s="13">
        <v>42726.651678240742</v>
      </c>
      <c r="F113" s="13">
        <v>42726.6565625</v>
      </c>
      <c r="G113" s="7">
        <v>1</v>
      </c>
      <c r="H113" s="22" t="s">
        <v>690</v>
      </c>
      <c r="I113" s="13">
        <v>42726.682650462964</v>
      </c>
      <c r="J113" s="7">
        <v>0</v>
      </c>
      <c r="K113" s="109" t="str">
        <f t="shared" si="34"/>
        <v>4017/4018</v>
      </c>
      <c r="L113" s="22" t="str">
        <f>VLOOKUP(A113,'Trips&amp;Operators'!$C$1:$G$99999,5,FALSE)</f>
        <v>STRICKLAND EVAN</v>
      </c>
      <c r="M113" s="6">
        <f t="shared" si="35"/>
        <v>2.6087962964083999E-2</v>
      </c>
      <c r="N113" s="7">
        <f t="shared" si="36"/>
        <v>37.566666668280959</v>
      </c>
      <c r="O113" s="7"/>
      <c r="P113" s="7"/>
      <c r="Q113" s="23"/>
      <c r="R113" s="23"/>
      <c r="S113" s="35">
        <f t="shared" si="37"/>
        <v>1</v>
      </c>
      <c r="T113" s="50" t="str">
        <f t="shared" si="38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14:38:25-700',mode:absolute,to:'2016-12-22 17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3" s="52" t="str">
        <f t="shared" si="40"/>
        <v>N</v>
      </c>
      <c r="X113" s="177">
        <f t="shared" si="41"/>
        <v>1</v>
      </c>
      <c r="Y113" s="67">
        <f t="shared" si="42"/>
        <v>4.4900000000000002E-2</v>
      </c>
      <c r="Z113" s="67">
        <f t="shared" si="43"/>
        <v>23.328600000000002</v>
      </c>
      <c r="AA113" s="67">
        <f t="shared" si="44"/>
        <v>23.283700000000003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45"/>
        <v>0197-22</v>
      </c>
      <c r="AE113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113" s="88" t="str">
        <f t="shared" si="47"/>
        <v>"C:\Program Files (x86)\AstroGrep\AstroGrep.exe" /spath="%USERPROFILE%\AppData\Local\Temp\OnboardLogs" /stypes="app*4018*20161222*" /stext=" 23:.+((SYSTEM_STATE.+slice.+state.+changed )|(ment ac)|(multiple cpu faults)|(system.+state.+changed )|(\[timeout)|(PRM\|1\|D)|(kpr)|(kdp)|(\|lc)|(penalty))" /e /r /s</v>
      </c>
      <c r="AG113" s="1" t="str">
        <f t="shared" si="48"/>
        <v>EC</v>
      </c>
      <c r="AH113" s="92" t="str">
        <f t="shared" si="49"/>
        <v>"%USERPROFILE%\Documents\GitHub\eaglep3\Utilities\RefineRTDCRunTimes.py" --tripid 197-22 --locoid 4018 --swversion DE.1.0.8.0 --startMP 204:449 --initTime 2016-12-22T15:38:25 --startdatetime 2016-12-22T15:45:27 --delay 1 --endMP 204:233286 --enddatetime 2016-12-22T16:23:01 --enforcementcount 0 &gt;&gt;C:\Users\stu\Documents\GitHub\eaglep3-reporting\EC\2016-12-22-refined-times.txt</v>
      </c>
      <c r="AI11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{"issue":{"subject":"","project_id":79,"tracker_id":40,"status_id":1,"priority_id":2,"assigned_to_id":23,"start_date":"2016-12-22","description":"","custom_fields":[{"id":1,"name":"Subdivision","value":"EC"},{"id":4,"name":"Milepost","value":"23.3286"},{"id":17,"name":"Train ID","value":"197-22"},{"id":16,"name":"Locomotive ID","value":"4018"},{"id":130,"name":"Impact","value":""},{"id":150,"name":"Time of Event (Mountain Time)","value":"16:23:01"},{"id":151,"name":"Denver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608</v>
      </c>
      <c r="B114" s="7">
        <v>4017</v>
      </c>
      <c r="C114" s="22" t="s">
        <v>205</v>
      </c>
      <c r="D114" s="22" t="s">
        <v>396</v>
      </c>
      <c r="E114" s="13">
        <v>42726.688692129632</v>
      </c>
      <c r="F114" s="13">
        <v>42726.695300925923</v>
      </c>
      <c r="G114" s="7">
        <v>1</v>
      </c>
      <c r="H114" s="22" t="s">
        <v>191</v>
      </c>
      <c r="I114" s="13">
        <v>42726.72415509259</v>
      </c>
      <c r="J114" s="7">
        <v>0</v>
      </c>
      <c r="K114" s="109" t="str">
        <f t="shared" si="34"/>
        <v>4017/4018</v>
      </c>
      <c r="L114" s="22" t="str">
        <f>VLOOKUP(A114,'Trips&amp;Operators'!$C$1:$G$99999,5,FALSE)</f>
        <v>STRICKLAND EVAN</v>
      </c>
      <c r="M114" s="6">
        <f t="shared" si="35"/>
        <v>2.8854166666860692E-2</v>
      </c>
      <c r="N114" s="7">
        <f t="shared" si="36"/>
        <v>41.550000000279397</v>
      </c>
      <c r="O114" s="7"/>
      <c r="P114" s="7"/>
      <c r="Q114" s="23"/>
      <c r="R114" s="23"/>
      <c r="S114" s="35">
        <f t="shared" si="37"/>
        <v>1</v>
      </c>
      <c r="T114" s="50" t="str">
        <f t="shared" si="38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15:31:43-700',mode:absolute,to:'2016-12-22 18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4" s="52" t="str">
        <f t="shared" si="40"/>
        <v>N</v>
      </c>
      <c r="X114" s="177">
        <f t="shared" si="41"/>
        <v>1</v>
      </c>
      <c r="Y114" s="67">
        <f t="shared" si="42"/>
        <v>23.299800000000001</v>
      </c>
      <c r="Z114" s="67">
        <f t="shared" si="43"/>
        <v>1.49E-2</v>
      </c>
      <c r="AA114" s="67">
        <f t="shared" si="44"/>
        <v>23.2849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45"/>
        <v>0198-22</v>
      </c>
      <c r="AE114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14" s="88" t="str">
        <f t="shared" si="47"/>
        <v>"C:\Program Files (x86)\AstroGrep\AstroGrep.exe" /spath="%USERPROFILE%\AppData\Local\Temp\OnboardLogs" /stypes="app*4017*20161223*" /stext=" 00:.+((SYSTEM_STATE.+slice.+state.+changed )|(ment ac)|(multiple cpu faults)|(system.+state.+changed )|(\[timeout)|(PRM\|1\|D)|(kpr)|(kdp)|(\|lc)|(penalty))" /e /r /s</v>
      </c>
      <c r="AG114" s="1" t="str">
        <f t="shared" si="48"/>
        <v>EC</v>
      </c>
      <c r="AH114" s="92" t="str">
        <f t="shared" si="49"/>
        <v>"%USERPROFILE%\Documents\GitHub\eaglep3\Utilities\RefineRTDCRunTimes.py" --tripid 198-22 --locoid 4017 --swversion DE.1.0.8.0 --startMP 204:232998 --initTime 2016-12-22T16:31:43 --startdatetime 2016-12-22T16:41:14 --delay 1 --endMP 204:149 --enddatetime 2016-12-22T17:22:47 --enforcementcount 0 &gt;&gt;C:\Users\stu\Documents\GitHub\eaglep3-reporting\EC\2016-12-22-refined-times.txt</v>
      </c>
      <c r="AI11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ID","value":"198-22"},{"id":16,"name":"Locomotive ID","value":"4017"},{"id":130,"name":"Impact","value":""},{"id":150,"name":"Time of Event (Mountain Time)","value":"17:22:47"},{"id":151,"name":"Denver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602</v>
      </c>
      <c r="B115" s="7">
        <v>4020</v>
      </c>
      <c r="C115" s="22" t="s">
        <v>205</v>
      </c>
      <c r="D115" s="22" t="s">
        <v>400</v>
      </c>
      <c r="E115" s="13">
        <v>42726.661956018521</v>
      </c>
      <c r="F115" s="13">
        <v>42726.666863425926</v>
      </c>
      <c r="G115" s="7">
        <v>1</v>
      </c>
      <c r="H115" s="22" t="s">
        <v>293</v>
      </c>
      <c r="I115" s="13">
        <v>42726.69090277778</v>
      </c>
      <c r="J115" s="7">
        <v>0</v>
      </c>
      <c r="K115" s="109" t="str">
        <f t="shared" si="34"/>
        <v>4019/4020</v>
      </c>
      <c r="L115" s="22" t="str">
        <f>VLOOKUP(A115,'Trips&amp;Operators'!$C$1:$G$99999,5,FALSE)</f>
        <v>BRANNON JEFFREY</v>
      </c>
      <c r="M115" s="6">
        <f t="shared" si="35"/>
        <v>2.4039351854298729E-2</v>
      </c>
      <c r="N115" s="7">
        <f t="shared" si="36"/>
        <v>34.61666667019017</v>
      </c>
      <c r="O115" s="7"/>
      <c r="P115" s="7"/>
      <c r="Q115" s="23"/>
      <c r="R115" s="23"/>
      <c r="S115" s="35">
        <f t="shared" si="37"/>
        <v>1</v>
      </c>
      <c r="T115" s="50" t="str">
        <f t="shared" si="38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14:53:13-700',mode:absolute,to:'2016-12-22 17:34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5" s="52" t="str">
        <f t="shared" si="40"/>
        <v>N</v>
      </c>
      <c r="X115" s="177">
        <f t="shared" si="41"/>
        <v>1</v>
      </c>
      <c r="Y115" s="67">
        <f t="shared" si="42"/>
        <v>4.4600000000000001E-2</v>
      </c>
      <c r="Z115" s="67">
        <f t="shared" si="43"/>
        <v>23.3308</v>
      </c>
      <c r="AA115" s="67">
        <f t="shared" si="44"/>
        <v>23.286200000000001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45"/>
        <v>0199-22</v>
      </c>
      <c r="AE115" s="91" t="str">
        <f t="shared" si="46"/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AF115" s="88" t="str">
        <f t="shared" si="47"/>
        <v>"C:\Program Files (x86)\AstroGrep\AstroGrep.exe" /spath="%USERPROFILE%\AppData\Local\Temp\OnboardLogs" /stypes="app*4020*20161222*" /stext=" 23:.+((SYSTEM_STATE.+slice.+state.+changed )|(ment ac)|(multiple cpu faults)|(system.+state.+changed )|(\[timeout)|(PRM\|1\|D)|(kpr)|(kdp)|(\|lc)|(penalty))" /e /r /s</v>
      </c>
      <c r="AG115" s="1" t="str">
        <f t="shared" si="48"/>
        <v>EC</v>
      </c>
      <c r="AH115" s="92" t="str">
        <f t="shared" si="49"/>
        <v>"%USERPROFILE%\Documents\GitHub\eaglep3\Utilities\RefineRTDCRunTimes.py" --tripid 199-22 --locoid 4020 --swversion DE.1.0.8.0 --startMP 204:446 --initTime 2016-12-22T15:53:13 --startdatetime 2016-12-22T16:00:17 --delay 1 --endMP 204:233308 --enddatetime 2016-12-22T16:34:54 --enforcementcount 0 &gt;&gt;C:\Users\stu\Documents\GitHub\eaglep3-reporting\EC\2016-12-22-refined-times.txt</v>
      </c>
      <c r="AI11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{"issue":{"subject":"","project_id":79,"tracker_id":40,"status_id":1,"priority_id":2,"assigned_to_id":23,"start_date":"2016-12-22","description":"","custom_fields":[{"id":1,"name":"Subdivision","value":"EC"},{"id":4,"name":"Milepost","value":"23.3308"},{"id":17,"name":"Train ID","value":"199-22"},{"id":16,"name":"Locomotive ID","value":"4020"},{"id":130,"name":"Impact","value":""},{"id":150,"name":"Time of Event (Mountain Time)","value":"16:34:54"},{"id":151,"name":"Denver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612</v>
      </c>
      <c r="B116" s="7">
        <v>4019</v>
      </c>
      <c r="C116" s="22" t="s">
        <v>205</v>
      </c>
      <c r="D116" s="22" t="s">
        <v>396</v>
      </c>
      <c r="E116" s="13">
        <v>42726.697685185187</v>
      </c>
      <c r="F116" s="13">
        <v>42726.698252314818</v>
      </c>
      <c r="G116" s="7">
        <v>0</v>
      </c>
      <c r="H116" s="22" t="s">
        <v>727</v>
      </c>
      <c r="I116" s="13">
        <v>42726.70653935185</v>
      </c>
      <c r="J116" s="7">
        <v>0</v>
      </c>
      <c r="K116" s="109" t="str">
        <f t="shared" si="34"/>
        <v>4019/4020</v>
      </c>
      <c r="L116" s="22" t="str">
        <f>VLOOKUP(A116,'Trips&amp;Operators'!$C$1:$G$99999,5,FALSE)</f>
        <v>BRANNON JEFFREY</v>
      </c>
      <c r="M116" s="6">
        <f t="shared" si="35"/>
        <v>8.287037031550426E-3</v>
      </c>
      <c r="N116" s="7"/>
      <c r="O116" s="7"/>
      <c r="P116" s="7">
        <f t="shared" si="36"/>
        <v>11.933333325432613</v>
      </c>
      <c r="Q116" s="23"/>
      <c r="R116" s="23" t="s">
        <v>862</v>
      </c>
      <c r="S116" s="35">
        <f t="shared" ref="S116" si="51">SUM(U116:U116)/IF(AG116="EC",12,1)</f>
        <v>0</v>
      </c>
      <c r="T116" s="50" t="str">
        <f t="shared" si="38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15:44:40-700',mode:absolute,to:'2016-12-22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6" s="52" t="str">
        <f t="shared" si="40"/>
        <v>Y</v>
      </c>
      <c r="X116" s="177">
        <f t="shared" si="41"/>
        <v>1</v>
      </c>
      <c r="Y116" s="67">
        <f t="shared" si="42"/>
        <v>23.299800000000001</v>
      </c>
      <c r="Z116" s="67">
        <f t="shared" si="43"/>
        <v>22.811199999999999</v>
      </c>
      <c r="AA116" s="67">
        <f t="shared" si="44"/>
        <v>0.4886000000000017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45"/>
        <v>0200-22</v>
      </c>
      <c r="AE116" s="91" t="str">
        <f t="shared" si="46"/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AF116" s="88" t="str">
        <f t="shared" si="47"/>
        <v>"C:\Program Files (x86)\AstroGrep\AstroGrep.exe" /spath="%USERPROFILE%\AppData\Local\Temp\OnboardLogs" /stypes="app*4019*20161222*" /stext=" 23:.+((SYSTEM_STATE.+slice.+state.+changed )|(ment ac)|(multiple cpu faults)|(system.+state.+changed )|(\[timeout)|(PRM\|1\|D)|(kpr)|(kdp)|(\|lc)|(penalty))" /e /r /s</v>
      </c>
      <c r="AG116" s="1" t="str">
        <f t="shared" si="48"/>
        <v>EC</v>
      </c>
      <c r="AH116" s="92" t="str">
        <f t="shared" si="49"/>
        <v>"%USERPROFILE%\Documents\GitHub\eaglep3\Utilities\RefineRTDCRunTimes.py" --tripid 200-22 --locoid 4019 --swversion DE.1.0.8.0 --startMP 204:232998 --initTime 2016-12-22T16:44:40 --startdatetime 2016-12-22T16:45:29 --delay 0 --endMP 204:228112 --enddatetime 2016-12-22T16:57:25 --enforcementcount 0 &gt;&gt;C:\Users\stu\Documents\GitHub\eaglep3-reporting\EC\2016-12-22-refined-times.txt</v>
      </c>
      <c r="AI116" s="119" t="str">
        <f t="shared" si="50"/>
        <v>echo {"issue":{"subject":"Onboard in-route failure","project_id":79,"tracker_id":40,"status_id":1,"priority_id":2,"assigned_to_id":23,"start_date":"2016-12-22","description":"","custom_fields":[{"id":1,"name":"Subdivision","value":"EC"},{"id":4,"name":"Milepost","value":"22.8112"},{"id":17,"name":"Train ID","value":"200-22"},{"id":16,"name":"Locomotive ID","value":"4019"},{"id":130,"name":"Impact","value":""},{"id":150,"name":"Time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605</v>
      </c>
      <c r="B117" s="7">
        <v>4051</v>
      </c>
      <c r="C117" s="22" t="s">
        <v>205</v>
      </c>
      <c r="D117" s="22" t="s">
        <v>728</v>
      </c>
      <c r="E117" s="13">
        <v>42726.67559027778</v>
      </c>
      <c r="F117" s="13">
        <v>42726.677245370367</v>
      </c>
      <c r="G117" s="7">
        <v>1</v>
      </c>
      <c r="H117" s="22" t="s">
        <v>715</v>
      </c>
      <c r="I117" s="13">
        <v>42726.705150462964</v>
      </c>
      <c r="J117" s="7">
        <v>0</v>
      </c>
      <c r="K117" s="109" t="str">
        <f t="shared" si="34"/>
        <v>4051/4052</v>
      </c>
      <c r="L117" s="22" t="str">
        <f>VLOOKUP(A117,'Trips&amp;Operators'!$C$1:$G$99999,5,FALSE)</f>
        <v>CLARK KATHLEEN</v>
      </c>
      <c r="M117" s="6">
        <f t="shared" si="35"/>
        <v>2.7905092596483883E-2</v>
      </c>
      <c r="N117" s="7">
        <f t="shared" si="36"/>
        <v>40.183333338936791</v>
      </c>
      <c r="O117" s="7"/>
      <c r="P117" s="7"/>
      <c r="Q117" s="23"/>
      <c r="R117" s="23"/>
      <c r="S117" s="35">
        <f t="shared" si="37"/>
        <v>1</v>
      </c>
      <c r="T117" s="50" t="str">
        <f t="shared" si="38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15:12:51-700',mode:absolute,to:'2016-12-22 17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17" s="52" t="str">
        <f t="shared" si="40"/>
        <v>N</v>
      </c>
      <c r="X117" s="177">
        <f t="shared" si="41"/>
        <v>1</v>
      </c>
      <c r="Y117" s="67">
        <f t="shared" si="42"/>
        <v>5.04E-2</v>
      </c>
      <c r="Z117" s="67">
        <f t="shared" si="43"/>
        <v>23.331099999999999</v>
      </c>
      <c r="AA117" s="67">
        <f t="shared" si="44"/>
        <v>23.2807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45"/>
        <v>0201-22</v>
      </c>
      <c r="AE117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17" s="88" t="str">
        <f t="shared" si="47"/>
        <v>"C:\Program Files (x86)\AstroGrep\AstroGrep.exe" /spath="%USERPROFILE%\AppData\Local\Temp\OnboardLogs" /stypes="app*4051*20161222*" /stext=" 23:.+((SYSTEM_STATE.+slice.+state.+changed )|(ment ac)|(multiple cpu faults)|(system.+state.+changed )|(\[timeout)|(PRM\|1\|D)|(kpr)|(kdp)|(\|lc)|(penalty))" /e /r /s</v>
      </c>
      <c r="AG117" s="1" t="str">
        <f t="shared" si="48"/>
        <v>EC</v>
      </c>
      <c r="AH117" s="92" t="str">
        <f t="shared" si="49"/>
        <v>"%USERPROFILE%\Documents\GitHub\eaglep3\Utilities\RefineRTDCRunTimes.py" --tripid 201-22 --locoid 4051 --swversion DE.1.0.8.0 --startMP 204:504 --initTime 2016-12-22T16:12:51 --startdatetime 2016-12-22T16:15:14 --delay 1 --endMP 204:233311 --enddatetime 2016-12-22T16:55:25 --enforcementcount 0 &gt;&gt;C:\Users\stu\Documents\GitHub\eaglep3-reporting\EC\2016-12-22-refined-times.txt</v>
      </c>
      <c r="AI11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{"issue":{"subject":"","project_id":79,"tracker_id":40,"status_id":1,"priority_id":2,"assigned_to_id":23,"start_date":"2016-12-22","description":"","custom_fields":[{"id":1,"name":"Subdivision","value":"EC"},{"id":4,"name":"Milepost","value":"23.3311"},{"id":17,"name":"Train ID","value":"201-22"},{"id":16,"name":"Locomotive ID","value":"4051"},{"id":130,"name":"Impact","value":""},{"id":150,"name":"Time of Event (Mountain Time)","value":"16:55:25"},{"id":151,"name":"Denver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614</v>
      </c>
      <c r="B118" s="7">
        <v>4052</v>
      </c>
      <c r="C118" s="22" t="s">
        <v>205</v>
      </c>
      <c r="D118" s="22" t="s">
        <v>294</v>
      </c>
      <c r="E118" s="13">
        <v>42726.711759259262</v>
      </c>
      <c r="F118" s="13">
        <v>42726.716168981482</v>
      </c>
      <c r="G118" s="7">
        <v>1</v>
      </c>
      <c r="H118" s="22" t="s">
        <v>408</v>
      </c>
      <c r="I118" s="13">
        <v>42726.747731481482</v>
      </c>
      <c r="J118" s="7">
        <v>0</v>
      </c>
      <c r="K118" s="109" t="str">
        <f t="shared" si="34"/>
        <v>4051/4052</v>
      </c>
      <c r="L118" s="22" t="str">
        <f>VLOOKUP(A118,'Trips&amp;Operators'!$C$1:$G$99999,5,FALSE)</f>
        <v>CLARK KATHLEEN</v>
      </c>
      <c r="M118" s="6">
        <f t="shared" si="35"/>
        <v>3.1562500000291038E-2</v>
      </c>
      <c r="N118" s="7">
        <f t="shared" si="36"/>
        <v>45.450000000419095</v>
      </c>
      <c r="O118" s="7"/>
      <c r="P118" s="7"/>
      <c r="Q118" s="23"/>
      <c r="R118" s="23"/>
      <c r="S118" s="35">
        <f t="shared" si="37"/>
        <v>1</v>
      </c>
      <c r="T118" s="50" t="str">
        <f t="shared" si="38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16:04:56-700',mode:absolute,to:'2016-12-22 18:56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18" s="52" t="str">
        <f t="shared" si="40"/>
        <v>N</v>
      </c>
      <c r="X118" s="177">
        <f t="shared" si="41"/>
        <v>1</v>
      </c>
      <c r="Y118" s="67">
        <f t="shared" si="42"/>
        <v>23.2973</v>
      </c>
      <c r="Z118" s="67">
        <f t="shared" si="43"/>
        <v>2.12E-2</v>
      </c>
      <c r="AA118" s="67">
        <f t="shared" si="44"/>
        <v>23.2761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45"/>
        <v>0202-22</v>
      </c>
      <c r="AE118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18" s="88" t="str">
        <f t="shared" si="47"/>
        <v>"C:\Program Files (x86)\AstroGrep\AstroGrep.exe" /spath="%USERPROFILE%\AppData\Local\Temp\OnboardLogs" /stypes="app*4052*20161223*" /stext=" 00:.+((SYSTEM_STATE.+slice.+state.+changed )|(ment ac)|(multiple cpu faults)|(system.+state.+changed )|(\[timeout)|(PRM\|1\|D)|(kpr)|(kdp)|(\|lc)|(penalty))" /e /r /s</v>
      </c>
      <c r="AG118" s="1" t="str">
        <f t="shared" si="48"/>
        <v>EC</v>
      </c>
      <c r="AH118" s="92" t="str">
        <f t="shared" si="49"/>
        <v>"%USERPROFILE%\Documents\GitHub\eaglep3\Utilities\RefineRTDCRunTimes.py" --tripid 202-22 --locoid 4052 --swversion DE.1.0.8.0 --startMP 204:232973 --initTime 2016-12-22T17:04:56 --startdatetime 2016-12-22T17:11:17 --delay 1 --endMP 204:212 --enddatetime 2016-12-22T17:56:44 --enforcementcount 0 &gt;&gt;C:\Users\stu\Documents\GitHub\eaglep3-reporting\EC\2016-12-22-refined-times.txt</v>
      </c>
      <c r="AI11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{"issue":{"subject":"","project_id":79,"tracker_id":40,"status_id":1,"priority_id":2,"assigned_to_id":23,"start_date":"2016-12-22","description":"","custom_fields":[{"id":1,"name":"Subdivision","value":"EC"},{"id":4,"name":"Milepost","value":"0.0212"},{"id":17,"name":"Train ID","value":"202-22"},{"id":16,"name":"Locomotive ID","value":"4052"},{"id":130,"name":"Impact","value":""},{"id":150,"name":"Time of Event (Mountain Time)","value":"17:56:44"},{"id":151,"name":"Denver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x14ac:dyDescent="0.25">
      <c r="A119" s="37" t="s">
        <v>607</v>
      </c>
      <c r="B119" s="7">
        <v>4027</v>
      </c>
      <c r="C119" s="22" t="s">
        <v>205</v>
      </c>
      <c r="D119" s="22" t="s">
        <v>400</v>
      </c>
      <c r="E119" s="13">
        <v>42726.687314814815</v>
      </c>
      <c r="F119" s="13">
        <v>42726.688981481479</v>
      </c>
      <c r="G119" s="7">
        <v>1</v>
      </c>
      <c r="H119" s="22" t="s">
        <v>352</v>
      </c>
      <c r="I119" s="13">
        <v>42726.715011574073</v>
      </c>
      <c r="J119" s="7">
        <v>0</v>
      </c>
      <c r="K119" s="109" t="str">
        <f t="shared" si="34"/>
        <v>4027/4028</v>
      </c>
      <c r="L119" s="22" t="str">
        <f>VLOOKUP(A119,'Trips&amp;Operators'!$C$1:$G$99999,5,FALSE)</f>
        <v>KILLION DAVID</v>
      </c>
      <c r="M119" s="6">
        <f t="shared" si="35"/>
        <v>2.6030092594737653E-2</v>
      </c>
      <c r="N119" s="7">
        <f t="shared" si="36"/>
        <v>37.48333333642222</v>
      </c>
      <c r="O119" s="7"/>
      <c r="P119" s="7"/>
      <c r="Q119" s="23"/>
      <c r="R119" s="23"/>
      <c r="S119" s="35">
        <f t="shared" si="37"/>
        <v>1</v>
      </c>
      <c r="T119" s="50" t="str">
        <f t="shared" si="38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15:29:44-700',mode:absolute,to:'2016-12-22 18:09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19" s="52" t="str">
        <f t="shared" si="40"/>
        <v>N</v>
      </c>
      <c r="X119" s="177">
        <f t="shared" si="41"/>
        <v>1</v>
      </c>
      <c r="Y119" s="67">
        <f t="shared" si="42"/>
        <v>4.4600000000000001E-2</v>
      </c>
      <c r="Z119" s="67">
        <f t="shared" si="43"/>
        <v>23.330200000000001</v>
      </c>
      <c r="AA119" s="67">
        <f t="shared" si="44"/>
        <v>23.285600000000002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45"/>
        <v>0203-22</v>
      </c>
      <c r="AE119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19" s="88" t="str">
        <f t="shared" si="47"/>
        <v>"C:\Program Files (x86)\AstroGrep\AstroGrep.exe" /spath="%USERPROFILE%\AppData\Local\Temp\OnboardLogs" /stypes="app*4027*20161223*" /stext=" 00:.+((SYSTEM_STATE.+slice.+state.+changed )|(ment ac)|(multiple cpu faults)|(system.+state.+changed )|(\[timeout)|(PRM\|1\|D)|(kpr)|(kdp)|(\|lc)|(penalty))" /e /r /s</v>
      </c>
      <c r="AG119" s="1" t="str">
        <f t="shared" si="48"/>
        <v>EC</v>
      </c>
      <c r="AH119" s="92" t="str">
        <f t="shared" si="49"/>
        <v>"%USERPROFILE%\Documents\GitHub\eaglep3\Utilities\RefineRTDCRunTimes.py" --tripid 203-22 --locoid 4027 --swversion DE.1.0.8.0 --startMP 204:446 --initTime 2016-12-22T16:29:44 --startdatetime 2016-12-22T16:32:08 --delay 1 --endMP 204:233302 --enddatetime 2016-12-22T17:09:37 --enforcementcount 0 &gt;&gt;C:\Users\stu\Documents\GitHub\eaglep3-reporting\EC\2016-12-22-refined-times.txt</v>
      </c>
      <c r="AI11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{"issue":{"subject":"","project_id":79,"tracker_id":40,"status_id":1,"priority_id":2,"assigned_to_id":23,"start_date":"2016-12-22","description":"","custom_fields":[{"id":1,"name":"Subdivision","value":"EC"},{"id":4,"name":"Milepost","value":"23.3302"},{"id":17,"name":"Train ID","value":"203-22"},{"id":16,"name":"Locomotive ID","value":"4027"},{"id":130,"name":"Impact","value":""},{"id":150,"name":"Time of Event (Mountain Time)","value":"17:09:37"},{"id":151,"name":"Denver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</row>
    <row r="120" spans="1:91" s="21" customFormat="1" x14ac:dyDescent="0.25">
      <c r="A120" s="37" t="s">
        <v>472</v>
      </c>
      <c r="B120" s="7">
        <v>4028</v>
      </c>
      <c r="C120" s="22" t="s">
        <v>205</v>
      </c>
      <c r="D120" s="22" t="s">
        <v>270</v>
      </c>
      <c r="E120" s="13">
        <v>42726.720532407409</v>
      </c>
      <c r="F120" s="13">
        <v>42726.726736111108</v>
      </c>
      <c r="G120" s="7">
        <v>1</v>
      </c>
      <c r="H120" s="22" t="s">
        <v>211</v>
      </c>
      <c r="I120" s="13">
        <v>42726.754895833335</v>
      </c>
      <c r="J120" s="7">
        <v>0</v>
      </c>
      <c r="K120" s="109" t="str">
        <f t="shared" si="34"/>
        <v>4027/4028</v>
      </c>
      <c r="L120" s="22" t="str">
        <f>VLOOKUP(A120,'Trips&amp;Operators'!$C$1:$G$99999,5,FALSE)</f>
        <v>KILLION DAVID</v>
      </c>
      <c r="M120" s="6">
        <f t="shared" si="35"/>
        <v>2.8159722227428574E-2</v>
      </c>
      <c r="N120" s="7">
        <f t="shared" si="36"/>
        <v>40.550000007497147</v>
      </c>
      <c r="O120" s="7"/>
      <c r="P120" s="7"/>
      <c r="Q120" s="23"/>
      <c r="R120" s="23"/>
      <c r="S120" s="35">
        <f t="shared" si="37"/>
        <v>1</v>
      </c>
      <c r="T120" s="50" t="str">
        <f t="shared" si="38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16:17:34-700',mode:absolute,to:'2016-12-22 19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0" s="52" t="str">
        <f t="shared" si="40"/>
        <v>N</v>
      </c>
      <c r="X120" s="177">
        <f t="shared" si="41"/>
        <v>1</v>
      </c>
      <c r="Y120" s="67">
        <f t="shared" si="42"/>
        <v>23.298500000000001</v>
      </c>
      <c r="Z120" s="67">
        <f t="shared" si="43"/>
        <v>1.4999999999999999E-2</v>
      </c>
      <c r="AA120" s="67">
        <f t="shared" si="44"/>
        <v>23.2835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45"/>
        <v>0204-22</v>
      </c>
      <c r="AE120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20" s="88" t="str">
        <f t="shared" si="47"/>
        <v>"C:\Program Files (x86)\AstroGrep\AstroGrep.exe" /spath="%USERPROFILE%\AppData\Local\Temp\OnboardLogs" /stypes="app*4028*20161223*" /stext=" 01:.+((SYSTEM_STATE.+slice.+state.+changed )|(ment ac)|(multiple cpu faults)|(system.+state.+changed )|(\[timeout)|(PRM\|1\|D)|(kpr)|(kdp)|(\|lc)|(penalty))" /e /r /s</v>
      </c>
      <c r="AG120" s="1" t="str">
        <f t="shared" si="48"/>
        <v>EC</v>
      </c>
      <c r="AH120" s="92" t="str">
        <f t="shared" si="49"/>
        <v>"%USERPROFILE%\Documents\GitHub\eaglep3\Utilities\RefineRTDCRunTimes.py" --tripid 204-22 --locoid 4028 --swversion DE.1.0.8.0 --startMP 204:232985 --initTime 2016-12-22T17:17:34 --startdatetime 2016-12-22T17:26:30 --delay 1 --endMP 204:150 --enddatetime 2016-12-22T18:07:03 --enforcementcount 0 &gt;&gt;C:\Users\stu\Documents\GitHub\eaglep3-reporting\EC\2016-12-22-refined-times.txt</v>
      </c>
      <c r="AI12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ID","value":"204-22"},{"id":16,"name":"Locomotive ID","value":"4028"},{"id":130,"name":"Impact","value":""},{"id":150,"name":"Time of Event (Mountain Time)","value":"18:07:03"},{"id":151,"name":"Denver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610</v>
      </c>
      <c r="B121" s="7">
        <v>4046</v>
      </c>
      <c r="C121" s="22" t="s">
        <v>205</v>
      </c>
      <c r="D121" s="22" t="s">
        <v>230</v>
      </c>
      <c r="E121" s="13">
        <v>42726.693252314813</v>
      </c>
      <c r="F121" s="13">
        <v>42726.698113425926</v>
      </c>
      <c r="G121" s="7">
        <v>1</v>
      </c>
      <c r="H121" s="22" t="s">
        <v>276</v>
      </c>
      <c r="I121" s="13">
        <v>42726.73159722222</v>
      </c>
      <c r="J121" s="7">
        <v>0</v>
      </c>
      <c r="K121" s="109" t="str">
        <f t="shared" si="34"/>
        <v>4045/4046</v>
      </c>
      <c r="L121" s="22" t="str">
        <f>VLOOKUP(A121,'Trips&amp;Operators'!$C$1:$G$99999,5,FALSE)</f>
        <v>BRUDER RICHARD</v>
      </c>
      <c r="M121" s="6">
        <f t="shared" si="35"/>
        <v>3.3483796294603962E-2</v>
      </c>
      <c r="N121" s="7">
        <f t="shared" si="36"/>
        <v>48.216666664229706</v>
      </c>
      <c r="O121" s="7"/>
      <c r="P121" s="7"/>
      <c r="Q121" s="23"/>
      <c r="R121" s="23"/>
      <c r="S121" s="35">
        <f t="shared" si="37"/>
        <v>1</v>
      </c>
      <c r="T121" s="50" t="str">
        <f t="shared" si="38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15:38:17-700',mode:absolute,to:'2016-12-22 18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1" s="52" t="str">
        <f t="shared" si="40"/>
        <v>N</v>
      </c>
      <c r="X121" s="177">
        <f t="shared" si="41"/>
        <v>1</v>
      </c>
      <c r="Y121" s="67">
        <f t="shared" si="42"/>
        <v>4.5999999999999999E-2</v>
      </c>
      <c r="Z121" s="67">
        <f t="shared" si="43"/>
        <v>23.328900000000001</v>
      </c>
      <c r="AA121" s="67">
        <f t="shared" si="44"/>
        <v>23.282900000000001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45"/>
        <v>0205-22</v>
      </c>
      <c r="AE121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21" s="88" t="str">
        <f t="shared" si="47"/>
        <v>"C:\Program Files (x86)\AstroGrep\AstroGrep.exe" /spath="%USERPROFILE%\AppData\Local\Temp\OnboardLogs" /stypes="app*4046*20161223*" /stext=" 00:.+((SYSTEM_STATE.+slice.+state.+changed )|(ment ac)|(multiple cpu faults)|(system.+state.+changed )|(\[timeout)|(PRM\|1\|D)|(kpr)|(kdp)|(\|lc)|(penalty))" /e /r /s</v>
      </c>
      <c r="AG121" s="1" t="str">
        <f t="shared" si="48"/>
        <v>EC</v>
      </c>
      <c r="AH121" s="92" t="str">
        <f t="shared" si="49"/>
        <v>"%USERPROFILE%\Documents\GitHub\eaglep3\Utilities\RefineRTDCRunTimes.py" --tripid 205-22 --locoid 4046 --swversion DE.1.0.8.0 --startMP 204:460 --initTime 2016-12-22T16:38:17 --startdatetime 2016-12-22T16:45:17 --delay 1 --endMP 204:233289 --enddatetime 2016-12-22T17:33:30 --enforcementcount 0 &gt;&gt;C:\Users\stu\Documents\GitHub\eaglep3-reporting\EC\2016-12-22-refined-times.txt</v>
      </c>
      <c r="AI12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{"issue":{"subject":"","project_id":79,"tracker_id":40,"status_id":1,"priority_id":2,"assigned_to_id":23,"start_date":"2016-12-22","description":"","custom_fields":[{"id":1,"name":"Subdivision","value":"EC"},{"id":4,"name":"Milepost","value":"23.3289"},{"id":17,"name":"Train ID","value":"205-22"},{"id":16,"name":"Locomotive ID","value":"4046"},{"id":130,"name":"Impact","value":""},{"id":150,"name":"Time of Event (Mountain Time)","value":"17:33:30"},{"id":151,"name":"Denver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619</v>
      </c>
      <c r="B122" s="7">
        <v>4045</v>
      </c>
      <c r="C122" s="22" t="s">
        <v>205</v>
      </c>
      <c r="D122" s="22" t="s">
        <v>356</v>
      </c>
      <c r="E122" s="13">
        <v>42726.733402777776</v>
      </c>
      <c r="F122" s="13">
        <v>42726.737037037034</v>
      </c>
      <c r="G122" s="7">
        <v>1</v>
      </c>
      <c r="H122" s="22" t="s">
        <v>235</v>
      </c>
      <c r="I122" s="13">
        <v>42726.764108796298</v>
      </c>
      <c r="J122" s="7">
        <v>0</v>
      </c>
      <c r="K122" s="109" t="str">
        <f t="shared" si="34"/>
        <v>4045/4046</v>
      </c>
      <c r="L122" s="22" t="str">
        <f>VLOOKUP(A122,'Trips&amp;Operators'!$C$1:$G$99999,5,FALSE)</f>
        <v>BRUDER RICHARD</v>
      </c>
      <c r="M122" s="6">
        <f t="shared" si="35"/>
        <v>2.7071759264799766E-2</v>
      </c>
      <c r="N122" s="7">
        <f t="shared" si="36"/>
        <v>38.983333341311663</v>
      </c>
      <c r="O122" s="7"/>
      <c r="P122" s="7"/>
      <c r="Q122" s="23"/>
      <c r="R122" s="23"/>
      <c r="S122" s="35">
        <f t="shared" si="37"/>
        <v>1</v>
      </c>
      <c r="T122" s="50" t="str">
        <f t="shared" si="38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16:36:06-700',mode:absolute,to:'2016-12-22 19:20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2" s="52" t="str">
        <f t="shared" si="40"/>
        <v>N</v>
      </c>
      <c r="X122" s="177">
        <f t="shared" si="41"/>
        <v>1</v>
      </c>
      <c r="Y122" s="67">
        <f t="shared" si="42"/>
        <v>23.298200000000001</v>
      </c>
      <c r="Z122" s="67">
        <f t="shared" si="43"/>
        <v>1.4500000000000001E-2</v>
      </c>
      <c r="AA122" s="67">
        <f t="shared" si="44"/>
        <v>23.2837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45"/>
        <v>0206-22</v>
      </c>
      <c r="AE122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22" s="88" t="str">
        <f t="shared" si="47"/>
        <v>"C:\Program Files (x86)\AstroGrep\AstroGrep.exe" /spath="%USERPROFILE%\AppData\Local\Temp\OnboardLogs" /stypes="app*4045*20161223*" /stext=" 01:.+((SYSTEM_STATE.+slice.+state.+changed )|(ment ac)|(multiple cpu faults)|(system.+state.+changed )|(\[timeout)|(PRM\|1\|D)|(kpr)|(kdp)|(\|lc)|(penalty))" /e /r /s</v>
      </c>
      <c r="AG122" s="1" t="str">
        <f t="shared" si="48"/>
        <v>EC</v>
      </c>
      <c r="AH122" s="92" t="str">
        <f t="shared" si="49"/>
        <v>"%USERPROFILE%\Documents\GitHub\eaglep3\Utilities\RefineRTDCRunTimes.py" --tripid 206-22 --locoid 4045 --swversion DE.1.0.8.0 --startMP 204:232982 --initTime 2016-12-22T17:36:06 --startdatetime 2016-12-22T17:41:20 --delay 1 --endMP 204:145 --enddatetime 2016-12-22T18:20:19 --enforcementcount 0 &gt;&gt;C:\Users\stu\Documents\GitHub\eaglep3-reporting\EC\2016-12-22-refined-times.txt</v>
      </c>
      <c r="AI12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{"issue":{"subject":"","project_id":79,"tracker_id":40,"status_id":1,"priority_id":2,"assigned_to_id":23,"start_date":"2016-12-22","description":"","custom_fields":[{"id":1,"name":"Subdivision","value":"EC"},{"id":4,"name":"Milepost","value":"0.0145"},{"id":17,"name":"Train ID","value":"206-22"},{"id":16,"name":"Locomotive ID","value":"4045"},{"id":130,"name":"Impact","value":""},{"id":150,"name":"Time of Event (Mountain Time)","value":"18:20:19"},{"id":151,"name":"Denver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613</v>
      </c>
      <c r="B123" s="7">
        <v>4016</v>
      </c>
      <c r="C123" s="22" t="s">
        <v>205</v>
      </c>
      <c r="D123" s="22" t="s">
        <v>729</v>
      </c>
      <c r="E123" s="13">
        <v>42726.704363425924</v>
      </c>
      <c r="F123" s="13">
        <v>42726.708692129629</v>
      </c>
      <c r="G123" s="7">
        <v>1</v>
      </c>
      <c r="H123" s="22" t="s">
        <v>288</v>
      </c>
      <c r="I123" s="13">
        <v>42726.73505787037</v>
      </c>
      <c r="J123" s="7">
        <v>0</v>
      </c>
      <c r="K123" s="109" t="str">
        <f t="shared" si="34"/>
        <v>4015/4016</v>
      </c>
      <c r="L123" s="22" t="str">
        <f>VLOOKUP(A123,'Trips&amp;Operators'!$C$1:$G$99999,5,FALSE)</f>
        <v>SMITH MICHAEL</v>
      </c>
      <c r="M123" s="6">
        <f t="shared" si="35"/>
        <v>2.6365740741312038E-2</v>
      </c>
      <c r="N123" s="7">
        <f t="shared" si="36"/>
        <v>37.966666667489335</v>
      </c>
      <c r="O123" s="7"/>
      <c r="P123" s="7"/>
      <c r="Q123" s="23"/>
      <c r="R123" s="23"/>
      <c r="S123" s="35">
        <f t="shared" si="37"/>
        <v>1</v>
      </c>
      <c r="T123" s="50" t="str">
        <f t="shared" si="38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15:54:17-700',mode:absolute,to:'2016-12-22 18:38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40"/>
        <v>N</v>
      </c>
      <c r="X123" s="177">
        <f t="shared" si="41"/>
        <v>1</v>
      </c>
      <c r="Y123" s="67">
        <f t="shared" si="42"/>
        <v>4.8399999999999999E-2</v>
      </c>
      <c r="Z123" s="67">
        <f t="shared" si="43"/>
        <v>23.331</v>
      </c>
      <c r="AA123" s="67">
        <f t="shared" si="44"/>
        <v>23.282599999999999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45"/>
        <v>0207-22</v>
      </c>
      <c r="AE123" s="91" t="str">
        <f t="shared" si="46"/>
        <v>aws s3 cp s3://rtdc.mdm.uploadarchive.raw/RTDC4016/ "%USERPROFILE%\AppData\Local\Temp\OnboardLogs"\RTDC4016\2016-12-22 --exclude "*" --recursive --include "*20161222*" &amp; "%USERPROFILE%\Documents\GitHub\mrs-test-scripts\Headless Mode &amp; Sideloading\WalkAndUnGZ.bat" "%USERPROFILE%\AppData\Local\Temp\OnboardLogs"\RTDC4016\2016-12-22 &amp; aws s3 cp s3://rtdc.mdm.uploadarchive.raw/RTDC4016/ "%USERPROFILE%\AppData\Local\Temp\OnboardLogs"\RTDC4016\2016-12-23 --exclude "*" --recursive --include "*20161223*" &amp; "%USERPROFILE%\Documents\GitHub\mrs-test-scripts\Headless Mode &amp; Sideloading\WalkAndUnGZ.bat" "%USERPROFILE%\AppData\Local\Temp\OnboardLogs"\RTDC4016\2016-12-23</v>
      </c>
      <c r="AF123" s="88" t="str">
        <f t="shared" si="47"/>
        <v>"C:\Program Files (x86)\AstroGrep\AstroGrep.exe" /spath="%USERPROFILE%\AppData\Local\Temp\OnboardLogs" /stypes="app*4016*20161223*" /stext=" 00:.+((SYSTEM_STATE.+slice.+state.+changed )|(ment ac)|(multiple cpu faults)|(system.+state.+changed )|(\[timeout)|(PRM\|1\|D)|(kpr)|(kdp)|(\|lc)|(penalty))" /e /r /s</v>
      </c>
      <c r="AG123" s="1" t="str">
        <f t="shared" si="48"/>
        <v>EC</v>
      </c>
      <c r="AH123" s="92" t="str">
        <f t="shared" si="49"/>
        <v>"%USERPROFILE%\Documents\GitHub\eaglep3\Utilities\RefineRTDCRunTimes.py" --tripid 207-22 --locoid 4016 --swversion DE.1.0.8.0 --startMP 204:484 --initTime 2016-12-22T16:54:17 --startdatetime 2016-12-22T17:00:31 --delay 1 --endMP 204:233310 --enddatetime 2016-12-22T17:38:29 --enforcementcount 0 &gt;&gt;C:\Users\stu\Documents\GitHub\eaglep3-reporting\EC\2016-12-22-refined-times.txt</v>
      </c>
      <c r="AI12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{"issue":{"subject":"","project_id":79,"tracker_id":40,"status_id":1,"priority_id":2,"assigned_to_id":23,"start_date":"2016-12-22","description":"","custom_fields":[{"id":1,"name":"Subdivision","value":"EC"},{"id":4,"name":"Milepost","value":"23.331"},{"id":17,"name":"Train ID","value":"207-22"},{"id":16,"name":"Locomotive ID","value":"4016"},{"id":130,"name":"Impact","value":""},{"id":150,"name":"Time of Event (Mountain Time)","value":"17:38:29"},{"id":151,"name":"Denver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623</v>
      </c>
      <c r="B124" s="7">
        <v>4015</v>
      </c>
      <c r="C124" s="22" t="s">
        <v>205</v>
      </c>
      <c r="D124" s="22" t="s">
        <v>277</v>
      </c>
      <c r="E124" s="13">
        <v>42726.739305555559</v>
      </c>
      <c r="F124" s="13">
        <v>42726.747453703705</v>
      </c>
      <c r="G124" s="7">
        <v>1</v>
      </c>
      <c r="H124" s="22" t="s">
        <v>235</v>
      </c>
      <c r="I124" s="13">
        <v>42726.77553240741</v>
      </c>
      <c r="J124" s="7">
        <v>0</v>
      </c>
      <c r="K124" s="109" t="str">
        <f t="shared" si="34"/>
        <v>4015/4016</v>
      </c>
      <c r="L124" s="22" t="str">
        <f>VLOOKUP(A124,'Trips&amp;Operators'!$C$1:$G$99999,5,FALSE)</f>
        <v>SMITH MICHAEL</v>
      </c>
      <c r="M124" s="6">
        <f t="shared" si="35"/>
        <v>2.8078703704522923E-2</v>
      </c>
      <c r="N124" s="7">
        <f t="shared" si="36"/>
        <v>40.433333334513009</v>
      </c>
      <c r="O124" s="7"/>
      <c r="P124" s="7"/>
      <c r="Q124" s="23"/>
      <c r="R124" s="23"/>
      <c r="S124" s="35">
        <f t="shared" si="37"/>
        <v>1</v>
      </c>
      <c r="T124" s="50" t="str">
        <f t="shared" si="38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16:44:36-700',mode:absolute,to:'2016-12-22 19:36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40"/>
        <v>N</v>
      </c>
      <c r="X124" s="177">
        <f t="shared" si="41"/>
        <v>1</v>
      </c>
      <c r="Y124" s="67">
        <f t="shared" si="42"/>
        <v>23.3</v>
      </c>
      <c r="Z124" s="67">
        <f t="shared" si="43"/>
        <v>1.4500000000000001E-2</v>
      </c>
      <c r="AA124" s="67">
        <f t="shared" si="44"/>
        <v>23.285499999999999</v>
      </c>
      <c r="AB124" s="64" t="e">
        <f>VLOOKUP(A124,Enforcements!$C$7:$K$19,8,0)</f>
        <v>#N/A</v>
      </c>
      <c r="AC124" s="60" t="e">
        <f>VLOOKUP(A124,Enforcements!$C$7:$E$19,3,0)</f>
        <v>#N/A</v>
      </c>
      <c r="AD124" s="61" t="str">
        <f t="shared" si="45"/>
        <v>0208-22</v>
      </c>
      <c r="AE124" s="91" t="str">
        <f t="shared" si="46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124" s="88" t="str">
        <f t="shared" si="47"/>
        <v>"C:\Program Files (x86)\AstroGrep\AstroGrep.exe" /spath="%USERPROFILE%\AppData\Local\Temp\OnboardLogs" /stypes="app*4015*20161223*" /stext=" 01:.+((SYSTEM_STATE.+slice.+state.+changed )|(ment ac)|(multiple cpu faults)|(system.+state.+changed )|(\[timeout)|(PRM\|1\|D)|(kpr)|(kdp)|(\|lc)|(penalty))" /e /r /s</v>
      </c>
      <c r="AG124" s="1" t="str">
        <f t="shared" si="48"/>
        <v>EC</v>
      </c>
      <c r="AH124" s="92" t="str">
        <f t="shared" si="49"/>
        <v>"%USERPROFILE%\Documents\GitHub\eaglep3\Utilities\RefineRTDCRunTimes.py" --tripid 208-22 --locoid 4015 --swversion DE.1.0.8.0 --startMP 204:233000 --initTime 2016-12-22T17:44:36 --startdatetime 2016-12-22T17:56:20 --delay 1 --endMP 204:145 --enddatetime 2016-12-22T18:36:46 --enforcementcount 0 &gt;&gt;C:\Users\stu\Documents\GitHub\eaglep3-reporting\EC\2016-12-22-refined-times.txt</v>
      </c>
      <c r="AI12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{"issue":{"subject":"","project_id":79,"tracker_id":40,"status_id":1,"priority_id":2,"assigned_to_id":23,"start_date":"2016-12-22","description":"","custom_fields":[{"id":1,"name":"Subdivision","value":"EC"},{"id":4,"name":"Milepost","value":"0.0145"},{"id":17,"name":"Train ID","value":"208-22"},{"id":16,"name":"Locomotive ID","value":"4015"},{"id":130,"name":"Impact","value":""},{"id":150,"name":"Time of Event (Mountain Time)","value":"18:36:46"},{"id":151,"name":"Denver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615</v>
      </c>
      <c r="B125" s="7">
        <v>4009</v>
      </c>
      <c r="C125" s="22" t="s">
        <v>205</v>
      </c>
      <c r="D125" s="22" t="s">
        <v>290</v>
      </c>
      <c r="E125" s="13">
        <v>42726.71298611111</v>
      </c>
      <c r="F125" s="13">
        <v>42726.718958333331</v>
      </c>
      <c r="G125" s="7">
        <v>2</v>
      </c>
      <c r="H125" s="22" t="s">
        <v>730</v>
      </c>
      <c r="I125" s="13">
        <v>42726.743900462963</v>
      </c>
      <c r="J125" s="7">
        <v>0</v>
      </c>
      <c r="K125" s="109" t="str">
        <f t="shared" si="34"/>
        <v>4009/4010</v>
      </c>
      <c r="L125" s="22" t="str">
        <f>VLOOKUP(A125,'Trips&amp;Operators'!$C$1:$G$99999,5,FALSE)</f>
        <v>WHITED DUSTIN</v>
      </c>
      <c r="M125" s="6">
        <f t="shared" si="35"/>
        <v>2.4942129632108845E-2</v>
      </c>
      <c r="N125" s="7">
        <f t="shared" si="36"/>
        <v>35.916666670236737</v>
      </c>
      <c r="O125" s="7"/>
      <c r="P125" s="7"/>
      <c r="Q125" s="23"/>
      <c r="R125" s="23"/>
      <c r="S125" s="35">
        <f t="shared" si="37"/>
        <v>1</v>
      </c>
      <c r="T125" s="50" t="str">
        <f t="shared" si="38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16:06:42-700',mode:absolute,to:'2016-12-22 18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5" s="52" t="str">
        <f t="shared" si="40"/>
        <v>N</v>
      </c>
      <c r="X125" s="177">
        <f t="shared" si="41"/>
        <v>1</v>
      </c>
      <c r="Y125" s="67">
        <f t="shared" si="42"/>
        <v>4.6899999999999997E-2</v>
      </c>
      <c r="Z125" s="67">
        <f t="shared" si="43"/>
        <v>23.327999999999999</v>
      </c>
      <c r="AA125" s="67">
        <f t="shared" si="44"/>
        <v>23.281099999999999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45"/>
        <v>0209-22</v>
      </c>
      <c r="AE125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25" s="88" t="str">
        <f t="shared" si="47"/>
        <v>"C:\Program Files (x86)\AstroGrep\AstroGrep.exe" /spath="%USERPROFILE%\AppData\Local\Temp\OnboardLogs" /stypes="app*4009*20161223*" /stext=" 00:.+((SYSTEM_STATE.+slice.+state.+changed )|(ment ac)|(multiple cpu faults)|(system.+state.+changed )|(\[timeout)|(PRM\|1\|D)|(kpr)|(kdp)|(\|lc)|(penalty))" /e /r /s</v>
      </c>
      <c r="AG125" s="1" t="str">
        <f t="shared" si="48"/>
        <v>EC</v>
      </c>
      <c r="AH125" s="92" t="str">
        <f t="shared" si="49"/>
        <v>"%USERPROFILE%\Documents\GitHub\eaglep3\Utilities\RefineRTDCRunTimes.py" --tripid 209-22 --locoid 4009 --swversion DE.1.0.8.0 --startMP 204:469 --initTime 2016-12-22T17:06:42 --startdatetime 2016-12-22T17:15:18 --delay 2 --endMP 204:233280 --enddatetime 2016-12-22T17:51:13 --enforcementcount 0 &gt;&gt;C:\Users\stu\Documents\GitHub\eaglep3-reporting\EC\2016-12-22-refined-times.txt</v>
      </c>
      <c r="AI12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{"issue":{"subject":"","project_id":79,"tracker_id":40,"status_id":1,"priority_id":2,"assigned_to_id":23,"start_date":"2016-12-22","description":"","custom_fields":[{"id":1,"name":"Subdivision","value":"EC"},{"id":4,"name":"Milepost","value":"23.328"},{"id":17,"name":"Train ID","value":"209-22"},{"id":16,"name":"Locomotive ID","value":"4009"},{"id":130,"name":"Impact","value":""},{"id":150,"name":"Time of Event (Mountain Time)","value":"17:51:13"},{"id":151,"name":"Denver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626</v>
      </c>
      <c r="B126" s="7">
        <v>4010</v>
      </c>
      <c r="C126" s="22" t="s">
        <v>205</v>
      </c>
      <c r="D126" s="22" t="s">
        <v>705</v>
      </c>
      <c r="E126" s="13">
        <v>42726.752916666665</v>
      </c>
      <c r="F126" s="13">
        <v>42726.757847222223</v>
      </c>
      <c r="G126" s="7">
        <v>1</v>
      </c>
      <c r="H126" s="22" t="s">
        <v>224</v>
      </c>
      <c r="I126" s="13">
        <v>42726.786099537036</v>
      </c>
      <c r="J126" s="7">
        <v>0</v>
      </c>
      <c r="K126" s="109" t="str">
        <f t="shared" si="34"/>
        <v>4009/4010</v>
      </c>
      <c r="L126" s="22" t="str">
        <f>VLOOKUP(A126,'Trips&amp;Operators'!$C$1:$G$99999,5,FALSE)</f>
        <v>WHITED DUSTIN</v>
      </c>
      <c r="M126" s="6">
        <f t="shared" si="35"/>
        <v>2.8252314812561963E-2</v>
      </c>
      <c r="N126" s="7">
        <f t="shared" si="36"/>
        <v>40.683333330089226</v>
      </c>
      <c r="O126" s="7"/>
      <c r="P126" s="7"/>
      <c r="Q126" s="23"/>
      <c r="R126" s="23"/>
      <c r="S126" s="35">
        <f t="shared" si="37"/>
        <v>1</v>
      </c>
      <c r="T126" s="50" t="str">
        <f t="shared" si="38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17:04:12-700',mode:absolute,to:'2016-12-22 19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6" s="52" t="str">
        <f t="shared" si="40"/>
        <v>N</v>
      </c>
      <c r="X126" s="177">
        <f t="shared" si="41"/>
        <v>1</v>
      </c>
      <c r="Y126" s="67">
        <f t="shared" si="42"/>
        <v>23.2971</v>
      </c>
      <c r="Z126" s="67">
        <f t="shared" si="43"/>
        <v>1.54E-2</v>
      </c>
      <c r="AA126" s="67">
        <f t="shared" si="44"/>
        <v>23.281700000000001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45"/>
        <v>0210-22</v>
      </c>
      <c r="AE126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26" s="88" t="str">
        <f t="shared" si="47"/>
        <v>"C:\Program Files (x86)\AstroGrep\AstroGrep.exe" /spath="%USERPROFILE%\AppData\Local\Temp\OnboardLogs" /stypes="app*4010*20161223*" /stext=" 01:.+((SYSTEM_STATE.+slice.+state.+changed )|(ment ac)|(multiple cpu faults)|(system.+state.+changed )|(\[timeout)|(PRM\|1\|D)|(kpr)|(kdp)|(\|lc)|(penalty))" /e /r /s</v>
      </c>
      <c r="AG126" s="1" t="str">
        <f t="shared" si="48"/>
        <v>EC</v>
      </c>
      <c r="AH126" s="92" t="str">
        <f t="shared" si="49"/>
        <v>"%USERPROFILE%\Documents\GitHub\eaglep3\Utilities\RefineRTDCRunTimes.py" --tripid 210-22 --locoid 4010 --swversion DE.1.0.8.0 --startMP 204:232971 --initTime 2016-12-22T18:04:12 --startdatetime 2016-12-22T18:11:18 --delay 1 --endMP 204:154 --enddatetime 2016-12-22T18:51:59 --enforcementcount 0 &gt;&gt;C:\Users\stu\Documents\GitHub\eaglep3-reporting\EC\2016-12-22-refined-times.txt</v>
      </c>
      <c r="AI12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ID","value":"210-22"},{"id":16,"name":"Locomotive ID","value":"4010"},{"id":130,"name":"Impact","value":""},{"id":150,"name":"Time of Event (Mountain Time)","value":"18:51:59"},{"id":151,"name":"Denver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473</v>
      </c>
      <c r="B127" s="7">
        <v>4018</v>
      </c>
      <c r="C127" s="22" t="s">
        <v>205</v>
      </c>
      <c r="D127" s="22" t="s">
        <v>230</v>
      </c>
      <c r="E127" s="13">
        <v>42726.726041666669</v>
      </c>
      <c r="F127" s="13">
        <v>42726.729618055557</v>
      </c>
      <c r="G127" s="7">
        <v>1</v>
      </c>
      <c r="H127" s="22" t="s">
        <v>731</v>
      </c>
      <c r="I127" s="13">
        <v>42726.754837962966</v>
      </c>
      <c r="J127" s="7">
        <v>0</v>
      </c>
      <c r="K127" s="109" t="str">
        <f t="shared" si="34"/>
        <v>4017/4018</v>
      </c>
      <c r="L127" s="22" t="str">
        <f>VLOOKUP(A127,'Trips&amp;Operators'!$C$1:$G$99999,5,FALSE)</f>
        <v>BARTLETT KIANDRA</v>
      </c>
      <c r="M127" s="6">
        <f t="shared" si="35"/>
        <v>2.5219907409336884E-2</v>
      </c>
      <c r="N127" s="7">
        <f t="shared" si="36"/>
        <v>36.316666669445112</v>
      </c>
      <c r="O127" s="7"/>
      <c r="P127" s="7"/>
      <c r="Q127" s="23"/>
      <c r="R127" s="23"/>
      <c r="S127" s="35">
        <f t="shared" si="37"/>
        <v>1</v>
      </c>
      <c r="T127" s="50" t="str">
        <f t="shared" si="38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16:25:30-700',mode:absolute,to:'2016-12-22 19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27" s="52" t="str">
        <f t="shared" si="40"/>
        <v>N</v>
      </c>
      <c r="X127" s="177">
        <f t="shared" si="41"/>
        <v>1</v>
      </c>
      <c r="Y127" s="67">
        <f t="shared" si="42"/>
        <v>4.5999999999999999E-2</v>
      </c>
      <c r="Z127" s="67">
        <f t="shared" si="43"/>
        <v>23.337399999999999</v>
      </c>
      <c r="AA127" s="67">
        <f t="shared" si="44"/>
        <v>23.291399999999999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45"/>
        <v>0211-22</v>
      </c>
      <c r="AE127" s="91" t="str">
        <f t="shared" si="46"/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AF127" s="88" t="str">
        <f t="shared" si="47"/>
        <v>"C:\Program Files (x86)\AstroGrep\AstroGrep.exe" /spath="%USERPROFILE%\AppData\Local\Temp\OnboardLogs" /stypes="app*4018*20161223*" /stext=" 01:.+((SYSTEM_STATE.+slice.+state.+changed )|(ment ac)|(multiple cpu faults)|(system.+state.+changed )|(\[timeout)|(PRM\|1\|D)|(kpr)|(kdp)|(\|lc)|(penalty))" /e /r /s</v>
      </c>
      <c r="AG127" s="1" t="str">
        <f t="shared" si="48"/>
        <v>EC</v>
      </c>
      <c r="AH127" s="92" t="str">
        <f t="shared" si="49"/>
        <v>"%USERPROFILE%\Documents\GitHub\eaglep3\Utilities\RefineRTDCRunTimes.py" --tripid 211-22 --locoid 4018 --swversion DE.1.0.8.0 --startMP 204:460 --initTime 2016-12-22T17:25:30 --startdatetime 2016-12-22T17:30:39 --delay 1 --endMP 204:233374 --enddatetime 2016-12-22T18:06:58 --enforcementcount 0 &gt;&gt;C:\Users\stu\Documents\GitHub\eaglep3-reporting\EC\2016-12-22-refined-times.txt</v>
      </c>
      <c r="AI12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{"issue":{"subject":"","project_id":79,"tracker_id":40,"status_id":1,"priority_id":2,"assigned_to_id":23,"start_date":"2016-12-22","description":"","custom_fields":[{"id":1,"name":"Subdivision","value":"EC"},{"id":4,"name":"Milepost","value":"23.3374"},{"id":17,"name":"Train ID","value":"211-22"},{"id":16,"name":"Locomotive ID","value":"4018"},{"id":130,"name":"Impact","value":""},{"id":150,"name":"Time of Event (Mountain Time)","value":"18:06:58"},{"id":151,"name":"Denver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628</v>
      </c>
      <c r="B128" s="7">
        <v>4017</v>
      </c>
      <c r="C128" s="22" t="s">
        <v>205</v>
      </c>
      <c r="D128" s="22" t="s">
        <v>732</v>
      </c>
      <c r="E128" s="13">
        <v>42726.756851851853</v>
      </c>
      <c r="F128" s="13">
        <v>42726.768287037034</v>
      </c>
      <c r="G128" s="7">
        <v>1</v>
      </c>
      <c r="H128" s="22" t="s">
        <v>211</v>
      </c>
      <c r="I128" s="13">
        <v>42726.794641203705</v>
      </c>
      <c r="J128" s="7">
        <v>0</v>
      </c>
      <c r="K128" s="109" t="str">
        <f t="shared" si="34"/>
        <v>4017/4018</v>
      </c>
      <c r="L128" s="22" t="str">
        <f>VLOOKUP(A128,'Trips&amp;Operators'!$C$1:$G$99999,5,FALSE)</f>
        <v>BARTLETT KIANDRA</v>
      </c>
      <c r="M128" s="6">
        <f t="shared" si="35"/>
        <v>2.6354166671808343E-2</v>
      </c>
      <c r="N128" s="7">
        <f t="shared" si="36"/>
        <v>37.950000007404014</v>
      </c>
      <c r="O128" s="7"/>
      <c r="P128" s="7"/>
      <c r="Q128" s="23"/>
      <c r="R128" s="23"/>
      <c r="S128" s="35">
        <f t="shared" si="37"/>
        <v>1</v>
      </c>
      <c r="T128" s="50" t="str">
        <f t="shared" si="38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17:09:52-700',mode:absolute,to:'2016-12-22 20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8" s="52" t="str">
        <f t="shared" si="40"/>
        <v>N</v>
      </c>
      <c r="X128" s="177">
        <f t="shared" si="41"/>
        <v>1</v>
      </c>
      <c r="Y128" s="67">
        <f t="shared" si="42"/>
        <v>23.305099999999999</v>
      </c>
      <c r="Z128" s="67">
        <f t="shared" si="43"/>
        <v>1.4999999999999999E-2</v>
      </c>
      <c r="AA128" s="67">
        <f t="shared" si="44"/>
        <v>23.290099999999999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45"/>
        <v>0212-22</v>
      </c>
      <c r="AE128" s="91" t="str">
        <f t="shared" si="46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128" s="88" t="str">
        <f t="shared" si="47"/>
        <v>"C:\Program Files (x86)\AstroGrep\AstroGrep.exe" /spath="%USERPROFILE%\AppData\Local\Temp\OnboardLogs" /stypes="app*4017*20161223*" /stext=" 02:.+((SYSTEM_STATE.+slice.+state.+changed )|(ment ac)|(multiple cpu faults)|(system.+state.+changed )|(\[timeout)|(PRM\|1\|D)|(kpr)|(kdp)|(\|lc)|(penalty))" /e /r /s</v>
      </c>
      <c r="AG128" s="1" t="str">
        <f t="shared" si="48"/>
        <v>EC</v>
      </c>
      <c r="AH128" s="92" t="str">
        <f t="shared" si="49"/>
        <v>"%USERPROFILE%\Documents\GitHub\eaglep3\Utilities\RefineRTDCRunTimes.py" --tripid 212-22 --locoid 4017 --swversion DE.1.0.8.0 --startMP 204:233051 --initTime 2016-12-22T18:09:52 --startdatetime 2016-12-22T18:26:20 --delay 1 --endMP 204:150 --enddatetime 2016-12-22T19:04:17 --enforcementcount 0 &gt;&gt;C:\Users\stu\Documents\GitHub\eaglep3-reporting\EC\2016-12-22-refined-times.txt</v>
      </c>
      <c r="AI12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ID","value":"212-22"},{"id":16,"name":"Locomotive ID","value":"4017"},{"id":130,"name":"Impact","value":""},{"id":150,"name":"Time of Event (Mountain Time)","value":"19:04:17"},{"id":151,"name":"Denver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618</v>
      </c>
      <c r="B129" s="7">
        <v>4029</v>
      </c>
      <c r="C129" s="22" t="s">
        <v>205</v>
      </c>
      <c r="D129" s="22" t="s">
        <v>279</v>
      </c>
      <c r="E129" s="13">
        <v>42726.732002314813</v>
      </c>
      <c r="F129" s="13">
        <v>42726.739745370367</v>
      </c>
      <c r="G129" s="7">
        <v>1</v>
      </c>
      <c r="H129" s="22" t="s">
        <v>320</v>
      </c>
      <c r="I129" s="13">
        <v>42726.763807870368</v>
      </c>
      <c r="J129" s="7">
        <v>0</v>
      </c>
      <c r="K129" s="109" t="str">
        <f t="shared" si="34"/>
        <v>4029/4030</v>
      </c>
      <c r="L129" s="22" t="str">
        <f>VLOOKUP(A129,'Trips&amp;Operators'!$C$1:$G$99999,5,FALSE)</f>
        <v>NEWELL JAMES</v>
      </c>
      <c r="M129" s="6">
        <f t="shared" si="35"/>
        <v>2.4062500000582077E-2</v>
      </c>
      <c r="N129" s="7">
        <f t="shared" si="36"/>
        <v>34.65000000083819</v>
      </c>
      <c r="O129" s="7"/>
      <c r="P129" s="7"/>
      <c r="Q129" s="23"/>
      <c r="R129" s="23"/>
      <c r="S129" s="35">
        <f t="shared" si="37"/>
        <v>1</v>
      </c>
      <c r="T129" s="50" t="str">
        <f t="shared" si="38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16:34:05-700',mode:absolute,to:'2016-12-22 19:19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9" s="52" t="str">
        <f t="shared" si="40"/>
        <v>N</v>
      </c>
      <c r="X129" s="177">
        <f t="shared" si="41"/>
        <v>1</v>
      </c>
      <c r="Y129" s="67">
        <f t="shared" si="42"/>
        <v>4.3999999999999997E-2</v>
      </c>
      <c r="Z129" s="67">
        <f t="shared" si="43"/>
        <v>23.329699999999999</v>
      </c>
      <c r="AA129" s="67">
        <f t="shared" si="44"/>
        <v>23.285699999999999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45"/>
        <v>0213-22</v>
      </c>
      <c r="AE129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29" s="88" t="str">
        <f t="shared" si="47"/>
        <v>"C:\Program Files (x86)\AstroGrep\AstroGrep.exe" /spath="%USERPROFILE%\AppData\Local\Temp\OnboardLogs" /stypes="app*4029*20161223*" /stext=" 01:.+((SYSTEM_STATE.+slice.+state.+changed )|(ment ac)|(multiple cpu faults)|(system.+state.+changed )|(\[timeout)|(PRM\|1\|D)|(kpr)|(kdp)|(\|lc)|(penalty))" /e /r /s</v>
      </c>
      <c r="AG129" s="1" t="str">
        <f t="shared" si="48"/>
        <v>EC</v>
      </c>
      <c r="AH129" s="92" t="str">
        <f t="shared" si="49"/>
        <v>"%USERPROFILE%\Documents\GitHub\eaglep3\Utilities\RefineRTDCRunTimes.py" --tripid 213-22 --locoid 4029 --swversion DE.1.0.8.0 --startMP 204:440 --initTime 2016-12-22T17:34:05 --startdatetime 2016-12-22T17:45:14 --delay 1 --endMP 204:233297 --enddatetime 2016-12-22T18:19:53 --enforcementcount 0 &gt;&gt;C:\Users\stu\Documents\GitHub\eaglep3-reporting\EC\2016-12-22-refined-times.txt</v>
      </c>
      <c r="AI12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ID","value":"213-22"},{"id":16,"name":"Locomotive ID","value":"4029"},{"id":130,"name":"Impact","value":""},{"id":150,"name":"Time of Event (Mountain Time)","value":"18:19:53"},{"id":151,"name":"Denver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634</v>
      </c>
      <c r="B130" s="7">
        <v>4030</v>
      </c>
      <c r="C130" s="22" t="s">
        <v>205</v>
      </c>
      <c r="D130" s="22" t="s">
        <v>405</v>
      </c>
      <c r="E130" s="13">
        <v>42726.768368055556</v>
      </c>
      <c r="F130" s="13">
        <v>42726.778657407405</v>
      </c>
      <c r="G130" s="7">
        <v>1</v>
      </c>
      <c r="H130" s="22" t="s">
        <v>244</v>
      </c>
      <c r="I130" s="13">
        <v>42726.804976851854</v>
      </c>
      <c r="J130" s="7">
        <v>0</v>
      </c>
      <c r="K130" s="109" t="str">
        <f t="shared" si="34"/>
        <v>4029/4030</v>
      </c>
      <c r="L130" s="22" t="str">
        <f>VLOOKUP(A130,'Trips&amp;Operators'!$C$1:$G$99999,5,FALSE)</f>
        <v>NEWELL JAMES</v>
      </c>
      <c r="M130" s="6">
        <f t="shared" si="35"/>
        <v>2.6319444448745344E-2</v>
      </c>
      <c r="N130" s="7">
        <f t="shared" si="36"/>
        <v>37.900000006193295</v>
      </c>
      <c r="O130" s="7"/>
      <c r="P130" s="7"/>
      <c r="Q130" s="23"/>
      <c r="R130" s="23"/>
      <c r="S130" s="35">
        <f t="shared" si="37"/>
        <v>1</v>
      </c>
      <c r="T130" s="50" t="str">
        <f t="shared" si="38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17:26:27-700',mode:absolute,to:'2016-12-22 20:19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0" s="52" t="str">
        <f t="shared" si="40"/>
        <v>N</v>
      </c>
      <c r="X130" s="177">
        <f t="shared" si="41"/>
        <v>1</v>
      </c>
      <c r="Y130" s="67">
        <f t="shared" si="42"/>
        <v>23.2988</v>
      </c>
      <c r="Z130" s="67">
        <f t="shared" si="43"/>
        <v>1.6299999999999999E-2</v>
      </c>
      <c r="AA130" s="67">
        <f t="shared" si="44"/>
        <v>23.282499999999999</v>
      </c>
      <c r="AB130" s="64" t="e">
        <f>VLOOKUP(A130,Enforcements!$C$7:$K$19,8,0)</f>
        <v>#N/A</v>
      </c>
      <c r="AC130" s="60" t="e">
        <f>VLOOKUP(A130,Enforcements!$C$7:$E$19,3,0)</f>
        <v>#N/A</v>
      </c>
      <c r="AD130" s="61" t="str">
        <f t="shared" si="45"/>
        <v>0214-22</v>
      </c>
      <c r="AE130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30" s="88" t="str">
        <f t="shared" si="47"/>
        <v>"C:\Program Files (x86)\AstroGrep\AstroGrep.exe" /spath="%USERPROFILE%\AppData\Local\Temp\OnboardLogs" /stypes="app*4030*20161223*" /stext=" 02:.+((SYSTEM_STATE.+slice.+state.+changed )|(ment ac)|(multiple cpu faults)|(system.+state.+changed )|(\[timeout)|(PRM\|1\|D)|(kpr)|(kdp)|(\|lc)|(penalty))" /e /r /s</v>
      </c>
      <c r="AG130" s="1" t="str">
        <f t="shared" si="48"/>
        <v>EC</v>
      </c>
      <c r="AH130" s="92" t="str">
        <f t="shared" si="49"/>
        <v>"%USERPROFILE%\Documents\GitHub\eaglep3\Utilities\RefineRTDCRunTimes.py" --tripid 214-22 --locoid 4030 --swversion DE.1.0.8.0 --startMP 204:232988 --initTime 2016-12-22T18:26:27 --startdatetime 2016-12-22T18:41:16 --delay 1 --endMP 204:163 --enddatetime 2016-12-22T19:19:10 --enforcementcount 0 &gt;&gt;C:\Users\stu\Documents\GitHub\eaglep3-reporting\EC\2016-12-22-refined-times.txt</v>
      </c>
      <c r="AI13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ID","value":"214-22"},{"id":16,"name":"Locomotive ID","value":"4030"},{"id":130,"name":"Impact","value":""},{"id":150,"name":"Time of Event (Mountain Time)","value":"19:19:10"},{"id":151,"name":"Denver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624</v>
      </c>
      <c r="B131" s="7">
        <v>4051</v>
      </c>
      <c r="C131" s="22" t="s">
        <v>205</v>
      </c>
      <c r="D131" s="22" t="s">
        <v>733</v>
      </c>
      <c r="E131" s="13">
        <v>42726.749699074076</v>
      </c>
      <c r="F131" s="13">
        <v>42726.751481481479</v>
      </c>
      <c r="G131" s="7">
        <v>2</v>
      </c>
      <c r="H131" s="22" t="s">
        <v>281</v>
      </c>
      <c r="I131" s="13">
        <v>42726.775520833333</v>
      </c>
      <c r="J131" s="7">
        <v>0</v>
      </c>
      <c r="K131" s="109" t="str">
        <f t="shared" si="34"/>
        <v>4051/4052</v>
      </c>
      <c r="L131" s="22" t="str">
        <f>VLOOKUP(A131,'Trips&amp;Operators'!$C$1:$G$99999,5,FALSE)</f>
        <v>BRANNON JEFFREY</v>
      </c>
      <c r="M131" s="6">
        <f t="shared" si="35"/>
        <v>2.4039351854298729E-2</v>
      </c>
      <c r="N131" s="7">
        <f t="shared" si="36"/>
        <v>34.61666667019017</v>
      </c>
      <c r="O131" s="7"/>
      <c r="P131" s="7"/>
      <c r="Q131" s="23"/>
      <c r="R131" s="23"/>
      <c r="S131" s="35">
        <f t="shared" si="37"/>
        <v>1</v>
      </c>
      <c r="T131" s="50" t="str">
        <f t="shared" si="38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16:59:34-700',mode:absolute,to:'2016-12-22 19:36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1" s="52" t="str">
        <f t="shared" si="40"/>
        <v>N</v>
      </c>
      <c r="X131" s="177">
        <f t="shared" si="41"/>
        <v>1</v>
      </c>
      <c r="Y131" s="67">
        <f t="shared" si="42"/>
        <v>0.18940000000000001</v>
      </c>
      <c r="Z131" s="67">
        <f t="shared" si="43"/>
        <v>23.329799999999999</v>
      </c>
      <c r="AA131" s="67">
        <f t="shared" si="44"/>
        <v>23.1404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45"/>
        <v>0215-22</v>
      </c>
      <c r="AE131" s="91" t="str">
        <f t="shared" si="46"/>
        <v>aws s3 cp s3://rtdc.mdm.uploadarchive.raw/RTDC4051/ "%USERPROFILE%\AppData\Local\Temp\OnboardLogs"\RTDC4051\2016-12-22 --exclude "*" --recursive --include "*20161222*" &amp; "%USERPROFILE%\Documents\GitHub\mrs-test-scripts\Headless Mode &amp; Sideloading\WalkAndUnGZ.bat" "%USERPROFILE%\AppData\Local\Temp\OnboardLogs"\RTDC4051\2016-12-22 &amp; aws s3 cp s3://rtdc.mdm.uploadarchive.raw/RTDC4051/ "%USERPROFILE%\AppData\Local\Temp\OnboardLogs"\RTDC4051\2016-12-23 --exclude "*" --recursive --include "*20161223*" &amp; "%USERPROFILE%\Documents\GitHub\mrs-test-scripts\Headless Mode &amp; Sideloading\WalkAndUnGZ.bat" "%USERPROFILE%\AppData\Local\Temp\OnboardLogs"\RTDC4051\2016-12-23</v>
      </c>
      <c r="AF131" s="88" t="str">
        <f t="shared" si="47"/>
        <v>"C:\Program Files (x86)\AstroGrep\AstroGrep.exe" /spath="%USERPROFILE%\AppData\Local\Temp\OnboardLogs" /stypes="app*4051*20161223*" /stext=" 01:.+((SYSTEM_STATE.+slice.+state.+changed )|(ment ac)|(multiple cpu faults)|(system.+state.+changed )|(\[timeout)|(PRM\|1\|D)|(kpr)|(kdp)|(\|lc)|(penalty))" /e /r /s</v>
      </c>
      <c r="AG131" s="1" t="str">
        <f t="shared" si="48"/>
        <v>EC</v>
      </c>
      <c r="AH131" s="92" t="str">
        <f t="shared" si="49"/>
        <v>"%USERPROFILE%\Documents\GitHub\eaglep3\Utilities\RefineRTDCRunTimes.py" --tripid 215-22 --locoid 4051 --swversion DE.1.0.8.0 --startMP 204:1894 --initTime 2016-12-22T17:59:34 --startdatetime 2016-12-22T18:02:08 --delay 2 --endMP 204:233298 --enddatetime 2016-12-22T18:36:45 --enforcementcount 0 &gt;&gt;C:\Users\stu\Documents\GitHub\eaglep3-reporting\EC\2016-12-22-refined-times.txt</v>
      </c>
      <c r="AI13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{"issue":{"subject":"","project_id":79,"tracker_id":40,"status_id":1,"priority_id":2,"assigned_to_id":23,"start_date":"2016-12-22","description":"","custom_fields":[{"id":1,"name":"Subdivision","value":"EC"},{"id":4,"name":"Milepost","value":"23.3298"},{"id":17,"name":"Train ID","value":"215-22"},{"id":16,"name":"Locomotive ID","value":"4051"},{"id":130,"name":"Impact","value":""},{"id":150,"name":"Time of Event (Mountain Time)","value":"18:36:45"},{"id":151,"name":"Denver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475</v>
      </c>
      <c r="B132" s="7">
        <v>4052</v>
      </c>
      <c r="C132" s="22" t="s">
        <v>205</v>
      </c>
      <c r="D132" s="22" t="s">
        <v>270</v>
      </c>
      <c r="E132" s="13">
        <v>42726.785451388889</v>
      </c>
      <c r="F132" s="13">
        <v>42726.789074074077</v>
      </c>
      <c r="G132" s="7">
        <v>1</v>
      </c>
      <c r="H132" s="22" t="s">
        <v>347</v>
      </c>
      <c r="I132" s="13">
        <v>42726.816307870373</v>
      </c>
      <c r="J132" s="7">
        <v>0</v>
      </c>
      <c r="K132" s="109" t="str">
        <f t="shared" si="34"/>
        <v>4051/4052</v>
      </c>
      <c r="L132" s="22" t="str">
        <f>VLOOKUP(A132,'Trips&amp;Operators'!$C$1:$G$99999,5,FALSE)</f>
        <v>BRANNON JEFFREY</v>
      </c>
      <c r="M132" s="6">
        <f t="shared" si="35"/>
        <v>2.7233796296059154E-2</v>
      </c>
      <c r="N132" s="7">
        <f t="shared" si="36"/>
        <v>39.216666666325182</v>
      </c>
      <c r="O132" s="7"/>
      <c r="P132" s="7"/>
      <c r="Q132" s="23"/>
      <c r="R132" s="23"/>
      <c r="S132" s="35">
        <f t="shared" si="37"/>
        <v>1</v>
      </c>
      <c r="T132" s="50" t="str">
        <f t="shared" si="38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17:51:03-700',mode:absolute,to:'2016-12-22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2" s="52" t="str">
        <f t="shared" si="40"/>
        <v>N</v>
      </c>
      <c r="X132" s="177">
        <f t="shared" si="41"/>
        <v>1</v>
      </c>
      <c r="Y132" s="67">
        <f t="shared" si="42"/>
        <v>23.298500000000001</v>
      </c>
      <c r="Z132" s="67">
        <f t="shared" si="43"/>
        <v>1.52E-2</v>
      </c>
      <c r="AA132" s="67">
        <f t="shared" si="44"/>
        <v>23.283300000000001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45"/>
        <v>0216-22</v>
      </c>
      <c r="AE132" s="91" t="str">
        <f t="shared" si="46"/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AF132" s="88" t="str">
        <f t="shared" si="47"/>
        <v>"C:\Program Files (x86)\AstroGrep\AstroGrep.exe" /spath="%USERPROFILE%\AppData\Local\Temp\OnboardLogs" /stypes="app*4052*20161223*" /stext=" 02:.+((SYSTEM_STATE.+slice.+state.+changed )|(ment ac)|(multiple cpu faults)|(system.+state.+changed )|(\[timeout)|(PRM\|1\|D)|(kpr)|(kdp)|(\|lc)|(penalty))" /e /r /s</v>
      </c>
      <c r="AG132" s="1" t="str">
        <f t="shared" si="48"/>
        <v>EC</v>
      </c>
      <c r="AH132" s="92" t="str">
        <f t="shared" si="49"/>
        <v>"%USERPROFILE%\Documents\GitHub\eaglep3\Utilities\RefineRTDCRunTimes.py" --tripid 216-22 --locoid 4052 --swversion DE.1.0.8.0 --startMP 204:232985 --initTime 2016-12-22T18:51:03 --startdatetime 2016-12-22T18:56:16 --delay 1 --endMP 204:152 --enddatetime 2016-12-22T19:35:29 --enforcementcount 0 &gt;&gt;C:\Users\stu\Documents\GitHub\eaglep3-reporting\EC\2016-12-22-refined-times.txt</v>
      </c>
      <c r="AI13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{"issue":{"subject":"","project_id":79,"tracker_id":40,"status_id":1,"priority_id":2,"assigned_to_id":23,"start_date":"2016-12-22","description":"","custom_fields":[{"id":1,"name":"Subdivision","value":"EC"},{"id":4,"name":"Milepost","value":"0.0152"},{"id":17,"name":"Train ID","value":"216-22"},{"id":16,"name":"Locomotive ID","value":"4052"},{"id":130,"name":"Impact","value":""},{"id":150,"name":"Time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629</v>
      </c>
      <c r="B133" s="7">
        <v>4027</v>
      </c>
      <c r="C133" s="22" t="s">
        <v>205</v>
      </c>
      <c r="D133" s="22" t="s">
        <v>734</v>
      </c>
      <c r="E133" s="13">
        <v>42726.758645833332</v>
      </c>
      <c r="F133" s="13">
        <v>42726.760833333334</v>
      </c>
      <c r="G133" s="7">
        <v>2</v>
      </c>
      <c r="H133" s="22" t="s">
        <v>343</v>
      </c>
      <c r="I133" s="13">
        <v>42726.785636574074</v>
      </c>
      <c r="J133" s="7">
        <v>0</v>
      </c>
      <c r="K133" s="109" t="str">
        <f t="shared" si="34"/>
        <v>4027/4028</v>
      </c>
      <c r="L133" s="22" t="str">
        <f>VLOOKUP(A133,'Trips&amp;Operators'!$C$1:$G$99999,5,FALSE)</f>
        <v>BROWN JACOB</v>
      </c>
      <c r="M133" s="6">
        <f t="shared" si="35"/>
        <v>2.4803240739856847E-2</v>
      </c>
      <c r="N133" s="7">
        <f t="shared" si="36"/>
        <v>35.716666665393859</v>
      </c>
      <c r="O133" s="7"/>
      <c r="P133" s="7"/>
      <c r="Q133" s="23"/>
      <c r="R133" s="23"/>
      <c r="S133" s="35">
        <f t="shared" si="37"/>
        <v>1</v>
      </c>
      <c r="T133" s="50" t="str">
        <f t="shared" si="38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17:12:27-700',mode:absolute,to:'2016-12-22 19:51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33" s="52" t="str">
        <f t="shared" si="40"/>
        <v>N</v>
      </c>
      <c r="X133" s="177">
        <f t="shared" si="41"/>
        <v>1</v>
      </c>
      <c r="Y133" s="67">
        <f t="shared" si="42"/>
        <v>4.9299999999999997E-2</v>
      </c>
      <c r="Z133" s="67">
        <f t="shared" si="43"/>
        <v>23.328800000000001</v>
      </c>
      <c r="AA133" s="67">
        <f t="shared" si="44"/>
        <v>23.279500000000002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45"/>
        <v>0217-22</v>
      </c>
      <c r="AE133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33" s="88" t="str">
        <f t="shared" si="47"/>
        <v>"C:\Program Files (x86)\AstroGrep\AstroGrep.exe" /spath="%USERPROFILE%\AppData\Local\Temp\OnboardLogs" /stypes="app*4027*20161223*" /stext=" 01:.+((SYSTEM_STATE.+slice.+state.+changed )|(ment ac)|(multiple cpu faults)|(system.+state.+changed )|(\[timeout)|(PRM\|1\|D)|(kpr)|(kdp)|(\|lc)|(penalty))" /e /r /s</v>
      </c>
      <c r="AG133" s="1" t="str">
        <f t="shared" si="48"/>
        <v>EC</v>
      </c>
      <c r="AH133" s="92" t="str">
        <f t="shared" si="49"/>
        <v>"%USERPROFILE%\Documents\GitHub\eaglep3\Utilities\RefineRTDCRunTimes.py" --tripid 217-22 --locoid 4027 --swversion DE.1.0.8.0 --startMP 204:493 --initTime 2016-12-22T18:12:27 --startdatetime 2016-12-22T18:15:36 --delay 2 --endMP 204:233288 --enddatetime 2016-12-22T18:51:19 --enforcementcount 0 &gt;&gt;C:\Users\stu\Documents\GitHub\eaglep3-reporting\EC\2016-12-22-refined-times.txt</v>
      </c>
      <c r="AI133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{"issue":{"subject":"","project_id":79,"tracker_id":40,"status_id":1,"priority_id":2,"assigned_to_id":23,"start_date":"2016-12-22","description":"","custom_fields":[{"id":1,"name":"Subdivision","value":"EC"},{"id":4,"name":"Milepost","value":"23.3288"},{"id":17,"name":"Train ID","value":"217-22"},{"id":16,"name":"Locomotive ID","value":"4027"},{"id":130,"name":"Impact","value":""},{"id":150,"name":"Time of Event (Mountain Time)","value":"18:51:19"},{"id":151,"name":"Denver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639</v>
      </c>
      <c r="B134" s="7">
        <v>4028</v>
      </c>
      <c r="C134" s="22" t="s">
        <v>205</v>
      </c>
      <c r="D134" s="22" t="s">
        <v>296</v>
      </c>
      <c r="E134" s="13">
        <v>42726.795208333337</v>
      </c>
      <c r="F134" s="13">
        <v>42726.799803240741</v>
      </c>
      <c r="G134" s="7">
        <v>1</v>
      </c>
      <c r="H134" s="22" t="s">
        <v>395</v>
      </c>
      <c r="I134" s="13">
        <v>42726.827060185184</v>
      </c>
      <c r="J134" s="7">
        <v>0</v>
      </c>
      <c r="K134" s="109" t="str">
        <f t="shared" si="34"/>
        <v>4027/4028</v>
      </c>
      <c r="L134" s="22" t="str">
        <f>VLOOKUP(A134,'Trips&amp;Operators'!$C$1:$G$99999,5,FALSE)</f>
        <v>BROWN JACOB</v>
      </c>
      <c r="M134" s="6">
        <f t="shared" si="35"/>
        <v>2.7256944442342501E-2</v>
      </c>
      <c r="N134" s="7">
        <f t="shared" si="36"/>
        <v>39.249999996973202</v>
      </c>
      <c r="O134" s="7"/>
      <c r="P134" s="7"/>
      <c r="Q134" s="23"/>
      <c r="R134" s="23"/>
      <c r="S134" s="35">
        <f t="shared" si="37"/>
        <v>1</v>
      </c>
      <c r="T134" s="50" t="str">
        <f t="shared" si="38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18:05:06-700',mode:absolute,to:'2016-12-22 20:50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34" s="52" t="str">
        <f t="shared" si="40"/>
        <v>N</v>
      </c>
      <c r="X134" s="177">
        <f t="shared" si="41"/>
        <v>1</v>
      </c>
      <c r="Y134" s="67">
        <f t="shared" si="42"/>
        <v>23.297799999999999</v>
      </c>
      <c r="Z134" s="67">
        <f t="shared" si="43"/>
        <v>1.5800000000000002E-2</v>
      </c>
      <c r="AA134" s="67">
        <f t="shared" si="44"/>
        <v>23.282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45"/>
        <v>0218-22</v>
      </c>
      <c r="AE134" s="91" t="str">
        <f t="shared" si="46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34" s="88" t="str">
        <f t="shared" si="47"/>
        <v>"C:\Program Files (x86)\AstroGrep\AstroGrep.exe" /spath="%USERPROFILE%\AppData\Local\Temp\OnboardLogs" /stypes="app*4028*20161223*" /stext=" 02:.+((SYSTEM_STATE.+slice.+state.+changed )|(ment ac)|(multiple cpu faults)|(system.+state.+changed )|(\[timeout)|(PRM\|1\|D)|(kpr)|(kdp)|(\|lc)|(penalty))" /e /r /s</v>
      </c>
      <c r="AG134" s="1" t="str">
        <f t="shared" si="48"/>
        <v>EC</v>
      </c>
      <c r="AH134" s="92" t="str">
        <f t="shared" si="49"/>
        <v>"%USERPROFILE%\Documents\GitHub\eaglep3\Utilities\RefineRTDCRunTimes.py" --tripid 218-22 --locoid 4028 --swversion DE.1.0.8.0 --startMP 204:232978 --initTime 2016-12-22T19:05:06 --startdatetime 2016-12-22T19:11:43 --delay 1 --endMP 204:158 --enddatetime 2016-12-22T19:50:58 --enforcementcount 0 &gt;&gt;C:\Users\stu\Documents\GitHub\eaglep3-reporting\EC\2016-12-22-refined-times.txt</v>
      </c>
      <c r="AI134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ID","value":"218-22"},{"id":16,"name":"Locomotive ID","value":"4028"},{"id":130,"name":"Impact","value":""},{"id":150,"name":"Time of Event (Mountain Time)","value":"19:50:58"},{"id":151,"name":"Denver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633</v>
      </c>
      <c r="B135" s="7">
        <v>4046</v>
      </c>
      <c r="C135" s="22" t="s">
        <v>205</v>
      </c>
      <c r="D135" s="22" t="s">
        <v>193</v>
      </c>
      <c r="E135" s="13">
        <v>42726.76666666667</v>
      </c>
      <c r="F135" s="13">
        <v>42726.770995370367</v>
      </c>
      <c r="G135" s="7">
        <v>1</v>
      </c>
      <c r="H135" s="22" t="s">
        <v>735</v>
      </c>
      <c r="I135" s="13">
        <v>42726.795324074075</v>
      </c>
      <c r="J135" s="7">
        <v>0</v>
      </c>
      <c r="K135" s="109" t="str">
        <f t="shared" si="34"/>
        <v>4045/4046</v>
      </c>
      <c r="L135" s="22" t="str">
        <f>VLOOKUP(A135,'Trips&amp;Operators'!$C$1:$G$99999,5,FALSE)</f>
        <v>HILLS DUSTIN</v>
      </c>
      <c r="M135" s="6">
        <f t="shared" si="35"/>
        <v>2.4328703708306421E-2</v>
      </c>
      <c r="N135" s="7">
        <f t="shared" si="36"/>
        <v>35.033333339961246</v>
      </c>
      <c r="O135" s="7"/>
      <c r="P135" s="7"/>
      <c r="Q135" s="23"/>
      <c r="R135" s="23"/>
      <c r="S135" s="35">
        <f t="shared" si="37"/>
        <v>1</v>
      </c>
      <c r="T135" s="50" t="str">
        <f t="shared" si="38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17:24:00-700',mode:absolute,to:'2016-12-22 20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5" s="52" t="str">
        <f t="shared" si="40"/>
        <v>N</v>
      </c>
      <c r="X135" s="177">
        <f t="shared" si="41"/>
        <v>1</v>
      </c>
      <c r="Y135" s="67">
        <f t="shared" si="42"/>
        <v>4.4699999999999997E-2</v>
      </c>
      <c r="Z135" s="67">
        <f t="shared" si="43"/>
        <v>23.3385</v>
      </c>
      <c r="AA135" s="67">
        <f t="shared" si="44"/>
        <v>23.293800000000001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45"/>
        <v>0219-22</v>
      </c>
      <c r="AE135" s="91" t="str">
        <f t="shared" si="46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35" s="88" t="str">
        <f t="shared" si="47"/>
        <v>"C:\Program Files (x86)\AstroGrep\AstroGrep.exe" /spath="%USERPROFILE%\AppData\Local\Temp\OnboardLogs" /stypes="app*4046*20161223*" /stext=" 02:.+((SYSTEM_STATE.+slice.+state.+changed )|(ment ac)|(multiple cpu faults)|(system.+state.+changed )|(\[timeout)|(PRM\|1\|D)|(kpr)|(kdp)|(\|lc)|(penalty))" /e /r /s</v>
      </c>
      <c r="AG135" s="1" t="str">
        <f t="shared" si="48"/>
        <v>EC</v>
      </c>
      <c r="AH135" s="92" t="str">
        <f t="shared" si="49"/>
        <v>"%USERPROFILE%\Documents\GitHub\eaglep3\Utilities\RefineRTDCRunTimes.py" --tripid 219-22 --locoid 4046 --swversion DE.1.0.8.0 --startMP 204:447 --initTime 2016-12-22T18:24:00 --startdatetime 2016-12-22T18:30:14 --delay 1 --endMP 204:233385 --enddatetime 2016-12-22T19:05:16 --enforcementcount 0 &gt;&gt;C:\Users\stu\Documents\GitHub\eaglep3-reporting\EC\2016-12-22-refined-times.txt</v>
      </c>
      <c r="AI135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{"issue":{"subject":"","project_id":79,"tracker_id":40,"status_id":1,"priority_id":2,"assigned_to_id":23,"start_date":"2016-12-22","description":"","custom_fields":[{"id":1,"name":"Subdivision","value":"EC"},{"id":4,"name":"Milepost","value":"23.3385"},{"id":17,"name":"Train ID","value":"219-22"},{"id":16,"name":"Locomotive ID","value":"4046"},{"id":130,"name":"Impact","value":""},{"id":150,"name":"Time of Event (Mountain Time)","value":"19:05:16"},{"id":151,"name":"Denver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641</v>
      </c>
      <c r="B136" s="7">
        <v>4045</v>
      </c>
      <c r="C136" s="22" t="s">
        <v>205</v>
      </c>
      <c r="D136" s="22" t="s">
        <v>736</v>
      </c>
      <c r="E136" s="13">
        <v>42726.797013888892</v>
      </c>
      <c r="F136" s="13">
        <v>42726.809930555559</v>
      </c>
      <c r="G136" s="7">
        <v>1</v>
      </c>
      <c r="H136" s="22" t="s">
        <v>737</v>
      </c>
      <c r="I136" s="13">
        <v>42726.836168981485</v>
      </c>
      <c r="J136" s="7">
        <v>0</v>
      </c>
      <c r="K136" s="109" t="str">
        <f t="shared" si="34"/>
        <v>4045/4046</v>
      </c>
      <c r="L136" s="22" t="str">
        <f>VLOOKUP(A136,'Trips&amp;Operators'!$C$1:$G$99999,5,FALSE)</f>
        <v>HILLS DUSTIN</v>
      </c>
      <c r="M136" s="6">
        <f t="shared" si="35"/>
        <v>2.6238425925839692E-2</v>
      </c>
      <c r="N136" s="7">
        <f t="shared" si="36"/>
        <v>37.783333333209157</v>
      </c>
      <c r="O136" s="7"/>
      <c r="P136" s="7"/>
      <c r="Q136" s="23"/>
      <c r="R136" s="23"/>
      <c r="S136" s="35">
        <f t="shared" si="37"/>
        <v>1</v>
      </c>
      <c r="T136" s="50" t="str">
        <f t="shared" si="38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18:07:42-700',mode:absolute,to:'2016-12-22 21:04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6" s="52" t="str">
        <f t="shared" si="40"/>
        <v>N</v>
      </c>
      <c r="X136" s="177">
        <f t="shared" si="41"/>
        <v>1</v>
      </c>
      <c r="Y136" s="67">
        <f t="shared" si="42"/>
        <v>23.307700000000001</v>
      </c>
      <c r="Z136" s="67">
        <f t="shared" si="43"/>
        <v>7.4000000000000003E-3</v>
      </c>
      <c r="AA136" s="67">
        <f t="shared" si="44"/>
        <v>23.3003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45"/>
        <v>0220-22</v>
      </c>
      <c r="AE136" s="91" t="str">
        <f t="shared" si="46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36" s="88" t="str">
        <f t="shared" si="47"/>
        <v>"C:\Program Files (x86)\AstroGrep\AstroGrep.exe" /spath="%USERPROFILE%\AppData\Local\Temp\OnboardLogs" /stypes="app*4045*20161223*" /stext=" 03:.+((SYSTEM_STATE.+slice.+state.+changed )|(ment ac)|(multiple cpu faults)|(system.+state.+changed )|(\[timeout)|(PRM\|1\|D)|(kpr)|(kdp)|(\|lc)|(penalty))" /e /r /s</v>
      </c>
      <c r="AG136" s="1" t="str">
        <f t="shared" si="48"/>
        <v>EC</v>
      </c>
      <c r="AH136" s="92" t="str">
        <f t="shared" si="49"/>
        <v>"%USERPROFILE%\Documents\GitHub\eaglep3\Utilities\RefineRTDCRunTimes.py" --tripid 220-22 --locoid 4045 --swversion DE.1.0.8.0 --startMP 204:233077 --initTime 2016-12-22T19:07:42 --startdatetime 2016-12-22T19:26:18 --delay 1 --endMP 204:74 --enddatetime 2016-12-22T20:04:05 --enforcementcount 0 &gt;&gt;C:\Users\stu\Documents\GitHub\eaglep3-reporting\EC\2016-12-22-refined-times.txt</v>
      </c>
      <c r="AI136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{"issue":{"subject":"","project_id":79,"tracker_id":40,"status_id":1,"priority_id":2,"assigned_to_id":23,"start_date":"2016-12-22","description":"","custom_fields":[{"id":1,"name":"Subdivision","value":"EC"},{"id":4,"name":"Milepost","value":"0.0074"},{"id":17,"name":"Train ID","value":"220-22"},{"id":16,"name":"Locomotive ID","value":"4045"},{"id":130,"name":"Impact","value":""},{"id":150,"name":"Time of Event (Mountain Time)","value":"20:04:05"},{"id":151,"name":"Denver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638</v>
      </c>
      <c r="B137" s="7">
        <v>4009</v>
      </c>
      <c r="C137" s="22" t="s">
        <v>205</v>
      </c>
      <c r="D137" s="22" t="s">
        <v>273</v>
      </c>
      <c r="E137" s="13">
        <v>42726.788472222222</v>
      </c>
      <c r="F137" s="13">
        <v>42726.792002314818</v>
      </c>
      <c r="G137" s="7">
        <v>1</v>
      </c>
      <c r="H137" s="22" t="s">
        <v>346</v>
      </c>
      <c r="I137" s="13">
        <v>42726.817499999997</v>
      </c>
      <c r="J137" s="7">
        <v>0</v>
      </c>
      <c r="K137" s="109" t="str">
        <f t="shared" si="34"/>
        <v>4009/4010</v>
      </c>
      <c r="L137" s="22" t="str">
        <f>VLOOKUP(A137,'Trips&amp;Operators'!$C$1:$G$99999,5,FALSE)</f>
        <v>WHITED DUSTIN</v>
      </c>
      <c r="M137" s="6">
        <f t="shared" si="35"/>
        <v>2.5497685179288965E-2</v>
      </c>
      <c r="N137" s="7">
        <f t="shared" si="36"/>
        <v>36.716666658176109</v>
      </c>
      <c r="O137" s="7"/>
      <c r="P137" s="7"/>
      <c r="Q137" s="23"/>
      <c r="R137" s="23"/>
      <c r="S137" s="35">
        <f t="shared" si="37"/>
        <v>1</v>
      </c>
      <c r="T137" s="50" t="str">
        <f t="shared" si="38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17:55:24-700',mode:absolute,to:'2016-12-22 20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7" s="52" t="str">
        <f t="shared" si="40"/>
        <v>N</v>
      </c>
      <c r="X137" s="177">
        <f t="shared" si="41"/>
        <v>1</v>
      </c>
      <c r="Y137" s="67">
        <f t="shared" si="42"/>
        <v>4.4400000000000002E-2</v>
      </c>
      <c r="Z137" s="67">
        <f t="shared" si="43"/>
        <v>23.33</v>
      </c>
      <c r="AA137" s="67">
        <f t="shared" si="44"/>
        <v>23.285599999999999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45"/>
        <v>0221-22</v>
      </c>
      <c r="AE137" s="91" t="str">
        <f t="shared" si="46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37" s="88" t="str">
        <f t="shared" si="47"/>
        <v>"C:\Program Files (x86)\AstroGrep\AstroGrep.exe" /spath="%USERPROFILE%\AppData\Local\Temp\OnboardLogs" /stypes="app*4009*20161223*" /stext=" 02:.+((SYSTEM_STATE.+slice.+state.+changed )|(ment ac)|(multiple cpu faults)|(system.+state.+changed )|(\[timeout)|(PRM\|1\|D)|(kpr)|(kdp)|(\|lc)|(penalty))" /e /r /s</v>
      </c>
      <c r="AG137" s="1" t="str">
        <f t="shared" si="48"/>
        <v>EC</v>
      </c>
      <c r="AH137" s="92" t="str">
        <f t="shared" si="49"/>
        <v>"%USERPROFILE%\Documents\GitHub\eaglep3\Utilities\RefineRTDCRunTimes.py" --tripid 221-22 --locoid 4009 --swversion DE.1.0.8.0 --startMP 204:444 --initTime 2016-12-22T18:55:24 --startdatetime 2016-12-22T19:00:29 --delay 1 --endMP 204:233300 --enddatetime 2016-12-22T19:37:12 --enforcementcount 0 &gt;&gt;C:\Users\stu\Documents\GitHub\eaglep3-reporting\EC\2016-12-22-refined-times.txt</v>
      </c>
      <c r="AI137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ID","value":"221-22"},{"id":16,"name":"Locomotive ID","value":"4009"},{"id":130,"name":"Impact","value":""},{"id":150,"name":"Time of Event (Mountain Time)","value":"19:37:12"},{"id":151,"name":"Denver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647</v>
      </c>
      <c r="B138" s="7">
        <v>4010</v>
      </c>
      <c r="C138" s="22" t="s">
        <v>205</v>
      </c>
      <c r="D138" s="22" t="s">
        <v>314</v>
      </c>
      <c r="E138" s="13">
        <v>42726.824837962966</v>
      </c>
      <c r="F138" s="13">
        <v>42726.830717592595</v>
      </c>
      <c r="G138" s="7">
        <v>1</v>
      </c>
      <c r="H138" s="22" t="s">
        <v>224</v>
      </c>
      <c r="I138" s="13">
        <v>42726.858530092592</v>
      </c>
      <c r="J138" s="7">
        <v>0</v>
      </c>
      <c r="K138" s="109" t="str">
        <f t="shared" si="34"/>
        <v>4009/4010</v>
      </c>
      <c r="L138" s="22" t="str">
        <f>VLOOKUP(A138,'Trips&amp;Operators'!$C$1:$G$99999,5,FALSE)</f>
        <v>WHITED DUSTIN</v>
      </c>
      <c r="M138" s="6">
        <f t="shared" si="35"/>
        <v>2.7812499996798579E-2</v>
      </c>
      <c r="N138" s="7">
        <f t="shared" si="36"/>
        <v>40.049999995389953</v>
      </c>
      <c r="O138" s="7"/>
      <c r="P138" s="7"/>
      <c r="Q138" s="23"/>
      <c r="R138" s="23"/>
      <c r="S138" s="35">
        <f t="shared" si="37"/>
        <v>1</v>
      </c>
      <c r="T138" s="50" t="str">
        <f t="shared" si="38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18:47:46-700',mode:absolute,to:'2016-12-22 21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8" s="52" t="str">
        <f t="shared" si="40"/>
        <v>N</v>
      </c>
      <c r="X138" s="177">
        <f t="shared" si="41"/>
        <v>1</v>
      </c>
      <c r="Y138" s="67">
        <f t="shared" si="42"/>
        <v>23.298100000000002</v>
      </c>
      <c r="Z138" s="67">
        <f t="shared" si="43"/>
        <v>1.54E-2</v>
      </c>
      <c r="AA138" s="67">
        <f t="shared" si="44"/>
        <v>23.282700000000002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45"/>
        <v>0222-22</v>
      </c>
      <c r="AE138" s="91" t="str">
        <f t="shared" si="46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38" s="88" t="str">
        <f t="shared" si="47"/>
        <v>"C:\Program Files (x86)\AstroGrep\AstroGrep.exe" /spath="%USERPROFILE%\AppData\Local\Temp\OnboardLogs" /stypes="app*4010*20161223*" /stext=" 03:.+((SYSTEM_STATE.+slice.+state.+changed )|(ment ac)|(multiple cpu faults)|(system.+state.+changed )|(\[timeout)|(PRM\|1\|D)|(kpr)|(kdp)|(\|lc)|(penalty))" /e /r /s</v>
      </c>
      <c r="AG138" s="1" t="str">
        <f t="shared" si="48"/>
        <v>EC</v>
      </c>
      <c r="AH138" s="92" t="str">
        <f t="shared" si="49"/>
        <v>"%USERPROFILE%\Documents\GitHub\eaglep3\Utilities\RefineRTDCRunTimes.py" --tripid 222-22 --locoid 4010 --swversion DE.1.0.8.0 --startMP 204:232981 --initTime 2016-12-22T19:47:46 --startdatetime 2016-12-22T19:56:14 --delay 1 --endMP 204:154 --enddatetime 2016-12-22T20:36:17 --enforcementcount 0 &gt;&gt;C:\Users\stu\Documents\GitHub\eaglep3-reporting\EC\2016-12-22-refined-times.txt</v>
      </c>
      <c r="AI138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{"issue":{"subject":"","project_id":79,"tracker_id":40,"status_id":1,"priority_id":2,"assigned_to_id":23,"start_date":"2016-12-22","description":"","custom_fields":[{"id":1,"name":"Subdivision","value":"EC"},{"id":4,"name":"Milepost","value":"0.0154"},{"id":17,"name":"Train ID","value":"222-22"},{"id":16,"name":"Locomotive ID","value":"4010"},{"id":130,"name":"Impact","value":""},{"id":150,"name":"Time of Event (Mountain Time)","value":"20:36:17"},{"id":151,"name":"Denver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644</v>
      </c>
      <c r="B139" s="7">
        <v>4029</v>
      </c>
      <c r="C139" s="22" t="s">
        <v>205</v>
      </c>
      <c r="D139" s="22" t="s">
        <v>230</v>
      </c>
      <c r="E139" s="13">
        <v>42726.806527777779</v>
      </c>
      <c r="F139" s="13">
        <v>42726.812662037039</v>
      </c>
      <c r="G139" s="7">
        <v>1</v>
      </c>
      <c r="H139" s="22" t="s">
        <v>346</v>
      </c>
      <c r="I139" s="13">
        <v>42726.836851851855</v>
      </c>
      <c r="J139" s="7">
        <v>0</v>
      </c>
      <c r="K139" s="109" t="str">
        <f t="shared" si="34"/>
        <v>4029/4030</v>
      </c>
      <c r="L139" s="22" t="str">
        <f>VLOOKUP(A139,'Trips&amp;Operators'!$C$1:$G$99999,5,FALSE)</f>
        <v>NEWELL JAMES</v>
      </c>
      <c r="M139" s="6">
        <f t="shared" si="35"/>
        <v>2.4189814816054422E-2</v>
      </c>
      <c r="N139" s="7">
        <f t="shared" si="36"/>
        <v>34.833333335118368</v>
      </c>
      <c r="O139" s="7"/>
      <c r="P139" s="7"/>
      <c r="Q139" s="23"/>
      <c r="R139" s="23"/>
      <c r="S139" s="35">
        <f t="shared" si="37"/>
        <v>1</v>
      </c>
      <c r="T139" s="50" t="str">
        <f t="shared" si="38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18:21:24-700',mode:absolute,to:'2016-12-22 21:05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9" s="52" t="str">
        <f t="shared" si="40"/>
        <v>N</v>
      </c>
      <c r="X139" s="177">
        <f t="shared" si="41"/>
        <v>1</v>
      </c>
      <c r="Y139" s="67">
        <f t="shared" si="42"/>
        <v>4.5999999999999999E-2</v>
      </c>
      <c r="Z139" s="67">
        <f t="shared" si="43"/>
        <v>23.33</v>
      </c>
      <c r="AA139" s="67">
        <f t="shared" si="44"/>
        <v>23.283999999999999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45"/>
        <v>0223-22</v>
      </c>
      <c r="AE139" s="91" t="str">
        <f t="shared" si="46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39" s="88" t="str">
        <f t="shared" si="47"/>
        <v>"C:\Program Files (x86)\AstroGrep\AstroGrep.exe" /spath="%USERPROFILE%\AppData\Local\Temp\OnboardLogs" /stypes="app*4029*20161223*" /stext=" 03:.+((SYSTEM_STATE.+slice.+state.+changed )|(ment ac)|(multiple cpu faults)|(system.+state.+changed )|(\[timeout)|(PRM\|1\|D)|(kpr)|(kdp)|(\|lc)|(penalty))" /e /r /s</v>
      </c>
      <c r="AG139" s="1" t="str">
        <f t="shared" si="48"/>
        <v>EC</v>
      </c>
      <c r="AH139" s="92" t="str">
        <f t="shared" si="49"/>
        <v>"%USERPROFILE%\Documents\GitHub\eaglep3\Utilities\RefineRTDCRunTimes.py" --tripid 223-22 --locoid 4029 --swversion DE.1.0.8.0 --startMP 204:460 --initTime 2016-12-22T19:21:24 --startdatetime 2016-12-22T19:30:14 --delay 1 --endMP 204:233300 --enddatetime 2016-12-22T20:05:04 --enforcementcount 0 &gt;&gt;C:\Users\stu\Documents\GitHub\eaglep3-reporting\EC\2016-12-22-refined-times.txt</v>
      </c>
      <c r="AI139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{"issue":{"subject":"","project_id":79,"tracker_id":40,"status_id":1,"priority_id":2,"assigned_to_id":23,"start_date":"2016-12-22","description":"","custom_fields":[{"id":1,"name":"Subdivision","value":"EC"},{"id":4,"name":"Milepost","value":"23.33"},{"id":17,"name":"Train ID","value":"223-22"},{"id":16,"name":"Locomotive ID","value":"4029"},{"id":130,"name":"Impact","value":""},{"id":150,"name":"Time of Event (Mountain Time)","value":"20:05:04"},{"id":151,"name":"Denver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x14ac:dyDescent="0.25">
      <c r="A140" s="37" t="s">
        <v>648</v>
      </c>
      <c r="B140" s="7">
        <v>4030</v>
      </c>
      <c r="C140" s="22" t="s">
        <v>205</v>
      </c>
      <c r="D140" s="22" t="s">
        <v>407</v>
      </c>
      <c r="E140" s="13">
        <v>42726.837939814817</v>
      </c>
      <c r="F140" s="13">
        <v>42726.851886574077</v>
      </c>
      <c r="G140" s="7">
        <v>1</v>
      </c>
      <c r="H140" s="22" t="s">
        <v>395</v>
      </c>
      <c r="I140" s="13">
        <v>42726.877824074072</v>
      </c>
      <c r="J140" s="7">
        <v>0</v>
      </c>
      <c r="K140" s="109" t="str">
        <f t="shared" si="34"/>
        <v>4029/4030</v>
      </c>
      <c r="L140" s="22" t="str">
        <f>VLOOKUP(A140,'Trips&amp;Operators'!$C$1:$G$99999,5,FALSE)</f>
        <v>NEWELL JAMES</v>
      </c>
      <c r="M140" s="6">
        <f t="shared" si="35"/>
        <v>2.5937499995052349E-2</v>
      </c>
      <c r="N140" s="7">
        <f t="shared" si="36"/>
        <v>37.349999992875382</v>
      </c>
      <c r="O140" s="7"/>
      <c r="P140" s="7"/>
      <c r="Q140" s="23"/>
      <c r="R140" s="23"/>
      <c r="S140" s="35">
        <f t="shared" si="37"/>
        <v>1</v>
      </c>
      <c r="T140" s="50" t="str">
        <f t="shared" si="38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19:06:38-700',mode:absolute,to:'2016-12-22 22:04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0" s="52" t="str">
        <f t="shared" si="40"/>
        <v>N</v>
      </c>
      <c r="X140" s="177">
        <f t="shared" si="41"/>
        <v>1</v>
      </c>
      <c r="Y140" s="67">
        <f t="shared" si="42"/>
        <v>23.299600000000002</v>
      </c>
      <c r="Z140" s="67">
        <f t="shared" si="43"/>
        <v>1.5800000000000002E-2</v>
      </c>
      <c r="AA140" s="67">
        <f t="shared" si="44"/>
        <v>23.283800000000003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45"/>
        <v>0224-22</v>
      </c>
      <c r="AE140" s="91" t="str">
        <f t="shared" si="46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40" s="88" t="str">
        <f t="shared" si="47"/>
        <v>"C:\Program Files (x86)\AstroGrep\AstroGrep.exe" /spath="%USERPROFILE%\AppData\Local\Temp\OnboardLogs" /stypes="app*4030*20161223*" /stext=" 04:.+((SYSTEM_STATE.+slice.+state.+changed )|(ment ac)|(multiple cpu faults)|(system.+state.+changed )|(\[timeout)|(PRM\|1\|D)|(kpr)|(kdp)|(\|lc)|(penalty))" /e /r /s</v>
      </c>
      <c r="AG140" s="1" t="str">
        <f t="shared" si="48"/>
        <v>EC</v>
      </c>
      <c r="AH140" s="92" t="str">
        <f t="shared" si="49"/>
        <v>"%USERPROFILE%\Documents\GitHub\eaglep3\Utilities\RefineRTDCRunTimes.py" --tripid 224-22 --locoid 4030 --swversion DE.1.0.8.0 --startMP 204:232996 --initTime 2016-12-22T20:06:38 --startdatetime 2016-12-22T20:26:43 --delay 1 --endMP 204:158 --enddatetime 2016-12-22T21:04:04 --enforcementcount 0 &gt;&gt;C:\Users\stu\Documents\GitHub\eaglep3-reporting\EC\2016-12-22-refined-times.txt</v>
      </c>
      <c r="AI140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{"issue":{"subject":"","project_id":79,"tracker_id":40,"status_id":1,"priority_id":2,"assigned_to_id":23,"start_date":"2016-12-22","description":"","custom_fields":[{"id":1,"name":"Subdivision","value":"EC"},{"id":4,"name":"Milepost","value":"0.0158"},{"id":17,"name":"Train ID","value":"224-22"},{"id":16,"name":"Locomotive ID","value":"4030"},{"id":130,"name":"Impact","value":""},{"id":150,"name":"Time of Event (Mountain Time)","value":"21:04:04"},{"id":151,"name":"Denver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</row>
    <row r="141" spans="1:91" s="21" customFormat="1" x14ac:dyDescent="0.25">
      <c r="A141" s="37" t="s">
        <v>476</v>
      </c>
      <c r="B141" s="7">
        <v>4027</v>
      </c>
      <c r="C141" s="22" t="s">
        <v>205</v>
      </c>
      <c r="D141" s="22" t="s">
        <v>291</v>
      </c>
      <c r="E141" s="13">
        <v>42726.832731481481</v>
      </c>
      <c r="F141" s="13">
        <v>42726.834282407406</v>
      </c>
      <c r="G141" s="7">
        <v>1</v>
      </c>
      <c r="H141" s="22" t="s">
        <v>738</v>
      </c>
      <c r="I141" s="13">
        <v>42726.858912037038</v>
      </c>
      <c r="J141" s="7">
        <v>0</v>
      </c>
      <c r="K141" s="109" t="str">
        <f t="shared" si="34"/>
        <v>4027/4028</v>
      </c>
      <c r="L141" s="22" t="str">
        <f>VLOOKUP(A141,'Trips&amp;Operators'!$C$1:$G$99999,5,FALSE)</f>
        <v>BROWN JACOB</v>
      </c>
      <c r="M141" s="6">
        <f t="shared" si="35"/>
        <v>2.4629629631817807E-2</v>
      </c>
      <c r="N141" s="7">
        <f t="shared" si="36"/>
        <v>35.466666669817641</v>
      </c>
      <c r="O141" s="7"/>
      <c r="P141" s="7"/>
      <c r="Q141" s="23"/>
      <c r="R141" s="23"/>
      <c r="S141" s="35">
        <f t="shared" si="37"/>
        <v>1</v>
      </c>
      <c r="T141" s="50" t="str">
        <f t="shared" si="38"/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si="39"/>
        <v>https://search-rtdc-monitor-bjffxe2xuh6vdkpspy63sjmuny.us-east-1.es.amazonaws.com/_plugin/kibana/#/discover/Steve-Slow-Train-Analysis-(2080s-and-2083s)?_g=(refreshInterval:(display:Off,section:0,value:0),time:(from:'2016-12-22 18:59:08-700',mode:absolute,to:'2016-12-22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1" s="52" t="str">
        <f t="shared" si="40"/>
        <v>N</v>
      </c>
      <c r="X141" s="177">
        <f t="shared" si="41"/>
        <v>1</v>
      </c>
      <c r="Y141" s="67">
        <f t="shared" si="42"/>
        <v>4.4200000000000003E-2</v>
      </c>
      <c r="Z141" s="67">
        <f t="shared" si="43"/>
        <v>23.3353</v>
      </c>
      <c r="AA141" s="67">
        <f t="shared" si="44"/>
        <v>23.2911</v>
      </c>
      <c r="AB141" s="64" t="str">
        <f>VLOOKUP(A141,Enforcements!$C$7:$K$19,8,0)</f>
        <v>Bulletin (2)</v>
      </c>
      <c r="AC141" s="60" t="str">
        <f>VLOOKUP(A141,Enforcements!$C$7:$E$19,3,0)</f>
        <v>GRADE CROSSING</v>
      </c>
      <c r="AD141" s="61" t="str">
        <f t="shared" si="45"/>
        <v>0225-22</v>
      </c>
      <c r="AE141" s="91" t="str">
        <f t="shared" si="46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41" s="88" t="str">
        <f t="shared" si="47"/>
        <v>"C:\Program Files (x86)\AstroGrep\AstroGrep.exe" /spath="%USERPROFILE%\AppData\Local\Temp\OnboardLogs" /stypes="app*4027*20161223*" /stext=" 03:.+((SYSTEM_STATE.+slice.+state.+changed )|(ment ac)|(multiple cpu faults)|(system.+state.+changed )|(\[timeout)|(PRM\|1\|D)|(kpr)|(kdp)|(\|lc)|(penalty))" /e /r /s</v>
      </c>
      <c r="AG141" s="1" t="str">
        <f t="shared" si="48"/>
        <v>EC</v>
      </c>
      <c r="AH141" s="92" t="str">
        <f t="shared" si="49"/>
        <v>"%USERPROFILE%\Documents\GitHub\eaglep3\Utilities\RefineRTDCRunTimes.py" --tripid 225-22 --locoid 4027 --swversion DE.1.0.8.0 --startMP 204:442 --initTime 2016-12-22T19:59:08 --startdatetime 2016-12-22T20:01:22 --delay 1 --endMP 204:233353 --enddatetime 2016-12-22T20:36:50 --enforcementcount 0 &gt;&gt;C:\Users\stu\Documents\GitHub\eaglep3-reporting\EC\2016-12-22-refined-times.txt</v>
      </c>
      <c r="AI141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{"issue":{"subject":"","project_id":79,"tracker_id":40,"status_id":1,"priority_id":2,"assigned_to_id":23,"start_date":"2016-12-22","description":"","custom_fields":[{"id":1,"name":"Subdivision","value":"EC"},{"id":4,"name":"Milepost","value":"23.3353"},{"id":17,"name":"Train ID","value":"225-22"},{"id":16,"name":"Locomotive ID","value":"4027"},{"id":130,"name":"Impact","value":""},{"id":150,"name":"Time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7" t="s">
        <v>652</v>
      </c>
      <c r="B142" s="7">
        <v>4028</v>
      </c>
      <c r="C142" s="22" t="s">
        <v>205</v>
      </c>
      <c r="D142" s="22" t="s">
        <v>739</v>
      </c>
      <c r="E142" s="13">
        <v>42726.86928240741</v>
      </c>
      <c r="F142" s="13">
        <v>42726.871817129628</v>
      </c>
      <c r="G142" s="7">
        <v>1</v>
      </c>
      <c r="H142" s="22" t="s">
        <v>191</v>
      </c>
      <c r="I142" s="13">
        <v>42726.899641203701</v>
      </c>
      <c r="J142" s="7">
        <v>0</v>
      </c>
      <c r="K142" s="109" t="str">
        <f t="shared" ref="K142:K205" si="52">IF(ISEVEN(B142),(B142-1)&amp;"/"&amp;B142,B142&amp;"/"&amp;(B142+1))</f>
        <v>4027/4028</v>
      </c>
      <c r="L142" s="22" t="str">
        <f>VLOOKUP(A142,'Trips&amp;Operators'!$C$1:$G$99999,5,FALSE)</f>
        <v>BROWN JACOB</v>
      </c>
      <c r="M142" s="6">
        <f t="shared" ref="M142:M205" si="53">I142-F142</f>
        <v>2.7824074073578231E-2</v>
      </c>
      <c r="N142" s="7">
        <f t="shared" ref="N142:P205" si="54">24*60*SUM($M142:$M142)</f>
        <v>40.066666665952653</v>
      </c>
      <c r="O142" s="7"/>
      <c r="P142" s="7"/>
      <c r="Q142" s="23"/>
      <c r="R142" s="23"/>
      <c r="S142" s="35">
        <f t="shared" ref="S142:S205" si="55">SUM(U142:U142)/IF(AG142="EC",12,1)</f>
        <v>1</v>
      </c>
      <c r="T142" s="50" t="str">
        <f t="shared" ref="T142:T205" si="56">IF(ISEVEN(LEFT(AD142,4)),"Southbound","NorthBound")</f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ref="V142:V205" si="57">"https://search-rtdc-monitor-bjffxe2xuh6vdkpspy63sjmuny.us-east-1.es.amazonaws.com/_plugin/kibana/#/discover/Steve-Slow-Train-Analysis-(2080s-and-2083s)?_g=(refreshInterval:(display:Off,section:0,value:0),time:(from:'"&amp;TEXT(E142-1/24,"yyyy-MM-DD hh:mm:ss")&amp;utc_offset&amp;"00',mode:absolute,to:'"&amp;TEXT(I142+1/24,"yyyy-MM-DD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https://search-rtdc-monitor-bjffxe2xuh6vdkpspy63sjmuny.us-east-1.es.amazonaws.com/_plugin/kibana/#/discover/Steve-Slow-Train-Analysis-(2080s-and-2083s)?_g=(refreshInterval:(display:Off,section:0,value:0),time:(from:'2016-12-22 19:51:46-700',mode:absolute,to:'2016-12-22 22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42" s="52" t="str">
        <f t="shared" ref="W142:W205" si="58">IF(AA142&lt;IF(AG142="EC",23,5.65),"Y","N")</f>
        <v>N</v>
      </c>
      <c r="X142" s="177">
        <f t="shared" ref="X142:X205" si="59">VALUE(LEFT(AD142,4))-VALUE(LEFT(AD141,4))</f>
        <v>1</v>
      </c>
      <c r="Y142" s="67">
        <f t="shared" ref="Y142:Y205" si="60">RIGHT(D142,LEN(D142)-4)/10000</f>
        <v>23.302099999999999</v>
      </c>
      <c r="Z142" s="67">
        <f t="shared" ref="Z142:Z205" si="61">RIGHT(H142,LEN(H142)-4)/10000</f>
        <v>1.49E-2</v>
      </c>
      <c r="AA142" s="67">
        <f t="shared" ref="AA142:AA205" si="62">ABS(Z142-Y142)</f>
        <v>23.287199999999999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ref="AD142:AD205" si="63">IF(LEN(A142)=6,"0"&amp;A142,A142)</f>
        <v>0226-22</v>
      </c>
      <c r="AE142" s="91" t="str">
        <f t="shared" ref="AE142:AE205" si="64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42" s="88" t="str">
        <f t="shared" ref="AF142:AF205" si="65"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/stypes="app*4028*20161223*" /stext=" 04:.+((SYSTEM_STATE.+slice.+state.+changed )|(ment ac)|(multiple cpu faults)|(system.+state.+changed )|(\[timeout)|(PRM\|1\|D)|(kpr)|(kdp)|(\|lc)|(penalty))" /e /r /s</v>
      </c>
      <c r="AG142" s="1" t="str">
        <f t="shared" ref="AG142:AG205" si="66">IFERROR(IF(VALUE(LEFT(AD142,2))&lt;=2,"EC",IF(OR(VALUE(LEFT(AD142,2))=8,VALUE(LEFT(AD142,2))=18),"NW","Other")),"Other")</f>
        <v>EC</v>
      </c>
      <c r="AH142" s="92" t="str">
        <f t="shared" si="49"/>
        <v>"%USERPROFILE%\Documents\GitHub\eaglep3\Utilities\RefineRTDCRunTimes.py" --tripid 226-22 --locoid 4028 --swversion DE.1.0.8.0 --startMP 204:233021 --initTime 2016-12-22T20:51:46 --startdatetime 2016-12-22T20:55:25 --delay 1 --endMP 204:149 --enddatetime 2016-12-22T21:35:29 --enforcementcount 0 &gt;&gt;C:\Users\stu\Documents\GitHub\eaglep3-reporting\EC\2016-12-22-refined-times.txt</v>
      </c>
      <c r="AI142" s="119" t="str">
        <f t="shared" si="50"/>
        <v>echo {"issue":{"subject":"","project_id":79,"tracker_id":40,"status_id":1,"priority_id":2,"assigned_to_id":23,"start_date":"2016-12-22","description":"","custom_fields":[{"id":1,"name":"Subdivision","value":"EC"},{"id":4,"name":"Milepost","value":"0.0149"},{"id":17,"name":"Train ID","value":"226-22"},{"id":16,"name":"Locomotive ID","value":"4028"},{"id":130,"name":"Impact","value":""},{"id":150,"name":"Time of Event (Mountain Time)","value":"21:35:29"},{"id":151,"name":"Denver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x14ac:dyDescent="0.25">
      <c r="A143" s="37" t="s">
        <v>649</v>
      </c>
      <c r="B143" s="7">
        <v>4046</v>
      </c>
      <c r="C143" s="22" t="s">
        <v>205</v>
      </c>
      <c r="D143" s="22" t="s">
        <v>740</v>
      </c>
      <c r="E143" s="13">
        <v>42726.837650462963</v>
      </c>
      <c r="F143" s="13">
        <v>42726.85434027778</v>
      </c>
      <c r="G143" s="7">
        <v>1</v>
      </c>
      <c r="H143" s="22" t="s">
        <v>741</v>
      </c>
      <c r="I143" s="13">
        <v>42726.878784722219</v>
      </c>
      <c r="J143" s="7">
        <v>0</v>
      </c>
      <c r="K143" s="109" t="str">
        <f t="shared" si="52"/>
        <v>4045/4046</v>
      </c>
      <c r="L143" s="22" t="str">
        <f>VLOOKUP(A143,'Trips&amp;Operators'!$C$1:$G$99999,5,FALSE)</f>
        <v>HILLS DUSTIN</v>
      </c>
      <c r="M143" s="6">
        <f t="shared" si="53"/>
        <v>2.4444444439723156E-2</v>
      </c>
      <c r="N143" s="7">
        <f t="shared" si="54"/>
        <v>35.199999993201345</v>
      </c>
      <c r="O143" s="7"/>
      <c r="P143" s="7"/>
      <c r="Q143" s="23"/>
      <c r="R143" s="23"/>
      <c r="S143" s="35">
        <f t="shared" si="55"/>
        <v>1</v>
      </c>
      <c r="T143" s="50" t="str">
        <f t="shared" si="56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19:06:13-700',mode:absolute,to:'2016-12-22 22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3" s="52" t="str">
        <f t="shared" si="58"/>
        <v>N</v>
      </c>
      <c r="X143" s="177">
        <f t="shared" si="59"/>
        <v>1</v>
      </c>
      <c r="Y143" s="67">
        <f t="shared" si="60"/>
        <v>3.8399999999999997E-2</v>
      </c>
      <c r="Z143" s="67">
        <f t="shared" si="61"/>
        <v>23.340599999999998</v>
      </c>
      <c r="AA143" s="67">
        <f t="shared" si="62"/>
        <v>23.302199999999999</v>
      </c>
      <c r="AB143" s="64" t="e">
        <f>VLOOKUP(A143,Enforcements!$C$7:$K$19,8,0)</f>
        <v>#N/A</v>
      </c>
      <c r="AC143" s="60" t="e">
        <f>VLOOKUP(A143,Enforcements!$C$7:$E$19,3,0)</f>
        <v>#N/A</v>
      </c>
      <c r="AD143" s="61" t="str">
        <f t="shared" si="63"/>
        <v>0227-22</v>
      </c>
      <c r="AE143" s="91" t="str">
        <f t="shared" si="64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43" s="88" t="str">
        <f t="shared" si="65"/>
        <v>"C:\Program Files (x86)\AstroGrep\AstroGrep.exe" /spath="%USERPROFILE%\AppData\Local\Temp\OnboardLogs" /stypes="app*4046*20161223*" /stext=" 04:.+((SYSTEM_STATE.+slice.+state.+changed )|(ment ac)|(multiple cpu faults)|(system.+state.+changed )|(\[timeout)|(PRM\|1\|D)|(kpr)|(kdp)|(\|lc)|(penalty))" /e /r /s</v>
      </c>
      <c r="AG143" s="1" t="str">
        <f t="shared" si="66"/>
        <v>EC</v>
      </c>
      <c r="AH143" s="92" t="str">
        <f t="shared" ref="AH143:AH206" si="6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227-22 --locoid 4046 --swversion DE.1.0.8.0 --startMP 204:384 --initTime 2016-12-22T20:06:13 --startdatetime 2016-12-22T20:30:15 --delay 1 --endMP 204:233406 --enddatetime 2016-12-22T21:05:27 --enforcementcount 0 &gt;&gt;C:\Users\stu\Documents\GitHub\eaglep3-reporting\EC\2016-12-22-refined-times.txt</v>
      </c>
      <c r="AI143" s="119" t="str">
        <f t="shared" ref="AI143:AI206" si="6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{"issue":{"subject":"","project_id":79,"tracker_id":40,"status_id":1,"priority_id":2,"assigned_to_id":23,"start_date":"2016-12-22","description":"","custom_fields":[{"id":1,"name":"Subdivision","value":"EC"},{"id":4,"name":"Milepost","value":"23.3406"},{"id":17,"name":"Train ID","value":"227-22"},{"id":16,"name":"Locomotive ID","value":"4046"},{"id":130,"name":"Impact","value":""},{"id":150,"name":"Time of Event (Mountain Time)","value":"21:05:27"},{"id":151,"name":"Denver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s="21" customFormat="1" x14ac:dyDescent="0.25">
      <c r="A144" s="37" t="s">
        <v>655</v>
      </c>
      <c r="B144" s="7">
        <v>4045</v>
      </c>
      <c r="C144" s="22" t="s">
        <v>205</v>
      </c>
      <c r="D144" s="22" t="s">
        <v>742</v>
      </c>
      <c r="E144" s="13">
        <v>42726.88008101852</v>
      </c>
      <c r="F144" s="13">
        <v>42726.893229166664</v>
      </c>
      <c r="G144" s="7">
        <v>1</v>
      </c>
      <c r="H144" s="22" t="s">
        <v>393</v>
      </c>
      <c r="I144" s="13">
        <v>42726.921574074076</v>
      </c>
      <c r="J144" s="7">
        <v>0</v>
      </c>
      <c r="K144" s="109" t="str">
        <f t="shared" si="52"/>
        <v>4045/4046</v>
      </c>
      <c r="L144" s="22" t="str">
        <f>VLOOKUP(A144,'Trips&amp;Operators'!$C$1:$G$99999,5,FALSE)</f>
        <v>HILLS DUSTIN</v>
      </c>
      <c r="M144" s="6">
        <f t="shared" si="53"/>
        <v>2.8344907412247267E-2</v>
      </c>
      <c r="N144" s="7">
        <f t="shared" si="54"/>
        <v>40.816666673636064</v>
      </c>
      <c r="O144" s="7"/>
      <c r="P144" s="7"/>
      <c r="Q144" s="23"/>
      <c r="R144" s="23"/>
      <c r="S144" s="35">
        <f t="shared" si="55"/>
        <v>1</v>
      </c>
      <c r="T144" s="50" t="str">
        <f t="shared" si="56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20:07:19-700',mode:absolute,to:'2016-12-22 23:07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4" s="52" t="str">
        <f t="shared" si="58"/>
        <v>N</v>
      </c>
      <c r="X144" s="177">
        <f t="shared" si="59"/>
        <v>1</v>
      </c>
      <c r="Y144" s="67">
        <f t="shared" si="60"/>
        <v>23.310199999999998</v>
      </c>
      <c r="Z144" s="67">
        <f t="shared" si="61"/>
        <v>1.32E-2</v>
      </c>
      <c r="AA144" s="67">
        <f t="shared" si="62"/>
        <v>23.296999999999997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63"/>
        <v>0228-22</v>
      </c>
      <c r="AE144" s="91" t="str">
        <f t="shared" si="64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44" s="88" t="str">
        <f t="shared" si="65"/>
        <v>"C:\Program Files (x86)\AstroGrep\AstroGrep.exe" /spath="%USERPROFILE%\AppData\Local\Temp\OnboardLogs" /stypes="app*4045*20161223*" /stext=" 05:.+((SYSTEM_STATE.+slice.+state.+changed )|(ment ac)|(multiple cpu faults)|(system.+state.+changed )|(\[timeout)|(PRM\|1\|D)|(kpr)|(kdp)|(\|lc)|(penalty))" /e /r /s</v>
      </c>
      <c r="AG144" s="1" t="str">
        <f t="shared" si="66"/>
        <v>EC</v>
      </c>
      <c r="AH144" s="92" t="str">
        <f t="shared" si="67"/>
        <v>"%USERPROFILE%\Documents\GitHub\eaglep3\Utilities\RefineRTDCRunTimes.py" --tripid 228-22 --locoid 4045 --swversion DE.1.0.8.0 --startMP 204:233102 --initTime 2016-12-22T21:07:19 --startdatetime 2016-12-22T21:26:15 --delay 1 --endMP 204:132 --enddatetime 2016-12-22T22:07:04 --enforcementcount 0 &gt;&gt;C:\Users\stu\Documents\GitHub\eaglep3-reporting\EC\2016-12-22-refined-times.txt</v>
      </c>
      <c r="AI144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{"issue":{"subject":"","project_id":79,"tracker_id":40,"status_id":1,"priority_id":2,"assigned_to_id":23,"start_date":"2016-12-22","description":"","custom_fields":[{"id":1,"name":"Subdivision","value":"EC"},{"id":4,"name":"Milepost","value":"0.0132"},{"id":17,"name":"Train ID","value":"228-22"},{"id":16,"name":"Locomotive ID","value":"4045"},{"id":130,"name":"Impact","value":""},{"id":150,"name":"Time of Event (Mountain Time)","value":"22:07:04"},{"id":151,"name":"Denver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477</v>
      </c>
      <c r="B145" s="7">
        <v>4009</v>
      </c>
      <c r="C145" s="22" t="s">
        <v>205</v>
      </c>
      <c r="D145" s="22" t="s">
        <v>289</v>
      </c>
      <c r="E145" s="13">
        <v>42726.864363425928</v>
      </c>
      <c r="F145" s="13">
        <v>42726.875231481485</v>
      </c>
      <c r="G145" s="7">
        <v>1</v>
      </c>
      <c r="H145" s="22" t="s">
        <v>743</v>
      </c>
      <c r="I145" s="13">
        <v>42726.896608796298</v>
      </c>
      <c r="J145" s="7">
        <v>0</v>
      </c>
      <c r="K145" s="109" t="str">
        <f t="shared" si="52"/>
        <v>4009/4010</v>
      </c>
      <c r="L145" s="22" t="str">
        <f>VLOOKUP(A145,'Trips&amp;Operators'!$C$1:$G$99999,5,FALSE)</f>
        <v>WHITED DUSTIN</v>
      </c>
      <c r="M145" s="6">
        <f t="shared" si="53"/>
        <v>2.1377314813435078E-2</v>
      </c>
      <c r="N145" s="7"/>
      <c r="O145" s="7"/>
      <c r="P145" s="7">
        <f t="shared" si="54"/>
        <v>30.783333331346512</v>
      </c>
      <c r="Q145" s="23"/>
      <c r="R145" s="23" t="s">
        <v>861</v>
      </c>
      <c r="S145" s="35">
        <f t="shared" si="55"/>
        <v>1</v>
      </c>
      <c r="T145" s="50" t="str">
        <f t="shared" si="56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19:44:41-700',mode:absolute,to:'2016-12-22 22:31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5" s="52" t="str">
        <f t="shared" si="58"/>
        <v>Y</v>
      </c>
      <c r="X145" s="177">
        <f t="shared" si="59"/>
        <v>1</v>
      </c>
      <c r="Y145" s="67">
        <f t="shared" si="60"/>
        <v>4.4900000000000002E-2</v>
      </c>
      <c r="Z145" s="67">
        <f t="shared" si="61"/>
        <v>18.446000000000002</v>
      </c>
      <c r="AA145" s="67">
        <f t="shared" si="62"/>
        <v>18.401100000000003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63"/>
        <v>0229-22</v>
      </c>
      <c r="AE145" s="91" t="str">
        <f t="shared" si="64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45" s="88" t="str">
        <f t="shared" si="65"/>
        <v>"C:\Program Files (x86)\AstroGrep\AstroGrep.exe" /spath="%USERPROFILE%\AppData\Local\Temp\OnboardLogs" /stypes="app*4009*20161223*" /stext=" 04:.+((SYSTEM_STATE.+slice.+state.+changed )|(ment ac)|(multiple cpu faults)|(system.+state.+changed )|(\[timeout)|(PRM\|1\|D)|(kpr)|(kdp)|(\|lc)|(penalty))" /e /r /s</v>
      </c>
      <c r="AG145" s="1" t="str">
        <f t="shared" si="66"/>
        <v>EC</v>
      </c>
      <c r="AH145" s="92" t="str">
        <f t="shared" si="67"/>
        <v>"%USERPROFILE%\Documents\GitHub\eaglep3\Utilities\RefineRTDCRunTimes.py" --tripid 229-22 --locoid 4009 --swversion DE.1.0.8.0 --startMP 204:449 --initTime 2016-12-22T20:44:41 --startdatetime 2016-12-22T21:00:20 --delay 1 --endMP 204:184460 --enddatetime 2016-12-22T21:31:07 --enforcementcount 0 &gt;&gt;C:\Users\stu\Documents\GitHub\eaglep3-reporting\EC\2016-12-22-refined-times.txt</v>
      </c>
      <c r="AI145" s="119" t="str">
        <f t="shared" si="68"/>
        <v>echo {"issue":{"subject":"Wi-MAX data drop","project_id":79,"tracker_id":40,"status_id":1,"priority_id":2,"assigned_to_id":23,"start_date":"2016-12-22","description":"http://stevetu21.github.io/eaglep3/load_kml.html?kml=http://rtdc.gmaps-snips.s3.amazonaws.com/171d16c2-21e7-4958-b9c4-a24f4c3adcab.kml","custom_fields":[{"id":1,"name":"Subdivision","value":"EC"},{"id":4,"name":"Milepost","value":"18.446"},{"id":17,"name":"Train ID","value":"229-22"},{"id":16,"name":"Locomotive ID","value":"4009"},{"id":130,"name":"Impact","value":"Enforcement"},{"id":150,"name":"Time of Event (Mountain Time)","value":"21:31:07"},{"id":151,"name":"Denver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5" s="184" t="s">
        <v>863</v>
      </c>
      <c r="AK145" s="53" t="s">
        <v>125</v>
      </c>
      <c r="AL145" s="53" t="s">
        <v>138</v>
      </c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657</v>
      </c>
      <c r="B146" s="7">
        <v>4010</v>
      </c>
      <c r="C146" s="22" t="s">
        <v>205</v>
      </c>
      <c r="D146" s="22" t="s">
        <v>355</v>
      </c>
      <c r="E146" s="13">
        <v>42726.908229166664</v>
      </c>
      <c r="F146" s="13">
        <v>42726.9143287037</v>
      </c>
      <c r="G146" s="7">
        <v>1</v>
      </c>
      <c r="H146" s="22" t="s">
        <v>244</v>
      </c>
      <c r="I146" s="13">
        <v>42726.943020833336</v>
      </c>
      <c r="J146" s="7">
        <v>0</v>
      </c>
      <c r="K146" s="109" t="str">
        <f t="shared" si="52"/>
        <v>4009/4010</v>
      </c>
      <c r="L146" s="22" t="str">
        <f>VLOOKUP(A146,'Trips&amp;Operators'!$C$1:$G$99999,5,FALSE)</f>
        <v>WHITED DUSTIN</v>
      </c>
      <c r="M146" s="6">
        <f t="shared" si="53"/>
        <v>2.8692129635601304E-2</v>
      </c>
      <c r="N146" s="7">
        <f t="shared" si="54"/>
        <v>41.316666675265878</v>
      </c>
      <c r="O146" s="7"/>
      <c r="P146" s="7"/>
      <c r="Q146" s="23"/>
      <c r="R146" s="23"/>
      <c r="S146" s="35">
        <f t="shared" si="55"/>
        <v>1</v>
      </c>
      <c r="T146" s="50" t="str">
        <f t="shared" si="56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20:47:51-700',mode:absolute,to:'2016-12-22 23:37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6" s="52" t="str">
        <f t="shared" si="58"/>
        <v>N</v>
      </c>
      <c r="X146" s="177">
        <f t="shared" si="59"/>
        <v>1</v>
      </c>
      <c r="Y146" s="67">
        <f t="shared" si="60"/>
        <v>23.298300000000001</v>
      </c>
      <c r="Z146" s="67">
        <f t="shared" si="61"/>
        <v>1.6299999999999999E-2</v>
      </c>
      <c r="AA146" s="67">
        <f t="shared" si="62"/>
        <v>23.282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63"/>
        <v>0230-22</v>
      </c>
      <c r="AE146" s="91" t="str">
        <f t="shared" si="64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46" s="88" t="str">
        <f t="shared" si="65"/>
        <v>"C:\Program Files (x86)\AstroGrep\AstroGrep.exe" /spath="%USERPROFILE%\AppData\Local\Temp\OnboardLogs" /stypes="app*4010*20161223*" /stext=" 05:.+((SYSTEM_STATE.+slice.+state.+changed )|(ment ac)|(multiple cpu faults)|(system.+state.+changed )|(\[timeout)|(PRM\|1\|D)|(kpr)|(kdp)|(\|lc)|(penalty))" /e /r /s</v>
      </c>
      <c r="AG146" s="1" t="str">
        <f t="shared" si="66"/>
        <v>EC</v>
      </c>
      <c r="AH146" s="92" t="str">
        <f t="shared" si="67"/>
        <v>"%USERPROFILE%\Documents\GitHub\eaglep3\Utilities\RefineRTDCRunTimes.py" --tripid 230-22 --locoid 4010 --swversion DE.1.0.8.0 --startMP 204:232983 --initTime 2016-12-22T21:47:51 --startdatetime 2016-12-22T21:56:38 --delay 1 --endMP 204:163 --enddatetime 2016-12-22T22:37:57 --enforcementcount 0 &gt;&gt;C:\Users\stu\Documents\GitHub\eaglep3-reporting\EC\2016-12-22-refined-times.txt</v>
      </c>
      <c r="AI146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{"issue":{"subject":"","project_id":79,"tracker_id":40,"status_id":1,"priority_id":2,"assigned_to_id":23,"start_date":"2016-12-22","description":"","custom_fields":[{"id":1,"name":"Subdivision","value":"EC"},{"id":4,"name":"Milepost","value":"0.0163"},{"id":17,"name":"Train ID","value":"230-22"},{"id":16,"name":"Locomotive ID","value":"4010"},{"id":130,"name":"Impact","value":""},{"id":150,"name":"Time of Event (Mountain Time)","value":"22:37:57"},{"id":151,"name":"Denver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654</v>
      </c>
      <c r="B147" s="7">
        <v>4029</v>
      </c>
      <c r="C147" s="22" t="s">
        <v>205</v>
      </c>
      <c r="D147" s="22" t="s">
        <v>289</v>
      </c>
      <c r="E147" s="13">
        <v>42726.879155092596</v>
      </c>
      <c r="F147" s="13">
        <v>42726.895983796298</v>
      </c>
      <c r="G147" s="7">
        <v>1</v>
      </c>
      <c r="H147" s="22" t="s">
        <v>744</v>
      </c>
      <c r="I147" s="13">
        <v>42726.920173611114</v>
      </c>
      <c r="J147" s="7">
        <v>0</v>
      </c>
      <c r="K147" s="109" t="str">
        <f t="shared" si="52"/>
        <v>4029/4030</v>
      </c>
      <c r="L147" s="22" t="str">
        <f>VLOOKUP(A147,'Trips&amp;Operators'!$C$1:$G$99999,5,FALSE)</f>
        <v>NEWELL JAMES</v>
      </c>
      <c r="M147" s="6">
        <f t="shared" si="53"/>
        <v>2.4189814816054422E-2</v>
      </c>
      <c r="N147" s="7">
        <f t="shared" si="54"/>
        <v>34.833333335118368</v>
      </c>
      <c r="O147" s="7"/>
      <c r="P147" s="7"/>
      <c r="Q147" s="23"/>
      <c r="R147" s="23"/>
      <c r="S147" s="35">
        <f t="shared" si="55"/>
        <v>1</v>
      </c>
      <c r="T147" s="50" t="str">
        <f t="shared" si="56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20:05:59-700',mode:absolute,to:'2016-12-22 23:05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7" s="52" t="str">
        <f t="shared" si="58"/>
        <v>N</v>
      </c>
      <c r="X147" s="177">
        <f t="shared" si="59"/>
        <v>1</v>
      </c>
      <c r="Y147" s="67">
        <f t="shared" si="60"/>
        <v>4.4900000000000002E-2</v>
      </c>
      <c r="Z147" s="67">
        <f t="shared" si="61"/>
        <v>23.331499999999998</v>
      </c>
      <c r="AA147" s="67">
        <f t="shared" si="62"/>
        <v>23.2866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63"/>
        <v>0231-22</v>
      </c>
      <c r="AE147" s="91" t="str">
        <f t="shared" si="64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47" s="88" t="str">
        <f t="shared" si="65"/>
        <v>"C:\Program Files (x86)\AstroGrep\AstroGrep.exe" /spath="%USERPROFILE%\AppData\Local\Temp\OnboardLogs" /stypes="app*4029*20161223*" /stext=" 05:.+((SYSTEM_STATE.+slice.+state.+changed )|(ment ac)|(multiple cpu faults)|(system.+state.+changed )|(\[timeout)|(PRM\|1\|D)|(kpr)|(kdp)|(\|lc)|(penalty))" /e /r /s</v>
      </c>
      <c r="AG147" s="1" t="str">
        <f t="shared" si="66"/>
        <v>EC</v>
      </c>
      <c r="AH147" s="92" t="str">
        <f t="shared" si="67"/>
        <v>"%USERPROFILE%\Documents\GitHub\eaglep3\Utilities\RefineRTDCRunTimes.py" --tripid 231-22 --locoid 4029 --swversion DE.1.0.8.0 --startMP 204:449 --initTime 2016-12-22T21:05:59 --startdatetime 2016-12-22T21:30:13 --delay 1 --endMP 204:233315 --enddatetime 2016-12-22T22:05:03 --enforcementcount 0 &gt;&gt;C:\Users\stu\Documents\GitHub\eaglep3-reporting\EC\2016-12-22-refined-times.txt</v>
      </c>
      <c r="AI147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{"issue":{"subject":"","project_id":79,"tracker_id":40,"status_id":1,"priority_id":2,"assigned_to_id":23,"start_date":"2016-12-22","description":"","custom_fields":[{"id":1,"name":"Subdivision","value":"EC"},{"id":4,"name":"Milepost","value":"23.3315"},{"id":17,"name":"Train ID","value":"231-22"},{"id":16,"name":"Locomotive ID","value":"4029"},{"id":130,"name":"Impact","value":""},{"id":150,"name":"Time of Event (Mountain Time)","value":"22:05:03"},{"id":151,"name":"Denver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478</v>
      </c>
      <c r="B148" s="7">
        <v>4030</v>
      </c>
      <c r="C148" s="22" t="s">
        <v>205</v>
      </c>
      <c r="D148" s="22" t="s">
        <v>396</v>
      </c>
      <c r="E148" s="13">
        <v>42726.929247685184</v>
      </c>
      <c r="F148" s="13">
        <v>42726.934884259259</v>
      </c>
      <c r="G148" s="7">
        <v>1</v>
      </c>
      <c r="H148" s="22" t="s">
        <v>211</v>
      </c>
      <c r="I148" s="13">
        <v>42726.961562500001</v>
      </c>
      <c r="J148" s="7">
        <v>0</v>
      </c>
      <c r="K148" s="109" t="str">
        <f t="shared" si="52"/>
        <v>4029/4030</v>
      </c>
      <c r="L148" s="22" t="str">
        <f>VLOOKUP(A148,'Trips&amp;Operators'!$C$1:$G$99999,5,FALSE)</f>
        <v>NEWELL JAMES</v>
      </c>
      <c r="M148" s="6">
        <f t="shared" si="53"/>
        <v>2.6678240741603076E-2</v>
      </c>
      <c r="N148" s="7">
        <f t="shared" si="54"/>
        <v>38.41666666790843</v>
      </c>
      <c r="O148" s="7"/>
      <c r="P148" s="7"/>
      <c r="Q148" s="23"/>
      <c r="R148" s="23"/>
      <c r="S148" s="35">
        <f t="shared" si="55"/>
        <v>1</v>
      </c>
      <c r="T148" s="50" t="str">
        <f t="shared" si="56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21:18:07-700',mode:absolute,to:'2016-12-23 00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8" s="52" t="str">
        <f t="shared" si="58"/>
        <v>N</v>
      </c>
      <c r="X148" s="177">
        <f t="shared" si="59"/>
        <v>1</v>
      </c>
      <c r="Y148" s="67">
        <f t="shared" si="60"/>
        <v>23.299800000000001</v>
      </c>
      <c r="Z148" s="67">
        <f t="shared" si="61"/>
        <v>1.4999999999999999E-2</v>
      </c>
      <c r="AA148" s="67">
        <f t="shared" si="62"/>
        <v>23.284800000000001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63"/>
        <v>0232-22</v>
      </c>
      <c r="AE148" s="91" t="str">
        <f t="shared" si="64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148" s="88" t="str">
        <f t="shared" si="65"/>
        <v>"C:\Program Files (x86)\AstroGrep\AstroGrep.exe" /spath="%USERPROFILE%\AppData\Local\Temp\OnboardLogs" /stypes="app*4030*20161223*" /stext=" 06:.+((SYSTEM_STATE.+slice.+state.+changed )|(ment ac)|(multiple cpu faults)|(system.+state.+changed )|(\[timeout)|(PRM\|1\|D)|(kpr)|(kdp)|(\|lc)|(penalty))" /e /r /s</v>
      </c>
      <c r="AG148" s="1" t="str">
        <f t="shared" si="66"/>
        <v>EC</v>
      </c>
      <c r="AH148" s="92" t="str">
        <f t="shared" si="67"/>
        <v>"%USERPROFILE%\Documents\GitHub\eaglep3\Utilities\RefineRTDCRunTimes.py" --tripid 232-22 --locoid 4030 --swversion DE.1.0.8.0 --startMP 204:232998 --initTime 2016-12-22T22:18:07 --startdatetime 2016-12-22T22:26:14 --delay 1 --endMP 204:150 --enddatetime 2016-12-22T23:04:39 --enforcementcount 0 &gt;&gt;C:\Users\stu\Documents\GitHub\eaglep3-reporting\EC\2016-12-22-refined-times.txt</v>
      </c>
      <c r="AI148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{"issue":{"subject":"","project_id":79,"tracker_id":40,"status_id":1,"priority_id":2,"assigned_to_id":23,"start_date":"2016-12-22","description":"","custom_fields":[{"id":1,"name":"Subdivision","value":"EC"},{"id":4,"name":"Milepost","value":"0.015"},{"id":17,"name":"Train ID","value":"232-22"},{"id":16,"name":"Locomotive ID","value":"4030"},{"id":130,"name":"Impact","value":""},{"id":150,"name":"Time of Event (Mountain Time)","value":"23:04:39"},{"id":151,"name":"Denver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658</v>
      </c>
      <c r="B149" s="7">
        <v>4027</v>
      </c>
      <c r="C149" s="22" t="s">
        <v>205</v>
      </c>
      <c r="D149" s="22" t="s">
        <v>706</v>
      </c>
      <c r="E149" s="13">
        <v>42726.908368055556</v>
      </c>
      <c r="F149" s="13">
        <v>42726.916851851849</v>
      </c>
      <c r="G149" s="7">
        <v>1</v>
      </c>
      <c r="H149" s="22" t="s">
        <v>694</v>
      </c>
      <c r="I149" s="13">
        <v>42726.941874999997</v>
      </c>
      <c r="J149" s="7">
        <v>0</v>
      </c>
      <c r="K149" s="109" t="str">
        <f t="shared" si="52"/>
        <v>4027/4028</v>
      </c>
      <c r="L149" s="22" t="str">
        <f>VLOOKUP(A149,'Trips&amp;Operators'!$C$1:$G$99999,5,FALSE)</f>
        <v>BROWN JACOB</v>
      </c>
      <c r="M149" s="6">
        <f t="shared" si="53"/>
        <v>2.5023148147738539E-2</v>
      </c>
      <c r="N149" s="7">
        <f t="shared" si="54"/>
        <v>36.033333332743496</v>
      </c>
      <c r="O149" s="7"/>
      <c r="P149" s="7"/>
      <c r="Q149" s="23"/>
      <c r="R149" s="23"/>
      <c r="S149" s="35">
        <f t="shared" si="55"/>
        <v>1</v>
      </c>
      <c r="T149" s="50" t="str">
        <f t="shared" si="56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20:48:03-700',mode:absolute,to:'2016-12-22 23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49" s="52" t="str">
        <f t="shared" si="58"/>
        <v>N</v>
      </c>
      <c r="X149" s="177">
        <f t="shared" si="59"/>
        <v>1</v>
      </c>
      <c r="Y149" s="67">
        <f t="shared" si="60"/>
        <v>4.3499999999999997E-2</v>
      </c>
      <c r="Z149" s="67">
        <f t="shared" si="61"/>
        <v>23.332100000000001</v>
      </c>
      <c r="AA149" s="67">
        <f t="shared" si="62"/>
        <v>23.288599999999999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63"/>
        <v>0233-22</v>
      </c>
      <c r="AE149" s="91" t="str">
        <f t="shared" si="64"/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AF149" s="88" t="str">
        <f t="shared" si="65"/>
        <v>"C:\Program Files (x86)\AstroGrep\AstroGrep.exe" /spath="%USERPROFILE%\AppData\Local\Temp\OnboardLogs" /stypes="app*4027*20161223*" /stext=" 05:.+((SYSTEM_STATE.+slice.+state.+changed )|(ment ac)|(multiple cpu faults)|(system.+state.+changed )|(\[timeout)|(PRM\|1\|D)|(kpr)|(kdp)|(\|lc)|(penalty))" /e /r /s</v>
      </c>
      <c r="AG149" s="1" t="str">
        <f t="shared" si="66"/>
        <v>EC</v>
      </c>
      <c r="AH149" s="92" t="str">
        <f t="shared" si="67"/>
        <v>"%USERPROFILE%\Documents\GitHub\eaglep3\Utilities\RefineRTDCRunTimes.py" --tripid 233-22 --locoid 4027 --swversion DE.1.0.8.0 --startMP 204:435 --initTime 2016-12-22T21:48:03 --startdatetime 2016-12-22T22:00:16 --delay 1 --endMP 204:233321 --enddatetime 2016-12-22T22:36:18 --enforcementcount 0 &gt;&gt;C:\Users\stu\Documents\GitHub\eaglep3-reporting\EC\2016-12-22-refined-times.txt</v>
      </c>
      <c r="AI149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{"issue":{"subject":"","project_id":79,"tracker_id":40,"status_id":1,"priority_id":2,"assigned_to_id":23,"start_date":"2016-12-22","description":"","custom_fields":[{"id":1,"name":"Subdivision","value":"EC"},{"id":4,"name":"Milepost","value":"23.3321"},{"id":17,"name":"Train ID","value":"233-22"},{"id":16,"name":"Locomotive ID","value":"4027"},{"id":130,"name":"Impact","value":""},{"id":150,"name":"Time of Event (Mountain Time)","value":"22:36:18"},{"id":151,"name":"Denver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661</v>
      </c>
      <c r="B150" s="7">
        <v>4028</v>
      </c>
      <c r="C150" s="22" t="s">
        <v>205</v>
      </c>
      <c r="D150" s="22" t="s">
        <v>350</v>
      </c>
      <c r="E150" s="13">
        <v>42726.95003472222</v>
      </c>
      <c r="F150" s="13">
        <v>42726.955717592595</v>
      </c>
      <c r="G150" s="7">
        <v>1</v>
      </c>
      <c r="H150" s="22" t="s">
        <v>260</v>
      </c>
      <c r="I150" s="13">
        <v>42726.983113425929</v>
      </c>
      <c r="J150" s="7">
        <v>0</v>
      </c>
      <c r="K150" s="109" t="str">
        <f t="shared" si="52"/>
        <v>4027/4028</v>
      </c>
      <c r="L150" s="22" t="str">
        <f>VLOOKUP(A150,'Trips&amp;Operators'!$C$1:$G$99999,5,FALSE)</f>
        <v>BROWN JACOB</v>
      </c>
      <c r="M150" s="6">
        <f t="shared" si="53"/>
        <v>2.7395833334594499E-2</v>
      </c>
      <c r="N150" s="7">
        <f t="shared" si="54"/>
        <v>39.450000001816079</v>
      </c>
      <c r="O150" s="7"/>
      <c r="P150" s="7"/>
      <c r="Q150" s="23"/>
      <c r="R150" s="23"/>
      <c r="S150" s="35">
        <f t="shared" si="55"/>
        <v>1</v>
      </c>
      <c r="T150" s="50" t="str">
        <f t="shared" si="56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21:48:03-700',mode:absolute,to:'2016-12-23 00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0" s="52" t="str">
        <f t="shared" si="58"/>
        <v>N</v>
      </c>
      <c r="X150" s="177">
        <f t="shared" si="59"/>
        <v>1</v>
      </c>
      <c r="Y150" s="67">
        <f t="shared" si="60"/>
        <v>23.302499999999998</v>
      </c>
      <c r="Z150" s="67">
        <f t="shared" si="61"/>
        <v>1.47E-2</v>
      </c>
      <c r="AA150" s="67">
        <f t="shared" si="62"/>
        <v>23.287799999999997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63"/>
        <v>0234-22</v>
      </c>
      <c r="AE150" s="91" t="str">
        <f t="shared" si="64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150" s="88" t="str">
        <f t="shared" si="65"/>
        <v>"C:\Program Files (x86)\AstroGrep\AstroGrep.exe" /spath="%USERPROFILE%\AppData\Local\Temp\OnboardLogs" /stypes="app*4028*20161223*" /stext=" 06:.+((SYSTEM_STATE.+slice.+state.+changed )|(ment ac)|(multiple cpu faults)|(system.+state.+changed )|(\[timeout)|(PRM\|1\|D)|(kpr)|(kdp)|(\|lc)|(penalty))" /e /r /s</v>
      </c>
      <c r="AG150" s="1" t="str">
        <f t="shared" si="66"/>
        <v>EC</v>
      </c>
      <c r="AH150" s="92" t="str">
        <f t="shared" si="67"/>
        <v>"%USERPROFILE%\Documents\GitHub\eaglep3\Utilities\RefineRTDCRunTimes.py" --tripid 234-22 --locoid 4028 --swversion DE.1.0.8.0 --startMP 204:233025 --initTime 2016-12-22T22:48:03 --startdatetime 2016-12-22T22:56:14 --delay 1 --endMP 204:147 --enddatetime 2016-12-22T23:35:41 --enforcementcount 0 &gt;&gt;C:\Users\stu\Documents\GitHub\eaglep3-reporting\EC\2016-12-22-refined-times.txt</v>
      </c>
      <c r="AI150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{"issue":{"subject":"","project_id":79,"tracker_id":40,"status_id":1,"priority_id":2,"assigned_to_id":23,"start_date":"2016-12-22","description":"","custom_fields":[{"id":1,"name":"Subdivision","value":"EC"},{"id":4,"name":"Milepost","value":"0.0147"},{"id":17,"name":"Train ID","value":"234-22"},{"id":16,"name":"Locomotive ID","value":"4028"},{"id":130,"name":"Impact","value":""},{"id":150,"name":"Time of Event (Mountain Time)","value":"23:35:41"},{"id":151,"name":"Denver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659</v>
      </c>
      <c r="B151" s="7">
        <v>4046</v>
      </c>
      <c r="C151" s="22" t="s">
        <v>205</v>
      </c>
      <c r="D151" s="22" t="s">
        <v>745</v>
      </c>
      <c r="E151" s="13">
        <v>42726.923344907409</v>
      </c>
      <c r="F151" s="13">
        <v>42726.937696759262</v>
      </c>
      <c r="G151" s="7">
        <v>1</v>
      </c>
      <c r="H151" s="22" t="s">
        <v>746</v>
      </c>
      <c r="I151" s="13">
        <v>42726.962187500001</v>
      </c>
      <c r="J151" s="7">
        <v>0</v>
      </c>
      <c r="K151" s="109" t="str">
        <f t="shared" si="52"/>
        <v>4045/4046</v>
      </c>
      <c r="L151" s="22" t="str">
        <f>VLOOKUP(A151,'Trips&amp;Operators'!$C$1:$G$99999,5,FALSE)</f>
        <v>HILLS DUSTIN</v>
      </c>
      <c r="M151" s="6">
        <f t="shared" si="53"/>
        <v>2.4490740739565808E-2</v>
      </c>
      <c r="N151" s="7">
        <f t="shared" si="54"/>
        <v>35.266666664974764</v>
      </c>
      <c r="O151" s="7"/>
      <c r="P151" s="7"/>
      <c r="Q151" s="23"/>
      <c r="R151" s="23"/>
      <c r="S151" s="35">
        <f t="shared" si="55"/>
        <v>1</v>
      </c>
      <c r="T151" s="50" t="str">
        <f t="shared" si="56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21:09:37-700',mode:absolute,to:'2016-12-23 00:05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1" s="52" t="str">
        <f t="shared" si="58"/>
        <v>N</v>
      </c>
      <c r="X151" s="177">
        <f t="shared" si="59"/>
        <v>1</v>
      </c>
      <c r="Y151" s="67">
        <f t="shared" si="60"/>
        <v>4.24E-2</v>
      </c>
      <c r="Z151" s="67">
        <f t="shared" si="61"/>
        <v>23.341699999999999</v>
      </c>
      <c r="AA151" s="67">
        <f t="shared" si="62"/>
        <v>23.299299999999999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63"/>
        <v>0235-22</v>
      </c>
      <c r="AE151" s="91" t="str">
        <f t="shared" si="64"/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AF151" s="88" t="str">
        <f t="shared" si="65"/>
        <v>"C:\Program Files (x86)\AstroGrep\AstroGrep.exe" /spath="%USERPROFILE%\AppData\Local\Temp\OnboardLogs" /stypes="app*4046*20161223*" /stext=" 06:.+((SYSTEM_STATE.+slice.+state.+changed )|(ment ac)|(multiple cpu faults)|(system.+state.+changed )|(\[timeout)|(PRM\|1\|D)|(kpr)|(kdp)|(\|lc)|(penalty))" /e /r /s</v>
      </c>
      <c r="AG151" s="1" t="str">
        <f t="shared" si="66"/>
        <v>EC</v>
      </c>
      <c r="AH151" s="92" t="str">
        <f t="shared" si="67"/>
        <v>"%USERPROFILE%\Documents\GitHub\eaglep3\Utilities\RefineRTDCRunTimes.py" --tripid 235-22 --locoid 4046 --swversion DE.1.0.8.0 --startMP 204:424 --initTime 2016-12-22T22:09:37 --startdatetime 2016-12-22T22:30:17 --delay 1 --endMP 204:233417 --enddatetime 2016-12-22T23:05:33 --enforcementcount 0 &gt;&gt;C:\Users\stu\Documents\GitHub\eaglep3-reporting\EC\2016-12-22-refined-times.txt</v>
      </c>
      <c r="AI151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{"issue":{"subject":"","project_id":79,"tracker_id":40,"status_id":1,"priority_id":2,"assigned_to_id":23,"start_date":"2016-12-22","description":"","custom_fields":[{"id":1,"name":"Subdivision","value":"EC"},{"id":4,"name":"Milepost","value":"23.3417"},{"id":17,"name":"Train ID","value":"235-22"},{"id":16,"name":"Locomotive ID","value":"4046"},{"id":130,"name":"Impact","value":""},{"id":150,"name":"Time of Event (Mountain Time)","value":"23:05:33"},{"id":151,"name":"Denver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663</v>
      </c>
      <c r="B152" s="7">
        <v>4045</v>
      </c>
      <c r="C152" s="22" t="s">
        <v>205</v>
      </c>
      <c r="D152" s="22" t="s">
        <v>747</v>
      </c>
      <c r="E152" s="13">
        <v>42726.963530092595</v>
      </c>
      <c r="F152" s="13">
        <v>42726.9765625</v>
      </c>
      <c r="G152" s="7">
        <v>1</v>
      </c>
      <c r="H152" s="22" t="s">
        <v>748</v>
      </c>
      <c r="I152" s="13">
        <v>42727.004652777781</v>
      </c>
      <c r="J152" s="7">
        <v>0</v>
      </c>
      <c r="K152" s="109" t="str">
        <f t="shared" si="52"/>
        <v>4045/4046</v>
      </c>
      <c r="L152" s="22" t="str">
        <f>VLOOKUP(A152,'Trips&amp;Operators'!$C$1:$G$99999,5,FALSE)</f>
        <v>HILLS DUSTIN</v>
      </c>
      <c r="M152" s="6">
        <f t="shared" si="53"/>
        <v>2.8090277781302575E-2</v>
      </c>
      <c r="N152" s="7">
        <f t="shared" si="54"/>
        <v>40.450000005075708</v>
      </c>
      <c r="O152" s="7"/>
      <c r="P152" s="7"/>
      <c r="Q152" s="23"/>
      <c r="R152" s="23"/>
      <c r="S152" s="35">
        <f t="shared" si="55"/>
        <v>1</v>
      </c>
      <c r="T152" s="50" t="str">
        <f t="shared" si="56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22:07:29-700',mode:absolute,to:'2016-12-23 01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2" s="52" t="str">
        <f t="shared" si="58"/>
        <v>N</v>
      </c>
      <c r="X152" s="177">
        <f t="shared" si="59"/>
        <v>1</v>
      </c>
      <c r="Y152" s="67">
        <f t="shared" si="60"/>
        <v>23.3093</v>
      </c>
      <c r="Z152" s="67">
        <f t="shared" si="61"/>
        <v>8.5000000000000006E-3</v>
      </c>
      <c r="AA152" s="67">
        <f t="shared" si="62"/>
        <v>23.300799999999999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63"/>
        <v>0236-22</v>
      </c>
      <c r="AE152" s="91" t="str">
        <f t="shared" si="64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152" s="88" t="str">
        <f t="shared" si="65"/>
        <v>"C:\Program Files (x86)\AstroGrep\AstroGrep.exe" /spath="%USERPROFILE%\AppData\Local\Temp\OnboardLogs" /stypes="app*4045*20161223*" /stext=" 07:.+((SYSTEM_STATE.+slice.+state.+changed )|(ment ac)|(multiple cpu faults)|(system.+state.+changed )|(\[timeout)|(PRM\|1\|D)|(kpr)|(kdp)|(\|lc)|(penalty))" /e /r /s</v>
      </c>
      <c r="AG152" s="1" t="str">
        <f t="shared" si="66"/>
        <v>EC</v>
      </c>
      <c r="AH152" s="92" t="str">
        <f t="shared" si="67"/>
        <v>"%USERPROFILE%\Documents\GitHub\eaglep3\Utilities\RefineRTDCRunTimes.py" --tripid 236-22 --locoid 4045 --swversion DE.1.0.8.0 --startMP 204:233093 --initTime 2016-12-22T23:07:29 --startdatetime 2016-12-22T23:26:15 --delay 1 --endMP 204:85 --enddatetime 2016-12-23T00:06:42 --enforcementcount 0 &gt;&gt;C:\Users\stu\Documents\GitHub\eaglep3-reporting\EC\2016-12-22-refined-times.txt</v>
      </c>
      <c r="AI152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{"issue":{"subject":"","project_id":79,"tracker_id":40,"status_id":1,"priority_id":2,"assigned_to_id":23,"start_date":"2016-12-23","description":"","custom_fields":[{"id":1,"name":"Subdivision","value":"EC"},{"id":4,"name":"Milepost","value":"0.0085"},{"id":17,"name":"Train ID","value":"236-22"},{"id":16,"name":"Locomotive ID","value":"4045"},{"id":130,"name":"Impact","value":""},{"id":150,"name":"Time of Event (Mountain Time)","value":"00:06:42"},{"id":151,"name":"Denver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660</v>
      </c>
      <c r="B153" s="7">
        <v>4009</v>
      </c>
      <c r="C153" s="22" t="s">
        <v>205</v>
      </c>
      <c r="D153" s="22" t="s">
        <v>701</v>
      </c>
      <c r="E153" s="13">
        <v>42726.945081018515</v>
      </c>
      <c r="F153" s="13">
        <v>42726.958587962959</v>
      </c>
      <c r="G153" s="7">
        <v>1</v>
      </c>
      <c r="H153" s="22" t="s">
        <v>320</v>
      </c>
      <c r="I153" s="13">
        <v>42726.984189814815</v>
      </c>
      <c r="J153" s="7">
        <v>0</v>
      </c>
      <c r="K153" s="109" t="str">
        <f t="shared" si="52"/>
        <v>4009/4010</v>
      </c>
      <c r="L153" s="22" t="str">
        <f>VLOOKUP(A153,'Trips&amp;Operators'!$C$1:$G$99999,5,FALSE)</f>
        <v>WHITED DUSTIN</v>
      </c>
      <c r="M153" s="6">
        <f t="shared" si="53"/>
        <v>2.5601851855753921E-2</v>
      </c>
      <c r="N153" s="7">
        <f t="shared" si="54"/>
        <v>36.866666672285646</v>
      </c>
      <c r="O153" s="7"/>
      <c r="P153" s="7"/>
      <c r="Q153" s="23"/>
      <c r="R153" s="23"/>
      <c r="S153" s="35">
        <f t="shared" si="55"/>
        <v>1</v>
      </c>
      <c r="T153" s="50" t="str">
        <f t="shared" si="56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21:40:55-700',mode:absolute,to:'2016-12-23 00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3" s="52" t="str">
        <f t="shared" si="58"/>
        <v>N</v>
      </c>
      <c r="X153" s="177">
        <f t="shared" si="59"/>
        <v>1</v>
      </c>
      <c r="Y153" s="67">
        <f t="shared" si="60"/>
        <v>4.5699999999999998E-2</v>
      </c>
      <c r="Z153" s="67">
        <f t="shared" si="61"/>
        <v>23.329699999999999</v>
      </c>
      <c r="AA153" s="67">
        <f t="shared" si="62"/>
        <v>23.283999999999999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63"/>
        <v>0237-22</v>
      </c>
      <c r="AE153" s="91" t="str">
        <f t="shared" si="64"/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AF153" s="88" t="str">
        <f t="shared" si="65"/>
        <v>"C:\Program Files (x86)\AstroGrep\AstroGrep.exe" /spath="%USERPROFILE%\AppData\Local\Temp\OnboardLogs" /stypes="app*4009*20161223*" /stext=" 06:.+((SYSTEM_STATE.+slice.+state.+changed )|(ment ac)|(multiple cpu faults)|(system.+state.+changed )|(\[timeout)|(PRM\|1\|D)|(kpr)|(kdp)|(\|lc)|(penalty))" /e /r /s</v>
      </c>
      <c r="AG153" s="1" t="str">
        <f t="shared" si="66"/>
        <v>EC</v>
      </c>
      <c r="AH153" s="92" t="str">
        <f t="shared" si="67"/>
        <v>"%USERPROFILE%\Documents\GitHub\eaglep3\Utilities\RefineRTDCRunTimes.py" --tripid 237-22 --locoid 4009 --swversion DE.1.0.8.0 --startMP 204:457 --initTime 2016-12-22T22:40:55 --startdatetime 2016-12-22T23:00:22 --delay 1 --endMP 204:233297 --enddatetime 2016-12-22T23:37:14 --enforcementcount 0 &gt;&gt;C:\Users\stu\Documents\GitHub\eaglep3-reporting\EC\2016-12-22-refined-times.txt</v>
      </c>
      <c r="AI153" s="119" t="str">
        <f t="shared" si="68"/>
        <v>echo {"issue":{"subject":"","project_id":79,"tracker_id":40,"status_id":1,"priority_id":2,"assigned_to_id":23,"start_date":"2016-12-22","description":"","custom_fields":[{"id":1,"name":"Subdivision","value":"EC"},{"id":4,"name":"Milepost","value":"23.3297"},{"id":17,"name":"Train ID","value":"237-22"},{"id":16,"name":"Locomotive ID","value":"4009"},{"id":130,"name":"Impact","value":""},{"id":150,"name":"Time of Event (Mountain Time)","value":"23:37:14"},{"id":151,"name":"Denver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664</v>
      </c>
      <c r="B154" s="7">
        <v>4010</v>
      </c>
      <c r="C154" s="22" t="s">
        <v>205</v>
      </c>
      <c r="D154" s="22" t="s">
        <v>270</v>
      </c>
      <c r="E154" s="13">
        <v>42726.990798611114</v>
      </c>
      <c r="F154" s="13">
        <v>42726.997465277775</v>
      </c>
      <c r="G154" s="7">
        <v>1</v>
      </c>
      <c r="H154" s="22" t="s">
        <v>347</v>
      </c>
      <c r="I154" s="13">
        <v>42727.026192129626</v>
      </c>
      <c r="J154" s="7">
        <v>0</v>
      </c>
      <c r="K154" s="109" t="str">
        <f t="shared" si="52"/>
        <v>4009/4010</v>
      </c>
      <c r="L154" s="22" t="str">
        <f>VLOOKUP(A154,'Trips&amp;Operators'!$C$1:$G$99999,5,FALSE)</f>
        <v>WHITED DUSTIN</v>
      </c>
      <c r="M154" s="6">
        <f t="shared" si="53"/>
        <v>2.8726851851388346E-2</v>
      </c>
      <c r="N154" s="7">
        <f t="shared" si="54"/>
        <v>41.366666665999219</v>
      </c>
      <c r="O154" s="7"/>
      <c r="P154" s="7"/>
      <c r="Q154" s="23"/>
      <c r="R154" s="23"/>
      <c r="S154" s="35">
        <f t="shared" si="55"/>
        <v>1</v>
      </c>
      <c r="T154" s="50" t="str">
        <f t="shared" si="56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22:46:45-700',mode:absolute,to:'2016-12-23 01:37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4" s="52" t="str">
        <f t="shared" si="58"/>
        <v>N</v>
      </c>
      <c r="X154" s="177">
        <f t="shared" si="59"/>
        <v>1</v>
      </c>
      <c r="Y154" s="67">
        <f t="shared" si="60"/>
        <v>23.298500000000001</v>
      </c>
      <c r="Z154" s="67">
        <f t="shared" si="61"/>
        <v>1.52E-2</v>
      </c>
      <c r="AA154" s="67">
        <f t="shared" si="62"/>
        <v>23.283300000000001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63"/>
        <v>0238-22</v>
      </c>
      <c r="AE154" s="91" t="str">
        <f t="shared" si="64"/>
        <v>aws s3 cp s3://rtdc.mdm.uploadarchive.raw/RTDC4010/ "%USERPROFILE%\AppData\Local\Temp\OnboardLogs"\RTDC4010\2016-12-22 --exclude "*" --recursive --include "*20161222*" &amp; "%USERPROFILE%\Documents\GitHub\mrs-test-scripts\Headless Mode &amp; Sideloading\WalkAndUnGZ.bat" "%USERPROFILE%\AppData\Local\Temp\OnboardLogs"\RTDC4010\2016-12-22 &amp; aws s3 cp s3://rtdc.mdm.uploadarchive.raw/RTDC4010/ "%USERPROFILE%\AppData\Local\Temp\OnboardLogs"\RTDC4010\2016-12-23 --exclude "*" --recursive --include "*20161223*" &amp; "%USERPROFILE%\Documents\GitHub\mrs-test-scripts\Headless Mode &amp; Sideloading\WalkAndUnGZ.bat" "%USERPROFILE%\AppData\Local\Temp\OnboardLogs"\RTDC4010\2016-12-23</v>
      </c>
      <c r="AF154" s="88" t="str">
        <f t="shared" si="65"/>
        <v>"C:\Program Files (x86)\AstroGrep\AstroGrep.exe" /spath="%USERPROFILE%\AppData\Local\Temp\OnboardLogs" /stypes="app*4010*20161223*" /stext=" 07:.+((SYSTEM_STATE.+slice.+state.+changed )|(ment ac)|(multiple cpu faults)|(system.+state.+changed )|(\[timeout)|(PRM\|1\|D)|(kpr)|(kdp)|(\|lc)|(penalty))" /e /r /s</v>
      </c>
      <c r="AG154" s="1" t="str">
        <f t="shared" si="66"/>
        <v>EC</v>
      </c>
      <c r="AH154" s="92" t="str">
        <f t="shared" si="67"/>
        <v>"%USERPROFILE%\Documents\GitHub\eaglep3\Utilities\RefineRTDCRunTimes.py" --tripid 238-22 --locoid 4010 --swversion DE.1.0.8.0 --startMP 204:232985 --initTime 2016-12-22T23:46:45 --startdatetime 2016-12-22T23:56:21 --delay 1 --endMP 204:152 --enddatetime 2016-12-23T00:37:43 --enforcementcount 0 &gt;&gt;C:\Users\stu\Documents\GitHub\eaglep3-reporting\EC\2016-12-22-refined-times.txt</v>
      </c>
      <c r="AI154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{"issue":{"subject":"","project_id":79,"tracker_id":40,"status_id":1,"priority_id":2,"assigned_to_id":23,"start_date":"2016-12-23","description":"","custom_fields":[{"id":1,"name":"Subdivision","value":"EC"},{"id":4,"name":"Milepost","value":"0.0152"},{"id":17,"name":"Train ID","value":"238-22"},{"id":16,"name":"Locomotive ID","value":"4010"},{"id":130,"name":"Impact","value":""},{"id":150,"name":"Time of Event (Mountain Time)","value":"00:37:43"},{"id":151,"name":"Denver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662</v>
      </c>
      <c r="B155" s="7">
        <v>4029</v>
      </c>
      <c r="C155" s="22" t="s">
        <v>205</v>
      </c>
      <c r="D155" s="22" t="s">
        <v>230</v>
      </c>
      <c r="E155" s="13">
        <v>42726.963148148148</v>
      </c>
      <c r="F155" s="13">
        <v>42726.979317129626</v>
      </c>
      <c r="G155" s="7">
        <v>1</v>
      </c>
      <c r="H155" s="22" t="s">
        <v>281</v>
      </c>
      <c r="I155" s="13">
        <v>42727.003472222219</v>
      </c>
      <c r="J155" s="7">
        <v>0</v>
      </c>
      <c r="K155" s="109" t="str">
        <f t="shared" si="52"/>
        <v>4029/4030</v>
      </c>
      <c r="L155" s="22" t="str">
        <f>VLOOKUP(A155,'Trips&amp;Operators'!$C$1:$G$99999,5,FALSE)</f>
        <v>NEWELL JAMES</v>
      </c>
      <c r="M155" s="6">
        <f t="shared" si="53"/>
        <v>2.4155092592991423E-2</v>
      </c>
      <c r="N155" s="7">
        <f t="shared" si="54"/>
        <v>34.783333333907649</v>
      </c>
      <c r="O155" s="7"/>
      <c r="P155" s="7"/>
      <c r="Q155" s="23"/>
      <c r="R155" s="23"/>
      <c r="S155" s="35">
        <f t="shared" si="55"/>
        <v>1</v>
      </c>
      <c r="T155" s="50" t="str">
        <f t="shared" si="56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22:06:56-700',mode:absolute,to:'2016-12-23 01:05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5" s="52" t="str">
        <f t="shared" si="58"/>
        <v>N</v>
      </c>
      <c r="X155" s="177">
        <f t="shared" si="59"/>
        <v>1</v>
      </c>
      <c r="Y155" s="67">
        <f t="shared" si="60"/>
        <v>4.5999999999999999E-2</v>
      </c>
      <c r="Z155" s="67">
        <f t="shared" si="61"/>
        <v>23.329799999999999</v>
      </c>
      <c r="AA155" s="67">
        <f t="shared" si="62"/>
        <v>23.283799999999999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63"/>
        <v>0239-22</v>
      </c>
      <c r="AE155" s="91" t="str">
        <f t="shared" si="64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155" s="88" t="str">
        <f t="shared" si="65"/>
        <v>"C:\Program Files (x86)\AstroGrep\AstroGrep.exe" /spath="%USERPROFILE%\AppData\Local\Temp\OnboardLogs" /stypes="app*4029*20161223*" /stext=" 07:.+((SYSTEM_STATE.+slice.+state.+changed )|(ment ac)|(multiple cpu faults)|(system.+state.+changed )|(\[timeout)|(PRM\|1\|D)|(kpr)|(kdp)|(\|lc)|(penalty))" /e /r /s</v>
      </c>
      <c r="AG155" s="1" t="str">
        <f t="shared" si="66"/>
        <v>EC</v>
      </c>
      <c r="AH155" s="92" t="str">
        <f t="shared" si="67"/>
        <v>"%USERPROFILE%\Documents\GitHub\eaglep3\Utilities\RefineRTDCRunTimes.py" --tripid 239-22 --locoid 4029 --swversion DE.1.0.8.0 --startMP 204:460 --initTime 2016-12-22T23:06:56 --startdatetime 2016-12-22T23:30:13 --delay 1 --endMP 204:233298 --enddatetime 2016-12-23T00:05:00 --enforcementcount 0 &gt;&gt;C:\Users\stu\Documents\GitHub\eaglep3-reporting\EC\2016-12-22-refined-times.txt</v>
      </c>
      <c r="AI155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{"issue":{"subject":"","project_id":79,"tracker_id":40,"status_id":1,"priority_id":2,"assigned_to_id":23,"start_date":"2016-12-23","description":"","custom_fields":[{"id":1,"name":"Subdivision","value":"EC"},{"id":4,"name":"Milepost","value":"23.3298"},{"id":17,"name":"Train ID","value":"239-22"},{"id":16,"name":"Locomotive ID","value":"4029"},{"id":130,"name":"Impact","value":""},{"id":150,"name":"Time of Event (Mountain Time)","value":"00:05:00"},{"id":151,"name":"Denver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666</v>
      </c>
      <c r="B156" s="7">
        <v>4030</v>
      </c>
      <c r="C156" s="22" t="s">
        <v>205</v>
      </c>
      <c r="D156" s="22" t="s">
        <v>351</v>
      </c>
      <c r="E156" s="13">
        <v>42727.015069444446</v>
      </c>
      <c r="F156" s="13">
        <v>42727.018206018518</v>
      </c>
      <c r="G156" s="7">
        <v>1</v>
      </c>
      <c r="H156" s="22" t="s">
        <v>395</v>
      </c>
      <c r="I156" s="13">
        <v>42727.044976851852</v>
      </c>
      <c r="J156" s="7">
        <v>0</v>
      </c>
      <c r="K156" s="109" t="str">
        <f t="shared" si="52"/>
        <v>4029/4030</v>
      </c>
      <c r="L156" s="22" t="str">
        <f>VLOOKUP(A156,'Trips&amp;Operators'!$C$1:$G$99999,5,FALSE)</f>
        <v>NEWELL JAMES</v>
      </c>
      <c r="M156" s="6">
        <f t="shared" si="53"/>
        <v>2.6770833334012423E-2</v>
      </c>
      <c r="N156" s="7">
        <f t="shared" si="54"/>
        <v>38.550000000977889</v>
      </c>
      <c r="O156" s="7"/>
      <c r="P156" s="7"/>
      <c r="Q156" s="23"/>
      <c r="R156" s="23"/>
      <c r="S156" s="35">
        <f t="shared" si="55"/>
        <v>1</v>
      </c>
      <c r="T156" s="50" t="str">
        <f t="shared" si="56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23:21:42-700',mode:absolute,to:'2016-12-23 02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6" s="52" t="str">
        <f t="shared" si="58"/>
        <v>N</v>
      </c>
      <c r="X156" s="177">
        <f t="shared" si="59"/>
        <v>1</v>
      </c>
      <c r="Y156" s="67">
        <f t="shared" si="60"/>
        <v>23.3002</v>
      </c>
      <c r="Z156" s="67">
        <f t="shared" si="61"/>
        <v>1.5800000000000002E-2</v>
      </c>
      <c r="AA156" s="67">
        <f t="shared" si="62"/>
        <v>23.284400000000002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63"/>
        <v>0240-22</v>
      </c>
      <c r="AE156" s="91" t="str">
        <f t="shared" si="64"/>
        <v>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 &amp; aws s3 cp s3://rtdc.mdm.uploadarchive.raw/RTDC4030/ "%USERPROFILE%\AppData\Local\Temp\OnboardLogs"\RTDC4030\2016-12-24 --exclude "*" --recursive --include "*20161224*" &amp; "%USERPROFILE%\Documents\GitHub\mrs-test-scripts\Headless Mode &amp; Sideloading\WalkAndUnGZ.bat" "%USERPROFILE%\AppData\Local\Temp\OnboardLogs"\RTDC4030\2016-12-24</v>
      </c>
      <c r="AF156" s="88" t="str">
        <f t="shared" si="65"/>
        <v>"C:\Program Files (x86)\AstroGrep\AstroGrep.exe" /spath="%USERPROFILE%\AppData\Local\Temp\OnboardLogs" /stypes="app*4030*20161223*" /stext=" 08:.+((SYSTEM_STATE.+slice.+state.+changed )|(ment ac)|(multiple cpu faults)|(system.+state.+changed )|(\[timeout)|(PRM\|1\|D)|(kpr)|(kdp)|(\|lc)|(penalty))" /e /r /s</v>
      </c>
      <c r="AG156" s="1" t="str">
        <f t="shared" si="66"/>
        <v>EC</v>
      </c>
      <c r="AH156" s="92" t="str">
        <f t="shared" si="67"/>
        <v>"%USERPROFILE%\Documents\GitHub\eaglep3\Utilities\RefineRTDCRunTimes.py" --tripid 240-22 --locoid 4030 --swversion DE.1.0.8.0 --startMP 204:233002 --initTime 2016-12-23T00:21:42 --startdatetime 2016-12-23T00:26:13 --delay 1 --endMP 204:158 --enddatetime 2016-12-23T01:04:46 --enforcementcount 0 &gt;&gt;C:\Users\stu\Documents\GitHub\eaglep3-reporting\EC\2016-12-22-refined-times.txt</v>
      </c>
      <c r="AI156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{"issue":{"subject":"","project_id":79,"tracker_id":40,"status_id":1,"priority_id":2,"assigned_to_id":23,"start_date":"2016-12-23","description":"","custom_fields":[{"id":1,"name":"Subdivision","value":"EC"},{"id":4,"name":"Milepost","value":"0.0158"},{"id":17,"name":"Train ID","value":"240-22"},{"id":16,"name":"Locomotive ID","value":"4030"},{"id":130,"name":"Impact","value":""},{"id":150,"name":"Time of Event (Mountain Time)","value":"01:04:46"},{"id":151,"name":"Denver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665</v>
      </c>
      <c r="B157" s="7">
        <v>4027</v>
      </c>
      <c r="C157" s="22" t="s">
        <v>205</v>
      </c>
      <c r="D157" s="22" t="s">
        <v>290</v>
      </c>
      <c r="E157" s="13">
        <v>42726.994583333333</v>
      </c>
      <c r="F157" s="13">
        <v>42727.000185185185</v>
      </c>
      <c r="G157" s="7">
        <v>1</v>
      </c>
      <c r="H157" s="22" t="s">
        <v>744</v>
      </c>
      <c r="I157" s="13">
        <v>42727.025659722225</v>
      </c>
      <c r="J157" s="7">
        <v>0</v>
      </c>
      <c r="K157" s="109" t="str">
        <f t="shared" si="52"/>
        <v>4027/4028</v>
      </c>
      <c r="L157" s="22" t="str">
        <f>VLOOKUP(A157,'Trips&amp;Operators'!$C$1:$G$99999,5,FALSE)</f>
        <v>BROWN JACOB</v>
      </c>
      <c r="M157" s="6">
        <f t="shared" si="53"/>
        <v>2.5474537040281575E-2</v>
      </c>
      <c r="N157" s="7">
        <f t="shared" si="54"/>
        <v>36.683333338005468</v>
      </c>
      <c r="O157" s="7"/>
      <c r="P157" s="7"/>
      <c r="Q157" s="23"/>
      <c r="R157" s="23"/>
      <c r="S157" s="35">
        <f t="shared" si="55"/>
        <v>1</v>
      </c>
      <c r="T157" s="50" t="str">
        <f t="shared" si="56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22:52:12-700',mode:absolute,to:'2016-12-23 01:36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57" s="52" t="str">
        <f t="shared" si="58"/>
        <v>N</v>
      </c>
      <c r="X157" s="177">
        <f t="shared" si="59"/>
        <v>1</v>
      </c>
      <c r="Y157" s="67">
        <f t="shared" si="60"/>
        <v>4.6899999999999997E-2</v>
      </c>
      <c r="Z157" s="67">
        <f t="shared" si="61"/>
        <v>23.331499999999998</v>
      </c>
      <c r="AA157" s="67">
        <f t="shared" si="62"/>
        <v>23.284599999999998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63"/>
        <v>0241-22</v>
      </c>
      <c r="AE157" s="91" t="str">
        <f t="shared" si="64"/>
        <v>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 &amp; aws s3 cp s3://rtdc.mdm.uploadarchive.raw/RTDC4027/ "%USERPROFILE%\AppData\Local\Temp\OnboardLogs"\RTDC4027\2016-12-24 --exclude "*" --recursive --include "*20161224*" &amp; "%USERPROFILE%\Documents\GitHub\mrs-test-scripts\Headless Mode &amp; Sideloading\WalkAndUnGZ.bat" "%USERPROFILE%\AppData\Local\Temp\OnboardLogs"\RTDC4027\2016-12-24</v>
      </c>
      <c r="AF157" s="88" t="str">
        <f t="shared" si="65"/>
        <v>"C:\Program Files (x86)\AstroGrep\AstroGrep.exe" /spath="%USERPROFILE%\AppData\Local\Temp\OnboardLogs" /stypes="app*4027*20161223*" /stext=" 07:.+((SYSTEM_STATE.+slice.+state.+changed )|(ment ac)|(multiple cpu faults)|(system.+state.+changed )|(\[timeout)|(PRM\|1\|D)|(kpr)|(kdp)|(\|lc)|(penalty))" /e /r /s</v>
      </c>
      <c r="AG157" s="1" t="str">
        <f t="shared" si="66"/>
        <v>EC</v>
      </c>
      <c r="AH157" s="92" t="str">
        <f t="shared" si="67"/>
        <v>"%USERPROFILE%\Documents\GitHub\eaglep3\Utilities\RefineRTDCRunTimes.py" --tripid 241-22 --locoid 4027 --swversion DE.1.0.8.0 --startMP 204:469 --initTime 2016-12-22T23:52:12 --startdatetime 2016-12-23T00:00:16 --delay 1 --endMP 204:233315 --enddatetime 2016-12-23T00:36:57 --enforcementcount 0 &gt;&gt;C:\Users\stu\Documents\GitHub\eaglep3-reporting\EC\2016-12-22-refined-times.txt</v>
      </c>
      <c r="AI157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{"issue":{"subject":"","project_id":79,"tracker_id":40,"status_id":1,"priority_id":2,"assigned_to_id":23,"start_date":"2016-12-23","description":"","custom_fields":[{"id":1,"name":"Subdivision","value":"EC"},{"id":4,"name":"Milepost","value":"23.3315"},{"id":17,"name":"Train ID","value":"241-22"},{"id":16,"name":"Locomotive ID","value":"4027"},{"id":130,"name":"Impact","value":""},{"id":150,"name":"Time of Event (Mountain Time)","value":"00:36:57"},{"id":151,"name":"Denver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668</v>
      </c>
      <c r="B158" s="7">
        <v>4028</v>
      </c>
      <c r="C158" s="22" t="s">
        <v>205</v>
      </c>
      <c r="D158" s="22" t="s">
        <v>399</v>
      </c>
      <c r="E158" s="13">
        <v>42727.033472222225</v>
      </c>
      <c r="F158" s="13">
        <v>42727.0390625</v>
      </c>
      <c r="G158" s="7">
        <v>0</v>
      </c>
      <c r="H158" s="22" t="s">
        <v>192</v>
      </c>
      <c r="I158" s="13">
        <v>42727.071319444447</v>
      </c>
      <c r="J158" s="7">
        <v>0</v>
      </c>
      <c r="K158" s="109" t="str">
        <f t="shared" si="52"/>
        <v>4027/4028</v>
      </c>
      <c r="L158" s="22" t="str">
        <f>VLOOKUP(A158,'Trips&amp;Operators'!$C$1:$G$99999,5,FALSE)</f>
        <v>BROWN JACOB</v>
      </c>
      <c r="M158" s="6">
        <f t="shared" si="53"/>
        <v>3.2256944446999114E-2</v>
      </c>
      <c r="N158" s="7">
        <f t="shared" si="54"/>
        <v>46.450000003678724</v>
      </c>
      <c r="O158" s="7"/>
      <c r="P158" s="7"/>
      <c r="Q158" s="23"/>
      <c r="R158" s="23"/>
      <c r="S158" s="35">
        <f t="shared" si="55"/>
        <v>1</v>
      </c>
      <c r="T158" s="50" t="str">
        <f t="shared" si="56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23:48:12-700',mode:absolute,to:'2016-12-23 02:42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58" s="52" t="str">
        <f t="shared" si="58"/>
        <v>N</v>
      </c>
      <c r="X158" s="177">
        <f t="shared" si="59"/>
        <v>1</v>
      </c>
      <c r="Y158" s="67">
        <f t="shared" si="60"/>
        <v>23.300599999999999</v>
      </c>
      <c r="Z158" s="67">
        <f t="shared" si="61"/>
        <v>1.43E-2</v>
      </c>
      <c r="AA158" s="67">
        <f t="shared" si="62"/>
        <v>23.286300000000001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63"/>
        <v>0242-22</v>
      </c>
      <c r="AE158" s="91" t="str">
        <f t="shared" si="64"/>
        <v>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 &amp; aws s3 cp s3://rtdc.mdm.uploadarchive.raw/RTDC4028/ "%USERPROFILE%\AppData\Local\Temp\OnboardLogs"\RTDC4028\2016-12-24 --exclude "*" --recursive --include "*20161224*" &amp; "%USERPROFILE%\Documents\GitHub\mrs-test-scripts\Headless Mode &amp; Sideloading\WalkAndUnGZ.bat" "%USERPROFILE%\AppData\Local\Temp\OnboardLogs"\RTDC4028\2016-12-24</v>
      </c>
      <c r="AF158" s="88" t="str">
        <f t="shared" si="65"/>
        <v>"C:\Program Files (x86)\AstroGrep\AstroGrep.exe" /spath="%USERPROFILE%\AppData\Local\Temp\OnboardLogs" /stypes="app*4028*20161223*" /stext=" 08:.+((SYSTEM_STATE.+slice.+state.+changed )|(ment ac)|(multiple cpu faults)|(system.+state.+changed )|(\[timeout)|(PRM\|1\|D)|(kpr)|(kdp)|(\|lc)|(penalty))" /e /r /s</v>
      </c>
      <c r="AG158" s="1" t="str">
        <f t="shared" si="66"/>
        <v>EC</v>
      </c>
      <c r="AH158" s="92" t="str">
        <f t="shared" si="67"/>
        <v>"%USERPROFILE%\Documents\GitHub\eaglep3\Utilities\RefineRTDCRunTimes.py" --tripid 242-22 --locoid 4028 --swversion DE.1.0.8.0 --startMP 204:233006 --initTime 2016-12-23T00:48:12 --startdatetime 2016-12-23T00:56:15 --delay 0 --endMP 204:143 --enddatetime 2016-12-23T01:42:42 --enforcementcount 0 &gt;&gt;C:\Users\stu\Documents\GitHub\eaglep3-reporting\EC\2016-12-22-refined-times.txt</v>
      </c>
      <c r="AI158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{"issue":{"subject":"","project_id":79,"tracker_id":40,"status_id":1,"priority_id":2,"assigned_to_id":23,"start_date":"2016-12-23","description":"","custom_fields":[{"id":1,"name":"Subdivision","value":"EC"},{"id":4,"name":"Milepost","value":"0.0143"},{"id":17,"name":"Train ID","value":"242-22"},{"id":16,"name":"Locomotive ID","value":"4028"},{"id":130,"name":"Impact","value":""},{"id":150,"name":"Time of Event (Mountain Time)","value":"01:42:42"},{"id":151,"name":"Denver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481</v>
      </c>
      <c r="B159" s="7">
        <v>4046</v>
      </c>
      <c r="C159" s="22" t="s">
        <v>205</v>
      </c>
      <c r="D159" s="22" t="s">
        <v>411</v>
      </c>
      <c r="E159" s="13">
        <v>42727.007777777777</v>
      </c>
      <c r="F159" s="13">
        <v>42727.021006944444</v>
      </c>
      <c r="G159" s="7">
        <v>1</v>
      </c>
      <c r="H159" s="22" t="s">
        <v>749</v>
      </c>
      <c r="I159" s="13">
        <v>42727.045208333337</v>
      </c>
      <c r="J159" s="7">
        <v>0</v>
      </c>
      <c r="K159" s="109" t="str">
        <f t="shared" si="52"/>
        <v>4045/4046</v>
      </c>
      <c r="L159" s="22" t="str">
        <f>VLOOKUP(A159,'Trips&amp;Operators'!$C$1:$G$99999,5,FALSE)</f>
        <v>HILLS DUSTIN</v>
      </c>
      <c r="M159" s="6">
        <f t="shared" si="53"/>
        <v>2.4201388892834075E-2</v>
      </c>
      <c r="N159" s="7">
        <f t="shared" si="54"/>
        <v>34.850000005681068</v>
      </c>
      <c r="O159" s="7"/>
      <c r="P159" s="7"/>
      <c r="Q159" s="23"/>
      <c r="R159" s="23"/>
      <c r="S159" s="35">
        <f t="shared" si="55"/>
        <v>1</v>
      </c>
      <c r="T159" s="50" t="str">
        <f t="shared" si="56"/>
        <v>NorthBound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23:11:12-700',mode:absolute,to:'2016-12-23 02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9" s="52" t="str">
        <f t="shared" si="58"/>
        <v>N</v>
      </c>
      <c r="X159" s="177">
        <f t="shared" si="59"/>
        <v>1</v>
      </c>
      <c r="Y159" s="67">
        <f t="shared" si="60"/>
        <v>4.0399999999999998E-2</v>
      </c>
      <c r="Z159" s="67">
        <f t="shared" si="61"/>
        <v>23.3323</v>
      </c>
      <c r="AA159" s="67">
        <f t="shared" si="62"/>
        <v>23.291899999999998</v>
      </c>
      <c r="AB159" s="64" t="str">
        <f>VLOOKUP(A159,Enforcements!$C$7:$K$19,8,0)</f>
        <v>Bulletin (2)</v>
      </c>
      <c r="AC159" s="60" t="str">
        <f>VLOOKUP(A159,Enforcements!$C$7:$E$19,3,0)</f>
        <v>GRADE CROSSING</v>
      </c>
      <c r="AD159" s="61" t="str">
        <f t="shared" si="63"/>
        <v>0243-22</v>
      </c>
      <c r="AE159" s="91" t="str">
        <f t="shared" si="64"/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AF159" s="88" t="str">
        <f t="shared" si="65"/>
        <v>"C:\Program Files (x86)\AstroGrep\AstroGrep.exe" /spath="%USERPROFILE%\AppData\Local\Temp\OnboardLogs" /stypes="app*4046*20161223*" /stext=" 08:.+((SYSTEM_STATE.+slice.+state.+changed )|(ment ac)|(multiple cpu faults)|(system.+state.+changed )|(\[timeout)|(PRM\|1\|D)|(kpr)|(kdp)|(\|lc)|(penalty))" /e /r /s</v>
      </c>
      <c r="AG159" s="1" t="str">
        <f t="shared" si="66"/>
        <v>EC</v>
      </c>
      <c r="AH159" s="92" t="str">
        <f t="shared" si="67"/>
        <v>"%USERPROFILE%\Documents\GitHub\eaglep3\Utilities\RefineRTDCRunTimes.py" --tripid 243-22 --locoid 4046 --swversion DE.1.0.8.0 --startMP 204:404 --initTime 2016-12-23T00:11:12 --startdatetime 2016-12-23T00:30:15 --delay 1 --endMP 204:233323 --enddatetime 2016-12-23T01:05:06 --enforcementcount 0 &gt;&gt;C:\Users\stu\Documents\GitHub\eaglep3-reporting\EC\2016-12-22-refined-times.txt</v>
      </c>
      <c r="AI159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{"issue":{"subject":"","project_id":79,"tracker_id":40,"status_id":1,"priority_id":2,"assigned_to_id":23,"start_date":"2016-12-23","description":"","custom_fields":[{"id":1,"name":"Subdivision","value":"EC"},{"id":4,"name":"Milepost","value":"23.3323"},{"id":17,"name":"Train ID","value":"243-22"},{"id":16,"name":"Locomotive ID","value":"4046"},{"id":130,"name":"Impact","value":""},{"id":150,"name":"Time of Event (Mountain Time)","value":"01:05:06"},{"id":151,"name":"Denver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7" t="s">
        <v>669</v>
      </c>
      <c r="B160" s="7">
        <v>4045</v>
      </c>
      <c r="C160" s="22" t="s">
        <v>205</v>
      </c>
      <c r="D160" s="22" t="s">
        <v>695</v>
      </c>
      <c r="E160" s="13">
        <v>42727.046388888892</v>
      </c>
      <c r="F160" s="13">
        <v>42727.059884259259</v>
      </c>
      <c r="G160" s="7">
        <v>1</v>
      </c>
      <c r="H160" s="22" t="s">
        <v>750</v>
      </c>
      <c r="I160" s="13">
        <v>42727.08730324074</v>
      </c>
      <c r="J160" s="7">
        <v>0</v>
      </c>
      <c r="K160" s="109" t="str">
        <f t="shared" si="52"/>
        <v>4045/4046</v>
      </c>
      <c r="L160" s="22" t="str">
        <f>VLOOKUP(A160,'Trips&amp;Operators'!$C$1:$G$99999,5,FALSE)</f>
        <v>HILLS DUSTIN</v>
      </c>
      <c r="M160" s="6">
        <f t="shared" si="53"/>
        <v>2.7418981480877846E-2</v>
      </c>
      <c r="N160" s="7">
        <f t="shared" si="54"/>
        <v>39.483333332464099</v>
      </c>
      <c r="O160" s="7"/>
      <c r="P160" s="7"/>
      <c r="Q160" s="23"/>
      <c r="R160" s="23"/>
      <c r="S160" s="35">
        <f t="shared" si="55"/>
        <v>1</v>
      </c>
      <c r="T160" s="50" t="str">
        <f t="shared" si="56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https://search-rtdc-monitor-bjffxe2xuh6vdkpspy63sjmuny.us-east-1.es.amazonaws.com/_plugin/kibana/#/discover/Steve-Slow-Train-Analysis-(2080s-and-2083s)?_g=(refreshInterval:(display:Off,section:0,value:0),time:(from:'2016-12-23 00:06:48-700',mode:absolute,to:'2016-12-23 03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0" s="52" t="str">
        <f t="shared" si="58"/>
        <v>N</v>
      </c>
      <c r="X160" s="177">
        <f t="shared" si="59"/>
        <v>1</v>
      </c>
      <c r="Y160" s="67">
        <f t="shared" si="60"/>
        <v>23.300799999999999</v>
      </c>
      <c r="Z160" s="67">
        <f t="shared" si="61"/>
        <v>1.0699999999999999E-2</v>
      </c>
      <c r="AA160" s="67">
        <f t="shared" si="62"/>
        <v>23.290099999999999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63"/>
        <v>0244-22</v>
      </c>
      <c r="AE160" s="91" t="str">
        <f t="shared" si="64"/>
        <v>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 &amp; aws s3 cp s3://rtdc.mdm.uploadarchive.raw/RTDC4045/ "%USERPROFILE%\AppData\Local\Temp\OnboardLogs"\RTDC4045\2016-12-24 --exclude "*" --recursive --include "*20161224*" &amp; "%USERPROFILE%\Documents\GitHub\mrs-test-scripts\Headless Mode &amp; Sideloading\WalkAndUnGZ.bat" "%USERPROFILE%\AppData\Local\Temp\OnboardLogs"\RTDC4045\2016-12-24</v>
      </c>
      <c r="AF160" s="88" t="str">
        <f t="shared" si="65"/>
        <v>"C:\Program Files (x86)\AstroGrep\AstroGrep.exe" /spath="%USERPROFILE%\AppData\Local\Temp\OnboardLogs" /stypes="app*4045*20161223*" /stext=" 09:.+((SYSTEM_STATE.+slice.+state.+changed )|(ment ac)|(multiple cpu faults)|(system.+state.+changed )|(\[timeout)|(PRM\|1\|D)|(kpr)|(kdp)|(\|lc)|(penalty))" /e /r /s</v>
      </c>
      <c r="AG160" s="1" t="str">
        <f t="shared" si="66"/>
        <v>EC</v>
      </c>
      <c r="AH160" s="92" t="str">
        <f t="shared" si="67"/>
        <v>"%USERPROFILE%\Documents\GitHub\eaglep3\Utilities\RefineRTDCRunTimes.py" --tripid 244-22 --locoid 4045 --swversion DE.1.0.8.0 --startMP 204:233008 --initTime 2016-12-23T01:06:48 --startdatetime 2016-12-23T01:26:14 --delay 1 --endMP 204:107 --enddatetime 2016-12-23T02:05:43 --enforcementcount 0 &gt;&gt;C:\Users\stu\Documents\GitHub\eaglep3-reporting\EC\2016-12-22-refined-times.txt</v>
      </c>
      <c r="AI160" s="119" t="str">
        <f t="shared" si="68"/>
        <v>echo {"issue":{"subject":"","project_id":79,"tracker_id":40,"status_id":1,"priority_id":2,"assigned_to_id":23,"start_date":"2016-12-23","description":"","custom_fields":[{"id":1,"name":"Subdivision","value":"EC"},{"id":4,"name":"Milepost","value":"0.0107"},{"id":17,"name":"Train ID","value":"244-22"},{"id":16,"name":"Locomotive ID","value":"4045"},{"id":130,"name":"Impact","value":""},{"id":150,"name":"Time of Event (Mountain Time)","value":"02:05:43"},{"id":151,"name":"Denver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497</v>
      </c>
      <c r="B161" s="7">
        <v>4043</v>
      </c>
      <c r="C161" s="22" t="s">
        <v>205</v>
      </c>
      <c r="D161" s="22" t="s">
        <v>783</v>
      </c>
      <c r="E161" s="13">
        <v>42726.215104166666</v>
      </c>
      <c r="F161" s="13">
        <v>42726.217129629629</v>
      </c>
      <c r="G161" s="7">
        <v>1</v>
      </c>
      <c r="H161" s="22" t="s">
        <v>437</v>
      </c>
      <c r="I161" s="13">
        <v>42726.228125000001</v>
      </c>
      <c r="J161" s="7">
        <v>0</v>
      </c>
      <c r="K161" s="109" t="str">
        <f t="shared" si="52"/>
        <v>4043/4044</v>
      </c>
      <c r="L161" s="22" t="str">
        <f>VLOOKUP(A161,'Trips&amp;Operators'!$C$1:$G$99999,5,FALSE)</f>
        <v>SHOOK JOHN</v>
      </c>
      <c r="M161" s="6">
        <f t="shared" si="53"/>
        <v>1.099537037225673E-2</v>
      </c>
      <c r="N161" s="7">
        <f t="shared" si="54"/>
        <v>15.833333336049691</v>
      </c>
      <c r="O161" s="7"/>
      <c r="P161" s="7"/>
      <c r="Q161" s="23"/>
      <c r="R161" s="23"/>
      <c r="S161" s="35">
        <f t="shared" si="55"/>
        <v>1</v>
      </c>
      <c r="T161" s="50" t="str">
        <f t="shared" si="56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04:09:45-700',mode:absolute,to:'2016-12-22 06:28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1" s="52" t="str">
        <f t="shared" si="58"/>
        <v>N</v>
      </c>
      <c r="X161" s="177">
        <f t="shared" si="59"/>
        <v>556</v>
      </c>
      <c r="Y161" s="67">
        <f t="shared" si="60"/>
        <v>5.8653000000000004</v>
      </c>
      <c r="Z161" s="67">
        <f t="shared" si="61"/>
        <v>6.7699999999999996E-2</v>
      </c>
      <c r="AA161" s="67">
        <f t="shared" si="62"/>
        <v>5.7976000000000001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63"/>
        <v>0800-22</v>
      </c>
      <c r="AE161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1" s="88" t="str">
        <f t="shared" si="65"/>
        <v>"C:\Program Files (x86)\AstroGrep\AstroGrep.exe" /spath="%USERPROFILE%\AppData\Local\Temp\OnboardLogs" /stypes="app*4043*20161222*" /stext=" 12:.+((SYSTEM_STATE.+slice.+state.+changed )|(ment ac)|(multiple cpu faults)|(system.+state.+changed )|(\[timeout)|(PRM\|1\|D)|(kpr)|(kdp)|(\|lc)|(penalty))" /e /r /s</v>
      </c>
      <c r="AG161" s="1" t="str">
        <f t="shared" si="66"/>
        <v>NW</v>
      </c>
      <c r="AH161" s="92" t="str">
        <f t="shared" si="67"/>
        <v>"%USERPROFILE%\Documents\GitHub\eaglep3\Utilities\RefineRTDCRunTimes.py" --tripid 800-22 --locoid 4043 --swversion DE.1.0.8.0 --startMP 300:58653 --initTime 2016-12-22T05:09:45 --startdatetime 2016-12-22T05:12:40 --delay 1 --endMP 204:677 --enddatetime 2016-12-22T05:28:30 --enforcementcount 0 &gt;&gt;C:\Users\stu\Documents\GitHub\eaglep3-reporting\EC\2016-12-22-refined-times.txt</v>
      </c>
      <c r="AI16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{"issue":{"subject":"","project_id":79,"tracker_id":40,"status_id":1,"priority_id":2,"assigned_to_id":23,"start_date":"2016-12-22","description":"","custom_fields":[{"id":1,"name":"Subdivision","value":"NW"},{"id":4,"name":"Milepost","value":"0.0677"},{"id":17,"name":"Train ID","value":"800-22"},{"id":16,"name":"Locomotive ID","value":"4043"},{"id":130,"name":"Impact","value":""},{"id":150,"name":"Time of Event (Mountain Time)","value":"05:28:30"},{"id":151,"name":"Denver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7" t="s">
        <v>502</v>
      </c>
      <c r="B162" s="7">
        <v>4044</v>
      </c>
      <c r="C162" s="22" t="s">
        <v>205</v>
      </c>
      <c r="D162" s="22" t="s">
        <v>784</v>
      </c>
      <c r="E162" s="13">
        <v>42726.241249999999</v>
      </c>
      <c r="F162" s="13">
        <v>42726.244004629632</v>
      </c>
      <c r="G162" s="7">
        <v>0</v>
      </c>
      <c r="H162" s="22" t="s">
        <v>785</v>
      </c>
      <c r="I162" s="13">
        <v>42726.25445601852</v>
      </c>
      <c r="J162" s="7">
        <v>0</v>
      </c>
      <c r="K162" s="109" t="str">
        <f t="shared" si="52"/>
        <v>4043/4044</v>
      </c>
      <c r="L162" s="22" t="str">
        <f>VLOOKUP(A162,'Trips&amp;Operators'!$C$1:$G$99999,5,FALSE)</f>
        <v>SHOOK JOHN</v>
      </c>
      <c r="M162" s="6">
        <f t="shared" si="53"/>
        <v>1.0451388887304347E-2</v>
      </c>
      <c r="N162" s="7">
        <f t="shared" si="54"/>
        <v>15.04999999771826</v>
      </c>
      <c r="O162" s="7"/>
      <c r="P162" s="7"/>
      <c r="Q162" s="23"/>
      <c r="R162" s="23"/>
      <c r="S162" s="35">
        <f t="shared" si="55"/>
        <v>1</v>
      </c>
      <c r="T162" s="50" t="str">
        <f t="shared" si="56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04:47:24-700',mode:absolute,to:'2016-12-22 07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2" s="52" t="str">
        <f t="shared" si="58"/>
        <v>N</v>
      </c>
      <c r="X162" s="177">
        <f t="shared" si="59"/>
        <v>1</v>
      </c>
      <c r="Y162" s="67">
        <f t="shared" si="60"/>
        <v>9.9699999999999997E-2</v>
      </c>
      <c r="Z162" s="67">
        <f t="shared" si="61"/>
        <v>5.9002999999999997</v>
      </c>
      <c r="AA162" s="67">
        <f t="shared" si="62"/>
        <v>5.8005999999999993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63"/>
        <v>0801-22</v>
      </c>
      <c r="AE162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62" s="88" t="str">
        <f t="shared" si="65"/>
        <v>"C:\Program Files (x86)\AstroGrep\AstroGrep.exe" /spath="%USERPROFILE%\AppData\Local\Temp\OnboardLogs" /stypes="app*4044*20161222*" /stext=" 13:.+((SYSTEM_STATE.+slice.+state.+changed )|(ment ac)|(multiple cpu faults)|(system.+state.+changed )|(\[timeout)|(PRM\|1\|D)|(kpr)|(kdp)|(\|lc)|(penalty))" /e /r /s</v>
      </c>
      <c r="AG162" s="1" t="str">
        <f t="shared" si="66"/>
        <v>NW</v>
      </c>
      <c r="AH162" s="92" t="str">
        <f t="shared" si="67"/>
        <v>"%USERPROFILE%\Documents\GitHub\eaglep3\Utilities\RefineRTDCRunTimes.py" --tripid 801-22 --locoid 4044 --swversion DE.1.0.8.0 --startMP 204:997 --initTime 2016-12-22T05:47:24 --startdatetime 2016-12-22T05:51:22 --delay 0 --endMP 300:59003 --enddatetime 2016-12-22T06:06:25 --enforcementcount 0 &gt;&gt;C:\Users\stu\Documents\GitHub\eaglep3-reporting\EC\2016-12-22-refined-times.txt</v>
      </c>
      <c r="AI16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{"issue":{"subject":"","project_id":79,"tracker_id":40,"status_id":1,"priority_id":2,"assigned_to_id":23,"start_date":"2016-12-22","description":"","custom_fields":[{"id":1,"name":"Subdivision","value":"NW"},{"id":4,"name":"Milepost","value":"5.9003"},{"id":17,"name":"Train ID","value":"801-22"},{"id":16,"name":"Locomotive ID","value":"4044"},{"id":130,"name":"Impact","value":""},{"id":150,"name":"Time of Event (Mountain Time)","value":"06:06:25"},{"id":151,"name":"Denver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</row>
    <row r="163" spans="1:91" s="21" customFormat="1" x14ac:dyDescent="0.25">
      <c r="A163" s="37" t="s">
        <v>506</v>
      </c>
      <c r="B163" s="7">
        <v>4043</v>
      </c>
      <c r="C163" s="22" t="s">
        <v>205</v>
      </c>
      <c r="D163" s="22" t="s">
        <v>786</v>
      </c>
      <c r="E163" s="13">
        <v>42726.256006944444</v>
      </c>
      <c r="F163" s="13">
        <v>42726.257662037038</v>
      </c>
      <c r="G163" s="7">
        <v>1</v>
      </c>
      <c r="H163" s="22" t="s">
        <v>364</v>
      </c>
      <c r="I163" s="13">
        <v>42726.2734837963</v>
      </c>
      <c r="J163" s="7">
        <v>0</v>
      </c>
      <c r="K163" s="109" t="str">
        <f t="shared" si="52"/>
        <v>4043/4044</v>
      </c>
      <c r="L163" s="22" t="str">
        <f>VLOOKUP(A163,'Trips&amp;Operators'!$C$1:$G$99999,5,FALSE)</f>
        <v>SHOOK JOHN</v>
      </c>
      <c r="M163" s="6">
        <f t="shared" si="53"/>
        <v>1.5821759261598345E-2</v>
      </c>
      <c r="N163" s="7">
        <f t="shared" si="54"/>
        <v>22.783333336701617</v>
      </c>
      <c r="O163" s="7"/>
      <c r="P163" s="7"/>
      <c r="Q163" s="23"/>
      <c r="R163" s="23" t="s">
        <v>987</v>
      </c>
      <c r="S163" s="35">
        <f t="shared" si="55"/>
        <v>1</v>
      </c>
      <c r="T163" s="50" t="str">
        <f t="shared" si="56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05:08:39-700',mode:absolute,to:'2016-12-22 07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3" s="52" t="str">
        <f t="shared" si="58"/>
        <v>N</v>
      </c>
      <c r="X163" s="177">
        <f t="shared" si="59"/>
        <v>1</v>
      </c>
      <c r="Y163" s="67">
        <f t="shared" si="60"/>
        <v>5.8697999999999997</v>
      </c>
      <c r="Z163" s="67">
        <f t="shared" si="61"/>
        <v>6.9199999999999998E-2</v>
      </c>
      <c r="AA163" s="67">
        <f t="shared" si="62"/>
        <v>5.8005999999999993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63"/>
        <v>0802-22</v>
      </c>
      <c r="AE163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3" s="88" t="str">
        <f t="shared" si="65"/>
        <v>"C:\Program Files (x86)\AstroGrep\AstroGrep.exe" /spath="%USERPROFILE%\AppData\Local\Temp\OnboardLogs" /stypes="app*4043*20161222*" /stext=" 13:.+((SYSTEM_STATE.+slice.+state.+changed )|(ment ac)|(multiple cpu faults)|(system.+state.+changed )|(\[timeout)|(PRM\|1\|D)|(kpr)|(kdp)|(\|lc)|(penalty))" /e /r /s</v>
      </c>
      <c r="AG163" s="1" t="str">
        <f t="shared" si="66"/>
        <v>NW</v>
      </c>
      <c r="AH163" s="92" t="str">
        <f t="shared" si="67"/>
        <v>"%USERPROFILE%\Documents\GitHub\eaglep3\Utilities\RefineRTDCRunTimes.py" --tripid 802-22 --locoid 4043 --swversion DE.1.0.8.0 --startMP 300:58698 --initTime 2016-12-22T06:08:39 --startdatetime 2016-12-22T06:11:02 --delay 1 --endMP 204:692 --enddatetime 2016-12-22T06:33:49 --enforcementcount 0 &gt;&gt;C:\Users\stu\Documents\GitHub\eaglep3-reporting\EC\2016-12-22-refined-times.txt</v>
      </c>
      <c r="AI163" s="119" t="str">
        <f t="shared" si="68"/>
        <v>echo {"issue":{"subject":"Delayed due to going active too close to Westminster 2S","project_id":79,"tracker_id":40,"status_id":1,"priority_id":2,"assigned_to_id":23,"start_date":"2016-12-22","description":"","custom_fields":[{"id":1,"name":"Subdivision","value":"NW"},{"id":4,"name":"Milepost","value":"0.0692"},{"id":17,"name":"Train ID","value":"802-22"},{"id":16,"name":"Locomotive ID","value":"4043"},{"id":130,"name":"Impact","value":""},{"id":150,"name":"Time of Event (Mountain Time)","value":"06:33:49"},{"id":151,"name":"Denver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7" t="s">
        <v>508</v>
      </c>
      <c r="B164" s="7">
        <v>4040</v>
      </c>
      <c r="C164" s="22" t="s">
        <v>205</v>
      </c>
      <c r="D164" s="22" t="s">
        <v>787</v>
      </c>
      <c r="E164" s="13">
        <v>42726.268217592595</v>
      </c>
      <c r="F164" s="13">
        <v>42726.271909722222</v>
      </c>
      <c r="G164" s="7">
        <v>5</v>
      </c>
      <c r="H164" s="22" t="s">
        <v>788</v>
      </c>
      <c r="I164" s="13">
        <v>42726.318171296298</v>
      </c>
      <c r="J164" s="7">
        <v>0</v>
      </c>
      <c r="K164" s="109" t="str">
        <f t="shared" si="52"/>
        <v>4039/4040</v>
      </c>
      <c r="L164" s="22" t="str">
        <f>VLOOKUP(A164,'Trips&amp;Operators'!$C$1:$G$99999,5,FALSE)</f>
        <v>DUNCAN SHEILA</v>
      </c>
      <c r="M164" s="6">
        <f t="shared" si="53"/>
        <v>4.6261574076197576E-2</v>
      </c>
      <c r="N164" s="7"/>
      <c r="O164" s="7"/>
      <c r="P164" s="7">
        <f t="shared" si="54"/>
        <v>66.616666669724509</v>
      </c>
      <c r="Q164" s="23"/>
      <c r="R164" s="23" t="s">
        <v>864</v>
      </c>
      <c r="S164" s="35">
        <f t="shared" si="55"/>
        <v>0</v>
      </c>
      <c r="T164" s="50" t="str">
        <f t="shared" si="56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05:26:14-700',mode:absolute,to:'2016-12-22 08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4" s="52" t="str">
        <f t="shared" si="58"/>
        <v>Y</v>
      </c>
      <c r="X164" s="177">
        <f t="shared" si="59"/>
        <v>1</v>
      </c>
      <c r="Y164" s="67">
        <f t="shared" si="60"/>
        <v>0.65510000000000002</v>
      </c>
      <c r="Z164" s="67">
        <f t="shared" si="61"/>
        <v>0.82050000000000001</v>
      </c>
      <c r="AA164" s="67">
        <f t="shared" si="62"/>
        <v>0.16539999999999999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63"/>
        <v>0803-22</v>
      </c>
      <c r="AE16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64" s="88" t="str">
        <f t="shared" si="65"/>
        <v>"C:\Program Files (x86)\AstroGrep\AstroGrep.exe" /spath="%USERPROFILE%\AppData\Local\Temp\OnboardLogs" /stypes="app*4040*20161222*" /stext=" 14:.+((SYSTEM_STATE.+slice.+state.+changed )|(ment ac)|(multiple cpu faults)|(system.+state.+changed )|(\[timeout)|(PRM\|1\|D)|(kpr)|(kdp)|(\|lc)|(penalty))" /e /r /s</v>
      </c>
      <c r="AG164" s="1" t="str">
        <f t="shared" si="66"/>
        <v>NW</v>
      </c>
      <c r="AH164" s="92" t="str">
        <f t="shared" si="67"/>
        <v>"%USERPROFILE%\Documents\GitHub\eaglep3\Utilities\RefineRTDCRunTimes.py" --tripid 803-22 --locoid 4040 --swversion DE.1.0.8.0 --startMP 300:6551 --initTime 2016-12-22T06:26:14 --startdatetime 2016-12-22T06:31:33 --delay 5 --endMP 300:8205 --enddatetime 2016-12-22T07:38:10 --enforcementcount 0 &gt;&gt;C:\Users\stu\Documents\GitHub\eaglep3-reporting\EC\2016-12-22-refined-times.txt</v>
      </c>
      <c r="AI164" s="119" t="str">
        <f t="shared" si="68"/>
        <v>echo {"issue":{"subject":"CCROC/crew/equipment mismatch, then Onboard in-route failure","project_id":79,"tracker_id":40,"status_id":1,"priority_id":2,"assigned_to_id":23,"start_date":"2016-12-22","description":"","custom_fields":[{"id":1,"name":"Subdivision","value":"NW"},{"id":4,"name":"Milepost","value":"0.8205"},{"id":17,"name":"Train ID","value":"803-22"},{"id":16,"name":"Locomotive ID","value":"4040"},{"id":130,"name":"Impact","value":""},{"id":150,"name":"Time of Event (Mountain Time)","value":"07:38:10"},{"id":151,"name":"Denver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7" t="s">
        <v>514</v>
      </c>
      <c r="B165" s="7">
        <v>4039</v>
      </c>
      <c r="C165" s="22" t="s">
        <v>205</v>
      </c>
      <c r="D165" s="22" t="s">
        <v>789</v>
      </c>
      <c r="E165" s="13">
        <v>42726.286759259259</v>
      </c>
      <c r="F165" s="13">
        <v>42726.28837962963</v>
      </c>
      <c r="G165" s="7">
        <v>1</v>
      </c>
      <c r="H165" s="22" t="s">
        <v>790</v>
      </c>
      <c r="I165" s="13">
        <v>42726.297951388886</v>
      </c>
      <c r="J165" s="7">
        <v>0</v>
      </c>
      <c r="K165" s="109" t="str">
        <f t="shared" si="52"/>
        <v>4039/4040</v>
      </c>
      <c r="L165" s="22" t="str">
        <f>VLOOKUP(A165,'Trips&amp;Operators'!$C$1:$G$99999,5,FALSE)</f>
        <v>DUNCAN SHEILA</v>
      </c>
      <c r="M165" s="6">
        <f t="shared" si="53"/>
        <v>9.5717592557775788E-3</v>
      </c>
      <c r="N165" s="7">
        <f t="shared" si="54"/>
        <v>13.783333328319713</v>
      </c>
      <c r="O165" s="7"/>
      <c r="P165" s="7"/>
      <c r="Q165" s="23"/>
      <c r="R165" s="23"/>
      <c r="S165" s="35">
        <f t="shared" si="55"/>
        <v>1</v>
      </c>
      <c r="T165" s="50" t="str">
        <f t="shared" si="56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05:52:56-700',mode:absolute,to:'2016-12-22 08:09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5" s="52" t="str">
        <f t="shared" si="58"/>
        <v>N</v>
      </c>
      <c r="X165" s="177">
        <f t="shared" si="59"/>
        <v>1</v>
      </c>
      <c r="Y165" s="67">
        <f t="shared" si="60"/>
        <v>5.8585000000000003</v>
      </c>
      <c r="Z165" s="67">
        <f t="shared" si="61"/>
        <v>1.46E-2</v>
      </c>
      <c r="AA165" s="67">
        <f t="shared" si="62"/>
        <v>5.8439000000000005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63"/>
        <v>0804-22</v>
      </c>
      <c r="AE16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65" s="88" t="str">
        <f t="shared" si="65"/>
        <v>"C:\Program Files (x86)\AstroGrep\AstroGrep.exe" /spath="%USERPROFILE%\AppData\Local\Temp\OnboardLogs" /stypes="app*4039*20161222*" /stext=" 14:.+((SYSTEM_STATE.+slice.+state.+changed )|(ment ac)|(multiple cpu faults)|(system.+state.+changed )|(\[timeout)|(PRM\|1\|D)|(kpr)|(kdp)|(\|lc)|(penalty))" /e /r /s</v>
      </c>
      <c r="AG165" s="1" t="str">
        <f t="shared" si="66"/>
        <v>NW</v>
      </c>
      <c r="AH165" s="92" t="str">
        <f t="shared" si="67"/>
        <v>"%USERPROFILE%\Documents\GitHub\eaglep3\Utilities\RefineRTDCRunTimes.py" --tripid 804-22 --locoid 4039 --swversion DE.1.0.8.0 --startMP 300:58585 --initTime 2016-12-22T06:52:56 --startdatetime 2016-12-22T06:55:16 --delay 1 --endMP 204:146 --enddatetime 2016-12-22T07:09:03 --enforcementcount 0 &gt;&gt;C:\Users\stu\Documents\GitHub\eaglep3-reporting\EC\2016-12-22-refined-times.txt</v>
      </c>
      <c r="AI16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{"issue":{"subject":"","project_id":79,"tracker_id":40,"status_id":1,"priority_id":2,"assigned_to_id":23,"start_date":"2016-12-22","description":"","custom_fields":[{"id":1,"name":"Subdivision","value":"NW"},{"id":4,"name":"Milepost","value":"0.0146"},{"id":17,"name":"Train ID","value":"804-22"},{"id":16,"name":"Locomotive ID","value":"4039"},{"id":130,"name":"Impact","value":""},{"id":150,"name":"Time of Event (Mountain Time)","value":"07:09:03"},{"id":151,"name":"Denver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</row>
    <row r="166" spans="1:91" s="21" customFormat="1" x14ac:dyDescent="0.25">
      <c r="A166" s="37" t="s">
        <v>446</v>
      </c>
      <c r="B166" s="7">
        <v>4044</v>
      </c>
      <c r="C166" s="22" t="s">
        <v>205</v>
      </c>
      <c r="D166" s="22" t="s">
        <v>791</v>
      </c>
      <c r="E166" s="13">
        <v>42726.282465277778</v>
      </c>
      <c r="F166" s="13">
        <v>42726.285682870373</v>
      </c>
      <c r="G166" s="7">
        <v>1</v>
      </c>
      <c r="H166" s="22" t="s">
        <v>792</v>
      </c>
      <c r="I166" s="13">
        <v>42726.296932870369</v>
      </c>
      <c r="J166" s="7">
        <v>0</v>
      </c>
      <c r="K166" s="109" t="str">
        <f t="shared" si="52"/>
        <v>4043/4044</v>
      </c>
      <c r="L166" s="22" t="str">
        <f>VLOOKUP(A166,'Trips&amp;Operators'!$C$1:$G$99999,5,FALSE)</f>
        <v>SHOOK JOHN</v>
      </c>
      <c r="M166" s="6">
        <f t="shared" si="53"/>
        <v>1.1249999995925464E-2</v>
      </c>
      <c r="N166" s="7">
        <f t="shared" si="54"/>
        <v>16.199999994132668</v>
      </c>
      <c r="O166" s="7"/>
      <c r="P166" s="7"/>
      <c r="Q166" s="23"/>
      <c r="R166" s="23"/>
      <c r="S166" s="35">
        <f t="shared" si="55"/>
        <v>1</v>
      </c>
      <c r="T166" s="50" t="str">
        <f t="shared" si="56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05:46:45-700',mode:absolute,to:'2016-12-22 08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52" t="str">
        <f t="shared" si="58"/>
        <v>N</v>
      </c>
      <c r="X166" s="177">
        <f t="shared" si="59"/>
        <v>1</v>
      </c>
      <c r="Y166" s="67">
        <f t="shared" si="60"/>
        <v>9.9199999999999997E-2</v>
      </c>
      <c r="Z166" s="67">
        <f t="shared" si="61"/>
        <v>5.8876999999999997</v>
      </c>
      <c r="AA166" s="67">
        <f t="shared" si="62"/>
        <v>5.7885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63"/>
        <v>0805-22</v>
      </c>
      <c r="AE166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66" s="88" t="str">
        <f t="shared" si="65"/>
        <v>"C:\Program Files (x86)\AstroGrep\AstroGrep.exe" /spath="%USERPROFILE%\AppData\Local\Temp\OnboardLogs" /stypes="app*4044*20161222*" /stext=" 14:.+((SYSTEM_STATE.+slice.+state.+changed )|(ment ac)|(multiple cpu faults)|(system.+state.+changed )|(\[timeout)|(PRM\|1\|D)|(kpr)|(kdp)|(\|lc)|(penalty))" /e /r /s</v>
      </c>
      <c r="AG166" s="1" t="str">
        <f t="shared" si="66"/>
        <v>NW</v>
      </c>
      <c r="AH166" s="92" t="str">
        <f t="shared" si="67"/>
        <v>"%USERPROFILE%\Documents\GitHub\eaglep3\Utilities\RefineRTDCRunTimes.py" --tripid 805-22 --locoid 4044 --swversion DE.1.0.8.0 --startMP 204:992 --initTime 2016-12-22T06:46:45 --startdatetime 2016-12-22T06:51:23 --delay 1 --endMP 300:58877 --enddatetime 2016-12-22T07:07:35 --enforcementcount 0 &gt;&gt;C:\Users\stu\Documents\GitHub\eaglep3-reporting\EC\2016-12-22-refined-times.txt</v>
      </c>
      <c r="AI16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{"issue":{"subject":"","project_id":79,"tracker_id":40,"status_id":1,"priority_id":2,"assigned_to_id":23,"start_date":"2016-12-22","description":"","custom_fields":[{"id":1,"name":"Subdivision","value":"NW"},{"id":4,"name":"Milepost","value":"5.8877"},{"id":17,"name":"Train ID","value":"805-22"},{"id":16,"name":"Locomotive ID","value":"4044"},{"id":130,"name":"Impact","value":""},{"id":150,"name":"Time of Event (Mountain Time)","value":"07:07:35"},{"id":151,"name":"Denver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515</v>
      </c>
      <c r="B167" s="7">
        <v>4043</v>
      </c>
      <c r="C167" s="22" t="s">
        <v>205</v>
      </c>
      <c r="D167" s="22" t="s">
        <v>793</v>
      </c>
      <c r="E167" s="13">
        <v>42726.298310185186</v>
      </c>
      <c r="F167" s="13">
        <v>42726.299687500003</v>
      </c>
      <c r="G167" s="7">
        <v>1</v>
      </c>
      <c r="H167" s="22" t="s">
        <v>794</v>
      </c>
      <c r="I167" s="13">
        <v>42726.313437500001</v>
      </c>
      <c r="J167" s="7">
        <v>0</v>
      </c>
      <c r="K167" s="109" t="str">
        <f t="shared" si="52"/>
        <v>4043/4044</v>
      </c>
      <c r="L167" s="22" t="str">
        <f>VLOOKUP(A167,'Trips&amp;Operators'!$C$1:$G$99999,5,FALSE)</f>
        <v>SHOOK JOHN</v>
      </c>
      <c r="M167" s="6">
        <f t="shared" si="53"/>
        <v>1.374999999825377E-2</v>
      </c>
      <c r="N167" s="7">
        <f t="shared" si="54"/>
        <v>19.799999997485429</v>
      </c>
      <c r="O167" s="7"/>
      <c r="P167" s="7"/>
      <c r="Q167" s="23"/>
      <c r="R167" s="23"/>
      <c r="S167" s="35">
        <f t="shared" si="55"/>
        <v>1</v>
      </c>
      <c r="T167" s="50" t="str">
        <f t="shared" si="56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06:09:34-700',mode:absolute,to:'2016-12-22 08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52" t="str">
        <f t="shared" si="58"/>
        <v>N</v>
      </c>
      <c r="X167" s="177">
        <f t="shared" si="59"/>
        <v>1</v>
      </c>
      <c r="Y167" s="67">
        <f t="shared" si="60"/>
        <v>5.8556999999999997</v>
      </c>
      <c r="Z167" s="67">
        <f t="shared" si="61"/>
        <v>7.0499999999999993E-2</v>
      </c>
      <c r="AA167" s="67">
        <f t="shared" si="62"/>
        <v>5.7851999999999997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63"/>
        <v>0806-22</v>
      </c>
      <c r="AE167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67" s="88" t="str">
        <f t="shared" si="65"/>
        <v>"C:\Program Files (x86)\AstroGrep\AstroGrep.exe" /spath="%USERPROFILE%\AppData\Local\Temp\OnboardLogs" /stypes="app*4043*20161222*" /stext=" 14:.+((SYSTEM_STATE.+slice.+state.+changed )|(ment ac)|(multiple cpu faults)|(system.+state.+changed )|(\[timeout)|(PRM\|1\|D)|(kpr)|(kdp)|(\|lc)|(penalty))" /e /r /s</v>
      </c>
      <c r="AG167" s="1" t="str">
        <f t="shared" si="66"/>
        <v>NW</v>
      </c>
      <c r="AH167" s="92" t="str">
        <f t="shared" si="67"/>
        <v>"%USERPROFILE%\Documents\GitHub\eaglep3\Utilities\RefineRTDCRunTimes.py" --tripid 806-22 --locoid 4043 --swversion DE.1.0.8.0 --startMP 300:58557 --initTime 2016-12-22T07:09:34 --startdatetime 2016-12-22T07:11:33 --delay 1 --endMP 204:705 --enddatetime 2016-12-22T07:31:21 --enforcementcount 0 &gt;&gt;C:\Users\stu\Documents\GitHub\eaglep3-reporting\EC\2016-12-22-refined-times.txt</v>
      </c>
      <c r="AI16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{"issue":{"subject":"","project_id":79,"tracker_id":40,"status_id":1,"priority_id":2,"assigned_to_id":23,"start_date":"2016-12-22","description":"","custom_fields":[{"id":1,"name":"Subdivision","value":"NW"},{"id":4,"name":"Milepost","value":"0.0705"},{"id":17,"name":"Train ID","value":"806-22"},{"id":16,"name":"Locomotive ID","value":"4043"},{"id":130,"name":"Impact","value":""},{"id":150,"name":"Time of Event (Mountain Time)","value":"07:31:21"},{"id":151,"name":"Denver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517</v>
      </c>
      <c r="B168" s="7">
        <v>4040</v>
      </c>
      <c r="C168" s="22" t="s">
        <v>205</v>
      </c>
      <c r="D168" s="22" t="s">
        <v>795</v>
      </c>
      <c r="E168" s="13">
        <v>42726.306574074071</v>
      </c>
      <c r="F168" s="13">
        <v>42726.310254629629</v>
      </c>
      <c r="G168" s="7">
        <v>4</v>
      </c>
      <c r="H168" s="22" t="s">
        <v>298</v>
      </c>
      <c r="I168" s="13">
        <v>42726.319537037038</v>
      </c>
      <c r="J168" s="7">
        <v>0</v>
      </c>
      <c r="K168" s="109" t="str">
        <f t="shared" si="52"/>
        <v>4039/4040</v>
      </c>
      <c r="L168" s="22" t="str">
        <f>VLOOKUP(A168,'Trips&amp;Operators'!$C$1:$G$99999,5,FALSE)</f>
        <v>DUNCAN SHEILA</v>
      </c>
      <c r="M168" s="6">
        <f t="shared" si="53"/>
        <v>9.2824074090458453E-3</v>
      </c>
      <c r="N168" s="7">
        <f t="shared" si="54"/>
        <v>13.366666669026017</v>
      </c>
      <c r="O168" s="7"/>
      <c r="P168" s="7"/>
      <c r="Q168" s="23"/>
      <c r="R168" s="23"/>
      <c r="S168" s="35">
        <f t="shared" si="55"/>
        <v>1</v>
      </c>
      <c r="T168" s="50" t="str">
        <f t="shared" si="56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06:21:28-700',mode:absolute,to:'2016-12-22 08:40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8" s="52" t="str">
        <f t="shared" si="58"/>
        <v>N</v>
      </c>
      <c r="X168" s="177">
        <f t="shared" si="59"/>
        <v>1</v>
      </c>
      <c r="Y168" s="67">
        <f t="shared" si="60"/>
        <v>4.3200000000000002E-2</v>
      </c>
      <c r="Z168" s="67">
        <f t="shared" si="61"/>
        <v>5.8925999999999998</v>
      </c>
      <c r="AA168" s="67">
        <f t="shared" si="62"/>
        <v>5.8494000000000002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63"/>
        <v>0807-22</v>
      </c>
      <c r="AE16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68" s="88" t="str">
        <f t="shared" si="65"/>
        <v>"C:\Program Files (x86)\AstroGrep\AstroGrep.exe" /spath="%USERPROFILE%\AppData\Local\Temp\OnboardLogs" /stypes="app*4040*20161222*" /stext=" 14:.+((SYSTEM_STATE.+slice.+state.+changed )|(ment ac)|(multiple cpu faults)|(system.+state.+changed )|(\[timeout)|(PRM\|1\|D)|(kpr)|(kdp)|(\|lc)|(penalty))" /e /r /s</v>
      </c>
      <c r="AG168" s="1" t="str">
        <f t="shared" si="66"/>
        <v>NW</v>
      </c>
      <c r="AH168" s="92" t="str">
        <f t="shared" si="67"/>
        <v>"%USERPROFILE%\Documents\GitHub\eaglep3\Utilities\RefineRTDCRunTimes.py" --tripid 807-22 --locoid 4040 --swversion DE.1.0.8.0 --startMP 204:432 --initTime 2016-12-22T07:21:28 --startdatetime 2016-12-22T07:26:46 --delay 4 --endMP 300:58926 --enddatetime 2016-12-22T07:40:08 --enforcementcount 0 &gt;&gt;C:\Users\stu\Documents\GitHub\eaglep3-reporting\EC\2016-12-22-refined-times.txt</v>
      </c>
      <c r="AI16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{"issue":{"subject":"","project_id":79,"tracker_id":40,"status_id":1,"priority_id":2,"assigned_to_id":23,"start_date":"2016-12-22","description":"","custom_fields":[{"id":1,"name":"Subdivision","value":"NW"},{"id":4,"name":"Milepost","value":"5.8926"},{"id":17,"name":"Train ID","value":"807-22"},{"id":16,"name":"Locomotive ID","value":"4040"},{"id":130,"name":"Impact","value":""},{"id":150,"name":"Time of Event (Mountain Time)","value":"07:40:08"},{"id":151,"name":"Denver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520</v>
      </c>
      <c r="B169" s="7">
        <v>4039</v>
      </c>
      <c r="C169" s="22" t="s">
        <v>205</v>
      </c>
      <c r="D169" s="22" t="s">
        <v>362</v>
      </c>
      <c r="E169" s="13">
        <v>42726.320370370369</v>
      </c>
      <c r="F169" s="13">
        <v>42726.32267361111</v>
      </c>
      <c r="G169" s="7">
        <v>2</v>
      </c>
      <c r="H169" s="22" t="s">
        <v>796</v>
      </c>
      <c r="I169" s="13">
        <v>42726.331712962965</v>
      </c>
      <c r="J169" s="7">
        <v>0</v>
      </c>
      <c r="K169" s="109" t="str">
        <f t="shared" si="52"/>
        <v>4039/4040</v>
      </c>
      <c r="L169" s="22" t="str">
        <f>VLOOKUP(A169,'Trips&amp;Operators'!$C$1:$G$99999,5,FALSE)</f>
        <v>DUNCAN SHEILA</v>
      </c>
      <c r="M169" s="6">
        <f t="shared" si="53"/>
        <v>9.0393518548808061E-3</v>
      </c>
      <c r="N169" s="7">
        <f t="shared" si="54"/>
        <v>13.016666671028361</v>
      </c>
      <c r="O169" s="7"/>
      <c r="P169" s="7"/>
      <c r="Q169" s="23"/>
      <c r="R169" s="23"/>
      <c r="S169" s="35">
        <f t="shared" si="55"/>
        <v>1</v>
      </c>
      <c r="T169" s="50" t="str">
        <f t="shared" si="56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06:41:20-700',mode:absolute,to:'2016-12-22 08:57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9" s="52" t="str">
        <f t="shared" si="58"/>
        <v>N</v>
      </c>
      <c r="X169" s="177">
        <f t="shared" si="59"/>
        <v>1</v>
      </c>
      <c r="Y169" s="67">
        <f t="shared" si="60"/>
        <v>5.8608000000000002</v>
      </c>
      <c r="Z169" s="67">
        <f t="shared" si="61"/>
        <v>7.6899999999999996E-2</v>
      </c>
      <c r="AA169" s="67">
        <f t="shared" si="62"/>
        <v>5.7839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63"/>
        <v>0808-22</v>
      </c>
      <c r="AE16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69" s="88" t="str">
        <f t="shared" si="65"/>
        <v>"C:\Program Files (x86)\AstroGrep\AstroGrep.exe" /spath="%USERPROFILE%\AppData\Local\Temp\OnboardLogs" /stypes="app*4039*20161222*" /stext=" 14:.+((SYSTEM_STATE.+slice.+state.+changed )|(ment ac)|(multiple cpu faults)|(system.+state.+changed )|(\[timeout)|(PRM\|1\|D)|(kpr)|(kdp)|(\|lc)|(penalty))" /e /r /s</v>
      </c>
      <c r="AG169" s="1" t="str">
        <f t="shared" si="66"/>
        <v>NW</v>
      </c>
      <c r="AH169" s="92" t="str">
        <f t="shared" si="67"/>
        <v>"%USERPROFILE%\Documents\GitHub\eaglep3\Utilities\RefineRTDCRunTimes.py" --tripid 808-22 --locoid 4039 --swversion DE.1.0.8.0 --startMP 300:58608 --initTime 2016-12-22T07:41:20 --startdatetime 2016-12-22T07:44:39 --delay 2 --endMP 204:769 --enddatetime 2016-12-22T07:57:40 --enforcementcount 0 &gt;&gt;C:\Users\stu\Documents\GitHub\eaglep3-reporting\EC\2016-12-22-refined-times.txt</v>
      </c>
      <c r="AI16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{"issue":{"subject":"","project_id":79,"tracker_id":40,"status_id":1,"priority_id":2,"assigned_to_id":23,"start_date":"2016-12-22","description":"","custom_fields":[{"id":1,"name":"Subdivision","value":"NW"},{"id":4,"name":"Milepost","value":"0.0769"},{"id":17,"name":"Train ID","value":"808-22"},{"id":16,"name":"Locomotive ID","value":"4039"},{"id":130,"name":"Impact","value":""},{"id":150,"name":"Time of Event (Mountain Time)","value":"07:57:40"},{"id":151,"name":"Denver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s="21" customFormat="1" x14ac:dyDescent="0.25">
      <c r="A170" s="37" t="s">
        <v>453</v>
      </c>
      <c r="B170" s="7">
        <v>4044</v>
      </c>
      <c r="C170" s="22" t="s">
        <v>205</v>
      </c>
      <c r="D170" s="22" t="s">
        <v>797</v>
      </c>
      <c r="E170" s="13">
        <v>42726.323287037034</v>
      </c>
      <c r="F170" s="13">
        <v>42726.327326388891</v>
      </c>
      <c r="G170" s="7">
        <v>1</v>
      </c>
      <c r="H170" s="22" t="s">
        <v>798</v>
      </c>
      <c r="I170" s="13">
        <v>42726.33866898148</v>
      </c>
      <c r="J170" s="7">
        <v>0</v>
      </c>
      <c r="K170" s="109" t="str">
        <f t="shared" si="52"/>
        <v>4043/4044</v>
      </c>
      <c r="L170" s="22" t="str">
        <f>VLOOKUP(A170,'Trips&amp;Operators'!$C$1:$G$99999,5,FALSE)</f>
        <v>SHOOK JOHN</v>
      </c>
      <c r="M170" s="6">
        <f t="shared" si="53"/>
        <v>1.134259258833481E-2</v>
      </c>
      <c r="N170" s="7">
        <f t="shared" si="54"/>
        <v>16.333333327202126</v>
      </c>
      <c r="O170" s="7"/>
      <c r="P170" s="7"/>
      <c r="Q170" s="23"/>
      <c r="R170" s="23"/>
      <c r="S170" s="35">
        <f t="shared" si="55"/>
        <v>1</v>
      </c>
      <c r="T170" s="50" t="str">
        <f t="shared" si="56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06:45:32-700',mode:absolute,to:'2016-12-22 09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52" t="str">
        <f t="shared" si="58"/>
        <v>N</v>
      </c>
      <c r="X170" s="177">
        <f t="shared" si="59"/>
        <v>1</v>
      </c>
      <c r="Y170" s="67">
        <f t="shared" si="60"/>
        <v>9.9900000000000003E-2</v>
      </c>
      <c r="Z170" s="67">
        <f t="shared" si="61"/>
        <v>5.8983999999999996</v>
      </c>
      <c r="AA170" s="67">
        <f t="shared" si="62"/>
        <v>5.7984999999999998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63"/>
        <v>0809-22</v>
      </c>
      <c r="AE170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70" s="88" t="str">
        <f t="shared" si="65"/>
        <v>"C:\Program Files (x86)\AstroGrep\AstroGrep.exe" /spath="%USERPROFILE%\AppData\Local\Temp\OnboardLogs" /stypes="app*4044*20161222*" /stext=" 15:.+((SYSTEM_STATE.+slice.+state.+changed )|(ment ac)|(multiple cpu faults)|(system.+state.+changed )|(\[timeout)|(PRM\|1\|D)|(kpr)|(kdp)|(\|lc)|(penalty))" /e /r /s</v>
      </c>
      <c r="AG170" s="1" t="str">
        <f t="shared" si="66"/>
        <v>NW</v>
      </c>
      <c r="AH170" s="92" t="str">
        <f t="shared" si="67"/>
        <v>"%USERPROFILE%\Documents\GitHub\eaglep3\Utilities\RefineRTDCRunTimes.py" --tripid 809-22 --locoid 4044 --swversion DE.1.0.8.0 --startMP 204:999 --initTime 2016-12-22T07:45:32 --startdatetime 2016-12-22T07:51:21 --delay 1 --endMP 300:58984 --enddatetime 2016-12-22T08:07:41 --enforcementcount 0 &gt;&gt;C:\Users\stu\Documents\GitHub\eaglep3-reporting\EC\2016-12-22-refined-times.txt</v>
      </c>
      <c r="AI17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{"issue":{"subject":"","project_id":79,"tracker_id":40,"status_id":1,"priority_id":2,"assigned_to_id":23,"start_date":"2016-12-22","description":"","custom_fields":[{"id":1,"name":"Subdivision","value":"NW"},{"id":4,"name":"Milepost","value":"5.8984"},{"id":17,"name":"Train ID","value":"809-22"},{"id":16,"name":"Locomotive ID","value":"4044"},{"id":130,"name":"Impact","value":""},{"id":150,"name":"Time of Event (Mountain Time)","value":"08:07:41"},{"id":151,"name":"Denver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454</v>
      </c>
      <c r="B171" s="7">
        <v>4043</v>
      </c>
      <c r="C171" s="22" t="s">
        <v>205</v>
      </c>
      <c r="D171" s="22" t="s">
        <v>799</v>
      </c>
      <c r="E171" s="13">
        <v>42726.339918981481</v>
      </c>
      <c r="F171" s="13">
        <v>42726.341307870367</v>
      </c>
      <c r="G171" s="7">
        <v>1</v>
      </c>
      <c r="H171" s="22" t="s">
        <v>800</v>
      </c>
      <c r="I171" s="13">
        <v>42726.351886574077</v>
      </c>
      <c r="J171" s="7">
        <v>0</v>
      </c>
      <c r="K171" s="109" t="str">
        <f t="shared" si="52"/>
        <v>4043/4044</v>
      </c>
      <c r="L171" s="22" t="str">
        <f>VLOOKUP(A171,'Trips&amp;Operators'!$C$1:$G$99999,5,FALSE)</f>
        <v>SHOOK JOHN</v>
      </c>
      <c r="M171" s="6">
        <f t="shared" si="53"/>
        <v>1.057870371005265E-2</v>
      </c>
      <c r="N171" s="7">
        <f t="shared" si="54"/>
        <v>15.233333342475817</v>
      </c>
      <c r="O171" s="7"/>
      <c r="P171" s="7"/>
      <c r="Q171" s="23"/>
      <c r="R171" s="23"/>
      <c r="S171" s="35">
        <f t="shared" si="55"/>
        <v>1</v>
      </c>
      <c r="T171" s="50" t="str">
        <f t="shared" si="56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07:09:29-700',mode:absolute,to:'2016-12-22 09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52" t="str">
        <f t="shared" si="58"/>
        <v>N</v>
      </c>
      <c r="X171" s="177">
        <f t="shared" si="59"/>
        <v>1</v>
      </c>
      <c r="Y171" s="67">
        <f t="shared" si="60"/>
        <v>5.8663999999999996</v>
      </c>
      <c r="Z171" s="67">
        <f t="shared" si="61"/>
        <v>7.2900000000000006E-2</v>
      </c>
      <c r="AA171" s="67">
        <f t="shared" si="62"/>
        <v>5.7934999999999999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63"/>
        <v>0810-22</v>
      </c>
      <c r="AE171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71" s="88" t="str">
        <f t="shared" si="65"/>
        <v>"C:\Program Files (x86)\AstroGrep\AstroGrep.exe" /spath="%USERPROFILE%\AppData\Local\Temp\OnboardLogs" /stypes="app*4043*20161222*" /stext=" 15:.+((SYSTEM_STATE.+slice.+state.+changed )|(ment ac)|(multiple cpu faults)|(system.+state.+changed )|(\[timeout)|(PRM\|1\|D)|(kpr)|(kdp)|(\|lc)|(penalty))" /e /r /s</v>
      </c>
      <c r="AG171" s="1" t="str">
        <f t="shared" si="66"/>
        <v>NW</v>
      </c>
      <c r="AH171" s="92" t="str">
        <f t="shared" si="67"/>
        <v>"%USERPROFILE%\Documents\GitHub\eaglep3\Utilities\RefineRTDCRunTimes.py" --tripid 810-22 --locoid 4043 --swversion DE.1.0.8.0 --startMP 300:58664 --initTime 2016-12-22T08:09:29 --startdatetime 2016-12-22T08:11:29 --delay 1 --endMP 204:729 --enddatetime 2016-12-22T08:26:43 --enforcementcount 0 &gt;&gt;C:\Users\stu\Documents\GitHub\eaglep3-reporting\EC\2016-12-22-refined-times.txt</v>
      </c>
      <c r="AI17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{"issue":{"subject":"","project_id":79,"tracker_id":40,"status_id":1,"priority_id":2,"assigned_to_id":23,"start_date":"2016-12-22","description":"","custom_fields":[{"id":1,"name":"Subdivision","value":"NW"},{"id":4,"name":"Milepost","value":"0.0729"},{"id":17,"name":"Train ID","value":"810-22"},{"id":16,"name":"Locomotive ID","value":"4043"},{"id":130,"name":"Impact","value":""},{"id":150,"name":"Time of Event (Mountain Time)","value":"08:26:43"},{"id":151,"name":"Denver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525</v>
      </c>
      <c r="B172" s="7">
        <v>4040</v>
      </c>
      <c r="C172" s="22" t="s">
        <v>205</v>
      </c>
      <c r="D172" s="22" t="s">
        <v>801</v>
      </c>
      <c r="E172" s="13">
        <v>42726.342291666668</v>
      </c>
      <c r="F172" s="13">
        <v>42726.348136574074</v>
      </c>
      <c r="G172" s="7">
        <v>1</v>
      </c>
      <c r="H172" s="22" t="s">
        <v>297</v>
      </c>
      <c r="I172" s="13">
        <v>42726.357175925928</v>
      </c>
      <c r="J172" s="7">
        <v>0</v>
      </c>
      <c r="K172" s="109" t="str">
        <f t="shared" si="52"/>
        <v>4039/4040</v>
      </c>
      <c r="L172" s="22" t="str">
        <f>VLOOKUP(A172,'Trips&amp;Operators'!$C$1:$G$99999,5,FALSE)</f>
        <v>DUNCAN SHEILA</v>
      </c>
      <c r="M172" s="6">
        <f t="shared" si="53"/>
        <v>9.0393518548808061E-3</v>
      </c>
      <c r="N172" s="7">
        <f t="shared" si="54"/>
        <v>13.016666671028361</v>
      </c>
      <c r="O172" s="7"/>
      <c r="P172" s="7"/>
      <c r="Q172" s="23"/>
      <c r="R172" s="23"/>
      <c r="S172" s="35">
        <f t="shared" si="55"/>
        <v>1</v>
      </c>
      <c r="T172" s="50" t="str">
        <f t="shared" si="56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07:12:54-700',mode:absolute,to:'2016-12-22 09:34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58"/>
        <v>N</v>
      </c>
      <c r="X172" s="177">
        <f t="shared" si="59"/>
        <v>1</v>
      </c>
      <c r="Y172" s="67">
        <f t="shared" si="60"/>
        <v>0.1056</v>
      </c>
      <c r="Z172" s="67">
        <f t="shared" si="61"/>
        <v>5.8924000000000003</v>
      </c>
      <c r="AA172" s="67">
        <f t="shared" si="62"/>
        <v>5.7868000000000004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63"/>
        <v>0811-22</v>
      </c>
      <c r="AE17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2" s="88" t="str">
        <f t="shared" si="65"/>
        <v>"C:\Program Files (x86)\AstroGrep\AstroGrep.exe" /spath="%USERPROFILE%\AppData\Local\Temp\OnboardLogs" /stypes="app*4040*20161222*" /stext=" 15:.+((SYSTEM_STATE.+slice.+state.+changed )|(ment ac)|(multiple cpu faults)|(system.+state.+changed )|(\[timeout)|(PRM\|1\|D)|(kpr)|(kdp)|(\|lc)|(penalty))" /e /r /s</v>
      </c>
      <c r="AG172" s="1" t="str">
        <f t="shared" si="66"/>
        <v>NW</v>
      </c>
      <c r="AH172" s="92" t="str">
        <f t="shared" si="67"/>
        <v>"%USERPROFILE%\Documents\GitHub\eaglep3\Utilities\RefineRTDCRunTimes.py" --tripid 811-22 --locoid 4040 --swversion DE.1.0.8.0 --startMP 204:1056 --initTime 2016-12-22T08:12:54 --startdatetime 2016-12-22T08:21:19 --delay 1 --endMP 300:58924 --enddatetime 2016-12-22T08:34:20 --enforcementcount 0 &gt;&gt;C:\Users\stu\Documents\GitHub\eaglep3-reporting\EC\2016-12-22-refined-times.txt</v>
      </c>
      <c r="AI17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{"issue":{"subject":"","project_id":79,"tracker_id":40,"status_id":1,"priority_id":2,"assigned_to_id":23,"start_date":"2016-12-22","description":"","custom_fields":[{"id":1,"name":"Subdivision","value":"NW"},{"id":4,"name":"Milepost","value":"5.8924"},{"id":17,"name":"Train ID","value":"811-22"},{"id":16,"name":"Locomotive ID","value":"4040"},{"id":130,"name":"Impact","value":""},{"id":150,"name":"Time of Event (Mountain Time)","value":"08:34:20"},{"id":151,"name":"Denver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530</v>
      </c>
      <c r="B173" s="7">
        <v>4039</v>
      </c>
      <c r="C173" s="22" t="s">
        <v>205</v>
      </c>
      <c r="D173" s="22" t="s">
        <v>361</v>
      </c>
      <c r="E173" s="13">
        <v>42726.358599537038</v>
      </c>
      <c r="F173" s="13">
        <v>42726.360694444447</v>
      </c>
      <c r="G173" s="7">
        <v>1</v>
      </c>
      <c r="H173" s="22" t="s">
        <v>426</v>
      </c>
      <c r="I173" s="13">
        <v>42726.371331018519</v>
      </c>
      <c r="J173" s="7">
        <v>0</v>
      </c>
      <c r="K173" s="109" t="str">
        <f t="shared" si="52"/>
        <v>4039/4040</v>
      </c>
      <c r="L173" s="22" t="str">
        <f>VLOOKUP(A173,'Trips&amp;Operators'!$C$1:$G$99999,5,FALSE)</f>
        <v>DUNCAN SHEILA</v>
      </c>
      <c r="M173" s="6">
        <f t="shared" si="53"/>
        <v>1.063657407212304E-2</v>
      </c>
      <c r="N173" s="7">
        <f t="shared" si="54"/>
        <v>15.316666663857177</v>
      </c>
      <c r="O173" s="7"/>
      <c r="P173" s="7"/>
      <c r="Q173" s="23"/>
      <c r="R173" s="23"/>
      <c r="S173" s="35">
        <f t="shared" si="55"/>
        <v>1</v>
      </c>
      <c r="T173" s="50" t="str">
        <f t="shared" si="56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07:36:23-700',mode:absolute,to:'2016-12-22 09:54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58"/>
        <v>N</v>
      </c>
      <c r="X173" s="177">
        <f t="shared" si="59"/>
        <v>1</v>
      </c>
      <c r="Y173" s="67">
        <f t="shared" si="60"/>
        <v>5.8609</v>
      </c>
      <c r="Z173" s="67">
        <f t="shared" si="61"/>
        <v>6.8400000000000002E-2</v>
      </c>
      <c r="AA173" s="67">
        <f t="shared" si="62"/>
        <v>5.7925000000000004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63"/>
        <v>0812-22</v>
      </c>
      <c r="AE17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3" s="88" t="str">
        <f t="shared" si="65"/>
        <v>"C:\Program Files (x86)\AstroGrep\AstroGrep.exe" /spath="%USERPROFILE%\AppData\Local\Temp\OnboardLogs" /stypes="app*4039*20161222*" /stext=" 15:.+((SYSTEM_STATE.+slice.+state.+changed )|(ment ac)|(multiple cpu faults)|(system.+state.+changed )|(\[timeout)|(PRM\|1\|D)|(kpr)|(kdp)|(\|lc)|(penalty))" /e /r /s</v>
      </c>
      <c r="AG173" s="1" t="str">
        <f t="shared" si="66"/>
        <v>NW</v>
      </c>
      <c r="AH173" s="92" t="str">
        <f t="shared" si="67"/>
        <v>"%USERPROFILE%\Documents\GitHub\eaglep3\Utilities\RefineRTDCRunTimes.py" --tripid 812-22 --locoid 4039 --swversion DE.1.0.8.0 --startMP 300:58609 --initTime 2016-12-22T08:36:23 --startdatetime 2016-12-22T08:39:24 --delay 1 --endMP 204:684 --enddatetime 2016-12-22T08:54:43 --enforcementcount 0 &gt;&gt;C:\Users\stu\Documents\GitHub\eaglep3-reporting\EC\2016-12-22-refined-times.txt</v>
      </c>
      <c r="AI17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{"issue":{"subject":"","project_id":79,"tracker_id":40,"status_id":1,"priority_id":2,"assigned_to_id":23,"start_date":"2016-12-22","description":"","custom_fields":[{"id":1,"name":"Subdivision","value":"NW"},{"id":4,"name":"Milepost","value":"0.0684"},{"id":17,"name":"Train ID","value":"812-22"},{"id":16,"name":"Locomotive ID","value":"4039"},{"id":130,"name":"Impact","value":""},{"id":150,"name":"Time of Event (Mountain Time)","value":"08:54:43"},{"id":151,"name":"Denver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1" customFormat="1" x14ac:dyDescent="0.25">
      <c r="A174" s="37" t="s">
        <v>534</v>
      </c>
      <c r="B174" s="7">
        <v>4040</v>
      </c>
      <c r="C174" s="22" t="s">
        <v>205</v>
      </c>
      <c r="D174" s="22" t="s">
        <v>802</v>
      </c>
      <c r="E174" s="13">
        <v>42726.381909722222</v>
      </c>
      <c r="F174" s="13">
        <v>42726.389884259261</v>
      </c>
      <c r="G174" s="7">
        <v>1</v>
      </c>
      <c r="H174" s="22" t="s">
        <v>299</v>
      </c>
      <c r="I174" s="13">
        <v>42726.399131944447</v>
      </c>
      <c r="J174" s="7">
        <v>0</v>
      </c>
      <c r="K174" s="109" t="str">
        <f t="shared" si="52"/>
        <v>4039/4040</v>
      </c>
      <c r="L174" s="22" t="str">
        <f>VLOOKUP(A174,'Trips&amp;Operators'!$C$1:$G$99999,5,FALSE)</f>
        <v>DUNCAN SHEILA</v>
      </c>
      <c r="M174" s="6">
        <f t="shared" si="53"/>
        <v>9.2476851859828457E-3</v>
      </c>
      <c r="N174" s="7">
        <f t="shared" si="54"/>
        <v>13.316666667815298</v>
      </c>
      <c r="O174" s="7"/>
      <c r="P174" s="7"/>
      <c r="Q174" s="23"/>
      <c r="R174" s="23"/>
      <c r="S174" s="35">
        <f t="shared" si="55"/>
        <v>1</v>
      </c>
      <c r="T174" s="50" t="str">
        <f t="shared" si="56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08:09:57-700',mode:absolute,to:'2016-12-22 10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4" s="52" t="str">
        <f t="shared" si="58"/>
        <v>N</v>
      </c>
      <c r="X174" s="177">
        <f t="shared" si="59"/>
        <v>1</v>
      </c>
      <c r="Y174" s="67">
        <f t="shared" si="60"/>
        <v>9.74E-2</v>
      </c>
      <c r="Z174" s="67">
        <f t="shared" si="61"/>
        <v>5.8920000000000003</v>
      </c>
      <c r="AA174" s="67">
        <f t="shared" si="62"/>
        <v>5.7946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63"/>
        <v>0813-22</v>
      </c>
      <c r="AE17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4" s="88" t="str">
        <f t="shared" si="65"/>
        <v>"C:\Program Files (x86)\AstroGrep\AstroGrep.exe" /spath="%USERPROFILE%\AppData\Local\Temp\OnboardLogs" /stypes="app*4040*20161222*" /stext=" 16:.+((SYSTEM_STATE.+slice.+state.+changed )|(ment ac)|(multiple cpu faults)|(system.+state.+changed )|(\[timeout)|(PRM\|1\|D)|(kpr)|(kdp)|(\|lc)|(penalty))" /e /r /s</v>
      </c>
      <c r="AG174" s="1" t="str">
        <f t="shared" si="66"/>
        <v>NW</v>
      </c>
      <c r="AH174" s="92" t="str">
        <f t="shared" si="67"/>
        <v>"%USERPROFILE%\Documents\GitHub\eaglep3\Utilities\RefineRTDCRunTimes.py" --tripid 813-22 --locoid 4040 --swversion DE.1.0.8.0 --startMP 204:974 --initTime 2016-12-22T09:09:57 --startdatetime 2016-12-22T09:21:26 --delay 1 --endMP 300:58920 --enddatetime 2016-12-22T09:34:45 --enforcementcount 0 &gt;&gt;C:\Users\stu\Documents\GitHub\eaglep3-reporting\EC\2016-12-22-refined-times.txt</v>
      </c>
      <c r="AI17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{"issue":{"subject":"","project_id":79,"tracker_id":40,"status_id":1,"priority_id":2,"assigned_to_id":23,"start_date":"2016-12-22","description":"","custom_fields":[{"id":1,"name":"Subdivision","value":"NW"},{"id":4,"name":"Milepost","value":"5.892"},{"id":17,"name":"Train ID","value":"813-22"},{"id":16,"name":"Locomotive ID","value":"4040"},{"id":130,"name":"Impact","value":""},{"id":150,"name":"Time of Event (Mountain Time)","value":"09:34:45"},{"id":151,"name":"Denver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540</v>
      </c>
      <c r="B175" s="7">
        <v>4039</v>
      </c>
      <c r="C175" s="22" t="s">
        <v>205</v>
      </c>
      <c r="D175" s="22" t="s">
        <v>803</v>
      </c>
      <c r="E175" s="13">
        <v>42726.400173611109</v>
      </c>
      <c r="F175" s="13">
        <v>42726.402048611111</v>
      </c>
      <c r="G175" s="7">
        <v>1</v>
      </c>
      <c r="H175" s="22" t="s">
        <v>804</v>
      </c>
      <c r="I175" s="13">
        <v>42726.413194444445</v>
      </c>
      <c r="J175" s="7">
        <v>0</v>
      </c>
      <c r="K175" s="109" t="str">
        <f t="shared" si="52"/>
        <v>4039/4040</v>
      </c>
      <c r="L175" s="22" t="str">
        <f>VLOOKUP(A175,'Trips&amp;Operators'!$C$1:$G$99999,5,FALSE)</f>
        <v>DUNCAN SHEILA</v>
      </c>
      <c r="M175" s="6">
        <f t="shared" si="53"/>
        <v>1.1145833334012423E-2</v>
      </c>
      <c r="N175" s="7">
        <f t="shared" si="54"/>
        <v>16.050000000977889</v>
      </c>
      <c r="O175" s="7"/>
      <c r="P175" s="7"/>
      <c r="Q175" s="23"/>
      <c r="R175" s="23"/>
      <c r="S175" s="35">
        <f t="shared" si="55"/>
        <v>1</v>
      </c>
      <c r="T175" s="50" t="str">
        <f t="shared" si="56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08:36:15-700',mode:absolute,to:'2016-12-22 10:55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5" s="52" t="str">
        <f t="shared" si="58"/>
        <v>N</v>
      </c>
      <c r="X175" s="177">
        <f t="shared" si="59"/>
        <v>1</v>
      </c>
      <c r="Y175" s="67">
        <f t="shared" si="60"/>
        <v>5.86</v>
      </c>
      <c r="Z175" s="67">
        <f t="shared" si="61"/>
        <v>6.8199999999999997E-2</v>
      </c>
      <c r="AA175" s="67">
        <f t="shared" si="62"/>
        <v>5.7918000000000003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63"/>
        <v>0814-22</v>
      </c>
      <c r="AE17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5" s="88" t="str">
        <f t="shared" si="65"/>
        <v>"C:\Program Files (x86)\AstroGrep\AstroGrep.exe" /spath="%USERPROFILE%\AppData\Local\Temp\OnboardLogs" /stypes="app*4039*20161222*" /stext=" 16:.+((SYSTEM_STATE.+slice.+state.+changed )|(ment ac)|(multiple cpu faults)|(system.+state.+changed )|(\[timeout)|(PRM\|1\|D)|(kpr)|(kdp)|(\|lc)|(penalty))" /e /r /s</v>
      </c>
      <c r="AG175" s="1" t="str">
        <f t="shared" si="66"/>
        <v>NW</v>
      </c>
      <c r="AH175" s="92" t="str">
        <f t="shared" si="67"/>
        <v>"%USERPROFILE%\Documents\GitHub\eaglep3\Utilities\RefineRTDCRunTimes.py" --tripid 814-22 --locoid 4039 --swversion DE.1.0.8.0 --startMP 300:58600 --initTime 2016-12-22T09:36:15 --startdatetime 2016-12-22T09:38:57 --delay 1 --endMP 204:682 --enddatetime 2016-12-22T09:55:00 --enforcementcount 0 &gt;&gt;C:\Users\stu\Documents\GitHub\eaglep3-reporting\EC\2016-12-22-refined-times.txt</v>
      </c>
      <c r="AI17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{"issue":{"subject":"","project_id":79,"tracker_id":40,"status_id":1,"priority_id":2,"assigned_to_id":23,"start_date":"2016-12-22","description":"","custom_fields":[{"id":1,"name":"Subdivision","value":"NW"},{"id":4,"name":"Milepost","value":"0.0682"},{"id":17,"name":"Train ID","value":"814-22"},{"id":16,"name":"Locomotive ID","value":"4039"},{"id":130,"name":"Impact","value":""},{"id":150,"name":"Time of Event (Mountain Time)","value":"09:55:00"},{"id":151,"name":"Denver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458</v>
      </c>
      <c r="B176" s="7">
        <v>4040</v>
      </c>
      <c r="C176" s="22" t="s">
        <v>205</v>
      </c>
      <c r="D176" s="22" t="s">
        <v>428</v>
      </c>
      <c r="E176" s="13">
        <v>42726.42800925926</v>
      </c>
      <c r="F176" s="13">
        <v>42726.431585648148</v>
      </c>
      <c r="G176" s="7">
        <v>2</v>
      </c>
      <c r="H176" s="22" t="s">
        <v>805</v>
      </c>
      <c r="I176" s="13">
        <v>42726.440972222219</v>
      </c>
      <c r="J176" s="7">
        <v>0</v>
      </c>
      <c r="K176" s="109" t="str">
        <f t="shared" si="52"/>
        <v>4039/4040</v>
      </c>
      <c r="L176" s="22" t="str">
        <f>VLOOKUP(A176,'Trips&amp;Operators'!$C$1:$G$99999,5,FALSE)</f>
        <v>DUNCAN SHEILA</v>
      </c>
      <c r="M176" s="6">
        <f t="shared" si="53"/>
        <v>9.3865740709588863E-3</v>
      </c>
      <c r="N176" s="7">
        <f t="shared" si="54"/>
        <v>13.516666662180796</v>
      </c>
      <c r="O176" s="7"/>
      <c r="P176" s="7"/>
      <c r="Q176" s="23"/>
      <c r="R176" s="23"/>
      <c r="S176" s="35">
        <f t="shared" si="55"/>
        <v>1</v>
      </c>
      <c r="T176" s="50" t="str">
        <f t="shared" si="56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09:16:20-700',mode:absolute,to:'2016-12-22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58"/>
        <v>N</v>
      </c>
      <c r="X176" s="177">
        <f t="shared" si="59"/>
        <v>1</v>
      </c>
      <c r="Y176" s="67">
        <f t="shared" si="60"/>
        <v>9.6500000000000002E-2</v>
      </c>
      <c r="Z176" s="67">
        <f t="shared" si="61"/>
        <v>5.8928000000000003</v>
      </c>
      <c r="AA176" s="67">
        <f t="shared" si="62"/>
        <v>5.7963000000000005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63"/>
        <v>0815-22</v>
      </c>
      <c r="AE176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6" s="88" t="str">
        <f t="shared" si="65"/>
        <v>"C:\Program Files (x86)\AstroGrep\AstroGrep.exe" /spath="%USERPROFILE%\AppData\Local\Temp\OnboardLogs" /stypes="app*4040*20161222*" /stext=" 17:.+((SYSTEM_STATE.+slice.+state.+changed )|(ment ac)|(multiple cpu faults)|(system.+state.+changed )|(\[timeout)|(PRM\|1\|D)|(kpr)|(kdp)|(\|lc)|(penalty))" /e /r /s</v>
      </c>
      <c r="AG176" s="1" t="str">
        <f t="shared" si="66"/>
        <v>NW</v>
      </c>
      <c r="AH176" s="92" t="str">
        <f t="shared" si="67"/>
        <v>"%USERPROFILE%\Documents\GitHub\eaglep3\Utilities\RefineRTDCRunTimes.py" --tripid 815-22 --locoid 4040 --swversion DE.1.0.8.0 --startMP 204:965 --initTime 2016-12-22T10:16:20 --startdatetime 2016-12-22T10:21:29 --delay 2 --endMP 300:58928 --enddatetime 2016-12-22T10:35:00 --enforcementcount 0 &gt;&gt;C:\Users\stu\Documents\GitHub\eaglep3-reporting\EC\2016-12-22-refined-times.txt</v>
      </c>
      <c r="AI17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{"issue":{"subject":"","project_id":79,"tracker_id":40,"status_id":1,"priority_id":2,"assigned_to_id":23,"start_date":"2016-12-22","description":"","custom_fields":[{"id":1,"name":"Subdivision","value":"NW"},{"id":4,"name":"Milepost","value":"5.8928"},{"id":17,"name":"Train ID","value":"815-22"},{"id":16,"name":"Locomotive ID","value":"4040"},{"id":130,"name":"Impact","value":""},{"id":150,"name":"Time of Event (Mountain Time)","value":"10:35:00"},{"id":151,"name":"Denver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547</v>
      </c>
      <c r="B177" s="7">
        <v>4039</v>
      </c>
      <c r="C177" s="22" t="s">
        <v>205</v>
      </c>
      <c r="D177" s="22" t="s">
        <v>284</v>
      </c>
      <c r="E177" s="13">
        <v>42726.442199074074</v>
      </c>
      <c r="F177" s="13">
        <v>42726.444120370368</v>
      </c>
      <c r="G177" s="7">
        <v>1</v>
      </c>
      <c r="H177" s="22" t="s">
        <v>434</v>
      </c>
      <c r="I177" s="13">
        <v>42726.454641203702</v>
      </c>
      <c r="J177" s="7">
        <v>0</v>
      </c>
      <c r="K177" s="109" t="str">
        <f t="shared" si="52"/>
        <v>4039/4040</v>
      </c>
      <c r="L177" s="22" t="str">
        <f>VLOOKUP(A177,'Trips&amp;Operators'!$C$1:$G$99999,5,FALSE)</f>
        <v>DUNCAN SHEILA</v>
      </c>
      <c r="M177" s="6">
        <f t="shared" si="53"/>
        <v>1.0520833333430346E-2</v>
      </c>
      <c r="N177" s="7">
        <f t="shared" si="54"/>
        <v>15.150000000139698</v>
      </c>
      <c r="O177" s="7"/>
      <c r="P177" s="7"/>
      <c r="Q177" s="23"/>
      <c r="R177" s="23"/>
      <c r="S177" s="35">
        <f t="shared" si="55"/>
        <v>1</v>
      </c>
      <c r="T177" s="50" t="str">
        <f t="shared" si="56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09:36:46-700',mode:absolute,to:'2016-12-22 11:54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58"/>
        <v>N</v>
      </c>
      <c r="X177" s="177">
        <f t="shared" si="59"/>
        <v>1</v>
      </c>
      <c r="Y177" s="67">
        <f t="shared" si="60"/>
        <v>5.8615000000000004</v>
      </c>
      <c r="Z177" s="67">
        <f t="shared" si="61"/>
        <v>6.9400000000000003E-2</v>
      </c>
      <c r="AA177" s="67">
        <f t="shared" si="62"/>
        <v>5.7921000000000005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63"/>
        <v>0816-22</v>
      </c>
      <c r="AE177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7" s="88" t="str">
        <f t="shared" si="65"/>
        <v>"C:\Program Files (x86)\AstroGrep\AstroGrep.exe" /spath="%USERPROFILE%\AppData\Local\Temp\OnboardLogs" /stypes="app*4039*20161222*" /stext=" 17:.+((SYSTEM_STATE.+slice.+state.+changed )|(ment ac)|(multiple cpu faults)|(system.+state.+changed )|(\[timeout)|(PRM\|1\|D)|(kpr)|(kdp)|(\|lc)|(penalty))" /e /r /s</v>
      </c>
      <c r="AG177" s="1" t="str">
        <f t="shared" si="66"/>
        <v>NW</v>
      </c>
      <c r="AH177" s="92" t="str">
        <f t="shared" si="67"/>
        <v>"%USERPROFILE%\Documents\GitHub\eaglep3\Utilities\RefineRTDCRunTimes.py" --tripid 816-22 --locoid 4039 --swversion DE.1.0.8.0 --startMP 300:58615 --initTime 2016-12-22T10:36:46 --startdatetime 2016-12-22T10:39:32 --delay 1 --endMP 204:694 --enddatetime 2016-12-22T10:54:41 --enforcementcount 0 &gt;&gt;C:\Users\stu\Documents\GitHub\eaglep3-reporting\EC\2016-12-22-refined-times.txt</v>
      </c>
      <c r="AI17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{"issue":{"subject":"","project_id":79,"tracker_id":40,"status_id":1,"priority_id":2,"assigned_to_id":23,"start_date":"2016-12-22","description":"","custom_fields":[{"id":1,"name":"Subdivision","value":"NW"},{"id":4,"name":"Milepost","value":"0.0694"},{"id":17,"name":"Train ID","value":"816-22"},{"id":16,"name":"Locomotive ID","value":"4039"},{"id":130,"name":"Impact","value":""},{"id":150,"name":"Time of Event (Mountain Time)","value":"10:54:41"},{"id":151,"name":"Denver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557</v>
      </c>
      <c r="B178" s="7">
        <v>4040</v>
      </c>
      <c r="C178" s="22" t="s">
        <v>205</v>
      </c>
      <c r="D178" s="22" t="s">
        <v>427</v>
      </c>
      <c r="E178" s="13">
        <v>42726.467164351852</v>
      </c>
      <c r="F178" s="13">
        <v>42726.473113425927</v>
      </c>
      <c r="G178" s="7">
        <v>1</v>
      </c>
      <c r="H178" s="22" t="s">
        <v>363</v>
      </c>
      <c r="I178" s="13">
        <v>42726.483124999999</v>
      </c>
      <c r="J178" s="7">
        <v>0</v>
      </c>
      <c r="K178" s="109" t="str">
        <f t="shared" si="52"/>
        <v>4039/4040</v>
      </c>
      <c r="L178" s="22" t="str">
        <f>VLOOKUP(A178,'Trips&amp;Operators'!$C$1:$G$99999,5,FALSE)</f>
        <v>DUNCAN SHEILA</v>
      </c>
      <c r="M178" s="6">
        <f t="shared" si="53"/>
        <v>1.0011574071540963E-2</v>
      </c>
      <c r="N178" s="7">
        <f t="shared" si="54"/>
        <v>14.416666663018987</v>
      </c>
      <c r="O178" s="7"/>
      <c r="P178" s="7"/>
      <c r="Q178" s="23"/>
      <c r="R178" s="23"/>
      <c r="S178" s="35">
        <f t="shared" si="55"/>
        <v>1</v>
      </c>
      <c r="T178" s="50" t="str">
        <f t="shared" si="56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10:12:43-700',mode:absolute,to:'2016-12-22 12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58"/>
        <v>N</v>
      </c>
      <c r="X178" s="177">
        <f t="shared" si="59"/>
        <v>1</v>
      </c>
      <c r="Y178" s="67">
        <f t="shared" si="60"/>
        <v>9.64E-2</v>
      </c>
      <c r="Z178" s="67">
        <f t="shared" si="61"/>
        <v>5.8921999999999999</v>
      </c>
      <c r="AA178" s="67">
        <f t="shared" si="62"/>
        <v>5.7957999999999998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63"/>
        <v>0817-22</v>
      </c>
      <c r="AE17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78" s="88" t="str">
        <f t="shared" si="65"/>
        <v>"C:\Program Files (x86)\AstroGrep\AstroGrep.exe" /spath="%USERPROFILE%\AppData\Local\Temp\OnboardLogs" /stypes="app*4040*20161222*" /stext=" 18:.+((SYSTEM_STATE.+slice.+state.+changed )|(ment ac)|(multiple cpu faults)|(system.+state.+changed )|(\[timeout)|(PRM\|1\|D)|(kpr)|(kdp)|(\|lc)|(penalty))" /e /r /s</v>
      </c>
      <c r="AG178" s="1" t="str">
        <f t="shared" si="66"/>
        <v>NW</v>
      </c>
      <c r="AH178" s="92" t="str">
        <f t="shared" si="67"/>
        <v>"%USERPROFILE%\Documents\GitHub\eaglep3\Utilities\RefineRTDCRunTimes.py" --tripid 817-22 --locoid 4040 --swversion DE.1.0.8.0 --startMP 204:964 --initTime 2016-12-22T11:12:43 --startdatetime 2016-12-22T11:21:17 --delay 1 --endMP 300:58922 --enddatetime 2016-12-22T11:35:42 --enforcementcount 0 &gt;&gt;C:\Users\stu\Documents\GitHub\eaglep3-reporting\EC\2016-12-22-refined-times.txt</v>
      </c>
      <c r="AI17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{"issue":{"subject":"","project_id":79,"tracker_id":40,"status_id":1,"priority_id":2,"assigned_to_id":23,"start_date":"2016-12-22","description":"","custom_fields":[{"id":1,"name":"Subdivision","value":"NW"},{"id":4,"name":"Milepost","value":"5.8922"},{"id":17,"name":"Train ID","value":"817-22"},{"id":16,"name":"Locomotive ID","value":"4040"},{"id":130,"name":"Impact","value":""},{"id":150,"name":"Time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460</v>
      </c>
      <c r="B179" s="7">
        <v>4039</v>
      </c>
      <c r="C179" s="22" t="s">
        <v>205</v>
      </c>
      <c r="D179" s="22" t="s">
        <v>361</v>
      </c>
      <c r="E179" s="13">
        <v>42726.484467592592</v>
      </c>
      <c r="F179" s="13">
        <v>42726.486250000002</v>
      </c>
      <c r="G179" s="7">
        <v>1</v>
      </c>
      <c r="H179" s="22" t="s">
        <v>426</v>
      </c>
      <c r="I179" s="13">
        <v>42726.497141203705</v>
      </c>
      <c r="J179" s="7">
        <v>0</v>
      </c>
      <c r="K179" s="109" t="str">
        <f t="shared" si="52"/>
        <v>4039/4040</v>
      </c>
      <c r="L179" s="22" t="str">
        <f>VLOOKUP(A179,'Trips&amp;Operators'!$C$1:$G$99999,5,FALSE)</f>
        <v>DUNCAN SHEILA</v>
      </c>
      <c r="M179" s="6">
        <f t="shared" si="53"/>
        <v>1.0891203703067731E-2</v>
      </c>
      <c r="N179" s="7">
        <f t="shared" si="54"/>
        <v>15.683333332417533</v>
      </c>
      <c r="O179" s="7"/>
      <c r="P179" s="7"/>
      <c r="Q179" s="23"/>
      <c r="R179" s="23"/>
      <c r="S179" s="35">
        <f t="shared" si="55"/>
        <v>1</v>
      </c>
      <c r="T179" s="50" t="str">
        <f t="shared" si="56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10:37:38-700',mode:absolute,to:'2016-12-22 12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58"/>
        <v>N</v>
      </c>
      <c r="X179" s="177">
        <f t="shared" si="59"/>
        <v>1</v>
      </c>
      <c r="Y179" s="67">
        <f t="shared" si="60"/>
        <v>5.8609</v>
      </c>
      <c r="Z179" s="67">
        <f t="shared" si="61"/>
        <v>6.8400000000000002E-2</v>
      </c>
      <c r="AA179" s="67">
        <f t="shared" si="62"/>
        <v>5.7925000000000004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63"/>
        <v>0818-22</v>
      </c>
      <c r="AE17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79" s="88" t="str">
        <f t="shared" si="65"/>
        <v>"C:\Program Files (x86)\AstroGrep\AstroGrep.exe" /spath="%USERPROFILE%\AppData\Local\Temp\OnboardLogs" /stypes="app*4039*20161222*" /stext=" 18:.+((SYSTEM_STATE.+slice.+state.+changed )|(ment ac)|(multiple cpu faults)|(system.+state.+changed )|(\[timeout)|(PRM\|1\|D)|(kpr)|(kdp)|(\|lc)|(penalty))" /e /r /s</v>
      </c>
      <c r="AG179" s="1" t="str">
        <f t="shared" si="66"/>
        <v>NW</v>
      </c>
      <c r="AH179" s="92" t="str">
        <f t="shared" si="67"/>
        <v>"%USERPROFILE%\Documents\GitHub\eaglep3\Utilities\RefineRTDCRunTimes.py" --tripid 818-22 --locoid 4039 --swversion DE.1.0.8.0 --startMP 300:58609 --initTime 2016-12-22T11:37:38 --startdatetime 2016-12-22T11:40:12 --delay 1 --endMP 204:684 --enddatetime 2016-12-22T11:55:53 --enforcementcount 0 &gt;&gt;C:\Users\stu\Documents\GitHub\eaglep3-reporting\EC\2016-12-22-refined-times.txt</v>
      </c>
      <c r="AI17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{"issue":{"subject":"","project_id":79,"tracker_id":40,"status_id":1,"priority_id":2,"assigned_to_id":23,"start_date":"2016-12-22","description":"","custom_fields":[{"id":1,"name":"Subdivision","value":"NW"},{"id":4,"name":"Milepost","value":"0.0684"},{"id":17,"name":"Train ID","value":"818-22"},{"id":16,"name":"Locomotive ID","value":"4039"},{"id":130,"name":"Impact","value":""},{"id":150,"name":"Time of Event (Mountain Time)","value":"11:55:53"},{"id":151,"name":"Denver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568</v>
      </c>
      <c r="B180" s="7">
        <v>4040</v>
      </c>
      <c r="C180" s="22" t="s">
        <v>205</v>
      </c>
      <c r="D180" s="22" t="s">
        <v>806</v>
      </c>
      <c r="E180" s="13">
        <v>42726.509201388886</v>
      </c>
      <c r="F180" s="13">
        <v>42726.514861111114</v>
      </c>
      <c r="G180" s="7">
        <v>1</v>
      </c>
      <c r="H180" s="22" t="s">
        <v>297</v>
      </c>
      <c r="I180" s="13">
        <v>42726.524097222224</v>
      </c>
      <c r="J180" s="7">
        <v>0</v>
      </c>
      <c r="K180" s="109" t="str">
        <f t="shared" si="52"/>
        <v>4039/4040</v>
      </c>
      <c r="L180" s="22" t="str">
        <f>VLOOKUP(A180,'Trips&amp;Operators'!$C$1:$G$99999,5,FALSE)</f>
        <v>DUNCAN SHEILA</v>
      </c>
      <c r="M180" s="6">
        <f t="shared" si="53"/>
        <v>9.2361111092031933E-3</v>
      </c>
      <c r="N180" s="7">
        <f t="shared" si="54"/>
        <v>13.299999997252598</v>
      </c>
      <c r="O180" s="7"/>
      <c r="P180" s="7"/>
      <c r="Q180" s="23"/>
      <c r="R180" s="23"/>
      <c r="S180" s="35">
        <f t="shared" si="55"/>
        <v>1</v>
      </c>
      <c r="T180" s="50" t="str">
        <f t="shared" si="56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11:13:15-700',mode:absolute,to:'2016-12-22 13:34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58"/>
        <v>N</v>
      </c>
      <c r="X180" s="177">
        <f t="shared" si="59"/>
        <v>1</v>
      </c>
      <c r="Y180" s="67">
        <f t="shared" si="60"/>
        <v>9.7900000000000001E-2</v>
      </c>
      <c r="Z180" s="67">
        <f t="shared" si="61"/>
        <v>5.8924000000000003</v>
      </c>
      <c r="AA180" s="67">
        <f t="shared" si="62"/>
        <v>5.7945000000000002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63"/>
        <v>0819-22</v>
      </c>
      <c r="AE180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0" s="88" t="str">
        <f t="shared" si="65"/>
        <v>"C:\Program Files (x86)\AstroGrep\AstroGrep.exe" /spath="%USERPROFILE%\AppData\Local\Temp\OnboardLogs" /stypes="app*4040*20161222*" /stext=" 19:.+((SYSTEM_STATE.+slice.+state.+changed )|(ment ac)|(multiple cpu faults)|(system.+state.+changed )|(\[timeout)|(PRM\|1\|D)|(kpr)|(kdp)|(\|lc)|(penalty))" /e /r /s</v>
      </c>
      <c r="AG180" s="1" t="str">
        <f t="shared" si="66"/>
        <v>NW</v>
      </c>
      <c r="AH180" s="92" t="str">
        <f t="shared" si="67"/>
        <v>"%USERPROFILE%\Documents\GitHub\eaglep3\Utilities\RefineRTDCRunTimes.py" --tripid 819-22 --locoid 4040 --swversion DE.1.0.8.0 --startMP 204:979 --initTime 2016-12-22T12:13:15 --startdatetime 2016-12-22T12:21:24 --delay 1 --endMP 300:58924 --enddatetime 2016-12-22T12:34:42 --enforcementcount 0 &gt;&gt;C:\Users\stu\Documents\GitHub\eaglep3-reporting\EC\2016-12-22-refined-times.txt</v>
      </c>
      <c r="AI18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{"issue":{"subject":"","project_id":79,"tracker_id":40,"status_id":1,"priority_id":2,"assigned_to_id":23,"start_date":"2016-12-22","description":"","custom_fields":[{"id":1,"name":"Subdivision","value":"NW"},{"id":4,"name":"Milepost","value":"5.8924"},{"id":17,"name":"Train ID","value":"819-22"},{"id":16,"name":"Locomotive ID","value":"4040"},{"id":130,"name":"Impact","value":""},{"id":150,"name":"Time of Event (Mountain Time)","value":"12:34:42"},{"id":151,"name":"Denver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7" t="s">
        <v>572</v>
      </c>
      <c r="B181" s="7">
        <v>4039</v>
      </c>
      <c r="C181" s="22" t="s">
        <v>205</v>
      </c>
      <c r="D181" s="22" t="s">
        <v>317</v>
      </c>
      <c r="E181" s="13">
        <v>42726.525104166663</v>
      </c>
      <c r="F181" s="13">
        <v>42726.52721064815</v>
      </c>
      <c r="G181" s="7">
        <v>1</v>
      </c>
      <c r="H181" s="22" t="s">
        <v>807</v>
      </c>
      <c r="I181" s="13">
        <v>42726.537754629629</v>
      </c>
      <c r="J181" s="7">
        <v>0</v>
      </c>
      <c r="K181" s="109" t="str">
        <f t="shared" si="52"/>
        <v>4039/4040</v>
      </c>
      <c r="L181" s="22" t="str">
        <f>VLOOKUP(A181,'Trips&amp;Operators'!$C$1:$G$99999,5,FALSE)</f>
        <v>DUNCAN SHEILA</v>
      </c>
      <c r="M181" s="6">
        <f t="shared" si="53"/>
        <v>1.0543981479713693E-2</v>
      </c>
      <c r="N181" s="7">
        <f t="shared" si="54"/>
        <v>15.183333330787718</v>
      </c>
      <c r="O181" s="7"/>
      <c r="P181" s="7"/>
      <c r="Q181" s="23"/>
      <c r="R181" s="23"/>
      <c r="S181" s="35">
        <f t="shared" si="55"/>
        <v>1</v>
      </c>
      <c r="T181" s="50" t="str">
        <f t="shared" si="56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11:36:09-700',mode:absolute,to:'2016-12-22 13:54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58"/>
        <v>N</v>
      </c>
      <c r="X181" s="177">
        <f t="shared" si="59"/>
        <v>1</v>
      </c>
      <c r="Y181" s="67">
        <f t="shared" si="60"/>
        <v>5.8611000000000004</v>
      </c>
      <c r="Z181" s="67">
        <f t="shared" si="61"/>
        <v>6.8900000000000003E-2</v>
      </c>
      <c r="AA181" s="67">
        <f t="shared" si="62"/>
        <v>5.7922000000000002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63"/>
        <v>0820-22</v>
      </c>
      <c r="AE18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1" s="88" t="str">
        <f t="shared" si="65"/>
        <v>"C:\Program Files (x86)\AstroGrep\AstroGrep.exe" /spath="%USERPROFILE%\AppData\Local\Temp\OnboardLogs" /stypes="app*4039*20161222*" /stext=" 19:.+((SYSTEM_STATE.+slice.+state.+changed )|(ment ac)|(multiple cpu faults)|(system.+state.+changed )|(\[timeout)|(PRM\|1\|D)|(kpr)|(kdp)|(\|lc)|(penalty))" /e /r /s</v>
      </c>
      <c r="AG181" s="1" t="str">
        <f t="shared" si="66"/>
        <v>NW</v>
      </c>
      <c r="AH181" s="92" t="str">
        <f t="shared" si="67"/>
        <v>"%USERPROFILE%\Documents\GitHub\eaglep3\Utilities\RefineRTDCRunTimes.py" --tripid 820-22 --locoid 4039 --swversion DE.1.0.8.0 --startMP 300:58611 --initTime 2016-12-22T12:36:09 --startdatetime 2016-12-22T12:39:11 --delay 1 --endMP 204:689 --enddatetime 2016-12-22T12:54:22 --enforcementcount 0 &gt;&gt;C:\Users\stu\Documents\GitHub\eaglep3-reporting\EC\2016-12-22-refined-times.txt</v>
      </c>
      <c r="AI18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{"issue":{"subject":"","project_id":79,"tracker_id":40,"status_id":1,"priority_id":2,"assigned_to_id":23,"start_date":"2016-12-22","description":"","custom_fields":[{"id":1,"name":"Subdivision","value":"NW"},{"id":4,"name":"Milepost","value":"0.0689"},{"id":17,"name":"Train ID","value":"820-22"},{"id":16,"name":"Locomotive ID","value":"4039"},{"id":130,"name":"Impact","value":""},{"id":150,"name":"Time of Event (Mountain Time)","value":"12:54:22"},{"id":151,"name":"Denver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576</v>
      </c>
      <c r="B182" s="7">
        <v>4040</v>
      </c>
      <c r="C182" s="22" t="s">
        <v>205</v>
      </c>
      <c r="D182" s="22" t="s">
        <v>427</v>
      </c>
      <c r="E182" s="13">
        <v>42726.544490740744</v>
      </c>
      <c r="F182" s="13">
        <v>42726.556435185186</v>
      </c>
      <c r="G182" s="7">
        <v>2</v>
      </c>
      <c r="H182" s="22" t="s">
        <v>808</v>
      </c>
      <c r="I182" s="13">
        <v>42726.566203703704</v>
      </c>
      <c r="J182" s="7">
        <v>0</v>
      </c>
      <c r="K182" s="109" t="str">
        <f t="shared" si="52"/>
        <v>4039/4040</v>
      </c>
      <c r="L182" s="22" t="str">
        <f>VLOOKUP(A182,'Trips&amp;Operators'!$C$1:$G$99999,5,FALSE)</f>
        <v>COMELLA JUSTIN</v>
      </c>
      <c r="M182" s="6">
        <f t="shared" si="53"/>
        <v>9.7685185173759237E-3</v>
      </c>
      <c r="N182" s="7">
        <f t="shared" si="54"/>
        <v>14.06666666502133</v>
      </c>
      <c r="O182" s="7"/>
      <c r="P182" s="7"/>
      <c r="Q182" s="23"/>
      <c r="R182" s="23"/>
      <c r="S182" s="35">
        <f t="shared" si="55"/>
        <v>1</v>
      </c>
      <c r="T182" s="50" t="str">
        <f t="shared" si="56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12:04:04-700',mode:absolute,to:'2016-12-22 14:35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58"/>
        <v>N</v>
      </c>
      <c r="X182" s="177">
        <f t="shared" si="59"/>
        <v>1</v>
      </c>
      <c r="Y182" s="67">
        <f t="shared" si="60"/>
        <v>9.64E-2</v>
      </c>
      <c r="Z182" s="67">
        <f t="shared" si="61"/>
        <v>5.8952</v>
      </c>
      <c r="AA182" s="67">
        <f t="shared" si="62"/>
        <v>5.7988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63"/>
        <v>0821-22</v>
      </c>
      <c r="AE18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2" s="88" t="str">
        <f t="shared" si="65"/>
        <v>"C:\Program Files (x86)\AstroGrep\AstroGrep.exe" /spath="%USERPROFILE%\AppData\Local\Temp\OnboardLogs" /stypes="app*4040*20161222*" /stext=" 20:.+((SYSTEM_STATE.+slice.+state.+changed )|(ment ac)|(multiple cpu faults)|(system.+state.+changed )|(\[timeout)|(PRM\|1\|D)|(kpr)|(kdp)|(\|lc)|(penalty))" /e /r /s</v>
      </c>
      <c r="AG182" s="1" t="str">
        <f t="shared" si="66"/>
        <v>NW</v>
      </c>
      <c r="AH182" s="92" t="str">
        <f t="shared" si="67"/>
        <v>"%USERPROFILE%\Documents\GitHub\eaglep3\Utilities\RefineRTDCRunTimes.py" --tripid 821-22 --locoid 4040 --swversion DE.1.0.8.0 --startMP 204:964 --initTime 2016-12-22T13:04:04 --startdatetime 2016-12-22T13:21:16 --delay 2 --endMP 300:58952 --enddatetime 2016-12-22T13:35:20 --enforcementcount 0 &gt;&gt;C:\Users\stu\Documents\GitHub\eaglep3-reporting\EC\2016-12-22-refined-times.txt</v>
      </c>
      <c r="AI18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{"issue":{"subject":"","project_id":79,"tracker_id":40,"status_id":1,"priority_id":2,"assigned_to_id":23,"start_date":"2016-12-22","description":"","custom_fields":[{"id":1,"name":"Subdivision","value":"NW"},{"id":4,"name":"Milepost","value":"5.8952"},{"id":17,"name":"Train ID","value":"821-22"},{"id":16,"name":"Locomotive ID","value":"4040"},{"id":130,"name":"Impact","value":""},{"id":150,"name":"Time of Event (Mountain Time)","value":"13:35:20"},{"id":151,"name":"Denver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582</v>
      </c>
      <c r="B183" s="7">
        <v>4039</v>
      </c>
      <c r="C183" s="22" t="s">
        <v>205</v>
      </c>
      <c r="D183" s="22" t="s">
        <v>809</v>
      </c>
      <c r="E183" s="13">
        <v>42726.567025462966</v>
      </c>
      <c r="F183" s="13">
        <v>42726.568414351852</v>
      </c>
      <c r="G183" s="7">
        <v>1</v>
      </c>
      <c r="H183" s="22" t="s">
        <v>810</v>
      </c>
      <c r="I183" s="13">
        <v>42726.580092592594</v>
      </c>
      <c r="J183" s="7">
        <v>0</v>
      </c>
      <c r="K183" s="109" t="str">
        <f t="shared" si="52"/>
        <v>4039/4040</v>
      </c>
      <c r="L183" s="22" t="str">
        <f>VLOOKUP(A183,'Trips&amp;Operators'!$C$1:$G$99999,5,FALSE)</f>
        <v>COMELLA JUSTIN</v>
      </c>
      <c r="M183" s="6">
        <f t="shared" si="53"/>
        <v>1.1678240742185153E-2</v>
      </c>
      <c r="N183" s="7">
        <f t="shared" si="54"/>
        <v>16.81666666874662</v>
      </c>
      <c r="O183" s="7"/>
      <c r="P183" s="7"/>
      <c r="Q183" s="23"/>
      <c r="R183" s="23"/>
      <c r="S183" s="35">
        <f t="shared" si="55"/>
        <v>1</v>
      </c>
      <c r="T183" s="50" t="str">
        <f t="shared" si="56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12:36:31-700',mode:absolute,to:'2016-12-22 14:55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58"/>
        <v>N</v>
      </c>
      <c r="X183" s="177">
        <f t="shared" si="59"/>
        <v>1</v>
      </c>
      <c r="Y183" s="67">
        <f t="shared" si="60"/>
        <v>5.8632</v>
      </c>
      <c r="Z183" s="67">
        <f t="shared" si="61"/>
        <v>6.6100000000000006E-2</v>
      </c>
      <c r="AA183" s="67">
        <f t="shared" si="62"/>
        <v>5.7971000000000004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63"/>
        <v>0822-22</v>
      </c>
      <c r="AE18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3" s="88" t="str">
        <f t="shared" si="65"/>
        <v>"C:\Program Files (x86)\AstroGrep\AstroGrep.exe" /spath="%USERPROFILE%\AppData\Local\Temp\OnboardLogs" /stypes="app*4039*20161222*" /stext=" 20:.+((SYSTEM_STATE.+slice.+state.+changed )|(ment ac)|(multiple cpu faults)|(system.+state.+changed )|(\[timeout)|(PRM\|1\|D)|(kpr)|(kdp)|(\|lc)|(penalty))" /e /r /s</v>
      </c>
      <c r="AG183" s="1" t="str">
        <f t="shared" si="66"/>
        <v>NW</v>
      </c>
      <c r="AH183" s="92" t="str">
        <f t="shared" si="67"/>
        <v>"%USERPROFILE%\Documents\GitHub\eaglep3\Utilities\RefineRTDCRunTimes.py" --tripid 822-22 --locoid 4039 --swversion DE.1.0.8.0 --startMP 300:58632 --initTime 2016-12-22T13:36:31 --startdatetime 2016-12-22T13:38:31 --delay 1 --endMP 204:661 --enddatetime 2016-12-22T13:55:20 --enforcementcount 0 &gt;&gt;C:\Users\stu\Documents\GitHub\eaglep3-reporting\EC\2016-12-22-refined-times.txt</v>
      </c>
      <c r="AI18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{"issue":{"subject":"","project_id":79,"tracker_id":40,"status_id":1,"priority_id":2,"assigned_to_id":23,"start_date":"2016-12-22","description":"","custom_fields":[{"id":1,"name":"Subdivision","value":"NW"},{"id":4,"name":"Milepost","value":"0.0661"},{"id":17,"name":"Train ID","value":"822-22"},{"id":16,"name":"Locomotive ID","value":"4039"},{"id":130,"name":"Impact","value":""},{"id":150,"name":"Time of Event (Mountain Time)","value":"13:55:20"},{"id":151,"name":"Denver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586</v>
      </c>
      <c r="B184" s="7">
        <v>4040</v>
      </c>
      <c r="C184" s="22" t="s">
        <v>205</v>
      </c>
      <c r="D184" s="22" t="s">
        <v>791</v>
      </c>
      <c r="E184" s="13">
        <v>42726.587638888886</v>
      </c>
      <c r="F184" s="13">
        <v>42726.598217592589</v>
      </c>
      <c r="G184" s="7">
        <v>1</v>
      </c>
      <c r="H184" s="22" t="s">
        <v>431</v>
      </c>
      <c r="I184" s="13">
        <v>42726.60832175926</v>
      </c>
      <c r="J184" s="7">
        <v>0</v>
      </c>
      <c r="K184" s="109" t="str">
        <f t="shared" si="52"/>
        <v>4039/4040</v>
      </c>
      <c r="L184" s="22" t="str">
        <f>VLOOKUP(A184,'Trips&amp;Operators'!$C$1:$G$99999,5,FALSE)</f>
        <v>BRANDNER MELINDA</v>
      </c>
      <c r="M184" s="6">
        <f t="shared" si="53"/>
        <v>1.0104166671226267E-2</v>
      </c>
      <c r="N184" s="7">
        <f t="shared" si="54"/>
        <v>14.550000006565824</v>
      </c>
      <c r="O184" s="7"/>
      <c r="P184" s="7"/>
      <c r="Q184" s="23"/>
      <c r="R184" s="23"/>
      <c r="S184" s="35">
        <f t="shared" si="55"/>
        <v>1</v>
      </c>
      <c r="T184" s="50" t="str">
        <f t="shared" si="56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13:06:12-700',mode:absolute,to:'2016-12-22 15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58"/>
        <v>N</v>
      </c>
      <c r="X184" s="177">
        <f t="shared" si="59"/>
        <v>1</v>
      </c>
      <c r="Y184" s="67">
        <f t="shared" si="60"/>
        <v>9.9199999999999997E-2</v>
      </c>
      <c r="Z184" s="67">
        <f t="shared" si="61"/>
        <v>5.8936999999999999</v>
      </c>
      <c r="AA184" s="67">
        <f t="shared" si="62"/>
        <v>5.7945000000000002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63"/>
        <v>0823-22</v>
      </c>
      <c r="AE18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4" s="88" t="str">
        <f t="shared" si="65"/>
        <v>"C:\Program Files (x86)\AstroGrep\AstroGrep.exe" /spath="%USERPROFILE%\AppData\Local\Temp\OnboardLogs" /stypes="app*4040*20161222*" /stext=" 21:.+((SYSTEM_STATE.+slice.+state.+changed )|(ment ac)|(multiple cpu faults)|(system.+state.+changed )|(\[timeout)|(PRM\|1\|D)|(kpr)|(kdp)|(\|lc)|(penalty))" /e /r /s</v>
      </c>
      <c r="AG184" s="1" t="str">
        <f t="shared" si="66"/>
        <v>NW</v>
      </c>
      <c r="AH184" s="92" t="str">
        <f t="shared" si="67"/>
        <v>"%USERPROFILE%\Documents\GitHub\eaglep3\Utilities\RefineRTDCRunTimes.py" --tripid 823-22 --locoid 4040 --swversion DE.1.0.8.0 --startMP 204:992 --initTime 2016-12-22T14:06:12 --startdatetime 2016-12-22T14:21:26 --delay 1 --endMP 300:58937 --enddatetime 2016-12-22T14:35:59 --enforcementcount 0 &gt;&gt;C:\Users\stu\Documents\GitHub\eaglep3-reporting\EC\2016-12-22-refined-times.txt</v>
      </c>
      <c r="AI18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{"issue":{"subject":"","project_id":79,"tracker_id":40,"status_id":1,"priority_id":2,"assigned_to_id":23,"start_date":"2016-12-22","description":"","custom_fields":[{"id":1,"name":"Subdivision","value":"NW"},{"id":4,"name":"Milepost","value":"5.8937"},{"id":17,"name":"Train ID","value":"823-22"},{"id":16,"name":"Locomotive ID","value":"4040"},{"id":130,"name":"Impact","value":""},{"id":150,"name":"Time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591</v>
      </c>
      <c r="B185" s="7">
        <v>4039</v>
      </c>
      <c r="C185" s="22" t="s">
        <v>205</v>
      </c>
      <c r="D185" s="22" t="s">
        <v>284</v>
      </c>
      <c r="E185" s="13">
        <v>42726.609293981484</v>
      </c>
      <c r="F185" s="13">
        <v>42726.610763888886</v>
      </c>
      <c r="G185" s="7">
        <v>1</v>
      </c>
      <c r="H185" s="22" t="s">
        <v>437</v>
      </c>
      <c r="I185" s="13">
        <v>42726.622453703705</v>
      </c>
      <c r="J185" s="7">
        <v>0</v>
      </c>
      <c r="K185" s="109" t="str">
        <f t="shared" si="52"/>
        <v>4039/4040</v>
      </c>
      <c r="L185" s="22" t="str">
        <f>VLOOKUP(A185,'Trips&amp;Operators'!$C$1:$G$99999,5,FALSE)</f>
        <v>COMELLA JUSTIN</v>
      </c>
      <c r="M185" s="6">
        <f t="shared" si="53"/>
        <v>1.1689814818964805E-2</v>
      </c>
      <c r="N185" s="7">
        <f t="shared" si="54"/>
        <v>16.83333333930932</v>
      </c>
      <c r="O185" s="7"/>
      <c r="P185" s="7"/>
      <c r="Q185" s="23"/>
      <c r="R185" s="23"/>
      <c r="S185" s="35">
        <f t="shared" si="55"/>
        <v>1</v>
      </c>
      <c r="T185" s="50" t="str">
        <f t="shared" si="56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13:37:23-700',mode:absolute,to:'2016-12-22 15:56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58"/>
        <v>N</v>
      </c>
      <c r="X185" s="177">
        <f t="shared" si="59"/>
        <v>1</v>
      </c>
      <c r="Y185" s="67">
        <f t="shared" si="60"/>
        <v>5.8615000000000004</v>
      </c>
      <c r="Z185" s="67">
        <f t="shared" si="61"/>
        <v>6.7699999999999996E-2</v>
      </c>
      <c r="AA185" s="67">
        <f t="shared" si="62"/>
        <v>5.7938000000000001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63"/>
        <v>0824-22</v>
      </c>
      <c r="AE18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5" s="88" t="str">
        <f t="shared" si="65"/>
        <v>"C:\Program Files (x86)\AstroGrep\AstroGrep.exe" /spath="%USERPROFILE%\AppData\Local\Temp\OnboardLogs" /stypes="app*4039*20161222*" /stext=" 21:.+((SYSTEM_STATE.+slice.+state.+changed )|(ment ac)|(multiple cpu faults)|(system.+state.+changed )|(\[timeout)|(PRM\|1\|D)|(kpr)|(kdp)|(\|lc)|(penalty))" /e /r /s</v>
      </c>
      <c r="AG185" s="1" t="str">
        <f t="shared" si="66"/>
        <v>NW</v>
      </c>
      <c r="AH185" s="92" t="str">
        <f t="shared" si="67"/>
        <v>"%USERPROFILE%\Documents\GitHub\eaglep3\Utilities\RefineRTDCRunTimes.py" --tripid 824-22 --locoid 4039 --swversion DE.1.0.8.0 --startMP 300:58615 --initTime 2016-12-22T14:37:23 --startdatetime 2016-12-22T14:39:30 --delay 1 --endMP 204:677 --enddatetime 2016-12-22T14:56:20 --enforcementcount 0 &gt;&gt;C:\Users\stu\Documents\GitHub\eaglep3-reporting\EC\2016-12-22-refined-times.txt</v>
      </c>
      <c r="AI18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{"issue":{"subject":"","project_id":79,"tracker_id":40,"status_id":1,"priority_id":2,"assigned_to_id":23,"start_date":"2016-12-22","description":"","custom_fields":[{"id":1,"name":"Subdivision","value":"NW"},{"id":4,"name":"Milepost","value":"0.0677"},{"id":17,"name":"Train ID","value":"824-22"},{"id":16,"name":"Locomotive ID","value":"4039"},{"id":130,"name":"Impact","value":""},{"id":150,"name":"Time of Event (Mountain Time)","value":"14:56:20"},{"id":151,"name":"Denver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s="21" customFormat="1" x14ac:dyDescent="0.25">
      <c r="A186" s="37" t="s">
        <v>594</v>
      </c>
      <c r="B186" s="7">
        <v>4040</v>
      </c>
      <c r="C186" s="22" t="s">
        <v>205</v>
      </c>
      <c r="D186" s="22" t="s">
        <v>791</v>
      </c>
      <c r="E186" s="13">
        <v>42726.635879629626</v>
      </c>
      <c r="F186" s="13">
        <v>42726.639768518522</v>
      </c>
      <c r="G186" s="7">
        <v>2</v>
      </c>
      <c r="H186" s="22" t="s">
        <v>811</v>
      </c>
      <c r="I186" s="13">
        <v>42726.649641203701</v>
      </c>
      <c r="J186" s="7">
        <v>0</v>
      </c>
      <c r="K186" s="109" t="str">
        <f t="shared" si="52"/>
        <v>4039/4040</v>
      </c>
      <c r="L186" s="22" t="str">
        <f>VLOOKUP(A186,'Trips&amp;Operators'!$C$1:$G$99999,5,FALSE)</f>
        <v>COMELLA JUSTIN</v>
      </c>
      <c r="M186" s="6">
        <f t="shared" si="53"/>
        <v>9.8726851792889647E-3</v>
      </c>
      <c r="N186" s="7">
        <f t="shared" si="54"/>
        <v>14.216666658176109</v>
      </c>
      <c r="O186" s="7"/>
      <c r="P186" s="7"/>
      <c r="Q186" s="23"/>
      <c r="R186" s="23"/>
      <c r="S186" s="35">
        <f t="shared" si="55"/>
        <v>1</v>
      </c>
      <c r="T186" s="50" t="str">
        <f t="shared" si="56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14:15:40-700',mode:absolute,to:'2016-12-22 16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6" s="52" t="str">
        <f t="shared" si="58"/>
        <v>N</v>
      </c>
      <c r="X186" s="177">
        <f t="shared" si="59"/>
        <v>1</v>
      </c>
      <c r="Y186" s="67">
        <f t="shared" si="60"/>
        <v>9.9199999999999997E-2</v>
      </c>
      <c r="Z186" s="67">
        <f t="shared" si="61"/>
        <v>5.8960999999999997</v>
      </c>
      <c r="AA186" s="67">
        <f t="shared" si="62"/>
        <v>5.7968999999999999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63"/>
        <v>0825-22</v>
      </c>
      <c r="AE186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86" s="88" t="str">
        <f t="shared" si="65"/>
        <v>"C:\Program Files (x86)\AstroGrep\AstroGrep.exe" /spath="%USERPROFILE%\AppData\Local\Temp\OnboardLogs" /stypes="app*4040*20161222*" /stext=" 22:.+((SYSTEM_STATE.+slice.+state.+changed )|(ment ac)|(multiple cpu faults)|(system.+state.+changed )|(\[timeout)|(PRM\|1\|D)|(kpr)|(kdp)|(\|lc)|(penalty))" /e /r /s</v>
      </c>
      <c r="AG186" s="1" t="str">
        <f t="shared" si="66"/>
        <v>NW</v>
      </c>
      <c r="AH186" s="92" t="str">
        <f t="shared" si="67"/>
        <v>"%USERPROFILE%\Documents\GitHub\eaglep3\Utilities\RefineRTDCRunTimes.py" --tripid 825-22 --locoid 4040 --swversion DE.1.0.8.0 --startMP 204:992 --initTime 2016-12-22T15:15:40 --startdatetime 2016-12-22T15:21:16 --delay 2 --endMP 300:58961 --enddatetime 2016-12-22T15:35:29 --enforcementcount 0 &gt;&gt;C:\Users\stu\Documents\GitHub\eaglep3-reporting\EC\2016-12-22-refined-times.txt</v>
      </c>
      <c r="AI18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{"issue":{"subject":"","project_id":79,"tracker_id":40,"status_id":1,"priority_id":2,"assigned_to_id":23,"start_date":"2016-12-22","description":"","custom_fields":[{"id":1,"name":"Subdivision","value":"NW"},{"id":4,"name":"Milepost","value":"5.8961"},{"id":17,"name":"Train ID","value":"825-22"},{"id":16,"name":"Locomotive ID","value":"4040"},{"id":130,"name":"Impact","value":""},{"id":150,"name":"Time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597</v>
      </c>
      <c r="B187" s="7">
        <v>4039</v>
      </c>
      <c r="C187" s="22" t="s">
        <v>205</v>
      </c>
      <c r="D187" s="22" t="s">
        <v>812</v>
      </c>
      <c r="E187" s="13">
        <v>42726.650543981479</v>
      </c>
      <c r="F187" s="13">
        <v>42726.65184027778</v>
      </c>
      <c r="G187" s="7">
        <v>1</v>
      </c>
      <c r="H187" s="22" t="s">
        <v>813</v>
      </c>
      <c r="I187" s="13">
        <v>42726.664224537039</v>
      </c>
      <c r="J187" s="7">
        <v>0</v>
      </c>
      <c r="K187" s="109" t="str">
        <f t="shared" si="52"/>
        <v>4039/4040</v>
      </c>
      <c r="L187" s="22" t="str">
        <f>VLOOKUP(A187,'Trips&amp;Operators'!$C$1:$G$99999,5,FALSE)</f>
        <v>COMELLA JUSTIN</v>
      </c>
      <c r="M187" s="6">
        <f t="shared" si="53"/>
        <v>1.2384259258396924E-2</v>
      </c>
      <c r="N187" s="7">
        <f t="shared" si="54"/>
        <v>17.83333333209157</v>
      </c>
      <c r="O187" s="7"/>
      <c r="P187" s="7"/>
      <c r="Q187" s="23"/>
      <c r="R187" s="23"/>
      <c r="S187" s="35">
        <f t="shared" si="55"/>
        <v>1</v>
      </c>
      <c r="T187" s="50" t="str">
        <f t="shared" si="56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14:36:47-700',mode:absolute,to:'2016-12-22 16:56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7" s="52" t="str">
        <f t="shared" si="58"/>
        <v>N</v>
      </c>
      <c r="X187" s="177">
        <f t="shared" si="59"/>
        <v>1</v>
      </c>
      <c r="Y187" s="67">
        <f t="shared" si="60"/>
        <v>5.8639999999999999</v>
      </c>
      <c r="Z187" s="67">
        <f t="shared" si="61"/>
        <v>6.9599999999999995E-2</v>
      </c>
      <c r="AA187" s="67">
        <f t="shared" si="62"/>
        <v>5.7943999999999996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63"/>
        <v>0826-22</v>
      </c>
      <c r="AE187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87" s="88" t="str">
        <f t="shared" si="65"/>
        <v>"C:\Program Files (x86)\AstroGrep\AstroGrep.exe" /spath="%USERPROFILE%\AppData\Local\Temp\OnboardLogs" /stypes="app*4039*20161222*" /stext=" 22:.+((SYSTEM_STATE.+slice.+state.+changed )|(ment ac)|(multiple cpu faults)|(system.+state.+changed )|(\[timeout)|(PRM\|1\|D)|(kpr)|(kdp)|(\|lc)|(penalty))" /e /r /s</v>
      </c>
      <c r="AG187" s="1" t="str">
        <f t="shared" si="66"/>
        <v>NW</v>
      </c>
      <c r="AH187" s="92" t="str">
        <f t="shared" si="67"/>
        <v>"%USERPROFILE%\Documents\GitHub\eaglep3\Utilities\RefineRTDCRunTimes.py" --tripid 826-22 --locoid 4039 --swversion DE.1.0.8.0 --startMP 300:58640 --initTime 2016-12-22T15:36:47 --startdatetime 2016-12-22T15:38:39 --delay 1 --endMP 204:696 --enddatetime 2016-12-22T15:56:29 --enforcementcount 0 &gt;&gt;C:\Users\stu\Documents\GitHub\eaglep3-reporting\EC\2016-12-22-refined-times.txt</v>
      </c>
      <c r="AI18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{"issue":{"subject":"","project_id":79,"tracker_id":40,"status_id":1,"priority_id":2,"assigned_to_id":23,"start_date":"2016-12-22","description":"","custom_fields":[{"id":1,"name":"Subdivision","value":"NW"},{"id":4,"name":"Milepost","value":"0.0696"},{"id":17,"name":"Train ID","value":"826-22"},{"id":16,"name":"Locomotive ID","value":"4039"},{"id":130,"name":"Impact","value":""},{"id":150,"name":"Time of Event (Mountain Time)","value":"15:56:29"},{"id":151,"name":"Denver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1" customFormat="1" x14ac:dyDescent="0.25">
      <c r="A188" s="37" t="s">
        <v>466</v>
      </c>
      <c r="B188" s="7">
        <v>4044</v>
      </c>
      <c r="C188" s="22" t="s">
        <v>205</v>
      </c>
      <c r="D188" s="22" t="s">
        <v>814</v>
      </c>
      <c r="E188" s="13">
        <v>42726.653657407405</v>
      </c>
      <c r="F188" s="13">
        <v>42726.660624999997</v>
      </c>
      <c r="G188" s="7">
        <v>2</v>
      </c>
      <c r="H188" s="22" t="s">
        <v>785</v>
      </c>
      <c r="I188" s="13">
        <v>42726.67150462963</v>
      </c>
      <c r="J188" s="7">
        <v>0</v>
      </c>
      <c r="K188" s="109" t="str">
        <f t="shared" si="52"/>
        <v>4043/4044</v>
      </c>
      <c r="L188" s="22" t="str">
        <f>VLOOKUP(A188,'Trips&amp;Operators'!$C$1:$G$99999,5,FALSE)</f>
        <v>YANG JAN</v>
      </c>
      <c r="M188" s="6">
        <f t="shared" si="53"/>
        <v>1.0879629633564036E-2</v>
      </c>
      <c r="N188" s="7">
        <f t="shared" si="54"/>
        <v>15.666666672332212</v>
      </c>
      <c r="O188" s="7"/>
      <c r="P188" s="7"/>
      <c r="Q188" s="23"/>
      <c r="R188" s="23"/>
      <c r="S188" s="35">
        <f t="shared" si="55"/>
        <v>1</v>
      </c>
      <c r="T188" s="50" t="str">
        <f t="shared" si="56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14:41:16-700',mode:absolute,to:'2016-12-22 17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8" s="52" t="str">
        <f t="shared" si="58"/>
        <v>N</v>
      </c>
      <c r="X188" s="177">
        <f t="shared" si="59"/>
        <v>1</v>
      </c>
      <c r="Y188" s="67">
        <f t="shared" si="60"/>
        <v>9.0899999999999995E-2</v>
      </c>
      <c r="Z188" s="67">
        <f t="shared" si="61"/>
        <v>5.9002999999999997</v>
      </c>
      <c r="AA188" s="67">
        <f t="shared" si="62"/>
        <v>5.8093999999999992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63"/>
        <v>0827-22</v>
      </c>
      <c r="AE188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88" s="88" t="str">
        <f t="shared" si="65"/>
        <v>"C:\Program Files (x86)\AstroGrep\AstroGrep.exe" /spath="%USERPROFILE%\AppData\Local\Temp\OnboardLogs" /stypes="app*4044*20161222*" /stext=" 23:.+((SYSTEM_STATE.+slice.+state.+changed )|(ment ac)|(multiple cpu faults)|(system.+state.+changed )|(\[timeout)|(PRM\|1\|D)|(kpr)|(kdp)|(\|lc)|(penalty))" /e /r /s</v>
      </c>
      <c r="AG188" s="1" t="str">
        <f t="shared" si="66"/>
        <v>NW</v>
      </c>
      <c r="AH188" s="92" t="str">
        <f t="shared" si="67"/>
        <v>"%USERPROFILE%\Documents\GitHub\eaglep3\Utilities\RefineRTDCRunTimes.py" --tripid 827-22 --locoid 4044 --swversion DE.1.0.8.0 --startMP 204:909 --initTime 2016-12-22T15:41:16 --startdatetime 2016-12-22T15:51:18 --delay 2 --endMP 300:59003 --enddatetime 2016-12-22T16:06:58 --enforcementcount 0 &gt;&gt;C:\Users\stu\Documents\GitHub\eaglep3-reporting\EC\2016-12-22-refined-times.txt</v>
      </c>
      <c r="AI18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{"issue":{"subject":"","project_id":79,"tracker_id":40,"status_id":1,"priority_id":2,"assigned_to_id":23,"start_date":"2016-12-22","description":"","custom_fields":[{"id":1,"name":"Subdivision","value":"NW"},{"id":4,"name":"Milepost","value":"5.9003"},{"id":17,"name":"Train ID","value":"827-22"},{"id":16,"name":"Locomotive ID","value":"4044"},{"id":130,"name":"Impact","value":""},{"id":150,"name":"Time of Event (Mountain Time)","value":"16:06:58"},{"id":151,"name":"Denver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7" t="s">
        <v>468</v>
      </c>
      <c r="B189" s="7">
        <v>4043</v>
      </c>
      <c r="C189" s="22" t="s">
        <v>205</v>
      </c>
      <c r="D189" s="22" t="s">
        <v>815</v>
      </c>
      <c r="E189" s="13">
        <v>42726.672685185185</v>
      </c>
      <c r="F189" s="13">
        <v>42726.67392361111</v>
      </c>
      <c r="G189" s="7">
        <v>1</v>
      </c>
      <c r="H189" s="22" t="s">
        <v>816</v>
      </c>
      <c r="I189" s="13">
        <v>42726.684999999998</v>
      </c>
      <c r="J189" s="7">
        <v>0</v>
      </c>
      <c r="K189" s="109" t="str">
        <f t="shared" si="52"/>
        <v>4043/4044</v>
      </c>
      <c r="L189" s="22" t="str">
        <f>VLOOKUP(A189,'Trips&amp;Operators'!$C$1:$G$99999,5,FALSE)</f>
        <v>YANG JAN</v>
      </c>
      <c r="M189" s="6">
        <f t="shared" si="53"/>
        <v>1.1076388887886424E-2</v>
      </c>
      <c r="N189" s="7">
        <f t="shared" si="54"/>
        <v>15.94999999855645</v>
      </c>
      <c r="O189" s="7"/>
      <c r="P189" s="7"/>
      <c r="Q189" s="23"/>
      <c r="R189" s="23"/>
      <c r="S189" s="35">
        <f t="shared" si="55"/>
        <v>1</v>
      </c>
      <c r="T189" s="50" t="str">
        <f t="shared" si="56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15:08:40-700',mode:absolute,to:'2016-12-22 17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9" s="52" t="str">
        <f t="shared" si="58"/>
        <v>N</v>
      </c>
      <c r="X189" s="177">
        <f t="shared" si="59"/>
        <v>1</v>
      </c>
      <c r="Y189" s="67">
        <f t="shared" si="60"/>
        <v>5.8682999999999996</v>
      </c>
      <c r="Z189" s="67">
        <f t="shared" si="61"/>
        <v>6.8000000000000005E-2</v>
      </c>
      <c r="AA189" s="67">
        <f t="shared" si="62"/>
        <v>5.8003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63"/>
        <v>0828-22</v>
      </c>
      <c r="AE189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89" s="88" t="str">
        <f t="shared" si="65"/>
        <v>"C:\Program Files (x86)\AstroGrep\AstroGrep.exe" /spath="%USERPROFILE%\AppData\Local\Temp\OnboardLogs" /stypes="app*4043*20161222*" /stext=" 23:.+((SYSTEM_STATE.+slice.+state.+changed )|(ment ac)|(multiple cpu faults)|(system.+state.+changed )|(\[timeout)|(PRM\|1\|D)|(kpr)|(kdp)|(\|lc)|(penalty))" /e /r /s</v>
      </c>
      <c r="AG189" s="1" t="str">
        <f t="shared" si="66"/>
        <v>NW</v>
      </c>
      <c r="AH189" s="92" t="str">
        <f t="shared" si="67"/>
        <v>"%USERPROFILE%\Documents\GitHub\eaglep3\Utilities\RefineRTDCRunTimes.py" --tripid 828-22 --locoid 4043 --swversion DE.1.0.8.0 --startMP 300:58683 --initTime 2016-12-22T16:08:40 --startdatetime 2016-12-22T16:10:27 --delay 1 --endMP 204:680 --enddatetime 2016-12-22T16:26:24 --enforcementcount 0 &gt;&gt;C:\Users\stu\Documents\GitHub\eaglep3-reporting\EC\2016-12-22-refined-times.txt</v>
      </c>
      <c r="AI18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{"issue":{"subject":"","project_id":79,"tracker_id":40,"status_id":1,"priority_id":2,"assigned_to_id":23,"start_date":"2016-12-22","description":"","custom_fields":[{"id":1,"name":"Subdivision","value":"NW"},{"id":4,"name":"Milepost","value":"0.068"},{"id":17,"name":"Train ID","value":"828-22"},{"id":16,"name":"Locomotive ID","value":"4043"},{"id":130,"name":"Impact","value":""},{"id":150,"name":"Time of Event (Mountain Time)","value":"16:26:24"},{"id":151,"name":"Denver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604</v>
      </c>
      <c r="B190" s="7">
        <v>4040</v>
      </c>
      <c r="C190" s="22" t="s">
        <v>205</v>
      </c>
      <c r="D190" s="22" t="s">
        <v>282</v>
      </c>
      <c r="E190" s="13">
        <v>42726.673379629632</v>
      </c>
      <c r="F190" s="13">
        <v>42726.681886574072</v>
      </c>
      <c r="G190" s="7">
        <v>1</v>
      </c>
      <c r="H190" s="22" t="s">
        <v>817</v>
      </c>
      <c r="I190" s="13">
        <v>42726.691793981481</v>
      </c>
      <c r="J190" s="7">
        <v>0</v>
      </c>
      <c r="K190" s="109" t="str">
        <f t="shared" si="52"/>
        <v>4039/4040</v>
      </c>
      <c r="L190" s="22" t="str">
        <f>VLOOKUP(A190,'Trips&amp;Operators'!$C$1:$G$99999,5,FALSE)</f>
        <v>COMELLA JUSTIN</v>
      </c>
      <c r="M190" s="6">
        <f t="shared" si="53"/>
        <v>9.9074074096279219E-3</v>
      </c>
      <c r="N190" s="7">
        <f t="shared" si="54"/>
        <v>14.266666669864208</v>
      </c>
      <c r="O190" s="7"/>
      <c r="P190" s="7"/>
      <c r="Q190" s="23"/>
      <c r="R190" s="23"/>
      <c r="S190" s="35">
        <f t="shared" si="55"/>
        <v>1</v>
      </c>
      <c r="T190" s="50" t="str">
        <f t="shared" si="56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15:09:40-700',mode:absolute,to:'2016-12-22 17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52" t="str">
        <f t="shared" si="58"/>
        <v>N</v>
      </c>
      <c r="X190" s="177">
        <f t="shared" si="59"/>
        <v>1</v>
      </c>
      <c r="Y190" s="67">
        <f t="shared" si="60"/>
        <v>9.69E-2</v>
      </c>
      <c r="Z190" s="67">
        <f t="shared" si="61"/>
        <v>5.8948</v>
      </c>
      <c r="AA190" s="67">
        <f t="shared" si="62"/>
        <v>5.7979000000000003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63"/>
        <v>0829-22</v>
      </c>
      <c r="AE190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0" s="88" t="str">
        <f t="shared" si="65"/>
        <v>"C:\Program Files (x86)\AstroGrep\AstroGrep.exe" /spath="%USERPROFILE%\AppData\Local\Temp\OnboardLogs" /stypes="app*4040*20161222*" /stext=" 23:.+((SYSTEM_STATE.+slice.+state.+changed )|(ment ac)|(multiple cpu faults)|(system.+state.+changed )|(\[timeout)|(PRM\|1\|D)|(kpr)|(kdp)|(\|lc)|(penalty))" /e /r /s</v>
      </c>
      <c r="AG190" s="1" t="str">
        <f t="shared" si="66"/>
        <v>NW</v>
      </c>
      <c r="AH190" s="92" t="str">
        <f t="shared" si="67"/>
        <v>"%USERPROFILE%\Documents\GitHub\eaglep3\Utilities\RefineRTDCRunTimes.py" --tripid 829-22 --locoid 4040 --swversion DE.1.0.8.0 --startMP 204:969 --initTime 2016-12-22T16:09:40 --startdatetime 2016-12-22T16:21:55 --delay 1 --endMP 300:58948 --enddatetime 2016-12-22T16:36:11 --enforcementcount 0 &gt;&gt;C:\Users\stu\Documents\GitHub\eaglep3-reporting\EC\2016-12-22-refined-times.txt</v>
      </c>
      <c r="AI19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{"issue":{"subject":"","project_id":79,"tracker_id":40,"status_id":1,"priority_id":2,"assigned_to_id":23,"start_date":"2016-12-22","description":"","custom_fields":[{"id":1,"name":"Subdivision","value":"NW"},{"id":4,"name":"Milepost","value":"5.8948"},{"id":17,"name":"Train ID","value":"829-22"},{"id":16,"name":"Locomotive ID","value":"4040"},{"id":130,"name":"Impact","value":""},{"id":150,"name":"Time of Event (Mountain Time)","value":"16:36:11"},{"id":151,"name":"Denver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609</v>
      </c>
      <c r="B191" s="7">
        <v>4039</v>
      </c>
      <c r="C191" s="22" t="s">
        <v>205</v>
      </c>
      <c r="D191" s="22" t="s">
        <v>439</v>
      </c>
      <c r="E191" s="13">
        <v>42726.692824074074</v>
      </c>
      <c r="F191" s="13">
        <v>42726.694247685184</v>
      </c>
      <c r="G191" s="7">
        <v>1</v>
      </c>
      <c r="H191" s="22" t="s">
        <v>435</v>
      </c>
      <c r="I191" s="13">
        <v>42726.706134259257</v>
      </c>
      <c r="J191" s="7">
        <v>0</v>
      </c>
      <c r="K191" s="109" t="str">
        <f t="shared" si="52"/>
        <v>4039/4040</v>
      </c>
      <c r="L191" s="22" t="str">
        <f>VLOOKUP(A191,'Trips&amp;Operators'!$C$1:$G$99999,5,FALSE)</f>
        <v>COMELLA JUSTIN</v>
      </c>
      <c r="M191" s="6">
        <f t="shared" si="53"/>
        <v>1.1886574073287193E-2</v>
      </c>
      <c r="N191" s="7">
        <f t="shared" si="54"/>
        <v>17.116666665533558</v>
      </c>
      <c r="O191" s="7"/>
      <c r="P191" s="7"/>
      <c r="Q191" s="23"/>
      <c r="R191" s="23"/>
      <c r="S191" s="35">
        <f t="shared" si="55"/>
        <v>1</v>
      </c>
      <c r="T191" s="50" t="str">
        <f t="shared" si="56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15:37:40-700',mode:absolute,to:'2016-12-22 17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1" s="52" t="str">
        <f t="shared" si="58"/>
        <v>N</v>
      </c>
      <c r="X191" s="177">
        <f t="shared" si="59"/>
        <v>1</v>
      </c>
      <c r="Y191" s="67">
        <f t="shared" si="60"/>
        <v>5.8643000000000001</v>
      </c>
      <c r="Z191" s="67">
        <f t="shared" si="61"/>
        <v>6.6299999999999998E-2</v>
      </c>
      <c r="AA191" s="67">
        <f t="shared" si="62"/>
        <v>5.798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63"/>
        <v>0830-22</v>
      </c>
      <c r="AE19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1" s="88" t="str">
        <f t="shared" si="65"/>
        <v>"C:\Program Files (x86)\AstroGrep\AstroGrep.exe" /spath="%USERPROFILE%\AppData\Local\Temp\OnboardLogs" /stypes="app*4039*20161222*" /stext=" 23:.+((SYSTEM_STATE.+slice.+state.+changed )|(ment ac)|(multiple cpu faults)|(system.+state.+changed )|(\[timeout)|(PRM\|1\|D)|(kpr)|(kdp)|(\|lc)|(penalty))" /e /r /s</v>
      </c>
      <c r="AG191" s="1" t="str">
        <f t="shared" si="66"/>
        <v>NW</v>
      </c>
      <c r="AH191" s="92" t="str">
        <f t="shared" si="67"/>
        <v>"%USERPROFILE%\Documents\GitHub\eaglep3\Utilities\RefineRTDCRunTimes.py" --tripid 830-22 --locoid 4039 --swversion DE.1.0.8.0 --startMP 300:58643 --initTime 2016-12-22T16:37:40 --startdatetime 2016-12-22T16:39:43 --delay 1 --endMP 204:663 --enddatetime 2016-12-22T16:56:50 --enforcementcount 0 &gt;&gt;C:\Users\stu\Documents\GitHub\eaglep3-reporting\EC\2016-12-22-refined-times.txt</v>
      </c>
      <c r="AI19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{"issue":{"subject":"","project_id":79,"tracker_id":40,"status_id":1,"priority_id":2,"assigned_to_id":23,"start_date":"2016-12-22","description":"","custom_fields":[{"id":1,"name":"Subdivision","value":"NW"},{"id":4,"name":"Milepost","value":"0.0663"},{"id":17,"name":"Train ID","value":"830-22"},{"id":16,"name":"Locomotive ID","value":"4039"},{"id":130,"name":"Impact","value":""},{"id":150,"name":"Time of Event (Mountain Time)","value":"16:56:50"},{"id":151,"name":"Denver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611</v>
      </c>
      <c r="B192" s="7">
        <v>4044</v>
      </c>
      <c r="C192" s="22" t="s">
        <v>205</v>
      </c>
      <c r="D192" s="22" t="s">
        <v>818</v>
      </c>
      <c r="E192" s="13">
        <v>42726.695520833331</v>
      </c>
      <c r="F192" s="13">
        <v>42726.702326388891</v>
      </c>
      <c r="G192" s="7">
        <v>2</v>
      </c>
      <c r="H192" s="22" t="s">
        <v>433</v>
      </c>
      <c r="I192" s="13">
        <v>42726.712268518517</v>
      </c>
      <c r="J192" s="7">
        <v>0</v>
      </c>
      <c r="K192" s="109" t="str">
        <f t="shared" si="52"/>
        <v>4043/4044</v>
      </c>
      <c r="L192" s="22" t="str">
        <f>VLOOKUP(A192,'Trips&amp;Operators'!$C$1:$G$99999,5,FALSE)</f>
        <v>YANG JAN</v>
      </c>
      <c r="M192" s="6">
        <f t="shared" si="53"/>
        <v>9.9421296254149638E-3</v>
      </c>
      <c r="N192" s="7">
        <f t="shared" si="54"/>
        <v>14.316666660597548</v>
      </c>
      <c r="O192" s="7"/>
      <c r="P192" s="7"/>
      <c r="Q192" s="23"/>
      <c r="R192" s="23"/>
      <c r="S192" s="35">
        <f t="shared" si="55"/>
        <v>1</v>
      </c>
      <c r="T192" s="50" t="str">
        <f t="shared" si="56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15:41:33-700',mode:absolute,to:'2016-12-22 18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2" s="52" t="str">
        <f t="shared" si="58"/>
        <v>N</v>
      </c>
      <c r="X192" s="177">
        <f t="shared" si="59"/>
        <v>1</v>
      </c>
      <c r="Y192" s="67">
        <f t="shared" si="60"/>
        <v>9.5100000000000004E-2</v>
      </c>
      <c r="Z192" s="67">
        <f t="shared" si="61"/>
        <v>5.8935000000000004</v>
      </c>
      <c r="AA192" s="67">
        <f t="shared" si="62"/>
        <v>5.7984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63"/>
        <v>0831-22</v>
      </c>
      <c r="AE192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92" s="88" t="str">
        <f t="shared" si="65"/>
        <v>"C:\Program Files (x86)\AstroGrep\AstroGrep.exe" /spath="%USERPROFILE%\AppData\Local\Temp\OnboardLogs" /stypes="app*4044*20161223*" /stext=" 00:.+((SYSTEM_STATE.+slice.+state.+changed )|(ment ac)|(multiple cpu faults)|(system.+state.+changed )|(\[timeout)|(PRM\|1\|D)|(kpr)|(kdp)|(\|lc)|(penalty))" /e /r /s</v>
      </c>
      <c r="AG192" s="1" t="str">
        <f t="shared" si="66"/>
        <v>NW</v>
      </c>
      <c r="AH192" s="92" t="str">
        <f t="shared" si="67"/>
        <v>"%USERPROFILE%\Documents\GitHub\eaglep3\Utilities\RefineRTDCRunTimes.py" --tripid 831-22 --locoid 4044 --swversion DE.1.0.8.0 --startMP 204:951 --initTime 2016-12-22T16:41:33 --startdatetime 2016-12-22T16:51:21 --delay 2 --endMP 300:58935 --enddatetime 2016-12-22T17:05:40 --enforcementcount 0 &gt;&gt;C:\Users\stu\Documents\GitHub\eaglep3-reporting\EC\2016-12-22-refined-times.txt</v>
      </c>
      <c r="AI19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{"issue":{"subject":"","project_id":79,"tracker_id":40,"status_id":1,"priority_id":2,"assigned_to_id":23,"start_date":"2016-12-22","description":"","custom_fields":[{"id":1,"name":"Subdivision","value":"NW"},{"id":4,"name":"Milepost","value":"5.8935"},{"id":17,"name":"Train ID","value":"831-22"},{"id":16,"name":"Locomotive ID","value":"4044"},{"id":130,"name":"Impact","value":""},{"id":150,"name":"Time of Event (Mountain Time)","value":"17:05:40"},{"id":151,"name":"Denver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471</v>
      </c>
      <c r="B193" s="7">
        <v>4043</v>
      </c>
      <c r="C193" s="22" t="s">
        <v>205</v>
      </c>
      <c r="D193" s="22" t="s">
        <v>819</v>
      </c>
      <c r="E193" s="13">
        <v>42726.713263888887</v>
      </c>
      <c r="F193" s="13">
        <v>42726.71465277778</v>
      </c>
      <c r="G193" s="7">
        <v>1</v>
      </c>
      <c r="H193" s="22" t="s">
        <v>820</v>
      </c>
      <c r="I193" s="13">
        <v>42726.727071759262</v>
      </c>
      <c r="J193" s="7">
        <v>0</v>
      </c>
      <c r="K193" s="109" t="str">
        <f t="shared" si="52"/>
        <v>4043/4044</v>
      </c>
      <c r="L193" s="22" t="str">
        <f>VLOOKUP(A193,'Trips&amp;Operators'!$C$1:$G$99999,5,FALSE)</f>
        <v>YANG JAN</v>
      </c>
      <c r="M193" s="6">
        <f t="shared" si="53"/>
        <v>1.2418981481459923E-2</v>
      </c>
      <c r="N193" s="7">
        <f t="shared" si="54"/>
        <v>17.883333333302289</v>
      </c>
      <c r="O193" s="7"/>
      <c r="P193" s="7"/>
      <c r="Q193" s="23"/>
      <c r="R193" s="23"/>
      <c r="S193" s="35">
        <f t="shared" si="55"/>
        <v>1</v>
      </c>
      <c r="T193" s="50" t="str">
        <f t="shared" si="56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16:07:06-700',mode:absolute,to:'2016-12-22 18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3" s="52" t="str">
        <f t="shared" si="58"/>
        <v>N</v>
      </c>
      <c r="X193" s="177">
        <f t="shared" si="59"/>
        <v>1</v>
      </c>
      <c r="Y193" s="67">
        <f t="shared" si="60"/>
        <v>5.8628</v>
      </c>
      <c r="Z193" s="67">
        <f t="shared" si="61"/>
        <v>6.54E-2</v>
      </c>
      <c r="AA193" s="67">
        <f t="shared" si="62"/>
        <v>5.7973999999999997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63"/>
        <v>0832-22</v>
      </c>
      <c r="AE193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93" s="88" t="str">
        <f t="shared" si="65"/>
        <v>"C:\Program Files (x86)\AstroGrep\AstroGrep.exe" /spath="%USERPROFILE%\AppData\Local\Temp\OnboardLogs" /stypes="app*4043*20161223*" /stext=" 00:.+((SYSTEM_STATE.+slice.+state.+changed )|(ment ac)|(multiple cpu faults)|(system.+state.+changed )|(\[timeout)|(PRM\|1\|D)|(kpr)|(kdp)|(\|lc)|(penalty))" /e /r /s</v>
      </c>
      <c r="AG193" s="1" t="str">
        <f t="shared" si="66"/>
        <v>NW</v>
      </c>
      <c r="AH193" s="92" t="str">
        <f t="shared" si="67"/>
        <v>"%USERPROFILE%\Documents\GitHub\eaglep3\Utilities\RefineRTDCRunTimes.py" --tripid 832-22 --locoid 4043 --swversion DE.1.0.8.0 --startMP 300:58628 --initTime 2016-12-22T17:07:06 --startdatetime 2016-12-22T17:09:06 --delay 1 --endMP 204:654 --enddatetime 2016-12-22T17:26:59 --enforcementcount 0 &gt;&gt;C:\Users\stu\Documents\GitHub\eaglep3-reporting\EC\2016-12-22-refined-times.txt</v>
      </c>
      <c r="AI19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{"issue":{"subject":"","project_id":79,"tracker_id":40,"status_id":1,"priority_id":2,"assigned_to_id":23,"start_date":"2016-12-22","description":"","custom_fields":[{"id":1,"name":"Subdivision","value":"NW"},{"id":4,"name":"Milepost","value":"0.0654"},{"id":17,"name":"Train ID","value":"832-22"},{"id":16,"name":"Locomotive ID","value":"4043"},{"id":130,"name":"Impact","value":""},{"id":150,"name":"Time of Event (Mountain Time)","value":"17:26:59"},{"id":151,"name":"Denver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x14ac:dyDescent="0.25">
      <c r="A194" s="37" t="s">
        <v>617</v>
      </c>
      <c r="B194" s="7">
        <v>4040</v>
      </c>
      <c r="C194" s="22" t="s">
        <v>205</v>
      </c>
      <c r="D194" s="22" t="s">
        <v>282</v>
      </c>
      <c r="E194" s="13">
        <v>42726.717835648145</v>
      </c>
      <c r="F194" s="13">
        <v>42726.723333333335</v>
      </c>
      <c r="G194" s="7">
        <v>1</v>
      </c>
      <c r="H194" s="22" t="s">
        <v>821</v>
      </c>
      <c r="I194" s="13">
        <v>42726.733935185184</v>
      </c>
      <c r="J194" s="7">
        <v>0</v>
      </c>
      <c r="K194" s="109" t="str">
        <f t="shared" si="52"/>
        <v>4039/4040</v>
      </c>
      <c r="L194" s="22" t="str">
        <f>VLOOKUP(A194,'Trips&amp;Operators'!$C$1:$G$99999,5,FALSE)</f>
        <v>COMELLA JUSTIN</v>
      </c>
      <c r="M194" s="6">
        <f t="shared" si="53"/>
        <v>1.060185184906004E-2</v>
      </c>
      <c r="N194" s="7">
        <f t="shared" si="54"/>
        <v>15.266666662646458</v>
      </c>
      <c r="O194" s="7"/>
      <c r="P194" s="7"/>
      <c r="Q194" s="23"/>
      <c r="R194" s="23"/>
      <c r="S194" s="35">
        <f t="shared" si="55"/>
        <v>1</v>
      </c>
      <c r="T194" s="50" t="str">
        <f t="shared" si="56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16:13:41-700',mode:absolute,to:'2016-12-22 18:36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4" s="52" t="str">
        <f t="shared" si="58"/>
        <v>N</v>
      </c>
      <c r="X194" s="177">
        <f t="shared" si="59"/>
        <v>1</v>
      </c>
      <c r="Y194" s="67">
        <f t="shared" si="60"/>
        <v>9.69E-2</v>
      </c>
      <c r="Z194" s="67">
        <f t="shared" si="61"/>
        <v>5.8940999999999999</v>
      </c>
      <c r="AA194" s="67">
        <f t="shared" si="62"/>
        <v>5.7972000000000001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63"/>
        <v>0833-22</v>
      </c>
      <c r="AE19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4" s="88" t="str">
        <f t="shared" si="65"/>
        <v>"C:\Program Files (x86)\AstroGrep\AstroGrep.exe" /spath="%USERPROFILE%\AppData\Local\Temp\OnboardLogs" /stypes="app*4040*20161223*" /stext=" 00:.+((SYSTEM_STATE.+slice.+state.+changed )|(ment ac)|(multiple cpu faults)|(system.+state.+changed )|(\[timeout)|(PRM\|1\|D)|(kpr)|(kdp)|(\|lc)|(penalty))" /e /r /s</v>
      </c>
      <c r="AG194" s="1" t="str">
        <f t="shared" si="66"/>
        <v>NW</v>
      </c>
      <c r="AH194" s="92" t="str">
        <f t="shared" si="67"/>
        <v>"%USERPROFILE%\Documents\GitHub\eaglep3\Utilities\RefineRTDCRunTimes.py" --tripid 833-22 --locoid 4040 --swversion DE.1.0.8.0 --startMP 204:969 --initTime 2016-12-22T17:13:41 --startdatetime 2016-12-22T17:21:36 --delay 1 --endMP 300:58941 --enddatetime 2016-12-22T17:36:52 --enforcementcount 0 &gt;&gt;C:\Users\stu\Documents\GitHub\eaglep3-reporting\EC\2016-12-22-refined-times.txt</v>
      </c>
      <c r="AI19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{"issue":{"subject":"","project_id":79,"tracker_id":40,"status_id":1,"priority_id":2,"assigned_to_id":23,"start_date":"2016-12-22","description":"","custom_fields":[{"id":1,"name":"Subdivision","value":"NW"},{"id":4,"name":"Milepost","value":"5.8941"},{"id":17,"name":"Train ID","value":"833-22"},{"id":16,"name":"Locomotive ID","value":"4040"},{"id":130,"name":"Impact","value":""},{"id":150,"name":"Time of Event (Mountain Time)","value":"17:36:52"},{"id":151,"name":"Denver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91" x14ac:dyDescent="0.25">
      <c r="A195" s="37" t="s">
        <v>620</v>
      </c>
      <c r="B195" s="7">
        <v>4039</v>
      </c>
      <c r="C195" s="22" t="s">
        <v>205</v>
      </c>
      <c r="D195" s="22" t="s">
        <v>819</v>
      </c>
      <c r="E195" s="13">
        <v>42726.735127314816</v>
      </c>
      <c r="F195" s="13">
        <v>42726.736562500002</v>
      </c>
      <c r="G195" s="7">
        <v>1</v>
      </c>
      <c r="H195" s="22" t="s">
        <v>822</v>
      </c>
      <c r="I195" s="13">
        <v>42726.747627314813</v>
      </c>
      <c r="J195" s="7">
        <v>0</v>
      </c>
      <c r="K195" s="109" t="str">
        <f t="shared" si="52"/>
        <v>4039/4040</v>
      </c>
      <c r="L195" s="22" t="str">
        <f>VLOOKUP(A195,'Trips&amp;Operators'!$C$1:$G$99999,5,FALSE)</f>
        <v>COMELLA JUSTIN</v>
      </c>
      <c r="M195" s="6">
        <f t="shared" si="53"/>
        <v>1.1064814811106771E-2</v>
      </c>
      <c r="N195" s="7">
        <f t="shared" si="54"/>
        <v>15.933333327993751</v>
      </c>
      <c r="O195" s="7"/>
      <c r="P195" s="7"/>
      <c r="Q195" s="23"/>
      <c r="R195" s="23"/>
      <c r="S195" s="35">
        <f t="shared" si="55"/>
        <v>1</v>
      </c>
      <c r="T195" s="50" t="str">
        <f t="shared" si="56"/>
        <v>Southbound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16:38:35-700',mode:absolute,to:'2016-12-22 18:56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5" s="52" t="str">
        <f t="shared" si="58"/>
        <v>N</v>
      </c>
      <c r="X195" s="177">
        <f t="shared" si="59"/>
        <v>1</v>
      </c>
      <c r="Y195" s="67">
        <f t="shared" si="60"/>
        <v>5.8628</v>
      </c>
      <c r="Z195" s="67">
        <f t="shared" si="61"/>
        <v>6.8500000000000005E-2</v>
      </c>
      <c r="AA195" s="67">
        <f t="shared" si="62"/>
        <v>5.7942999999999998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63"/>
        <v>0834-22</v>
      </c>
      <c r="AE19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5" s="88" t="str">
        <f t="shared" si="65"/>
        <v>"C:\Program Files (x86)\AstroGrep\AstroGrep.exe" /spath="%USERPROFILE%\AppData\Local\Temp\OnboardLogs" /stypes="app*4039*20161223*" /stext=" 00:.+((SYSTEM_STATE.+slice.+state.+changed )|(ment ac)|(multiple cpu faults)|(system.+state.+changed )|(\[timeout)|(PRM\|1\|D)|(kpr)|(kdp)|(\|lc)|(penalty))" /e /r /s</v>
      </c>
      <c r="AG195" s="1" t="str">
        <f t="shared" si="66"/>
        <v>NW</v>
      </c>
      <c r="AH195" s="92" t="str">
        <f t="shared" si="67"/>
        <v>"%USERPROFILE%\Documents\GitHub\eaglep3\Utilities\RefineRTDCRunTimes.py" --tripid 834-22 --locoid 4039 --swversion DE.1.0.8.0 --startMP 300:58628 --initTime 2016-12-22T17:38:35 --startdatetime 2016-12-22T17:40:39 --delay 1 --endMP 204:685 --enddatetime 2016-12-22T17:56:35 --enforcementcount 0 &gt;&gt;C:\Users\stu\Documents\GitHub\eaglep3-reporting\EC\2016-12-22-refined-times.txt</v>
      </c>
      <c r="AI19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{"issue":{"subject":"","project_id":79,"tracker_id":40,"status_id":1,"priority_id":2,"assigned_to_id":23,"start_date":"2016-12-22","description":"","custom_fields":[{"id":1,"name":"Subdivision","value":"NW"},{"id":4,"name":"Milepost","value":"0.0685"},{"id":17,"name":"Train ID","value":"834-22"},{"id":16,"name":"Locomotive ID","value":"4039"},{"id":130,"name":"Impact","value":""},{"id":150,"name":"Time of Event (Mountain Time)","value":"17:56:35"},{"id":151,"name":"Denver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622</v>
      </c>
      <c r="B196" s="7">
        <v>4044</v>
      </c>
      <c r="C196" s="22" t="s">
        <v>205</v>
      </c>
      <c r="D196" s="22" t="s">
        <v>823</v>
      </c>
      <c r="E196" s="13">
        <v>42726.737939814811</v>
      </c>
      <c r="F196" s="13">
        <v>42726.744143518517</v>
      </c>
      <c r="G196" s="7">
        <v>1</v>
      </c>
      <c r="H196" s="22" t="s">
        <v>283</v>
      </c>
      <c r="I196" s="13">
        <v>42726.754849537036</v>
      </c>
      <c r="J196" s="7">
        <v>0</v>
      </c>
      <c r="K196" s="109" t="str">
        <f t="shared" si="52"/>
        <v>4043/4044</v>
      </c>
      <c r="L196" s="22" t="str">
        <f>VLOOKUP(A196,'Trips&amp;Operators'!$C$1:$G$99999,5,FALSE)</f>
        <v>YANG JAN</v>
      </c>
      <c r="M196" s="6">
        <f t="shared" si="53"/>
        <v>1.0706018518249039E-2</v>
      </c>
      <c r="N196" s="7">
        <f t="shared" si="54"/>
        <v>15.416666666278616</v>
      </c>
      <c r="O196" s="7"/>
      <c r="P196" s="7"/>
      <c r="Q196" s="23"/>
      <c r="R196" s="23"/>
      <c r="S196" s="35">
        <f t="shared" si="55"/>
        <v>1</v>
      </c>
      <c r="T196" s="50" t="str">
        <f t="shared" si="56"/>
        <v>NorthBound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16:42:38-700',mode:absolute,to:'2016-12-22 19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6" s="52" t="str">
        <f t="shared" si="58"/>
        <v>N</v>
      </c>
      <c r="X196" s="177">
        <f t="shared" si="59"/>
        <v>1</v>
      </c>
      <c r="Y196" s="67">
        <f t="shared" si="60"/>
        <v>9.4799999999999995E-2</v>
      </c>
      <c r="Z196" s="67">
        <f t="shared" si="61"/>
        <v>5.8939000000000004</v>
      </c>
      <c r="AA196" s="67">
        <f t="shared" si="62"/>
        <v>5.7991000000000001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63"/>
        <v>0835-22</v>
      </c>
      <c r="AE196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196" s="88" t="str">
        <f t="shared" si="65"/>
        <v>"C:\Program Files (x86)\AstroGrep\AstroGrep.exe" /spath="%USERPROFILE%\AppData\Local\Temp\OnboardLogs" /stypes="app*4044*20161223*" /stext=" 01:.+((SYSTEM_STATE.+slice.+state.+changed )|(ment ac)|(multiple cpu faults)|(system.+state.+changed )|(\[timeout)|(PRM\|1\|D)|(kpr)|(kdp)|(\|lc)|(penalty))" /e /r /s</v>
      </c>
      <c r="AG196" s="1" t="str">
        <f t="shared" si="66"/>
        <v>NW</v>
      </c>
      <c r="AH196" s="92" t="str">
        <f t="shared" si="67"/>
        <v>"%USERPROFILE%\Documents\GitHub\eaglep3\Utilities\RefineRTDCRunTimes.py" --tripid 835-22 --locoid 4044 --swversion DE.1.0.8.0 --startMP 204:948 --initTime 2016-12-22T17:42:38 --startdatetime 2016-12-22T17:51:34 --delay 1 --endMP 300:58939 --enddatetime 2016-12-22T18:06:59 --enforcementcount 0 &gt;&gt;C:\Users\stu\Documents\GitHub\eaglep3-reporting\EC\2016-12-22-refined-times.txt</v>
      </c>
      <c r="AI19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{"issue":{"subject":"","project_id":79,"tracker_id":40,"status_id":1,"priority_id":2,"assigned_to_id":23,"start_date":"2016-12-22","description":"","custom_fields":[{"id":1,"name":"Subdivision","value":"NW"},{"id":4,"name":"Milepost","value":"5.8939"},{"id":17,"name":"Train ID","value":"835-22"},{"id":16,"name":"Locomotive ID","value":"4044"},{"id":130,"name":"Impact","value":""},{"id":150,"name":"Time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627</v>
      </c>
      <c r="B197" s="7">
        <v>4043</v>
      </c>
      <c r="C197" s="22" t="s">
        <v>205</v>
      </c>
      <c r="D197" s="22" t="s">
        <v>360</v>
      </c>
      <c r="E197" s="13">
        <v>42726.755960648145</v>
      </c>
      <c r="F197" s="13">
        <v>42726.757118055553</v>
      </c>
      <c r="G197" s="7">
        <v>1</v>
      </c>
      <c r="H197" s="22" t="s">
        <v>824</v>
      </c>
      <c r="I197" s="13">
        <v>42726.768923611111</v>
      </c>
      <c r="J197" s="7">
        <v>0</v>
      </c>
      <c r="K197" s="109" t="str">
        <f t="shared" si="52"/>
        <v>4043/4044</v>
      </c>
      <c r="L197" s="22" t="str">
        <f>VLOOKUP(A197,'Trips&amp;Operators'!$C$1:$G$99999,5,FALSE)</f>
        <v>YANG JAN</v>
      </c>
      <c r="M197" s="6">
        <f t="shared" si="53"/>
        <v>1.1805555557657499E-2</v>
      </c>
      <c r="N197" s="7">
        <f t="shared" si="54"/>
        <v>17.000000003026798</v>
      </c>
      <c r="O197" s="7"/>
      <c r="P197" s="7"/>
      <c r="Q197" s="23"/>
      <c r="R197" s="23"/>
      <c r="S197" s="35">
        <f t="shared" si="55"/>
        <v>1</v>
      </c>
      <c r="T197" s="50" t="str">
        <f t="shared" si="56"/>
        <v>Southbound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17:08:35-700',mode:absolute,to:'2016-12-22 19:27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7" s="52" t="str">
        <f t="shared" si="58"/>
        <v>N</v>
      </c>
      <c r="X197" s="177">
        <f t="shared" si="59"/>
        <v>1</v>
      </c>
      <c r="Y197" s="67">
        <f t="shared" si="60"/>
        <v>5.8630000000000004</v>
      </c>
      <c r="Z197" s="67">
        <f t="shared" si="61"/>
        <v>6.1499999999999999E-2</v>
      </c>
      <c r="AA197" s="67">
        <f t="shared" si="62"/>
        <v>5.8015000000000008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63"/>
        <v>0836-22</v>
      </c>
      <c r="AE197" s="91" t="str">
        <f t="shared" si="64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197" s="88" t="str">
        <f t="shared" si="65"/>
        <v>"C:\Program Files (x86)\AstroGrep\AstroGrep.exe" /spath="%USERPROFILE%\AppData\Local\Temp\OnboardLogs" /stypes="app*4043*20161223*" /stext=" 01:.+((SYSTEM_STATE.+slice.+state.+changed )|(ment ac)|(multiple cpu faults)|(system.+state.+changed )|(\[timeout)|(PRM\|1\|D)|(kpr)|(kdp)|(\|lc)|(penalty))" /e /r /s</v>
      </c>
      <c r="AG197" s="1" t="str">
        <f t="shared" si="66"/>
        <v>NW</v>
      </c>
      <c r="AH197" s="92" t="str">
        <f t="shared" si="67"/>
        <v>"%USERPROFILE%\Documents\GitHub\eaglep3\Utilities\RefineRTDCRunTimes.py" --tripid 836-22 --locoid 4043 --swversion DE.1.0.8.0 --startMP 300:58630 --initTime 2016-12-22T18:08:35 --startdatetime 2016-12-22T18:10:15 --delay 1 --endMP 204:615 --enddatetime 2016-12-22T18:27:15 --enforcementcount 0 &gt;&gt;C:\Users\stu\Documents\GitHub\eaglep3-reporting\EC\2016-12-22-refined-times.txt</v>
      </c>
      <c r="AI197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{"issue":{"subject":"","project_id":79,"tracker_id":40,"status_id":1,"priority_id":2,"assigned_to_id":23,"start_date":"2016-12-22","description":"","custom_fields":[{"id":1,"name":"Subdivision","value":"NW"},{"id":4,"name":"Milepost","value":"0.0615"},{"id":17,"name":"Train ID","value":"836-22"},{"id":16,"name":"Locomotive ID","value":"4043"},{"id":130,"name":"Impact","value":""},{"id":150,"name":"Time of Event (Mountain Time)","value":"18:27:15"},{"id":151,"name":"Denver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s="21" customFormat="1" x14ac:dyDescent="0.25">
      <c r="A198" s="37" t="s">
        <v>631</v>
      </c>
      <c r="B198" s="7">
        <v>4040</v>
      </c>
      <c r="C198" s="22" t="s">
        <v>205</v>
      </c>
      <c r="D198" s="22" t="s">
        <v>825</v>
      </c>
      <c r="E198" s="13">
        <v>42726.760833333334</v>
      </c>
      <c r="F198" s="13">
        <v>42726.764768518522</v>
      </c>
      <c r="G198" s="7">
        <v>3</v>
      </c>
      <c r="H198" s="22" t="s">
        <v>429</v>
      </c>
      <c r="I198" s="13">
        <v>42726.77721064815</v>
      </c>
      <c r="J198" s="7">
        <v>0</v>
      </c>
      <c r="K198" s="109" t="str">
        <f t="shared" si="52"/>
        <v>4039/4040</v>
      </c>
      <c r="L198" s="22" t="str">
        <f>VLOOKUP(A198,'Trips&amp;Operators'!$C$1:$G$99999,5,FALSE)</f>
        <v>COMELLA JUSTIN</v>
      </c>
      <c r="M198" s="6">
        <f t="shared" si="53"/>
        <v>1.244212962774327E-2</v>
      </c>
      <c r="N198" s="7">
        <f t="shared" si="54"/>
        <v>17.916666663950309</v>
      </c>
      <c r="O198" s="7"/>
      <c r="P198" s="7"/>
      <c r="Q198" s="23"/>
      <c r="R198" s="23"/>
      <c r="S198" s="35">
        <f t="shared" si="55"/>
        <v>1</v>
      </c>
      <c r="T198" s="50" t="str">
        <f t="shared" si="56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17:15:36-700',mode:absolute,to:'2016-12-22 19:39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8" s="52" t="str">
        <f t="shared" si="58"/>
        <v>N</v>
      </c>
      <c r="X198" s="177">
        <f t="shared" si="59"/>
        <v>1</v>
      </c>
      <c r="Y198" s="67">
        <f t="shared" si="60"/>
        <v>9.8500000000000004E-2</v>
      </c>
      <c r="Z198" s="67">
        <f t="shared" si="61"/>
        <v>5.8949999999999996</v>
      </c>
      <c r="AA198" s="67">
        <f t="shared" si="62"/>
        <v>5.7965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63"/>
        <v>0837-22</v>
      </c>
      <c r="AE198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198" s="88" t="str">
        <f t="shared" si="65"/>
        <v>"C:\Program Files (x86)\AstroGrep\AstroGrep.exe" /spath="%USERPROFILE%\AppData\Local\Temp\OnboardLogs" /stypes="app*4040*20161223*" /stext=" 01:.+((SYSTEM_STATE.+slice.+state.+changed )|(ment ac)|(multiple cpu faults)|(system.+state.+changed )|(\[timeout)|(PRM\|1\|D)|(kpr)|(kdp)|(\|lc)|(penalty))" /e /r /s</v>
      </c>
      <c r="AG198" s="1" t="str">
        <f t="shared" si="66"/>
        <v>NW</v>
      </c>
      <c r="AH198" s="92" t="str">
        <f t="shared" si="67"/>
        <v>"%USERPROFILE%\Documents\GitHub\eaglep3\Utilities\RefineRTDCRunTimes.py" --tripid 837-22 --locoid 4040 --swversion DE.1.0.8.0 --startMP 204:985 --initTime 2016-12-22T18:15:36 --startdatetime 2016-12-22T18:21:16 --delay 3 --endMP 300:58950 --enddatetime 2016-12-22T18:39:11 --enforcementcount 0 &gt;&gt;C:\Users\stu\Documents\GitHub\eaglep3-reporting\EC\2016-12-22-refined-times.txt</v>
      </c>
      <c r="AI198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{"issue":{"subject":"","project_id":79,"tracker_id":40,"status_id":1,"priority_id":2,"assigned_to_id":23,"start_date":"2016-12-22","description":"","custom_fields":[{"id":1,"name":"Subdivision","value":"NW"},{"id":4,"name":"Milepost","value":"5.895"},{"id":17,"name":"Train ID","value":"837-22"},{"id":16,"name":"Locomotive ID","value":"4040"},{"id":130,"name":"Impact","value":""},{"id":150,"name":"Time of Event (Mountain Time)","value":"18:39:11"},{"id":151,"name":"Denver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7" t="s">
        <v>635</v>
      </c>
      <c r="B199" s="7">
        <v>4039</v>
      </c>
      <c r="C199" s="22" t="s">
        <v>205</v>
      </c>
      <c r="D199" s="22" t="s">
        <v>819</v>
      </c>
      <c r="E199" s="13">
        <v>42726.778101851851</v>
      </c>
      <c r="F199" s="13">
        <v>42726.779490740744</v>
      </c>
      <c r="G199" s="7">
        <v>1</v>
      </c>
      <c r="H199" s="22" t="s">
        <v>364</v>
      </c>
      <c r="I199" s="13">
        <v>42726.791273148148</v>
      </c>
      <c r="J199" s="7">
        <v>0</v>
      </c>
      <c r="K199" s="109" t="str">
        <f t="shared" si="52"/>
        <v>4039/4040</v>
      </c>
      <c r="L199" s="22" t="str">
        <f>VLOOKUP(A199,'Trips&amp;Operators'!$C$1:$G$99999,5,FALSE)</f>
        <v>COMELLA JUSTIN</v>
      </c>
      <c r="M199" s="6">
        <f t="shared" si="53"/>
        <v>1.1782407404098194E-2</v>
      </c>
      <c r="N199" s="7">
        <f t="shared" si="54"/>
        <v>16.966666661901399</v>
      </c>
      <c r="O199" s="7"/>
      <c r="P199" s="7"/>
      <c r="Q199" s="23"/>
      <c r="R199" s="23"/>
      <c r="S199" s="35">
        <f t="shared" si="55"/>
        <v>1</v>
      </c>
      <c r="T199" s="50" t="str">
        <f t="shared" si="56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17:40:28-700',mode:absolute,to:'2016-12-22 19:59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9" s="52" t="str">
        <f t="shared" si="58"/>
        <v>N</v>
      </c>
      <c r="X199" s="177">
        <f t="shared" si="59"/>
        <v>1</v>
      </c>
      <c r="Y199" s="67">
        <f t="shared" si="60"/>
        <v>5.8628</v>
      </c>
      <c r="Z199" s="67">
        <f t="shared" si="61"/>
        <v>6.9199999999999998E-2</v>
      </c>
      <c r="AA199" s="67">
        <f t="shared" si="62"/>
        <v>5.7935999999999996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63"/>
        <v>0838-22</v>
      </c>
      <c r="AE199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199" s="88" t="str">
        <f t="shared" si="65"/>
        <v>"C:\Program Files (x86)\AstroGrep\AstroGrep.exe" /spath="%USERPROFILE%\AppData\Local\Temp\OnboardLogs" /stypes="app*4039*20161223*" /stext=" 01:.+((SYSTEM_STATE.+slice.+state.+changed )|(ment ac)|(multiple cpu faults)|(system.+state.+changed )|(\[timeout)|(PRM\|1\|D)|(kpr)|(kdp)|(\|lc)|(penalty))" /e /r /s</v>
      </c>
      <c r="AG199" s="1" t="str">
        <f t="shared" si="66"/>
        <v>NW</v>
      </c>
      <c r="AH199" s="92" t="str">
        <f t="shared" si="67"/>
        <v>"%USERPROFILE%\Documents\GitHub\eaglep3\Utilities\RefineRTDCRunTimes.py" --tripid 838-22 --locoid 4039 --swversion DE.1.0.8.0 --startMP 300:58628 --initTime 2016-12-22T18:40:28 --startdatetime 2016-12-22T18:42:28 --delay 1 --endMP 204:692 --enddatetime 2016-12-22T18:59:26 --enforcementcount 0 &gt;&gt;C:\Users\stu\Documents\GitHub\eaglep3-reporting\EC\2016-12-22-refined-times.txt</v>
      </c>
      <c r="AI199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{"issue":{"subject":"","project_id":79,"tracker_id":40,"status_id":1,"priority_id":2,"assigned_to_id":23,"start_date":"2016-12-22","description":"","custom_fields":[{"id":1,"name":"Subdivision","value":"NW"},{"id":4,"name":"Milepost","value":"0.0692"},{"id":17,"name":"Train ID","value":"838-22"},{"id":16,"name":"Locomotive ID","value":"4039"},{"id":130,"name":"Impact","value":""},{"id":150,"name":"Time of Event (Mountain Time)","value":"18:59:26"},{"id":151,"name":"Denver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637</v>
      </c>
      <c r="B200" s="7">
        <v>4044</v>
      </c>
      <c r="C200" s="22" t="s">
        <v>205</v>
      </c>
      <c r="D200" s="22" t="s">
        <v>359</v>
      </c>
      <c r="E200" s="13">
        <v>42726.77888888889</v>
      </c>
      <c r="F200" s="13">
        <v>42726.785925925928</v>
      </c>
      <c r="G200" s="7">
        <v>1</v>
      </c>
      <c r="H200" s="22" t="s">
        <v>826</v>
      </c>
      <c r="I200" s="13">
        <v>42726.796840277777</v>
      </c>
      <c r="J200" s="7">
        <v>0</v>
      </c>
      <c r="K200" s="109" t="str">
        <f t="shared" si="52"/>
        <v>4043/4044</v>
      </c>
      <c r="L200" s="22" t="str">
        <f>VLOOKUP(A200,'Trips&amp;Operators'!$C$1:$G$99999,5,FALSE)</f>
        <v>YANG JAN</v>
      </c>
      <c r="M200" s="6">
        <f t="shared" si="53"/>
        <v>1.0914351849351078E-2</v>
      </c>
      <c r="N200" s="7">
        <f t="shared" si="54"/>
        <v>15.716666663065553</v>
      </c>
      <c r="O200" s="7"/>
      <c r="P200" s="7"/>
      <c r="Q200" s="23"/>
      <c r="R200" s="23"/>
      <c r="S200" s="35">
        <f t="shared" si="55"/>
        <v>1</v>
      </c>
      <c r="T200" s="50" t="str">
        <f t="shared" si="56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17:41:36-700',mode:absolute,to:'2016-12-22 20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2" t="str">
        <f t="shared" si="58"/>
        <v>N</v>
      </c>
      <c r="X200" s="177">
        <f t="shared" si="59"/>
        <v>1</v>
      </c>
      <c r="Y200" s="67">
        <f t="shared" si="60"/>
        <v>9.11E-2</v>
      </c>
      <c r="Z200" s="67">
        <f t="shared" si="61"/>
        <v>5.8954000000000004</v>
      </c>
      <c r="AA200" s="67">
        <f t="shared" si="62"/>
        <v>5.8043000000000005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63"/>
        <v>0839-22</v>
      </c>
      <c r="AE200" s="91" t="str">
        <f t="shared" si="64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00" s="88" t="str">
        <f t="shared" si="65"/>
        <v>"C:\Program Files (x86)\AstroGrep\AstroGrep.exe" /spath="%USERPROFILE%\AppData\Local\Temp\OnboardLogs" /stypes="app*4044*20161223*" /stext=" 02:.+((SYSTEM_STATE.+slice.+state.+changed )|(ment ac)|(multiple cpu faults)|(system.+state.+changed )|(\[timeout)|(PRM\|1\|D)|(kpr)|(kdp)|(\|lc)|(penalty))" /e /r /s</v>
      </c>
      <c r="AG200" s="1" t="str">
        <f t="shared" si="66"/>
        <v>NW</v>
      </c>
      <c r="AH200" s="92" t="str">
        <f t="shared" si="67"/>
        <v>"%USERPROFILE%\Documents\GitHub\eaglep3\Utilities\RefineRTDCRunTimes.py" --tripid 839-22 --locoid 4044 --swversion DE.1.0.8.0 --startMP 204:911 --initTime 2016-12-22T18:41:36 --startdatetime 2016-12-22T18:51:44 --delay 1 --endMP 300:58954 --enddatetime 2016-12-22T19:07:27 --enforcementcount 0 &gt;&gt;C:\Users\stu\Documents\GitHub\eaglep3-reporting\EC\2016-12-22-refined-times.txt</v>
      </c>
      <c r="AI200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{"issue":{"subject":"","project_id":79,"tracker_id":40,"status_id":1,"priority_id":2,"assigned_to_id":23,"start_date":"2016-12-22","description":"","custom_fields":[{"id":1,"name":"Subdivision","value":"NW"},{"id":4,"name":"Milepost","value":"5.8954"},{"id":17,"name":"Train ID","value":"839-22"},{"id":16,"name":"Locomotive ID","value":"4044"},{"id":130,"name":"Impact","value":""},{"id":150,"name":"Time of Event (Mountain Time)","value":"19:07:27"},{"id":151,"name":"Denver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646</v>
      </c>
      <c r="B201" s="7">
        <v>4039</v>
      </c>
      <c r="C201" s="22" t="s">
        <v>205</v>
      </c>
      <c r="D201" s="22" t="s">
        <v>425</v>
      </c>
      <c r="E201" s="13">
        <v>42726.818356481483</v>
      </c>
      <c r="F201" s="13">
        <v>42726.819606481484</v>
      </c>
      <c r="G201" s="7">
        <v>1</v>
      </c>
      <c r="H201" s="22" t="s">
        <v>430</v>
      </c>
      <c r="I201" s="13">
        <v>42726.832546296297</v>
      </c>
      <c r="J201" s="7">
        <v>0</v>
      </c>
      <c r="K201" s="109" t="str">
        <f t="shared" si="52"/>
        <v>4039/4040</v>
      </c>
      <c r="L201" s="22" t="str">
        <f>VLOOKUP(A201,'Trips&amp;Operators'!$C$1:$G$99999,5,FALSE)</f>
        <v>COMELLA JUSTIN</v>
      </c>
      <c r="M201" s="6">
        <f t="shared" si="53"/>
        <v>1.2939814812853001E-2</v>
      </c>
      <c r="N201" s="7">
        <f t="shared" si="54"/>
        <v>18.633333330508322</v>
      </c>
      <c r="O201" s="7"/>
      <c r="P201" s="7"/>
      <c r="Q201" s="23"/>
      <c r="R201" s="23"/>
      <c r="S201" s="35">
        <f t="shared" si="55"/>
        <v>1</v>
      </c>
      <c r="T201" s="50" t="str">
        <f t="shared" si="56"/>
        <v>Southbound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18:38:26-700',mode:absolute,to:'2016-12-22 20:58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1" s="52" t="str">
        <f t="shared" si="58"/>
        <v>N</v>
      </c>
      <c r="X201" s="177">
        <f t="shared" si="59"/>
        <v>1</v>
      </c>
      <c r="Y201" s="67">
        <f t="shared" si="60"/>
        <v>5.8582999999999998</v>
      </c>
      <c r="Z201" s="67">
        <f t="shared" si="61"/>
        <v>6.9900000000000004E-2</v>
      </c>
      <c r="AA201" s="67">
        <f t="shared" si="62"/>
        <v>5.7884000000000002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63"/>
        <v>0840-22</v>
      </c>
      <c r="AE201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1" s="88" t="str">
        <f t="shared" si="65"/>
        <v>"C:\Program Files (x86)\AstroGrep\AstroGrep.exe" /spath="%USERPROFILE%\AppData\Local\Temp\OnboardLogs" /stypes="app*4039*20161223*" /stext=" 02:.+((SYSTEM_STATE.+slice.+state.+changed )|(ment ac)|(multiple cpu faults)|(system.+state.+changed )|(\[timeout)|(PRM\|1\|D)|(kpr)|(kdp)|(\|lc)|(penalty))" /e /r /s</v>
      </c>
      <c r="AG201" s="1" t="str">
        <f t="shared" si="66"/>
        <v>NW</v>
      </c>
      <c r="AH201" s="92" t="str">
        <f t="shared" si="67"/>
        <v>"%USERPROFILE%\Documents\GitHub\eaglep3\Utilities\RefineRTDCRunTimes.py" --tripid 840-22 --locoid 4039 --swversion DE.1.0.8.0 --startMP 300:58583 --initTime 2016-12-22T19:38:26 --startdatetime 2016-12-22T19:40:14 --delay 1 --endMP 204:699 --enddatetime 2016-12-22T19:58:52 --enforcementcount 0 &gt;&gt;C:\Users\stu\Documents\GitHub\eaglep3-reporting\EC\2016-12-22-refined-times.txt</v>
      </c>
      <c r="AI201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{"issue":{"subject":"","project_id":79,"tracker_id":40,"status_id":1,"priority_id":2,"assigned_to_id":23,"start_date":"2016-12-22","description":"","custom_fields":[{"id":1,"name":"Subdivision","value":"NW"},{"id":4,"name":"Milepost","value":"0.0699"},{"id":17,"name":"Train ID","value":"840-22"},{"id":16,"name":"Locomotive ID","value":"4039"},{"id":130,"name":"Impact","value":""},{"id":150,"name":"Time of Event (Mountain Time)","value":"19:58:52"},{"id":151,"name":"Denver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643</v>
      </c>
      <c r="B202" s="7">
        <v>4040</v>
      </c>
      <c r="C202" s="22" t="s">
        <v>205</v>
      </c>
      <c r="D202" s="22" t="s">
        <v>316</v>
      </c>
      <c r="E202" s="13">
        <v>42726.802291666667</v>
      </c>
      <c r="F202" s="13">
        <v>42726.806574074071</v>
      </c>
      <c r="G202" s="7">
        <v>1</v>
      </c>
      <c r="H202" s="22" t="s">
        <v>298</v>
      </c>
      <c r="I202" s="13">
        <v>42726.817349537036</v>
      </c>
      <c r="J202" s="7">
        <v>0</v>
      </c>
      <c r="K202" s="109" t="str">
        <f t="shared" si="52"/>
        <v>4039/4040</v>
      </c>
      <c r="L202" s="22" t="str">
        <f>VLOOKUP(A202,'Trips&amp;Operators'!$C$1:$G$99999,5,FALSE)</f>
        <v>COMELLA JUSTIN</v>
      </c>
      <c r="M202" s="6">
        <f t="shared" si="53"/>
        <v>1.0775462964375038E-2</v>
      </c>
      <c r="N202" s="7">
        <f t="shared" si="54"/>
        <v>15.516666668700054</v>
      </c>
      <c r="O202" s="7"/>
      <c r="P202" s="7"/>
      <c r="Q202" s="23"/>
      <c r="R202" s="23"/>
      <c r="S202" s="35">
        <f t="shared" si="55"/>
        <v>1</v>
      </c>
      <c r="T202" s="50" t="str">
        <f t="shared" si="56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18:15:18-700',mode:absolute,to:'2016-12-22 20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2" s="52" t="str">
        <f t="shared" si="58"/>
        <v>N</v>
      </c>
      <c r="X202" s="177">
        <f t="shared" si="59"/>
        <v>1</v>
      </c>
      <c r="Y202" s="67">
        <f t="shared" si="60"/>
        <v>0.1018</v>
      </c>
      <c r="Z202" s="67">
        <f t="shared" si="61"/>
        <v>5.8925999999999998</v>
      </c>
      <c r="AA202" s="67">
        <f t="shared" si="62"/>
        <v>5.7907999999999999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63"/>
        <v>0841-22</v>
      </c>
      <c r="AE202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2" s="88" t="str">
        <f t="shared" si="65"/>
        <v>"C:\Program Files (x86)\AstroGrep\AstroGrep.exe" /spath="%USERPROFILE%\AppData\Local\Temp\OnboardLogs" /stypes="app*4040*20161223*" /stext=" 02:.+((SYSTEM_STATE.+slice.+state.+changed )|(ment ac)|(multiple cpu faults)|(system.+state.+changed )|(\[timeout)|(PRM\|1\|D)|(kpr)|(kdp)|(\|lc)|(penalty))" /e /r /s</v>
      </c>
      <c r="AG202" s="1" t="str">
        <f t="shared" si="66"/>
        <v>NW</v>
      </c>
      <c r="AH202" s="92" t="str">
        <f t="shared" si="67"/>
        <v>"%USERPROFILE%\Documents\GitHub\eaglep3\Utilities\RefineRTDCRunTimes.py" --tripid 841-22 --locoid 4040 --swversion DE.1.0.8.0 --startMP 204:1018 --initTime 2016-12-22T19:15:18 --startdatetime 2016-12-22T19:21:28 --delay 1 --endMP 300:58926 --enddatetime 2016-12-22T19:36:59 --enforcementcount 0 &gt;&gt;C:\Users\stu\Documents\GitHub\eaglep3-reporting\EC\2016-12-22-refined-times.txt</v>
      </c>
      <c r="AI202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{"issue":{"subject":"","project_id":79,"tracker_id":40,"status_id":1,"priority_id":2,"assigned_to_id":23,"start_date":"2016-12-22","description":"","custom_fields":[{"id":1,"name":"Subdivision","value":"NW"},{"id":4,"name":"Milepost","value":"5.8926"},{"id":17,"name":"Train ID","value":"841-22"},{"id":16,"name":"Locomotive ID","value":"4040"},{"id":130,"name":"Impact","value":""},{"id":150,"name":"Time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651</v>
      </c>
      <c r="B203" s="7">
        <v>4039</v>
      </c>
      <c r="C203" s="22" t="s">
        <v>205</v>
      </c>
      <c r="D203" s="22" t="s">
        <v>827</v>
      </c>
      <c r="E203" s="13">
        <v>42726.861064814817</v>
      </c>
      <c r="F203" s="13">
        <v>42726.862500000003</v>
      </c>
      <c r="G203" s="7">
        <v>1</v>
      </c>
      <c r="H203" s="22" t="s">
        <v>828</v>
      </c>
      <c r="I203" s="13">
        <v>42726.873182870368</v>
      </c>
      <c r="J203" s="7">
        <v>0</v>
      </c>
      <c r="K203" s="109" t="str">
        <f t="shared" si="52"/>
        <v>4039/4040</v>
      </c>
      <c r="L203" s="22" t="str">
        <f>VLOOKUP(A203,'Trips&amp;Operators'!$C$1:$G$99999,5,FALSE)</f>
        <v>COMELLA JUSTIN</v>
      </c>
      <c r="M203" s="6">
        <f t="shared" si="53"/>
        <v>1.0682870364689734E-2</v>
      </c>
      <c r="N203" s="7">
        <f t="shared" si="54"/>
        <v>15.383333325153217</v>
      </c>
      <c r="O203" s="7"/>
      <c r="P203" s="7"/>
      <c r="Q203" s="23"/>
      <c r="R203" s="23"/>
      <c r="S203" s="35">
        <f t="shared" si="55"/>
        <v>1</v>
      </c>
      <c r="T203" s="50" t="str">
        <f t="shared" si="56"/>
        <v>Southbound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19:39:56-700',mode:absolute,to:'2016-12-22 21:57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3" s="52" t="str">
        <f t="shared" si="58"/>
        <v>N</v>
      </c>
      <c r="X203" s="177">
        <f t="shared" si="59"/>
        <v>1</v>
      </c>
      <c r="Y203" s="67">
        <f t="shared" si="60"/>
        <v>5.8638000000000003</v>
      </c>
      <c r="Z203" s="67">
        <f t="shared" si="61"/>
        <v>6.9099999999999995E-2</v>
      </c>
      <c r="AA203" s="67">
        <f t="shared" si="62"/>
        <v>5.7947000000000006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63"/>
        <v>0842-22</v>
      </c>
      <c r="AE203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3" s="88" t="str">
        <f t="shared" si="65"/>
        <v>"C:\Program Files (x86)\AstroGrep\AstroGrep.exe" /spath="%USERPROFILE%\AppData\Local\Temp\OnboardLogs" /stypes="app*4039*20161223*" /stext=" 03:.+((SYSTEM_STATE.+slice.+state.+changed )|(ment ac)|(multiple cpu faults)|(system.+state.+changed )|(\[timeout)|(PRM\|1\|D)|(kpr)|(kdp)|(\|lc)|(penalty))" /e /r /s</v>
      </c>
      <c r="AG203" s="1" t="str">
        <f t="shared" si="66"/>
        <v>NW</v>
      </c>
      <c r="AH203" s="92" t="str">
        <f t="shared" si="67"/>
        <v>"%USERPROFILE%\Documents\GitHub\eaglep3\Utilities\RefineRTDCRunTimes.py" --tripid 842-22 --locoid 4039 --swversion DE.1.0.8.0 --startMP 300:58638 --initTime 2016-12-22T20:39:56 --startdatetime 2016-12-22T20:42:00 --delay 1 --endMP 204:691 --enddatetime 2016-12-22T20:57:23 --enforcementcount 0 &gt;&gt;C:\Users\stu\Documents\GitHub\eaglep3-reporting\EC\2016-12-22-refined-times.txt</v>
      </c>
      <c r="AI203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{"issue":{"subject":"","project_id":79,"tracker_id":40,"status_id":1,"priority_id":2,"assigned_to_id":23,"start_date":"2016-12-22","description":"","custom_fields":[{"id":1,"name":"Subdivision","value":"NW"},{"id":4,"name":"Milepost","value":"0.0691"},{"id":17,"name":"Train ID","value":"842-22"},{"id":16,"name":"Locomotive ID","value":"4039"},{"id":130,"name":"Impact","value":""},{"id":150,"name":"Time of Event (Mountain Time)","value":"20:57:23"},{"id":151,"name":"Denver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x14ac:dyDescent="0.25">
      <c r="A204" s="37" t="s">
        <v>650</v>
      </c>
      <c r="B204" s="7">
        <v>4040</v>
      </c>
      <c r="C204" s="22" t="s">
        <v>205</v>
      </c>
      <c r="D204" s="22" t="s">
        <v>825</v>
      </c>
      <c r="E204" s="13">
        <v>42726.840150462966</v>
      </c>
      <c r="F204" s="13">
        <v>42726.848101851851</v>
      </c>
      <c r="G204" s="7">
        <v>2</v>
      </c>
      <c r="H204" s="22" t="s">
        <v>826</v>
      </c>
      <c r="I204" s="13">
        <v>42726.859606481485</v>
      </c>
      <c r="J204" s="7">
        <v>0</v>
      </c>
      <c r="K204" s="109" t="str">
        <f t="shared" si="52"/>
        <v>4039/4040</v>
      </c>
      <c r="L204" s="22" t="str">
        <f>VLOOKUP(A204,'Trips&amp;Operators'!$C$1:$G$99999,5,FALSE)</f>
        <v>COMELLA JUSTIN</v>
      </c>
      <c r="M204" s="6">
        <f t="shared" si="53"/>
        <v>1.1504629634146113E-2</v>
      </c>
      <c r="N204" s="7">
        <f t="shared" si="54"/>
        <v>16.566666673170403</v>
      </c>
      <c r="O204" s="7"/>
      <c r="P204" s="7"/>
      <c r="Q204" s="23"/>
      <c r="R204" s="23"/>
      <c r="S204" s="35">
        <f t="shared" si="55"/>
        <v>1</v>
      </c>
      <c r="T204" s="50" t="str">
        <f t="shared" si="56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19:09:49-700',mode:absolute,to:'2016-12-22 21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58"/>
        <v>N</v>
      </c>
      <c r="X204" s="177">
        <f t="shared" si="59"/>
        <v>1</v>
      </c>
      <c r="Y204" s="67">
        <f t="shared" si="60"/>
        <v>9.8500000000000004E-2</v>
      </c>
      <c r="Z204" s="67">
        <f t="shared" si="61"/>
        <v>5.8954000000000004</v>
      </c>
      <c r="AA204" s="67">
        <f t="shared" si="62"/>
        <v>5.7969000000000008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si="63"/>
        <v>0843-22</v>
      </c>
      <c r="AE204" s="91" t="str">
        <f t="shared" si="64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4" s="88" t="str">
        <f t="shared" si="65"/>
        <v>"C:\Program Files (x86)\AstroGrep\AstroGrep.exe" /spath="%USERPROFILE%\AppData\Local\Temp\OnboardLogs" /stypes="app*4040*20161223*" /stext=" 03:.+((SYSTEM_STATE.+slice.+state.+changed )|(ment ac)|(multiple cpu faults)|(system.+state.+changed )|(\[timeout)|(PRM\|1\|D)|(kpr)|(kdp)|(\|lc)|(penalty))" /e /r /s</v>
      </c>
      <c r="AG204" s="1" t="str">
        <f t="shared" si="66"/>
        <v>NW</v>
      </c>
      <c r="AH204" s="92" t="str">
        <f t="shared" si="67"/>
        <v>"%USERPROFILE%\Documents\GitHub\eaglep3\Utilities\RefineRTDCRunTimes.py" --tripid 843-22 --locoid 4040 --swversion DE.1.0.8.0 --startMP 204:985 --initTime 2016-12-22T20:09:49 --startdatetime 2016-12-22T20:21:16 --delay 2 --endMP 300:58954 --enddatetime 2016-12-22T20:37:50 --enforcementcount 0 &gt;&gt;C:\Users\stu\Documents\GitHub\eaglep3-reporting\EC\2016-12-22-refined-times.txt</v>
      </c>
      <c r="AI204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{"issue":{"subject":"","project_id":79,"tracker_id":40,"status_id":1,"priority_id":2,"assigned_to_id":23,"start_date":"2016-12-22","description":"","custom_fields":[{"id":1,"name":"Subdivision","value":"NW"},{"id":4,"name":"Milepost","value":"5.8954"},{"id":17,"name":"Train ID","value":"843-22"},{"id":16,"name":"Locomotive ID","value":"4040"},{"id":130,"name":"Impact","value":""},{"id":150,"name":"Time of Event (Mountain Time)","value":"20:37:50"},{"id":151,"name":"Denver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91" x14ac:dyDescent="0.25">
      <c r="A205" s="37" t="s">
        <v>656</v>
      </c>
      <c r="B205" s="7">
        <v>4039</v>
      </c>
      <c r="C205" s="22" t="s">
        <v>205</v>
      </c>
      <c r="D205" s="22" t="s">
        <v>432</v>
      </c>
      <c r="E205" s="13">
        <v>42726.900659722225</v>
      </c>
      <c r="F205" s="13">
        <v>42726.902268518519</v>
      </c>
      <c r="G205" s="7">
        <v>1</v>
      </c>
      <c r="H205" s="22" t="s">
        <v>829</v>
      </c>
      <c r="I205" s="13">
        <v>42726.9140625</v>
      </c>
      <c r="J205" s="7">
        <v>0</v>
      </c>
      <c r="K205" s="109" t="str">
        <f t="shared" si="52"/>
        <v>4039/4040</v>
      </c>
      <c r="L205" s="22" t="str">
        <f>VLOOKUP(A205,'Trips&amp;Operators'!$C$1:$G$99999,5,FALSE)</f>
        <v>YANG JAN</v>
      </c>
      <c r="M205" s="6">
        <f t="shared" si="53"/>
        <v>1.1793981480877846E-2</v>
      </c>
      <c r="N205" s="7">
        <f t="shared" si="54"/>
        <v>16.983333332464099</v>
      </c>
      <c r="O205" s="7"/>
      <c r="P205" s="7"/>
      <c r="Q205" s="23"/>
      <c r="R205" s="23"/>
      <c r="S205" s="35">
        <f t="shared" si="55"/>
        <v>1</v>
      </c>
      <c r="T205" s="50" t="str">
        <f t="shared" si="56"/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si="57"/>
        <v>https://search-rtdc-monitor-bjffxe2xuh6vdkpspy63sjmuny.us-east-1.es.amazonaws.com/_plugin/kibana/#/discover/Steve-Slow-Train-Analysis-(2080s-and-2083s)?_g=(refreshInterval:(display:Off,section:0,value:0),time:(from:'2016-12-22 20:36:57-700',mode:absolute,to:'2016-12-22 22:56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5" s="52" t="str">
        <f t="shared" si="58"/>
        <v>N</v>
      </c>
      <c r="X205" s="177">
        <f t="shared" si="59"/>
        <v>1</v>
      </c>
      <c r="Y205" s="67">
        <f t="shared" si="60"/>
        <v>5.8624000000000001</v>
      </c>
      <c r="Z205" s="67">
        <f t="shared" si="61"/>
        <v>6.1899999999999997E-2</v>
      </c>
      <c r="AA205" s="67">
        <f t="shared" si="62"/>
        <v>5.8005000000000004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3"/>
        <v>0844-22</v>
      </c>
      <c r="AE205" s="91" t="str">
        <f t="shared" si="64"/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AF205" s="88" t="str">
        <f t="shared" si="65"/>
        <v>"C:\Program Files (x86)\AstroGrep\AstroGrep.exe" /spath="%USERPROFILE%\AppData\Local\Temp\OnboardLogs" /stypes="app*4039*20161223*" /stext=" 04:.+((SYSTEM_STATE.+slice.+state.+changed )|(ment ac)|(multiple cpu faults)|(system.+state.+changed )|(\[timeout)|(PRM\|1\|D)|(kpr)|(kdp)|(\|lc)|(penalty))" /e /r /s</v>
      </c>
      <c r="AG205" s="1" t="str">
        <f t="shared" si="66"/>
        <v>NW</v>
      </c>
      <c r="AH205" s="92" t="str">
        <f t="shared" si="67"/>
        <v>"%USERPROFILE%\Documents\GitHub\eaglep3\Utilities\RefineRTDCRunTimes.py" --tripid 844-22 --locoid 4039 --swversion DE.1.0.8.0 --startMP 300:58624 --initTime 2016-12-22T21:36:57 --startdatetime 2016-12-22T21:39:16 --delay 1 --endMP 204:619 --enddatetime 2016-12-22T21:56:15 --enforcementcount 0 &gt;&gt;C:\Users\stu\Documents\GitHub\eaglep3-reporting\EC\2016-12-22-refined-times.txt</v>
      </c>
      <c r="AI205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{"issue":{"subject":"","project_id":79,"tracker_id":40,"status_id":1,"priority_id":2,"assigned_to_id":23,"start_date":"2016-12-22","description":"","custom_fields":[{"id":1,"name":"Subdivision","value":"NW"},{"id":4,"name":"Milepost","value":"0.0619"},{"id":17,"name":"Train ID","value":"844-22"},{"id":16,"name":"Locomotive ID","value":"4039"},{"id":130,"name":"Impact","value":""},{"id":150,"name":"Time of Event (Mountain Time)","value":"21:56:15"},{"id":151,"name":"Denver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653</v>
      </c>
      <c r="B206" s="7">
        <v>4040</v>
      </c>
      <c r="C206" s="22" t="s">
        <v>205</v>
      </c>
      <c r="D206" s="22" t="s">
        <v>438</v>
      </c>
      <c r="E206" s="13">
        <v>42726.877210648148</v>
      </c>
      <c r="F206" s="13">
        <v>42726.889768518522</v>
      </c>
      <c r="G206" s="7">
        <v>3</v>
      </c>
      <c r="H206" s="22" t="s">
        <v>817</v>
      </c>
      <c r="I206" s="13">
        <v>42726.899583333332</v>
      </c>
      <c r="J206" s="7">
        <v>0</v>
      </c>
      <c r="K206" s="109" t="str">
        <f t="shared" ref="K206:K241" si="69">IF(ISEVEN(B206),(B206-1)&amp;"/"&amp;B206,B206&amp;"/"&amp;(B206+1))</f>
        <v>4039/4040</v>
      </c>
      <c r="L206" s="22" t="str">
        <f>VLOOKUP(A206,'Trips&amp;Operators'!$C$1:$G$99999,5,FALSE)</f>
        <v>YANG JAN</v>
      </c>
      <c r="M206" s="6">
        <f t="shared" ref="M206:M241" si="70">I206-F206</f>
        <v>9.814814809942618E-3</v>
      </c>
      <c r="N206" s="7">
        <f t="shared" ref="N206:N241" si="71">24*60*SUM($M206:$M206)</f>
        <v>14.13333332631737</v>
      </c>
      <c r="O206" s="7"/>
      <c r="P206" s="7"/>
      <c r="Q206" s="23"/>
      <c r="R206" s="23"/>
      <c r="S206" s="35">
        <f t="shared" ref="S206:S241" si="72">SUM(U206:U206)/IF(AG206="EC",12,1)</f>
        <v>1</v>
      </c>
      <c r="T206" s="50" t="str">
        <f t="shared" ref="T206:T241" si="73">IF(ISEVEN(LEFT(AD206,4)),"Southbound","NorthBound")</f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ref="V206:V241" si="74">"https://search-rtdc-monitor-bjffxe2xuh6vdkpspy63sjmuny.us-east-1.es.amazonaws.com/_plugin/kibana/#/discover/Steve-Slow-Train-Analysis-(2080s-and-2083s)?_g=(refreshInterval:(display:Off,section:0,value:0),time:(from:'"&amp;TEXT(E206-1/24,"yyyy-MM-DD hh:mm:ss")&amp;utc_offset&amp;"00',mode:absolute,to:'"&amp;TEXT(I206+1/24,"yyyy-MM-DD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https://search-rtdc-monitor-bjffxe2xuh6vdkpspy63sjmuny.us-east-1.es.amazonaws.com/_plugin/kibana/#/discover/Steve-Slow-Train-Analysis-(2080s-and-2083s)?_g=(refreshInterval:(display:Off,section:0,value:0),time:(from:'2016-12-22 20:03:11-700',mode:absolute,to:'2016-12-22 22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6" s="52" t="str">
        <f t="shared" ref="W206:W241" si="75">IF(AA206&lt;IF(AG206="EC",23,5.65),"Y","N")</f>
        <v>N</v>
      </c>
      <c r="X206" s="177">
        <f t="shared" ref="X206:X241" si="76">VALUE(LEFT(AD206,4))-VALUE(LEFT(AD205,4))</f>
        <v>1</v>
      </c>
      <c r="Y206" s="67">
        <f t="shared" ref="Y206:Y241" si="77">RIGHT(D206,LEN(D206)-4)/10000</f>
        <v>9.7799999999999998E-2</v>
      </c>
      <c r="Z206" s="67">
        <f t="shared" ref="Z206:Z241" si="78">RIGHT(H206,LEN(H206)-4)/10000</f>
        <v>5.8948</v>
      </c>
      <c r="AA206" s="67">
        <f t="shared" ref="AA206:AA241" si="79">ABS(Z206-Y206)</f>
        <v>5.7969999999999997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ref="AD206:AD241" si="80">IF(LEN(A206)=6,"0"&amp;A206,A206)</f>
        <v>0845-22</v>
      </c>
      <c r="AE206" s="91" t="str">
        <f t="shared" ref="AE206:AE241" si="81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6" s="88" t="str">
        <f t="shared" ref="AF206:AF241" si="82"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/stypes="app*4040*20161223*" /stext=" 04:.+((SYSTEM_STATE.+slice.+state.+changed )|(ment ac)|(multiple cpu faults)|(system.+state.+changed )|(\[timeout)|(PRM\|1\|D)|(kpr)|(kdp)|(\|lc)|(penalty))" /e /r /s</v>
      </c>
      <c r="AG206" s="1" t="str">
        <f t="shared" ref="AG206:AG241" si="83">IFERROR(IF(VALUE(LEFT(AD206,2))&lt;=2,"EC",IF(OR(VALUE(LEFT(AD206,2))=8,VALUE(LEFT(AD206,2))=18),"NW","Other")),"Other")</f>
        <v>NW</v>
      </c>
      <c r="AH206" s="92" t="str">
        <f t="shared" si="67"/>
        <v>"%USERPROFILE%\Documents\GitHub\eaglep3\Utilities\RefineRTDCRunTimes.py" --tripid 845-22 --locoid 4040 --swversion DE.1.0.8.0 --startMP 204:978 --initTime 2016-12-22T21:03:11 --startdatetime 2016-12-22T21:21:16 --delay 3 --endMP 300:58948 --enddatetime 2016-12-22T21:35:24 --enforcementcount 0 &gt;&gt;C:\Users\stu\Documents\GitHub\eaglep3-reporting\EC\2016-12-22-refined-times.txt</v>
      </c>
      <c r="AI206" s="119" t="str">
        <f t="shared" si="68"/>
        <v>echo {"issue":{"subject":"","project_id":79,"tracker_id":40,"status_id":1,"priority_id":2,"assigned_to_id":23,"start_date":"2016-12-22","description":"","custom_fields":[{"id":1,"name":"Subdivision","value":"NW"},{"id":4,"name":"Milepost","value":"5.8948"},{"id":17,"name":"Train ID","value":"845-22"},{"id":16,"name":"Locomotive ID","value":"4040"},{"id":130,"name":"Impact","value":""},{"id":150,"name":"Time of Event (Mountain Time)","value":"21:35:24"},{"id":151,"name":"Denver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479</v>
      </c>
      <c r="B207" s="7">
        <v>4040</v>
      </c>
      <c r="C207" s="22" t="s">
        <v>205</v>
      </c>
      <c r="D207" s="22" t="s">
        <v>830</v>
      </c>
      <c r="E207" s="13">
        <v>42726.923611111109</v>
      </c>
      <c r="F207" s="13">
        <v>42726.931458333333</v>
      </c>
      <c r="G207" s="7">
        <v>2</v>
      </c>
      <c r="H207" s="22" t="s">
        <v>808</v>
      </c>
      <c r="I207" s="13">
        <v>42726.941516203704</v>
      </c>
      <c r="J207" s="7">
        <v>0</v>
      </c>
      <c r="K207" s="109" t="str">
        <f t="shared" si="69"/>
        <v>4039/4040</v>
      </c>
      <c r="L207" s="22" t="str">
        <f>VLOOKUP(A207,'Trips&amp;Operators'!$C$1:$G$99999,5,FALSE)</f>
        <v>YANG JAN</v>
      </c>
      <c r="M207" s="6">
        <f t="shared" si="70"/>
        <v>1.0057870371383615E-2</v>
      </c>
      <c r="N207" s="7">
        <f t="shared" si="71"/>
        <v>14.483333334792405</v>
      </c>
      <c r="O207" s="7"/>
      <c r="P207" s="7"/>
      <c r="Q207" s="23"/>
      <c r="R207" s="23"/>
      <c r="S207" s="35">
        <f t="shared" si="72"/>
        <v>1</v>
      </c>
      <c r="T207" s="50" t="str">
        <f t="shared" si="73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21:10:00-700',mode:absolute,to:'2016-12-22 23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75"/>
        <v>N</v>
      </c>
      <c r="X207" s="177">
        <f t="shared" si="76"/>
        <v>2</v>
      </c>
      <c r="Y207" s="67">
        <f t="shared" si="77"/>
        <v>9.1600000000000001E-2</v>
      </c>
      <c r="Z207" s="67">
        <f t="shared" si="78"/>
        <v>5.8952</v>
      </c>
      <c r="AA207" s="67">
        <f t="shared" si="79"/>
        <v>5.8036000000000003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80"/>
        <v>0847-22</v>
      </c>
      <c r="AE207" s="91" t="str">
        <f t="shared" si="81"/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AF207" s="88" t="str">
        <f t="shared" si="82"/>
        <v>"C:\Program Files (x86)\AstroGrep\AstroGrep.exe" /spath="%USERPROFILE%\AppData\Local\Temp\OnboardLogs" /stypes="app*4040*20161223*" /stext=" 05:.+((SYSTEM_STATE.+slice.+state.+changed )|(ment ac)|(multiple cpu faults)|(system.+state.+changed )|(\[timeout)|(PRM\|1\|D)|(kpr)|(kdp)|(\|lc)|(penalty))" /e /r /s</v>
      </c>
      <c r="AG207" s="1" t="str">
        <f t="shared" si="83"/>
        <v>NW</v>
      </c>
      <c r="AH207" s="92" t="str">
        <f t="shared" ref="AH207:AH241" si="8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847-22 --locoid 4040 --swversion DE.1.0.8.0 --startMP 204:916 --initTime 2016-12-22T22:10:00 --startdatetime 2016-12-22T22:21:18 --delay 2 --endMP 300:58952 --enddatetime 2016-12-22T22:35:47 --enforcementcount 0 &gt;&gt;C:\Users\stu\Documents\GitHub\eaglep3-reporting\EC\2016-12-22-refined-times.txt</v>
      </c>
      <c r="AI207" s="119" t="str">
        <f t="shared" ref="AI207:AI241" si="8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{"issue":{"subject":"","project_id":79,"tracker_id":40,"status_id":1,"priority_id":2,"assigned_to_id":23,"start_date":"2016-12-22","description":"","custom_fields":[{"id":1,"name":"Subdivision","value":"NW"},{"id":4,"name":"Milepost","value":"5.8952"},{"id":17,"name":"Train ID","value":"847-22"},{"id":16,"name":"Locomotive ID","value":"4040"},{"id":130,"name":"Impact","value":""},{"id":150,"name":"Time of Event (Mountain Time)","value":"22:35:47"},{"id":151,"name":"Denver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s="21" customFormat="1" x14ac:dyDescent="0.25">
      <c r="A208" s="37" t="s">
        <v>390</v>
      </c>
      <c r="B208" s="7">
        <v>4017</v>
      </c>
      <c r="C208" s="22" t="s">
        <v>205</v>
      </c>
      <c r="D208" s="22" t="s">
        <v>412</v>
      </c>
      <c r="E208" s="13">
        <v>42726.113865740743</v>
      </c>
      <c r="F208" s="13">
        <v>42726.115011574075</v>
      </c>
      <c r="G208" s="7">
        <v>1</v>
      </c>
      <c r="H208" s="22" t="s">
        <v>260</v>
      </c>
      <c r="I208" s="13">
        <v>42726.122754629629</v>
      </c>
      <c r="J208" s="7">
        <v>0</v>
      </c>
      <c r="K208" s="109" t="str">
        <f t="shared" si="69"/>
        <v>4017/4018</v>
      </c>
      <c r="L208" s="22" t="str">
        <f>VLOOKUP(A208,'Trips&amp;Operators'!$C$1:$G$99999,5,FALSE)</f>
        <v>ISHMAEL JOSEPH</v>
      </c>
      <c r="M208" s="6">
        <f t="shared" si="70"/>
        <v>7.7430555538740009E-3</v>
      </c>
      <c r="N208" s="7">
        <f t="shared" si="71"/>
        <v>11.149999997578561</v>
      </c>
      <c r="O208" s="7"/>
      <c r="P208" s="7"/>
      <c r="Q208" s="23"/>
      <c r="R208" s="23"/>
      <c r="S208" s="35">
        <f t="shared" si="72"/>
        <v>1</v>
      </c>
      <c r="T208" s="50" t="str">
        <f t="shared" si="73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01:43:58-700',mode:absolute,to:'2016-12-22 03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8" s="52" t="str">
        <f t="shared" si="75"/>
        <v>Y</v>
      </c>
      <c r="X208" s="177">
        <f t="shared" si="76"/>
        <v>-545</v>
      </c>
      <c r="Y208" s="67">
        <f t="shared" si="77"/>
        <v>2.3060999999999998</v>
      </c>
      <c r="Z208" s="67">
        <f t="shared" si="78"/>
        <v>1.47E-2</v>
      </c>
      <c r="AA208" s="67">
        <f t="shared" si="79"/>
        <v>2.2913999999999999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80"/>
        <v>0302-22</v>
      </c>
      <c r="AE208" s="91" t="str">
        <f t="shared" si="81"/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AF208" s="88" t="str">
        <f t="shared" si="82"/>
        <v>"C:\Program Files (x86)\AstroGrep\AstroGrep.exe" /spath="%USERPROFILE%\AppData\Local\Temp\OnboardLogs" /stypes="app*4017*20161222*" /stext=" 09:.+((SYSTEM_STATE.+slice.+state.+changed )|(ment ac)|(multiple cpu faults)|(system.+state.+changed )|(\[timeout)|(PRM\|1\|D)|(kpr)|(kdp)|(\|lc)|(penalty))" /e /r /s</v>
      </c>
      <c r="AG208" s="1" t="str">
        <f t="shared" si="83"/>
        <v>Other</v>
      </c>
      <c r="AH208" s="92" t="str">
        <f t="shared" si="84"/>
        <v>"%USERPROFILE%\Documents\GitHub\eaglep3\Utilities\RefineRTDCRunTimes.py" --tripid 302-22 --locoid 4017 --swversion DE.1.0.8.0 --startMP 300:23061 --initTime 2016-12-22T02:43:58 --startdatetime 2016-12-22T02:45:37 --delay 1 --endMP 204:147 --enddatetime 2016-12-22T02:56:46 --enforcementcount 0 &gt;&gt;C:\Users\stu\Documents\GitHub\eaglep3-reporting\EC\2016-12-22-refined-times.txt</v>
      </c>
      <c r="AI20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{"issue":{"subject":"","project_id":79,"tracker_id":40,"status_id":1,"priority_id":2,"assigned_to_id":23,"start_date":"2016-12-22","description":"","custom_fields":[{"id":1,"name":"Subdivision","value":"Other"},{"id":4,"name":"Milepost","value":"0.0147"},{"id":17,"name":"Train ID","value":"302-22"},{"id":16,"name":"Locomotive ID","value":"4017"},{"id":130,"name":"Impact","value":""},{"id":150,"name":"Time of Event (Mountain Time)","value":"02:56:46"},{"id":151,"name":"Denver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38" x14ac:dyDescent="0.25">
      <c r="A209" s="37" t="s">
        <v>636</v>
      </c>
      <c r="B209" s="7">
        <v>4016</v>
      </c>
      <c r="C209" s="22" t="s">
        <v>205</v>
      </c>
      <c r="D209" s="22" t="s">
        <v>231</v>
      </c>
      <c r="E209" s="13">
        <v>42726.778391203705</v>
      </c>
      <c r="F209" s="13">
        <v>25568.708333333332</v>
      </c>
      <c r="G209" s="7">
        <v>1</v>
      </c>
      <c r="H209" s="22" t="s">
        <v>751</v>
      </c>
      <c r="I209" s="13">
        <v>25568.708333333332</v>
      </c>
      <c r="J209" s="7">
        <v>0</v>
      </c>
      <c r="K209" s="109" t="str">
        <f t="shared" si="69"/>
        <v>4015/4016</v>
      </c>
      <c r="L209" s="22" t="str">
        <f>VLOOKUP(A209,'Trips&amp;Operators'!$C$1:$G$99999,5,FALSE)</f>
        <v>SMITH MICHAEL</v>
      </c>
      <c r="M209" s="6">
        <f t="shared" si="70"/>
        <v>0</v>
      </c>
      <c r="N209" s="7">
        <f t="shared" si="71"/>
        <v>0</v>
      </c>
      <c r="O209" s="7"/>
      <c r="P209" s="7"/>
      <c r="Q209" s="23"/>
      <c r="R209" s="23"/>
      <c r="S209" s="35">
        <f t="shared" si="72"/>
        <v>1</v>
      </c>
      <c r="T209" s="50" t="str">
        <f t="shared" si="73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17:40:53-700',mode:absolute,to:'1969-12-31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09" s="52" t="str">
        <f t="shared" si="75"/>
        <v>Y</v>
      </c>
      <c r="X209" s="177">
        <f t="shared" si="76"/>
        <v>1</v>
      </c>
      <c r="Y209" s="67">
        <f t="shared" si="77"/>
        <v>4.7100000000000003E-2</v>
      </c>
      <c r="Z209" s="67">
        <f t="shared" si="78"/>
        <v>2.3304</v>
      </c>
      <c r="AA209" s="67">
        <f t="shared" si="79"/>
        <v>2.2833000000000001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80"/>
        <v>0303-22</v>
      </c>
      <c r="AE209" s="91" t="str">
        <f t="shared" si="81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09" s="88" t="str">
        <f t="shared" si="82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09" s="1" t="str">
        <f t="shared" si="83"/>
        <v>Other</v>
      </c>
      <c r="AH209" s="92" t="str">
        <f t="shared" si="84"/>
        <v>"%USERPROFILE%\Documents\GitHub\eaglep3\Utilities\RefineRTDCRunTimes.py" --tripid 303-22 --locoid 4016 --swversion DE.1.0.8.0 --startMP 204:471 --initTime 2016-12-22T18:40:53 --startdatetime 1969-12-31T17:00:00 --delay 1 --endMP 300:23304 --enddatetime 1969-12-31T17:00:00 --enforcementcount 0 &gt;&gt;C:\Users\stu\Documents\GitHub\eaglep3-reporting\EC\2016-12-22-refined-times.txt</v>
      </c>
      <c r="AI209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ID","value":"303-22"},{"id":16,"name":"Locomotive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640</v>
      </c>
      <c r="B210" s="7">
        <v>4018</v>
      </c>
      <c r="C210" s="22" t="s">
        <v>205</v>
      </c>
      <c r="D210" s="22" t="s">
        <v>734</v>
      </c>
      <c r="E210" s="13">
        <v>42726.796168981484</v>
      </c>
      <c r="F210" s="13">
        <v>25568.708333333332</v>
      </c>
      <c r="G210" s="7">
        <v>1</v>
      </c>
      <c r="H210" s="22" t="s">
        <v>321</v>
      </c>
      <c r="I210" s="13">
        <v>25568.708333333332</v>
      </c>
      <c r="J210" s="7">
        <v>0</v>
      </c>
      <c r="K210" s="109" t="str">
        <f t="shared" si="69"/>
        <v>4017/4018</v>
      </c>
      <c r="L210" s="22" t="str">
        <f>VLOOKUP(A210,'Trips&amp;Operators'!$C$1:$G$99999,5,FALSE)</f>
        <v>BARTLETT KIANDRA</v>
      </c>
      <c r="M210" s="6">
        <f t="shared" si="70"/>
        <v>0</v>
      </c>
      <c r="N210" s="7">
        <f t="shared" si="71"/>
        <v>0</v>
      </c>
      <c r="O210" s="7"/>
      <c r="P210" s="7"/>
      <c r="Q210" s="23"/>
      <c r="R210" s="23"/>
      <c r="S210" s="35">
        <f t="shared" si="72"/>
        <v>1</v>
      </c>
      <c r="T210" s="50" t="str">
        <f t="shared" si="73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18:06:29-700',mode:absolute,to:'1969-12-31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10" s="52" t="str">
        <f t="shared" si="75"/>
        <v>Y</v>
      </c>
      <c r="X210" s="177">
        <f t="shared" si="76"/>
        <v>2</v>
      </c>
      <c r="Y210" s="67">
        <f t="shared" si="77"/>
        <v>4.9299999999999997E-2</v>
      </c>
      <c r="Z210" s="67">
        <f t="shared" si="78"/>
        <v>2.3302</v>
      </c>
      <c r="AA210" s="67">
        <f t="shared" si="79"/>
        <v>2.2808999999999999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80"/>
        <v>0305-22</v>
      </c>
      <c r="AE210" s="91" t="str">
        <f t="shared" si="81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10" s="88" t="str">
        <f t="shared" si="82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10" s="1" t="str">
        <f t="shared" si="83"/>
        <v>Other</v>
      </c>
      <c r="AH210" s="92" t="str">
        <f t="shared" si="84"/>
        <v>"%USERPROFILE%\Documents\GitHub\eaglep3\Utilities\RefineRTDCRunTimes.py" --tripid 305-22 --locoid 4018 --swversion DE.1.0.8.0 --startMP 204:493 --initTime 2016-12-22T19:06:29 --startdatetime 1969-12-31T17:00:00 --delay 1 --endMP 300:23302 --enddatetime 1969-12-31T17:00:00 --enforcementcount 0 &gt;&gt;C:\Users\stu\Documents\GitHub\eaglep3-reporting\EC\2016-12-22-refined-times.txt</v>
      </c>
      <c r="AI210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ID","value":"305-22"},{"id":16,"name":"Locomotive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440</v>
      </c>
      <c r="B211" s="7">
        <v>4032</v>
      </c>
      <c r="C211" s="22" t="s">
        <v>205</v>
      </c>
      <c r="D211" s="22" t="s">
        <v>752</v>
      </c>
      <c r="E211" s="13">
        <v>42726.160150462965</v>
      </c>
      <c r="F211" s="13">
        <v>42726.161412037036</v>
      </c>
      <c r="G211" s="7">
        <v>1</v>
      </c>
      <c r="H211" s="22" t="s">
        <v>753</v>
      </c>
      <c r="I211" s="13">
        <v>42726.168703703705</v>
      </c>
      <c r="J211" s="7">
        <v>0</v>
      </c>
      <c r="K211" s="109" t="str">
        <f t="shared" si="69"/>
        <v>4031/4032</v>
      </c>
      <c r="L211" s="22" t="str">
        <f>VLOOKUP(A211,'Trips&amp;Operators'!$C$1:$G$99999,5,FALSE)</f>
        <v>ROBINSON KADDIBA</v>
      </c>
      <c r="M211" s="6">
        <f t="shared" si="70"/>
        <v>7.291666668606922E-3</v>
      </c>
      <c r="N211" s="7">
        <f t="shared" si="71"/>
        <v>10.500000002793968</v>
      </c>
      <c r="O211" s="7"/>
      <c r="P211" s="7"/>
      <c r="Q211" s="23"/>
      <c r="R211" s="23"/>
      <c r="S211" s="35">
        <f t="shared" si="72"/>
        <v>1</v>
      </c>
      <c r="T211" s="50" t="str">
        <f t="shared" si="73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02:50:37-700',mode:absolute,to:'2016-12-22 05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1" s="52" t="str">
        <f t="shared" si="75"/>
        <v>Y</v>
      </c>
      <c r="X211" s="177">
        <f t="shared" si="76"/>
        <v>1</v>
      </c>
      <c r="Y211" s="67">
        <f t="shared" si="77"/>
        <v>2.3222</v>
      </c>
      <c r="Z211" s="67">
        <f t="shared" si="78"/>
        <v>6.7000000000000002E-3</v>
      </c>
      <c r="AA211" s="67">
        <f t="shared" si="79"/>
        <v>2.3155000000000001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80"/>
        <v>0306-22</v>
      </c>
      <c r="AE211" s="91" t="str">
        <f t="shared" si="81"/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AF211" s="88" t="str">
        <f t="shared" si="82"/>
        <v>"C:\Program Files (x86)\AstroGrep\AstroGrep.exe" /spath="%USERPROFILE%\AppData\Local\Temp\OnboardLogs" /stypes="app*4032*20161222*" /stext=" 11:.+((SYSTEM_STATE.+slice.+state.+changed )|(ment ac)|(multiple cpu faults)|(system.+state.+changed )|(\[timeout)|(PRM\|1\|D)|(kpr)|(kdp)|(\|lc)|(penalty))" /e /r /s</v>
      </c>
      <c r="AG211" s="1" t="str">
        <f t="shared" si="83"/>
        <v>Other</v>
      </c>
      <c r="AH211" s="92" t="str">
        <f t="shared" si="84"/>
        <v>"%USERPROFILE%\Documents\GitHub\eaglep3\Utilities\RefineRTDCRunTimes.py" --tripid 306-22 --locoid 4032 --swversion DE.1.0.8.0 --startMP 300:23222 --initTime 2016-12-22T03:50:37 --startdatetime 2016-12-22T03:52:26 --delay 1 --endMP 204:67 --enddatetime 2016-12-22T04:02:56 --enforcementcount 0 &gt;&gt;C:\Users\stu\Documents\GitHub\eaglep3-reporting\EC\2016-12-22-refined-times.txt</v>
      </c>
      <c r="AI21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{"issue":{"subject":"","project_id":79,"tracker_id":40,"status_id":1,"priority_id":2,"assigned_to_id":23,"start_date":"2016-12-22","description":"","custom_fields":[{"id":1,"name":"Subdivision","value":"Other"},{"id":4,"name":"Milepost","value":"0.0067"},{"id":17,"name":"Train ID","value":"306-22"},{"id":16,"name":"Locomotive ID","value":"4032"},{"id":130,"name":"Impact","value":""},{"id":150,"name":"Time of Event (Mountain Time)","value":"04:02:56"},{"id":151,"name":"Denver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645</v>
      </c>
      <c r="B212" s="7">
        <v>4051</v>
      </c>
      <c r="C212" s="22" t="s">
        <v>205</v>
      </c>
      <c r="D212" s="22" t="s">
        <v>230</v>
      </c>
      <c r="E212" s="13">
        <v>42726.817800925928</v>
      </c>
      <c r="F212" s="13">
        <v>25568.708333333332</v>
      </c>
      <c r="G212" s="7">
        <v>2</v>
      </c>
      <c r="H212" s="22" t="s">
        <v>754</v>
      </c>
      <c r="I212" s="13">
        <v>25568.708333333332</v>
      </c>
      <c r="J212" s="7">
        <v>0</v>
      </c>
      <c r="K212" s="109" t="str">
        <f t="shared" si="69"/>
        <v>4051/4052</v>
      </c>
      <c r="L212" s="22" t="str">
        <f>VLOOKUP(A212,'Trips&amp;Operators'!$C$1:$G$99999,5,FALSE)</f>
        <v>BRANNON JEFFREY</v>
      </c>
      <c r="M212" s="6">
        <f t="shared" si="70"/>
        <v>0</v>
      </c>
      <c r="N212" s="7">
        <f t="shared" si="71"/>
        <v>0</v>
      </c>
      <c r="O212" s="7"/>
      <c r="P212" s="7"/>
      <c r="Q212" s="23"/>
      <c r="R212" s="23"/>
      <c r="S212" s="35">
        <f t="shared" si="72"/>
        <v>1</v>
      </c>
      <c r="T212" s="50" t="str">
        <f t="shared" si="73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18:37:38-700',mode:absolute,to:'1969-12-31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2" s="52" t="str">
        <f t="shared" si="75"/>
        <v>Y</v>
      </c>
      <c r="X212" s="177">
        <f t="shared" si="76"/>
        <v>1</v>
      </c>
      <c r="Y212" s="67">
        <f t="shared" si="77"/>
        <v>4.5999999999999999E-2</v>
      </c>
      <c r="Z212" s="67">
        <f t="shared" si="78"/>
        <v>2.3315999999999999</v>
      </c>
      <c r="AA212" s="67">
        <f t="shared" si="79"/>
        <v>2.2856000000000001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80"/>
        <v>0307-22</v>
      </c>
      <c r="AE212" s="91" t="str">
        <f t="shared" si="81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2" s="88" t="str">
        <f t="shared" si="82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2" s="1" t="str">
        <f t="shared" si="83"/>
        <v>Other</v>
      </c>
      <c r="AH212" s="92" t="str">
        <f t="shared" si="84"/>
        <v>"%USERPROFILE%\Documents\GitHub\eaglep3\Utilities\RefineRTDCRunTimes.py" --tripid 307-22 --locoid 4051 --swversion DE.1.0.8.0 --startMP 204:460 --initTime 2016-12-22T19:37:38 --startdatetime 1969-12-31T17:00:00 --delay 2 --endMP 300:23316 --enddatetime 1969-12-31T17:00:00 --enforcementcount 0 &gt;&gt;C:\Users\stu\Documents\GitHub\eaglep3-reporting\EC\2016-12-22-refined-times.txt</v>
      </c>
      <c r="AI21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ID","value":"307-22"},{"id":16,"name":"Locomotive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486</v>
      </c>
      <c r="B213" s="7">
        <v>4045</v>
      </c>
      <c r="C213" s="22" t="s">
        <v>205</v>
      </c>
      <c r="D213" s="22" t="s">
        <v>755</v>
      </c>
      <c r="E213" s="13">
        <v>42726.170162037037</v>
      </c>
      <c r="F213" s="13">
        <v>42726.171851851854</v>
      </c>
      <c r="G213" s="7">
        <v>1</v>
      </c>
      <c r="H213" s="22" t="s">
        <v>224</v>
      </c>
      <c r="I213" s="13">
        <v>42726.180196759262</v>
      </c>
      <c r="J213" s="7">
        <v>0</v>
      </c>
      <c r="K213" s="109" t="str">
        <f t="shared" si="69"/>
        <v>4045/4046</v>
      </c>
      <c r="L213" s="22" t="str">
        <f>VLOOKUP(A213,'Trips&amp;Operators'!$C$1:$G$99999,5,FALSE)</f>
        <v>MAGEE KENYA</v>
      </c>
      <c r="M213" s="6">
        <f t="shared" si="70"/>
        <v>8.3449074081727304E-3</v>
      </c>
      <c r="N213" s="7">
        <f t="shared" si="71"/>
        <v>12.016666667768732</v>
      </c>
      <c r="O213" s="7"/>
      <c r="P213" s="7"/>
      <c r="Q213" s="23"/>
      <c r="R213" s="23"/>
      <c r="S213" s="35">
        <f t="shared" si="72"/>
        <v>1</v>
      </c>
      <c r="T213" s="50" t="str">
        <f t="shared" si="73"/>
        <v>Southbound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03:05:02-700',mode:absolute,to:'2016-12-22 05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13" s="52" t="str">
        <f t="shared" si="75"/>
        <v>Y</v>
      </c>
      <c r="X213" s="177">
        <f t="shared" si="76"/>
        <v>1</v>
      </c>
      <c r="Y213" s="67">
        <f t="shared" si="77"/>
        <v>2.3439999999999999</v>
      </c>
      <c r="Z213" s="67">
        <f t="shared" si="78"/>
        <v>1.54E-2</v>
      </c>
      <c r="AA213" s="67">
        <f t="shared" si="79"/>
        <v>2.3285999999999998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80"/>
        <v>0308-22</v>
      </c>
      <c r="AE213" s="91" t="str">
        <f t="shared" si="81"/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AF213" s="88" t="str">
        <f t="shared" si="82"/>
        <v>"C:\Program Files (x86)\AstroGrep\AstroGrep.exe" /spath="%USERPROFILE%\AppData\Local\Temp\OnboardLogs" /stypes="app*4045*20161222*" /stext=" 11:.+((SYSTEM_STATE.+slice.+state.+changed )|(ment ac)|(multiple cpu faults)|(system.+state.+changed )|(\[timeout)|(PRM\|1\|D)|(kpr)|(kdp)|(\|lc)|(penalty))" /e /r /s</v>
      </c>
      <c r="AG213" s="1" t="str">
        <f t="shared" si="83"/>
        <v>Other</v>
      </c>
      <c r="AH213" s="92" t="str">
        <f t="shared" si="84"/>
        <v>"%USERPROFILE%\Documents\GitHub\eaglep3\Utilities\RefineRTDCRunTimes.py" --tripid 308-22 --locoid 4045 --swversion DE.1.0.8.0 --startMP 300:23440 --initTime 2016-12-22T04:05:02 --startdatetime 2016-12-22T04:07:28 --delay 1 --endMP 204:154 --enddatetime 2016-12-22T04:19:29 --enforcementcount 0 &gt;&gt;C:\Users\stu\Documents\GitHub\eaglep3-reporting\EC\2016-12-22-refined-times.txt</v>
      </c>
      <c r="AI213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{"issue":{"subject":"","project_id":79,"tracker_id":40,"status_id":1,"priority_id":2,"assigned_to_id":23,"start_date":"2016-12-22","description":"","custom_fields":[{"id":1,"name":"Subdivision","value":"Other"},{"id":4,"name":"Milepost","value":"0.0154"},{"id":17,"name":"Train ID","value":"308-22"},{"id":16,"name":"Locomotive ID","value":"4045"},{"id":130,"name":"Impact","value":""},{"id":150,"name":"Time of Event (Mountain Time)","value":"04:19:29"},{"id":151,"name":"Denver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667</v>
      </c>
      <c r="B214" s="7">
        <v>4009</v>
      </c>
      <c r="C214" s="22" t="s">
        <v>205</v>
      </c>
      <c r="D214" s="22" t="s">
        <v>756</v>
      </c>
      <c r="E214" s="13">
        <v>42727.029351851852</v>
      </c>
      <c r="F214" s="13">
        <v>25568.708333333332</v>
      </c>
      <c r="G214" s="7">
        <v>1</v>
      </c>
      <c r="H214" s="22" t="s">
        <v>757</v>
      </c>
      <c r="I214" s="13">
        <v>25568.708333333332</v>
      </c>
      <c r="J214" s="7">
        <v>0</v>
      </c>
      <c r="K214" s="109" t="str">
        <f t="shared" si="69"/>
        <v>4009/4010</v>
      </c>
      <c r="L214" s="22" t="str">
        <f>VLOOKUP(A214,'Trips&amp;Operators'!$C$1:$G$99999,5,FALSE)</f>
        <v>WHITED DUSTIN</v>
      </c>
      <c r="M214" s="6">
        <f t="shared" si="70"/>
        <v>0</v>
      </c>
      <c r="N214" s="7">
        <f t="shared" si="71"/>
        <v>0</v>
      </c>
      <c r="O214" s="7"/>
      <c r="P214" s="7"/>
      <c r="Q214" s="23"/>
      <c r="R214" s="23"/>
      <c r="S214" s="35">
        <f t="shared" si="72"/>
        <v>1</v>
      </c>
      <c r="T214" s="50" t="str">
        <f t="shared" si="73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23:42:16-700',mode:absolute,to:'1969-12-31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4" s="52" t="str">
        <f t="shared" si="75"/>
        <v>Y</v>
      </c>
      <c r="X214" s="177">
        <f t="shared" si="76"/>
        <v>1</v>
      </c>
      <c r="Y214" s="67">
        <f t="shared" si="77"/>
        <v>4.8000000000000001E-2</v>
      </c>
      <c r="Z214" s="67">
        <f t="shared" si="78"/>
        <v>2.3308</v>
      </c>
      <c r="AA214" s="67">
        <f t="shared" si="79"/>
        <v>2.2827999999999999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80"/>
        <v>0309-22</v>
      </c>
      <c r="AE214" s="91" t="str">
        <f t="shared" si="81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4" s="88" t="str">
        <f t="shared" si="82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4" s="1" t="str">
        <f t="shared" si="83"/>
        <v>Other</v>
      </c>
      <c r="AH214" s="92" t="str">
        <f t="shared" si="84"/>
        <v>"%USERPROFILE%\Documents\GitHub\eaglep3\Utilities\RefineRTDCRunTimes.py" --tripid 309-22 --locoid 4009 --swversion DE.1.0.8.0 --startMP 204:480 --initTime 2016-12-23T00:42:16 --startdatetime 1969-12-31T17:00:00 --delay 1 --endMP 300:23308 --enddatetime 1969-12-31T17:00:00 --enforcementcount 0 &gt;&gt;C:\Users\stu\Documents\GitHub\eaglep3-reporting\EC\2016-12-22-refined-times.txt</v>
      </c>
      <c r="AI214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ID","value":"309-22"},{"id":16,"name":"Locomotive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488</v>
      </c>
      <c r="B215" s="7">
        <v>4015</v>
      </c>
      <c r="C215" s="22" t="s">
        <v>205</v>
      </c>
      <c r="D215" s="22" t="s">
        <v>758</v>
      </c>
      <c r="E215" s="13">
        <v>42726.180868055555</v>
      </c>
      <c r="F215" s="13">
        <v>42726.183946759258</v>
      </c>
      <c r="G215" s="7">
        <v>4</v>
      </c>
      <c r="H215" s="22" t="s">
        <v>224</v>
      </c>
      <c r="I215" s="13">
        <v>42726.19358796296</v>
      </c>
      <c r="J215" s="7">
        <v>0</v>
      </c>
      <c r="K215" s="109" t="str">
        <f t="shared" si="69"/>
        <v>4015/4016</v>
      </c>
      <c r="L215" s="22" t="str">
        <f>VLOOKUP(A215,'Trips&amp;Operators'!$C$1:$G$99999,5,FALSE)</f>
        <v>SIMONEAUX TERA</v>
      </c>
      <c r="M215" s="6">
        <f t="shared" si="70"/>
        <v>9.6412037019035779E-3</v>
      </c>
      <c r="N215" s="7">
        <f t="shared" si="71"/>
        <v>13.883333330741152</v>
      </c>
      <c r="O215" s="7"/>
      <c r="P215" s="7"/>
      <c r="Q215" s="23"/>
      <c r="R215" s="23"/>
      <c r="S215" s="35">
        <f t="shared" si="72"/>
        <v>1</v>
      </c>
      <c r="T215" s="50" t="str">
        <f t="shared" si="73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03:20:27-700',mode:absolute,to:'2016-12-22 05:38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5" s="52" t="str">
        <f t="shared" si="75"/>
        <v>Y</v>
      </c>
      <c r="X215" s="177">
        <f t="shared" si="76"/>
        <v>1</v>
      </c>
      <c r="Y215" s="67">
        <f t="shared" si="77"/>
        <v>1.9807999999999999</v>
      </c>
      <c r="Z215" s="67">
        <f t="shared" si="78"/>
        <v>1.54E-2</v>
      </c>
      <c r="AA215" s="67">
        <f t="shared" si="79"/>
        <v>1.9653999999999998</v>
      </c>
      <c r="AB215" s="64" t="e">
        <f>VLOOKUP(A215,Enforcements!$C$7:$K$19,8,0)</f>
        <v>#N/A</v>
      </c>
      <c r="AC215" s="60" t="e">
        <f>VLOOKUP(A215,Enforcements!$C$7:$E$19,3,0)</f>
        <v>#N/A</v>
      </c>
      <c r="AD215" s="61" t="str">
        <f t="shared" si="80"/>
        <v>0310-22</v>
      </c>
      <c r="AE215" s="91" t="str">
        <f t="shared" si="81"/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AF215" s="88" t="str">
        <f t="shared" si="82"/>
        <v>"C:\Program Files (x86)\AstroGrep\AstroGrep.exe" /spath="%USERPROFILE%\AppData\Local\Temp\OnboardLogs" /stypes="app*4015*20161222*" /stext=" 11:.+((SYSTEM_STATE.+slice.+state.+changed )|(ment ac)|(multiple cpu faults)|(system.+state.+changed )|(\[timeout)|(PRM\|1\|D)|(kpr)|(kdp)|(\|lc)|(penalty))" /e /r /s</v>
      </c>
      <c r="AG215" s="1" t="str">
        <f t="shared" si="83"/>
        <v>Other</v>
      </c>
      <c r="AH215" s="92" t="str">
        <f t="shared" si="84"/>
        <v>"%USERPROFILE%\Documents\GitHub\eaglep3\Utilities\RefineRTDCRunTimes.py" --tripid 310-22 --locoid 4015 --swversion DE.1.0.8.0 --startMP 300:19808 --initTime 2016-12-22T04:20:27 --startdatetime 2016-12-22T04:24:53 --delay 4 --endMP 204:154 --enddatetime 2016-12-22T04:38:46 --enforcementcount 0 &gt;&gt;C:\Users\stu\Documents\GitHub\eaglep3-reporting\EC\2016-12-22-refined-times.txt</v>
      </c>
      <c r="AI21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{"issue":{"subject":"","project_id":79,"tracker_id":40,"status_id":1,"priority_id":2,"assigned_to_id":23,"start_date":"2016-12-22","description":"","custom_fields":[{"id":1,"name":"Subdivision","value":"Other"},{"id":4,"name":"Milepost","value":"0.0154"},{"id":17,"name":"Train ID","value":"310-22"},{"id":16,"name":"Locomotive ID","value":"4015"},{"id":130,"name":"Impact","value":""},{"id":150,"name":"Time of Event (Mountain Time)","value":"04:38:46"},{"id":151,"name":"Denver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670</v>
      </c>
      <c r="B216" s="7">
        <v>4029</v>
      </c>
      <c r="C216" s="22" t="s">
        <v>205</v>
      </c>
      <c r="D216" s="22" t="s">
        <v>263</v>
      </c>
      <c r="E216" s="13">
        <v>42727.047280092593</v>
      </c>
      <c r="F216" s="13">
        <v>25568.708333333332</v>
      </c>
      <c r="G216" s="7">
        <v>1</v>
      </c>
      <c r="H216" s="22" t="s">
        <v>759</v>
      </c>
      <c r="I216" s="13">
        <v>25568.708333333332</v>
      </c>
      <c r="J216" s="7">
        <v>0</v>
      </c>
      <c r="K216" s="109" t="str">
        <f t="shared" si="69"/>
        <v>4029/4030</v>
      </c>
      <c r="L216" s="22" t="str">
        <f>VLOOKUP(A216,'Trips&amp;Operators'!$C$1:$G$99999,5,FALSE)</f>
        <v>NEWELL JAMES</v>
      </c>
      <c r="M216" s="6">
        <f t="shared" si="70"/>
        <v>0</v>
      </c>
      <c r="N216" s="7">
        <f t="shared" si="71"/>
        <v>0</v>
      </c>
      <c r="O216" s="7"/>
      <c r="P216" s="7"/>
      <c r="Q216" s="23"/>
      <c r="R216" s="23"/>
      <c r="S216" s="35">
        <f t="shared" si="72"/>
        <v>1</v>
      </c>
      <c r="T216" s="50" t="str">
        <f t="shared" si="73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00:08:05-700',mode:absolute,to:'1969-12-31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6" s="52" t="str">
        <f t="shared" si="75"/>
        <v>Y</v>
      </c>
      <c r="X216" s="177">
        <f t="shared" si="76"/>
        <v>1</v>
      </c>
      <c r="Y216" s="67">
        <f t="shared" si="77"/>
        <v>4.6699999999999998E-2</v>
      </c>
      <c r="Z216" s="67">
        <f t="shared" si="78"/>
        <v>2.3294999999999999</v>
      </c>
      <c r="AA216" s="67">
        <f t="shared" si="79"/>
        <v>2.2827999999999999</v>
      </c>
      <c r="AB216" s="64" t="e">
        <f>VLOOKUP(A216,Enforcements!$C$7:$K$19,8,0)</f>
        <v>#N/A</v>
      </c>
      <c r="AC216" s="60" t="e">
        <f>VLOOKUP(A216,Enforcements!$C$7:$E$19,3,0)</f>
        <v>#N/A</v>
      </c>
      <c r="AD216" s="61" t="str">
        <f t="shared" si="80"/>
        <v>0311-22</v>
      </c>
      <c r="AE216" s="91" t="str">
        <f t="shared" si="81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6" s="88" t="str">
        <f t="shared" si="82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6" s="1" t="str">
        <f t="shared" si="83"/>
        <v>Other</v>
      </c>
      <c r="AH216" s="92" t="str">
        <f t="shared" si="84"/>
        <v>"%USERPROFILE%\Documents\GitHub\eaglep3\Utilities\RefineRTDCRunTimes.py" --tripid 311-22 --locoid 4029 --swversion DE.1.0.8.0 --startMP 204:467 --initTime 2016-12-23T01:08:05 --startdatetime 1969-12-31T17:00:00 --delay 1 --endMP 300:23295 --enddatetime 1969-12-31T17:00:00 --enforcementcount 0 &gt;&gt;C:\Users\stu\Documents\GitHub\eaglep3-reporting\EC\2016-12-22-refined-times.txt</v>
      </c>
      <c r="AI216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ID","value":"311-22"},{"id":16,"name":"Locomotive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671</v>
      </c>
      <c r="B217" s="7">
        <v>4027</v>
      </c>
      <c r="C217" s="22" t="s">
        <v>205</v>
      </c>
      <c r="D217" s="22" t="s">
        <v>315</v>
      </c>
      <c r="E217" s="13">
        <v>42727.073877314811</v>
      </c>
      <c r="F217" s="13">
        <v>25568.708333333332</v>
      </c>
      <c r="G217" s="7">
        <v>1</v>
      </c>
      <c r="H217" s="22" t="s">
        <v>760</v>
      </c>
      <c r="I217" s="13">
        <v>25568.708333333332</v>
      </c>
      <c r="J217" s="7">
        <v>0</v>
      </c>
      <c r="K217" s="109" t="str">
        <f t="shared" si="69"/>
        <v>4027/4028</v>
      </c>
      <c r="L217" s="22" t="str">
        <f>VLOOKUP(A217,'Trips&amp;Operators'!$C$1:$G$99999,5,FALSE)</f>
        <v>BROWN JACOB</v>
      </c>
      <c r="M217" s="6">
        <f t="shared" si="70"/>
        <v>0</v>
      </c>
      <c r="N217" s="7">
        <f t="shared" si="71"/>
        <v>0</v>
      </c>
      <c r="O217" s="7"/>
      <c r="P217" s="7"/>
      <c r="Q217" s="23"/>
      <c r="R217" s="23"/>
      <c r="S217" s="35">
        <f t="shared" si="72"/>
        <v>1</v>
      </c>
      <c r="T217" s="50" t="str">
        <f t="shared" si="73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00:46:23-700',mode:absolute,to:'1969-12-31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7" s="52" t="str">
        <f t="shared" si="75"/>
        <v>Y</v>
      </c>
      <c r="X217" s="177">
        <f t="shared" si="76"/>
        <v>2</v>
      </c>
      <c r="Y217" s="67">
        <f t="shared" si="77"/>
        <v>4.3299999999999998E-2</v>
      </c>
      <c r="Z217" s="67">
        <f t="shared" si="78"/>
        <v>2.3142</v>
      </c>
      <c r="AA217" s="67">
        <f t="shared" si="79"/>
        <v>2.2709000000000001</v>
      </c>
      <c r="AB217" s="64" t="e">
        <f>VLOOKUP(A217,Enforcements!$C$7:$K$19,8,0)</f>
        <v>#N/A</v>
      </c>
      <c r="AC217" s="60" t="e">
        <f>VLOOKUP(A217,Enforcements!$C$7:$E$19,3,0)</f>
        <v>#N/A</v>
      </c>
      <c r="AD217" s="61" t="str">
        <f t="shared" si="80"/>
        <v>0313-22</v>
      </c>
      <c r="AE217" s="91" t="str">
        <f t="shared" si="81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7" s="88" t="str">
        <f t="shared" si="82"/>
        <v>"C:\Program Files (x86)\AstroGrep\AstroGrep.exe" /spath="%USERPROFILE%\AppData\Local\Temp\OnboardLogs" /stypes="app*4027*19700101*" /stext=" 00:.+((SYSTEM_STATE.+slice.+state.+changed )|(ment ac)|(multiple cpu faults)|(system.+state.+changed )|(\[timeout)|(PRM\|1\|D)|(kpr)|(kdp)|(\|lc)|(penalty))" /e /r /s</v>
      </c>
      <c r="AG217" s="1" t="str">
        <f t="shared" si="83"/>
        <v>Other</v>
      </c>
      <c r="AH217" s="92" t="str">
        <f t="shared" si="84"/>
        <v>"%USERPROFILE%\Documents\GitHub\eaglep3\Utilities\RefineRTDCRunTimes.py" --tripid 313-22 --locoid 4027 --swversion DE.1.0.8.0 --startMP 204:433 --initTime 2016-12-23T01:46:23 --startdatetime 1969-12-31T17:00:00 --delay 1 --endMP 300:23142 --enddatetime 1969-12-31T17:00:00 --enforcementcount 0 &gt;&gt;C:\Users\stu\Documents\GitHub\eaglep3-reporting\EC\2016-12-22-refined-times.txt</v>
      </c>
      <c r="AI217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{"issue":{"subject":"","project_id":79,"tracker_id":40,"status_id":1,"priority_id":2,"assigned_to_id":23,"start_date":"1969-12-31","description":"","custom_fields":[{"id":1,"name":"Subdivision","value":"Other"},{"id":4,"name":"Milepost","value":"2.3142"},{"id":17,"name":"Train ID","value":"313-22"},{"id":16,"name":"Locomotive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672</v>
      </c>
      <c r="B218" s="7">
        <v>4046</v>
      </c>
      <c r="C218" s="22" t="s">
        <v>205</v>
      </c>
      <c r="D218" s="22" t="s">
        <v>761</v>
      </c>
      <c r="E218" s="13">
        <v>42727.092499999999</v>
      </c>
      <c r="F218" s="13">
        <v>25568.708333333332</v>
      </c>
      <c r="G218" s="7">
        <v>1</v>
      </c>
      <c r="H218" s="22" t="s">
        <v>754</v>
      </c>
      <c r="I218" s="13">
        <v>25568.708333333332</v>
      </c>
      <c r="J218" s="7">
        <v>0</v>
      </c>
      <c r="K218" s="109" t="str">
        <f t="shared" si="69"/>
        <v>4045/4046</v>
      </c>
      <c r="L218" s="22" t="str">
        <f>VLOOKUP(A218,'Trips&amp;Operators'!$C$1:$G$99999,5,FALSE)</f>
        <v>HILLS DUSTIN</v>
      </c>
      <c r="M218" s="6">
        <f t="shared" si="70"/>
        <v>0</v>
      </c>
      <c r="N218" s="7">
        <f t="shared" si="71"/>
        <v>0</v>
      </c>
      <c r="O218" s="7"/>
      <c r="P218" s="7"/>
      <c r="Q218" s="23"/>
      <c r="R218" s="23"/>
      <c r="S218" s="35">
        <f t="shared" si="72"/>
        <v>1</v>
      </c>
      <c r="T218" s="50" t="str">
        <f t="shared" si="73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https://search-rtdc-monitor-bjffxe2xuh6vdkpspy63sjmuny.us-east-1.es.amazonaws.com/_plugin/kibana/#/discover/Steve-Slow-Train-Analysis-(2080s-and-2083s)?_g=(refreshInterval:(display:Off,section:0,value:0),time:(from:'2016-12-23 01:13:12-700',mode:absolute,to:'1969-12-31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8" s="52" t="str">
        <f t="shared" si="75"/>
        <v>Y</v>
      </c>
      <c r="X218" s="177">
        <f t="shared" si="76"/>
        <v>2</v>
      </c>
      <c r="Y218" s="67">
        <f t="shared" si="77"/>
        <v>4.02E-2</v>
      </c>
      <c r="Z218" s="67">
        <f t="shared" si="78"/>
        <v>2.3315999999999999</v>
      </c>
      <c r="AA218" s="67">
        <f t="shared" si="79"/>
        <v>2.2913999999999999</v>
      </c>
      <c r="AB218" s="64" t="e">
        <f>VLOOKUP(A218,Enforcements!$C$7:$K$19,8,0)</f>
        <v>#N/A</v>
      </c>
      <c r="AC218" s="60" t="e">
        <f>VLOOKUP(A218,Enforcements!$C$7:$E$19,3,0)</f>
        <v>#N/A</v>
      </c>
      <c r="AD218" s="61" t="str">
        <f t="shared" si="80"/>
        <v>0315-22</v>
      </c>
      <c r="AE218" s="91" t="str">
        <f t="shared" si="81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8" s="88" t="str">
        <f t="shared" si="82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8" s="1" t="str">
        <f t="shared" si="83"/>
        <v>Other</v>
      </c>
      <c r="AH218" s="92" t="str">
        <f t="shared" si="84"/>
        <v>"%USERPROFILE%\Documents\GitHub\eaglep3\Utilities\RefineRTDCRunTimes.py" --tripid 315-22 --locoid 4046 --swversion DE.1.0.8.0 --startMP 204:402 --initTime 2016-12-23T02:13:12 --startdatetime 1969-12-31T17:00:00 --delay 1 --endMP 300:23316 --enddatetime 1969-12-31T17:00:00 --enforcementcount 0 &gt;&gt;C:\Users\stu\Documents\GitHub\eaglep3-reporting\EC\2016-12-22-refined-times.txt</v>
      </c>
      <c r="AI218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ID","value":"315-22"},{"id":16,"name":"Locomotive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493</v>
      </c>
      <c r="B219" s="7">
        <v>4044</v>
      </c>
      <c r="C219" s="22" t="s">
        <v>205</v>
      </c>
      <c r="D219" s="22" t="s">
        <v>831</v>
      </c>
      <c r="E219" s="13">
        <v>42726.206516203703</v>
      </c>
      <c r="F219" s="13">
        <v>42726.207812499997</v>
      </c>
      <c r="G219" s="7">
        <v>1</v>
      </c>
      <c r="H219" s="22" t="s">
        <v>832</v>
      </c>
      <c r="I219" s="13">
        <v>42726.213796296295</v>
      </c>
      <c r="J219" s="7">
        <v>0</v>
      </c>
      <c r="K219" s="109" t="str">
        <f t="shared" si="69"/>
        <v>4043/4044</v>
      </c>
      <c r="L219" s="22" t="str">
        <f>VLOOKUP(A219,'Trips&amp;Operators'!$C$1:$G$99999,5,FALSE)</f>
        <v>SHOOK JOHN</v>
      </c>
      <c r="M219" s="6">
        <f t="shared" si="70"/>
        <v>5.9837962980964221E-3</v>
      </c>
      <c r="N219" s="7">
        <f t="shared" si="71"/>
        <v>8.6166666692588478</v>
      </c>
      <c r="O219" s="7"/>
      <c r="P219" s="7"/>
      <c r="Q219" s="23"/>
      <c r="R219" s="23"/>
      <c r="S219" s="35">
        <f t="shared" si="72"/>
        <v>0</v>
      </c>
      <c r="T219" s="50" t="str">
        <f t="shared" si="73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03:57:23-700',mode:absolute,to:'2016-12-22 06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9" s="52" t="str">
        <f t="shared" si="75"/>
        <v>Y</v>
      </c>
      <c r="X219" s="177">
        <f t="shared" si="76"/>
        <v>586</v>
      </c>
      <c r="Y219" s="67">
        <f t="shared" si="77"/>
        <v>2.9986999999999999</v>
      </c>
      <c r="Z219" s="67">
        <f t="shared" si="78"/>
        <v>5.8967000000000001</v>
      </c>
      <c r="AA219" s="67">
        <f t="shared" si="79"/>
        <v>2.8980000000000001</v>
      </c>
      <c r="AB219" s="64" t="e">
        <f>VLOOKUP(A219,Enforcements!$C$7:$K$19,8,0)</f>
        <v>#N/A</v>
      </c>
      <c r="AC219" s="60" t="e">
        <f>VLOOKUP(A219,Enforcements!$C$7:$E$19,3,0)</f>
        <v>#N/A</v>
      </c>
      <c r="AD219" s="61" t="str">
        <f t="shared" si="80"/>
        <v>0901-22</v>
      </c>
      <c r="AE219" s="91" t="str">
        <f t="shared" si="81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19" s="88" t="str">
        <f t="shared" si="82"/>
        <v>"C:\Program Files (x86)\AstroGrep\AstroGrep.exe" /spath="%USERPROFILE%\AppData\Local\Temp\OnboardLogs" /stypes="app*4044*20161222*" /stext=" 12:.+((SYSTEM_STATE.+slice.+state.+changed )|(ment ac)|(multiple cpu faults)|(system.+state.+changed )|(\[timeout)|(PRM\|1\|D)|(kpr)|(kdp)|(\|lc)|(penalty))" /e /r /s</v>
      </c>
      <c r="AG219" s="1" t="str">
        <f t="shared" si="83"/>
        <v>Other</v>
      </c>
      <c r="AH219" s="92" t="str">
        <f t="shared" si="84"/>
        <v>"%USERPROFILE%\Documents\GitHub\eaglep3\Utilities\RefineRTDCRunTimes.py" --tripid 901-22 --locoid 4044 --swversion DE.1.0.8.0 --startMP 300:29987 --initTime 2016-12-22T04:57:23 --startdatetime 2016-12-22T04:59:15 --delay 1 --endMP 300:58967 --enddatetime 2016-12-22T05:07:52 --enforcementcount 0 &gt;&gt;C:\Users\stu\Documents\GitHub\eaglep3-reporting\EC\2016-12-22-refined-times.txt</v>
      </c>
      <c r="AI21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{"issue":{"subject":"","project_id":79,"tracker_id":40,"status_id":1,"priority_id":2,"assigned_to_id":23,"start_date":"2016-12-22","description":"","custom_fields":[{"id":1,"name":"Subdivision","value":"Other"},{"id":4,"name":"Milepost","value":"5.8967"},{"id":17,"name":"Train ID","value":"901-22"},{"id":16,"name":"Locomotive ID","value":"4044"},{"id":130,"name":"Impact","value":""},{"id":150,"name":"Time of Event (Mountain Time)","value":"05:07:52"},{"id":151,"name":"Denver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528</v>
      </c>
      <c r="B220" s="7">
        <v>4044</v>
      </c>
      <c r="C220" s="22" t="s">
        <v>205</v>
      </c>
      <c r="D220" s="22" t="s">
        <v>833</v>
      </c>
      <c r="E220" s="13">
        <v>42726.354675925926</v>
      </c>
      <c r="F220" s="13">
        <v>42726.356111111112</v>
      </c>
      <c r="G220" s="7">
        <v>1</v>
      </c>
      <c r="H220" s="22" t="s">
        <v>834</v>
      </c>
      <c r="I220" s="13">
        <v>42726.363437499997</v>
      </c>
      <c r="J220" s="7">
        <v>0</v>
      </c>
      <c r="K220" s="109" t="str">
        <f t="shared" si="69"/>
        <v>4043/4044</v>
      </c>
      <c r="L220" s="22" t="str">
        <f>VLOOKUP(A220,'Trips&amp;Operators'!$C$1:$G$99999,5,FALSE)</f>
        <v>SHOOK JOHN</v>
      </c>
      <c r="M220" s="6">
        <f t="shared" si="70"/>
        <v>7.326388884393964E-3</v>
      </c>
      <c r="N220" s="7">
        <f t="shared" si="71"/>
        <v>10.549999993527308</v>
      </c>
      <c r="O220" s="7"/>
      <c r="P220" s="7"/>
      <c r="Q220" s="23"/>
      <c r="R220" s="23"/>
      <c r="S220" s="35">
        <f t="shared" si="72"/>
        <v>1</v>
      </c>
      <c r="T220" s="50" t="str">
        <f t="shared" si="73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07:30:44-700',mode:absolute,to:'2016-12-22 09:43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0" s="52" t="str">
        <f t="shared" si="75"/>
        <v>Y</v>
      </c>
      <c r="X220" s="177">
        <f t="shared" si="76"/>
        <v>2</v>
      </c>
      <c r="Y220" s="67">
        <f t="shared" si="77"/>
        <v>0.1013</v>
      </c>
      <c r="Z220" s="67">
        <f t="shared" si="78"/>
        <v>3.1284000000000001</v>
      </c>
      <c r="AA220" s="67">
        <f t="shared" si="79"/>
        <v>3.0270999999999999</v>
      </c>
      <c r="AB220" s="64" t="e">
        <f>VLOOKUP(A220,Enforcements!$C$7:$K$19,8,0)</f>
        <v>#N/A</v>
      </c>
      <c r="AC220" s="60" t="e">
        <f>VLOOKUP(A220,Enforcements!$C$7:$E$19,3,0)</f>
        <v>#N/A</v>
      </c>
      <c r="AD220" s="61" t="str">
        <f t="shared" si="80"/>
        <v>0903-22</v>
      </c>
      <c r="AE220" s="91" t="str">
        <f t="shared" si="81"/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AF220" s="88" t="str">
        <f t="shared" si="82"/>
        <v>"C:\Program Files (x86)\AstroGrep\AstroGrep.exe" /spath="%USERPROFILE%\AppData\Local\Temp\OnboardLogs" /stypes="app*4044*20161222*" /stext=" 15:.+((SYSTEM_STATE.+slice.+state.+changed )|(ment ac)|(multiple cpu faults)|(system.+state.+changed )|(\[timeout)|(PRM\|1\|D)|(kpr)|(kdp)|(\|lc)|(penalty))" /e /r /s</v>
      </c>
      <c r="AG220" s="1" t="str">
        <f t="shared" si="83"/>
        <v>Other</v>
      </c>
      <c r="AH220" s="92" t="str">
        <f t="shared" si="84"/>
        <v>"%USERPROFILE%\Documents\GitHub\eaglep3\Utilities\RefineRTDCRunTimes.py" --tripid 903-22 --locoid 4044 --swversion DE.1.0.8.0 --startMP 204:1013 --initTime 2016-12-22T08:30:44 --startdatetime 2016-12-22T08:32:48 --delay 1 --endMP 300:31284 --enddatetime 2016-12-22T08:43:21 --enforcementcount 0 &gt;&gt;C:\Users\stu\Documents\GitHub\eaglep3-reporting\EC\2016-12-22-refined-times.txt</v>
      </c>
      <c r="AI220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{"issue":{"subject":"","project_id":79,"tracker_id":40,"status_id":1,"priority_id":2,"assigned_to_id":23,"start_date":"2016-12-22","description":"","custom_fields":[{"id":1,"name":"Subdivision","value":"Other"},{"id":4,"name":"Milepost","value":"3.1284"},{"id":17,"name":"Train ID","value":"903-22"},{"id":16,"name":"Locomotive ID","value":"4044"},{"id":130,"name":"Impact","value":""},{"id":150,"name":"Time of Event (Mountain Time)","value":"08:43:21"},{"id":151,"name":"Denver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463</v>
      </c>
      <c r="B221" s="7">
        <v>4043</v>
      </c>
      <c r="C221" s="22" t="s">
        <v>205</v>
      </c>
      <c r="D221" s="22" t="s">
        <v>835</v>
      </c>
      <c r="E221" s="13">
        <v>42726.641087962962</v>
      </c>
      <c r="F221" s="13">
        <v>42726.642326388886</v>
      </c>
      <c r="G221" s="7">
        <v>1</v>
      </c>
      <c r="H221" s="22" t="s">
        <v>436</v>
      </c>
      <c r="I221" s="13">
        <v>42726.648935185185</v>
      </c>
      <c r="J221" s="7">
        <v>0</v>
      </c>
      <c r="K221" s="109" t="str">
        <f t="shared" si="69"/>
        <v>4043/4044</v>
      </c>
      <c r="L221" s="22" t="str">
        <f>VLOOKUP(A221,'Trips&amp;Operators'!$C$1:$G$99999,5,FALSE)</f>
        <v>YANG JAN</v>
      </c>
      <c r="M221" s="6">
        <f t="shared" si="70"/>
        <v>6.6087962986784987E-3</v>
      </c>
      <c r="N221" s="7">
        <f t="shared" si="71"/>
        <v>9.5166666700970381</v>
      </c>
      <c r="O221" s="7"/>
      <c r="P221" s="7"/>
      <c r="Q221" s="23"/>
      <c r="R221" s="23"/>
      <c r="S221" s="35">
        <f t="shared" si="72"/>
        <v>1</v>
      </c>
      <c r="T221" s="50" t="str">
        <f t="shared" si="73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14:23:10-700',mode:absolute,to:'2016-12-22 16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1" s="52" t="str">
        <f t="shared" si="75"/>
        <v>Y</v>
      </c>
      <c r="X221" s="177">
        <f t="shared" si="76"/>
        <v>1</v>
      </c>
      <c r="Y221" s="67">
        <f t="shared" si="77"/>
        <v>2.3224</v>
      </c>
      <c r="Z221" s="67">
        <f t="shared" si="78"/>
        <v>6.2899999999999998E-2</v>
      </c>
      <c r="AA221" s="67">
        <f t="shared" si="79"/>
        <v>2.2595000000000001</v>
      </c>
      <c r="AB221" s="64" t="e">
        <f>VLOOKUP(A221,Enforcements!$C$7:$K$19,8,0)</f>
        <v>#N/A</v>
      </c>
      <c r="AC221" s="60" t="e">
        <f>VLOOKUP(A221,Enforcements!$C$7:$E$19,3,0)</f>
        <v>#N/A</v>
      </c>
      <c r="AD221" s="61" t="str">
        <f t="shared" si="80"/>
        <v>0904-22</v>
      </c>
      <c r="AE221" s="91" t="str">
        <f t="shared" si="81"/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AF221" s="88" t="str">
        <f t="shared" si="82"/>
        <v>"C:\Program Files (x86)\AstroGrep\AstroGrep.exe" /spath="%USERPROFILE%\AppData\Local\Temp\OnboardLogs" /stypes="app*4043*20161222*" /stext=" 22:.+((SYSTEM_STATE.+slice.+state.+changed )|(ment ac)|(multiple cpu faults)|(system.+state.+changed )|(\[timeout)|(PRM\|1\|D)|(kpr)|(kdp)|(\|lc)|(penalty))" /e /r /s</v>
      </c>
      <c r="AG221" s="1" t="str">
        <f t="shared" si="83"/>
        <v>Other</v>
      </c>
      <c r="AH221" s="92" t="str">
        <f t="shared" si="84"/>
        <v>"%USERPROFILE%\Documents\GitHub\eaglep3\Utilities\RefineRTDCRunTimes.py" --tripid 904-22 --locoid 4043 --swversion DE.1.0.8.0 --startMP 300:23224 --initTime 2016-12-22T15:23:10 --startdatetime 2016-12-22T15:24:57 --delay 1 --endMP 204:629 --enddatetime 2016-12-22T15:34:28 --enforcementcount 0 &gt;&gt;C:\Users\stu\Documents\GitHub\eaglep3-reporting\EC\2016-12-22-refined-times.txt</v>
      </c>
      <c r="AI22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{"issue":{"subject":"","project_id":79,"tracker_id":40,"status_id":1,"priority_id":2,"assigned_to_id":23,"start_date":"2016-12-22","description":"","custom_fields":[{"id":1,"name":"Subdivision","value":"Other"},{"id":4,"name":"Milepost","value":"0.0629"},{"id":17,"name":"Train ID","value":"904-22"},{"id":16,"name":"Locomotive ID","value":"4043"},{"id":130,"name":"Impact","value":""},{"id":150,"name":"Time of Event (Mountain Time)","value":"15:34:28"},{"id":151,"name":"Denver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642</v>
      </c>
      <c r="B222" s="7">
        <v>4043</v>
      </c>
      <c r="C222" s="22" t="s">
        <v>205</v>
      </c>
      <c r="D222" s="22" t="s">
        <v>812</v>
      </c>
      <c r="E222" s="13">
        <v>42726.797986111109</v>
      </c>
      <c r="F222" s="13">
        <v>25568.708333333332</v>
      </c>
      <c r="G222" s="7">
        <v>1</v>
      </c>
      <c r="H222" s="22" t="s">
        <v>836</v>
      </c>
      <c r="I222" s="13">
        <v>25568.708333333332</v>
      </c>
      <c r="J222" s="7">
        <v>0</v>
      </c>
      <c r="K222" s="109" t="str">
        <f t="shared" si="69"/>
        <v>4043/4044</v>
      </c>
      <c r="L222" s="22" t="str">
        <f>VLOOKUP(A222,'Trips&amp;Operators'!$C$1:$G$99999,5,FALSE)</f>
        <v>YANG JAN</v>
      </c>
      <c r="M222" s="6">
        <f t="shared" si="70"/>
        <v>0</v>
      </c>
      <c r="N222" s="7">
        <f t="shared" si="71"/>
        <v>0</v>
      </c>
      <c r="O222" s="7"/>
      <c r="P222" s="7"/>
      <c r="Q222" s="23"/>
      <c r="R222" s="23"/>
      <c r="S222" s="35">
        <f t="shared" si="72"/>
        <v>0</v>
      </c>
      <c r="T222" s="50" t="str">
        <f t="shared" si="73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18:09:06-700',mode:absolute,to:'1969-12-31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52" t="str">
        <f t="shared" si="75"/>
        <v>Y</v>
      </c>
      <c r="X222" s="177">
        <f t="shared" si="76"/>
        <v>2</v>
      </c>
      <c r="Y222" s="67">
        <f t="shared" si="77"/>
        <v>5.8639999999999999</v>
      </c>
      <c r="Z222" s="67">
        <f t="shared" si="78"/>
        <v>2.8795000000000002</v>
      </c>
      <c r="AA222" s="67">
        <f t="shared" si="79"/>
        <v>2.9844999999999997</v>
      </c>
      <c r="AB222" s="64" t="e">
        <f>VLOOKUP(A222,Enforcements!$C$7:$K$19,8,0)</f>
        <v>#N/A</v>
      </c>
      <c r="AC222" s="60" t="e">
        <f>VLOOKUP(A222,Enforcements!$C$7:$E$19,3,0)</f>
        <v>#N/A</v>
      </c>
      <c r="AD222" s="61" t="str">
        <f t="shared" si="80"/>
        <v>0906-22</v>
      </c>
      <c r="AE222" s="91" t="str">
        <f t="shared" si="81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2" s="88" t="str">
        <f t="shared" si="82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2" s="1" t="str">
        <f t="shared" si="83"/>
        <v>Other</v>
      </c>
      <c r="AH222" s="92" t="str">
        <f t="shared" si="84"/>
        <v>"%USERPROFILE%\Documents\GitHub\eaglep3\Utilities\RefineRTDCRunTimes.py" --tripid 906-22 --locoid 4043 --swversion DE.1.0.8.0 --startMP 300:58640 --initTime 2016-12-22T19:09:06 --startdatetime 1969-12-31T17:00:00 --delay 1 --endMP 300:28795 --enddatetime 1969-12-31T17:00:00 --enforcementcount 0 &gt;&gt;C:\Users\stu\Documents\GitHub\eaglep3-reporting\EC\2016-12-22-refined-times.txt</v>
      </c>
      <c r="AI222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ID","value":"906-22"},{"id":16,"name":"Locomotive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480</v>
      </c>
      <c r="B223" s="7">
        <v>4039</v>
      </c>
      <c r="C223" s="22" t="s">
        <v>205</v>
      </c>
      <c r="D223" s="22" t="s">
        <v>360</v>
      </c>
      <c r="E223" s="13">
        <v>42726.943298611113</v>
      </c>
      <c r="F223" s="13">
        <v>25568.708333333332</v>
      </c>
      <c r="G223" s="7">
        <v>1</v>
      </c>
      <c r="H223" s="22" t="s">
        <v>836</v>
      </c>
      <c r="I223" s="13">
        <v>25568.708333333332</v>
      </c>
      <c r="J223" s="7">
        <v>0</v>
      </c>
      <c r="K223" s="109" t="str">
        <f t="shared" si="69"/>
        <v>4039/4040</v>
      </c>
      <c r="L223" s="22" t="str">
        <f>VLOOKUP(A223,'Trips&amp;Operators'!$C$1:$G$99999,5,FALSE)</f>
        <v>YANG JAN</v>
      </c>
      <c r="M223" s="6">
        <f t="shared" si="70"/>
        <v>0</v>
      </c>
      <c r="N223" s="7">
        <f t="shared" si="71"/>
        <v>0</v>
      </c>
      <c r="O223" s="7"/>
      <c r="P223" s="7"/>
      <c r="Q223" s="23"/>
      <c r="R223" s="23"/>
      <c r="S223" s="35">
        <f t="shared" si="72"/>
        <v>0</v>
      </c>
      <c r="T223" s="50" t="str">
        <f t="shared" si="73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21:38:21-700',mode:absolute,to:'1969-12-31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3" s="52" t="str">
        <f t="shared" si="75"/>
        <v>Y</v>
      </c>
      <c r="X223" s="177">
        <f t="shared" si="76"/>
        <v>2</v>
      </c>
      <c r="Y223" s="67">
        <f t="shared" si="77"/>
        <v>5.8630000000000004</v>
      </c>
      <c r="Z223" s="67">
        <f t="shared" si="78"/>
        <v>2.8795000000000002</v>
      </c>
      <c r="AA223" s="67">
        <f t="shared" si="79"/>
        <v>2.9835000000000003</v>
      </c>
      <c r="AB223" s="64" t="e">
        <f>VLOOKUP(A223,Enforcements!$C$7:$K$19,8,0)</f>
        <v>#N/A</v>
      </c>
      <c r="AC223" s="60" t="e">
        <f>VLOOKUP(A223,Enforcements!$C$7:$E$19,3,0)</f>
        <v>#N/A</v>
      </c>
      <c r="AD223" s="61" t="str">
        <f t="shared" si="80"/>
        <v>0908-22</v>
      </c>
      <c r="AE223" s="91" t="str">
        <f t="shared" si="81"/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AF223" s="88" t="str">
        <f t="shared" si="82"/>
        <v>"C:\Program Files (x86)\AstroGrep\AstroGrep.exe" /spath="%USERPROFILE%\AppData\Local\Temp\OnboardLogs" /stypes="app*4039*19700101*" /stext=" 00:.+((SYSTEM_STATE.+slice.+state.+changed )|(ment ac)|(multiple cpu faults)|(system.+state.+changed )|(\[timeout)|(PRM\|1\|D)|(kpr)|(kdp)|(\|lc)|(penalty))" /e /r /s</v>
      </c>
      <c r="AG223" s="1" t="str">
        <f t="shared" si="83"/>
        <v>Other</v>
      </c>
      <c r="AH223" s="92" t="str">
        <f t="shared" si="84"/>
        <v>"%USERPROFILE%\Documents\GitHub\eaglep3\Utilities\RefineRTDCRunTimes.py" --tripid 908-22 --locoid 4039 --swversion DE.1.0.8.0 --startMP 300:58630 --initTime 2016-12-22T22:38:21 --startdatetime 1969-12-31T17:00:00 --delay 1 --endMP 300:28795 --enddatetime 1969-12-31T17:00:00 --enforcementcount 0 &gt;&gt;C:\Users\stu\Documents\GitHub\eaglep3-reporting\EC\2016-12-22-refined-times.txt</v>
      </c>
      <c r="AI223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{"issue":{"subject":"","project_id":79,"tracker_id":40,"status_id":1,"priority_id":2,"assigned_to_id":23,"start_date":"1969-12-31","description":"","custom_fields":[{"id":1,"name":"Subdivision","value":"Other"},{"id":4,"name":"Milepost","value":"2.8795"},{"id":17,"name":"Train ID","value":"908-22"},{"id":16,"name":"Locomotive ID","value":"4039"},{"id":130,"name":"Impact","value":""},{"id":150,"name":"Time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483</v>
      </c>
      <c r="B224" s="7">
        <v>4030</v>
      </c>
      <c r="C224" s="22" t="s">
        <v>205</v>
      </c>
      <c r="D224" s="22" t="s">
        <v>762</v>
      </c>
      <c r="E224" s="13">
        <v>42726.14267361111</v>
      </c>
      <c r="F224" s="13">
        <v>42726.166203703702</v>
      </c>
      <c r="G224" s="7">
        <v>1</v>
      </c>
      <c r="H224" s="22" t="s">
        <v>763</v>
      </c>
      <c r="I224" s="13">
        <v>42726.18954861111</v>
      </c>
      <c r="J224" s="7">
        <v>0</v>
      </c>
      <c r="K224" s="109" t="str">
        <f t="shared" si="69"/>
        <v>4029/4030</v>
      </c>
      <c r="L224" s="22" t="str">
        <f>VLOOKUP(A224,'Trips&amp;Operators'!$C$1:$G$99999,5,FALSE)</f>
        <v>MCREYNOLDS KYLE</v>
      </c>
      <c r="M224" s="6">
        <f t="shared" si="70"/>
        <v>2.3344907407590654E-2</v>
      </c>
      <c r="N224" s="7">
        <f t="shared" si="71"/>
        <v>33.616666666930541</v>
      </c>
      <c r="O224" s="7"/>
      <c r="P224" s="7"/>
      <c r="Q224" s="23"/>
      <c r="R224" s="23"/>
      <c r="S224" s="35">
        <f t="shared" si="72"/>
        <v>0</v>
      </c>
      <c r="T224" s="50" t="e">
        <f t="shared" si="73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02:25:27-700',mode:absolute,to:'2016-12-22 05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24" s="52" t="str">
        <f t="shared" si="75"/>
        <v>N</v>
      </c>
      <c r="X224" s="177" t="e">
        <f t="shared" si="76"/>
        <v>#VALUE!</v>
      </c>
      <c r="Y224" s="67">
        <f t="shared" si="77"/>
        <v>12.804600000000001</v>
      </c>
      <c r="Z224" s="67">
        <f t="shared" si="78"/>
        <v>0.11840000000000001</v>
      </c>
      <c r="AA224" s="67">
        <f t="shared" si="79"/>
        <v>12.686200000000001</v>
      </c>
      <c r="AB224" s="64" t="e">
        <f>VLOOKUP(A224,Enforcements!$C$7:$K$19,8,0)</f>
        <v>#N/A</v>
      </c>
      <c r="AC224" s="60" t="e">
        <f>VLOOKUP(A224,Enforcements!$C$7:$E$19,3,0)</f>
        <v>#N/A</v>
      </c>
      <c r="AD224" s="61" t="str">
        <f t="shared" si="80"/>
        <v>50-22</v>
      </c>
      <c r="AE224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24" s="88" t="str">
        <f t="shared" si="82"/>
        <v>"C:\Program Files (x86)\AstroGrep\AstroGrep.exe" /spath="%USERPROFILE%\AppData\Local\Temp\OnboardLogs" /stypes="app*4030*20161222*" /stext=" 11:.+((SYSTEM_STATE.+slice.+state.+changed )|(ment ac)|(multiple cpu faults)|(system.+state.+changed )|(\[timeout)|(PRM\|1\|D)|(kpr)|(kdp)|(\|lc)|(penalty))" /e /r /s</v>
      </c>
      <c r="AG224" s="1" t="str">
        <f t="shared" si="83"/>
        <v>Other</v>
      </c>
      <c r="AH224" s="92" t="str">
        <f t="shared" si="84"/>
        <v>"%USERPROFILE%\Documents\GitHub\eaglep3\Utilities\RefineRTDCRunTimes.py" --tripid 50-22 --locoid 4030 --swversion DE.1.0.8.0 --startMP 204:128046 --initTime 2016-12-22T03:25:27 --startdatetime 2016-12-22T03:59:20 --delay 1 --endMP 204:1184 --enddatetime 2016-12-22T04:32:57 --enforcementcount 0 &gt;&gt;C:\Users\stu\Documents\GitHub\eaglep3-reporting\EC\2016-12-22-refined-times.txt</v>
      </c>
      <c r="AI224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{"issue":{"subject":"","project_id":79,"tracker_id":40,"status_id":1,"priority_id":2,"assigned_to_id":23,"start_date":"2016-12-22","description":"","custom_fields":[{"id":1,"name":"Subdivision","value":"Other"},{"id":4,"name":"Milepost","value":"0.1184"},{"id":17,"name":"Train ID","value":"50-22"},{"id":16,"name":"Locomotive ID","value":"4030"},{"id":130,"name":"Impact","value":""},{"id":150,"name":"Time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389</v>
      </c>
      <c r="B225" s="7">
        <v>4042</v>
      </c>
      <c r="C225" s="22" t="s">
        <v>205</v>
      </c>
      <c r="D225" s="22" t="s">
        <v>413</v>
      </c>
      <c r="E225" s="13">
        <v>42726.074120370373</v>
      </c>
      <c r="F225" s="13">
        <v>42726.11</v>
      </c>
      <c r="G225" s="7">
        <v>1</v>
      </c>
      <c r="H225" s="22" t="s">
        <v>414</v>
      </c>
      <c r="I225" s="13">
        <v>42726.114942129629</v>
      </c>
      <c r="J225" s="7">
        <v>0</v>
      </c>
      <c r="K225" s="109" t="str">
        <f t="shared" si="69"/>
        <v>4041/4042</v>
      </c>
      <c r="L225" s="22" t="str">
        <f>VLOOKUP(A225,'Trips&amp;Operators'!$C$1:$G$99999,5,FALSE)</f>
        <v>PERKINS DARREN</v>
      </c>
      <c r="M225" s="6">
        <f t="shared" si="70"/>
        <v>4.9421296280343086E-3</v>
      </c>
      <c r="N225" s="7">
        <f t="shared" si="71"/>
        <v>7.1166666643694043</v>
      </c>
      <c r="O225" s="7"/>
      <c r="P225" s="7"/>
      <c r="Q225" s="23"/>
      <c r="R225" s="23"/>
      <c r="S225" s="35">
        <f t="shared" si="72"/>
        <v>0</v>
      </c>
      <c r="T225" s="50" t="e">
        <f t="shared" si="73"/>
        <v>#VALUE!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00:46:44-700',mode:absolute,to:'2016-12-22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5" s="52" t="str">
        <f t="shared" si="75"/>
        <v>N</v>
      </c>
      <c r="X225" s="177" t="e">
        <f t="shared" si="76"/>
        <v>#VALUE!</v>
      </c>
      <c r="Y225" s="67">
        <f t="shared" si="77"/>
        <v>6.7466999999999997</v>
      </c>
      <c r="Z225" s="67">
        <f t="shared" si="78"/>
        <v>12.826599999999999</v>
      </c>
      <c r="AA225" s="67">
        <f t="shared" si="79"/>
        <v>6.0798999999999994</v>
      </c>
      <c r="AB225" s="64" t="e">
        <f>VLOOKUP(A225,Enforcements!$C$7:$K$19,8,0)</f>
        <v>#N/A</v>
      </c>
      <c r="AC225" s="60" t="e">
        <f>VLOOKUP(A225,Enforcements!$C$7:$E$19,3,0)</f>
        <v>#N/A</v>
      </c>
      <c r="AD225" s="61" t="str">
        <f t="shared" si="80"/>
        <v>51-21</v>
      </c>
      <c r="AE225" s="91" t="str">
        <f t="shared" si="81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5" s="88" t="str">
        <f t="shared" si="82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5" s="1" t="str">
        <f t="shared" si="83"/>
        <v>Other</v>
      </c>
      <c r="AH225" s="92" t="str">
        <f t="shared" si="84"/>
        <v>"%USERPROFILE%\Documents\GitHub\eaglep3\Utilities\RefineRTDCRunTimes.py" --tripid 51-21 --locoid 4042 --swversion DE.1.0.8.0 --startMP 204:67467 --initTime 2016-12-22T01:46:44 --startdatetime 2016-12-22T02:38:24 --delay 1 --endMP 204:128266 --enddatetime 2016-12-22T02:45:31 --enforcementcount 0 &gt;&gt;C:\Users\stu\Documents\GitHub\eaglep3-reporting\EC\2016-12-22-refined-times.txt</v>
      </c>
      <c r="AI22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{"issue":{"subject":"","project_id":79,"tracker_id":40,"status_id":1,"priority_id":2,"assigned_to_id":23,"start_date":"2016-12-22","description":"","custom_fields":[{"id":1,"name":"Subdivision","value":"Other"},{"id":4,"name":"Milepost","value":"12.8266"},{"id":17,"name":"Train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389</v>
      </c>
      <c r="B226" s="7">
        <v>4042</v>
      </c>
      <c r="C226" s="22" t="s">
        <v>205</v>
      </c>
      <c r="D226" s="22" t="s">
        <v>415</v>
      </c>
      <c r="E226" s="13">
        <v>42726.104143518518</v>
      </c>
      <c r="F226" s="13">
        <v>42726.11</v>
      </c>
      <c r="G226" s="7">
        <v>1</v>
      </c>
      <c r="H226" s="22" t="s">
        <v>416</v>
      </c>
      <c r="I226" s="13">
        <v>42726.114942129629</v>
      </c>
      <c r="J226" s="7">
        <v>0</v>
      </c>
      <c r="K226" s="109" t="str">
        <f t="shared" si="69"/>
        <v>4041/4042</v>
      </c>
      <c r="L226" s="22" t="str">
        <f>VLOOKUP(A226,'Trips&amp;Operators'!$C$1:$G$99999,5,FALSE)</f>
        <v>PERKINS DARREN</v>
      </c>
      <c r="M226" s="6">
        <f t="shared" si="70"/>
        <v>4.9421296280343086E-3</v>
      </c>
      <c r="N226" s="7">
        <f t="shared" si="71"/>
        <v>7.1166666643694043</v>
      </c>
      <c r="O226" s="7"/>
      <c r="P226" s="7"/>
      <c r="Q226" s="23"/>
      <c r="R226" s="23"/>
      <c r="S226" s="35">
        <f t="shared" si="72"/>
        <v>0</v>
      </c>
      <c r="T226" s="50" t="e">
        <f t="shared" si="73"/>
        <v>#VALUE!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01:29:58-700',mode:absolute,to:'2016-12-22 03:45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6" s="52" t="str">
        <f t="shared" si="75"/>
        <v>N</v>
      </c>
      <c r="X226" s="177" t="e">
        <f t="shared" si="76"/>
        <v>#VALUE!</v>
      </c>
      <c r="Y226" s="67">
        <f t="shared" si="77"/>
        <v>6.7709999999999999</v>
      </c>
      <c r="Z226" s="67">
        <f t="shared" si="78"/>
        <v>12.831200000000001</v>
      </c>
      <c r="AA226" s="67">
        <f t="shared" si="79"/>
        <v>6.0602000000000009</v>
      </c>
      <c r="AB226" s="64" t="e">
        <f>VLOOKUP(A226,Enforcements!$C$7:$K$19,8,0)</f>
        <v>#N/A</v>
      </c>
      <c r="AC226" s="60" t="e">
        <f>VLOOKUP(A226,Enforcements!$C$7:$E$19,3,0)</f>
        <v>#N/A</v>
      </c>
      <c r="AD226" s="61" t="str">
        <f t="shared" si="80"/>
        <v>51-21</v>
      </c>
      <c r="AE226" s="91" t="str">
        <f t="shared" si="81"/>
        <v>aws s3 cp s3://rtdc.mdm.uploadarchive.raw/RTDC4042/ "%USERPROFILE%\AppData\Local\Temp\OnboardLogs"\RTDC4042\2016-12-22 --exclude "*" --recursive --include "*20161222*" &amp; "%USERPROFILE%\Documents\GitHub\mrs-test-scripts\Headless Mode &amp; Sideloading\WalkAndUnGZ.bat" "%USERPROFILE%\AppData\Local\Temp\OnboardLogs"\RTDC4042\2016-12-22 &amp; aws s3 cp s3://rtdc.mdm.uploadarchive.raw/RTDC4042/ "%USERPROFILE%\AppData\Local\Temp\OnboardLogs"\RTDC4042\2016-12-23 --exclude "*" --recursive --include "*20161223*" &amp; "%USERPROFILE%\Documents\GitHub\mrs-test-scripts\Headless Mode &amp; Sideloading\WalkAndUnGZ.bat" "%USERPROFILE%\AppData\Local\Temp\OnboardLogs"\RTDC4042\2016-12-23</v>
      </c>
      <c r="AF226" s="88" t="str">
        <f t="shared" si="82"/>
        <v>"C:\Program Files (x86)\AstroGrep\AstroGrep.exe" /spath="%USERPROFILE%\AppData\Local\Temp\OnboardLogs" /stypes="app*4042*20161222*" /stext=" 09:.+((SYSTEM_STATE.+slice.+state.+changed )|(ment ac)|(multiple cpu faults)|(system.+state.+changed )|(\[timeout)|(PRM\|1\|D)|(kpr)|(kdp)|(\|lc)|(penalty))" /e /r /s</v>
      </c>
      <c r="AG226" s="1" t="str">
        <f t="shared" si="83"/>
        <v>Other</v>
      </c>
      <c r="AH226" s="92" t="str">
        <f t="shared" si="84"/>
        <v>"%USERPROFILE%\Documents\GitHub\eaglep3\Utilities\RefineRTDCRunTimes.py" --tripid 51-21 --locoid 4042 --swversion DE.1.0.8.0 --startMP 204:67710 --initTime 2016-12-22T02:29:58 --startdatetime 2016-12-22T02:38:24 --delay 1 --endMP 204:128312 --enddatetime 2016-12-22T02:45:31 --enforcementcount 0 &gt;&gt;C:\Users\stu\Documents\GitHub\eaglep3-reporting\EC\2016-12-22-refined-times.txt</v>
      </c>
      <c r="AI226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{"issue":{"subject":"","project_id":79,"tracker_id":40,"status_id":1,"priority_id":2,"assigned_to_id":23,"start_date":"2016-12-22","description":"","custom_fields":[{"id":1,"name":"Subdivision","value":"Other"},{"id":4,"name":"Milepost","value":"12.8312"},{"id":17,"name":"Train ID","value":"51-21"},{"id":16,"name":"Locomotive ID","value":"4042"},{"id":130,"name":"Impact","value":""},{"id":150,"name":"Time of Event (Mountain Time)","value":"02:45:31"},{"id":151,"name":"Denver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383</v>
      </c>
      <c r="B227" s="7">
        <v>4041</v>
      </c>
      <c r="C227" s="22" t="s">
        <v>205</v>
      </c>
      <c r="D227" s="22" t="s">
        <v>417</v>
      </c>
      <c r="E227" s="13">
        <v>42726.085879629631</v>
      </c>
      <c r="F227" s="13">
        <v>42726.121527777781</v>
      </c>
      <c r="G227" s="7">
        <v>1</v>
      </c>
      <c r="H227" s="22" t="s">
        <v>418</v>
      </c>
      <c r="I227" s="13">
        <v>42726.177395833336</v>
      </c>
      <c r="J227" s="7">
        <v>0</v>
      </c>
      <c r="K227" s="109" t="str">
        <f t="shared" si="69"/>
        <v>4041/4042</v>
      </c>
      <c r="L227" s="22" t="str">
        <f>VLOOKUP(A227,'Trips&amp;Operators'!$C$1:$G$99999,5,FALSE)</f>
        <v>PERKINS DARREN</v>
      </c>
      <c r="M227" s="6">
        <f t="shared" si="70"/>
        <v>5.5868055555038154E-2</v>
      </c>
      <c r="N227" s="7">
        <f t="shared" si="71"/>
        <v>80.449999999254942</v>
      </c>
      <c r="O227" s="7"/>
      <c r="P227" s="7"/>
      <c r="Q227" s="23"/>
      <c r="R227" s="23"/>
      <c r="S227" s="35">
        <f t="shared" si="72"/>
        <v>0</v>
      </c>
      <c r="T227" s="50" t="e">
        <f t="shared" si="73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01:03:40-700',mode:absolute,to:'2016-12-22 05:15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7" s="52" t="str">
        <f t="shared" si="75"/>
        <v>N</v>
      </c>
      <c r="X227" s="177" t="e">
        <f t="shared" si="76"/>
        <v>#VALUE!</v>
      </c>
      <c r="Y227" s="67">
        <f t="shared" si="77"/>
        <v>12.799899999999999</v>
      </c>
      <c r="Z227" s="67">
        <f t="shared" si="78"/>
        <v>7.0053999999999998</v>
      </c>
      <c r="AA227" s="67">
        <f t="shared" si="79"/>
        <v>5.7944999999999993</v>
      </c>
      <c r="AB227" s="64" t="e">
        <f>VLOOKUP(A227,Enforcements!$C$7:$K$19,8,0)</f>
        <v>#N/A</v>
      </c>
      <c r="AC227" s="60" t="e">
        <f>VLOOKUP(A227,Enforcements!$C$7:$E$19,3,0)</f>
        <v>#N/A</v>
      </c>
      <c r="AD227" s="61" t="str">
        <f t="shared" si="80"/>
        <v>52-21</v>
      </c>
      <c r="AE227" s="91" t="str">
        <f t="shared" si="81"/>
        <v>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 &amp; 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</v>
      </c>
      <c r="AF227" s="88" t="str">
        <f t="shared" si="82"/>
        <v>"C:\Program Files (x86)\AstroGrep\AstroGrep.exe" /spath="%USERPROFILE%\AppData\Local\Temp\OnboardLogs" /stypes="app*4041*20161222*" /stext=" 11:.+((SYSTEM_STATE.+slice.+state.+changed )|(ment ac)|(multiple cpu faults)|(system.+state.+changed )|(\[timeout)|(PRM\|1\|D)|(kpr)|(kdp)|(\|lc)|(penalty))" /e /r /s</v>
      </c>
      <c r="AG227" s="1" t="str">
        <f t="shared" si="83"/>
        <v>Other</v>
      </c>
      <c r="AH227" s="92" t="str">
        <f t="shared" si="84"/>
        <v>"%USERPROFILE%\Documents\GitHub\eaglep3\Utilities\RefineRTDCRunTimes.py" --tripid 52-21 --locoid 4041 --swversion DE.1.0.8.0 --startMP 204:127999 --initTime 2016-12-22T02:03:40 --startdatetime 2016-12-22T02:55:00 --delay 1 --endMP 204:70054 --enddatetime 2016-12-22T04:15:27 --enforcementcount 0 &gt;&gt;C:\Users\stu\Documents\GitHub\eaglep3-reporting\EC\2016-12-22-refined-times.txt</v>
      </c>
      <c r="AI227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{"issue":{"subject":"","project_id":79,"tracker_id":40,"status_id":1,"priority_id":2,"assigned_to_id":23,"start_date":"2016-12-22","description":"","custom_fields":[{"id":1,"name":"Subdivision","value":"Other"},{"id":4,"name":"Milepost","value":"7.0054"},{"id":17,"name":"Train ID","value":"52-21"},{"id":16,"name":"Locomotive ID","value":"4041"},{"id":130,"name":"Impact","value":""},{"id":150,"name":"Time of Event (Mountain Time)","value":"04:15:27"},{"id":151,"name":"Denver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383</v>
      </c>
      <c r="B228" s="7">
        <v>4041</v>
      </c>
      <c r="C228" s="22" t="s">
        <v>205</v>
      </c>
      <c r="D228" s="22" t="s">
        <v>764</v>
      </c>
      <c r="E228" s="13">
        <v>42726.11613425926</v>
      </c>
      <c r="F228" s="13">
        <v>42726.193981481483</v>
      </c>
      <c r="G228" s="7">
        <v>2</v>
      </c>
      <c r="H228" s="22" t="s">
        <v>765</v>
      </c>
      <c r="I228" s="13">
        <v>42726.199803240743</v>
      </c>
      <c r="J228" s="7">
        <v>0</v>
      </c>
      <c r="K228" s="109" t="str">
        <f t="shared" si="69"/>
        <v>4041/4042</v>
      </c>
      <c r="L228" s="22" t="str">
        <f>VLOOKUP(A228,'Trips&amp;Operators'!$C$1:$G$99999,5,FALSE)</f>
        <v>PERKINS DARREN</v>
      </c>
      <c r="M228" s="6">
        <f t="shared" si="70"/>
        <v>5.8217592595610768E-3</v>
      </c>
      <c r="N228" s="7">
        <f t="shared" si="71"/>
        <v>8.3833333337679505</v>
      </c>
      <c r="O228" s="7"/>
      <c r="P228" s="7"/>
      <c r="Q228" s="23"/>
      <c r="R228" s="23"/>
      <c r="S228" s="35">
        <f t="shared" si="72"/>
        <v>0</v>
      </c>
      <c r="T228" s="50" t="e">
        <f t="shared" si="73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01:47:14-700',mode:absolute,to:'2016-12-22 05:47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8" s="52" t="str">
        <f t="shared" si="75"/>
        <v>N</v>
      </c>
      <c r="X228" s="177" t="e">
        <f t="shared" si="76"/>
        <v>#VALUE!</v>
      </c>
      <c r="Y228" s="67">
        <f t="shared" si="77"/>
        <v>12.805899999999999</v>
      </c>
      <c r="Z228" s="67">
        <f t="shared" si="78"/>
        <v>0.01</v>
      </c>
      <c r="AA228" s="67">
        <f t="shared" si="79"/>
        <v>12.7959</v>
      </c>
      <c r="AB228" s="64" t="e">
        <f>VLOOKUP(A228,Enforcements!$C$7:$K$19,8,0)</f>
        <v>#N/A</v>
      </c>
      <c r="AC228" s="60" t="e">
        <f>VLOOKUP(A228,Enforcements!$C$7:$E$19,3,0)</f>
        <v>#N/A</v>
      </c>
      <c r="AD228" s="61" t="str">
        <f t="shared" si="80"/>
        <v>52-21</v>
      </c>
      <c r="AE228" s="91" t="str">
        <f t="shared" si="81"/>
        <v>aws s3 cp s3://rtdc.mdm.uploadarchive.raw/RTDC4041/ "%USERPROFILE%\AppData\Local\Temp\OnboardLogs"\RTDC4041\2016-12-22 --exclude "*" --recursive --include "*20161222*" &amp; "%USERPROFILE%\Documents\GitHub\mrs-test-scripts\Headless Mode &amp; Sideloading\WalkAndUnGZ.bat" "%USERPROFILE%\AppData\Local\Temp\OnboardLogs"\RTDC4041\2016-12-22 &amp; aws s3 cp s3://rtdc.mdm.uploadarchive.raw/RTDC4041/ "%USERPROFILE%\AppData\Local\Temp\OnboardLogs"\RTDC4041\2016-12-23 --exclude "*" --recursive --include "*20161223*" &amp; "%USERPROFILE%\Documents\GitHub\mrs-test-scripts\Headless Mode &amp; Sideloading\WalkAndUnGZ.bat" "%USERPROFILE%\AppData\Local\Temp\OnboardLogs"\RTDC4041\2016-12-23</v>
      </c>
      <c r="AF228" s="88" t="str">
        <f t="shared" si="82"/>
        <v>"C:\Program Files (x86)\AstroGrep\AstroGrep.exe" /spath="%USERPROFILE%\AppData\Local\Temp\OnboardLogs" /stypes="app*4041*20161222*" /stext=" 11:.+((SYSTEM_STATE.+slice.+state.+changed )|(ment ac)|(multiple cpu faults)|(system.+state.+changed )|(\[timeout)|(PRM\|1\|D)|(kpr)|(kdp)|(\|lc)|(penalty))" /e /r /s</v>
      </c>
      <c r="AG228" s="1" t="str">
        <f t="shared" si="83"/>
        <v>Other</v>
      </c>
      <c r="AH228" s="92" t="str">
        <f t="shared" si="84"/>
        <v>"%USERPROFILE%\Documents\GitHub\eaglep3\Utilities\RefineRTDCRunTimes.py" --tripid 52-21 --locoid 4041 --swversion DE.1.0.8.0 --startMP 204:128059 --initTime 2016-12-22T02:47:14 --startdatetime 2016-12-22T04:39:20 --delay 2 --endMP 204:100 --enddatetime 2016-12-22T04:47:43 --enforcementcount 0 &gt;&gt;C:\Users\stu\Documents\GitHub\eaglep3-reporting\EC\2016-12-22-refined-times.txt</v>
      </c>
      <c r="AI22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{"issue":{"subject":"","project_id":79,"tracker_id":40,"status_id":1,"priority_id":2,"assigned_to_id":23,"start_date":"2016-12-22","description":"","custom_fields":[{"id":1,"name":"Subdivision","value":"Other"},{"id":4,"name":"Milepost","value":"0.01"},{"id":17,"name":"Train ID","value":"52-21"},{"id":16,"name":"Locomotive ID","value":"4041"},{"id":130,"name":"Impact","value":""},{"id":150,"name":"Time of Event (Mountain Time)","value":"04:47:43"},{"id":151,"name":"Denver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445</v>
      </c>
      <c r="B229" s="7">
        <v>4028</v>
      </c>
      <c r="C229" s="22" t="s">
        <v>205</v>
      </c>
      <c r="D229" s="22" t="s">
        <v>766</v>
      </c>
      <c r="E229" s="13">
        <v>42726.285428240742</v>
      </c>
      <c r="F229" s="13">
        <v>42726.287175925929</v>
      </c>
      <c r="G229" s="7">
        <v>1</v>
      </c>
      <c r="H229" s="22" t="s">
        <v>767</v>
      </c>
      <c r="I229" s="13">
        <v>42726.294340277775</v>
      </c>
      <c r="J229" s="7">
        <v>0</v>
      </c>
      <c r="K229" s="109" t="str">
        <f t="shared" si="69"/>
        <v>4027/4028</v>
      </c>
      <c r="L229" s="22" t="str">
        <f>VLOOKUP(A229,'Trips&amp;Operators'!$C$1:$G$99999,5,FALSE)</f>
        <v>SPECTOR MICHAEL</v>
      </c>
      <c r="M229" s="6">
        <f t="shared" si="70"/>
        <v>7.1643518458586186E-3</v>
      </c>
      <c r="N229" s="7">
        <f t="shared" si="71"/>
        <v>10.316666658036411</v>
      </c>
      <c r="O229" s="7"/>
      <c r="P229" s="7"/>
      <c r="Q229" s="23"/>
      <c r="R229" s="23"/>
      <c r="S229" s="35">
        <f t="shared" si="72"/>
        <v>0</v>
      </c>
      <c r="T229" s="50" t="e">
        <f t="shared" si="73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05:51:01-700',mode:absolute,to:'2016-12-22 08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9" s="52" t="str">
        <f t="shared" si="75"/>
        <v>Y</v>
      </c>
      <c r="X229" s="177" t="e">
        <f t="shared" si="76"/>
        <v>#VALUE!</v>
      </c>
      <c r="Y229" s="67">
        <f t="shared" si="77"/>
        <v>2.2204000000000002</v>
      </c>
      <c r="Z229" s="67">
        <f t="shared" si="78"/>
        <v>8.9499999999999996E-2</v>
      </c>
      <c r="AA229" s="67">
        <f t="shared" si="79"/>
        <v>2.1309</v>
      </c>
      <c r="AB229" s="64" t="e">
        <f>VLOOKUP(A229,Enforcements!$C$7:$K$19,8,0)</f>
        <v>#N/A</v>
      </c>
      <c r="AC229" s="60" t="e">
        <f>VLOOKUP(A229,Enforcements!$C$7:$E$19,3,0)</f>
        <v>#N/A</v>
      </c>
      <c r="AD229" s="61" t="str">
        <f t="shared" si="80"/>
        <v>52-22</v>
      </c>
      <c r="AE229" s="91" t="str">
        <f t="shared" si="81"/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AF229" s="88" t="str">
        <f t="shared" si="82"/>
        <v>"C:\Program Files (x86)\AstroGrep\AstroGrep.exe" /spath="%USERPROFILE%\AppData\Local\Temp\OnboardLogs" /stypes="app*4028*20161222*" /stext=" 14:.+((SYSTEM_STATE.+slice.+state.+changed )|(ment ac)|(multiple cpu faults)|(system.+state.+changed )|(\[timeout)|(PRM\|1\|D)|(kpr)|(kdp)|(\|lc)|(penalty))" /e /r /s</v>
      </c>
      <c r="AG229" s="1" t="str">
        <f t="shared" si="83"/>
        <v>Other</v>
      </c>
      <c r="AH229" s="92" t="str">
        <f t="shared" si="84"/>
        <v>"%USERPROFILE%\Documents\GitHub\eaglep3\Utilities\RefineRTDCRunTimes.py" --tripid 52-22 --locoid 4028 --swversion DE.1.0.8.0 --startMP 300:22204 --initTime 2016-12-22T06:51:01 --startdatetime 2016-12-22T06:53:32 --delay 1 --endMP 204:895 --enddatetime 2016-12-22T07:03:51 --enforcementcount 0 &gt;&gt;C:\Users\stu\Documents\GitHub\eaglep3-reporting\EC\2016-12-22-refined-times.txt</v>
      </c>
      <c r="AI22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{"issue":{"subject":"","project_id":79,"tracker_id":40,"status_id":1,"priority_id":2,"assigned_to_id":23,"start_date":"2016-12-22","description":"","custom_fields":[{"id":1,"name":"Subdivision","value":"Other"},{"id":4,"name":"Milepost","value":"0.0895"},{"id":17,"name":"Train ID","value":"52-22"},{"id":16,"name":"Locomotive ID","value":"4028"},{"id":130,"name":"Impact","value":""},{"id":150,"name":"Time of Event (Mountain Time)","value":"07:03:51"},{"id":151,"name":"Denver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562</v>
      </c>
      <c r="B230" s="7">
        <v>4053</v>
      </c>
      <c r="C230" s="22" t="s">
        <v>205</v>
      </c>
      <c r="D230" s="22" t="s">
        <v>768</v>
      </c>
      <c r="E230" s="13">
        <v>42726.484293981484</v>
      </c>
      <c r="F230" s="13">
        <v>25568.708333333332</v>
      </c>
      <c r="G230" s="7">
        <v>2</v>
      </c>
      <c r="H230" s="22" t="s">
        <v>769</v>
      </c>
      <c r="I230" s="13">
        <v>25568.708333333332</v>
      </c>
      <c r="J230" s="7">
        <v>0</v>
      </c>
      <c r="K230" s="109" t="str">
        <f t="shared" si="69"/>
        <v>4053/4054</v>
      </c>
      <c r="L230" s="22" t="str">
        <f>VLOOKUP(A230,'Trips&amp;Operators'!$C$1:$G$99999,5,FALSE)</f>
        <v>GEBRETEKLE DAGNEW</v>
      </c>
      <c r="M230" s="6">
        <f t="shared" si="70"/>
        <v>0</v>
      </c>
      <c r="N230" s="7">
        <f t="shared" si="71"/>
        <v>0</v>
      </c>
      <c r="O230" s="7"/>
      <c r="P230" s="7"/>
      <c r="Q230" s="23"/>
      <c r="R230" s="23"/>
      <c r="S230" s="35">
        <f t="shared" si="72"/>
        <v>0</v>
      </c>
      <c r="T230" s="50" t="e">
        <f t="shared" si="73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10:37:23-700',mode:absolute,to:'1969-12-31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0" s="52" t="str">
        <f t="shared" si="75"/>
        <v>Y</v>
      </c>
      <c r="X230" s="177" t="e">
        <f t="shared" si="76"/>
        <v>#VALUE!</v>
      </c>
      <c r="Y230" s="67">
        <f t="shared" si="77"/>
        <v>4.48E-2</v>
      </c>
      <c r="Z230" s="67">
        <f t="shared" si="78"/>
        <v>2.4195000000000002</v>
      </c>
      <c r="AA230" s="67">
        <f t="shared" si="79"/>
        <v>2.3747000000000003</v>
      </c>
      <c r="AB230" s="64" t="e">
        <f>VLOOKUP(A230,Enforcements!$C$7:$K$19,8,0)</f>
        <v>#N/A</v>
      </c>
      <c r="AC230" s="60" t="e">
        <f>VLOOKUP(A230,Enforcements!$C$7:$E$19,3,0)</f>
        <v>#N/A</v>
      </c>
      <c r="AD230" s="61" t="str">
        <f t="shared" si="80"/>
        <v>53-22</v>
      </c>
      <c r="AE230" s="91" t="str">
        <f t="shared" si="81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30" s="88" t="str">
        <f t="shared" si="82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30" s="1" t="str">
        <f t="shared" si="83"/>
        <v>Other</v>
      </c>
      <c r="AH230" s="92" t="str">
        <f t="shared" si="84"/>
        <v>"%USERPROFILE%\Documents\GitHub\eaglep3\Utilities\RefineRTDCRunTimes.py" --tripid 53-22 --locoid 4053 --swversion DE.1.0.8.0 --startMP 204:448 --initTime 2016-12-22T11:37:23 --startdatetime 1969-12-31T17:00:00 --delay 2 --endMP 300:24195 --enddatetime 1969-12-31T17:00:00 --enforcementcount 0 &gt;&gt;C:\Users\stu\Documents\GitHub\eaglep3-reporting\EC\2016-12-22-refined-times.txt</v>
      </c>
      <c r="AI230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{"issue":{"subject":"","project_id":79,"tracker_id":40,"status_id":1,"priority_id":2,"assigned_to_id":23,"start_date":"1969-12-31","description":"","custom_fields":[{"id":1,"name":"Subdivision","value":"Other"},{"id":4,"name":"Milepost","value":"2.4195"},{"id":17,"name":"Train ID","value":"53-22"},{"id":16,"name":"Locomotive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551</v>
      </c>
      <c r="B231" s="7">
        <v>4054</v>
      </c>
      <c r="C231" s="22" t="s">
        <v>205</v>
      </c>
      <c r="D231" s="22" t="s">
        <v>770</v>
      </c>
      <c r="E231" s="13">
        <v>42726.460729166669</v>
      </c>
      <c r="F231" s="13">
        <v>42726.462696759256</v>
      </c>
      <c r="G231" s="7">
        <v>2</v>
      </c>
      <c r="H231" s="22" t="s">
        <v>395</v>
      </c>
      <c r="I231" s="13">
        <v>42726.468819444446</v>
      </c>
      <c r="J231" s="7">
        <v>0</v>
      </c>
      <c r="K231" s="109" t="str">
        <f t="shared" si="69"/>
        <v>4053/4054</v>
      </c>
      <c r="L231" s="22" t="str">
        <f>VLOOKUP(A231,'Trips&amp;Operators'!$C$1:$G$99999,5,FALSE)</f>
        <v>MOSES BRADLEY</v>
      </c>
      <c r="M231" s="6">
        <f t="shared" si="70"/>
        <v>6.1226851903484203E-3</v>
      </c>
      <c r="N231" s="7">
        <f t="shared" si="71"/>
        <v>8.8166666741017252</v>
      </c>
      <c r="O231" s="7"/>
      <c r="P231" s="7"/>
      <c r="Q231" s="23"/>
      <c r="R231" s="23"/>
      <c r="S231" s="35">
        <f t="shared" si="72"/>
        <v>0</v>
      </c>
      <c r="T231" s="50" t="e">
        <f t="shared" si="73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10:03:27-700',mode:absolute,to:'2016-12-22 12:15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1" s="52" t="str">
        <f t="shared" si="75"/>
        <v>Y</v>
      </c>
      <c r="X231" s="177" t="e">
        <f t="shared" si="76"/>
        <v>#VALUE!</v>
      </c>
      <c r="Y231" s="67">
        <f t="shared" si="77"/>
        <v>2.2044999999999999</v>
      </c>
      <c r="Z231" s="67">
        <f t="shared" si="78"/>
        <v>1.5800000000000002E-2</v>
      </c>
      <c r="AA231" s="67">
        <f t="shared" si="79"/>
        <v>2.1886999999999999</v>
      </c>
      <c r="AB231" s="64" t="e">
        <f>VLOOKUP(A231,Enforcements!$C$7:$K$19,8,0)</f>
        <v>#N/A</v>
      </c>
      <c r="AC231" s="60" t="e">
        <f>VLOOKUP(A231,Enforcements!$C$7:$E$19,3,0)</f>
        <v>#N/A</v>
      </c>
      <c r="AD231" s="61" t="str">
        <f t="shared" si="80"/>
        <v>54-22</v>
      </c>
      <c r="AE231" s="91" t="str">
        <f t="shared" si="81"/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AF231" s="88" t="str">
        <f t="shared" si="82"/>
        <v>"C:\Program Files (x86)\AstroGrep\AstroGrep.exe" /spath="%USERPROFILE%\AppData\Local\Temp\OnboardLogs" /stypes="app*4054*20161222*" /stext=" 18:.+((SYSTEM_STATE.+slice.+state.+changed )|(ment ac)|(multiple cpu faults)|(system.+state.+changed )|(\[timeout)|(PRM\|1\|D)|(kpr)|(kdp)|(\|lc)|(penalty))" /e /r /s</v>
      </c>
      <c r="AG231" s="1" t="str">
        <f t="shared" si="83"/>
        <v>Other</v>
      </c>
      <c r="AH231" s="92" t="str">
        <f t="shared" si="84"/>
        <v>"%USERPROFILE%\Documents\GitHub\eaglep3\Utilities\RefineRTDCRunTimes.py" --tripid 54-22 --locoid 4054 --swversion DE.1.0.8.0 --startMP 300:22045 --initTime 2016-12-22T11:03:27 --startdatetime 2016-12-22T11:06:17 --delay 2 --endMP 204:158 --enddatetime 2016-12-22T11:15:06 --enforcementcount 0 &gt;&gt;C:\Users\stu\Documents\GitHub\eaglep3-reporting\EC\2016-12-22-refined-times.txt</v>
      </c>
      <c r="AI231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{"issue":{"subject":"","project_id":79,"tracker_id":40,"status_id":1,"priority_id":2,"assigned_to_id":23,"start_date":"2016-12-22","description":"","custom_fields":[{"id":1,"name":"Subdivision","value":"Other"},{"id":4,"name":"Milepost","value":"0.0158"},{"id":17,"name":"Train ID","value":"54-22"},{"id":16,"name":"Locomotive ID","value":"4054"},{"id":130,"name":"Impact","value":""},{"id":150,"name":"Time of Event (Mountain Time)","value":"11:15:06"},{"id":151,"name":"Denver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630</v>
      </c>
      <c r="B232" s="7">
        <v>4011</v>
      </c>
      <c r="C232" s="22" t="s">
        <v>205</v>
      </c>
      <c r="D232" s="22" t="s">
        <v>771</v>
      </c>
      <c r="E232" s="13">
        <v>42726.760717592595</v>
      </c>
      <c r="F232" s="13">
        <v>42726.762719907405</v>
      </c>
      <c r="G232" s="7">
        <v>1</v>
      </c>
      <c r="H232" s="22" t="s">
        <v>772</v>
      </c>
      <c r="I232" s="13">
        <v>42726.770729166667</v>
      </c>
      <c r="J232" s="7">
        <v>0</v>
      </c>
      <c r="K232" s="109" t="str">
        <f t="shared" si="69"/>
        <v>4011/4012</v>
      </c>
      <c r="L232" s="22" t="str">
        <f>VLOOKUP(A232,'Trips&amp;Operators'!$C$1:$G$99999,5,FALSE)</f>
        <v>CLARK KATHLEEN</v>
      </c>
      <c r="M232" s="6">
        <f t="shared" si="70"/>
        <v>8.0092592615983449E-3</v>
      </c>
      <c r="N232" s="7">
        <f t="shared" si="71"/>
        <v>11.533333336701617</v>
      </c>
      <c r="O232" s="7"/>
      <c r="P232" s="7"/>
      <c r="Q232" s="23"/>
      <c r="R232" s="23"/>
      <c r="S232" s="35">
        <f t="shared" si="72"/>
        <v>0</v>
      </c>
      <c r="T232" s="50" t="e">
        <f t="shared" si="73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17:15:26-700',mode:absolute,to:'2016-12-22 19:29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32" s="52" t="str">
        <f t="shared" si="75"/>
        <v>Y</v>
      </c>
      <c r="X232" s="177" t="e">
        <f t="shared" si="76"/>
        <v>#VALUE!</v>
      </c>
      <c r="Y232" s="67">
        <f t="shared" si="77"/>
        <v>7.4999999999999997E-2</v>
      </c>
      <c r="Z232" s="67">
        <f t="shared" si="78"/>
        <v>2.4074</v>
      </c>
      <c r="AA232" s="67">
        <f t="shared" si="79"/>
        <v>2.3323999999999998</v>
      </c>
      <c r="AB232" s="64" t="e">
        <f>VLOOKUP(A232,Enforcements!$C$7:$K$19,8,0)</f>
        <v>#N/A</v>
      </c>
      <c r="AC232" s="60" t="e">
        <f>VLOOKUP(A232,Enforcements!$C$7:$E$19,3,0)</f>
        <v>#N/A</v>
      </c>
      <c r="AD232" s="61" t="str">
        <f t="shared" si="80"/>
        <v>55-22</v>
      </c>
      <c r="AE232" s="91" t="str">
        <f t="shared" si="81"/>
        <v>aws s3 cp s3://rtdc.mdm.uploadarchive.raw/RTDC4011/ "%USERPROFILE%\AppData\Local\Temp\OnboardLogs"\RTDC4011\2016-12-22 --exclude "*" --recursive --include "*20161222*" &amp; "%USERPROFILE%\Documents\GitHub\mrs-test-scripts\Headless Mode &amp; Sideloading\WalkAndUnGZ.bat" "%USERPROFILE%\AppData\Local\Temp\OnboardLogs"\RTDC4011\2016-12-22 &amp; aws s3 cp s3://rtdc.mdm.uploadarchive.raw/RTDC4011/ "%USERPROFILE%\AppData\Local\Temp\OnboardLogs"\RTDC4011\2016-12-23 --exclude "*" --recursive --include "*20161223*" &amp; "%USERPROFILE%\Documents\GitHub\mrs-test-scripts\Headless Mode &amp; Sideloading\WalkAndUnGZ.bat" "%USERPROFILE%\AppData\Local\Temp\OnboardLogs"\RTDC4011\2016-12-23</v>
      </c>
      <c r="AF232" s="88" t="str">
        <f t="shared" si="82"/>
        <v>"C:\Program Files (x86)\AstroGrep\AstroGrep.exe" /spath="%USERPROFILE%\AppData\Local\Temp\OnboardLogs" /stypes="app*4011*20161223*" /stext=" 01:.+((SYSTEM_STATE.+slice.+state.+changed )|(ment ac)|(multiple cpu faults)|(system.+state.+changed )|(\[timeout)|(PRM\|1\|D)|(kpr)|(kdp)|(\|lc)|(penalty))" /e /r /s</v>
      </c>
      <c r="AG232" s="1" t="str">
        <f t="shared" si="83"/>
        <v>Other</v>
      </c>
      <c r="AH232" s="92" t="str">
        <f t="shared" si="84"/>
        <v>"%USERPROFILE%\Documents\GitHub\eaglep3\Utilities\RefineRTDCRunTimes.py" --tripid 55-22 --locoid 4011 --swversion DE.1.0.8.0 --startMP 204:750 --initTime 2016-12-22T18:15:26 --startdatetime 2016-12-22T18:18:19 --delay 1 --endMP 300:24074 --enddatetime 2016-12-22T18:29:51 --enforcementcount 0 &gt;&gt;C:\Users\stu\Documents\GitHub\eaglep3-reporting\EC\2016-12-22-refined-times.txt</v>
      </c>
      <c r="AI232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{"issue":{"subject":"","project_id":79,"tracker_id":40,"status_id":1,"priority_id":2,"assigned_to_id":23,"start_date":"2016-12-22","description":"","custom_fields":[{"id":1,"name":"Subdivision","value":"Other"},{"id":4,"name":"Milepost","value":"2.4074"},{"id":17,"name":"Train ID","value":"55-22"},{"id":16,"name":"Locomotive ID","value":"4011"},{"id":130,"name":"Impact","value":""},{"id":150,"name":"Time of Event (Mountain Time)","value":"18:29:51"},{"id":151,"name":"Denver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470</v>
      </c>
      <c r="B233" s="7">
        <v>4054</v>
      </c>
      <c r="C233" s="22" t="s">
        <v>205</v>
      </c>
      <c r="D233" s="22" t="s">
        <v>773</v>
      </c>
      <c r="E233" s="13">
        <v>42726.71130787037</v>
      </c>
      <c r="F233" s="13">
        <v>42726.713321759256</v>
      </c>
      <c r="G233" s="7">
        <v>2</v>
      </c>
      <c r="H233" s="22" t="s">
        <v>774</v>
      </c>
      <c r="I233" s="13">
        <v>42726.719351851854</v>
      </c>
      <c r="J233" s="7">
        <v>0</v>
      </c>
      <c r="K233" s="109" t="str">
        <f t="shared" si="69"/>
        <v>4053/4054</v>
      </c>
      <c r="L233" s="22" t="str">
        <f>VLOOKUP(A233,'Trips&amp;Operators'!$C$1:$G$99999,5,FALSE)</f>
        <v>NEWELL JAMES</v>
      </c>
      <c r="M233" s="6">
        <f t="shared" si="70"/>
        <v>6.030092597939074E-3</v>
      </c>
      <c r="N233" s="7">
        <f t="shared" si="71"/>
        <v>8.6833333410322666</v>
      </c>
      <c r="O233" s="7"/>
      <c r="P233" s="7"/>
      <c r="Q233" s="23"/>
      <c r="R233" s="23"/>
      <c r="S233" s="35">
        <f t="shared" si="72"/>
        <v>0</v>
      </c>
      <c r="T233" s="50" t="e">
        <f t="shared" si="73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16:04:17-700',mode:absolute,to:'2016-12-22 18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33" s="52" t="str">
        <f t="shared" si="75"/>
        <v>Y</v>
      </c>
      <c r="X233" s="177" t="e">
        <f t="shared" si="76"/>
        <v>#VALUE!</v>
      </c>
      <c r="Y233" s="67">
        <f t="shared" si="77"/>
        <v>2.34</v>
      </c>
      <c r="Z233" s="67">
        <f t="shared" si="78"/>
        <v>1.66E-2</v>
      </c>
      <c r="AA233" s="67">
        <f t="shared" si="79"/>
        <v>2.3233999999999999</v>
      </c>
      <c r="AB233" s="64" t="e">
        <f>VLOOKUP(A233,Enforcements!$C$7:$K$19,8,0)</f>
        <v>#N/A</v>
      </c>
      <c r="AC233" s="60" t="e">
        <f>VLOOKUP(A233,Enforcements!$C$7:$E$19,3,0)</f>
        <v>#N/A</v>
      </c>
      <c r="AD233" s="61" t="str">
        <f t="shared" si="80"/>
        <v>56-22</v>
      </c>
      <c r="AE233" s="91" t="str">
        <f t="shared" si="81"/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AF233" s="88" t="str">
        <f t="shared" si="82"/>
        <v>"C:\Program Files (x86)\AstroGrep\AstroGrep.exe" /spath="%USERPROFILE%\AppData\Local\Temp\OnboardLogs" /stypes="app*4054*20161223*" /stext=" 00:.+((SYSTEM_STATE.+slice.+state.+changed )|(ment ac)|(multiple cpu faults)|(system.+state.+changed )|(\[timeout)|(PRM\|1\|D)|(kpr)|(kdp)|(\|lc)|(penalty))" /e /r /s</v>
      </c>
      <c r="AG233" s="1" t="str">
        <f t="shared" si="83"/>
        <v>Other</v>
      </c>
      <c r="AH233" s="92" t="str">
        <f t="shared" si="84"/>
        <v>"%USERPROFILE%\Documents\GitHub\eaglep3\Utilities\RefineRTDCRunTimes.py" --tripid 56-22 --locoid 4054 --swversion DE.1.0.8.0 --startMP 300:23400 --initTime 2016-12-22T17:04:17 --startdatetime 2016-12-22T17:07:11 --delay 2 --endMP 204:166 --enddatetime 2016-12-22T17:15:52 --enforcementcount 0 &gt;&gt;C:\Users\stu\Documents\GitHub\eaglep3-reporting\EC\2016-12-22-refined-times.txt</v>
      </c>
      <c r="AI233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{"issue":{"subject":"","project_id":79,"tracker_id":40,"status_id":1,"priority_id":2,"assigned_to_id":23,"start_date":"2016-12-22","description":"","custom_fields":[{"id":1,"name":"Subdivision","value":"Other"},{"id":4,"name":"Milepost","value":"0.0166"},{"id":17,"name":"Train ID","value":"56-22"},{"id":16,"name":"Locomotive ID","value":"4054"},{"id":130,"name":"Impact","value":""},{"id":150,"name":"Time of Event (Mountain Time)","value":"17:15:52"},{"id":151,"name":"Denver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632</v>
      </c>
      <c r="B234" s="7">
        <v>4053</v>
      </c>
      <c r="C234" s="22" t="s">
        <v>205</v>
      </c>
      <c r="D234" s="22" t="s">
        <v>255</v>
      </c>
      <c r="E234" s="13">
        <v>42726.763321759259</v>
      </c>
      <c r="F234" s="13">
        <v>42726.768703703703</v>
      </c>
      <c r="G234" s="7">
        <v>2</v>
      </c>
      <c r="H234" s="22" t="s">
        <v>775</v>
      </c>
      <c r="I234" s="13">
        <v>42726.775393518517</v>
      </c>
      <c r="J234" s="7">
        <v>0</v>
      </c>
      <c r="K234" s="109" t="str">
        <f t="shared" si="69"/>
        <v>4053/4054</v>
      </c>
      <c r="L234" s="22" t="str">
        <f>VLOOKUP(A234,'Trips&amp;Operators'!$C$1:$G$99999,5,FALSE)</f>
        <v>KILLION DAVID</v>
      </c>
      <c r="M234" s="6">
        <f t="shared" si="70"/>
        <v>6.6898148143081926E-3</v>
      </c>
      <c r="N234" s="7">
        <f t="shared" si="71"/>
        <v>9.6333333326037973</v>
      </c>
      <c r="O234" s="7"/>
      <c r="P234" s="7"/>
      <c r="Q234" s="23"/>
      <c r="R234" s="23"/>
      <c r="S234" s="35">
        <f t="shared" si="72"/>
        <v>0</v>
      </c>
      <c r="T234" s="50" t="e">
        <f t="shared" si="73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17:19:11-700',mode:absolute,to:'2016-12-22 19:36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4" s="52" t="str">
        <f t="shared" si="75"/>
        <v>Y</v>
      </c>
      <c r="X234" s="177" t="e">
        <f t="shared" si="76"/>
        <v>#VALUE!</v>
      </c>
      <c r="Y234" s="67">
        <f t="shared" si="77"/>
        <v>4.6399999999999997E-2</v>
      </c>
      <c r="Z234" s="67">
        <f t="shared" si="78"/>
        <v>2.3671000000000002</v>
      </c>
      <c r="AA234" s="67">
        <f t="shared" si="79"/>
        <v>2.3207000000000004</v>
      </c>
      <c r="AB234" s="64" t="e">
        <f>VLOOKUP(A234,Enforcements!$C$7:$K$19,8,0)</f>
        <v>#N/A</v>
      </c>
      <c r="AC234" s="60" t="e">
        <f>VLOOKUP(A234,Enforcements!$C$7:$E$19,3,0)</f>
        <v>#N/A</v>
      </c>
      <c r="AD234" s="61" t="str">
        <f t="shared" si="80"/>
        <v>57-22</v>
      </c>
      <c r="AE234" s="91" t="str">
        <f t="shared" si="81"/>
        <v>aws s3 cp s3://rtdc.mdm.uploadarchive.raw/RTDC4053/ "%USERPROFILE%\AppData\Local\Temp\OnboardLogs"\RTDC4053\2016-12-22 --exclude "*" --recursive --include "*20161222*" &amp; "%USERPROFILE%\Documents\GitHub\mrs-test-scripts\Headless Mode &amp; Sideloading\WalkAndUnGZ.bat" "%USERPROFILE%\AppData\Local\Temp\OnboardLogs"\RTDC4053\2016-12-22 &amp; aws s3 cp s3://rtdc.mdm.uploadarchive.raw/RTDC4053/ "%USERPROFILE%\AppData\Local\Temp\OnboardLogs"\RTDC4053\2016-12-23 --exclude "*" --recursive --include "*20161223*" &amp; "%USERPROFILE%\Documents\GitHub\mrs-test-scripts\Headless Mode &amp; Sideloading\WalkAndUnGZ.bat" "%USERPROFILE%\AppData\Local\Temp\OnboardLogs"\RTDC4053\2016-12-23</v>
      </c>
      <c r="AF234" s="88" t="str">
        <f t="shared" si="82"/>
        <v>"C:\Program Files (x86)\AstroGrep\AstroGrep.exe" /spath="%USERPROFILE%\AppData\Local\Temp\OnboardLogs" /stypes="app*4053*20161223*" /stext=" 01:.+((SYSTEM_STATE.+slice.+state.+changed )|(ment ac)|(multiple cpu faults)|(system.+state.+changed )|(\[timeout)|(PRM\|1\|D)|(kpr)|(kdp)|(\|lc)|(penalty))" /e /r /s</v>
      </c>
      <c r="AG234" s="1" t="str">
        <f t="shared" si="83"/>
        <v>Other</v>
      </c>
      <c r="AH234" s="92" t="str">
        <f t="shared" si="84"/>
        <v>"%USERPROFILE%\Documents\GitHub\eaglep3\Utilities\RefineRTDCRunTimes.py" --tripid 57-22 --locoid 4053 --swversion DE.1.0.8.0 --startMP 204:464 --initTime 2016-12-22T18:19:11 --startdatetime 2016-12-22T18:26:56 --delay 2 --endMP 300:23671 --enddatetime 2016-12-22T18:36:34 --enforcementcount 0 &gt;&gt;C:\Users\stu\Documents\GitHub\eaglep3-reporting\EC\2016-12-22-refined-times.txt</v>
      </c>
      <c r="AI234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{"issue":{"subject":"","project_id":79,"tracker_id":40,"status_id":1,"priority_id":2,"assigned_to_id":23,"start_date":"2016-12-22","description":"","custom_fields":[{"id":1,"name":"Subdivision","value":"Other"},{"id":4,"name":"Milepost","value":"2.3671"},{"id":17,"name":"Train ID","value":"57-22"},{"id":16,"name":"Locomotive ID","value":"4053"},{"id":130,"name":"Impact","value":""},{"id":150,"name":"Time of Event (Mountain Time)","value":"18:36:34"},{"id":151,"name":"Denver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621</v>
      </c>
      <c r="B235" s="7">
        <v>4012</v>
      </c>
      <c r="C235" s="22" t="s">
        <v>205</v>
      </c>
      <c r="D235" s="22" t="s">
        <v>776</v>
      </c>
      <c r="E235" s="13">
        <v>42726.737210648149</v>
      </c>
      <c r="F235" s="13">
        <v>42726.738680555558</v>
      </c>
      <c r="G235" s="7">
        <v>1</v>
      </c>
      <c r="H235" s="22" t="s">
        <v>701</v>
      </c>
      <c r="I235" s="13">
        <v>42726.745081018518</v>
      </c>
      <c r="J235" s="7">
        <v>0</v>
      </c>
      <c r="K235" s="109" t="str">
        <f t="shared" si="69"/>
        <v>4011/4012</v>
      </c>
      <c r="L235" s="22" t="str">
        <f>VLOOKUP(A235,'Trips&amp;Operators'!$C$1:$G$99999,5,FALSE)</f>
        <v>BROWN JACOB</v>
      </c>
      <c r="M235" s="6">
        <f t="shared" si="70"/>
        <v>6.4004629603005014E-3</v>
      </c>
      <c r="N235" s="7">
        <f t="shared" si="71"/>
        <v>9.2166666628327221</v>
      </c>
      <c r="O235" s="7"/>
      <c r="P235" s="7"/>
      <c r="Q235" s="23"/>
      <c r="R235" s="23"/>
      <c r="S235" s="35">
        <f t="shared" si="72"/>
        <v>0</v>
      </c>
      <c r="T235" s="50" t="e">
        <f t="shared" si="73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16:41:35-700',mode:absolute,to:'2016-12-22 18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35" s="52" t="str">
        <f t="shared" si="75"/>
        <v>Y</v>
      </c>
      <c r="X235" s="177" t="e">
        <f t="shared" si="76"/>
        <v>#VALUE!</v>
      </c>
      <c r="Y235" s="67">
        <f t="shared" si="77"/>
        <v>2.3134999999999999</v>
      </c>
      <c r="Z235" s="67">
        <f t="shared" si="78"/>
        <v>4.5699999999999998E-2</v>
      </c>
      <c r="AA235" s="67">
        <f t="shared" si="79"/>
        <v>2.2677999999999998</v>
      </c>
      <c r="AB235" s="64" t="e">
        <f>VLOOKUP(A235,Enforcements!$C$7:$K$19,8,0)</f>
        <v>#N/A</v>
      </c>
      <c r="AC235" s="60" t="e">
        <f>VLOOKUP(A235,Enforcements!$C$7:$E$19,3,0)</f>
        <v>#N/A</v>
      </c>
      <c r="AD235" s="61" t="str">
        <f t="shared" si="80"/>
        <v>58-22</v>
      </c>
      <c r="AE235" s="91" t="str">
        <f t="shared" si="81"/>
        <v>aws s3 cp s3://rtdc.mdm.uploadarchive.raw/RTDC4012/ "%USERPROFILE%\AppData\Local\Temp\OnboardLogs"\RTDC4012\2016-12-22 --exclude "*" --recursive --include "*20161222*" &amp; "%USERPROFILE%\Documents\GitHub\mrs-test-scripts\Headless Mode &amp; Sideloading\WalkAndUnGZ.bat" "%USERPROFILE%\AppData\Local\Temp\OnboardLogs"\RTDC4012\2016-12-22 &amp; aws s3 cp s3://rtdc.mdm.uploadarchive.raw/RTDC4012/ "%USERPROFILE%\AppData\Local\Temp\OnboardLogs"\RTDC4012\2016-12-23 --exclude "*" --recursive --include "*20161223*" &amp; "%USERPROFILE%\Documents\GitHub\mrs-test-scripts\Headless Mode &amp; Sideloading\WalkAndUnGZ.bat" "%USERPROFILE%\AppData\Local\Temp\OnboardLogs"\RTDC4012\2016-12-23</v>
      </c>
      <c r="AF235" s="88" t="str">
        <f t="shared" si="82"/>
        <v>"C:\Program Files (x86)\AstroGrep\AstroGrep.exe" /spath="%USERPROFILE%\AppData\Local\Temp\OnboardLogs" /stypes="app*4012*20161223*" /stext=" 00:.+((SYSTEM_STATE.+slice.+state.+changed )|(ment ac)|(multiple cpu faults)|(system.+state.+changed )|(\[timeout)|(PRM\|1\|D)|(kpr)|(kdp)|(\|lc)|(penalty))" /e /r /s</v>
      </c>
      <c r="AG235" s="1" t="str">
        <f t="shared" si="83"/>
        <v>Other</v>
      </c>
      <c r="AH235" s="92" t="str">
        <f t="shared" si="84"/>
        <v>"%USERPROFILE%\Documents\GitHub\eaglep3\Utilities\RefineRTDCRunTimes.py" --tripid 58-22 --locoid 4012 --swversion DE.1.0.8.0 --startMP 300:23135 --initTime 2016-12-22T17:41:35 --startdatetime 2016-12-22T17:43:42 --delay 1 --endMP 204:457 --enddatetime 2016-12-22T17:52:55 --enforcementcount 0 &gt;&gt;C:\Users\stu\Documents\GitHub\eaglep3-reporting\EC\2016-12-22-refined-times.txt</v>
      </c>
      <c r="AI235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{"issue":{"subject":"","project_id":79,"tracker_id":40,"status_id":1,"priority_id":2,"assigned_to_id":23,"start_date":"2016-12-22","description":"","custom_fields":[{"id":1,"name":"Subdivision","value":"Other"},{"id":4,"name":"Milepost","value":"0.0457"},{"id":17,"name":"Train ID","value":"58-22"},{"id":16,"name":"Locomotive ID","value":"4012"},{"id":130,"name":"Impact","value":""},{"id":150,"name":"Time of Event (Mountain Time)","value":"17:52:55"},{"id":151,"name":"Denver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 s="37" t="s">
        <v>382</v>
      </c>
      <c r="B236" s="7">
        <v>4030</v>
      </c>
      <c r="C236" s="22" t="s">
        <v>205</v>
      </c>
      <c r="D236" s="22" t="s">
        <v>419</v>
      </c>
      <c r="E236" s="13">
        <v>42726.077638888892</v>
      </c>
      <c r="F236" s="13">
        <v>42726.11582175926</v>
      </c>
      <c r="G236" s="7">
        <v>1</v>
      </c>
      <c r="H236" s="22" t="s">
        <v>420</v>
      </c>
      <c r="I236" s="13">
        <v>42726.121134259258</v>
      </c>
      <c r="J236" s="7">
        <v>0</v>
      </c>
      <c r="K236" s="109" t="str">
        <f t="shared" si="69"/>
        <v>4029/4030</v>
      </c>
      <c r="L236" s="22" t="str">
        <f>VLOOKUP(A236,'Trips&amp;Operators'!$C$1:$G$99999,5,FALSE)</f>
        <v>MCREYNOLDS KYLE</v>
      </c>
      <c r="M236" s="6">
        <f t="shared" si="70"/>
        <v>5.3124999976716936E-3</v>
      </c>
      <c r="N236" s="7">
        <f t="shared" si="71"/>
        <v>7.6499999966472387</v>
      </c>
      <c r="O236" s="7"/>
      <c r="P236" s="7"/>
      <c r="Q236" s="23"/>
      <c r="R236" s="23"/>
      <c r="S236" s="35">
        <f t="shared" si="72"/>
        <v>0</v>
      </c>
      <c r="T236" s="50" t="e">
        <f t="shared" si="73"/>
        <v>#VALUE!</v>
      </c>
      <c r="U236" s="17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00:51:48-700',mode:absolute,to:'2016-12-22 03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6" s="52" t="str">
        <f t="shared" si="75"/>
        <v>N</v>
      </c>
      <c r="X236" s="177" t="e">
        <f t="shared" si="76"/>
        <v>#VALUE!</v>
      </c>
      <c r="Y236" s="67">
        <f t="shared" si="77"/>
        <v>12.8005</v>
      </c>
      <c r="Z236" s="67">
        <f t="shared" si="78"/>
        <v>6.9409000000000001</v>
      </c>
      <c r="AA236" s="67">
        <f t="shared" si="79"/>
        <v>5.8595999999999995</v>
      </c>
      <c r="AB236" s="64" t="e">
        <f>VLOOKUP(A236,Enforcements!$C$7:$K$19,8,0)</f>
        <v>#N/A</v>
      </c>
      <c r="AC236" s="60" t="e">
        <f>VLOOKUP(A236,Enforcements!$C$7:$E$19,3,0)</f>
        <v>#N/A</v>
      </c>
      <c r="AD236" s="61" t="str">
        <f t="shared" si="80"/>
        <v>60-21</v>
      </c>
      <c r="AE236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6" s="88" t="str">
        <f t="shared" si="82"/>
        <v>"C:\Program Files (x86)\AstroGrep\AstroGrep.exe" /spath="%USERPROFILE%\AppData\Local\Temp\OnboardLogs" /stypes="app*4030*20161222*" /stext=" 09:.+((SYSTEM_STATE.+slice.+state.+changed )|(ment ac)|(multiple cpu faults)|(system.+state.+changed )|(\[timeout)|(PRM\|1\|D)|(kpr)|(kdp)|(\|lc)|(penalty))" /e /r /s</v>
      </c>
      <c r="AG236" s="1" t="str">
        <f t="shared" si="83"/>
        <v>Other</v>
      </c>
      <c r="AH236" s="92" t="str">
        <f t="shared" si="84"/>
        <v>"%USERPROFILE%\Documents\GitHub\eaglep3\Utilities\RefineRTDCRunTimes.py" --tripid 60-21 --locoid 4030 --swversion DE.1.0.8.0 --startMP 204:128005 --initTime 2016-12-22T01:51:48 --startdatetime 2016-12-22T02:46:47 --delay 1 --endMP 204:69409 --enddatetime 2016-12-22T02:54:26 --enforcementcount 0 &gt;&gt;C:\Users\stu\Documents\GitHub\eaglep3-reporting\EC\2016-12-22-refined-times.txt</v>
      </c>
      <c r="AI236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{"issue":{"subject":"","project_id":79,"tracker_id":40,"status_id":1,"priority_id":2,"assigned_to_id":23,"start_date":"2016-12-22","description":"","custom_fields":[{"id":1,"name":"Subdivision","value":"Other"},{"id":4,"name":"Milepost","value":"6.9409"},{"id":17,"name":"Train ID","value":"60-21"},{"id":16,"name":"Locomotive ID","value":"4030"},{"id":130,"name":"Impact","value":""},{"id":150,"name":"Time of Event (Mountain Time)","value":"02:54:26"},{"id":151,"name":"Denver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3"/>
      <c r="AK236" s="53"/>
      <c r="AL236" s="53"/>
    </row>
    <row r="237" spans="1:38" x14ac:dyDescent="0.25">
      <c r="A237" s="37" t="s">
        <v>382</v>
      </c>
      <c r="B237" s="7">
        <v>4030</v>
      </c>
      <c r="C237" s="22" t="s">
        <v>205</v>
      </c>
      <c r="D237" s="22" t="s">
        <v>421</v>
      </c>
      <c r="E237" s="13">
        <v>42726.111481481479</v>
      </c>
      <c r="F237" s="13">
        <v>42726.166203703702</v>
      </c>
      <c r="G237" s="7">
        <v>1</v>
      </c>
      <c r="H237" s="22" t="s">
        <v>422</v>
      </c>
      <c r="I237" s="13">
        <v>42726.18954861111</v>
      </c>
      <c r="J237" s="7">
        <v>0</v>
      </c>
      <c r="K237" s="109" t="str">
        <f t="shared" si="69"/>
        <v>4029/4030</v>
      </c>
      <c r="L237" s="22" t="str">
        <f>VLOOKUP(A237,'Trips&amp;Operators'!$C$1:$G$99999,5,FALSE)</f>
        <v>MCREYNOLDS KYLE</v>
      </c>
      <c r="M237" s="6">
        <f t="shared" si="70"/>
        <v>2.3344907407590654E-2</v>
      </c>
      <c r="N237" s="7">
        <f t="shared" si="71"/>
        <v>33.616666666930541</v>
      </c>
      <c r="O237" s="7"/>
      <c r="P237" s="7"/>
      <c r="Q237" s="23"/>
      <c r="R237" s="23"/>
      <c r="S237" s="35">
        <f t="shared" si="72"/>
        <v>0</v>
      </c>
      <c r="T237" s="50" t="e">
        <f t="shared" si="73"/>
        <v>#VALUE!</v>
      </c>
      <c r="U237" s="17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01:40:32-700',mode:absolute,to:'2016-12-22 05:32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7" s="52" t="str">
        <f t="shared" si="75"/>
        <v>Y</v>
      </c>
      <c r="X237" s="177" t="e">
        <f t="shared" si="76"/>
        <v>#VALUE!</v>
      </c>
      <c r="Y237" s="67">
        <f t="shared" si="77"/>
        <v>12.804399999999999</v>
      </c>
      <c r="Z237" s="67">
        <f t="shared" si="78"/>
        <v>7.2392000000000003</v>
      </c>
      <c r="AA237" s="67">
        <f t="shared" si="79"/>
        <v>5.565199999999999</v>
      </c>
      <c r="AB237" s="64" t="e">
        <f>VLOOKUP(A237,Enforcements!$C$7:$K$19,8,0)</f>
        <v>#N/A</v>
      </c>
      <c r="AC237" s="60" t="e">
        <f>VLOOKUP(A237,Enforcements!$C$7:$E$19,3,0)</f>
        <v>#N/A</v>
      </c>
      <c r="AD237" s="61" t="str">
        <f t="shared" si="80"/>
        <v>60-21</v>
      </c>
      <c r="AE237" s="91" t="str">
        <f t="shared" si="81"/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AF237" s="88" t="str">
        <f t="shared" si="82"/>
        <v>"C:\Program Files (x86)\AstroGrep\AstroGrep.exe" /spath="%USERPROFILE%\AppData\Local\Temp\OnboardLogs" /stypes="app*4030*20161222*" /stext=" 11:.+((SYSTEM_STATE.+slice.+state.+changed )|(ment ac)|(multiple cpu faults)|(system.+state.+changed )|(\[timeout)|(PRM\|1\|D)|(kpr)|(kdp)|(\|lc)|(penalty))" /e /r /s</v>
      </c>
      <c r="AG237" s="1" t="str">
        <f t="shared" si="83"/>
        <v>Other</v>
      </c>
      <c r="AH237" s="92" t="str">
        <f t="shared" si="84"/>
        <v>"%USERPROFILE%\Documents\GitHub\eaglep3\Utilities\RefineRTDCRunTimes.py" --tripid 60-21 --locoid 4030 --swversion DE.1.0.8.0 --startMP 204:128044 --initTime 2016-12-22T02:40:32 --startdatetime 2016-12-22T03:59:20 --delay 1 --endMP 204:72392 --enddatetime 2016-12-22T04:32:57 --enforcementcount 0 &gt;&gt;C:\Users\stu\Documents\GitHub\eaglep3-reporting\EC\2016-12-22-refined-times.txt</v>
      </c>
      <c r="AI237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{"issue":{"subject":"","project_id":79,"tracker_id":40,"status_id":1,"priority_id":2,"assigned_to_id":23,"start_date":"2016-12-22","description":"","custom_fields":[{"id":1,"name":"Subdivision","value":"Other"},{"id":4,"name":"Milepost","value":"7.2392"},{"id":17,"name":"Train ID","value":"60-21"},{"id":16,"name":"Locomotive ID","value":"4030"},{"id":130,"name":"Impact","value":""},{"id":150,"name":"Time of Event (Mountain Time)","value":"04:32:57"},{"id":151,"name":"Denver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3"/>
      <c r="AK237" s="53"/>
      <c r="AL237" s="53"/>
    </row>
    <row r="238" spans="1:38" x14ac:dyDescent="0.25">
      <c r="A238" s="37" t="s">
        <v>474</v>
      </c>
      <c r="B238" s="7">
        <v>4004</v>
      </c>
      <c r="C238" s="22" t="s">
        <v>205</v>
      </c>
      <c r="D238" s="22" t="s">
        <v>777</v>
      </c>
      <c r="E238" s="13">
        <v>42726.766053240739</v>
      </c>
      <c r="F238" s="13">
        <v>42726.767650462964</v>
      </c>
      <c r="G238" s="7">
        <v>1</v>
      </c>
      <c r="H238" s="22" t="s">
        <v>778</v>
      </c>
      <c r="I238" s="13">
        <v>42726.778333333335</v>
      </c>
      <c r="J238" s="7">
        <v>0</v>
      </c>
      <c r="K238" s="109" t="str">
        <f t="shared" si="69"/>
        <v>4003/4004</v>
      </c>
      <c r="L238" s="22" t="str">
        <f>VLOOKUP(A238,'Trips&amp;Operators'!$C$1:$G$99999,5,FALSE)</f>
        <v>PERKINS DARREN</v>
      </c>
      <c r="M238" s="6">
        <f t="shared" si="70"/>
        <v>1.0682870371965691E-2</v>
      </c>
      <c r="N238" s="7">
        <f t="shared" si="71"/>
        <v>15.383333335630596</v>
      </c>
      <c r="O238" s="7"/>
      <c r="P238" s="7"/>
      <c r="Q238" s="23"/>
      <c r="R238" s="23"/>
      <c r="S238" s="35">
        <f t="shared" si="72"/>
        <v>0</v>
      </c>
      <c r="T238" s="50" t="e">
        <f t="shared" si="73"/>
        <v>#VALUE!</v>
      </c>
      <c r="U238" s="17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17:23:07-700',mode:absolute,to:'2016-12-22 19:40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38" s="52" t="str">
        <f t="shared" si="75"/>
        <v>Y</v>
      </c>
      <c r="X238" s="177" t="e">
        <f t="shared" si="76"/>
        <v>#VALUE!</v>
      </c>
      <c r="Y238" s="67">
        <f t="shared" si="77"/>
        <v>2.1191</v>
      </c>
      <c r="Z238" s="67">
        <f t="shared" si="78"/>
        <v>8.7900000000000006E-2</v>
      </c>
      <c r="AA238" s="67">
        <f t="shared" si="79"/>
        <v>2.0312000000000001</v>
      </c>
      <c r="AB238" s="64" t="e">
        <f>VLOOKUP(A238,Enforcements!$C$7:$K$19,8,0)</f>
        <v>#N/A</v>
      </c>
      <c r="AC238" s="60" t="e">
        <f>VLOOKUP(A238,Enforcements!$C$7:$E$19,3,0)</f>
        <v>#N/A</v>
      </c>
      <c r="AD238" s="61" t="str">
        <f t="shared" si="80"/>
        <v>60-22</v>
      </c>
      <c r="AE238" s="91" t="str">
        <f t="shared" si="81"/>
        <v>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 &amp; aws s3 cp s3://rtdc.mdm.uploadarchive.raw/RTDC4004/ "%USERPROFILE%\AppData\Local\Temp\OnboardLogs"\RTDC4004\2016-12-23 --exclude "*" --recursive --include "*20161223*" &amp; "%USERPROFILE%\Documents\GitHub\mrs-test-scripts\Headless Mode &amp; Sideloading\WalkAndUnGZ.bat" "%USERPROFILE%\AppData\Local\Temp\OnboardLogs"\RTDC4004\2016-12-23</v>
      </c>
      <c r="AF238" s="88" t="str">
        <f t="shared" si="82"/>
        <v>"C:\Program Files (x86)\AstroGrep\AstroGrep.exe" /spath="%USERPROFILE%\AppData\Local\Temp\OnboardLogs" /stypes="app*4004*20161223*" /stext=" 01:.+((SYSTEM_STATE.+slice.+state.+changed )|(ment ac)|(multiple cpu faults)|(system.+state.+changed )|(\[timeout)|(PRM\|1\|D)|(kpr)|(kdp)|(\|lc)|(penalty))" /e /r /s</v>
      </c>
      <c r="AG238" s="1" t="str">
        <f t="shared" si="83"/>
        <v>Other</v>
      </c>
      <c r="AH238" s="92" t="str">
        <f t="shared" si="84"/>
        <v>"%USERPROFILE%\Documents\GitHub\eaglep3\Utilities\RefineRTDCRunTimes.py" --tripid 60-22 --locoid 4004 --swversion DE.1.0.8.0 --startMP 300:21191 --initTime 2016-12-22T18:23:07 --startdatetime 2016-12-22T18:25:25 --delay 1 --endMP 204:879 --enddatetime 2016-12-22T18:40:48 --enforcementcount 0 &gt;&gt;C:\Users\stu\Documents\GitHub\eaglep3-reporting\EC\2016-12-22-refined-times.txt</v>
      </c>
      <c r="AI238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{"issue":{"subject":"","project_id":79,"tracker_id":40,"status_id":1,"priority_id":2,"assigned_to_id":23,"start_date":"2016-12-22","description":"","custom_fields":[{"id":1,"name":"Subdivision","value":"Other"},{"id":4,"name":"Milepost","value":"0.0879"},{"id":17,"name":"Train ID","value":"60-22"},{"id":16,"name":"Locomotive ID","value":"4004"},{"id":130,"name":"Impact","value":""},{"id":150,"name":"Time of Event (Mountain Time)","value":"18:40:48"},{"id":151,"name":"Denver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3"/>
      <c r="AK238" s="53"/>
      <c r="AL238" s="53"/>
    </row>
    <row r="239" spans="1:38" x14ac:dyDescent="0.25">
      <c r="A239" s="37" t="s">
        <v>388</v>
      </c>
      <c r="B239" s="7">
        <v>4029</v>
      </c>
      <c r="C239" s="22" t="s">
        <v>205</v>
      </c>
      <c r="D239" s="22" t="s">
        <v>423</v>
      </c>
      <c r="E239" s="13">
        <v>42726.101226851853</v>
      </c>
      <c r="F239" s="13">
        <v>42726.130104166667</v>
      </c>
      <c r="G239" s="7">
        <v>1</v>
      </c>
      <c r="H239" s="22" t="s">
        <v>424</v>
      </c>
      <c r="I239" s="13">
        <v>42726.135474537034</v>
      </c>
      <c r="J239" s="7">
        <v>0</v>
      </c>
      <c r="K239" s="109" t="str">
        <f t="shared" si="69"/>
        <v>4029/4030</v>
      </c>
      <c r="L239" s="22" t="str">
        <f>VLOOKUP(A239,'Trips&amp;Operators'!$C$1:$G$99999,5,FALSE)</f>
        <v>MCREYNOLDS KYLE</v>
      </c>
      <c r="M239" s="6">
        <f t="shared" si="70"/>
        <v>5.3703703670180403E-3</v>
      </c>
      <c r="N239" s="7">
        <f t="shared" si="71"/>
        <v>7.733333328505978</v>
      </c>
      <c r="O239" s="7"/>
      <c r="P239" s="7"/>
      <c r="Q239" s="23"/>
      <c r="R239" s="23"/>
      <c r="S239" s="35">
        <f t="shared" si="72"/>
        <v>0</v>
      </c>
      <c r="T239" s="50" t="e">
        <f t="shared" si="73"/>
        <v>#VALUE!</v>
      </c>
      <c r="U239" s="17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01:25:46-700',mode:absolute,to:'2016-12-22 04:15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39" s="52" t="str">
        <f t="shared" si="75"/>
        <v>N</v>
      </c>
      <c r="X239" s="177" t="e">
        <f t="shared" si="76"/>
        <v>#VALUE!</v>
      </c>
      <c r="Y239" s="67">
        <f t="shared" si="77"/>
        <v>6.7796000000000003</v>
      </c>
      <c r="Z239" s="67">
        <f t="shared" si="78"/>
        <v>12.830500000000001</v>
      </c>
      <c r="AA239" s="67">
        <f t="shared" si="79"/>
        <v>6.0509000000000004</v>
      </c>
      <c r="AB239" s="64" t="e">
        <f>VLOOKUP(A239,Enforcements!$C$7:$K$19,8,0)</f>
        <v>#N/A</v>
      </c>
      <c r="AC239" s="60" t="e">
        <f>VLOOKUP(A239,Enforcements!$C$7:$E$19,3,0)</f>
        <v>#N/A</v>
      </c>
      <c r="AD239" s="61" t="str">
        <f t="shared" si="80"/>
        <v>61-21</v>
      </c>
      <c r="AE239" s="91" t="str">
        <f t="shared" si="81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39" s="88" t="str">
        <f t="shared" si="82"/>
        <v>"C:\Program Files (x86)\AstroGrep\AstroGrep.exe" /spath="%USERPROFILE%\AppData\Local\Temp\OnboardLogs" /stypes="app*4029*20161222*" /stext=" 10:.+((SYSTEM_STATE.+slice.+state.+changed )|(ment ac)|(multiple cpu faults)|(system.+state.+changed )|(\[timeout)|(PRM\|1\|D)|(kpr)|(kdp)|(\|lc)|(penalty))" /e /r /s</v>
      </c>
      <c r="AG239" s="1" t="str">
        <f t="shared" si="83"/>
        <v>Other</v>
      </c>
      <c r="AH239" s="92" t="str">
        <f t="shared" si="84"/>
        <v>"%USERPROFILE%\Documents\GitHub\eaglep3\Utilities\RefineRTDCRunTimes.py" --tripid 61-21 --locoid 4029 --swversion DE.1.0.8.0 --startMP 204:67796 --initTime 2016-12-22T02:25:46 --startdatetime 2016-12-22T03:07:21 --delay 1 --endMP 204:128305 --enddatetime 2016-12-22T03:15:05 --enforcementcount 0 &gt;&gt;C:\Users\stu\Documents\GitHub\eaglep3-reporting\EC\2016-12-22-refined-times.txt</v>
      </c>
      <c r="AI239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{"issue":{"subject":"","project_id":79,"tracker_id":40,"status_id":1,"priority_id":2,"assigned_to_id":23,"start_date":"2016-12-22","description":"","custom_fields":[{"id":1,"name":"Subdivision","value":"Other"},{"id":4,"name":"Milepost","value":"12.8305"},{"id":17,"name":"Train ID","value":"61-21"},{"id":16,"name":"Locomotive ID","value":"4029"},{"id":130,"name":"Impact","value":""},{"id":150,"name":"Time of Event (Mountain Time)","value":"03:15:05"},{"id":151,"name":"Denver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3"/>
      <c r="AK239" s="53"/>
      <c r="AL239" s="53"/>
    </row>
    <row r="240" spans="1:38" x14ac:dyDescent="0.25">
      <c r="A240" s="37" t="s">
        <v>388</v>
      </c>
      <c r="B240" s="7">
        <v>4029</v>
      </c>
      <c r="C240" s="22" t="s">
        <v>205</v>
      </c>
      <c r="D240" s="22" t="s">
        <v>779</v>
      </c>
      <c r="E240" s="13">
        <v>42726.126145833332</v>
      </c>
      <c r="F240" s="13">
        <v>42726.130104166667</v>
      </c>
      <c r="G240" s="7">
        <v>1</v>
      </c>
      <c r="H240" s="22" t="s">
        <v>780</v>
      </c>
      <c r="I240" s="13">
        <v>42726.135474537034</v>
      </c>
      <c r="J240" s="7">
        <v>0</v>
      </c>
      <c r="K240" s="109" t="str">
        <f t="shared" si="69"/>
        <v>4029/4030</v>
      </c>
      <c r="L240" s="22" t="str">
        <f>VLOOKUP(A240,'Trips&amp;Operators'!$C$1:$G$99999,5,FALSE)</f>
        <v>MCREYNOLDS KYLE</v>
      </c>
      <c r="M240" s="6">
        <f t="shared" si="70"/>
        <v>5.3703703670180403E-3</v>
      </c>
      <c r="N240" s="7">
        <f t="shared" si="71"/>
        <v>7.733333328505978</v>
      </c>
      <c r="O240" s="7"/>
      <c r="P240" s="7"/>
      <c r="Q240" s="23"/>
      <c r="R240" s="23"/>
      <c r="S240" s="35">
        <f t="shared" si="72"/>
        <v>0</v>
      </c>
      <c r="T240" s="50" t="e">
        <f t="shared" si="73"/>
        <v>#VALUE!</v>
      </c>
      <c r="U240" s="17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02:01:39-700',mode:absolute,to:'2016-12-22 04:15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40" s="52" t="str">
        <f t="shared" si="75"/>
        <v>N</v>
      </c>
      <c r="X240" s="177" t="e">
        <f t="shared" si="76"/>
        <v>#VALUE!</v>
      </c>
      <c r="Y240" s="67">
        <f t="shared" si="77"/>
        <v>6.7840999999999996</v>
      </c>
      <c r="Z240" s="67">
        <f t="shared" si="78"/>
        <v>12.8299</v>
      </c>
      <c r="AA240" s="67">
        <f t="shared" si="79"/>
        <v>6.0458000000000007</v>
      </c>
      <c r="AB240" s="64" t="e">
        <f>VLOOKUP(A240,Enforcements!$C$7:$K$19,8,0)</f>
        <v>#N/A</v>
      </c>
      <c r="AC240" s="60" t="e">
        <f>VLOOKUP(A240,Enforcements!$C$7:$E$19,3,0)</f>
        <v>#N/A</v>
      </c>
      <c r="AD240" s="61" t="str">
        <f t="shared" si="80"/>
        <v>61-21</v>
      </c>
      <c r="AE240" s="91" t="str">
        <f t="shared" si="81"/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AF240" s="88" t="str">
        <f t="shared" si="82"/>
        <v>"C:\Program Files (x86)\AstroGrep\AstroGrep.exe" /spath="%USERPROFILE%\AppData\Local\Temp\OnboardLogs" /stypes="app*4029*20161222*" /stext=" 10:.+((SYSTEM_STATE.+slice.+state.+changed )|(ment ac)|(multiple cpu faults)|(system.+state.+changed )|(\[timeout)|(PRM\|1\|D)|(kpr)|(kdp)|(\|lc)|(penalty))" /e /r /s</v>
      </c>
      <c r="AG240" s="1" t="str">
        <f t="shared" si="83"/>
        <v>Other</v>
      </c>
      <c r="AH240" s="92" t="str">
        <f t="shared" si="84"/>
        <v>"%USERPROFILE%\Documents\GitHub\eaglep3\Utilities\RefineRTDCRunTimes.py" --tripid 61-21 --locoid 4029 --swversion DE.1.0.8.0 --startMP 204:67841 --initTime 2016-12-22T03:01:39 --startdatetime 2016-12-22T03:07:21 --delay 1 --endMP 204:128299 --enddatetime 2016-12-22T03:15:05 --enforcementcount 0 &gt;&gt;C:\Users\stu\Documents\GitHub\eaglep3-reporting\EC\2016-12-22-refined-times.txt</v>
      </c>
      <c r="AI240" s="119" t="str">
        <f t="shared" si="85"/>
        <v>echo {"issue":{"subject":"","project_id":79,"tracker_id":40,"status_id":1,"priority_id":2,"assigned_to_id":23,"start_date":"2016-12-22","description":"","custom_fields":[{"id":1,"name":"Subdivision","value":"Other"},{"id":4,"name":"Milepost","value":"12.8299"},{"id":17,"name":"Train ID","value":"61-21"},{"id":16,"name":"Locomotive ID","value":"4029"},{"id":130,"name":"Impact","value":""},{"id":150,"name":"Time of Event (Mountain Time)","value":"03:15:05"},{"id":151,"name":"Denver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3"/>
      <c r="AK240" s="53"/>
      <c r="AL240" s="53"/>
    </row>
    <row r="241" spans="1:38" x14ac:dyDescent="0.25">
      <c r="A241" s="37" t="s">
        <v>625</v>
      </c>
      <c r="B241" s="7">
        <v>4020</v>
      </c>
      <c r="C241" s="22" t="s">
        <v>205</v>
      </c>
      <c r="D241" s="22" t="s">
        <v>781</v>
      </c>
      <c r="E241" s="13">
        <v>42726.749513888892</v>
      </c>
      <c r="F241" s="13">
        <v>25568.708333333332</v>
      </c>
      <c r="G241" s="7">
        <v>1</v>
      </c>
      <c r="H241" s="22" t="s">
        <v>782</v>
      </c>
      <c r="I241" s="13">
        <v>25568.708333333332</v>
      </c>
      <c r="J241" s="7">
        <v>0</v>
      </c>
      <c r="K241" s="109" t="str">
        <f t="shared" si="69"/>
        <v>4019/4020</v>
      </c>
      <c r="L241" s="22" t="str">
        <f>VLOOKUP(A241,'Trips&amp;Operators'!$C$1:$G$99999,5,FALSE)</f>
        <v>MOSES BRADLEY</v>
      </c>
      <c r="M241" s="6">
        <f t="shared" si="70"/>
        <v>0</v>
      </c>
      <c r="N241" s="7">
        <f t="shared" si="71"/>
        <v>0</v>
      </c>
      <c r="O241" s="7"/>
      <c r="P241" s="7"/>
      <c r="Q241" s="23"/>
      <c r="R241" s="23"/>
      <c r="S241" s="35">
        <f t="shared" si="72"/>
        <v>0</v>
      </c>
      <c r="T241" s="50" t="e">
        <f t="shared" si="73"/>
        <v>#VALUE!</v>
      </c>
      <c r="U241" s="17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98" t="str">
        <f t="shared" si="74"/>
        <v>https://search-rtdc-monitor-bjffxe2xuh6vdkpspy63sjmuny.us-east-1.es.amazonaws.com/_plugin/kibana/#/discover/Steve-Slow-Train-Analysis-(2080s-and-2083s)?_g=(refreshInterval:(display:Off,section:0,value:0),time:(from:'2016-12-22 16:59:18-700',mode:absolute,to:'1969-12-31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41" s="52" t="str">
        <f t="shared" si="75"/>
        <v>Y</v>
      </c>
      <c r="X241" s="177" t="e">
        <f t="shared" si="76"/>
        <v>#VALUE!</v>
      </c>
      <c r="Y241" s="67">
        <f t="shared" si="77"/>
        <v>0.1484</v>
      </c>
      <c r="Z241" s="67">
        <f t="shared" si="78"/>
        <v>2.3311999999999999</v>
      </c>
      <c r="AA241" s="67">
        <f t="shared" si="79"/>
        <v>2.1827999999999999</v>
      </c>
      <c r="AB241" s="64" t="e">
        <f>VLOOKUP(A241,Enforcements!$C$7:$K$19,8,0)</f>
        <v>#N/A</v>
      </c>
      <c r="AC241" s="60" t="e">
        <f>VLOOKUP(A241,Enforcements!$C$7:$E$19,3,0)</f>
        <v>#N/A</v>
      </c>
      <c r="AD241" s="61" t="str">
        <f t="shared" si="80"/>
        <v>75-22</v>
      </c>
      <c r="AE241" s="91" t="str">
        <f t="shared" si="81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41" s="88" t="str">
        <f t="shared" si="82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41" s="1" t="str">
        <f t="shared" si="83"/>
        <v>Other</v>
      </c>
      <c r="AH241" s="92" t="str">
        <f t="shared" si="84"/>
        <v>"%USERPROFILE%\Documents\GitHub\eaglep3\Utilities\RefineRTDCRunTimes.py" --tripid 75-22 --locoid 4020 --swversion DE.1.0.8.0 --startMP 204:1484 --initTime 2016-12-22T17:59:18 --startdatetime 1969-12-31T17:00:00 --delay 1 --endMP 300:23312 --enddatetime 1969-12-31T17:00:00 --enforcementcount 0 &gt;&gt;C:\Users\stu\Documents\GitHub\eaglep3-reporting\EC\2016-12-22-refined-times.txt</v>
      </c>
      <c r="AI241" s="119" t="str">
        <f t="shared" si="8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ID","value":"75-22"},{"id":16,"name":"Locomotive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3"/>
      <c r="AK241" s="53"/>
      <c r="AL241" s="53"/>
    </row>
    <row r="242" spans="1:38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  <row r="243" spans="1:38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</row>
    <row r="244" spans="1:38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</row>
  </sheetData>
  <autoFilter ref="A12:AG241"/>
  <sortState ref="A13:AH200">
    <sortCondition ref="AG13:AG200"/>
    <sortCondition ref="AD13:AD200"/>
  </sortState>
  <mergeCells count="1">
    <mergeCell ref="A11:P11"/>
  </mergeCells>
  <conditionalFormatting sqref="W11:W12 W245:X1048576 W13:X30 W37:X241 W32:W36 X31:X36">
    <cfRule type="cellIs" dxfId="23" priority="367" operator="equal">
      <formula>"Y"</formula>
    </cfRule>
  </conditionalFormatting>
  <conditionalFormatting sqref="X245:X1048576 X13:X241">
    <cfRule type="cellIs" dxfId="22" priority="350" operator="greaterThan">
      <formula>1</formula>
    </cfRule>
  </conditionalFormatting>
  <conditionalFormatting sqref="X245:X1048576 X12:X241">
    <cfRule type="cellIs" dxfId="21" priority="347" operator="equal">
      <formula>0</formula>
    </cfRule>
  </conditionalFormatting>
  <conditionalFormatting sqref="A32:S241 A13:S30">
    <cfRule type="expression" dxfId="20" priority="341" stopIfTrue="1">
      <formula>$P13&gt;0</formula>
    </cfRule>
    <cfRule type="expression" dxfId="19" priority="342" stopIfTrue="1">
      <formula>$O13&gt;0</formula>
    </cfRule>
  </conditionalFormatting>
  <conditionalFormatting sqref="W31">
    <cfRule type="cellIs" dxfId="18" priority="15" operator="equal">
      <formula>"Y"</formula>
    </cfRule>
  </conditionalFormatting>
  <conditionalFormatting sqref="A31:Q31">
    <cfRule type="expression" dxfId="17" priority="10" stopIfTrue="1">
      <formula>$P31&gt;0</formula>
    </cfRule>
    <cfRule type="expression" dxfId="16" priority="11" stopIfTrue="1">
      <formula>$O31&gt;0</formula>
    </cfRule>
  </conditionalFormatting>
  <conditionalFormatting sqref="R31">
    <cfRule type="expression" dxfId="15" priority="6" stopIfTrue="1">
      <formula>$P31&gt;0</formula>
    </cfRule>
    <cfRule type="expression" dxfId="14" priority="7" stopIfTrue="1">
      <formula>$O31&gt;0</formula>
    </cfRule>
  </conditionalFormatting>
  <conditionalFormatting sqref="S31">
    <cfRule type="expression" dxfId="13" priority="2" stopIfTrue="1">
      <formula>$P31&gt;0</formula>
    </cfRule>
    <cfRule type="expression" dxfId="12" priority="3" stopIfTrue="1">
      <formula>$O31&gt;0</formula>
    </cfRule>
  </conditionalFormatting>
  <hyperlinks>
    <hyperlink ref="AJ145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A32:S241 A13:S30</xm:sqref>
        </x14:conditionalFormatting>
        <x14:conditionalFormatting xmlns:xm="http://schemas.microsoft.com/office/excel/2006/main">
          <x14:cfRule type="expression" priority="2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A32:S241 A13:S30</xm:sqref>
        </x14:conditionalFormatting>
        <x14:conditionalFormatting xmlns:xm="http://schemas.microsoft.com/office/excel/2006/main">
          <x14:cfRule type="expression" priority="12" stopIfTrue="1" id="{382DC2A6-69FA-4632-A7B2-546B2544FC61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A31:Q31</xm:sqref>
        </x14:conditionalFormatting>
        <x14:conditionalFormatting xmlns:xm="http://schemas.microsoft.com/office/excel/2006/main">
          <x14:cfRule type="expression" priority="9" stopIfTrue="1" id="{9AA8E724-B75C-4769-A099-52CB55636327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A31:Q31</xm:sqref>
        </x14:conditionalFormatting>
        <x14:conditionalFormatting xmlns:xm="http://schemas.microsoft.com/office/excel/2006/main">
          <x14:cfRule type="expression" priority="8" stopIfTrue="1" id="{E20849FA-2A83-4CCE-B757-E8B1F0521C3C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5" stopIfTrue="1" id="{DFF79C67-5B19-4946-8849-68E96EEB08D3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4" stopIfTrue="1" id="{C79565C9-0DC7-4B87-9F88-A0F37D7C7137}">
            <xm:f>IF($AG31="EC",OR($N31&gt;Variables!$C$2,$N31&lt;Variables!$C$5),OR($N31&gt;Variables!$D$2,$N31&lt;Variables!$D$5))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1" stopIfTrue="1" id="{850A58A6-2B89-42B2-89A7-03145E47AE63}">
            <xm:f>IF($AG31="EC",OR($N31&gt;Variables!#REF!,$N31&lt;Variables!#REF!),OR($N31&gt;Variables!#REF!,$N31&lt;Variables!#REF!))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S31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abSelected="1" topLeftCell="A2" zoomScaleNormal="100" workbookViewId="0">
      <selection activeCell="P24" sqref="P2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4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39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- 2016-12-22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42726.619155092594</v>
      </c>
      <c r="B7" s="31" t="s">
        <v>301</v>
      </c>
      <c r="C7" s="31" t="s">
        <v>462</v>
      </c>
      <c r="D7" s="31" t="s">
        <v>49</v>
      </c>
      <c r="E7" s="31" t="s">
        <v>247</v>
      </c>
      <c r="F7" s="47">
        <v>0</v>
      </c>
      <c r="G7" s="47">
        <v>222</v>
      </c>
      <c r="H7" s="47">
        <v>26824</v>
      </c>
      <c r="I7" s="47">
        <v>27086</v>
      </c>
      <c r="J7" s="31" t="s">
        <v>248</v>
      </c>
      <c r="K7" s="47">
        <v>27053</v>
      </c>
      <c r="L7" s="154" t="s">
        <v>50</v>
      </c>
      <c r="M7" s="155">
        <f t="shared" ref="M7:M49" si="0">CONVERT((I7-K7)/10000,"mi","ft")*IF(L7="Increasing Mileposts (1)",-1,1)</f>
        <v>-17.423999999999999</v>
      </c>
      <c r="N7" s="156" t="str">
        <f>VLOOKUP(C7,'Trips&amp;Operators'!$C$1:$G$99999,5,FALSE)</f>
        <v>KILLION DAVID</v>
      </c>
      <c r="O7" s="183" t="s">
        <v>195</v>
      </c>
      <c r="P7" s="157" t="s">
        <v>865</v>
      </c>
      <c r="Q7" s="31"/>
      <c r="R7" s="100" t="str">
        <f>VLOOKUP(C7,'Train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7" s="103" t="str">
        <f>VLOOKUP(C7,'Train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7" s="105" t="str">
        <f t="shared" ref="T7:T49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/stypes="*4027*201612222*" /stext=" 21:.+((SYSTEM_STATE.+slice.+state.+changed )|(ment ac)|(multiple cpu faults)|(system.+state.+changed )|(\[timeout)|(PRM\|1\|D)|(kpr)|(kdp)|(\|lc)|(penalty))" /e /r /s</v>
      </c>
      <c r="U7" s="9" t="str">
        <f t="shared" ref="U7:U49" si="2">MID(B7,13,4)</f>
        <v>4027</v>
      </c>
      <c r="V7" s="36">
        <f t="shared" ref="V7:V49" si="3">A7-utc_offset/24</f>
        <v>42726.910821759258</v>
      </c>
      <c r="W7" s="50" t="str">
        <f t="shared" ref="W7:W49" si="4">IF(VALUE(LEFT(IF(LEN(C7)=6,"0"&amp;C7,C7),2))&lt;=2,"EC",IF(OR(VALUE(LEFT(IF(LEN(C7)=6,"0"&amp;C7,C7),2))=8,VALUE(LEFT(IF(LEN(C7)=6,"0"&amp;C7,C7),2))=18),"NW","Other"))</f>
        <v>EC</v>
      </c>
      <c r="X7" s="50" t="str">
        <f t="shared" ref="X7:X49" si="5">IF(AND(E7="TRACK WARRANT AUTHORITY",G7&lt;10),"OMIT","KEEP")</f>
        <v>KEEP</v>
      </c>
      <c r="Y7" s="119" t="str">
        <f t="shared" ref="Y7:Y49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arrival","project_id":79,"tracker_id":40,"status_id":1,"priority_id":2,"assigned_to_id":23,"start_date":"2016-12-22","description":"","custom_fields":[{"id":1,"name":"Subdivision","value":"EC"},{"id":4,"name":"Milepost","value":"2.7053"},{"id":17,"name":"Train ID","value":"189-22"},{"id":16,"name":"Locomotive ID","value":"4027"},{"id":130,"name":"Impact","value":""},{"id":150,"name":"Time of Event (Mountain Time)","value":"14:51:35"},{"id":151,"name":"Denver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9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"%USERPROFILE%\AppData\Local\Temp\OnboardLogs"\RTDC4027\*4027*201612222*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"%USERPROFILE%\AppData\Local\Temp\OnboardLogs"\RTDC4027\*4027*201612222* &gt;&gt; 42726-slicedisagreementcheck.txt</v>
      </c>
    </row>
    <row r="8" spans="1:30" s="1" customFormat="1" x14ac:dyDescent="0.25">
      <c r="A8" s="36">
        <v>42727.025266203702</v>
      </c>
      <c r="B8" s="31" t="s">
        <v>229</v>
      </c>
      <c r="C8" s="31" t="s">
        <v>481</v>
      </c>
      <c r="D8" s="31" t="s">
        <v>49</v>
      </c>
      <c r="E8" s="31" t="s">
        <v>247</v>
      </c>
      <c r="F8" s="47">
        <v>0</v>
      </c>
      <c r="G8" s="47">
        <v>211</v>
      </c>
      <c r="H8" s="47">
        <v>27025</v>
      </c>
      <c r="I8" s="47">
        <v>27282</v>
      </c>
      <c r="J8" s="31" t="s">
        <v>248</v>
      </c>
      <c r="K8" s="47">
        <v>27053</v>
      </c>
      <c r="L8" s="154" t="s">
        <v>50</v>
      </c>
      <c r="M8" s="155">
        <f t="shared" si="0"/>
        <v>-120.91200000000001</v>
      </c>
      <c r="N8" s="156" t="str">
        <f>VLOOKUP(C8,'Trips&amp;Operators'!$C$1:$G$99999,5,FALSE)</f>
        <v>HILLS DUSTIN</v>
      </c>
      <c r="O8" s="183" t="s">
        <v>195</v>
      </c>
      <c r="P8" s="157" t="s">
        <v>865</v>
      </c>
      <c r="Q8" s="31"/>
      <c r="R8" s="100" t="str">
        <f>VLOOKUP(C8,'Train Runs'!$A$13:$AE$9975,31,0)</f>
        <v>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 &amp; aws s3 cp s3://rtdc.mdm.uploadarchive.raw/RTDC4046/ "%USERPROFILE%\AppData\Local\Temp\OnboardLogs"\RTDC4046\2016-12-24 --exclude "*" --recursive --include "*20161224*" &amp; "%USERPROFILE%\Documents\GitHub\mrs-test-scripts\Headless Mode &amp; Sideloading\WalkAndUnGZ.bat" "%USERPROFILE%\AppData\Local\Temp\OnboardLogs"\RTDC4046\2016-12-24</v>
      </c>
      <c r="S8" s="103" t="str">
        <f>VLOOKUP(C8,'Train Runs'!$A$13:$AE$9975,22,0)</f>
        <v>https://search-rtdc-monitor-bjffxe2xuh6vdkpspy63sjmuny.us-east-1.es.amazonaws.com/_plugin/kibana/#/discover/Steve-Slow-Train-Analysis-(2080s-and-2083s)?_g=(refreshInterval:(display:Off,section:0,value:0),time:(from:'2016-12-22 23:11:12-700',mode:absolute,to:'2016-12-23 02:05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8" s="105" t="str">
        <f t="shared" si="1"/>
        <v>"C:\Program Files (x86)\AstroGrep\AstroGrep.exe" /spath="%USERPROFILE%\AppData\Local\Temp\OnboardLogs" /stypes="*4046*201612230*" /stext=" 07:.+((SYSTEM_STATE.+slice.+state.+changed )|(ment ac)|(multiple cpu faults)|(system.+state.+changed )|(\[timeout)|(PRM\|1\|D)|(kpr)|(kdp)|(\|lc)|(penalty))" /e /r /s</v>
      </c>
      <c r="U8" s="9" t="str">
        <f t="shared" si="2"/>
        <v>4046</v>
      </c>
      <c r="V8" s="36">
        <f t="shared" si="3"/>
        <v>42727.316932870366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arrival","project_id":79,"tracker_id":40,"status_id":1,"priority_id":2,"assigned_to_id":23,"start_date":"2016-12-23","description":"","custom_fields":[{"id":1,"name":"Subdivision","value":"EC"},{"id":4,"name":"Milepost","value":"2.7053"},{"id":17,"name":"Train ID","value":"243-22"},{"id":16,"name":"Locomotive ID","value":"4046"},{"id":130,"name":"Impact","value":""},{"id":150,"name":"Time of Event (Mountain Time)","value":"00:36:23"},{"id":151,"name":"Denver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"%USERPROFILE%\AppData\Local\Temp\OnboardLogs"\RTDC4046\*4046*201612230*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"%USERPROFILE%\AppData\Local\Temp\OnboardLogs"\RTDC4046\*4046*201612230* &gt;&gt; 42726-slicedisagreementcheck.txt</v>
      </c>
    </row>
    <row r="9" spans="1:30" s="1" customFormat="1" x14ac:dyDescent="0.25">
      <c r="A9" s="36">
        <v>42726.839432870373</v>
      </c>
      <c r="B9" s="31" t="s">
        <v>301</v>
      </c>
      <c r="C9" s="31" t="s">
        <v>476</v>
      </c>
      <c r="D9" s="31" t="s">
        <v>49</v>
      </c>
      <c r="E9" s="31" t="s">
        <v>247</v>
      </c>
      <c r="F9" s="47">
        <v>0</v>
      </c>
      <c r="G9" s="47">
        <v>154</v>
      </c>
      <c r="H9" s="47">
        <v>30801</v>
      </c>
      <c r="I9" s="47">
        <v>30928</v>
      </c>
      <c r="J9" s="31" t="s">
        <v>248</v>
      </c>
      <c r="K9" s="47">
        <v>30830</v>
      </c>
      <c r="L9" s="154" t="s">
        <v>50</v>
      </c>
      <c r="M9" s="155">
        <f t="shared" si="0"/>
        <v>-51.744</v>
      </c>
      <c r="N9" s="156" t="str">
        <f>VLOOKUP(C9,'Trips&amp;Operators'!$C$1:$G$99999,5,FALSE)</f>
        <v>BROWN JACOB</v>
      </c>
      <c r="O9" s="183" t="s">
        <v>195</v>
      </c>
      <c r="P9" s="157" t="s">
        <v>865</v>
      </c>
      <c r="Q9" s="31"/>
      <c r="R9" s="100" t="str">
        <f>VLOOKUP(C9,'Train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9" s="103" t="str">
        <f>VLOOKUP(C9,'Train Runs'!$A$13:$AE$9975,22,0)</f>
        <v>https://search-rtdc-monitor-bjffxe2xuh6vdkpspy63sjmuny.us-east-1.es.amazonaws.com/_plugin/kibana/#/discover/Steve-Slow-Train-Analysis-(2080s-and-2083s)?_g=(refreshInterval:(display:Off,section:0,value:0),time:(from:'2016-12-22 18:59:08-700',mode:absolute,to:'2016-12-22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9" s="105" t="str">
        <f t="shared" si="1"/>
        <v>"C:\Program Files (x86)\AstroGrep\AstroGrep.exe" /spath="%USERPROFILE%\AppData\Local\Temp\OnboardLogs" /stypes="*4027*201612230*" /stext=" 03:.+((SYSTEM_STATE.+slice.+state.+changed )|(ment ac)|(multiple cpu faults)|(system.+state.+changed )|(\[timeout)|(PRM\|1\|D)|(kpr)|(kdp)|(\|lc)|(penalty))" /e /r /s</v>
      </c>
      <c r="U9" s="9" t="str">
        <f t="shared" si="2"/>
        <v>4027</v>
      </c>
      <c r="V9" s="36">
        <f t="shared" si="3"/>
        <v>42727.131099537037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arrival","project_id":79,"tracker_id":40,"status_id":1,"priority_id":2,"assigned_to_id":23,"start_date":"2016-12-22","description":"","custom_fields":[{"id":1,"name":"Subdivision","value":"EC"},{"id":4,"name":"Milepost","value":"3.083"},{"id":17,"name":"Train ID","value":"225-22"},{"id":16,"name":"Locomotive ID","value":"4027"},{"id":130,"name":"Impact","value":""},{"id":150,"name":"Time of Event (Mountain Time)","value":"20:08:47"},{"id":151,"name":"Denver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"%USERPROFILE%\AppData\Local\Temp\OnboardLogs"\RTDC4027\*4027*201612230*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"%USERPROFILE%\AppData\Local\Temp\OnboardLogs"\RTDC4027\*4027*201612230* &gt;&gt; 42726-slicedisagreementcheck.txt</v>
      </c>
    </row>
    <row r="10" spans="1:30" s="1" customFormat="1" x14ac:dyDescent="0.25">
      <c r="A10" s="36">
        <v>42726.622743055559</v>
      </c>
      <c r="B10" s="31" t="s">
        <v>301</v>
      </c>
      <c r="C10" s="31" t="s">
        <v>462</v>
      </c>
      <c r="D10" s="31" t="s">
        <v>49</v>
      </c>
      <c r="E10" s="31" t="s">
        <v>247</v>
      </c>
      <c r="F10" s="47">
        <v>310</v>
      </c>
      <c r="G10" s="47">
        <v>360</v>
      </c>
      <c r="H10" s="47">
        <v>41464</v>
      </c>
      <c r="I10" s="47">
        <v>42320</v>
      </c>
      <c r="J10" s="31" t="s">
        <v>248</v>
      </c>
      <c r="K10" s="47">
        <v>42779</v>
      </c>
      <c r="L10" s="154" t="s">
        <v>50</v>
      </c>
      <c r="M10" s="155">
        <f t="shared" si="0"/>
        <v>242.352</v>
      </c>
      <c r="N10" s="156" t="str">
        <f>VLOOKUP(C10,'Trips&amp;Operators'!$C$1:$G$99999,5,FALSE)</f>
        <v>KILLION DAVID</v>
      </c>
      <c r="O10" s="183" t="s">
        <v>195</v>
      </c>
      <c r="P10" s="157" t="s">
        <v>865</v>
      </c>
      <c r="Q10" s="31"/>
      <c r="R10" s="100" t="str">
        <f>VLOOKUP(C10,'Train Runs'!$A$13:$AE$9975,31,0)</f>
        <v>aws s3 cp s3://rtdc.mdm.uploadarchive.raw/RTDC4027/ "%USERPROFILE%\AppData\Local\Temp\OnboardLogs"\RTDC4027\2016-12-22 --exclude "*" --recursive --include "*20161222*" &amp; "%USERPROFILE%\Documents\GitHub\mrs-test-scripts\Headless Mode &amp; Sideloading\WalkAndUnGZ.bat" "%USERPROFILE%\AppData\Local\Temp\OnboardLogs"\RTDC4027\2016-12-22 &amp; aws s3 cp s3://rtdc.mdm.uploadarchive.raw/RTDC4027/ "%USERPROFILE%\AppData\Local\Temp\OnboardLogs"\RTDC4027\2016-12-23 --exclude "*" --recursive --include "*20161223*" &amp; "%USERPROFILE%\Documents\GitHub\mrs-test-scripts\Headless Mode &amp; Sideloading\WalkAndUnGZ.bat" "%USERPROFILE%\AppData\Local\Temp\OnboardLogs"\RTDC4027\2016-12-23</v>
      </c>
      <c r="S10" s="103" t="str">
        <f>VLOOKUP(C10,'Train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13:41:36-700',mode:absolute,to:'2016-12-22 16:24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T10" s="105" t="str">
        <f t="shared" si="1"/>
        <v>"C:\Program Files (x86)\AstroGrep\AstroGrep.exe" /spath="%USERPROFILE%\AppData\Local\Temp\OnboardLogs" /stypes="*4027*201612222*" /stext=" 21:.+((SYSTEM_STATE.+slice.+state.+changed )|(ment ac)|(multiple cpu faults)|(system.+state.+changed )|(\[timeout)|(PRM\|1\|D)|(kpr)|(kdp)|(\|lc)|(penalty))" /e /r /s</v>
      </c>
      <c r="U10" s="9" t="str">
        <f t="shared" si="2"/>
        <v>4027</v>
      </c>
      <c r="V10" s="36">
        <f t="shared" si="3"/>
        <v>42726.914409722223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arrival","project_id":79,"tracker_id":40,"status_id":1,"priority_id":2,"assigned_to_id":23,"start_date":"2016-12-22","description":"","custom_fields":[{"id":1,"name":"Subdivision","value":"EC"},{"id":4,"name":"Milepost","value":"4.2779"},{"id":17,"name":"Train ID","value":"189-22"},{"id":16,"name":"Locomotive ID","value":"4027"},{"id":130,"name":"Impact","value":""},{"id":150,"name":"Time of Event (Mountain Time)","value":"14:56:45"},{"id":151,"name":"Denver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"%USERPROFILE%\AppData\Local\Temp\OnboardLogs"\RTDC4027\*4027*201612222*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"%USERPROFILE%\AppData\Local\Temp\OnboardLogs"\RTDC4027\*4027*201612222* &gt;&gt; 42726-slicedisagreementcheck.txt</v>
      </c>
    </row>
    <row r="11" spans="1:30" s="1" customFormat="1" x14ac:dyDescent="0.25">
      <c r="A11" s="36">
        <v>42726.336446759262</v>
      </c>
      <c r="B11" s="31" t="s">
        <v>257</v>
      </c>
      <c r="C11" s="31" t="s">
        <v>451</v>
      </c>
      <c r="D11" s="31" t="s">
        <v>49</v>
      </c>
      <c r="E11" s="31" t="s">
        <v>196</v>
      </c>
      <c r="F11" s="47">
        <v>200</v>
      </c>
      <c r="G11" s="47">
        <v>325</v>
      </c>
      <c r="H11" s="47">
        <v>6199</v>
      </c>
      <c r="I11" s="47">
        <v>5473</v>
      </c>
      <c r="J11" s="31" t="s">
        <v>197</v>
      </c>
      <c r="K11" s="47">
        <v>5457</v>
      </c>
      <c r="L11" s="154" t="s">
        <v>51</v>
      </c>
      <c r="M11" s="155">
        <f t="shared" si="0"/>
        <v>8.4480000000000004</v>
      </c>
      <c r="N11" s="156" t="str">
        <f>VLOOKUP(C11,'Trips&amp;Operators'!$C$1:$G$99999,5,FALSE)</f>
        <v>SIMONEAUX TERA</v>
      </c>
      <c r="O11" s="183" t="s">
        <v>195</v>
      </c>
      <c r="P11" s="157"/>
      <c r="Q11" s="31"/>
      <c r="R11" s="100" t="str">
        <f>VLOOKUP(C11,'Train Runs'!$A$13:$AE$9975,31,0)</f>
        <v>aws s3 cp s3://rtdc.mdm.uploadarchive.raw/RTDC4015/ "%USERPROFILE%\AppData\Local\Temp\OnboardLogs"\RTDC4015\2016-12-22 --exclude "*" --recursive --include "*20161222*" &amp; "%USERPROFILE%\Documents\GitHub\mrs-test-scripts\Headless Mode &amp; Sideloading\WalkAndUnGZ.bat" "%USERPROFILE%\AppData\Local\Temp\OnboardLogs"\RTDC4015\2016-12-22 &amp; aws s3 cp s3://rtdc.mdm.uploadarchive.raw/RTDC4015/ "%USERPROFILE%\AppData\Local\Temp\OnboardLogs"\RTDC4015\2016-12-23 --exclude "*" --recursive --include "*20161223*" &amp; "%USERPROFILE%\Documents\GitHub\mrs-test-scripts\Headless Mode &amp; Sideloading\WalkAndUnGZ.bat" "%USERPROFILE%\AppData\Local\Temp\OnboardLogs"\RTDC4015\2016-12-23</v>
      </c>
      <c r="S11" s="103" t="str">
        <f>VLOOKUP(C11,'Train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06:18:32-700',mode:absolute,to:'2016-12-22 09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1" s="105" t="str">
        <f t="shared" si="1"/>
        <v>"C:\Program Files (x86)\AstroGrep\AstroGrep.exe" /spath="%USERPROFILE%\AppData\Local\Temp\OnboardLogs" /stypes="*4015*201612221*" /stext=" 15:.+((SYSTEM_STATE.+slice.+state.+changed )|(ment ac)|(multiple cpu faults)|(system.+state.+changed )|(\[timeout)|(PRM\|1\|D)|(kpr)|(kdp)|(\|lc)|(penalty))" /e /r /s</v>
      </c>
      <c r="U11" s="9" t="str">
        <f t="shared" si="2"/>
        <v>4015</v>
      </c>
      <c r="V11" s="36">
        <f t="shared" si="3"/>
        <v>42726.628113425926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{"issue":{"subject":"","project_id":79,"tracker_id":40,"status_id":1,"priority_id":2,"assigned_to_id":23,"start_date":"2016-12-22","description":"","custom_fields":[{"id":1,"name":"Subdivision","value":"EC"},{"id":4,"name":"Milepost","value":"0.5457"},{"id":17,"name":"Train ID","value":"124-22"},{"id":16,"name":"Locomotive ID","value":"4015"},{"id":130,"name":"Impact","value":""},{"id":150,"name":"Time of Event (Mountain Time)","value":"08:04:29"},{"id":151,"name":"Denver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"%USERPROFILE%\AppData\Local\Temp\OnboardLogs"\RTDC4015\*4015*201612221*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"%USERPROFILE%\AppData\Local\Temp\OnboardLogs"\RTDC4015\*4015*201612221* &gt;&gt; 42726-slicedisagreementcheck.txt</v>
      </c>
    </row>
    <row r="12" spans="1:30" s="1" customFormat="1" x14ac:dyDescent="0.25">
      <c r="A12" s="36">
        <v>42726.417141203703</v>
      </c>
      <c r="B12" s="31" t="s">
        <v>381</v>
      </c>
      <c r="C12" s="31" t="s">
        <v>456</v>
      </c>
      <c r="D12" s="31" t="s">
        <v>49</v>
      </c>
      <c r="E12" s="31" t="s">
        <v>196</v>
      </c>
      <c r="F12" s="47">
        <v>300</v>
      </c>
      <c r="G12" s="47">
        <v>384</v>
      </c>
      <c r="H12" s="47">
        <v>23016</v>
      </c>
      <c r="I12" s="47">
        <v>21942</v>
      </c>
      <c r="J12" s="31" t="s">
        <v>197</v>
      </c>
      <c r="K12" s="47">
        <v>21848</v>
      </c>
      <c r="L12" s="154" t="s">
        <v>51</v>
      </c>
      <c r="M12" s="155">
        <f t="shared" si="0"/>
        <v>49.631999999999998</v>
      </c>
      <c r="N12" s="156" t="str">
        <f>VLOOKUP(C12,'Trips&amp;Operators'!$C$1:$G$99999,5,FALSE)</f>
        <v>SIMMONS SHYHESHA</v>
      </c>
      <c r="O12" s="183" t="s">
        <v>195</v>
      </c>
      <c r="P12" s="157"/>
      <c r="Q12" s="31"/>
      <c r="R12" s="100" t="str">
        <f>VLOOKUP(C12,'Train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12" s="103" t="str">
        <f>VLOOKUP(C12,'Train Runs'!$A$13:$AE$9975,22,0)</f>
        <v>https://search-rtdc-monitor-bjffxe2xuh6vdkpspy63sjmuny.us-east-1.es.amazonaws.com/_plugin/kibana/#/discover/Steve-Slow-Train-Analysis-(2080s-and-2083s)?_g=(refreshInterval:(display:Off,section:0,value:0),time:(from:'2016-12-22 08:11:15-700',mode:absolute,to:'2016-12-22 11:07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2" s="105" t="str">
        <f t="shared" si="1"/>
        <v>"C:\Program Files (x86)\AstroGrep\AstroGrep.exe" /spath="%USERPROFILE%\AppData\Local\Temp\OnboardLogs" /stypes="*4030*201612221*" /stext=" 17:.+((SYSTEM_STATE.+slice.+state.+changed )|(ment ac)|(multiple cpu faults)|(system.+state.+changed )|(\[timeout)|(PRM\|1\|D)|(kpr)|(kdp)|(\|lc)|(penalty))" /e /r /s</v>
      </c>
      <c r="U12" s="9" t="str">
        <f t="shared" si="2"/>
        <v>4030</v>
      </c>
      <c r="V12" s="36">
        <f t="shared" si="3"/>
        <v>42726.708807870367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{"issue":{"subject":"","project_id":79,"tracker_id":40,"status_id":1,"priority_id":2,"assigned_to_id":23,"start_date":"2016-12-22","description":"","custom_fields":[{"id":1,"name":"Subdivision","value":"EC"},{"id":4,"name":"Milepost","value":"2.1848"},{"id":17,"name":"Train ID","value":"140-22"},{"id":16,"name":"Locomotive ID","value":"4030"},{"id":130,"name":"Impact","value":""},{"id":150,"name":"Time of Event (Mountain Time)","value":"10:00:41"},{"id":151,"name":"Denver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"%USERPROFILE%\AppData\Local\Temp\OnboardLogs"\RTDC4030\*4030*201612221*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"%USERPROFILE%\AppData\Local\Temp\OnboardLogs"\RTDC4030\*4030*201612221* &gt;&gt; 42726-slicedisagreementcheck.txt</v>
      </c>
    </row>
    <row r="13" spans="1:30" s="1" customFormat="1" x14ac:dyDescent="0.25">
      <c r="A13" s="36">
        <v>42726.441689814812</v>
      </c>
      <c r="B13" s="31" t="s">
        <v>387</v>
      </c>
      <c r="C13" s="31" t="s">
        <v>459</v>
      </c>
      <c r="D13" s="31" t="s">
        <v>49</v>
      </c>
      <c r="E13" s="31" t="s">
        <v>196</v>
      </c>
      <c r="F13" s="47">
        <v>400</v>
      </c>
      <c r="G13" s="47">
        <v>526</v>
      </c>
      <c r="H13" s="47">
        <v>115428</v>
      </c>
      <c r="I13" s="47">
        <v>116922</v>
      </c>
      <c r="J13" s="31" t="s">
        <v>197</v>
      </c>
      <c r="K13" s="47">
        <v>116838</v>
      </c>
      <c r="L13" s="154" t="s">
        <v>50</v>
      </c>
      <c r="M13" s="155">
        <f t="shared" si="0"/>
        <v>-44.351999999999997</v>
      </c>
      <c r="N13" s="156" t="str">
        <f>VLOOKUP(C13,'Trips&amp;Operators'!$C$1:$G$99999,5,FALSE)</f>
        <v>SIMMONS SHYHESHA</v>
      </c>
      <c r="O13" s="183" t="s">
        <v>195</v>
      </c>
      <c r="P13" s="157"/>
      <c r="Q13" s="31"/>
      <c r="R13" s="100" t="str">
        <f>VLOOKUP(C13,'Train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3" s="103" t="str">
        <f>VLOOKUP(C13,'Train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3" s="105" t="str">
        <f t="shared" si="1"/>
        <v>"C:\Program Files (x86)\AstroGrep\AstroGrep.exe" /spath="%USERPROFILE%\AppData\Local\Temp\OnboardLogs" /stypes="*4029*201612221*" /stext=" 17:.+((SYSTEM_STATE.+slice.+state.+changed )|(ment ac)|(multiple cpu faults)|(system.+state.+changed )|(\[timeout)|(PRM\|1\|D)|(kpr)|(kdp)|(\|lc)|(penalty))" /e /r /s</v>
      </c>
      <c r="U13" s="9" t="str">
        <f t="shared" si="2"/>
        <v>4029</v>
      </c>
      <c r="V13" s="36">
        <f t="shared" si="3"/>
        <v>42726.733356481476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{"issue":{"subject":"","project_id":79,"tracker_id":40,"status_id":1,"priority_id":2,"assigned_to_id":23,"start_date":"2016-12-22","description":"","custom_fields":[{"id":1,"name":"Subdivision","value":"EC"},{"id":4,"name":"Milepost","value":"11.6838"},{"id":17,"name":"Train ID","value":"153-22"},{"id":16,"name":"Locomotive ID","value":"4029"},{"id":130,"name":"Impact","value":""},{"id":150,"name":"Time of Event (Mountain Time)","value":"10:36:02"},{"id":151,"name":"Denver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"%USERPROFILE%\AppData\Local\Temp\OnboardLogs"\RTDC4029\*4029*201612221*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4" spans="1:30" s="1" customFormat="1" x14ac:dyDescent="0.25">
      <c r="A14" s="36">
        <v>42726.425046296295</v>
      </c>
      <c r="B14" s="31" t="s">
        <v>322</v>
      </c>
      <c r="C14" s="31" t="s">
        <v>457</v>
      </c>
      <c r="D14" s="31" t="s">
        <v>49</v>
      </c>
      <c r="E14" s="31" t="s">
        <v>196</v>
      </c>
      <c r="F14" s="47">
        <v>400</v>
      </c>
      <c r="G14" s="47">
        <v>468</v>
      </c>
      <c r="H14" s="47">
        <v>120710</v>
      </c>
      <c r="I14" s="47">
        <v>119339</v>
      </c>
      <c r="J14" s="31" t="s">
        <v>197</v>
      </c>
      <c r="K14" s="47">
        <v>119716</v>
      </c>
      <c r="L14" s="154" t="s">
        <v>51</v>
      </c>
      <c r="M14" s="155">
        <f t="shared" si="0"/>
        <v>-199.05600000000001</v>
      </c>
      <c r="N14" s="156" t="str">
        <f>VLOOKUP(C14,'Trips&amp;Operators'!$C$1:$G$99999,5,FALSE)</f>
        <v>STARKS ANGELINA</v>
      </c>
      <c r="O14" s="183" t="s">
        <v>195</v>
      </c>
      <c r="P14" s="157"/>
      <c r="Q14" s="31"/>
      <c r="R14" s="100" t="str">
        <f>VLOOKUP(C14,'Train Runs'!$A$13:$AE$9975,31,0)</f>
        <v>aws s3 cp s3://rtdc.mdm.uploadarchive.raw/RTDC4019/ "%USERPROFILE%\AppData\Local\Temp\OnboardLogs"\RTDC4019\2016-12-22 --exclude "*" --recursive --include "*20161222*" &amp; "%USERPROFILE%\Documents\GitHub\mrs-test-scripts\Headless Mode &amp; Sideloading\WalkAndUnGZ.bat" "%USERPROFILE%\AppData\Local\Temp\OnboardLogs"\RTDC4019\2016-12-22 &amp; aws s3 cp s3://rtdc.mdm.uploadarchive.raw/RTDC4019/ "%USERPROFILE%\AppData\Local\Temp\OnboardLogs"\RTDC4019\2016-12-23 --exclude "*" --recursive --include "*20161223*" &amp; "%USERPROFILE%\Documents\GitHub\mrs-test-scripts\Headless Mode &amp; Sideloading\WalkAndUnGZ.bat" "%USERPROFILE%\AppData\Local\Temp\OnboardLogs"\RTDC4019\2016-12-23</v>
      </c>
      <c r="S14" s="103" t="str">
        <f>VLOOKUP(C14,'Train Runs'!$A$13:$AE$9975,22,0)</f>
        <v>https://search-rtdc-monitor-bjffxe2xuh6vdkpspy63sjmuny.us-east-1.es.amazonaws.com/_plugin/kibana/#/discover/Steve-Slow-Train-Analysis-(2080s-and-2083s)?_g=(refreshInterval:(display:Off,section:0,value:0),time:(from:'2016-12-22 08:53:05-700',mode:absolute,to:'2016-12-22 11:36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14" s="105" t="str">
        <f t="shared" si="1"/>
        <v>"C:\Program Files (x86)\AstroGrep\AstroGrep.exe" /spath="%USERPROFILE%\AppData\Local\Temp\OnboardLogs" /stypes="*4019*201612221*" /stext=" 17:.+((SYSTEM_STATE.+slice.+state.+changed )|(ment ac)|(multiple cpu faults)|(system.+state.+changed )|(\[timeout)|(PRM\|1\|D)|(kpr)|(kdp)|(\|lc)|(penalty))" /e /r /s</v>
      </c>
      <c r="U14" s="9" t="str">
        <f t="shared" si="2"/>
        <v>4019</v>
      </c>
      <c r="V14" s="36">
        <f t="shared" si="3"/>
        <v>42726.71671296296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{"issue":{"subject":"","project_id":79,"tracker_id":40,"status_id":1,"priority_id":2,"assigned_to_id":23,"start_date":"2016-12-22","description":"","custom_fields":[{"id":1,"name":"Subdivision","value":"EC"},{"id":4,"name":"Milepost","value":"11.9716"},{"id":17,"name":"Train ID","value":"144-22"},{"id":16,"name":"Locomotive ID","value":"4019"},{"id":130,"name":"Impact","value":""},{"id":150,"name":"Time of Event (Mountain Time)","value":"10:12:04"},{"id":151,"name":"Denver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"%USERPROFILE%\AppData\Local\Temp\OnboardLogs"\RTDC4019\*4019*201612221*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"%USERPROFILE%\AppData\Local\Temp\OnboardLogs"\RTDC4019\*4019*201612221* &gt;&gt; 42726-slicedisagreementcheck.txt</v>
      </c>
    </row>
    <row r="15" spans="1:30" s="1" customFormat="1" x14ac:dyDescent="0.25">
      <c r="A15" s="36">
        <v>42726.67287037037</v>
      </c>
      <c r="B15" s="31" t="s">
        <v>183</v>
      </c>
      <c r="C15" s="31" t="s">
        <v>467</v>
      </c>
      <c r="D15" s="31" t="s">
        <v>98</v>
      </c>
      <c r="E15" s="31" t="s">
        <v>196</v>
      </c>
      <c r="F15" s="47">
        <v>700</v>
      </c>
      <c r="G15" s="47">
        <v>750</v>
      </c>
      <c r="H15" s="47">
        <v>170189</v>
      </c>
      <c r="I15" s="47">
        <v>173800</v>
      </c>
      <c r="J15" s="31" t="s">
        <v>197</v>
      </c>
      <c r="K15" s="47">
        <v>161962</v>
      </c>
      <c r="L15" s="154" t="s">
        <v>50</v>
      </c>
      <c r="M15" s="155">
        <f t="shared" si="0"/>
        <v>-6250.4639999999999</v>
      </c>
      <c r="N15" s="156" t="str">
        <f>VLOOKUP(C15,'Trips&amp;Operators'!$C$1:$G$99999,5,FALSE)</f>
        <v>BARTLETT KIANDRA</v>
      </c>
      <c r="O15" s="183" t="s">
        <v>195</v>
      </c>
      <c r="P15" s="157"/>
      <c r="Q15" s="31"/>
      <c r="R15" s="100" t="str">
        <f>VLOOKUP(C15,'Train Runs'!$A$13:$AE$9975,31,0)</f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S15" s="103" t="str">
        <f>VLOOKUP(C15,'Train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14:07:17-700',mode:absolute,to:'2016-12-22 17:17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5" s="105" t="str">
        <f t="shared" si="1"/>
        <v>"C:\Program Files (x86)\AstroGrep\AstroGrep.exe" /spath="%USERPROFILE%\AppData\Local\Temp\OnboardLogs" /stypes="*4009*201612222*" /stext=" 23:.+((SYSTEM_STATE.+slice.+state.+changed )|(ment ac)|(multiple cpu faults)|(system.+state.+changed )|(\[timeout)|(PRM\|1\|D)|(kpr)|(kdp)|(\|lc)|(penalty))" /e /r /s</v>
      </c>
      <c r="U15" s="9" t="str">
        <f t="shared" si="2"/>
        <v>4009</v>
      </c>
      <c r="V15" s="36">
        <f t="shared" si="3"/>
        <v>42726.964537037034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{"issue":{"subject":"","project_id":79,"tracker_id":40,"status_id":1,"priority_id":2,"assigned_to_id":23,"start_date":"2016-12-22","description":"","custom_fields":[{"id":1,"name":"Subdivision","value":"EC"},{"id":4,"name":"Milepost","value":"16.1962"},{"id":17,"name":"Train ID","value":"195-22"},{"id":16,"name":"Locomotive ID","value":"4009"},{"id":130,"name":"Impact","value":""},{"id":150,"name":"Time of Event (Mountain Time)","value":"16:08:56"},{"id":151,"name":"Denver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"%USERPROFILE%\AppData\Local\Temp\OnboardLogs"\RTDC4009\*4009*201612222*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"%USERPROFILE%\AppData\Local\Temp\OnboardLogs"\RTDC4009\*4009*201612222* &gt;&gt; 42726-slicedisagreementcheck.txt</v>
      </c>
    </row>
    <row r="16" spans="1:30" s="1" customFormat="1" x14ac:dyDescent="0.25">
      <c r="A16" s="36">
        <v>42726.661550925928</v>
      </c>
      <c r="B16" s="31" t="s">
        <v>300</v>
      </c>
      <c r="C16" s="31" t="s">
        <v>465</v>
      </c>
      <c r="D16" s="31" t="s">
        <v>98</v>
      </c>
      <c r="E16" s="31" t="s">
        <v>196</v>
      </c>
      <c r="F16" s="47">
        <v>700</v>
      </c>
      <c r="G16" s="47">
        <v>751</v>
      </c>
      <c r="H16" s="47">
        <v>179520</v>
      </c>
      <c r="I16" s="47">
        <v>175880</v>
      </c>
      <c r="J16" s="31" t="s">
        <v>197</v>
      </c>
      <c r="K16" s="47">
        <v>183829</v>
      </c>
      <c r="L16" s="154" t="s">
        <v>51</v>
      </c>
      <c r="M16" s="155">
        <f t="shared" si="0"/>
        <v>-4197.0720000000001</v>
      </c>
      <c r="N16" s="156" t="str">
        <f>VLOOKUP(C16,'Trips&amp;Operators'!$C$1:$G$99999,5,FALSE)</f>
        <v>KILLION DAVID</v>
      </c>
      <c r="O16" s="183" t="s">
        <v>195</v>
      </c>
      <c r="P16" s="157"/>
      <c r="Q16" s="31"/>
      <c r="R16" s="100" t="str">
        <f>VLOOKUP(C16,'Train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16" s="103" t="str">
        <f>VLOOKUP(C16,'Train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14:36:54-700',mode:absolute,to:'2016-12-22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16" s="105" t="str">
        <f t="shared" si="1"/>
        <v>"C:\Program Files (x86)\AstroGrep\AstroGrep.exe" /spath="%USERPROFILE%\AppData\Local\Temp\OnboardLogs" /stypes="*4028*201612222*" /stext=" 22:.+((SYSTEM_STATE.+slice.+state.+changed )|(ment ac)|(multiple cpu faults)|(system.+state.+changed )|(\[timeout)|(PRM\|1\|D)|(kpr)|(kdp)|(\|lc)|(penalty))" /e /r /s</v>
      </c>
      <c r="U16" s="9" t="str">
        <f t="shared" si="2"/>
        <v>4028</v>
      </c>
      <c r="V16" s="36">
        <f t="shared" si="3"/>
        <v>42726.953217592592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{"issue":{"subject":"","project_id":79,"tracker_id":40,"status_id":1,"priority_id":2,"assigned_to_id":23,"start_date":"2016-12-22","description":"","custom_fields":[{"id":1,"name":"Subdivision","value":"EC"},{"id":4,"name":"Milepost","value":"18.3829"},{"id":17,"name":"Train ID","value":"190-22"},{"id":16,"name":"Locomotive ID","value":"4028"},{"id":130,"name":"Impact","value":""},{"id":150,"name":"Time of Event (Mountain Time)","value":"15:52:38"},{"id":151,"name":"Denver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"%USERPROFILE%\AppData\Local\Temp\OnboardLogs"\RTDC4028\*4028*201612222*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"%USERPROFILE%\AppData\Local\Temp\OnboardLogs"\RTDC4028\*4028*201612222* &gt;&gt; 42726-slicedisagreementcheck.txt</v>
      </c>
    </row>
    <row r="17" spans="1:30" s="1" customFormat="1" x14ac:dyDescent="0.25">
      <c r="A17" s="36">
        <v>42726.230462962965</v>
      </c>
      <c r="B17" s="31" t="s">
        <v>387</v>
      </c>
      <c r="C17" s="31" t="s">
        <v>444</v>
      </c>
      <c r="D17" s="31" t="s">
        <v>49</v>
      </c>
      <c r="E17" s="31" t="s">
        <v>196</v>
      </c>
      <c r="F17" s="47">
        <v>450</v>
      </c>
      <c r="G17" s="47">
        <v>591</v>
      </c>
      <c r="H17" s="47">
        <v>188626</v>
      </c>
      <c r="I17" s="47">
        <v>191231</v>
      </c>
      <c r="J17" s="31" t="s">
        <v>197</v>
      </c>
      <c r="K17" s="47">
        <v>190834</v>
      </c>
      <c r="L17" s="154" t="s">
        <v>50</v>
      </c>
      <c r="M17" s="155">
        <f t="shared" si="0"/>
        <v>-209.61600000000001</v>
      </c>
      <c r="N17" s="156" t="str">
        <f>VLOOKUP(C17,'Trips&amp;Operators'!$C$1:$G$99999,5,FALSE)</f>
        <v>SIMMONS SHYHESHA</v>
      </c>
      <c r="O17" s="183" t="s">
        <v>195</v>
      </c>
      <c r="P17" s="157"/>
      <c r="Q17" s="31"/>
      <c r="R17" s="100" t="str">
        <f>VLOOKUP(C17,'Train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7" s="103" t="str">
        <f>VLOOKUP(C17,'Train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7" s="105" t="str">
        <f t="shared" si="1"/>
        <v>"C:\Program Files (x86)\AstroGrep\AstroGrep.exe" /spath="%USERPROFILE%\AppData\Local\Temp\OnboardLogs" /stypes="*4029*201612221*" /stext=" 12:.+((SYSTEM_STATE.+slice.+state.+changed )|(ment ac)|(multiple cpu faults)|(system.+state.+changed )|(\[timeout)|(PRM\|1\|D)|(kpr)|(kdp)|(\|lc)|(penalty))" /e /r /s</v>
      </c>
      <c r="U17" s="9" t="str">
        <f t="shared" si="2"/>
        <v>4029</v>
      </c>
      <c r="V17" s="36">
        <f t="shared" si="3"/>
        <v>42726.522129629629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{"issue":{"subject":"","project_id":79,"tracker_id":40,"status_id":1,"priority_id":2,"assigned_to_id":23,"start_date":"2016-12-22","description":"","custom_fields":[{"id":1,"name":"Subdivision","value":"EC"},{"id":4,"name":"Milepost","value":"19.0834"},{"id":17,"name":"Train ID","value":"111-22"},{"id":16,"name":"Locomotive ID","value":"4029"},{"id":130,"name":"Impact","value":""},{"id":150,"name":"Time of Event (Mountain Time)","value":"05:31:52"},{"id":151,"name":"Denver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"%USERPROFILE%\AppData\Local\Temp\OnboardLogs"\RTDC4029\*4029*201612221*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8" spans="1:30" s="1" customFormat="1" x14ac:dyDescent="0.25">
      <c r="A18" s="36">
        <v>42726.377187500002</v>
      </c>
      <c r="B18" s="31" t="s">
        <v>387</v>
      </c>
      <c r="C18" s="31" t="s">
        <v>455</v>
      </c>
      <c r="D18" s="31" t="s">
        <v>49</v>
      </c>
      <c r="E18" s="31" t="s">
        <v>196</v>
      </c>
      <c r="F18" s="47">
        <v>350</v>
      </c>
      <c r="G18" s="47">
        <v>540</v>
      </c>
      <c r="H18" s="47">
        <v>222588</v>
      </c>
      <c r="I18" s="47">
        <v>224366</v>
      </c>
      <c r="J18" s="31" t="s">
        <v>197</v>
      </c>
      <c r="K18" s="47">
        <v>224578</v>
      </c>
      <c r="L18" s="154" t="s">
        <v>50</v>
      </c>
      <c r="M18" s="155">
        <f t="shared" si="0"/>
        <v>111.93600000000001</v>
      </c>
      <c r="N18" s="156" t="str">
        <f>VLOOKUP(C18,'Trips&amp;Operators'!$C$1:$G$99999,5,FALSE)</f>
        <v>SIMMONS SHYHESHA</v>
      </c>
      <c r="O18" s="183" t="s">
        <v>195</v>
      </c>
      <c r="P18" s="157"/>
      <c r="Q18" s="31"/>
      <c r="R18" s="100" t="str">
        <f>VLOOKUP(C18,'Train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8" s="103" t="str">
        <f>VLOOKUP(C18,'Train Runs'!$A$13:$AE$9975,22,0)</f>
        <v>https://search-rtdc-monitor-bjffxe2xuh6vdkpspy63sjmuny.us-east-1.es.amazonaws.com/_plugin/kibana/#/discover/Steve-Slow-Train-Analysis-(2080s-and-2083s)?_g=(refreshInterval:(display:Off,section:0,value:0),time:(from:'2016-12-22 07:25:37-700',mode:absolute,to:'2016-12-22 10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8" s="105" t="str">
        <f t="shared" si="1"/>
        <v>"C:\Program Files (x86)\AstroGrep\AstroGrep.exe" /spath="%USERPROFILE%\AppData\Local\Temp\OnboardLogs" /stypes="*4029*201612221*" /stext=" 16:.+((SYSTEM_STATE.+slice.+state.+changed )|(ment ac)|(multiple cpu faults)|(system.+state.+changed )|(\[timeout)|(PRM\|1\|D)|(kpr)|(kdp)|(\|lc)|(penalty))" /e /r /s</v>
      </c>
      <c r="U18" s="9" t="str">
        <f t="shared" si="2"/>
        <v>4029</v>
      </c>
      <c r="V18" s="36">
        <f t="shared" si="3"/>
        <v>42726.668854166666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{"issue":{"subject":"","project_id":79,"tracker_id":40,"status_id":1,"priority_id":2,"assigned_to_id":23,"start_date":"2016-12-22","description":"","custom_fields":[{"id":1,"name":"Subdivision","value":"EC"},{"id":4,"name":"Milepost","value":"22.4578"},{"id":17,"name":"Train ID","value":"139-22"},{"id":16,"name":"Locomotive ID","value":"4029"},{"id":130,"name":"Impact","value":""},{"id":150,"name":"Time of Event (Mountain Time)","value":"09:03:09"},{"id":151,"name":"Denver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"%USERPROFILE%\AppData\Local\Temp\OnboardLogs"\RTDC4029\*4029*201612221*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19" spans="1:30" s="1" customFormat="1" x14ac:dyDescent="0.25">
      <c r="A19" s="36">
        <v>42726.234074074076</v>
      </c>
      <c r="B19" s="31" t="s">
        <v>387</v>
      </c>
      <c r="C19" s="31" t="s">
        <v>444</v>
      </c>
      <c r="D19" s="31" t="s">
        <v>49</v>
      </c>
      <c r="E19" s="31" t="s">
        <v>196</v>
      </c>
      <c r="F19" s="47">
        <v>150</v>
      </c>
      <c r="G19" s="47">
        <v>227</v>
      </c>
      <c r="H19" s="47">
        <v>228222</v>
      </c>
      <c r="I19" s="47">
        <v>228749</v>
      </c>
      <c r="J19" s="31" t="s">
        <v>197</v>
      </c>
      <c r="K19" s="47">
        <v>228668</v>
      </c>
      <c r="L19" s="154" t="s">
        <v>50</v>
      </c>
      <c r="M19" s="155">
        <f t="shared" si="0"/>
        <v>-42.768000000000001</v>
      </c>
      <c r="N19" s="156" t="str">
        <f>VLOOKUP(C19,'Trips&amp;Operators'!$C$1:$G$99999,5,FALSE)</f>
        <v>SIMMONS SHYHESHA</v>
      </c>
      <c r="O19" s="183" t="s">
        <v>195</v>
      </c>
      <c r="P19" s="157"/>
      <c r="Q19" s="31"/>
      <c r="R19" s="100" t="str">
        <f>VLOOKUP(C19,'Train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19" s="103" t="str">
        <f>VLOOKUP(C19,'Train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03:58:02-700',mode:absolute,to:'2016-12-22 06:39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9" s="105" t="str">
        <f t="shared" si="1"/>
        <v>"C:\Program Files (x86)\AstroGrep\AstroGrep.exe" /spath="%USERPROFILE%\AppData\Local\Temp\OnboardLogs" /stypes="*4029*201612221*" /stext=" 12:.+((SYSTEM_STATE.+slice.+state.+changed )|(ment ac)|(multiple cpu faults)|(system.+state.+changed )|(\[timeout)|(PRM\|1\|D)|(kpr)|(kdp)|(\|lc)|(penalty))" /e /r /s</v>
      </c>
      <c r="U19" s="9" t="str">
        <f t="shared" si="2"/>
        <v>4029</v>
      </c>
      <c r="V19" s="36">
        <f t="shared" si="3"/>
        <v>42726.525740740741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{"issue":{"subject":"","project_id":79,"tracker_id":40,"status_id":1,"priority_id":2,"assigned_to_id":23,"start_date":"2016-12-22","description":"","custom_fields":[{"id":1,"name":"Subdivision","value":"EC"},{"id":4,"name":"Milepost","value":"22.8668"},{"id":17,"name":"Train ID","value":"111-22"},{"id":16,"name":"Locomotive ID","value":"4029"},{"id":130,"name":"Impact","value":""},{"id":150,"name":"Time of Event (Mountain Time)","value":"05:37:04"},{"id":151,"name":"Denver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"%USERPROFILE%\AppData\Local\Temp\OnboardLogs"\RTDC4029\*4029*201612221*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20" spans="1:30" x14ac:dyDescent="0.25">
      <c r="A20" s="36">
        <v>42726.219884259262</v>
      </c>
      <c r="B20" s="31" t="s">
        <v>225</v>
      </c>
      <c r="C20" s="31" t="s">
        <v>443</v>
      </c>
      <c r="D20" s="31" t="s">
        <v>98</v>
      </c>
      <c r="E20" s="31" t="s">
        <v>198</v>
      </c>
      <c r="F20" s="47">
        <v>0</v>
      </c>
      <c r="G20" s="47">
        <v>94</v>
      </c>
      <c r="H20" s="47">
        <v>1963</v>
      </c>
      <c r="I20" s="47">
        <v>2100</v>
      </c>
      <c r="J20" s="31" t="s">
        <v>199</v>
      </c>
      <c r="K20" s="47">
        <v>1692</v>
      </c>
      <c r="L20" s="154" t="s">
        <v>50</v>
      </c>
      <c r="M20" s="155">
        <f t="shared" si="0"/>
        <v>-215.42400000000001</v>
      </c>
      <c r="N20" s="156" t="str">
        <f>VLOOKUP(C20,'Trips&amp;Operators'!$C$1:$G$99999,5,FALSE)</f>
        <v>ISHMAEL JOSEPH</v>
      </c>
      <c r="O20" s="183" t="s">
        <v>195</v>
      </c>
      <c r="P20" s="157" t="s">
        <v>860</v>
      </c>
      <c r="Q20" s="31"/>
      <c r="R20" s="100" t="str">
        <f>VLOOKUP(C20,'Train Runs'!$A$13:$AE$9975,31,0)</f>
        <v>aws s3 cp s3://rtdc.mdm.uploadarchive.raw/RTDC4014/ "%USERPROFILE%\AppData\Local\Temp\OnboardLogs"\RTDC4014\2016-12-22 --exclude "*" --recursive --include "*20161222*" &amp; "%USERPROFILE%\Documents\GitHub\mrs-test-scripts\Headless Mode &amp; Sideloading\WalkAndUnGZ.bat" "%USERPROFILE%\AppData\Local\Temp\OnboardLogs"\RTDC4014\2016-12-22 &amp; aws s3 cp s3://rtdc.mdm.uploadarchive.raw/RTDC4014/ "%USERPROFILE%\AppData\Local\Temp\OnboardLogs"\RTDC4014\2016-12-23 --exclude "*" --recursive --include "*20161223*" &amp; "%USERPROFILE%\Documents\GitHub\mrs-test-scripts\Headless Mode &amp; Sideloading\WalkAndUnGZ.bat" "%USERPROFILE%\AppData\Local\Temp\OnboardLogs"\RTDC4014\2016-12-23</v>
      </c>
      <c r="S20" s="103" t="str">
        <f>VLOOKUP(C20,'Train Runs'!$A$13:$AE$9975,22,0)</f>
        <v>https://search-rtdc-monitor-bjffxe2xuh6vdkpspy63sjmuny.us-east-1.es.amazonaws.com/_plugin/kibana/#/discover/Steve-Slow-Train-Analysis-(2080s-and-2083s)?_g=(refreshInterval:(display:Off,section:0,value:0),time:(from:'2016-12-22 04:10:12-700',mode:absolute,to:'2016-12-22 06:53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20" s="105" t="str">
        <f t="shared" si="1"/>
        <v>"C:\Program Files (x86)\AstroGrep\AstroGrep.exe" /spath="%USERPROFILE%\AppData\Local\Temp\OnboardLogs" /stypes="*4014*201612221*" /stext=" 12:.+((SYSTEM_STATE.+slice.+state.+changed )|(ment ac)|(multiple cpu faults)|(system.+state.+changed )|(\[timeout)|(PRM\|1\|D)|(kpr)|(kdp)|(\|lc)|(penalty))" /e /r /s</v>
      </c>
      <c r="U20" s="9" t="str">
        <f t="shared" si="2"/>
        <v>4014</v>
      </c>
      <c r="V20" s="36">
        <f t="shared" si="3"/>
        <v>42726.511550925927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{"issue":{"subject":"Main 3 Departure","project_id":79,"tracker_id":40,"status_id":1,"priority_id":2,"assigned_to_id":23,"start_date":"2016-12-22","description":"","custom_fields":[{"id":1,"name":"Subdivision","value":"EC"},{"id":4,"name":"Milepost","value":"0.1692"},{"id":17,"name":"Train ID","value":"113-22"},{"id":16,"name":"Locomotive ID","value":"4014"},{"id":130,"name":"Impact","value":""},{"id":150,"name":"Time of Event (Mountain Time)","value":"05:16:38"},{"id":151,"name":"Denver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"%USERPROFILE%\AppData\Local\Temp\OnboardLogs"\RTDC4014\*4014*201612221*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"%USERPROFILE%\AppData\Local\Temp\OnboardLogs"\RTDC4014\*4014*201612221* &gt;&gt; 42726-slicedisagreementcheck.txt</v>
      </c>
    </row>
    <row r="21" spans="1:30" x14ac:dyDescent="0.25">
      <c r="A21" s="36">
        <v>42726.18074074074</v>
      </c>
      <c r="B21" s="31" t="s">
        <v>329</v>
      </c>
      <c r="C21" s="31" t="s">
        <v>441</v>
      </c>
      <c r="D21" s="31" t="s">
        <v>98</v>
      </c>
      <c r="E21" s="31" t="s">
        <v>198</v>
      </c>
      <c r="F21" s="47">
        <v>200</v>
      </c>
      <c r="G21" s="47">
        <v>258</v>
      </c>
      <c r="H21" s="47">
        <v>155242</v>
      </c>
      <c r="I21" s="47">
        <v>155841</v>
      </c>
      <c r="J21" s="31" t="s">
        <v>199</v>
      </c>
      <c r="K21" s="47">
        <v>149694</v>
      </c>
      <c r="L21" s="154" t="s">
        <v>50</v>
      </c>
      <c r="M21" s="155">
        <f t="shared" si="0"/>
        <v>-3245.616</v>
      </c>
      <c r="N21" s="156" t="str">
        <f>VLOOKUP(C21,'Trips&amp;Operators'!$C$1:$G$99999,5,FALSE)</f>
        <v>BONDS REYNALDO</v>
      </c>
      <c r="O21" s="183" t="s">
        <v>227</v>
      </c>
      <c r="P21" s="157" t="s">
        <v>859</v>
      </c>
      <c r="Q21" s="31"/>
      <c r="R21" s="100" t="str">
        <f>VLOOKUP(C21,'Train Runs'!$A$13:$AE$9975,31,0)</f>
        <v>aws s3 cp s3://rtdc.mdm.uploadarchive.raw/RTDC4020/ "%USERPROFILE%\AppData\Local\Temp\OnboardLogs"\RTDC4020\2016-12-22 --exclude "*" --recursive --include "*20161222*" &amp; "%USERPROFILE%\Documents\GitHub\mrs-test-scripts\Headless Mode &amp; Sideloading\WalkAndUnGZ.bat" "%USERPROFILE%\AppData\Local\Temp\OnboardLogs"\RTDC4020\2016-12-22 &amp; aws s3 cp s3://rtdc.mdm.uploadarchive.raw/RTDC4020/ "%USERPROFILE%\AppData\Local\Temp\OnboardLogs"\RTDC4020\2016-12-23 --exclude "*" --recursive --include "*20161223*" &amp; "%USERPROFILE%\Documents\GitHub\mrs-test-scripts\Headless Mode &amp; Sideloading\WalkAndUnGZ.bat" "%USERPROFILE%\AppData\Local\Temp\OnboardLogs"\RTDC4020\2016-12-23</v>
      </c>
      <c r="S21" s="103" t="str">
        <f>VLOOKUP(C21,'Train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03:00:58-700',mode:absolute,to:'2016-12-22 05:21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1" s="105" t="str">
        <f t="shared" si="1"/>
        <v>"C:\Program Files (x86)\AstroGrep\AstroGrep.exe" /spath="%USERPROFILE%\AppData\Local\Temp\OnboardLogs" /stypes="*4020*201612221*" /stext=" 11:.+((SYSTEM_STATE.+slice.+state.+changed )|(ment ac)|(multiple cpu faults)|(system.+state.+changed )|(\[timeout)|(PRM\|1\|D)|(kpr)|(kdp)|(\|lc)|(penalty))" /e /r /s</v>
      </c>
      <c r="U21" s="9" t="str">
        <f t="shared" si="2"/>
        <v>4020</v>
      </c>
      <c r="V21" s="36">
        <f t="shared" si="3"/>
        <v>42726.472407407404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{"issue":{"subject":"Onboard networking issues","project_id":79,"tracker_id":40,"status_id":1,"priority_id":2,"assigned_to_id":23,"start_date":"2016-12-22","description":"","custom_fields":[{"id":1,"name":"Subdivision","value":"EC"},{"id":4,"name":"Milepost","value":"14.9694"},{"id":17,"name":"Train ID","value":"103-22"},{"id":16,"name":"Locomotive ID","value":"4020"},{"id":130,"name":"Impact","value":""},{"id":150,"name":"Time of Event (Mountain Time)","value":"04:20:16"},{"id":151,"name":"Denver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"%USERPROFILE%\AppData\Local\Temp\OnboardLogs"\RTDC4020\*4020*201612221*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"%USERPROFILE%\AppData\Local\Temp\OnboardLogs"\RTDC4020\*4020*201612221* &gt;&gt; 42726-slicedisagreementcheck.txt</v>
      </c>
    </row>
    <row r="22" spans="1:30" ht="15" customHeight="1" x14ac:dyDescent="0.25">
      <c r="A22" s="36">
        <v>42726.445405092592</v>
      </c>
      <c r="B22" s="31" t="s">
        <v>387</v>
      </c>
      <c r="C22" s="31" t="s">
        <v>459</v>
      </c>
      <c r="D22" s="31" t="s">
        <v>98</v>
      </c>
      <c r="E22" s="31" t="s">
        <v>198</v>
      </c>
      <c r="F22" s="47">
        <v>0</v>
      </c>
      <c r="G22" s="47">
        <v>710</v>
      </c>
      <c r="H22" s="47">
        <v>149830</v>
      </c>
      <c r="I22" s="47">
        <v>153149</v>
      </c>
      <c r="J22" s="31" t="s">
        <v>199</v>
      </c>
      <c r="K22" s="47">
        <v>149694</v>
      </c>
      <c r="L22" s="154" t="s">
        <v>50</v>
      </c>
      <c r="M22" s="155">
        <f t="shared" si="0"/>
        <v>-1824.24</v>
      </c>
      <c r="N22" s="156" t="str">
        <f>VLOOKUP(C22,'Trips&amp;Operators'!$C$1:$G$99999,5,FALSE)</f>
        <v>SIMMONS SHYHESHA</v>
      </c>
      <c r="O22" s="183" t="s">
        <v>227</v>
      </c>
      <c r="P22" s="157" t="s">
        <v>861</v>
      </c>
      <c r="Q22" s="31"/>
      <c r="R22" s="100" t="str">
        <f>VLOOKUP(C22,'Train Runs'!$A$13:$AE$9975,31,0)</f>
        <v>aws s3 cp s3://rtdc.mdm.uploadarchive.raw/RTDC4029/ "%USERPROFILE%\AppData\Local\Temp\OnboardLogs"\RTDC4029\2016-12-22 --exclude "*" --recursive --include "*20161222*" &amp; "%USERPROFILE%\Documents\GitHub\mrs-test-scripts\Headless Mode &amp; Sideloading\WalkAndUnGZ.bat" "%USERPROFILE%\AppData\Local\Temp\OnboardLogs"\RTDC4029\2016-12-22 &amp; aws s3 cp s3://rtdc.mdm.uploadarchive.raw/RTDC4029/ "%USERPROFILE%\AppData\Local\Temp\OnboardLogs"\RTDC4029\2016-12-23 --exclude "*" --recursive --include "*20161223*" &amp; "%USERPROFILE%\Documents\GitHub\mrs-test-scripts\Headless Mode &amp; Sideloading\WalkAndUnGZ.bat" "%USERPROFILE%\AppData\Local\Temp\OnboardLogs"\RTDC4029\2016-12-23</v>
      </c>
      <c r="S22" s="103" t="str">
        <f>VLOOKUP(C22,'Train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09:10:05-700',mode:absolute,to:'2016-12-22 11:52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2" s="105" t="str">
        <f t="shared" si="1"/>
        <v>"C:\Program Files (x86)\AstroGrep\AstroGrep.exe" /spath="%USERPROFILE%\AppData\Local\Temp\OnboardLogs" /stypes="*4029*201612221*" /stext=" 17:.+((SYSTEM_STATE.+slice.+state.+changed )|(ment ac)|(multiple cpu faults)|(system.+state.+changed )|(\[timeout)|(PRM\|1\|D)|(kpr)|(kdp)|(\|lc)|(penalty))" /e /r /s</v>
      </c>
      <c r="U22" s="9" t="str">
        <f t="shared" si="2"/>
        <v>4029</v>
      </c>
      <c r="V22" s="36">
        <f t="shared" si="3"/>
        <v>42726.737071759257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-22","description":"http://stevetu21.github.io/eaglep3/load_kml.html?kml=http://rtdc.gmaps-snips.s3.amazonaws.com/c67f1cfa-e825-43c5-a352-a4fd381ba74c.kml","custom_fields":[{"id":1,"name":"Subdivision","value":"EC"},{"id":4,"name":"Milepost","value":"14.9694"},{"id":17,"name":"Train ID","value":"153-22"},{"id":16,"name":"Locomotive ID","value":"4029"},{"id":130,"name":"Impact","value":"Enforcement"},{"id":150,"name":"Time of Event (Mountain Time)","value":"10:41:23"},{"id":151,"name":"Denver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2" s="184" t="s">
        <v>866</v>
      </c>
      <c r="AA22" s="53" t="s">
        <v>125</v>
      </c>
      <c r="AB22" s="53" t="s">
        <v>138</v>
      </c>
      <c r="AC22" s="138" t="str">
        <f t="shared" si="7"/>
        <v>grep -hSE -A100 "Enforcement Action" "%USERPROFILE%\AppData\Local\Temp\OnboardLogs"\RTDC4029\*4029*201612221*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"%USERPROFILE%\AppData\Local\Temp\OnboardLogs"\RTDC4029\*4029*201612221* &gt;&gt; 42726-slicedisagreementcheck.txt</v>
      </c>
    </row>
    <row r="23" spans="1:30" x14ac:dyDescent="0.25">
      <c r="A23" s="36">
        <v>42726.896620370368</v>
      </c>
      <c r="B23" s="31" t="s">
        <v>183</v>
      </c>
      <c r="C23" s="31" t="s">
        <v>477</v>
      </c>
      <c r="D23" s="31" t="s">
        <v>49</v>
      </c>
      <c r="E23" s="31" t="s">
        <v>198</v>
      </c>
      <c r="F23" s="47">
        <v>0</v>
      </c>
      <c r="G23" s="47">
        <v>611</v>
      </c>
      <c r="H23" s="47">
        <v>182248</v>
      </c>
      <c r="I23" s="47">
        <v>184493</v>
      </c>
      <c r="J23" s="31" t="s">
        <v>199</v>
      </c>
      <c r="K23" s="47">
        <v>182907</v>
      </c>
      <c r="L23" s="154" t="s">
        <v>50</v>
      </c>
      <c r="M23" s="155">
        <f t="shared" si="0"/>
        <v>-837.40800000000002</v>
      </c>
      <c r="N23" s="156" t="str">
        <f>VLOOKUP(C23,'Trips&amp;Operators'!$C$1:$G$99999,5,FALSE)</f>
        <v>WHITED DUSTIN</v>
      </c>
      <c r="O23" s="183" t="s">
        <v>227</v>
      </c>
      <c r="P23" s="157" t="s">
        <v>861</v>
      </c>
      <c r="Q23" s="31"/>
      <c r="R23" s="100" t="str">
        <f>VLOOKUP(C23,'Train Runs'!$A$13:$AE$9975,31,0)</f>
        <v>aws s3 cp s3://rtdc.mdm.uploadarchive.raw/RTDC4009/ "%USERPROFILE%\AppData\Local\Temp\OnboardLogs"\RTDC4009\2016-12-22 --exclude "*" --recursive --include "*20161222*" &amp; "%USERPROFILE%\Documents\GitHub\mrs-test-scripts\Headless Mode &amp; Sideloading\WalkAndUnGZ.bat" "%USERPROFILE%\AppData\Local\Temp\OnboardLogs"\RTDC4009\2016-12-22 &amp; aws s3 cp s3://rtdc.mdm.uploadarchive.raw/RTDC4009/ "%USERPROFILE%\AppData\Local\Temp\OnboardLogs"\RTDC4009\2016-12-23 --exclude "*" --recursive --include "*20161223*" &amp; "%USERPROFILE%\Documents\GitHub\mrs-test-scripts\Headless Mode &amp; Sideloading\WalkAndUnGZ.bat" "%USERPROFILE%\AppData\Local\Temp\OnboardLogs"\RTDC4009\2016-12-23</v>
      </c>
      <c r="S23" s="103" t="str">
        <f>VLOOKUP(C23,'Train Runs'!$A$13:$AE$9975,22,0)</f>
        <v>https://search-rtdc-monitor-bjffxe2xuh6vdkpspy63sjmuny.us-east-1.es.amazonaws.com/_plugin/kibana/#/discover/Steve-Slow-Train-Analysis-(2080s-and-2083s)?_g=(refreshInterval:(display:Off,section:0,value:0),time:(from:'2016-12-22 19:44:41-700',mode:absolute,to:'2016-12-22 22:31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3" s="105" t="str">
        <f t="shared" si="1"/>
        <v>"C:\Program Files (x86)\AstroGrep\AstroGrep.exe" /spath="%USERPROFILE%\AppData\Local\Temp\OnboardLogs" /stypes="*4009*201612230*" /stext=" 04:.+((SYSTEM_STATE.+slice.+state.+changed )|(ment ac)|(multiple cpu faults)|(system.+state.+changed )|(\[timeout)|(PRM\|1\|D)|(kpr)|(kdp)|(\|lc)|(penalty))" /e /r /s</v>
      </c>
      <c r="U23" s="9" t="str">
        <f t="shared" si="2"/>
        <v>4009</v>
      </c>
      <c r="V23" s="36">
        <f t="shared" si="3"/>
        <v>42727.188287037032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{"issue":{"subject":"Wi-MAX data drop","project_id":79,"tracker_id":40,"status_id":1,"priority_id":2,"assigned_to_id":23,"start_date":"2016-12-22","description":"","custom_fields":[{"id":1,"name":"Subdivision","value":"EC"},{"id":4,"name":"Milepost","value":"18.2907"},{"id":17,"name":"Train ID","value":"229-22"},{"id":16,"name":"Locomotive ID","value":"4009"},{"id":130,"name":"Impact","value":""},{"id":150,"name":"Time of Event (Mountain Time)","value":"21:31:08"},{"id":151,"name":"Denver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"%USERPROFILE%\AppData\Local\Temp\OnboardLogs"\RTDC4009\*4009*201612230*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"%USERPROFILE%\AppData\Local\Temp\OnboardLogs"\RTDC4009\*4009*201612230* &gt;&gt; 42726-slicedisagreementcheck.txt</v>
      </c>
    </row>
    <row r="24" spans="1:30" x14ac:dyDescent="0.25">
      <c r="A24" s="36">
        <v>42726.938263888886</v>
      </c>
      <c r="B24" s="31" t="s">
        <v>381</v>
      </c>
      <c r="C24" s="31" t="s">
        <v>478</v>
      </c>
      <c r="D24" s="31" t="s">
        <v>49</v>
      </c>
      <c r="E24" s="31" t="s">
        <v>198</v>
      </c>
      <c r="F24" s="47">
        <v>0</v>
      </c>
      <c r="G24" s="47">
        <v>394</v>
      </c>
      <c r="H24" s="47">
        <v>193924</v>
      </c>
      <c r="I24" s="47">
        <v>192634</v>
      </c>
      <c r="J24" s="31" t="s">
        <v>199</v>
      </c>
      <c r="K24" s="47">
        <v>191723</v>
      </c>
      <c r="L24" s="154" t="s">
        <v>51</v>
      </c>
      <c r="M24" s="155">
        <f t="shared" si="0"/>
        <v>481.00799999999998</v>
      </c>
      <c r="N24" s="156" t="str">
        <f>VLOOKUP(C24,'Trips&amp;Operators'!$C$1:$G$99999,5,FALSE)</f>
        <v>NEWELL JAMES</v>
      </c>
      <c r="O24" s="183" t="s">
        <v>195</v>
      </c>
      <c r="P24" s="157" t="s">
        <v>867</v>
      </c>
      <c r="Q24" s="31"/>
      <c r="R24" s="100" t="str">
        <f>VLOOKUP(C24,'Train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24" s="103" t="str">
        <f>VLOOKUP(C24,'Train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21:18:07-700',mode:absolute,to:'2016-12-23 00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4" s="105" t="str">
        <f t="shared" si="1"/>
        <v>"C:\Program Files (x86)\AstroGrep\AstroGrep.exe" /spath="%USERPROFILE%\AppData\Local\Temp\OnboardLogs" /stypes="*4030*201612230*" /stext=" 05:.+((SYSTEM_STATE.+slice.+state.+changed )|(ment ac)|(multiple cpu faults)|(system.+state.+changed )|(\[timeout)|(PRM\|1\|D)|(kpr)|(kdp)|(\|lc)|(penalty))" /e /r /s</v>
      </c>
      <c r="U24" s="9" t="str">
        <f t="shared" si="2"/>
        <v>4030</v>
      </c>
      <c r="V24" s="36">
        <f t="shared" si="3"/>
        <v>42727.22993055555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{"issue":{"subject":"Pena 4S STOP","project_id":79,"tracker_id":40,"status_id":1,"priority_id":2,"assigned_to_id":23,"start_date":"2016-12-22","description":"","custom_fields":[{"id":1,"name":"Subdivision","value":"EC"},{"id":4,"name":"Milepost","value":"19.1723"},{"id":17,"name":"Train ID","value":"232-22"},{"id":16,"name":"Locomotive ID","value":"4030"},{"id":130,"name":"Impact","value":""},{"id":150,"name":"Time of Event (Mountain Time)","value":"22:31:06"},{"id":151,"name":"Denver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"%USERPROFILE%\AppData\Local\Temp\OnboardLogs"\RTDC4030\*4030*201612230*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"%USERPROFILE%\AppData\Local\Temp\OnboardLogs"\RTDC4030\*4030*201612230* &gt;&gt; 42726-slicedisagreementcheck.txt</v>
      </c>
    </row>
    <row r="25" spans="1:30" x14ac:dyDescent="0.25">
      <c r="A25" s="36">
        <v>42726.314699074072</v>
      </c>
      <c r="B25" s="31" t="s">
        <v>259</v>
      </c>
      <c r="C25" s="31" t="s">
        <v>448</v>
      </c>
      <c r="D25" s="31" t="s">
        <v>49</v>
      </c>
      <c r="E25" s="31" t="s">
        <v>449</v>
      </c>
      <c r="F25" s="47">
        <v>0</v>
      </c>
      <c r="G25" s="47">
        <v>646</v>
      </c>
      <c r="H25" s="47">
        <v>72134</v>
      </c>
      <c r="I25" s="47">
        <v>69444</v>
      </c>
      <c r="J25" s="31" t="s">
        <v>450</v>
      </c>
      <c r="K25" s="47">
        <v>69363</v>
      </c>
      <c r="L25" s="154" t="s">
        <v>51</v>
      </c>
      <c r="M25" s="155">
        <f t="shared" si="0"/>
        <v>42.768000000000001</v>
      </c>
      <c r="N25" s="156" t="str">
        <f>VLOOKUP(C25,'Trips&amp;Operators'!$C$1:$G$99999,5,FALSE)</f>
        <v>MAGEE KENYA</v>
      </c>
      <c r="O25" s="183" t="s">
        <v>227</v>
      </c>
      <c r="P25" s="157" t="s">
        <v>861</v>
      </c>
      <c r="Q25" s="31"/>
      <c r="R25" s="100" t="str">
        <f>VLOOKUP(C25,'Train Runs'!$A$13:$AE$9975,31,0)</f>
        <v>aws s3 cp s3://rtdc.mdm.uploadarchive.raw/RTDC4045/ "%USERPROFILE%\AppData\Local\Temp\OnboardLogs"\RTDC4045\2016-12-22 --exclude "*" --recursive --include "*20161222*" &amp; "%USERPROFILE%\Documents\GitHub\mrs-test-scripts\Headless Mode &amp; Sideloading\WalkAndUnGZ.bat" "%USERPROFILE%\AppData\Local\Temp\OnboardLogs"\RTDC4045\2016-12-22 &amp; aws s3 cp s3://rtdc.mdm.uploadarchive.raw/RTDC4045/ "%USERPROFILE%\AppData\Local\Temp\OnboardLogs"\RTDC4045\2016-12-23 --exclude "*" --recursive --include "*20161223*" &amp; "%USERPROFILE%\Documents\GitHub\mrs-test-scripts\Headless Mode &amp; Sideloading\WalkAndUnGZ.bat" "%USERPROFILE%\AppData\Local\Temp\OnboardLogs"\RTDC4045\2016-12-23</v>
      </c>
      <c r="S25" s="103" t="str">
        <f>VLOOKUP(C25,'Train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05:55:00-700',mode:absolute,to:'2016-12-22 08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5" s="105" t="str">
        <f t="shared" si="1"/>
        <v>"C:\Program Files (x86)\AstroGrep\AstroGrep.exe" /spath="%USERPROFILE%\AppData\Local\Temp\OnboardLogs" /stypes="*4045*201612221*" /stext=" 14:.+((SYSTEM_STATE.+slice.+state.+changed )|(ment ac)|(multiple cpu faults)|(system.+state.+changed )|(\[timeout)|(PRM\|1\|D)|(kpr)|(kdp)|(\|lc)|(penalty))" /e /r /s</v>
      </c>
      <c r="U25" s="9" t="str">
        <f t="shared" si="2"/>
        <v>4045</v>
      </c>
      <c r="V25" s="36">
        <f t="shared" si="3"/>
        <v>42726.606365740736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{"issue":{"subject":"Wi-MAX data drop","project_id":79,"tracker_id":40,"status_id":1,"priority_id":2,"assigned_to_id":23,"start_date":"2016-12-22","description":"","custom_fields":[{"id":1,"name":"Subdivision","value":"EC"},{"id":4,"name":"Milepost","value":"6.9363"},{"id":17,"name":"Train ID","value":"122-22"},{"id":16,"name":"Locomotive ID","value":"4045"},{"id":130,"name":"Impact","value":""},{"id":150,"name":"Time of Event (Mountain Time)","value":"07:33:10"},{"id":151,"name":"Denver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"%USERPROFILE%\AppData\Local\Temp\OnboardLogs"\RTDC4045\*4045*201612221*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"%USERPROFILE%\AppData\Local\Temp\OnboardLogs"\RTDC4045\*4045*201612221* &gt;&gt; 42726-slicedisagreementcheck.txt</v>
      </c>
    </row>
    <row r="26" spans="1:30" x14ac:dyDescent="0.25">
      <c r="A26" s="36">
        <v>42726.336863425924</v>
      </c>
      <c r="B26" s="31" t="s">
        <v>381</v>
      </c>
      <c r="C26" s="31" t="s">
        <v>452</v>
      </c>
      <c r="D26" s="31" t="s">
        <v>49</v>
      </c>
      <c r="E26" s="31" t="s">
        <v>258</v>
      </c>
      <c r="F26" s="47">
        <v>100</v>
      </c>
      <c r="G26" s="47">
        <v>449</v>
      </c>
      <c r="H26" s="47">
        <v>68730</v>
      </c>
      <c r="I26" s="47">
        <v>67385</v>
      </c>
      <c r="J26" s="31" t="s">
        <v>248</v>
      </c>
      <c r="K26" s="47">
        <v>66500</v>
      </c>
      <c r="L26" s="154" t="s">
        <v>51</v>
      </c>
      <c r="M26" s="155">
        <f t="shared" si="0"/>
        <v>467.28</v>
      </c>
      <c r="N26" s="156" t="str">
        <f>VLOOKUP(C26,'Trips&amp;Operators'!$C$1:$G$99999,5,FALSE)</f>
        <v>SIMMONS SHYHESHA</v>
      </c>
      <c r="O26" s="183" t="s">
        <v>195</v>
      </c>
      <c r="P26" s="157"/>
      <c r="Q26" s="31"/>
      <c r="R26" s="100" t="str">
        <f>VLOOKUP(C26,'Train Runs'!$A$13:$AE$9975,31,0)</f>
        <v>aws s3 cp s3://rtdc.mdm.uploadarchive.raw/RTDC4030/ "%USERPROFILE%\AppData\Local\Temp\OnboardLogs"\RTDC4030\2016-12-22 --exclude "*" --recursive --include "*20161222*" &amp; "%USERPROFILE%\Documents\GitHub\mrs-test-scripts\Headless Mode &amp; Sideloading\WalkAndUnGZ.bat" "%USERPROFILE%\AppData\Local\Temp\OnboardLogs"\RTDC4030\2016-12-22 &amp; aws s3 cp s3://rtdc.mdm.uploadarchive.raw/RTDC4030/ "%USERPROFILE%\AppData\Local\Temp\OnboardLogs"\RTDC4030\2016-12-23 --exclude "*" --recursive --include "*20161223*" &amp; "%USERPROFILE%\Documents\GitHub\mrs-test-scripts\Headless Mode &amp; Sideloading\WalkAndUnGZ.bat" "%USERPROFILE%\AppData\Local\Temp\OnboardLogs"\RTDC4030\2016-12-23</v>
      </c>
      <c r="S26" s="103" t="str">
        <f>VLOOKUP(C26,'Train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06:35:58-700',mode:absolute,to:'2016-12-22 09:22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6" s="105" t="str">
        <f t="shared" si="1"/>
        <v>"C:\Program Files (x86)\AstroGrep\AstroGrep.exe" /spath="%USERPROFILE%\AppData\Local\Temp\OnboardLogs" /stypes="*4030*201612221*" /stext=" 15:.+((SYSTEM_STATE.+slice.+state.+changed )|(ment ac)|(multiple cpu faults)|(system.+state.+changed )|(\[timeout)|(PRM\|1\|D)|(kpr)|(kdp)|(\|lc)|(penalty))" /e /r /s</v>
      </c>
      <c r="U26" s="9" t="str">
        <f t="shared" si="2"/>
        <v>4030</v>
      </c>
      <c r="V26" s="36">
        <f t="shared" si="3"/>
        <v>42726.628530092588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ID","value":"126-22"},{"id":16,"name":"Locomotive ID","value":"4030"},{"id":130,"name":"Impact","value":""},{"id":150,"name":"Time of Event (Mountain Time)","value":"08:05:05"},{"id":151,"name":"Denver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"%USERPROFILE%\AppData\Local\Temp\OnboardLogs"\RTDC4030\*4030*201612221*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"%USERPROFILE%\AppData\Local\Temp\OnboardLogs"\RTDC4030\*4030*201612221* &gt;&gt; 42726-slicedisagreementcheck.txt</v>
      </c>
    </row>
    <row r="27" spans="1:30" x14ac:dyDescent="0.25">
      <c r="A27" s="36">
        <v>42726.742418981485</v>
      </c>
      <c r="B27" s="31" t="s">
        <v>300</v>
      </c>
      <c r="C27" s="31" t="s">
        <v>472</v>
      </c>
      <c r="D27" s="31" t="s">
        <v>49</v>
      </c>
      <c r="E27" s="31" t="s">
        <v>258</v>
      </c>
      <c r="F27" s="47">
        <v>100</v>
      </c>
      <c r="G27" s="47">
        <v>328</v>
      </c>
      <c r="H27" s="47">
        <v>67639</v>
      </c>
      <c r="I27" s="47">
        <v>66944</v>
      </c>
      <c r="J27" s="31" t="s">
        <v>248</v>
      </c>
      <c r="K27" s="47">
        <v>66500</v>
      </c>
      <c r="L27" s="154" t="s">
        <v>51</v>
      </c>
      <c r="M27" s="155">
        <f t="shared" si="0"/>
        <v>234.43199999999999</v>
      </c>
      <c r="N27" s="156" t="str">
        <f>VLOOKUP(C27,'Trips&amp;Operators'!$C$1:$G$99999,5,FALSE)</f>
        <v>KILLION DAVID</v>
      </c>
      <c r="O27" s="183" t="s">
        <v>195</v>
      </c>
      <c r="P27" s="157"/>
      <c r="Q27" s="31"/>
      <c r="R27" s="100" t="str">
        <f>VLOOKUP(C27,'Train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27" s="103" t="str">
        <f>VLOOKUP(C27,'Train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16:17:34-700',mode:absolute,to:'2016-12-22 19:07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27" s="105" t="str">
        <f t="shared" si="1"/>
        <v>"C:\Program Files (x86)\AstroGrep\AstroGrep.exe" /spath="%USERPROFILE%\AppData\Local\Temp\OnboardLogs" /stypes="*4028*201612230*" /stext=" 00:.+((SYSTEM_STATE.+slice.+state.+changed )|(ment ac)|(multiple cpu faults)|(system.+state.+changed )|(\[timeout)|(PRM\|1\|D)|(kpr)|(kdp)|(\|lc)|(penalty))" /e /r /s</v>
      </c>
      <c r="U27" s="9" t="str">
        <f t="shared" si="2"/>
        <v>4028</v>
      </c>
      <c r="V27" s="36">
        <f t="shared" si="3"/>
        <v>42727.034085648149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ID","value":"204-22"},{"id":16,"name":"Locomotive ID","value":"4028"},{"id":130,"name":"Impact","value":""},{"id":150,"name":"Time of Event (Mountain Time)","value":"17:49:05"},{"id":151,"name":"Denver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"%USERPROFILE%\AppData\Local\Temp\OnboardLogs"\RTDC4028\*4028*201612230*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"%USERPROFILE%\AppData\Local\Temp\OnboardLogs"\RTDC4028\*4028*201612230* &gt;&gt; 42726-slicedisagreementcheck.txt</v>
      </c>
    </row>
    <row r="28" spans="1:30" ht="15" customHeight="1" x14ac:dyDescent="0.25">
      <c r="A28" s="36">
        <v>42726.804409722223</v>
      </c>
      <c r="B28" s="31" t="s">
        <v>155</v>
      </c>
      <c r="C28" s="31" t="s">
        <v>475</v>
      </c>
      <c r="D28" s="31" t="s">
        <v>49</v>
      </c>
      <c r="E28" s="31" t="s">
        <v>258</v>
      </c>
      <c r="F28" s="47">
        <v>100</v>
      </c>
      <c r="G28" s="47">
        <v>433</v>
      </c>
      <c r="H28" s="47">
        <v>68483</v>
      </c>
      <c r="I28" s="47">
        <v>67251</v>
      </c>
      <c r="J28" s="31" t="s">
        <v>248</v>
      </c>
      <c r="K28" s="47">
        <v>66500</v>
      </c>
      <c r="L28" s="154" t="s">
        <v>51</v>
      </c>
      <c r="M28" s="155">
        <f t="shared" si="0"/>
        <v>396.52800000000002</v>
      </c>
      <c r="N28" s="156" t="str">
        <f>VLOOKUP(C28,'Trips&amp;Operators'!$C$1:$G$99999,5,FALSE)</f>
        <v>BRANNON JEFFREY</v>
      </c>
      <c r="O28" s="183" t="s">
        <v>195</v>
      </c>
      <c r="P28" s="157"/>
      <c r="Q28" s="31"/>
      <c r="R28" s="100" t="str">
        <f>VLOOKUP(C28,'Train Runs'!$A$13:$AE$9975,31,0)</f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S28" s="103" t="str">
        <f>VLOOKUP(C28,'Train Runs'!$A$13:$AE$9975,22,0)</f>
        <v>https://search-rtdc-monitor-bjffxe2xuh6vdkpspy63sjmuny.us-east-1.es.amazonaws.com/_plugin/kibana/#/discover/Steve-Slow-Train-Analysis-(2080s-and-2083s)?_g=(refreshInterval:(display:Off,section:0,value:0),time:(from:'2016-12-22 17:51:03-700',mode:absolute,to:'2016-12-22 20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8" s="105" t="str">
        <f t="shared" si="1"/>
        <v>"C:\Program Files (x86)\AstroGrep\AstroGrep.exe" /spath="%USERPROFILE%\AppData\Local\Temp\OnboardLogs" /stypes="*4052*201612230*" /stext=" 02:.+((SYSTEM_STATE.+slice.+state.+changed )|(ment ac)|(multiple cpu faults)|(system.+state.+changed )|(\[timeout)|(PRM\|1\|D)|(kpr)|(kdp)|(\|lc)|(penalty))" /e /r /s</v>
      </c>
      <c r="U28" s="9" t="str">
        <f t="shared" si="2"/>
        <v>4052</v>
      </c>
      <c r="V28" s="36">
        <f t="shared" si="3"/>
        <v>42727.096076388887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{"issue":{"subject":"","project_id":79,"tracker_id":40,"status_id":1,"priority_id":2,"assigned_to_id":23,"start_date":"2016-12-22","description":"","custom_fields":[{"id":1,"name":"Subdivision","value":"EC"},{"id":4,"name":"Milepost","value":"6.65"},{"id":17,"name":"Train ID","value":"216-22"},{"id":16,"name":"Locomotive ID","value":"4052"},{"id":130,"name":"Impact","value":""},{"id":150,"name":"Time of Event (Mountain Time)","value":"19:18:21"},{"id":151,"name":"Denver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"%USERPROFILE%\AppData\Local\Temp\OnboardLogs"\RTDC4052\*4052*201612230*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"%USERPROFILE%\AppData\Local\Temp\OnboardLogs"\RTDC4052\*4052*201612230* &gt;&gt; 42726-slicedisagreementcheck.txt</v>
      </c>
    </row>
    <row r="29" spans="1:30" ht="15" customHeight="1" x14ac:dyDescent="0.25">
      <c r="A29" s="36">
        <v>42726.306134259263</v>
      </c>
      <c r="B29" s="31" t="s">
        <v>155</v>
      </c>
      <c r="C29" s="31" t="s">
        <v>447</v>
      </c>
      <c r="D29" s="31" t="s">
        <v>49</v>
      </c>
      <c r="E29" s="31" t="s">
        <v>200</v>
      </c>
      <c r="F29" s="47">
        <v>0</v>
      </c>
      <c r="G29" s="47">
        <v>43</v>
      </c>
      <c r="H29" s="47">
        <v>139</v>
      </c>
      <c r="I29" s="47">
        <v>112</v>
      </c>
      <c r="J29" s="31" t="s">
        <v>201</v>
      </c>
      <c r="K29" s="47">
        <v>1</v>
      </c>
      <c r="L29" s="154" t="s">
        <v>51</v>
      </c>
      <c r="M29" s="155">
        <f t="shared" si="0"/>
        <v>58.607999999999997</v>
      </c>
      <c r="N29" s="156" t="str">
        <f>VLOOKUP(C29,'Trips&amp;Operators'!$C$1:$G$99999,5,FALSE)</f>
        <v>BONDS REYNALDO</v>
      </c>
      <c r="O29" s="183" t="s">
        <v>195</v>
      </c>
      <c r="P29" s="157"/>
      <c r="Q29" s="31"/>
      <c r="R29" s="100" t="str">
        <f>VLOOKUP(C29,'Train Runs'!$A$13:$AE$9975,31,0)</f>
        <v>aws s3 cp s3://rtdc.mdm.uploadarchive.raw/RTDC4052/ "%USERPROFILE%\AppData\Local\Temp\OnboardLogs"\RTDC4052\2016-12-22 --exclude "*" --recursive --include "*20161222*" &amp; "%USERPROFILE%\Documents\GitHub\mrs-test-scripts\Headless Mode &amp; Sideloading\WalkAndUnGZ.bat" "%USERPROFILE%\AppData\Local\Temp\OnboardLogs"\RTDC4052\2016-12-22 &amp; aws s3 cp s3://rtdc.mdm.uploadarchive.raw/RTDC4052/ "%USERPROFILE%\AppData\Local\Temp\OnboardLogs"\RTDC4052\2016-12-23 --exclude "*" --recursive --include "*20161223*" &amp; "%USERPROFILE%\Documents\GitHub\mrs-test-scripts\Headless Mode &amp; Sideloading\WalkAndUnGZ.bat" "%USERPROFILE%\AppData\Local\Temp\OnboardLogs"\RTDC4052\2016-12-23</v>
      </c>
      <c r="S29" s="103" t="str">
        <f>VLOOKUP(C29,'Train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05:25:11-700',mode:absolute,to:'2016-12-22 08:20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9" s="105" t="str">
        <f t="shared" si="1"/>
        <v>"C:\Program Files (x86)\AstroGrep\AstroGrep.exe" /spath="%USERPROFILE%\AppData\Local\Temp\OnboardLogs" /stypes="*4052*201612221*" /stext=" 14:.+((SYSTEM_STATE.+slice.+state.+changed )|(ment ac)|(multiple cpu faults)|(system.+state.+changed )|(\[timeout)|(PRM\|1\|D)|(kpr)|(kdp)|(\|lc)|(penalty))" /e /r /s</v>
      </c>
      <c r="U29" s="9" t="str">
        <f t="shared" si="2"/>
        <v>4052</v>
      </c>
      <c r="V29" s="36">
        <f t="shared" si="3"/>
        <v>42726.597800925927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{"issue":{"subject":"","project_id":79,"tracker_id":40,"status_id":1,"priority_id":2,"assigned_to_id":23,"start_date":"2016-12-22","description":"","custom_fields":[{"id":1,"name":"Subdivision","value":"EC"},{"id":4,"name":"Milepost","value":"0.0001"},{"id":17,"name":"Train ID","value":"118-22"},{"id":16,"name":"Locomotive ID","value":"4052"},{"id":130,"name":"Impact","value":""},{"id":150,"name":"Time of Event (Mountain Time)","value":"07:20:50"},{"id":151,"name":"Denver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"%USERPROFILE%\AppData\Local\Temp\OnboardLogs"\RTDC4052\*4052*201612221*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"%USERPROFILE%\AppData\Local\Temp\OnboardLogs"\RTDC4052\*4052*201612221* &gt;&gt; 42726-slicedisagreementcheck.txt</v>
      </c>
    </row>
    <row r="30" spans="1:30" x14ac:dyDescent="0.25">
      <c r="A30" s="36">
        <v>42726.610636574071</v>
      </c>
      <c r="B30" s="31" t="s">
        <v>300</v>
      </c>
      <c r="C30" s="31" t="s">
        <v>461</v>
      </c>
      <c r="D30" s="31" t="s">
        <v>49</v>
      </c>
      <c r="E30" s="31" t="s">
        <v>200</v>
      </c>
      <c r="F30" s="47">
        <v>0</v>
      </c>
      <c r="G30" s="47">
        <v>46</v>
      </c>
      <c r="H30" s="47">
        <v>163</v>
      </c>
      <c r="I30" s="47">
        <v>125</v>
      </c>
      <c r="J30" s="31" t="s">
        <v>201</v>
      </c>
      <c r="K30" s="47">
        <v>1</v>
      </c>
      <c r="L30" s="154" t="s">
        <v>51</v>
      </c>
      <c r="M30" s="155">
        <f t="shared" si="0"/>
        <v>65.471999999999994</v>
      </c>
      <c r="N30" s="156" t="str">
        <f>VLOOKUP(C30,'Trips&amp;Operators'!$C$1:$G$99999,5,FALSE)</f>
        <v>KILLION DAVID</v>
      </c>
      <c r="O30" s="183" t="s">
        <v>195</v>
      </c>
      <c r="P30" s="157"/>
      <c r="Q30" s="31"/>
      <c r="R30" s="100" t="str">
        <f>VLOOKUP(C30,'Train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30" s="103" t="str">
        <f>VLOOKUP(C30,'Train Runs'!$A$13:$AE$9975,22,0)</f>
        <v>https://search-rtdc-monitor-bjffxe2xuh6vdkpspy63sjmuny.us-east-1.es.amazonaws.com/_plugin/kibana/#/discover/Steve-Slow-Train-Analysis-(2080s-and-2083s)?_g=(refreshInterval:(display:Off,section:0,value:0),time:(from:'2016-12-22 12:46:04-700',mode:absolute,to:'2016-12-22 15:39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30" s="105" t="str">
        <f t="shared" si="1"/>
        <v>"C:\Program Files (x86)\AstroGrep\AstroGrep.exe" /spath="%USERPROFILE%\AppData\Local\Temp\OnboardLogs" /stypes="*4028*201612222*" /stext=" 21:.+((SYSTEM_STATE.+slice.+state.+changed )|(ment ac)|(multiple cpu faults)|(system.+state.+changed )|(\[timeout)|(PRM\|1\|D)|(kpr)|(kdp)|(\|lc)|(penalty))" /e /r /s</v>
      </c>
      <c r="U30" s="9" t="str">
        <f t="shared" si="2"/>
        <v>4028</v>
      </c>
      <c r="V30" s="36">
        <f t="shared" si="3"/>
        <v>42726.902303240735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{"issue":{"subject":"","project_id":79,"tracker_id":40,"status_id":1,"priority_id":2,"assigned_to_id":23,"start_date":"2016-12-22","description":"","custom_fields":[{"id":1,"name":"Subdivision","value":"EC"},{"id":4,"name":"Milepost","value":"0.0001"},{"id":17,"name":"Train ID","value":"176-22"},{"id":16,"name":"Locomotive ID","value":"4028"},{"id":130,"name":"Impact","value":""},{"id":150,"name":"Time of Event (Mountain Time)","value":"14:39:19"},{"id":151,"name":"Denver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"%USERPROFILE%\AppData\Local\Temp\OnboardLogs"\RTDC4028\*4028*201612222*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"%USERPROFILE%\AppData\Local\Temp\OnboardLogs"\RTDC4028\*4028*201612222* &gt;&gt; 42726-slicedisagreementcheck.txt</v>
      </c>
    </row>
    <row r="31" spans="1:30" x14ac:dyDescent="0.25">
      <c r="A31" s="36">
        <v>42726.210046296299</v>
      </c>
      <c r="B31" s="31" t="s">
        <v>275</v>
      </c>
      <c r="C31" s="31" t="s">
        <v>442</v>
      </c>
      <c r="D31" s="31" t="s">
        <v>49</v>
      </c>
      <c r="E31" s="31" t="s">
        <v>200</v>
      </c>
      <c r="F31" s="47">
        <v>0</v>
      </c>
      <c r="G31" s="47">
        <v>47</v>
      </c>
      <c r="H31" s="47">
        <v>999</v>
      </c>
      <c r="I31" s="47">
        <v>964</v>
      </c>
      <c r="J31" s="31" t="s">
        <v>201</v>
      </c>
      <c r="K31" s="47">
        <v>839</v>
      </c>
      <c r="L31" s="154" t="s">
        <v>51</v>
      </c>
      <c r="M31" s="155">
        <f t="shared" si="0"/>
        <v>66</v>
      </c>
      <c r="N31" s="156" t="str">
        <f>VLOOKUP(C31,'Trips&amp;Operators'!$C$1:$G$99999,5,FALSE)</f>
        <v>ISHMAEL JOSEPH</v>
      </c>
      <c r="O31" s="183" t="s">
        <v>195</v>
      </c>
      <c r="P31" s="157"/>
      <c r="Q31" s="31"/>
      <c r="R31" s="100" t="str">
        <f>VLOOKUP(C31,'Train Runs'!$A$13:$AE$9975,31,0)</f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S31" s="103" t="str">
        <f>VLOOKUP(C31,'Train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1" s="105" t="str">
        <f t="shared" si="1"/>
        <v>"C:\Program Files (x86)\AstroGrep\AstroGrep.exe" /spath="%USERPROFILE%\AppData\Local\Temp\OnboardLogs" /stypes="*4017*201612221*" /stext=" 12:.+((SYSTEM_STATE.+slice.+state.+changed )|(ment ac)|(multiple cpu faults)|(system.+state.+changed )|(\[timeout)|(PRM\|1\|D)|(kpr)|(kdp)|(\|lc)|(penalty))" /e /r /s</v>
      </c>
      <c r="U31" s="9" t="str">
        <f t="shared" si="2"/>
        <v>4017</v>
      </c>
      <c r="V31" s="36">
        <f t="shared" si="3"/>
        <v>42726.501712962963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{"issue":{"subject":"","project_id":79,"tracker_id":40,"status_id":1,"priority_id":2,"assigned_to_id":23,"start_date":"2016-12-22","description":"","custom_fields":[{"id":1,"name":"Subdivision","value":"EC"},{"id":4,"name":"Milepost","value":"0.0839"},{"id":17,"name":"Train ID","value":"102-22"},{"id":16,"name":"Locomotive ID","value":"4017"},{"id":130,"name":"Impact","value":""},{"id":150,"name":"Time of Event (Mountain Time)","value":"05:02:28"},{"id":151,"name":"Denver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"%USERPROFILE%\AppData\Local\Temp\OnboardLogs"\RTDC4017\*4017*201612221*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"%USERPROFILE%\AppData\Local\Temp\OnboardLogs"\RTDC4017\*4017*201612221* &gt;&gt; 42726-slicedisagreementcheck.txt</v>
      </c>
    </row>
    <row r="32" spans="1:30" x14ac:dyDescent="0.25">
      <c r="A32" s="36">
        <v>42726.210659722223</v>
      </c>
      <c r="B32" s="31" t="s">
        <v>275</v>
      </c>
      <c r="C32" s="31" t="s">
        <v>442</v>
      </c>
      <c r="D32" s="31" t="s">
        <v>49</v>
      </c>
      <c r="E32" s="31" t="s">
        <v>200</v>
      </c>
      <c r="F32" s="47">
        <v>0</v>
      </c>
      <c r="G32" s="47">
        <v>30</v>
      </c>
      <c r="H32" s="47">
        <v>882</v>
      </c>
      <c r="I32" s="47">
        <v>856</v>
      </c>
      <c r="J32" s="31" t="s">
        <v>201</v>
      </c>
      <c r="K32" s="47">
        <v>839</v>
      </c>
      <c r="L32" s="154" t="s">
        <v>51</v>
      </c>
      <c r="M32" s="155">
        <f t="shared" si="0"/>
        <v>8.9760000000000009</v>
      </c>
      <c r="N32" s="156" t="str">
        <f>VLOOKUP(C32,'Trips&amp;Operators'!$C$1:$G$99999,5,FALSE)</f>
        <v>ISHMAEL JOSEPH</v>
      </c>
      <c r="O32" s="183" t="s">
        <v>195</v>
      </c>
      <c r="P32" s="157"/>
      <c r="Q32" s="31"/>
      <c r="R32" s="100" t="str">
        <f>VLOOKUP(C32,'Train Runs'!$A$13:$AE$9975,31,0)</f>
        <v>aws s3 cp s3://rtdc.mdm.uploadarchive.raw/RTDC4017/ "%USERPROFILE%\AppData\Local\Temp\OnboardLogs"\RTDC4017\2016-12-22 --exclude "*" --recursive --include "*20161222*" &amp; "%USERPROFILE%\Documents\GitHub\mrs-test-scripts\Headless Mode &amp; Sideloading\WalkAndUnGZ.bat" "%USERPROFILE%\AppData\Local\Temp\OnboardLogs"\RTDC4017\2016-12-22 &amp; aws s3 cp s3://rtdc.mdm.uploadarchive.raw/RTDC4017/ "%USERPROFILE%\AppData\Local\Temp\OnboardLogs"\RTDC4017\2016-12-23 --exclude "*" --recursive --include "*20161223*" &amp; "%USERPROFILE%\Documents\GitHub\mrs-test-scripts\Headless Mode &amp; Sideloading\WalkAndUnGZ.bat" "%USERPROFILE%\AppData\Local\Temp\OnboardLogs"\RTDC4017\2016-12-23</v>
      </c>
      <c r="S32" s="103" t="str">
        <f>VLOOKUP(C32,'Train Runs'!$A$13:$AE$9975,22,0)</f>
        <v>https://search-rtdc-monitor-bjffxe2xuh6vdkpspy63sjmuny.us-east-1.es.amazonaws.com/_plugin/kibana/#/discover/Steve-Slow-Train-Analysis-(2080s-and-2083s)?_g=(refreshInterval:(display:Off,section:0,value:0),time:(from:'2016-12-22 03:14:42-700',mode:absolute,to:'2016-12-22 06:02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32" s="105" t="str">
        <f t="shared" si="1"/>
        <v>"C:\Program Files (x86)\AstroGrep\AstroGrep.exe" /spath="%USERPROFILE%\AppData\Local\Temp\OnboardLogs" /stypes="*4017*201612221*" /stext=" 12:.+((SYSTEM_STATE.+slice.+state.+changed )|(ment ac)|(multiple cpu faults)|(system.+state.+changed )|(\[timeout)|(PRM\|1\|D)|(kpr)|(kdp)|(\|lc)|(penalty))" /e /r /s</v>
      </c>
      <c r="U32" s="9" t="str">
        <f t="shared" si="2"/>
        <v>4017</v>
      </c>
      <c r="V32" s="36">
        <f t="shared" si="3"/>
        <v>42726.502326388887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{"issue":{"subject":"","project_id":79,"tracker_id":40,"status_id":1,"priority_id":2,"assigned_to_id":23,"start_date":"2016-12-22","description":"","custom_fields":[{"id":1,"name":"Subdivision","value":"EC"},{"id":4,"name":"Milepost","value":"0.0839"},{"id":17,"name":"Train ID","value":"102-22"},{"id":16,"name":"Locomotive ID","value":"4017"},{"id":130,"name":"Impact","value":""},{"id":150,"name":"Time of Event (Mountain Time)","value":"05:03:21"},{"id":151,"name":"Denver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"%USERPROFILE%\AppData\Local\Temp\OnboardLogs"\RTDC4017\*4017*201612221*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"%USERPROFILE%\AppData\Local\Temp\OnboardLogs"\RTDC4017\*4017*201612221* &gt;&gt; 42726-slicedisagreementcheck.txt</v>
      </c>
    </row>
    <row r="33" spans="1:30" x14ac:dyDescent="0.25">
      <c r="A33" s="36">
        <v>42726.649305555555</v>
      </c>
      <c r="B33" s="31" t="s">
        <v>229</v>
      </c>
      <c r="C33" s="31" t="s">
        <v>464</v>
      </c>
      <c r="D33" s="31" t="s">
        <v>49</v>
      </c>
      <c r="E33" s="31" t="s">
        <v>200</v>
      </c>
      <c r="F33" s="47">
        <v>0</v>
      </c>
      <c r="G33" s="47">
        <v>71</v>
      </c>
      <c r="H33" s="47">
        <v>233215</v>
      </c>
      <c r="I33" s="47">
        <v>233286</v>
      </c>
      <c r="J33" s="31" t="s">
        <v>201</v>
      </c>
      <c r="K33" s="47">
        <v>233491</v>
      </c>
      <c r="L33" s="154" t="s">
        <v>50</v>
      </c>
      <c r="M33" s="155">
        <f t="shared" si="0"/>
        <v>108.24</v>
      </c>
      <c r="N33" s="156" t="str">
        <f>VLOOKUP(C33,'Trips&amp;Operators'!$C$1:$G$99999,5,FALSE)</f>
        <v>BRUDER RICHARD</v>
      </c>
      <c r="O33" s="183" t="s">
        <v>195</v>
      </c>
      <c r="P33" s="157"/>
      <c r="Q33" s="31"/>
      <c r="R33" s="100" t="str">
        <f>VLOOKUP(C33,'Train Runs'!$A$13:$AE$9975,31,0)</f>
        <v>aws s3 cp s3://rtdc.mdm.uploadarchive.raw/RTDC4046/ "%USERPROFILE%\AppData\Local\Temp\OnboardLogs"\RTDC4046\2016-12-22 --exclude "*" --recursive --include "*20161222*" &amp; "%USERPROFILE%\Documents\GitHub\mrs-test-scripts\Headless Mode &amp; Sideloading\WalkAndUnGZ.bat" "%USERPROFILE%\AppData\Local\Temp\OnboardLogs"\RTDC4046\2016-12-22 &amp; aws s3 cp s3://rtdc.mdm.uploadarchive.raw/RTDC4046/ "%USERPROFILE%\AppData\Local\Temp\OnboardLogs"\RTDC4046\2016-12-23 --exclude "*" --recursive --include "*20161223*" &amp; "%USERPROFILE%\Documents\GitHub\mrs-test-scripts\Headless Mode &amp; Sideloading\WalkAndUnGZ.bat" "%USERPROFILE%\AppData\Local\Temp\OnboardLogs"\RTDC4046\2016-12-23</v>
      </c>
      <c r="S33" s="103" t="str">
        <f>VLOOKUP(C33,'Train Runs'!$A$13:$AE$9975,22,0)</f>
        <v>https://search-rtdc-monitor-bjffxe2xuh6vdkpspy63sjmuny.us-east-1.es.amazonaws.com/_plugin/kibana/#/discover/Steve-Slow-Train-Analysis-(2080s-and-2083s)?_g=(refreshInterval:(display:Off,section:0,value:0),time:(from:'2016-12-22 13:52:53-700',mode:absolute,to:'2016-12-22 16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3" s="105" t="str">
        <f t="shared" si="1"/>
        <v>"C:\Program Files (x86)\AstroGrep\AstroGrep.exe" /spath="%USERPROFILE%\AppData\Local\Temp\OnboardLogs" /stypes="*4046*201612222*" /stext=" 22:.+((SYSTEM_STATE.+slice.+state.+changed )|(ment ac)|(multiple cpu faults)|(system.+state.+changed )|(\[timeout)|(PRM\|1\|D)|(kpr)|(kdp)|(\|lc)|(penalty))" /e /r /s</v>
      </c>
      <c r="U33" s="9" t="str">
        <f t="shared" si="2"/>
        <v>4046</v>
      </c>
      <c r="V33" s="36">
        <f t="shared" si="3"/>
        <v>42726.940972222219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{"issue":{"subject":"","project_id":79,"tracker_id":40,"status_id":1,"priority_id":2,"assigned_to_id":23,"start_date":"2016-12-22","description":"","custom_fields":[{"id":1,"name":"Subdivision","value":"EC"},{"id":4,"name":"Milepost","value":"23.3491"},{"id":17,"name":"Train ID","value":"191-22"},{"id":16,"name":"Locomotive ID","value":"4046"},{"id":130,"name":"Impact","value":""},{"id":150,"name":"Time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"%USERPROFILE%\AppData\Local\Temp\OnboardLogs"\RTDC4046\*4046*201612222*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"%USERPROFILE%\AppData\Local\Temp\OnboardLogs"\RTDC4046\*4046*201612222* &gt;&gt; 42726-slicedisagreementcheck.txt</v>
      </c>
    </row>
    <row r="34" spans="1:30" x14ac:dyDescent="0.25">
      <c r="A34" s="36">
        <v>42726.754849537036</v>
      </c>
      <c r="B34" s="31" t="s">
        <v>274</v>
      </c>
      <c r="C34" s="31" t="s">
        <v>473</v>
      </c>
      <c r="D34" s="31" t="s">
        <v>49</v>
      </c>
      <c r="E34" s="31" t="s">
        <v>200</v>
      </c>
      <c r="F34" s="47">
        <v>0</v>
      </c>
      <c r="G34" s="47">
        <v>30</v>
      </c>
      <c r="H34" s="47">
        <v>233387</v>
      </c>
      <c r="I34" s="47">
        <v>233406</v>
      </c>
      <c r="J34" s="31" t="s">
        <v>201</v>
      </c>
      <c r="K34" s="47">
        <v>233491</v>
      </c>
      <c r="L34" s="154" t="s">
        <v>50</v>
      </c>
      <c r="M34" s="155">
        <f t="shared" si="0"/>
        <v>44.88</v>
      </c>
      <c r="N34" s="156" t="str">
        <f>VLOOKUP(C34,'Trips&amp;Operators'!$C$1:$G$99999,5,FALSE)</f>
        <v>BARTLETT KIANDRA</v>
      </c>
      <c r="O34" s="183" t="s">
        <v>195</v>
      </c>
      <c r="P34" s="157"/>
      <c r="Q34" s="31"/>
      <c r="R34" s="100" t="str">
        <f>VLOOKUP(C34,'Train Runs'!$A$13:$AE$9975,31,0)</f>
        <v>aws s3 cp s3://rtdc.mdm.uploadarchive.raw/RTDC4018/ "%USERPROFILE%\AppData\Local\Temp\OnboardLogs"\RTDC4018\2016-12-22 --exclude "*" --recursive --include "*20161222*" &amp; "%USERPROFILE%\Documents\GitHub\mrs-test-scripts\Headless Mode &amp; Sideloading\WalkAndUnGZ.bat" "%USERPROFILE%\AppData\Local\Temp\OnboardLogs"\RTDC4018\2016-12-22 &amp; aws s3 cp s3://rtdc.mdm.uploadarchive.raw/RTDC4018/ "%USERPROFILE%\AppData\Local\Temp\OnboardLogs"\RTDC4018\2016-12-23 --exclude "*" --recursive --include "*20161223*" &amp; "%USERPROFILE%\Documents\GitHub\mrs-test-scripts\Headless Mode &amp; Sideloading\WalkAndUnGZ.bat" "%USERPROFILE%\AppData\Local\Temp\OnboardLogs"\RTDC4018\2016-12-23</v>
      </c>
      <c r="S34" s="103" t="str">
        <f>VLOOKUP(C34,'Train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16:25:30-700',mode:absolute,to:'2016-12-22 19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5" t="str">
        <f t="shared" si="1"/>
        <v>"C:\Program Files (x86)\AstroGrep\AstroGrep.exe" /spath="%USERPROFILE%\AppData\Local\Temp\OnboardLogs" /stypes="*4018*201612230*" /stext=" 01:.+((SYSTEM_STATE.+slice.+state.+changed )|(ment ac)|(multiple cpu faults)|(system.+state.+changed )|(\[timeout)|(PRM\|1\|D)|(kpr)|(kdp)|(\|lc)|(penalty))" /e /r /s</v>
      </c>
      <c r="U34" s="9" t="str">
        <f t="shared" si="2"/>
        <v>4018</v>
      </c>
      <c r="V34" s="36">
        <f t="shared" si="3"/>
        <v>42727.0465162037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{"issue":{"subject":"","project_id":79,"tracker_id":40,"status_id":1,"priority_id":2,"assigned_to_id":23,"start_date":"2016-12-22","description":"","custom_fields":[{"id":1,"name":"Subdivision","value":"EC"},{"id":4,"name":"Milepost","value":"23.3491"},{"id":17,"name":"Train ID","value":"211-22"},{"id":16,"name":"Locomotive ID","value":"4018"},{"id":130,"name":"Impact","value":""},{"id":150,"name":"Time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"%USERPROFILE%\AppData\Local\Temp\OnboardLogs"\RTDC4018\*4018*201612230*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"%USERPROFILE%\AppData\Local\Temp\OnboardLogs"\RTDC4018\*4018*201612230* &gt;&gt; 42726-slicedisagreementcheck.txt</v>
      </c>
    </row>
    <row r="35" spans="1:30" x14ac:dyDescent="0.25">
      <c r="A35" s="36">
        <v>42726.433136574073</v>
      </c>
      <c r="B35" s="31" t="s">
        <v>206</v>
      </c>
      <c r="C35" s="31" t="s">
        <v>458</v>
      </c>
      <c r="D35" s="31" t="s">
        <v>98</v>
      </c>
      <c r="E35" s="31" t="s">
        <v>196</v>
      </c>
      <c r="F35" s="47">
        <v>200</v>
      </c>
      <c r="G35" s="47">
        <v>253</v>
      </c>
      <c r="H35" s="47">
        <v>6356</v>
      </c>
      <c r="I35" s="47">
        <v>6940</v>
      </c>
      <c r="J35" s="31" t="s">
        <v>197</v>
      </c>
      <c r="K35" s="47">
        <v>5315</v>
      </c>
      <c r="L35" s="154" t="s">
        <v>50</v>
      </c>
      <c r="M35" s="155">
        <f t="shared" si="0"/>
        <v>-858</v>
      </c>
      <c r="N35" s="156" t="str">
        <f>VLOOKUP(C35,'Trips&amp;Operators'!$C$1:$G$99999,5,FALSE)</f>
        <v>DUNCAN SHEILA</v>
      </c>
      <c r="O35" s="183" t="s">
        <v>195</v>
      </c>
      <c r="P35" s="157"/>
      <c r="Q35" s="31"/>
      <c r="R35" s="100" t="str">
        <f>VLOOKUP(C35,'Train Runs'!$A$13:$AE$9975,31,0)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S35" s="103" t="str">
        <f>VLOOKUP(C35,'Train Runs'!$A$13:$AE$9975,22,0)</f>
        <v>https://search-rtdc-monitor-bjffxe2xuh6vdkpspy63sjmuny.us-east-1.es.amazonaws.com/_plugin/kibana/#/discover/Steve-Slow-Train-Analysis-(2080s-and-2083s)?_g=(refreshInterval:(display:Off,section:0,value:0),time:(from:'2016-12-22 09:16:20-700',mode:absolute,to:'2016-12-22 11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5" s="105" t="str">
        <f t="shared" si="1"/>
        <v>"C:\Program Files (x86)\AstroGrep\AstroGrep.exe" /spath="%USERPROFILE%\AppData\Local\Temp\OnboardLogs" /stypes="*4040*201612221*" /stext=" 17:.+((SYSTEM_STATE.+slice.+state.+changed )|(ment ac)|(multiple cpu faults)|(system.+state.+changed )|(\[timeout)|(PRM\|1\|D)|(kpr)|(kdp)|(\|lc)|(penalty))" /e /r /s</v>
      </c>
      <c r="U35" s="9" t="str">
        <f t="shared" si="2"/>
        <v>4040</v>
      </c>
      <c r="V35" s="36">
        <f t="shared" si="3"/>
        <v>42726.724803240737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{"issue":{"subject":"","project_id":79,"tracker_id":40,"status_id":1,"priority_id":2,"assigned_to_id":23,"start_date":"2016-12-22","description":"","custom_fields":[{"id":1,"name":"Subdivision","value":"NW"},{"id":4,"name":"Milepost","value":"0.5315"},{"id":17,"name":"Train ID","value":"815-22"},{"id":16,"name":"Locomotive ID","value":"4040"},{"id":130,"name":"Impact","value":""},{"id":150,"name":"Time of Event (Mountain Time)","value":"10:23:43"},{"id":151,"name":"Denver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"%USERPROFILE%\AppData\Local\Temp\OnboardLogs"\RTDC4040\*4040*201612221*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"%USERPROFILE%\AppData\Local\Temp\OnboardLogs"\RTDC4040\*4040*201612221* &gt;&gt; 42726-slicedisagreementcheck.txt</v>
      </c>
    </row>
    <row r="36" spans="1:30" x14ac:dyDescent="0.25">
      <c r="A36" s="36">
        <v>42726.489328703705</v>
      </c>
      <c r="B36" s="31" t="s">
        <v>207</v>
      </c>
      <c r="C36" s="31" t="s">
        <v>460</v>
      </c>
      <c r="D36" s="31" t="s">
        <v>49</v>
      </c>
      <c r="E36" s="31" t="s">
        <v>196</v>
      </c>
      <c r="F36" s="47">
        <v>400</v>
      </c>
      <c r="G36" s="47">
        <v>533</v>
      </c>
      <c r="H36" s="47">
        <v>51841</v>
      </c>
      <c r="I36" s="47">
        <v>49671</v>
      </c>
      <c r="J36" s="31" t="s">
        <v>197</v>
      </c>
      <c r="K36" s="47">
        <v>49775</v>
      </c>
      <c r="L36" s="154" t="s">
        <v>51</v>
      </c>
      <c r="M36" s="155">
        <f t="shared" si="0"/>
        <v>-54.911999999999999</v>
      </c>
      <c r="N36" s="156" t="str">
        <f>VLOOKUP(C36,'Trips&amp;Operators'!$C$1:$G$99999,5,FALSE)</f>
        <v>DUNCAN SHEILA</v>
      </c>
      <c r="O36" s="183" t="s">
        <v>195</v>
      </c>
      <c r="P36" s="157"/>
      <c r="Q36" s="31"/>
      <c r="R36" s="100" t="str">
        <f>VLOOKUP(C36,'Train Runs'!$A$13:$AE$9975,31,0)</f>
        <v>aws s3 cp s3://rtdc.mdm.uploadarchive.raw/RTDC4039/ "%USERPROFILE%\AppData\Local\Temp\OnboardLogs"\RTDC4039\2016-12-22 --exclude "*" --recursive --include "*20161222*" &amp; "%USERPROFILE%\Documents\GitHub\mrs-test-scripts\Headless Mode &amp; Sideloading\WalkAndUnGZ.bat" "%USERPROFILE%\AppData\Local\Temp\OnboardLogs"\RTDC4039\2016-12-22 &amp; aws s3 cp s3://rtdc.mdm.uploadarchive.raw/RTDC4039/ "%USERPROFILE%\AppData\Local\Temp\OnboardLogs"\RTDC4039\2016-12-23 --exclude "*" --recursive --include "*20161223*" &amp; "%USERPROFILE%\Documents\GitHub\mrs-test-scripts\Headless Mode &amp; Sideloading\WalkAndUnGZ.bat" "%USERPROFILE%\AppData\Local\Temp\OnboardLogs"\RTDC4039\2016-12-23</v>
      </c>
      <c r="S36" s="103" t="str">
        <f>VLOOKUP(C36,'Train Runs'!$A$13:$AE$9975,22,0)</f>
        <v>https://search-rtdc-monitor-bjffxe2xuh6vdkpspy63sjmuny.us-east-1.es.amazonaws.com/_plugin/kibana/#/discover/Steve-Slow-Train-Analysis-(2080s-and-2083s)?_g=(refreshInterval:(display:Off,section:0,value:0),time:(from:'2016-12-22 10:37:38-700',mode:absolute,to:'2016-12-22 12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6" s="105" t="str">
        <f t="shared" si="1"/>
        <v>"C:\Program Files (x86)\AstroGrep\AstroGrep.exe" /spath="%USERPROFILE%\AppData\Local\Temp\OnboardLogs" /stypes="*4039*201612221*" /stext=" 18:.+((SYSTEM_STATE.+slice.+state.+changed )|(ment ac)|(multiple cpu faults)|(system.+state.+changed )|(\[timeout)|(PRM\|1\|D)|(kpr)|(kdp)|(\|lc)|(penalty))" /e /r /s</v>
      </c>
      <c r="U36" s="9" t="str">
        <f t="shared" si="2"/>
        <v>4039</v>
      </c>
      <c r="V36" s="36">
        <f t="shared" si="3"/>
        <v>42726.780995370369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{"issue":{"subject":"","project_id":79,"tracker_id":40,"status_id":1,"priority_id":2,"assigned_to_id":23,"start_date":"2016-12-22","description":"","custom_fields":[{"id":1,"name":"Subdivision","value":"NW"},{"id":4,"name":"Milepost","value":"4.9775"},{"id":17,"name":"Train ID","value":"818-22"},{"id":16,"name":"Locomotive ID","value":"4039"},{"id":130,"name":"Impact","value":""},{"id":150,"name":"Time of Event (Mountain Time)","value":"11:44:38"},{"id":151,"name":"Denver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"%USERPROFILE%\AppData\Local\Temp\OnboardLogs"\RTDC4039\*4039*201612221*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"%USERPROFILE%\AppData\Local\Temp\OnboardLogs"\RTDC4039\*4039*201612221* &gt;&gt; 42726-slicedisagreementcheck.txt</v>
      </c>
    </row>
    <row r="37" spans="1:30" x14ac:dyDescent="0.25">
      <c r="A37" s="36">
        <v>42726.668900462966</v>
      </c>
      <c r="B37" s="31" t="s">
        <v>302</v>
      </c>
      <c r="C37" s="31" t="s">
        <v>466</v>
      </c>
      <c r="D37" s="31" t="s">
        <v>49</v>
      </c>
      <c r="E37" s="31" t="s">
        <v>196</v>
      </c>
      <c r="F37" s="47">
        <v>150</v>
      </c>
      <c r="G37" s="47">
        <v>341</v>
      </c>
      <c r="H37" s="47">
        <v>56052</v>
      </c>
      <c r="I37" s="47">
        <v>56767</v>
      </c>
      <c r="J37" s="31" t="s">
        <v>197</v>
      </c>
      <c r="K37" s="47">
        <v>57008</v>
      </c>
      <c r="L37" s="154" t="s">
        <v>50</v>
      </c>
      <c r="M37" s="155">
        <f t="shared" si="0"/>
        <v>127.248</v>
      </c>
      <c r="N37" s="156" t="str">
        <f>VLOOKUP(C37,'Trips&amp;Operators'!$C$1:$G$99999,5,FALSE)</f>
        <v>YANG JAN</v>
      </c>
      <c r="O37" s="183" t="s">
        <v>195</v>
      </c>
      <c r="P37" s="157"/>
      <c r="Q37" s="31"/>
      <c r="R37" s="100" t="str">
        <f>VLOOKUP(C37,'Train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37" s="103" t="str">
        <f>VLOOKUP(C37,'Train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14:41:16-700',mode:absolute,to:'2016-12-22 17:06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37" s="105" t="str">
        <f t="shared" si="1"/>
        <v>"C:\Program Files (x86)\AstroGrep\AstroGrep.exe" /spath="%USERPROFILE%\AppData\Local\Temp\OnboardLogs" /stypes="*4044*201612222*" /stext=" 23:.+((SYSTEM_STATE.+slice.+state.+changed )|(ment ac)|(multiple cpu faults)|(system.+state.+changed )|(\[timeout)|(PRM\|1\|D)|(kpr)|(kdp)|(\|lc)|(penalty))" /e /r /s</v>
      </c>
      <c r="U37" s="9" t="str">
        <f t="shared" si="2"/>
        <v>4044</v>
      </c>
      <c r="V37" s="36">
        <f t="shared" si="3"/>
        <v>42726.96056712963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{"issue":{"subject":"","project_id":79,"tracker_id":40,"status_id":1,"priority_id":2,"assigned_to_id":23,"start_date":"2016-12-22","description":"","custom_fields":[{"id":1,"name":"Subdivision","value":"NW"},{"id":4,"name":"Milepost","value":"5.7008"},{"id":17,"name":"Train ID","value":"827-22"},{"id":16,"name":"Locomotive ID","value":"4044"},{"id":130,"name":"Impact","value":""},{"id":150,"name":"Time of Event (Mountain Time)","value":"16:03:13"},{"id":151,"name":"Denver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"%USERPROFILE%\AppData\Local\Temp\OnboardLogs"\RTDC4044\*4044*201612222*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"%USERPROFILE%\AppData\Local\Temp\OnboardLogs"\RTDC4044\*4044*201612222* &gt;&gt; 42726-slicedisagreementcheck.txt</v>
      </c>
    </row>
    <row r="38" spans="1:30" x14ac:dyDescent="0.25">
      <c r="A38" s="36">
        <v>42726.351898148147</v>
      </c>
      <c r="B38" s="31" t="s">
        <v>303</v>
      </c>
      <c r="C38" s="31" t="s">
        <v>454</v>
      </c>
      <c r="D38" s="31" t="s">
        <v>49</v>
      </c>
      <c r="E38" s="31" t="s">
        <v>200</v>
      </c>
      <c r="F38" s="47">
        <v>0</v>
      </c>
      <c r="G38" s="47">
        <v>46</v>
      </c>
      <c r="H38" s="47">
        <v>729</v>
      </c>
      <c r="I38" s="47">
        <v>698</v>
      </c>
      <c r="J38" s="31" t="s">
        <v>201</v>
      </c>
      <c r="K38" s="47">
        <v>575</v>
      </c>
      <c r="L38" s="154" t="s">
        <v>51</v>
      </c>
      <c r="M38" s="155">
        <f t="shared" si="0"/>
        <v>64.944000000000003</v>
      </c>
      <c r="N38" s="156" t="str">
        <f>VLOOKUP(C38,'Trips&amp;Operators'!$C$1:$G$99999,5,FALSE)</f>
        <v>SHOOK JOHN</v>
      </c>
      <c r="O38" s="183" t="s">
        <v>195</v>
      </c>
      <c r="P38" s="157"/>
      <c r="Q38" s="31"/>
      <c r="R38" s="100" t="str">
        <f>VLOOKUP(C38,'Train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38" s="103" t="str">
        <f>VLOOKUP(C38,'Train Runs'!$A$13:$AE$9975,22,0)</f>
        <v>https://search-rtdc-monitor-bjffxe2xuh6vdkpspy63sjmuny.us-east-1.es.amazonaws.com/_plugin/kibana/#/discover/Steve-Slow-Train-Analysis-(2080s-and-2083s)?_g=(refreshInterval:(display:Off,section:0,value:0),time:(from:'2016-12-22 07:09:29-700',mode:absolute,to:'2016-12-22 09:26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8" s="105" t="str">
        <f t="shared" si="1"/>
        <v>"C:\Program Files (x86)\AstroGrep\AstroGrep.exe" /spath="%USERPROFILE%\AppData\Local\Temp\OnboardLogs" /stypes="*4043*201612221*" /stext=" 15:.+((SYSTEM_STATE.+slice.+state.+changed )|(ment ac)|(multiple cpu faults)|(system.+state.+changed )|(\[timeout)|(PRM\|1\|D)|(kpr)|(kdp)|(\|lc)|(penalty))" /e /r /s</v>
      </c>
      <c r="U38" s="9" t="str">
        <f t="shared" si="2"/>
        <v>4043</v>
      </c>
      <c r="V38" s="36">
        <f t="shared" si="3"/>
        <v>42726.643564814811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ID","value":"810-22"},{"id":16,"name":"Locomotive ID","value":"4043"},{"id":130,"name":"Impact","value":""},{"id":150,"name":"Time of Event (Mountain Time)","value":"08:26:44"},{"id":151,"name":"Denver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"%USERPROFILE%\AppData\Local\Temp\OnboardLogs"\RTDC4043\*4043*201612221*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"%USERPROFILE%\AppData\Local\Temp\OnboardLogs"\RTDC4043\*4043*201612221* &gt;&gt; 42726-slicedisagreementcheck.txt</v>
      </c>
    </row>
    <row r="39" spans="1:30" x14ac:dyDescent="0.25">
      <c r="A39" s="36">
        <v>42726.685011574074</v>
      </c>
      <c r="B39" s="31" t="s">
        <v>303</v>
      </c>
      <c r="C39" s="31" t="s">
        <v>468</v>
      </c>
      <c r="D39" s="31" t="s">
        <v>49</v>
      </c>
      <c r="E39" s="31" t="s">
        <v>200</v>
      </c>
      <c r="F39" s="47">
        <v>0</v>
      </c>
      <c r="G39" s="47">
        <v>26</v>
      </c>
      <c r="H39" s="47">
        <v>652</v>
      </c>
      <c r="I39" s="47">
        <v>628</v>
      </c>
      <c r="J39" s="31" t="s">
        <v>201</v>
      </c>
      <c r="K39" s="47">
        <v>575</v>
      </c>
      <c r="L39" s="154" t="s">
        <v>51</v>
      </c>
      <c r="M39" s="155">
        <f t="shared" si="0"/>
        <v>27.984000000000002</v>
      </c>
      <c r="N39" s="156" t="str">
        <f>VLOOKUP(C39,'Trips&amp;Operators'!$C$1:$G$99999,5,FALSE)</f>
        <v>YANG JAN</v>
      </c>
      <c r="O39" s="183" t="s">
        <v>195</v>
      </c>
      <c r="P39" s="157"/>
      <c r="Q39" s="31"/>
      <c r="R39" s="100" t="str">
        <f>VLOOKUP(C39,'Train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39" s="103" t="str">
        <f>VLOOKUP(C39,'Train Runs'!$A$13:$AE$9975,22,0)</f>
        <v>https://search-rtdc-monitor-bjffxe2xuh6vdkpspy63sjmuny.us-east-1.es.amazonaws.com/_plugin/kibana/#/discover/Steve-Slow-Train-Analysis-(2080s-and-2083s)?_g=(refreshInterval:(display:Off,section:0,value:0),time:(from:'2016-12-22 15:08:40-700',mode:absolute,to:'2016-12-22 17:26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9" s="105" t="str">
        <f t="shared" si="1"/>
        <v>"C:\Program Files (x86)\AstroGrep\AstroGrep.exe" /spath="%USERPROFILE%\AppData\Local\Temp\OnboardLogs" /stypes="*4043*201612222*" /stext=" 23:.+((SYSTEM_STATE.+slice.+state.+changed )|(ment ac)|(multiple cpu faults)|(system.+state.+changed )|(\[timeout)|(PRM\|1\|D)|(kpr)|(kdp)|(\|lc)|(penalty))" /e /r /s</v>
      </c>
      <c r="U39" s="9" t="str">
        <f t="shared" si="2"/>
        <v>4043</v>
      </c>
      <c r="V39" s="36">
        <f t="shared" si="3"/>
        <v>42726.976678240739</v>
      </c>
      <c r="W39" s="50" t="str">
        <f t="shared" si="4"/>
        <v>NW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ID","value":"828-22"},{"id":16,"name":"Locomotive ID","value":"4043"},{"id":130,"name":"Impact","value":""},{"id":150,"name":"Time of Event (Mountain Time)","value":"16:26:25"},{"id":151,"name":"Denver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"%USERPROFILE%\AppData\Local\Temp\OnboardLogs"\RTDC4043\*4043*201612222*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"%USERPROFILE%\AppData\Local\Temp\OnboardLogs"\RTDC4043\*4043*201612222* &gt;&gt; 42726-slicedisagreementcheck.txt</v>
      </c>
    </row>
    <row r="40" spans="1:30" x14ac:dyDescent="0.25">
      <c r="A40" s="36">
        <v>42726.727083333331</v>
      </c>
      <c r="B40" s="31" t="s">
        <v>303</v>
      </c>
      <c r="C40" s="31" t="s">
        <v>471</v>
      </c>
      <c r="D40" s="31" t="s">
        <v>49</v>
      </c>
      <c r="E40" s="31" t="s">
        <v>200</v>
      </c>
      <c r="F40" s="47">
        <v>0</v>
      </c>
      <c r="G40" s="47">
        <v>32</v>
      </c>
      <c r="H40" s="47">
        <v>666</v>
      </c>
      <c r="I40" s="47">
        <v>638</v>
      </c>
      <c r="J40" s="31" t="s">
        <v>201</v>
      </c>
      <c r="K40" s="47">
        <v>575</v>
      </c>
      <c r="L40" s="154" t="s">
        <v>51</v>
      </c>
      <c r="M40" s="155">
        <f t="shared" si="0"/>
        <v>33.264000000000003</v>
      </c>
      <c r="N40" s="156" t="str">
        <f>VLOOKUP(C40,'Trips&amp;Operators'!$C$1:$G$99999,5,FALSE)</f>
        <v>YANG JAN</v>
      </c>
      <c r="O40" s="183" t="s">
        <v>195</v>
      </c>
      <c r="P40" s="157"/>
      <c r="Q40" s="31"/>
      <c r="R40" s="100" t="str">
        <f>VLOOKUP(C40,'Train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40" s="103" t="str">
        <f>VLOOKUP(C40,'Train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16:07:06-700',mode:absolute,to:'2016-12-22 18:26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0" s="105" t="str">
        <f t="shared" si="1"/>
        <v>"C:\Program Files (x86)\AstroGrep\AstroGrep.exe" /spath="%USERPROFILE%\AppData\Local\Temp\OnboardLogs" /stypes="*4043*201612230*" /stext=" 00:.+((SYSTEM_STATE.+slice.+state.+changed )|(ment ac)|(multiple cpu faults)|(system.+state.+changed )|(\[timeout)|(PRM\|1\|D)|(kpr)|(kdp)|(\|lc)|(penalty))" /e /r /s</v>
      </c>
      <c r="U40" s="9" t="str">
        <f t="shared" si="2"/>
        <v>4043</v>
      </c>
      <c r="V40" s="36">
        <f t="shared" si="3"/>
        <v>42727.018749999996</v>
      </c>
      <c r="W40" s="50" t="str">
        <f t="shared" si="4"/>
        <v>NW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{"issue":{"subject":"","project_id":79,"tracker_id":40,"status_id":1,"priority_id":2,"assigned_to_id":23,"start_date":"2016-12-22","description":"","custom_fields":[{"id":1,"name":"Subdivision","value":"NW"},{"id":4,"name":"Milepost","value":"0.0575"},{"id":17,"name":"Train ID","value":"832-22"},{"id":16,"name":"Locomotive ID","value":"4043"},{"id":130,"name":"Impact","value":""},{"id":150,"name":"Time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"%USERPROFILE%\AppData\Local\Temp\OnboardLogs"\RTDC4043\*4043*201612230*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"%USERPROFILE%\AppData\Local\Temp\OnboardLogs"\RTDC4043\*4043*201612230* &gt;&gt; 42726-slicedisagreementcheck.txt</v>
      </c>
    </row>
    <row r="41" spans="1:30" x14ac:dyDescent="0.25">
      <c r="A41" s="36">
        <v>42726.2969212963</v>
      </c>
      <c r="B41" s="31" t="s">
        <v>302</v>
      </c>
      <c r="C41" s="31" t="s">
        <v>446</v>
      </c>
      <c r="D41" s="31" t="s">
        <v>49</v>
      </c>
      <c r="E41" s="31" t="s">
        <v>200</v>
      </c>
      <c r="F41" s="47">
        <v>0</v>
      </c>
      <c r="G41" s="47">
        <v>58</v>
      </c>
      <c r="H41" s="47">
        <v>58862</v>
      </c>
      <c r="I41" s="47">
        <v>58909</v>
      </c>
      <c r="J41" s="31" t="s">
        <v>201</v>
      </c>
      <c r="K41" s="47">
        <v>59048</v>
      </c>
      <c r="L41" s="154" t="s">
        <v>50</v>
      </c>
      <c r="M41" s="155">
        <f t="shared" si="0"/>
        <v>73.391999999999996</v>
      </c>
      <c r="N41" s="156" t="str">
        <f>VLOOKUP(C41,'Trips&amp;Operators'!$C$1:$G$99999,5,FALSE)</f>
        <v>SHOOK JOHN</v>
      </c>
      <c r="O41" s="183" t="s">
        <v>195</v>
      </c>
      <c r="P41" s="157"/>
      <c r="Q41" s="31"/>
      <c r="R41" s="100" t="str">
        <f>VLOOKUP(C41,'Train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41" s="103" t="str">
        <f>VLOOKUP(C41,'Train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05:46:45-700',mode:absolute,to:'2016-12-22 08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1" s="105" t="str">
        <f t="shared" si="1"/>
        <v>"C:\Program Files (x86)\AstroGrep\AstroGrep.exe" /spath="%USERPROFILE%\AppData\Local\Temp\OnboardLogs" /stypes="*4044*201612221*" /stext=" 14:.+((SYSTEM_STATE.+slice.+state.+changed )|(ment ac)|(multiple cpu faults)|(system.+state.+changed )|(\[timeout)|(PRM\|1\|D)|(kpr)|(kdp)|(\|lc)|(penalty))" /e /r /s</v>
      </c>
      <c r="U41" s="9" t="str">
        <f t="shared" si="2"/>
        <v>4044</v>
      </c>
      <c r="V41" s="36">
        <f t="shared" si="3"/>
        <v>42726.588587962964</v>
      </c>
      <c r="W41" s="50" t="str">
        <f t="shared" si="4"/>
        <v>NW</v>
      </c>
      <c r="X41" s="50" t="str">
        <f t="shared" si="5"/>
        <v>KEEP</v>
      </c>
      <c r="Y41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ID","value":"805-22"},{"id":16,"name":"Locomotive ID","value":"4044"},{"id":130,"name":"Impact","value":""},{"id":150,"name":"Time of Event (Mountain Time)","value":"07:07:34"},{"id":151,"name":"Denver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"%USERPROFILE%\AppData\Local\Temp\OnboardLogs"\RTDC4044\*4044*201612221*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"%USERPROFILE%\AppData\Local\Temp\OnboardLogs"\RTDC4044\*4044*201612221* &gt;&gt; 42726-slicedisagreementcheck.txt</v>
      </c>
    </row>
    <row r="42" spans="1:30" x14ac:dyDescent="0.25">
      <c r="A42" s="36">
        <v>42726.33865740741</v>
      </c>
      <c r="B42" s="31" t="s">
        <v>302</v>
      </c>
      <c r="C42" s="31" t="s">
        <v>453</v>
      </c>
      <c r="D42" s="31" t="s">
        <v>49</v>
      </c>
      <c r="E42" s="31" t="s">
        <v>200</v>
      </c>
      <c r="F42" s="47">
        <v>0</v>
      </c>
      <c r="G42" s="47">
        <v>14</v>
      </c>
      <c r="H42" s="47">
        <v>59016</v>
      </c>
      <c r="I42" s="47">
        <v>59018</v>
      </c>
      <c r="J42" s="31" t="s">
        <v>201</v>
      </c>
      <c r="K42" s="47">
        <v>59048</v>
      </c>
      <c r="L42" s="154" t="s">
        <v>50</v>
      </c>
      <c r="M42" s="155">
        <f t="shared" si="0"/>
        <v>15.84</v>
      </c>
      <c r="N42" s="156" t="str">
        <f>VLOOKUP(C42,'Trips&amp;Operators'!$C$1:$G$99999,5,FALSE)</f>
        <v>SHOOK JOHN</v>
      </c>
      <c r="O42" s="183" t="s">
        <v>195</v>
      </c>
      <c r="P42" s="157"/>
      <c r="Q42" s="31"/>
      <c r="R42" s="100" t="str">
        <f>VLOOKUP(C42,'Train Runs'!$A$13:$AE$9975,31,0)</f>
        <v>aws s3 cp s3://rtdc.mdm.uploadarchive.raw/RTDC4044/ "%USERPROFILE%\AppData\Local\Temp\OnboardLogs"\RTDC4044\2016-12-22 --exclude "*" --recursive --include "*20161222*" &amp; "%USERPROFILE%\Documents\GitHub\mrs-test-scripts\Headless Mode &amp; Sideloading\WalkAndUnGZ.bat" "%USERPROFILE%\AppData\Local\Temp\OnboardLogs"\RTDC4044\2016-12-22 &amp; aws s3 cp s3://rtdc.mdm.uploadarchive.raw/RTDC4044/ "%USERPROFILE%\AppData\Local\Temp\OnboardLogs"\RTDC4044\2016-12-23 --exclude "*" --recursive --include "*20161223*" &amp; "%USERPROFILE%\Documents\GitHub\mrs-test-scripts\Headless Mode &amp; Sideloading\WalkAndUnGZ.bat" "%USERPROFILE%\AppData\Local\Temp\OnboardLogs"\RTDC4044\2016-12-23</v>
      </c>
      <c r="S42" s="103" t="str">
        <f>VLOOKUP(C42,'Train Runs'!$A$13:$AE$9975,22,0)</f>
        <v>https://search-rtdc-monitor-bjffxe2xuh6vdkpspy63sjmuny.us-east-1.es.amazonaws.com/_plugin/kibana/#/discover/Steve-Slow-Train-Analysis-(2080s-and-2083s)?_g=(refreshInterval:(display:Off,section:0,value:0),time:(from:'2016-12-22 06:45:32-700',mode:absolute,to:'2016-12-22 09:07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2" s="105" t="str">
        <f t="shared" si="1"/>
        <v>"C:\Program Files (x86)\AstroGrep\AstroGrep.exe" /spath="%USERPROFILE%\AppData\Local\Temp\OnboardLogs" /stypes="*4044*201612221*" /stext=" 15:.+((SYSTEM_STATE.+slice.+state.+changed )|(ment ac)|(multiple cpu faults)|(system.+state.+changed )|(\[timeout)|(PRM\|1\|D)|(kpr)|(kdp)|(\|lc)|(penalty))" /e /r /s</v>
      </c>
      <c r="U42" s="9" t="str">
        <f t="shared" si="2"/>
        <v>4044</v>
      </c>
      <c r="V42" s="36">
        <f t="shared" si="3"/>
        <v>42726.630324074074</v>
      </c>
      <c r="W42" s="50" t="str">
        <f t="shared" si="4"/>
        <v>NW</v>
      </c>
      <c r="X42" s="50" t="str">
        <f t="shared" si="5"/>
        <v>KEEP</v>
      </c>
      <c r="Y42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ID","value":"809-22"},{"id":16,"name":"Locomotive ID","value":"4044"},{"id":130,"name":"Impact","value":""},{"id":150,"name":"Time of Event (Mountain Time)","value":"08:07:40"},{"id":151,"name":"Denver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7"/>
        <v>grep -hSE -A100 "Enforcement Action" "%USERPROFILE%\AppData\Local\Temp\OnboardLogs"\RTDC4044\*4044*201612221*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"%USERPROFILE%\AppData\Local\Temp\OnboardLogs"\RTDC4044\*4044*201612221* &gt;&gt; 42726-slicedisagreementcheck.txt</v>
      </c>
    </row>
    <row r="43" spans="1:30" x14ac:dyDescent="0.25">
      <c r="A43" s="36">
        <v>42726.941527777781</v>
      </c>
      <c r="B43" s="31" t="s">
        <v>206</v>
      </c>
      <c r="C43" s="31" t="s">
        <v>479</v>
      </c>
      <c r="D43" s="31" t="s">
        <v>49</v>
      </c>
      <c r="E43" s="31" t="s">
        <v>200</v>
      </c>
      <c r="F43" s="47">
        <v>0</v>
      </c>
      <c r="G43" s="47">
        <v>49</v>
      </c>
      <c r="H43" s="47">
        <v>58850</v>
      </c>
      <c r="I43" s="47">
        <v>58899</v>
      </c>
      <c r="J43" s="31" t="s">
        <v>201</v>
      </c>
      <c r="K43" s="47">
        <v>59048</v>
      </c>
      <c r="L43" s="154" t="s">
        <v>50</v>
      </c>
      <c r="M43" s="155">
        <f t="shared" si="0"/>
        <v>78.671999999999997</v>
      </c>
      <c r="N43" s="156" t="str">
        <f>VLOOKUP(C43,'Trips&amp;Operators'!$C$1:$G$99999,5,FALSE)</f>
        <v>YANG JAN</v>
      </c>
      <c r="O43" s="183" t="s">
        <v>195</v>
      </c>
      <c r="P43" s="157"/>
      <c r="Q43" s="31"/>
      <c r="R43" s="100" t="str">
        <f>VLOOKUP(C43,'Train Runs'!$A$13:$AE$9975,31,0)</f>
        <v>aws s3 cp s3://rtdc.mdm.uploadarchive.raw/RTDC4040/ "%USERPROFILE%\AppData\Local\Temp\OnboardLogs"\RTDC4040\2016-12-22 --exclude "*" --recursive --include "*20161222*" &amp; "%USERPROFILE%\Documents\GitHub\mrs-test-scripts\Headless Mode &amp; Sideloading\WalkAndUnGZ.bat" "%USERPROFILE%\AppData\Local\Temp\OnboardLogs"\RTDC4040\2016-12-22 &amp; aws s3 cp s3://rtdc.mdm.uploadarchive.raw/RTDC4040/ "%USERPROFILE%\AppData\Local\Temp\OnboardLogs"\RTDC4040\2016-12-23 --exclude "*" --recursive --include "*20161223*" &amp; "%USERPROFILE%\Documents\GitHub\mrs-test-scripts\Headless Mode &amp; Sideloading\WalkAndUnGZ.bat" "%USERPROFILE%\AppData\Local\Temp\OnboardLogs"\RTDC4040\2016-12-23</v>
      </c>
      <c r="S43" s="103" t="str">
        <f>VLOOKUP(C43,'Train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21:10:00-700',mode:absolute,to:'2016-12-22 23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3" s="105" t="str">
        <f t="shared" si="1"/>
        <v>"C:\Program Files (x86)\AstroGrep\AstroGrep.exe" /spath="%USERPROFILE%\AppData\Local\Temp\OnboardLogs" /stypes="*4040*201612230*" /stext=" 05:.+((SYSTEM_STATE.+slice.+state.+changed )|(ment ac)|(multiple cpu faults)|(system.+state.+changed )|(\[timeout)|(PRM\|1\|D)|(kpr)|(kdp)|(\|lc)|(penalty))" /e /r /s</v>
      </c>
      <c r="U43" s="9" t="str">
        <f t="shared" si="2"/>
        <v>4040</v>
      </c>
      <c r="V43" s="36">
        <f t="shared" si="3"/>
        <v>42727.233194444445</v>
      </c>
      <c r="W43" s="50" t="str">
        <f t="shared" si="4"/>
        <v>NW</v>
      </c>
      <c r="X43" s="50" t="str">
        <f t="shared" si="5"/>
        <v>KEEP</v>
      </c>
      <c r="Y43" s="119" t="str">
        <f t="shared" si="6"/>
        <v>echo {"issue":{"subject":"","project_id":79,"tracker_id":40,"status_id":1,"priority_id":2,"assigned_to_id":23,"start_date":"2016-12-22","description":"","custom_fields":[{"id":1,"name":"Subdivision","value":"NW"},{"id":4,"name":"Milepost","value":"5.9048"},{"id":17,"name":"Train ID","value":"847-22"},{"id":16,"name":"Locomotive ID","value":"4040"},{"id":130,"name":"Impact","value":""},{"id":150,"name":"Time of Event (Mountain Time)","value":"22:35:48"},{"id":151,"name":"Denver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7"/>
        <v>grep -hSE -A100 "Enforcement Action" "%USERPROFILE%\AppData\Local\Temp\OnboardLogs"\RTDC4040\*4040*201612230*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"%USERPROFILE%\AppData\Local\Temp\OnboardLogs"\RTDC4040\*4040*201612230* &gt;&gt; 42726-slicedisagreementcheck.txt</v>
      </c>
    </row>
    <row r="44" spans="1:30" x14ac:dyDescent="0.25">
      <c r="A44" s="36">
        <v>42726.164629629631</v>
      </c>
      <c r="B44" s="31" t="s">
        <v>236</v>
      </c>
      <c r="C44" s="31" t="s">
        <v>440</v>
      </c>
      <c r="D44" s="31" t="s">
        <v>49</v>
      </c>
      <c r="E44" s="31" t="s">
        <v>198</v>
      </c>
      <c r="F44" s="47">
        <v>0</v>
      </c>
      <c r="G44" s="47">
        <v>75</v>
      </c>
      <c r="H44" s="47">
        <v>11042</v>
      </c>
      <c r="I44" s="47">
        <v>10877</v>
      </c>
      <c r="J44" s="31" t="s">
        <v>199</v>
      </c>
      <c r="K44" s="47">
        <v>11016</v>
      </c>
      <c r="L44" s="154" t="s">
        <v>51</v>
      </c>
      <c r="M44" s="155">
        <f t="shared" si="0"/>
        <v>-73.391999999999996</v>
      </c>
      <c r="N44" s="156" t="str">
        <f>VLOOKUP(C44,'Trips&amp;Operators'!$C$1:$G$99999,5,FALSE)</f>
        <v>ROBINSON KADDIBA</v>
      </c>
      <c r="O44" s="183" t="s">
        <v>195</v>
      </c>
      <c r="P44" s="157"/>
      <c r="Q44" s="31"/>
      <c r="R44" s="100" t="str">
        <f>VLOOKUP(C44,'Train Runs'!$A$13:$AE$9975,31,0)</f>
        <v>aws s3 cp s3://rtdc.mdm.uploadarchive.raw/RTDC4032/ "%USERPROFILE%\AppData\Local\Temp\OnboardLogs"\RTDC4032\2016-12-22 --exclude "*" --recursive --include "*20161222*" &amp; "%USERPROFILE%\Documents\GitHub\mrs-test-scripts\Headless Mode &amp; Sideloading\WalkAndUnGZ.bat" "%USERPROFILE%\AppData\Local\Temp\OnboardLogs"\RTDC4032\2016-12-22 &amp; aws s3 cp s3://rtdc.mdm.uploadarchive.raw/RTDC4032/ "%USERPROFILE%\AppData\Local\Temp\OnboardLogs"\RTDC4032\2016-12-23 --exclude "*" --recursive --include "*20161223*" &amp; "%USERPROFILE%\Documents\GitHub\mrs-test-scripts\Headless Mode &amp; Sideloading\WalkAndUnGZ.bat" "%USERPROFILE%\AppData\Local\Temp\OnboardLogs"\RTDC4032\2016-12-23</v>
      </c>
      <c r="S44" s="103" t="str">
        <f>VLOOKUP(C44,'Train Runs'!$A$13:$AE$9975,22,0)</f>
        <v>https://search-rtdc-monitor-bjffxe2xuh6vdkpspy63sjmuny.us-east-1.es.amazonaws.com/_plugin/kibana/#/discover/Steve-Slow-Train-Analysis-(2080s-and-2083s)?_g=(refreshInterval:(display:Off,section:0,value:0),time:(from:'2016-12-22 02:50:37-700',mode:absolute,to:'2016-12-22 05:02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4" s="105" t="str">
        <f t="shared" si="1"/>
        <v>"C:\Program Files (x86)\AstroGrep\AstroGrep.exe" /spath="%USERPROFILE%\AppData\Local\Temp\OnboardLogs" /stypes="*4032*201612221*" /stext=" 10:.+((SYSTEM_STATE.+slice.+state.+changed )|(ment ac)|(multiple cpu faults)|(system.+state.+changed )|(\[timeout)|(PRM\|1\|D)|(kpr)|(kdp)|(\|lc)|(penalty))" /e /r /s</v>
      </c>
      <c r="U44" s="9" t="str">
        <f t="shared" si="2"/>
        <v>4032</v>
      </c>
      <c r="V44" s="36">
        <f t="shared" si="3"/>
        <v>42726.456296296295</v>
      </c>
      <c r="W44" s="50" t="str">
        <f t="shared" si="4"/>
        <v>Other</v>
      </c>
      <c r="X44" s="50" t="str">
        <f t="shared" si="5"/>
        <v>KEEP</v>
      </c>
      <c r="Y44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{"issue":{"subject":"","project_id":79,"tracker_id":40,"status_id":1,"priority_id":2,"assigned_to_id":23,"start_date":"2016-12-22","description":"","custom_fields":[{"id":1,"name":"Subdivision","value":"Other"},{"id":4,"name":"Milepost","value":"1.1016"},{"id":17,"name":"Train ID","value":"306-22"},{"id":16,"name":"Locomotive ID","value":"4032"},{"id":130,"name":"Impact","value":""},{"id":150,"name":"Time of Event (Mountain Time)","value":"03:57:04"},{"id":151,"name":"Denver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7"/>
        <v>grep -hSE -A100 "Enforcement Action" "%USERPROFILE%\AppData\Local\Temp\OnboardLogs"\RTDC4032\*4032*201612221*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"%USERPROFILE%\AppData\Local\Temp\OnboardLogs"\RTDC4032\*4032*201612221* &gt;&gt; 42726-slicedisagreementcheck.txt</v>
      </c>
    </row>
    <row r="45" spans="1:30" x14ac:dyDescent="0.25">
      <c r="A45" s="36">
        <v>42726.716041666667</v>
      </c>
      <c r="B45" s="31" t="s">
        <v>469</v>
      </c>
      <c r="C45" s="31" t="s">
        <v>470</v>
      </c>
      <c r="D45" s="31" t="s">
        <v>98</v>
      </c>
      <c r="E45" s="31" t="s">
        <v>198</v>
      </c>
      <c r="F45" s="47">
        <v>0</v>
      </c>
      <c r="G45" s="47">
        <v>78</v>
      </c>
      <c r="H45" s="47">
        <v>11000</v>
      </c>
      <c r="I45" s="47">
        <v>10716</v>
      </c>
      <c r="J45" s="31" t="s">
        <v>199</v>
      </c>
      <c r="K45" s="47">
        <v>11016</v>
      </c>
      <c r="L45" s="154" t="s">
        <v>51</v>
      </c>
      <c r="M45" s="155">
        <f t="shared" si="0"/>
        <v>-158.4</v>
      </c>
      <c r="N45" s="156" t="str">
        <f>VLOOKUP(C45,'Trips&amp;Operators'!$C$1:$G$99999,5,FALSE)</f>
        <v>NEWELL JAMES</v>
      </c>
      <c r="O45" s="183" t="s">
        <v>195</v>
      </c>
      <c r="P45" s="157"/>
      <c r="Q45" s="31"/>
      <c r="R45" s="100" t="str">
        <f>VLOOKUP(C45,'Train Runs'!$A$13:$AE$9975,31,0)</f>
        <v>aws s3 cp s3://rtdc.mdm.uploadarchive.raw/RTDC4054/ "%USERPROFILE%\AppData\Local\Temp\OnboardLogs"\RTDC4054\2016-12-22 --exclude "*" --recursive --include "*20161222*" &amp; "%USERPROFILE%\Documents\GitHub\mrs-test-scripts\Headless Mode &amp; Sideloading\WalkAndUnGZ.bat" "%USERPROFILE%\AppData\Local\Temp\OnboardLogs"\RTDC4054\2016-12-22 &amp; aws s3 cp s3://rtdc.mdm.uploadarchive.raw/RTDC4054/ "%USERPROFILE%\AppData\Local\Temp\OnboardLogs"\RTDC4054\2016-12-23 --exclude "*" --recursive --include "*20161223*" &amp; "%USERPROFILE%\Documents\GitHub\mrs-test-scripts\Headless Mode &amp; Sideloading\WalkAndUnGZ.bat" "%USERPROFILE%\AppData\Local\Temp\OnboardLogs"\RTDC4054\2016-12-23</v>
      </c>
      <c r="S45" s="103" t="str">
        <f>VLOOKUP(C45,'Train Runs'!$A$13:$AE$9975,22,0)</f>
        <v>https://search-rtdc-monitor-bjffxe2xuh6vdkpspy63sjmuny.us-east-1.es.amazonaws.com/_plugin/kibana/#/discover/Steve-Slow-Train-Analysis-(2080s-and-2083s)?_g=(refreshInterval:(display:Off,section:0,value:0),time:(from:'2016-12-22 16:04:17-700',mode:absolute,to:'2016-12-22 18:15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45" s="105" t="str">
        <f t="shared" si="1"/>
        <v>"C:\Program Files (x86)\AstroGrep\AstroGrep.exe" /spath="%USERPROFILE%\AppData\Local\Temp\OnboardLogs" /stypes="*4054*201612230*" /stext=" 00:.+((SYSTEM_STATE.+slice.+state.+changed )|(ment ac)|(multiple cpu faults)|(system.+state.+changed )|(\[timeout)|(PRM\|1\|D)|(kpr)|(kdp)|(\|lc)|(penalty))" /e /r /s</v>
      </c>
      <c r="U45" s="9" t="str">
        <f t="shared" si="2"/>
        <v>4054</v>
      </c>
      <c r="V45" s="36">
        <f t="shared" si="3"/>
        <v>42727.007708333331</v>
      </c>
      <c r="W45" s="50" t="str">
        <f t="shared" si="4"/>
        <v>Other</v>
      </c>
      <c r="X45" s="50" t="str">
        <f t="shared" si="5"/>
        <v>KEEP</v>
      </c>
      <c r="Y45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{"issue":{"subject":"","project_id":79,"tracker_id":40,"status_id":1,"priority_id":2,"assigned_to_id":23,"start_date":"2016-12-22","description":"","custom_fields":[{"id":1,"name":"Subdivision","value":"Other"},{"id":4,"name":"Milepost","value":"1.1016"},{"id":17,"name":"Train ID","value":"56-22"},{"id":16,"name":"Locomotive ID","value":"4054"},{"id":130,"name":"Impact","value":""},{"id":150,"name":"Time of Event (Mountain Time)","value":"17:11:06"},{"id":151,"name":"Denver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7"/>
        <v>grep -hSE -A100 "Enforcement Action" "%USERPROFILE%\AppData\Local\Temp\OnboardLogs"\RTDC4054\*4054*201612230*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"%USERPROFILE%\AppData\Local\Temp\OnboardLogs"\RTDC4054\*4054*201612230* &gt;&gt; 42726-slicedisagreementcheck.txt</v>
      </c>
    </row>
    <row r="46" spans="1:30" x14ac:dyDescent="0.25">
      <c r="A46" s="36">
        <v>42726.94835648148</v>
      </c>
      <c r="B46" s="31" t="s">
        <v>207</v>
      </c>
      <c r="C46" s="31" t="s">
        <v>480</v>
      </c>
      <c r="D46" s="31" t="s">
        <v>49</v>
      </c>
      <c r="E46" s="31" t="s">
        <v>198</v>
      </c>
      <c r="F46" s="47">
        <v>0</v>
      </c>
      <c r="G46" s="47">
        <v>302</v>
      </c>
      <c r="H46" s="47">
        <v>34744</v>
      </c>
      <c r="I46" s="47">
        <v>34208</v>
      </c>
      <c r="J46" s="31" t="s">
        <v>199</v>
      </c>
      <c r="K46" s="47">
        <v>33261</v>
      </c>
      <c r="L46" s="154" t="s">
        <v>51</v>
      </c>
      <c r="M46" s="155">
        <f t="shared" si="0"/>
        <v>500.01600000000002</v>
      </c>
      <c r="N46" s="156" t="str">
        <f>VLOOKUP(C46,'Trips&amp;Operators'!$C$1:$G$99999,5,FALSE)</f>
        <v>YANG JAN</v>
      </c>
      <c r="O46" s="183" t="s">
        <v>195</v>
      </c>
      <c r="P46" s="157"/>
      <c r="Q46" s="31"/>
      <c r="R46" s="100" t="str">
        <f>VLOOKUP(C46,'Train Runs'!$A$13:$AE$9975,31,0)</f>
        <v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v>
      </c>
      <c r="S46" s="103" t="str">
        <f>VLOOKUP(C46,'Train Runs'!$A$13:$AE$9975,22,0)</f>
        <v>https://search-rtdc-monitor-bjffxe2xuh6vdkpspy63sjmuny.us-east-1.es.amazonaws.com/_plugin/kibana/#/discover/Steve-Slow-Train-Analysis-(2080s-and-2083s)?_g=(refreshInterval:(display:Off,section:0,value:0),time:(from:'2016-12-22 21:38:21-700',mode:absolute,to:'1969-12-31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46" s="105" t="str">
        <f t="shared" si="1"/>
        <v>"C:\Program Files (x86)\AstroGrep\AstroGrep.exe" /spath="%USERPROFILE%\AppData\Local\Temp\OnboardLogs" /stypes="*4039*201612230*" /stext=" 05:.+((SYSTEM_STATE.+slice.+state.+changed )|(ment ac)|(multiple cpu faults)|(system.+state.+changed )|(\[timeout)|(PRM\|1\|D)|(kpr)|(kdp)|(\|lc)|(penalty))" /e /r /s</v>
      </c>
      <c r="U46" s="9" t="str">
        <f t="shared" si="2"/>
        <v>4039</v>
      </c>
      <c r="V46" s="36">
        <f t="shared" si="3"/>
        <v>42727.240023148144</v>
      </c>
      <c r="W46" s="50" t="str">
        <f t="shared" si="4"/>
        <v>Other</v>
      </c>
      <c r="X46" s="50" t="str">
        <f t="shared" si="5"/>
        <v>KEEP</v>
      </c>
      <c r="Y46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{"issue":{"subject":"","project_id":79,"tracker_id":40,"status_id":1,"priority_id":2,"assigned_to_id":23,"start_date":"2016-12-22","description":"","custom_fields":[{"id":1,"name":"Subdivision","value":"Other"},{"id":4,"name":"Milepost","value":"3.3261"},{"id":17,"name":"Train ID","value":"908-22"},{"id":16,"name":"Locomotive ID","value":"4039"},{"id":130,"name":"Impact","value":""},{"id":150,"name":"Time of Event (Mountain Time)","value":"22:45:38"},{"id":151,"name":"Denver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7"/>
        <v>grep -hSE -A100 "Enforcement Action" "%USERPROFILE%\AppData\Local\Temp\OnboardLogs"\RTDC4039\*4039*201612230*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"%USERPROFILE%\AppData\Local\Temp\OnboardLogs"\RTDC4039\*4039*201612230* &gt;&gt; 42726-slicedisagreementcheck.txt</v>
      </c>
    </row>
    <row r="47" spans="1:30" x14ac:dyDescent="0.25">
      <c r="A47" s="36">
        <v>42726.648946759262</v>
      </c>
      <c r="B47" s="31" t="s">
        <v>303</v>
      </c>
      <c r="C47" s="31" t="s">
        <v>463</v>
      </c>
      <c r="D47" s="31" t="s">
        <v>49</v>
      </c>
      <c r="E47" s="31" t="s">
        <v>200</v>
      </c>
      <c r="F47" s="47">
        <v>0</v>
      </c>
      <c r="G47" s="47">
        <v>11</v>
      </c>
      <c r="H47" s="47">
        <v>601</v>
      </c>
      <c r="I47" s="47">
        <v>596</v>
      </c>
      <c r="J47" s="31" t="s">
        <v>201</v>
      </c>
      <c r="K47" s="47">
        <v>575</v>
      </c>
      <c r="L47" s="154" t="s">
        <v>51</v>
      </c>
      <c r="M47" s="155">
        <f t="shared" si="0"/>
        <v>11.087999999999999</v>
      </c>
      <c r="N47" s="156" t="str">
        <f>VLOOKUP(C47,'Trips&amp;Operators'!$C$1:$G$99999,5,FALSE)</f>
        <v>YANG JAN</v>
      </c>
      <c r="O47" s="183" t="s">
        <v>195</v>
      </c>
      <c r="P47" s="157"/>
      <c r="Q47" s="31"/>
      <c r="R47" s="100" t="str">
        <f>VLOOKUP(C47,'Train Runs'!$A$13:$AE$9975,31,0)</f>
        <v>aws s3 cp s3://rtdc.mdm.uploadarchive.raw/RTDC4043/ "%USERPROFILE%\AppData\Local\Temp\OnboardLogs"\RTDC4043\2016-12-22 --exclude "*" --recursive --include "*20161222*" &amp; "%USERPROFILE%\Documents\GitHub\mrs-test-scripts\Headless Mode &amp; Sideloading\WalkAndUnGZ.bat" "%USERPROFILE%\AppData\Local\Temp\OnboardLogs"\RTDC4043\2016-12-22 &amp; aws s3 cp s3://rtdc.mdm.uploadarchive.raw/RTDC4043/ "%USERPROFILE%\AppData\Local\Temp\OnboardLogs"\RTDC4043\2016-12-23 --exclude "*" --recursive --include "*20161223*" &amp; "%USERPROFILE%\Documents\GitHub\mrs-test-scripts\Headless Mode &amp; Sideloading\WalkAndUnGZ.bat" "%USERPROFILE%\AppData\Local\Temp\OnboardLogs"\RTDC4043\2016-12-23</v>
      </c>
      <c r="S47" s="103" t="str">
        <f>VLOOKUP(C47,'Train Runs'!$A$13:$AE$9975,22,0)</f>
        <v>https://search-rtdc-monitor-bjffxe2xuh6vdkpspy63sjmuny.us-east-1.es.amazonaws.com/_plugin/kibana/#/discover/Steve-Slow-Train-Analysis-(2080s-and-2083s)?_g=(refreshInterval:(display:Off,section:0,value:0),time:(from:'2016-12-22 14:23:10-700',mode:absolute,to:'2016-12-22 16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7" s="105" t="str">
        <f t="shared" si="1"/>
        <v>"C:\Program Files (x86)\AstroGrep\AstroGrep.exe" /spath="%USERPROFILE%\AppData\Local\Temp\OnboardLogs" /stypes="*4043*201612222*" /stext=" 22:.+((SYSTEM_STATE.+slice.+state.+changed )|(ment ac)|(multiple cpu faults)|(system.+state.+changed )|(\[timeout)|(PRM\|1\|D)|(kpr)|(kdp)|(\|lc)|(penalty))" /e /r /s</v>
      </c>
      <c r="U47" s="9" t="str">
        <f t="shared" si="2"/>
        <v>4043</v>
      </c>
      <c r="V47" s="36">
        <f t="shared" si="3"/>
        <v>42726.940613425926</v>
      </c>
      <c r="W47" s="50" t="str">
        <f t="shared" si="4"/>
        <v>Other</v>
      </c>
      <c r="X47" s="50" t="str">
        <f t="shared" si="5"/>
        <v>KEEP</v>
      </c>
      <c r="Y47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{"issue":{"subject":"","project_id":79,"tracker_id":40,"status_id":1,"priority_id":2,"assigned_to_id":23,"start_date":"2016-12-22","description":"","custom_fields":[{"id":1,"name":"Subdivision","value":"Other"},{"id":4,"name":"Milepost","value":"0.0575"},{"id":17,"name":"Train ID","value":"904-22"},{"id":16,"name":"Locomotive ID","value":"4043"},{"id":130,"name":"Impact","value":""},{"id":150,"name":"Time of Event (Mountain Time)","value":"15:34:29"},{"id":151,"name":"Denver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7"/>
        <v>grep -hSE -A100 "Enforcement Action" "%USERPROFILE%\AppData\Local\Temp\OnboardLogs"\RTDC4043\*4043*201612222*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"%USERPROFILE%\AppData\Local\Temp\OnboardLogs"\RTDC4043\*4043*201612222* &gt;&gt; 42726-slicedisagreementcheck.txt</v>
      </c>
    </row>
    <row r="48" spans="1:30" x14ac:dyDescent="0.25">
      <c r="A48" s="36">
        <v>42726.294340277775</v>
      </c>
      <c r="B48" s="31" t="s">
        <v>300</v>
      </c>
      <c r="C48" s="31" t="s">
        <v>445</v>
      </c>
      <c r="D48" s="31" t="s">
        <v>49</v>
      </c>
      <c r="E48" s="31" t="s">
        <v>200</v>
      </c>
      <c r="F48" s="47">
        <v>0</v>
      </c>
      <c r="G48" s="47">
        <v>31</v>
      </c>
      <c r="H48" s="47">
        <v>902</v>
      </c>
      <c r="I48" s="47">
        <v>863</v>
      </c>
      <c r="J48" s="31" t="s">
        <v>201</v>
      </c>
      <c r="K48" s="47">
        <v>826</v>
      </c>
      <c r="L48" s="154" t="s">
        <v>51</v>
      </c>
      <c r="M48" s="155">
        <f t="shared" si="0"/>
        <v>19.536000000000001</v>
      </c>
      <c r="N48" s="156" t="str">
        <f>VLOOKUP(C48,'Trips&amp;Operators'!$C$1:$G$99999,5,FALSE)</f>
        <v>SPECTOR MICHAEL</v>
      </c>
      <c r="O48" s="183" t="s">
        <v>195</v>
      </c>
      <c r="P48" s="157"/>
      <c r="Q48" s="31"/>
      <c r="R48" s="100" t="str">
        <f>VLOOKUP(C48,'Train Runs'!$A$13:$AE$9975,31,0)</f>
        <v>aws s3 cp s3://rtdc.mdm.uploadarchive.raw/RTDC4028/ "%USERPROFILE%\AppData\Local\Temp\OnboardLogs"\RTDC4028\2016-12-22 --exclude "*" --recursive --include "*20161222*" &amp; "%USERPROFILE%\Documents\GitHub\mrs-test-scripts\Headless Mode &amp; Sideloading\WalkAndUnGZ.bat" "%USERPROFILE%\AppData\Local\Temp\OnboardLogs"\RTDC4028\2016-12-22 &amp; aws s3 cp s3://rtdc.mdm.uploadarchive.raw/RTDC4028/ "%USERPROFILE%\AppData\Local\Temp\OnboardLogs"\RTDC4028\2016-12-23 --exclude "*" --recursive --include "*20161223*" &amp; "%USERPROFILE%\Documents\GitHub\mrs-test-scripts\Headless Mode &amp; Sideloading\WalkAndUnGZ.bat" "%USERPROFILE%\AppData\Local\Temp\OnboardLogs"\RTDC4028\2016-12-23</v>
      </c>
      <c r="S48" s="103" t="str">
        <f>VLOOKUP(C48,'Train Runs'!$A$13:$AE$9975,22,0)</f>
        <v>https://search-rtdc-monitor-bjffxe2xuh6vdkpspy63sjmuny.us-east-1.es.amazonaws.com/_plugin/kibana/#/discover/Steve-Slow-Train-Analysis-(2080s-and-2083s)?_g=(refreshInterval:(display:Off,section:0,value:0),time:(from:'2016-12-22 05:51:01-700',mode:absolute,to:'2016-12-22 08:03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T48" s="105" t="str">
        <f t="shared" si="1"/>
        <v>"C:\Program Files (x86)\AstroGrep\AstroGrep.exe" /spath="%USERPROFILE%\AppData\Local\Temp\OnboardLogs" /stypes="*4028*201612221*" /stext=" 14:.+((SYSTEM_STATE.+slice.+state.+changed )|(ment ac)|(multiple cpu faults)|(system.+state.+changed )|(\[timeout)|(PRM\|1\|D)|(kpr)|(kdp)|(\|lc)|(penalty))" /e /r /s</v>
      </c>
      <c r="U48" s="9" t="str">
        <f t="shared" si="2"/>
        <v>4028</v>
      </c>
      <c r="V48" s="36">
        <f t="shared" si="3"/>
        <v>42726.586006944439</v>
      </c>
      <c r="W48" s="50" t="str">
        <f t="shared" si="4"/>
        <v>Other</v>
      </c>
      <c r="X48" s="50" t="str">
        <f t="shared" si="5"/>
        <v>KEEP</v>
      </c>
      <c r="Y48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{"issue":{"subject":"","project_id":79,"tracker_id":40,"status_id":1,"priority_id":2,"assigned_to_id":23,"start_date":"2016-12-22","description":"","custom_fields":[{"id":1,"name":"Subdivision","value":"Other"},{"id":4,"name":"Milepost","value":"0.0826"},{"id":17,"name":"Train ID","value":"52-22"},{"id":16,"name":"Locomotive ID","value":"4028"},{"id":130,"name":"Impact","value":""},{"id":150,"name":"Time of Event (Mountain Time)","value":"07:03:51"},{"id":151,"name":"Denver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7"/>
        <v>grep -hSE -A100 "Enforcement Action" "%USERPROFILE%\AppData\Local\Temp\OnboardLogs"\RTDC4028\*4028*201612221*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"%USERPROFILE%\AppData\Local\Temp\OnboardLogs"\RTDC4028\*4028*201612221* &gt;&gt; 42726-slicedisagreementcheck.txt</v>
      </c>
    </row>
    <row r="49" spans="1:30" x14ac:dyDescent="0.25">
      <c r="A49" s="36">
        <v>42726.778333333335</v>
      </c>
      <c r="B49" s="31" t="s">
        <v>271</v>
      </c>
      <c r="C49" s="31" t="s">
        <v>474</v>
      </c>
      <c r="D49" s="31" t="s">
        <v>98</v>
      </c>
      <c r="E49" s="31" t="s">
        <v>200</v>
      </c>
      <c r="F49" s="47">
        <v>0</v>
      </c>
      <c r="G49" s="47">
        <v>9</v>
      </c>
      <c r="H49" s="47">
        <v>839</v>
      </c>
      <c r="I49" s="47">
        <v>0</v>
      </c>
      <c r="J49" s="31" t="s">
        <v>201</v>
      </c>
      <c r="K49" s="47">
        <v>839</v>
      </c>
      <c r="L49" s="154" t="s">
        <v>51</v>
      </c>
      <c r="M49" s="155">
        <f t="shared" si="0"/>
        <v>-442.99200000000002</v>
      </c>
      <c r="N49" s="156" t="str">
        <f>VLOOKUP(C49,'Trips&amp;Operators'!$C$1:$G$99999,5,FALSE)</f>
        <v>PERKINS DARREN</v>
      </c>
      <c r="O49" s="183" t="s">
        <v>195</v>
      </c>
      <c r="P49" s="157"/>
      <c r="Q49" s="31"/>
      <c r="R49" s="100" t="str">
        <f>VLOOKUP(C49,'Train Runs'!$A$13:$AE$9975,31,0)</f>
        <v>aws s3 cp s3://rtdc.mdm.uploadarchive.raw/RTDC4004/ "%USERPROFILE%\AppData\Local\Temp\OnboardLogs"\RTDC4004\2016-12-22 --exclude "*" --recursive --include "*20161222*" &amp; "%USERPROFILE%\Documents\GitHub\mrs-test-scripts\Headless Mode &amp; Sideloading\WalkAndUnGZ.bat" "%USERPROFILE%\AppData\Local\Temp\OnboardLogs"\RTDC4004\2016-12-22 &amp; aws s3 cp s3://rtdc.mdm.uploadarchive.raw/RTDC4004/ "%USERPROFILE%\AppData\Local\Temp\OnboardLogs"\RTDC4004\2016-12-23 --exclude "*" --recursive --include "*20161223*" &amp; "%USERPROFILE%\Documents\GitHub\mrs-test-scripts\Headless Mode &amp; Sideloading\WalkAndUnGZ.bat" "%USERPROFILE%\AppData\Local\Temp\OnboardLogs"\RTDC4004\2016-12-23</v>
      </c>
      <c r="S49" s="103" t="str">
        <f>VLOOKUP(C49,'Train Runs'!$A$13:$AE$9975,22,0)</f>
        <v>https://search-rtdc-monitor-bjffxe2xuh6vdkpspy63sjmuny.us-east-1.es.amazonaws.com/_plugin/kibana/#/discover/Steve-Slow-Train-Analysis-(2080s-and-2083s)?_g=(refreshInterval:(display:Off,section:0,value:0),time:(from:'2016-12-22 17:23:07-700',mode:absolute,to:'2016-12-22 19:40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9" s="105" t="str">
        <f t="shared" si="1"/>
        <v>"C:\Program Files (x86)\AstroGrep\AstroGrep.exe" /spath="%USERPROFILE%\AppData\Local\Temp\OnboardLogs" /stypes="*4004*201612230*" /stext=" 01:.+((SYSTEM_STATE.+slice.+state.+changed )|(ment ac)|(multiple cpu faults)|(system.+state.+changed )|(\[timeout)|(PRM\|1\|D)|(kpr)|(kdp)|(\|lc)|(penalty))" /e /r /s</v>
      </c>
      <c r="U49" s="9" t="str">
        <f t="shared" si="2"/>
        <v>4004</v>
      </c>
      <c r="V49" s="36">
        <f t="shared" si="3"/>
        <v>42727.07</v>
      </c>
      <c r="W49" s="50" t="str">
        <f t="shared" si="4"/>
        <v>Other</v>
      </c>
      <c r="X49" s="50" t="str">
        <f t="shared" si="5"/>
        <v>OMIT</v>
      </c>
      <c r="Y49" s="119" t="str">
        <f t="shared" si="6"/>
        <v>echo {"issue":{"subject":"","project_id":79,"tracker_id":40,"status_id":1,"priority_id":2,"assigned_to_id":23,"start_date":"2016-12-22","description":"","custom_fields":[{"id":1,"name":"Subdivision","value":"Other"},{"id":4,"name":"Milepost","value":"0.0839"},{"id":17,"name":"Train ID","value":"60-22"},{"id":16,"name":"Locomotive ID","value":"4004"},{"id":130,"name":"Impact","value":""},{"id":150,"name":"Time of Event (Mountain Time)","value":"18:40:48"},{"id":151,"name":"Denver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7"/>
        <v>grep -hSE -A100 "Enforcement Action" "%USERPROFILE%\AppData\Local\Temp\OnboardLogs"\RTDC4004\*4004*201612230*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"%USERPROFILE%\AppData\Local\Temp\OnboardLogs"\RTDC4004\*4004*201612230* &gt;&gt; 42726-slicedisagreementcheck.txt</v>
      </c>
    </row>
    <row r="50" spans="1:30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30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30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30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30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30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30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9">
      <sortCondition ref="V6:V44"/>
    </sortState>
  </autoFilter>
  <sortState ref="A7:AD49">
    <sortCondition ref="W7:W49"/>
    <sortCondition ref="E7:E49"/>
    <sortCondition ref="K7:K49"/>
    <sortCondition ref="C7:C49"/>
    <sortCondition ref="F7:F49"/>
  </sortState>
  <mergeCells count="1">
    <mergeCell ref="A5:O5"/>
  </mergeCells>
  <conditionalFormatting sqref="O6:P6 R6 O74:O1048576 O7:O4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9">
    <cfRule type="expression" dxfId="1" priority="20">
      <formula>$O7="Y"</formula>
    </cfRule>
  </conditionalFormatting>
  <hyperlinks>
    <hyperlink ref="Z2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AA7:AA49</xm:sqref>
        </x14:dataValidation>
        <x14:dataValidation type="list" allowBlank="1" showInputMessage="1" showErrorMessage="1">
          <x14:formula1>
            <xm:f>'Redmine List Values'!$C$2:$C$15</xm:f>
          </x14:formula1>
          <xm:sqref>AB7:AB49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6"/>
  <sheetViews>
    <sheetView workbookViewId="0">
      <selection activeCell="A3" sqref="A3:XFD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2016-12-22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-22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3" s="31" t="e">
        <f>VLOOKUP(B3,'Train Runs'!$A$13:$A$99972,1,FALSE)</f>
        <v>#N/A</v>
      </c>
      <c r="K3" s="31" t="e">
        <f>IF(VLOOKUP(A3,$K$24:$K$47,1,FALSE),"Cancelled")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-22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ref="I4:I16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4" s="31" t="e">
        <f>VLOOKUP(B4,'Train Runs'!$A$13:$A$99972,1,FALSE)</f>
        <v>#N/A</v>
      </c>
      <c r="K4" s="31" t="e">
        <f t="shared" ref="K4:K16" si="2">IF(VLOOKUP(A4,$K$24:$K$47,1,FALSE),"Cancelled")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-22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5" s="31" t="e">
        <f>VLOOKUP(B5,'Train Runs'!$A$13:$A$99972,1,FALSE)</f>
        <v>#N/A</v>
      </c>
      <c r="K5" s="31" t="e">
        <f t="shared" si="2"/>
        <v>#N/A</v>
      </c>
    </row>
    <row r="6" spans="1:11" x14ac:dyDescent="0.25">
      <c r="A6" s="171"/>
      <c r="B6" s="47" t="str">
        <f>A6&amp;"-"&amp;IF(DAY(Variables!$A$2)&lt;10,0,"")&amp;DAY(Variables!$A$2)</f>
        <v>-22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6" s="31" t="e">
        <f>VLOOKUP(B6,'Train Runs'!$A$13:$A$99972,1,FALSE)</f>
        <v>#N/A</v>
      </c>
      <c r="K6" s="31" t="e">
        <f t="shared" si="2"/>
        <v>#N/A</v>
      </c>
    </row>
    <row r="7" spans="1:11" x14ac:dyDescent="0.25">
      <c r="A7" s="171"/>
      <c r="B7" s="47" t="str">
        <f>A7&amp;"-"&amp;IF(DAY(Variables!$A$2)&lt;10,0,"")&amp;DAY(Variables!$A$2)</f>
        <v>-22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7" s="31" t="e">
        <f>VLOOKUP(B7,'Train Runs'!$A$13:$A$99972,1,FALSE)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-22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8" s="31" t="e">
        <f>VLOOKUP(B8,'Train Runs'!$A$13:$A$99972,1,FALSE)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-22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9" s="31" t="e">
        <f>VLOOKUP(B9,'Train Runs'!$A$13:$A$99972,1,FALSE)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-22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0" s="31" t="e">
        <f>VLOOKUP(B10,'Train Runs'!$A$13:$A$99972,1,FALSE)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-22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1" s="31" t="e">
        <f>VLOOKUP(B11,'Train Runs'!$A$13:$A$99972,1,FALSE)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-22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2" s="31" t="e">
        <f>VLOOKUP(B12,'Train Runs'!$A$13:$A$99972,1,FALSE)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-22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3" s="31" t="e">
        <f>VLOOKUP(B13,'Train Runs'!$A$13:$A$99972,1,FALSE)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-22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4" s="31" t="e">
        <f>VLOOKUP(B14,'Train Runs'!$A$13:$A$99972,1,FALSE)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-22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5" s="31" t="e">
        <f>VLOOKUP(B15,'Train Runs'!$A$13:$A$99972,1,FALSE)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-22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-22%22)),sort:!(Time,asc))</v>
      </c>
      <c r="J16" s="31" t="e">
        <f>VLOOKUP(B16,'Train Runs'!$A$13:$A$99972,1,FALSE)</f>
        <v>#N/A</v>
      </c>
      <c r="K16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42726.037939814814</v>
      </c>
      <c r="B2" s="21" t="s">
        <v>381</v>
      </c>
      <c r="C2" s="21" t="s">
        <v>382</v>
      </c>
      <c r="D2" s="164">
        <v>2540000</v>
      </c>
      <c r="E2" s="21" t="s">
        <v>308</v>
      </c>
      <c r="F2" s="21" t="s">
        <v>309</v>
      </c>
      <c r="G2" s="8" t="str">
        <f>E2&amp;" "&amp;F2</f>
        <v>MCREYNOLDS KYLE</v>
      </c>
    </row>
    <row r="3" spans="1:7" x14ac:dyDescent="0.25">
      <c r="A3" s="8">
        <v>42726.038831018515</v>
      </c>
      <c r="B3" s="21" t="s">
        <v>381</v>
      </c>
      <c r="C3" s="21" t="s">
        <v>382</v>
      </c>
      <c r="D3" s="164">
        <v>2540000</v>
      </c>
      <c r="E3" s="21" t="s">
        <v>308</v>
      </c>
      <c r="F3" s="21" t="s">
        <v>309</v>
      </c>
      <c r="G3" s="8" t="str">
        <f t="shared" ref="G3:G66" si="0">E3&amp;" "&amp;F3</f>
        <v>MCREYNOLDS KYLE</v>
      </c>
    </row>
    <row r="4" spans="1:7" x14ac:dyDescent="0.25">
      <c r="A4" s="8">
        <v>42726.039502314816</v>
      </c>
      <c r="B4" s="21" t="s">
        <v>381</v>
      </c>
      <c r="C4" s="21" t="s">
        <v>382</v>
      </c>
      <c r="D4" s="164">
        <v>2540000</v>
      </c>
      <c r="E4" s="21" t="s">
        <v>308</v>
      </c>
      <c r="F4" s="21" t="s">
        <v>309</v>
      </c>
      <c r="G4" s="8" t="str">
        <f t="shared" si="0"/>
        <v>MCREYNOLDS KYLE</v>
      </c>
    </row>
    <row r="5" spans="1:7" x14ac:dyDescent="0.25">
      <c r="A5" s="8">
        <v>42726.041226851848</v>
      </c>
      <c r="B5" s="21" t="s">
        <v>233</v>
      </c>
      <c r="C5" s="21" t="s">
        <v>383</v>
      </c>
      <c r="D5" s="164">
        <v>2620000</v>
      </c>
      <c r="E5" s="21" t="s">
        <v>384</v>
      </c>
      <c r="F5" s="21" t="s">
        <v>385</v>
      </c>
      <c r="G5" s="8" t="str">
        <f t="shared" si="0"/>
        <v>PERKINS DARREN</v>
      </c>
    </row>
    <row r="6" spans="1:7" x14ac:dyDescent="0.25">
      <c r="A6" s="8">
        <v>42726.061145833337</v>
      </c>
      <c r="B6" s="21" t="s">
        <v>301</v>
      </c>
      <c r="C6" s="21" t="s">
        <v>386</v>
      </c>
      <c r="D6" s="164">
        <v>2270000</v>
      </c>
      <c r="E6" s="21" t="s">
        <v>379</v>
      </c>
      <c r="F6" s="21" t="s">
        <v>380</v>
      </c>
      <c r="G6" s="8" t="str">
        <f t="shared" si="0"/>
        <v>BROWN JACOB</v>
      </c>
    </row>
    <row r="7" spans="1:7" x14ac:dyDescent="0.25">
      <c r="A7" s="8">
        <v>42726.06827546296</v>
      </c>
      <c r="B7" s="21" t="s">
        <v>387</v>
      </c>
      <c r="C7" s="21" t="s">
        <v>388</v>
      </c>
      <c r="D7" s="164">
        <v>2540000</v>
      </c>
      <c r="E7" s="21" t="s">
        <v>308</v>
      </c>
      <c r="F7" s="21" t="s">
        <v>309</v>
      </c>
      <c r="G7" s="8" t="str">
        <f t="shared" si="0"/>
        <v>MCREYNOLDS KYLE</v>
      </c>
    </row>
    <row r="8" spans="1:7" x14ac:dyDescent="0.25">
      <c r="A8" s="8">
        <v>42726.074814814812</v>
      </c>
      <c r="B8" s="21" t="s">
        <v>232</v>
      </c>
      <c r="C8" s="21" t="s">
        <v>389</v>
      </c>
      <c r="D8" s="164">
        <v>2620000</v>
      </c>
      <c r="E8" s="21" t="s">
        <v>384</v>
      </c>
      <c r="F8" s="21" t="s">
        <v>385</v>
      </c>
      <c r="G8" s="8" t="str">
        <f t="shared" si="0"/>
        <v>PERKINS DARREN</v>
      </c>
    </row>
    <row r="9" spans="1:7" ht="15.75" thickBot="1" x14ac:dyDescent="0.3">
      <c r="A9" s="25">
        <v>42726.078055555554</v>
      </c>
      <c r="B9" s="21" t="s">
        <v>381</v>
      </c>
      <c r="C9" s="21" t="s">
        <v>382</v>
      </c>
      <c r="D9" s="164">
        <v>2540000</v>
      </c>
      <c r="E9" s="21" t="s">
        <v>308</v>
      </c>
      <c r="F9" s="21" t="s">
        <v>309</v>
      </c>
      <c r="G9" s="8" t="str">
        <f t="shared" si="0"/>
        <v>MCREYNOLDS KYLE</v>
      </c>
    </row>
    <row r="10" spans="1:7" x14ac:dyDescent="0.25">
      <c r="A10" s="8">
        <v>42726.086319444446</v>
      </c>
      <c r="B10" s="21" t="s">
        <v>233</v>
      </c>
      <c r="C10" s="21" t="s">
        <v>383</v>
      </c>
      <c r="D10" s="164">
        <v>2620000</v>
      </c>
      <c r="E10" s="21" t="s">
        <v>384</v>
      </c>
      <c r="F10" s="21" t="s">
        <v>385</v>
      </c>
      <c r="G10" s="8" t="str">
        <f t="shared" si="0"/>
        <v>PERKINS DARREN</v>
      </c>
    </row>
    <row r="11" spans="1:7" x14ac:dyDescent="0.25">
      <c r="A11" s="8">
        <v>42726.101724537039</v>
      </c>
      <c r="B11" s="21" t="s">
        <v>387</v>
      </c>
      <c r="C11" s="21" t="s">
        <v>388</v>
      </c>
      <c r="D11" s="164">
        <v>2540000</v>
      </c>
      <c r="E11" s="21" t="s">
        <v>308</v>
      </c>
      <c r="F11" s="21" t="s">
        <v>309</v>
      </c>
      <c r="G11" s="8" t="str">
        <f t="shared" si="0"/>
        <v>MCREYNOLDS KYLE</v>
      </c>
    </row>
    <row r="12" spans="1:7" x14ac:dyDescent="0.25">
      <c r="A12" s="8">
        <v>42726.104479166665</v>
      </c>
      <c r="B12" s="21" t="s">
        <v>232</v>
      </c>
      <c r="C12" s="21" t="s">
        <v>389</v>
      </c>
      <c r="D12" s="164">
        <v>2620000</v>
      </c>
      <c r="E12" s="21" t="s">
        <v>384</v>
      </c>
      <c r="F12" s="21" t="s">
        <v>385</v>
      </c>
      <c r="G12" s="8" t="str">
        <f t="shared" si="0"/>
        <v>PERKINS DARREN</v>
      </c>
    </row>
    <row r="13" spans="1:7" x14ac:dyDescent="0.25">
      <c r="A13" s="8">
        <v>42726.111932870372</v>
      </c>
      <c r="B13" s="21" t="s">
        <v>381</v>
      </c>
      <c r="C13" s="21" t="s">
        <v>382</v>
      </c>
      <c r="D13" s="164">
        <v>2540000</v>
      </c>
      <c r="E13" s="21" t="s">
        <v>308</v>
      </c>
      <c r="F13" s="21" t="s">
        <v>309</v>
      </c>
      <c r="G13" s="8" t="str">
        <f t="shared" si="0"/>
        <v>MCREYNOLDS KYLE</v>
      </c>
    </row>
    <row r="14" spans="1:7" x14ac:dyDescent="0.25">
      <c r="A14" s="8">
        <v>42726.114270833335</v>
      </c>
      <c r="B14" s="21" t="s">
        <v>275</v>
      </c>
      <c r="C14" s="21" t="s">
        <v>390</v>
      </c>
      <c r="D14" s="164">
        <v>2100000</v>
      </c>
      <c r="E14" s="21" t="s">
        <v>365</v>
      </c>
      <c r="F14" s="21" t="s">
        <v>366</v>
      </c>
      <c r="G14" s="8" t="str">
        <f t="shared" si="0"/>
        <v>ISHMAEL JOSEPH</v>
      </c>
    </row>
    <row r="15" spans="1:7" x14ac:dyDescent="0.25">
      <c r="A15" s="8">
        <v>42726.11650462963</v>
      </c>
      <c r="B15" s="21" t="s">
        <v>233</v>
      </c>
      <c r="C15" s="21" t="s">
        <v>383</v>
      </c>
      <c r="D15" s="164">
        <v>2620000</v>
      </c>
      <c r="E15" s="21" t="s">
        <v>384</v>
      </c>
      <c r="F15" s="21" t="s">
        <v>385</v>
      </c>
      <c r="G15" s="8" t="str">
        <f t="shared" si="0"/>
        <v>PERKINS DARREN</v>
      </c>
    </row>
    <row r="16" spans="1:7" x14ac:dyDescent="0.25">
      <c r="A16" s="8">
        <v>42726.125115740739</v>
      </c>
      <c r="B16" s="21" t="s">
        <v>225</v>
      </c>
      <c r="C16" s="21" t="s">
        <v>482</v>
      </c>
      <c r="D16" s="164">
        <v>2100000</v>
      </c>
      <c r="E16" s="21" t="s">
        <v>365</v>
      </c>
      <c r="F16" s="21" t="s">
        <v>366</v>
      </c>
      <c r="G16" s="8" t="str">
        <f t="shared" si="0"/>
        <v>ISHMAEL JOSEPH</v>
      </c>
    </row>
    <row r="17" spans="1:7" x14ac:dyDescent="0.25">
      <c r="A17" s="8">
        <v>42726.126620370371</v>
      </c>
      <c r="B17" s="21" t="s">
        <v>387</v>
      </c>
      <c r="C17" s="21" t="s">
        <v>388</v>
      </c>
      <c r="D17" s="164">
        <v>2540000</v>
      </c>
      <c r="E17" s="21" t="s">
        <v>308</v>
      </c>
      <c r="F17" s="21" t="s">
        <v>309</v>
      </c>
      <c r="G17" s="8" t="str">
        <f t="shared" si="0"/>
        <v>MCREYNOLDS KYLE</v>
      </c>
    </row>
    <row r="18" spans="1:7" x14ac:dyDescent="0.25">
      <c r="A18" s="8">
        <v>42726.137442129628</v>
      </c>
      <c r="B18" s="21" t="s">
        <v>381</v>
      </c>
      <c r="C18" s="21" t="s">
        <v>382</v>
      </c>
      <c r="D18" s="164">
        <v>2540000</v>
      </c>
      <c r="E18" s="21" t="s">
        <v>308</v>
      </c>
      <c r="F18" s="21" t="s">
        <v>309</v>
      </c>
      <c r="G18" s="8" t="str">
        <f t="shared" si="0"/>
        <v>MCREYNOLDS KYLE</v>
      </c>
    </row>
    <row r="19" spans="1:7" x14ac:dyDescent="0.25">
      <c r="A19" s="8">
        <v>42726.138993055552</v>
      </c>
      <c r="B19" s="21" t="s">
        <v>381</v>
      </c>
      <c r="C19" s="21" t="s">
        <v>382</v>
      </c>
      <c r="D19" s="164">
        <v>2540000</v>
      </c>
      <c r="E19" s="21" t="s">
        <v>308</v>
      </c>
      <c r="F19" s="21" t="s">
        <v>309</v>
      </c>
      <c r="G19" s="8" t="str">
        <f t="shared" si="0"/>
        <v>MCREYNOLDS KYLE</v>
      </c>
    </row>
    <row r="20" spans="1:7" x14ac:dyDescent="0.25">
      <c r="A20" s="8">
        <v>42726.1403125</v>
      </c>
      <c r="B20" s="21" t="s">
        <v>381</v>
      </c>
      <c r="C20" s="21" t="s">
        <v>382</v>
      </c>
      <c r="D20" s="164">
        <v>2540000</v>
      </c>
      <c r="E20" s="21" t="s">
        <v>308</v>
      </c>
      <c r="F20" s="21" t="s">
        <v>309</v>
      </c>
      <c r="G20" s="8" t="str">
        <f t="shared" si="0"/>
        <v>MCREYNOLDS KYLE</v>
      </c>
    </row>
    <row r="21" spans="1:7" x14ac:dyDescent="0.25">
      <c r="A21" s="8">
        <v>42726.141006944446</v>
      </c>
      <c r="B21" s="21" t="s">
        <v>381</v>
      </c>
      <c r="C21" s="21" t="s">
        <v>382</v>
      </c>
      <c r="D21" s="164">
        <v>2540000</v>
      </c>
      <c r="E21" s="21" t="s">
        <v>308</v>
      </c>
      <c r="F21" s="21" t="s">
        <v>309</v>
      </c>
      <c r="G21" s="8" t="str">
        <f t="shared" si="0"/>
        <v>MCREYNOLDS KYLE</v>
      </c>
    </row>
    <row r="22" spans="1:7" x14ac:dyDescent="0.25">
      <c r="A22" s="27">
        <v>42726.143067129633</v>
      </c>
      <c r="B22" s="21" t="s">
        <v>381</v>
      </c>
      <c r="C22" s="21" t="s">
        <v>483</v>
      </c>
      <c r="D22" s="164">
        <v>2540000</v>
      </c>
      <c r="E22" s="21" t="s">
        <v>308</v>
      </c>
      <c r="F22" s="21" t="s">
        <v>309</v>
      </c>
      <c r="G22" s="8" t="str">
        <f t="shared" si="0"/>
        <v>MCREYNOLDS KYLE</v>
      </c>
    </row>
    <row r="23" spans="1:7" x14ac:dyDescent="0.25">
      <c r="A23" s="8">
        <v>42726.145486111112</v>
      </c>
      <c r="B23" s="21" t="s">
        <v>329</v>
      </c>
      <c r="C23" s="21" t="s">
        <v>441</v>
      </c>
      <c r="D23" s="164">
        <v>940000</v>
      </c>
      <c r="E23" s="21" t="s">
        <v>369</v>
      </c>
      <c r="F23" s="21" t="s">
        <v>370</v>
      </c>
      <c r="G23" s="8" t="str">
        <f t="shared" si="0"/>
        <v>BONDS REYNALDO</v>
      </c>
    </row>
    <row r="24" spans="1:7" x14ac:dyDescent="0.25">
      <c r="A24" s="8">
        <v>42726.146180555559</v>
      </c>
      <c r="B24" s="21" t="s">
        <v>329</v>
      </c>
      <c r="C24" s="21" t="s">
        <v>441</v>
      </c>
      <c r="D24" s="164">
        <v>940000</v>
      </c>
      <c r="E24" s="21" t="s">
        <v>369</v>
      </c>
      <c r="F24" s="21" t="s">
        <v>370</v>
      </c>
      <c r="G24" s="8" t="str">
        <f t="shared" si="0"/>
        <v>BONDS REYNALDO</v>
      </c>
    </row>
    <row r="25" spans="1:7" x14ac:dyDescent="0.25">
      <c r="A25" s="8">
        <v>42726.156631944446</v>
      </c>
      <c r="B25" s="21" t="s">
        <v>329</v>
      </c>
      <c r="C25" s="21" t="s">
        <v>441</v>
      </c>
      <c r="D25" s="164">
        <v>940000</v>
      </c>
      <c r="E25" s="21" t="s">
        <v>369</v>
      </c>
      <c r="F25" s="21" t="s">
        <v>370</v>
      </c>
      <c r="G25" s="8" t="str">
        <f t="shared" si="0"/>
        <v>BONDS REYNALDO</v>
      </c>
    </row>
    <row r="26" spans="1:7" x14ac:dyDescent="0.25">
      <c r="A26" s="8">
        <v>42726.160613425927</v>
      </c>
      <c r="B26" s="21" t="s">
        <v>236</v>
      </c>
      <c r="C26" s="21" t="s">
        <v>440</v>
      </c>
      <c r="D26" s="164">
        <v>2140000</v>
      </c>
      <c r="E26" s="21" t="s">
        <v>484</v>
      </c>
      <c r="F26" s="21" t="s">
        <v>485</v>
      </c>
      <c r="G26" s="8" t="str">
        <f t="shared" si="0"/>
        <v>ROBINSON KADDIBA</v>
      </c>
    </row>
    <row r="27" spans="1:7" x14ac:dyDescent="0.25">
      <c r="A27" s="8">
        <v>42726.17082175926</v>
      </c>
      <c r="B27" s="21" t="s">
        <v>259</v>
      </c>
      <c r="C27" s="21" t="s">
        <v>486</v>
      </c>
      <c r="D27" s="164">
        <v>2610000</v>
      </c>
      <c r="E27" s="21" t="s">
        <v>323</v>
      </c>
      <c r="F27" s="21" t="s">
        <v>324</v>
      </c>
      <c r="G27" s="8" t="str">
        <f t="shared" si="0"/>
        <v>MAGEE KENYA</v>
      </c>
    </row>
    <row r="28" spans="1:7" x14ac:dyDescent="0.25">
      <c r="A28" s="8">
        <v>42726.173159722224</v>
      </c>
      <c r="B28" s="21" t="s">
        <v>183</v>
      </c>
      <c r="C28" s="21" t="s">
        <v>487</v>
      </c>
      <c r="D28" s="164">
        <v>2140000</v>
      </c>
      <c r="E28" s="21" t="s">
        <v>484</v>
      </c>
      <c r="F28" s="21" t="s">
        <v>485</v>
      </c>
      <c r="G28" s="8" t="str">
        <f t="shared" si="0"/>
        <v>ROBINSON KADDIBA</v>
      </c>
    </row>
    <row r="29" spans="1:7" x14ac:dyDescent="0.25">
      <c r="A29" s="8">
        <v>42726.177002314813</v>
      </c>
      <c r="B29" s="21" t="s">
        <v>329</v>
      </c>
      <c r="C29" s="21" t="s">
        <v>441</v>
      </c>
      <c r="D29" s="164">
        <v>940000</v>
      </c>
      <c r="E29" s="21" t="s">
        <v>369</v>
      </c>
      <c r="F29" s="21" t="s">
        <v>370</v>
      </c>
      <c r="G29" s="8" t="str">
        <f t="shared" si="0"/>
        <v>BONDS REYNALDO</v>
      </c>
    </row>
    <row r="30" spans="1:7" x14ac:dyDescent="0.25">
      <c r="A30" s="8">
        <v>42726.177187499998</v>
      </c>
      <c r="B30" s="21" t="s">
        <v>275</v>
      </c>
      <c r="C30" s="21" t="s">
        <v>442</v>
      </c>
      <c r="D30" s="164">
        <v>2100000</v>
      </c>
      <c r="E30" s="21" t="s">
        <v>365</v>
      </c>
      <c r="F30" s="21" t="s">
        <v>366</v>
      </c>
      <c r="G30" s="8" t="str">
        <f t="shared" si="0"/>
        <v>ISHMAEL JOSEPH</v>
      </c>
    </row>
    <row r="31" spans="1:7" x14ac:dyDescent="0.25">
      <c r="A31" s="8">
        <v>42726.181203703702</v>
      </c>
      <c r="B31" s="21" t="s">
        <v>232</v>
      </c>
      <c r="C31" s="21" t="s">
        <v>383</v>
      </c>
      <c r="D31" s="164">
        <v>2620000</v>
      </c>
      <c r="E31" s="21" t="s">
        <v>384</v>
      </c>
      <c r="F31" s="21" t="s">
        <v>385</v>
      </c>
      <c r="G31" s="8" t="str">
        <f t="shared" si="0"/>
        <v>PERKINS DARREN</v>
      </c>
    </row>
    <row r="32" spans="1:7" x14ac:dyDescent="0.25">
      <c r="A32" s="8">
        <v>42726.181597222225</v>
      </c>
      <c r="B32" s="21" t="s">
        <v>257</v>
      </c>
      <c r="C32" s="21" t="s">
        <v>488</v>
      </c>
      <c r="D32" s="164">
        <v>2720000</v>
      </c>
      <c r="E32" s="21" t="s">
        <v>489</v>
      </c>
      <c r="F32" s="21" t="s">
        <v>490</v>
      </c>
      <c r="G32" s="8" t="str">
        <f t="shared" si="0"/>
        <v>SIMONEAUX TERA</v>
      </c>
    </row>
    <row r="33" spans="1:7" x14ac:dyDescent="0.25">
      <c r="A33" s="8">
        <v>42726.183831018519</v>
      </c>
      <c r="B33" s="21" t="s">
        <v>229</v>
      </c>
      <c r="C33" s="21" t="s">
        <v>491</v>
      </c>
      <c r="D33" s="164">
        <v>2610000</v>
      </c>
      <c r="E33" s="21" t="s">
        <v>323</v>
      </c>
      <c r="F33" s="21" t="s">
        <v>324</v>
      </c>
      <c r="G33" s="8" t="str">
        <f t="shared" si="0"/>
        <v>MAGEE KENYA</v>
      </c>
    </row>
    <row r="34" spans="1:7" x14ac:dyDescent="0.25">
      <c r="A34" s="8">
        <v>42726.196064814816</v>
      </c>
      <c r="B34" s="21" t="s">
        <v>243</v>
      </c>
      <c r="C34" s="21" t="s">
        <v>492</v>
      </c>
      <c r="D34" s="164">
        <v>2720000</v>
      </c>
      <c r="E34" s="21" t="s">
        <v>489</v>
      </c>
      <c r="F34" s="21" t="s">
        <v>490</v>
      </c>
      <c r="G34" s="8" t="str">
        <f t="shared" si="0"/>
        <v>SIMONEAUX TERA</v>
      </c>
    </row>
    <row r="35" spans="1:7" x14ac:dyDescent="0.25">
      <c r="A35" s="8">
        <v>42726.207129629627</v>
      </c>
      <c r="B35" s="21" t="s">
        <v>302</v>
      </c>
      <c r="C35" s="21" t="s">
        <v>493</v>
      </c>
      <c r="D35" s="164">
        <v>2020000</v>
      </c>
      <c r="E35" s="21" t="s">
        <v>494</v>
      </c>
      <c r="F35" s="21" t="s">
        <v>249</v>
      </c>
      <c r="G35" s="8" t="str">
        <f t="shared" si="0"/>
        <v>SHOOK JOHN</v>
      </c>
    </row>
    <row r="36" spans="1:7" x14ac:dyDescent="0.25">
      <c r="A36" s="8">
        <v>42726.208032407405</v>
      </c>
      <c r="B36" s="21" t="s">
        <v>387</v>
      </c>
      <c r="C36" s="21" t="s">
        <v>444</v>
      </c>
      <c r="D36" s="164">
        <v>2710000</v>
      </c>
      <c r="E36" s="21" t="s">
        <v>327</v>
      </c>
      <c r="F36" s="21" t="s">
        <v>328</v>
      </c>
      <c r="G36" s="8" t="str">
        <f t="shared" si="0"/>
        <v>SIMMONS SHYHESHA</v>
      </c>
    </row>
    <row r="37" spans="1:7" x14ac:dyDescent="0.25">
      <c r="A37" s="8">
        <v>42726.212488425925</v>
      </c>
      <c r="B37" s="21" t="s">
        <v>236</v>
      </c>
      <c r="C37" s="21" t="s">
        <v>495</v>
      </c>
      <c r="D37" s="164">
        <v>2140000</v>
      </c>
      <c r="E37" s="21" t="s">
        <v>484</v>
      </c>
      <c r="F37" s="21" t="s">
        <v>485</v>
      </c>
      <c r="G37" s="8" t="str">
        <f t="shared" si="0"/>
        <v>ROBINSON KADDIBA</v>
      </c>
    </row>
    <row r="38" spans="1:7" x14ac:dyDescent="0.25">
      <c r="A38" s="8">
        <v>42726.215543981481</v>
      </c>
      <c r="B38" s="21" t="s">
        <v>259</v>
      </c>
      <c r="C38" s="21" t="s">
        <v>496</v>
      </c>
      <c r="D38" s="164">
        <v>2610000</v>
      </c>
      <c r="E38" s="21" t="s">
        <v>323</v>
      </c>
      <c r="F38" s="21" t="s">
        <v>324</v>
      </c>
      <c r="G38" s="8" t="str">
        <f t="shared" si="0"/>
        <v>MAGEE KENYA</v>
      </c>
    </row>
    <row r="39" spans="1:7" x14ac:dyDescent="0.25">
      <c r="A39" s="8">
        <v>42726.215648148151</v>
      </c>
      <c r="B39" s="21" t="s">
        <v>303</v>
      </c>
      <c r="C39" s="21" t="s">
        <v>497</v>
      </c>
      <c r="D39" s="164">
        <v>2020000</v>
      </c>
      <c r="E39" s="21" t="s">
        <v>494</v>
      </c>
      <c r="F39" s="21" t="s">
        <v>249</v>
      </c>
      <c r="G39" s="8" t="str">
        <f t="shared" si="0"/>
        <v>SHOOK JOHN</v>
      </c>
    </row>
    <row r="40" spans="1:7" x14ac:dyDescent="0.25">
      <c r="A40" s="8">
        <v>42726.215787037036</v>
      </c>
      <c r="B40" s="26" t="s">
        <v>225</v>
      </c>
      <c r="C40" s="21" t="s">
        <v>443</v>
      </c>
      <c r="D40" s="164">
        <v>2100000</v>
      </c>
      <c r="E40" s="21" t="s">
        <v>365</v>
      </c>
      <c r="F40" s="21" t="s">
        <v>366</v>
      </c>
      <c r="G40" s="8" t="str">
        <f t="shared" si="0"/>
        <v>ISHMAEL JOSEPH</v>
      </c>
    </row>
    <row r="41" spans="1:7" x14ac:dyDescent="0.25">
      <c r="A41" s="8">
        <v>42726.226643518516</v>
      </c>
      <c r="B41" s="21" t="s">
        <v>225</v>
      </c>
      <c r="C41" s="21" t="s">
        <v>443</v>
      </c>
      <c r="D41" s="164">
        <v>2100000</v>
      </c>
      <c r="E41" s="21" t="s">
        <v>365</v>
      </c>
      <c r="F41" s="21" t="s">
        <v>366</v>
      </c>
      <c r="G41" s="8" t="str">
        <f t="shared" si="0"/>
        <v>ISHMAEL JOSEPH</v>
      </c>
    </row>
    <row r="42" spans="1:7" x14ac:dyDescent="0.25">
      <c r="A42" s="8">
        <v>42726.232037037036</v>
      </c>
      <c r="B42" s="21" t="s">
        <v>329</v>
      </c>
      <c r="C42" s="21" t="s">
        <v>498</v>
      </c>
      <c r="D42" s="164">
        <v>1110000</v>
      </c>
      <c r="E42" s="21" t="s">
        <v>325</v>
      </c>
      <c r="F42" s="21" t="s">
        <v>326</v>
      </c>
      <c r="G42" s="8" t="str">
        <f t="shared" si="0"/>
        <v>STARKS ANGELINA</v>
      </c>
    </row>
    <row r="43" spans="1:7" x14ac:dyDescent="0.25">
      <c r="A43" s="8">
        <v>42726.233159722222</v>
      </c>
      <c r="B43" s="21" t="s">
        <v>257</v>
      </c>
      <c r="C43" s="21" t="s">
        <v>499</v>
      </c>
      <c r="D43" s="164">
        <v>2720000</v>
      </c>
      <c r="E43" s="21" t="s">
        <v>489</v>
      </c>
      <c r="F43" s="21" t="s">
        <v>490</v>
      </c>
      <c r="G43" s="8" t="str">
        <f t="shared" si="0"/>
        <v>SIMONEAUX TERA</v>
      </c>
    </row>
    <row r="44" spans="1:7" x14ac:dyDescent="0.25">
      <c r="A44" s="8">
        <v>42726.2346875</v>
      </c>
      <c r="B44" s="21" t="s">
        <v>154</v>
      </c>
      <c r="C44" s="21" t="s">
        <v>500</v>
      </c>
      <c r="D44" s="164">
        <v>940000</v>
      </c>
      <c r="E44" s="21" t="s">
        <v>369</v>
      </c>
      <c r="F44" s="21" t="s">
        <v>370</v>
      </c>
      <c r="G44" s="8" t="str">
        <f t="shared" si="0"/>
        <v>BONDS REYNALDO</v>
      </c>
    </row>
    <row r="45" spans="1:7" x14ac:dyDescent="0.25">
      <c r="A45" s="8">
        <v>42726.237986111111</v>
      </c>
      <c r="B45" s="21" t="s">
        <v>381</v>
      </c>
      <c r="C45" s="21" t="s">
        <v>501</v>
      </c>
      <c r="D45" s="164">
        <v>2710000</v>
      </c>
      <c r="E45" s="21" t="s">
        <v>327</v>
      </c>
      <c r="F45" s="21" t="s">
        <v>328</v>
      </c>
      <c r="G45" s="8" t="str">
        <f t="shared" si="0"/>
        <v>SIMMONS SHYHESHA</v>
      </c>
    </row>
    <row r="46" spans="1:7" x14ac:dyDescent="0.25">
      <c r="A46" s="8">
        <v>42726.241608796299</v>
      </c>
      <c r="B46" s="21" t="s">
        <v>302</v>
      </c>
      <c r="C46" s="21" t="s">
        <v>502</v>
      </c>
      <c r="D46" s="164">
        <v>2020000</v>
      </c>
      <c r="E46" s="21" t="s">
        <v>494</v>
      </c>
      <c r="F46" s="21" t="s">
        <v>249</v>
      </c>
      <c r="G46" s="8" t="str">
        <f t="shared" si="0"/>
        <v>SHOOK JOHN</v>
      </c>
    </row>
    <row r="47" spans="1:7" x14ac:dyDescent="0.25">
      <c r="A47" s="8">
        <v>42726.249236111114</v>
      </c>
      <c r="B47" s="21" t="s">
        <v>183</v>
      </c>
      <c r="C47" s="21" t="s">
        <v>503</v>
      </c>
      <c r="D47" s="164">
        <v>2140000</v>
      </c>
      <c r="E47" s="21" t="s">
        <v>484</v>
      </c>
      <c r="F47" s="21" t="s">
        <v>485</v>
      </c>
      <c r="G47" s="8" t="str">
        <f t="shared" si="0"/>
        <v>ROBINSON KADDIBA</v>
      </c>
    </row>
    <row r="48" spans="1:7" x14ac:dyDescent="0.25">
      <c r="A48" s="8">
        <v>42726.253113425926</v>
      </c>
      <c r="B48" s="21" t="s">
        <v>269</v>
      </c>
      <c r="C48" s="21" t="s">
        <v>504</v>
      </c>
      <c r="D48" s="164">
        <v>2100000</v>
      </c>
      <c r="E48" s="21" t="s">
        <v>365</v>
      </c>
      <c r="F48" s="21" t="s">
        <v>366</v>
      </c>
      <c r="G48" s="8" t="str">
        <f t="shared" si="0"/>
        <v>ISHMAEL JOSEPH</v>
      </c>
    </row>
    <row r="49" spans="1:7" x14ac:dyDescent="0.25">
      <c r="A49" s="8">
        <v>42726.253368055557</v>
      </c>
      <c r="B49" s="21" t="s">
        <v>207</v>
      </c>
      <c r="C49" s="21" t="s">
        <v>505</v>
      </c>
      <c r="D49" s="164">
        <v>2680000</v>
      </c>
      <c r="E49" s="21" t="s">
        <v>330</v>
      </c>
      <c r="F49" s="21" t="s">
        <v>331</v>
      </c>
      <c r="G49" s="8" t="str">
        <f t="shared" si="0"/>
        <v>DUNCAN SHEILA</v>
      </c>
    </row>
    <row r="50" spans="1:7" x14ac:dyDescent="0.25">
      <c r="A50" s="8">
        <v>42726.25644675926</v>
      </c>
      <c r="B50" s="21" t="s">
        <v>303</v>
      </c>
      <c r="C50" s="21" t="s">
        <v>506</v>
      </c>
      <c r="D50" s="164">
        <v>2020000</v>
      </c>
      <c r="E50" s="21" t="s">
        <v>494</v>
      </c>
      <c r="F50" s="21" t="s">
        <v>249</v>
      </c>
      <c r="G50" s="8" t="str">
        <f t="shared" si="0"/>
        <v>SHOOK JOHN</v>
      </c>
    </row>
    <row r="51" spans="1:7" x14ac:dyDescent="0.25">
      <c r="A51" s="8">
        <v>42726.258194444446</v>
      </c>
      <c r="B51" s="21" t="s">
        <v>229</v>
      </c>
      <c r="C51" s="21" t="s">
        <v>507</v>
      </c>
      <c r="D51" s="164">
        <v>2610000</v>
      </c>
      <c r="E51" s="21" t="s">
        <v>323</v>
      </c>
      <c r="F51" s="21" t="s">
        <v>324</v>
      </c>
      <c r="G51" s="8" t="str">
        <f t="shared" si="0"/>
        <v>MAGEE KENYA</v>
      </c>
    </row>
    <row r="52" spans="1:7" x14ac:dyDescent="0.25">
      <c r="A52" s="8">
        <v>42726.263668981483</v>
      </c>
      <c r="B52" s="21" t="s">
        <v>206</v>
      </c>
      <c r="C52" s="21" t="s">
        <v>508</v>
      </c>
      <c r="D52" s="164">
        <v>2680000</v>
      </c>
      <c r="E52" s="21" t="s">
        <v>330</v>
      </c>
      <c r="F52" s="21" t="s">
        <v>331</v>
      </c>
      <c r="G52" s="8" t="str">
        <f t="shared" si="0"/>
        <v>DUNCAN SHEILA</v>
      </c>
    </row>
    <row r="53" spans="1:7" x14ac:dyDescent="0.25">
      <c r="A53" s="8">
        <v>42726.264907407407</v>
      </c>
      <c r="B53" s="21" t="s">
        <v>206</v>
      </c>
      <c r="C53" s="21" t="s">
        <v>508</v>
      </c>
      <c r="D53" s="164">
        <v>2680000</v>
      </c>
      <c r="E53" s="21" t="s">
        <v>330</v>
      </c>
      <c r="F53" s="21" t="s">
        <v>331</v>
      </c>
      <c r="G53" s="8" t="str">
        <f t="shared" si="0"/>
        <v>DUNCAN SHEILA</v>
      </c>
    </row>
    <row r="54" spans="1:7" x14ac:dyDescent="0.25">
      <c r="A54" s="8">
        <v>42726.265925925924</v>
      </c>
      <c r="B54" s="21" t="s">
        <v>206</v>
      </c>
      <c r="C54" s="21" t="s">
        <v>508</v>
      </c>
      <c r="D54" s="164">
        <v>2680000</v>
      </c>
      <c r="E54" s="21" t="s">
        <v>330</v>
      </c>
      <c r="F54" s="21" t="s">
        <v>331</v>
      </c>
      <c r="G54" s="8" t="str">
        <f t="shared" si="0"/>
        <v>DUNCAN SHEILA</v>
      </c>
    </row>
    <row r="55" spans="1:7" x14ac:dyDescent="0.25">
      <c r="A55" s="8">
        <v>42726.26798611111</v>
      </c>
      <c r="B55" s="21" t="s">
        <v>155</v>
      </c>
      <c r="C55" s="21" t="s">
        <v>447</v>
      </c>
      <c r="D55" s="164">
        <v>940000</v>
      </c>
      <c r="E55" s="21" t="s">
        <v>369</v>
      </c>
      <c r="F55" s="21" t="s">
        <v>370</v>
      </c>
      <c r="G55" s="8" t="str">
        <f t="shared" si="0"/>
        <v>BONDS REYNALDO</v>
      </c>
    </row>
    <row r="56" spans="1:7" x14ac:dyDescent="0.25">
      <c r="A56" s="8">
        <v>42726.268067129633</v>
      </c>
      <c r="B56" s="21" t="s">
        <v>243</v>
      </c>
      <c r="C56" s="21" t="s">
        <v>509</v>
      </c>
      <c r="D56" s="164">
        <v>2720000</v>
      </c>
      <c r="E56" s="21" t="s">
        <v>489</v>
      </c>
      <c r="F56" s="21" t="s">
        <v>490</v>
      </c>
      <c r="G56" s="8" t="str">
        <f t="shared" si="0"/>
        <v>SIMONEAUX TERA</v>
      </c>
    </row>
    <row r="57" spans="1:7" x14ac:dyDescent="0.25">
      <c r="A57" s="8">
        <v>42726.268680555557</v>
      </c>
      <c r="B57" s="21" t="s">
        <v>206</v>
      </c>
      <c r="C57" s="21" t="s">
        <v>508</v>
      </c>
      <c r="D57" s="164">
        <v>2680000</v>
      </c>
      <c r="E57" s="21" t="s">
        <v>330</v>
      </c>
      <c r="F57" s="21" t="s">
        <v>331</v>
      </c>
      <c r="G57" s="8" t="str">
        <f t="shared" si="0"/>
        <v>DUNCAN SHEILA</v>
      </c>
    </row>
    <row r="58" spans="1:7" x14ac:dyDescent="0.25">
      <c r="A58" s="8">
        <v>42726.279872685183</v>
      </c>
      <c r="B58" s="21" t="s">
        <v>387</v>
      </c>
      <c r="C58" s="21" t="s">
        <v>510</v>
      </c>
      <c r="D58" s="164">
        <v>2710000</v>
      </c>
      <c r="E58" s="21" t="s">
        <v>327</v>
      </c>
      <c r="F58" s="21" t="s">
        <v>328</v>
      </c>
      <c r="G58" s="8" t="str">
        <f t="shared" si="0"/>
        <v>SIMMONS SHYHESHA</v>
      </c>
    </row>
    <row r="59" spans="1:7" x14ac:dyDescent="0.25">
      <c r="A59" s="8">
        <v>42726.28292824074</v>
      </c>
      <c r="B59" s="21" t="s">
        <v>302</v>
      </c>
      <c r="C59" s="21" t="s">
        <v>446</v>
      </c>
      <c r="D59" s="164">
        <v>2020000</v>
      </c>
      <c r="E59" s="21" t="s">
        <v>494</v>
      </c>
      <c r="F59" s="21" t="s">
        <v>249</v>
      </c>
      <c r="G59" s="8" t="str">
        <f t="shared" si="0"/>
        <v>SHOOK JOHN</v>
      </c>
    </row>
    <row r="60" spans="1:7" x14ac:dyDescent="0.25">
      <c r="A60" s="8">
        <v>42726.285810185182</v>
      </c>
      <c r="B60" s="21" t="s">
        <v>300</v>
      </c>
      <c r="C60" s="21" t="s">
        <v>445</v>
      </c>
      <c r="D60" s="164">
        <v>1090000</v>
      </c>
      <c r="E60" s="21" t="s">
        <v>511</v>
      </c>
      <c r="F60" s="21" t="s">
        <v>262</v>
      </c>
      <c r="G60" s="8" t="str">
        <f t="shared" si="0"/>
        <v>SPECTOR MICHAEL</v>
      </c>
    </row>
    <row r="61" spans="1:7" x14ac:dyDescent="0.25">
      <c r="A61" s="8">
        <v>42726.286099537036</v>
      </c>
      <c r="B61" s="21" t="s">
        <v>225</v>
      </c>
      <c r="C61" s="21" t="s">
        <v>512</v>
      </c>
      <c r="D61" s="164">
        <v>2100000</v>
      </c>
      <c r="E61" s="21" t="s">
        <v>365</v>
      </c>
      <c r="F61" s="21" t="s">
        <v>366</v>
      </c>
      <c r="G61" s="8" t="str">
        <f t="shared" si="0"/>
        <v>ISHMAEL JOSEPH</v>
      </c>
    </row>
    <row r="62" spans="1:7" x14ac:dyDescent="0.25">
      <c r="A62" s="8">
        <v>42726.286898148152</v>
      </c>
      <c r="B62" s="21" t="s">
        <v>285</v>
      </c>
      <c r="C62" s="21" t="s">
        <v>513</v>
      </c>
      <c r="D62" s="164">
        <v>2140000</v>
      </c>
      <c r="E62" s="21" t="s">
        <v>484</v>
      </c>
      <c r="F62" s="21" t="s">
        <v>485</v>
      </c>
      <c r="G62" s="8" t="str">
        <f t="shared" si="0"/>
        <v>ROBINSON KADDIBA</v>
      </c>
    </row>
    <row r="63" spans="1:7" x14ac:dyDescent="0.25">
      <c r="A63" s="8">
        <v>42726.287372685183</v>
      </c>
      <c r="B63" s="21" t="s">
        <v>207</v>
      </c>
      <c r="C63" s="21" t="s">
        <v>514</v>
      </c>
      <c r="D63" s="164">
        <v>2680000</v>
      </c>
      <c r="E63" s="21" t="s">
        <v>330</v>
      </c>
      <c r="F63" s="21" t="s">
        <v>331</v>
      </c>
      <c r="G63" s="8" t="str">
        <f t="shared" si="0"/>
        <v>DUNCAN SHEILA</v>
      </c>
    </row>
    <row r="64" spans="1:7" x14ac:dyDescent="0.25">
      <c r="A64" s="27">
        <v>42726.289502314816</v>
      </c>
      <c r="B64" s="21" t="s">
        <v>259</v>
      </c>
      <c r="C64" s="21" t="s">
        <v>448</v>
      </c>
      <c r="D64" s="164">
        <v>2610000</v>
      </c>
      <c r="E64" s="21" t="s">
        <v>323</v>
      </c>
      <c r="F64" s="21" t="s">
        <v>324</v>
      </c>
      <c r="G64" s="8" t="str">
        <f t="shared" si="0"/>
        <v>MAGEE KENYA</v>
      </c>
    </row>
    <row r="65" spans="1:7" x14ac:dyDescent="0.25">
      <c r="A65" s="8">
        <v>42726.298773148148</v>
      </c>
      <c r="B65" s="21" t="s">
        <v>303</v>
      </c>
      <c r="C65" s="21" t="s">
        <v>515</v>
      </c>
      <c r="D65" s="164">
        <v>2020000</v>
      </c>
      <c r="E65" s="21" t="s">
        <v>494</v>
      </c>
      <c r="F65" s="21" t="s">
        <v>249</v>
      </c>
      <c r="G65" s="8" t="str">
        <f t="shared" si="0"/>
        <v>SHOOK JOHN</v>
      </c>
    </row>
    <row r="66" spans="1:7" x14ac:dyDescent="0.25">
      <c r="A66" s="8">
        <v>42726.303194444445</v>
      </c>
      <c r="B66" s="21" t="s">
        <v>329</v>
      </c>
      <c r="C66" s="21" t="s">
        <v>516</v>
      </c>
      <c r="D66" s="164">
        <v>1110000</v>
      </c>
      <c r="E66" s="21" t="s">
        <v>325</v>
      </c>
      <c r="F66" s="21" t="s">
        <v>326</v>
      </c>
      <c r="G66" s="8" t="str">
        <f t="shared" si="0"/>
        <v>STARKS ANGELINA</v>
      </c>
    </row>
    <row r="67" spans="1:7" x14ac:dyDescent="0.25">
      <c r="A67" s="8">
        <v>42726.305104166669</v>
      </c>
      <c r="B67" s="21" t="s">
        <v>257</v>
      </c>
      <c r="C67" s="21" t="s">
        <v>451</v>
      </c>
      <c r="D67" s="164">
        <v>2720000</v>
      </c>
      <c r="E67" s="21" t="s">
        <v>489</v>
      </c>
      <c r="F67" s="21" t="s">
        <v>490</v>
      </c>
      <c r="G67" s="8" t="str">
        <f t="shared" ref="G67:G130" si="1">E67&amp;" "&amp;F67</f>
        <v>SIMONEAUX TERA</v>
      </c>
    </row>
    <row r="68" spans="1:7" x14ac:dyDescent="0.25">
      <c r="A68" s="8">
        <v>42726.307222222225</v>
      </c>
      <c r="B68" s="21" t="s">
        <v>206</v>
      </c>
      <c r="C68" s="21" t="s">
        <v>517</v>
      </c>
      <c r="D68" s="164">
        <v>2680000</v>
      </c>
      <c r="E68" s="21" t="s">
        <v>330</v>
      </c>
      <c r="F68" s="21" t="s">
        <v>331</v>
      </c>
      <c r="G68" s="8" t="str">
        <f t="shared" si="1"/>
        <v>DUNCAN SHEILA</v>
      </c>
    </row>
    <row r="69" spans="1:7" x14ac:dyDescent="0.25">
      <c r="A69" s="8">
        <v>42726.308113425926</v>
      </c>
      <c r="B69" s="21" t="s">
        <v>154</v>
      </c>
      <c r="C69" s="21" t="s">
        <v>518</v>
      </c>
      <c r="D69" s="164">
        <v>940000</v>
      </c>
      <c r="E69" s="21" t="s">
        <v>369</v>
      </c>
      <c r="F69" s="21" t="s">
        <v>370</v>
      </c>
      <c r="G69" s="8" t="str">
        <f t="shared" si="1"/>
        <v>BONDS REYNALDO</v>
      </c>
    </row>
    <row r="70" spans="1:7" x14ac:dyDescent="0.25">
      <c r="A70" s="8">
        <v>42726.31690972222</v>
      </c>
      <c r="B70" s="21" t="s">
        <v>381</v>
      </c>
      <c r="C70" s="21" t="s">
        <v>452</v>
      </c>
      <c r="D70" s="164">
        <v>2710000</v>
      </c>
      <c r="E70" s="21" t="s">
        <v>327</v>
      </c>
      <c r="F70" s="21" t="s">
        <v>328</v>
      </c>
      <c r="G70" s="8" t="str">
        <f t="shared" si="1"/>
        <v>SIMMONS SHYHESHA</v>
      </c>
    </row>
    <row r="71" spans="1:7" x14ac:dyDescent="0.25">
      <c r="A71" s="8">
        <v>42726.320150462961</v>
      </c>
      <c r="B71" s="21" t="s">
        <v>183</v>
      </c>
      <c r="C71" s="21" t="s">
        <v>519</v>
      </c>
      <c r="D71" s="164">
        <v>2140000</v>
      </c>
      <c r="E71" s="21" t="s">
        <v>484</v>
      </c>
      <c r="F71" s="21" t="s">
        <v>485</v>
      </c>
      <c r="G71" s="8" t="str">
        <f t="shared" si="1"/>
        <v>ROBINSON KADDIBA</v>
      </c>
    </row>
    <row r="72" spans="1:7" x14ac:dyDescent="0.25">
      <c r="A72" s="8">
        <v>42726.320856481485</v>
      </c>
      <c r="B72" s="21" t="s">
        <v>207</v>
      </c>
      <c r="C72" s="21" t="s">
        <v>520</v>
      </c>
      <c r="D72" s="164">
        <v>2680000</v>
      </c>
      <c r="E72" s="21" t="s">
        <v>330</v>
      </c>
      <c r="F72" s="21" t="s">
        <v>331</v>
      </c>
      <c r="G72" s="8" t="str">
        <f t="shared" si="1"/>
        <v>DUNCAN SHEILA</v>
      </c>
    </row>
    <row r="73" spans="1:7" x14ac:dyDescent="0.25">
      <c r="A73" s="8">
        <v>42726.323750000003</v>
      </c>
      <c r="B73" s="21" t="s">
        <v>302</v>
      </c>
      <c r="C73" s="21" t="s">
        <v>453</v>
      </c>
      <c r="D73" s="164">
        <v>2020000</v>
      </c>
      <c r="E73" s="21" t="s">
        <v>494</v>
      </c>
      <c r="F73" s="21" t="s">
        <v>249</v>
      </c>
      <c r="G73" s="8" t="str">
        <f t="shared" si="1"/>
        <v>SHOOK JOHN</v>
      </c>
    </row>
    <row r="74" spans="1:7" x14ac:dyDescent="0.25">
      <c r="A74" s="8">
        <v>42726.326354166667</v>
      </c>
      <c r="B74" s="21" t="s">
        <v>269</v>
      </c>
      <c r="C74" s="21" t="s">
        <v>521</v>
      </c>
      <c r="D74" s="164">
        <v>2100000</v>
      </c>
      <c r="E74" s="21" t="s">
        <v>365</v>
      </c>
      <c r="F74" s="21" t="s">
        <v>366</v>
      </c>
      <c r="G74" s="8" t="str">
        <f t="shared" si="1"/>
        <v>ISHMAEL JOSEPH</v>
      </c>
    </row>
    <row r="75" spans="1:7" x14ac:dyDescent="0.25">
      <c r="A75" s="8">
        <v>42726.329583333332</v>
      </c>
      <c r="B75" s="21" t="s">
        <v>229</v>
      </c>
      <c r="C75" s="21" t="s">
        <v>522</v>
      </c>
      <c r="D75" s="164">
        <v>2610000</v>
      </c>
      <c r="E75" s="21" t="s">
        <v>323</v>
      </c>
      <c r="F75" s="21" t="s">
        <v>324</v>
      </c>
      <c r="G75" s="8" t="str">
        <f t="shared" si="1"/>
        <v>MAGEE KENYA</v>
      </c>
    </row>
    <row r="76" spans="1:7" x14ac:dyDescent="0.25">
      <c r="A76" s="8">
        <v>42726.339502314811</v>
      </c>
      <c r="B76" s="21" t="s">
        <v>322</v>
      </c>
      <c r="C76" s="21" t="s">
        <v>523</v>
      </c>
      <c r="D76" s="164">
        <v>1110000</v>
      </c>
      <c r="E76" s="21" t="s">
        <v>325</v>
      </c>
      <c r="F76" s="21" t="s">
        <v>326</v>
      </c>
      <c r="G76" s="8" t="str">
        <f t="shared" si="1"/>
        <v>STARKS ANGELINA</v>
      </c>
    </row>
    <row r="77" spans="1:7" x14ac:dyDescent="0.25">
      <c r="A77" s="8">
        <v>42726.340277777781</v>
      </c>
      <c r="B77" s="21" t="s">
        <v>303</v>
      </c>
      <c r="C77" s="21" t="s">
        <v>454</v>
      </c>
      <c r="D77" s="164">
        <v>2020000</v>
      </c>
      <c r="E77" s="21" t="s">
        <v>494</v>
      </c>
      <c r="F77" s="21" t="s">
        <v>249</v>
      </c>
      <c r="G77" s="8" t="str">
        <f t="shared" si="1"/>
        <v>SHOOK JOHN</v>
      </c>
    </row>
    <row r="78" spans="1:7" x14ac:dyDescent="0.25">
      <c r="A78" s="8">
        <v>42726.34097222222</v>
      </c>
      <c r="B78" s="21" t="s">
        <v>243</v>
      </c>
      <c r="C78" s="21" t="s">
        <v>524</v>
      </c>
      <c r="D78" s="164">
        <v>2720000</v>
      </c>
      <c r="E78" s="21" t="s">
        <v>489</v>
      </c>
      <c r="F78" s="21" t="s">
        <v>490</v>
      </c>
      <c r="G78" s="8" t="str">
        <f t="shared" si="1"/>
        <v>SIMONEAUX TERA</v>
      </c>
    </row>
    <row r="79" spans="1:7" x14ac:dyDescent="0.25">
      <c r="A79" s="8">
        <v>42726.343136574076</v>
      </c>
      <c r="B79" s="21" t="s">
        <v>206</v>
      </c>
      <c r="C79" s="21" t="s">
        <v>525</v>
      </c>
      <c r="D79" s="164">
        <v>2680000</v>
      </c>
      <c r="E79" s="21" t="s">
        <v>330</v>
      </c>
      <c r="F79" s="21" t="s">
        <v>331</v>
      </c>
      <c r="G79" s="8" t="str">
        <f t="shared" si="1"/>
        <v>DUNCAN SHEILA</v>
      </c>
    </row>
    <row r="80" spans="1:7" x14ac:dyDescent="0.25">
      <c r="A80" s="8">
        <v>42726.348217592589</v>
      </c>
      <c r="B80" s="21" t="s">
        <v>155</v>
      </c>
      <c r="C80" s="21" t="s">
        <v>526</v>
      </c>
      <c r="D80" s="164">
        <v>940000</v>
      </c>
      <c r="E80" s="21" t="s">
        <v>369</v>
      </c>
      <c r="F80" s="21" t="s">
        <v>370</v>
      </c>
      <c r="G80" s="8" t="str">
        <f t="shared" si="1"/>
        <v>BONDS REYNALDO</v>
      </c>
    </row>
    <row r="81" spans="1:7" x14ac:dyDescent="0.25">
      <c r="A81" s="8">
        <v>42726.351712962962</v>
      </c>
      <c r="B81" s="21" t="s">
        <v>387</v>
      </c>
      <c r="C81" s="21" t="s">
        <v>455</v>
      </c>
      <c r="D81" s="164">
        <v>2710000</v>
      </c>
      <c r="E81" s="21" t="s">
        <v>327</v>
      </c>
      <c r="F81" s="21" t="s">
        <v>328</v>
      </c>
      <c r="G81" s="8" t="str">
        <f t="shared" si="1"/>
        <v>SIMMONS SHYHESHA</v>
      </c>
    </row>
    <row r="82" spans="1:7" x14ac:dyDescent="0.25">
      <c r="A82" s="8">
        <v>42726.354699074072</v>
      </c>
      <c r="B82" s="21" t="s">
        <v>285</v>
      </c>
      <c r="C82" s="21" t="s">
        <v>527</v>
      </c>
      <c r="D82" s="164">
        <v>2140000</v>
      </c>
      <c r="E82" s="21" t="s">
        <v>484</v>
      </c>
      <c r="F82" s="21" t="s">
        <v>485</v>
      </c>
      <c r="G82" s="8" t="str">
        <f t="shared" si="1"/>
        <v>ROBINSON KADDIBA</v>
      </c>
    </row>
    <row r="83" spans="1:7" x14ac:dyDescent="0.25">
      <c r="A83" s="8">
        <v>42726.355069444442</v>
      </c>
      <c r="B83" s="21" t="s">
        <v>302</v>
      </c>
      <c r="C83" s="21" t="s">
        <v>528</v>
      </c>
      <c r="D83" s="164">
        <v>2020000</v>
      </c>
      <c r="E83" s="21" t="s">
        <v>494</v>
      </c>
      <c r="F83" s="21" t="s">
        <v>249</v>
      </c>
      <c r="G83" s="8" t="str">
        <f t="shared" si="1"/>
        <v>SHOOK JOHN</v>
      </c>
    </row>
    <row r="84" spans="1:7" x14ac:dyDescent="0.25">
      <c r="A84" s="8">
        <v>42726.356504629628</v>
      </c>
      <c r="B84" s="21" t="s">
        <v>274</v>
      </c>
      <c r="C84" s="21" t="s">
        <v>529</v>
      </c>
      <c r="D84" s="164">
        <v>1090000</v>
      </c>
      <c r="E84" s="21" t="s">
        <v>511</v>
      </c>
      <c r="F84" s="21" t="s">
        <v>262</v>
      </c>
      <c r="G84" s="8" t="str">
        <f t="shared" si="1"/>
        <v>SPECTOR MICHAEL</v>
      </c>
    </row>
    <row r="85" spans="1:7" x14ac:dyDescent="0.25">
      <c r="A85" s="8">
        <v>42726.358946759261</v>
      </c>
      <c r="B85" s="21" t="s">
        <v>207</v>
      </c>
      <c r="C85" s="21" t="s">
        <v>530</v>
      </c>
      <c r="D85" s="164">
        <v>2680000</v>
      </c>
      <c r="E85" s="21" t="s">
        <v>330</v>
      </c>
      <c r="F85" s="21" t="s">
        <v>331</v>
      </c>
      <c r="G85" s="8" t="str">
        <f t="shared" si="1"/>
        <v>DUNCAN SHEILA</v>
      </c>
    </row>
    <row r="86" spans="1:7" x14ac:dyDescent="0.25">
      <c r="A86" s="8">
        <v>42726.364340277774</v>
      </c>
      <c r="B86" s="21" t="s">
        <v>259</v>
      </c>
      <c r="C86" s="21" t="s">
        <v>531</v>
      </c>
      <c r="D86" s="164">
        <v>2610000</v>
      </c>
      <c r="E86" s="21" t="s">
        <v>323</v>
      </c>
      <c r="F86" s="21" t="s">
        <v>324</v>
      </c>
      <c r="G86" s="8" t="str">
        <f t="shared" si="1"/>
        <v>MAGEE KENYA</v>
      </c>
    </row>
    <row r="87" spans="1:7" x14ac:dyDescent="0.25">
      <c r="A87" s="8">
        <v>42726.375555555554</v>
      </c>
      <c r="B87" s="21" t="s">
        <v>329</v>
      </c>
      <c r="C87" s="21" t="s">
        <v>532</v>
      </c>
      <c r="D87" s="164">
        <v>1110000</v>
      </c>
      <c r="E87" s="21" t="s">
        <v>325</v>
      </c>
      <c r="F87" s="21" t="s">
        <v>326</v>
      </c>
      <c r="G87" s="8" t="str">
        <f t="shared" si="1"/>
        <v>STARKS ANGELINA</v>
      </c>
    </row>
    <row r="88" spans="1:7" x14ac:dyDescent="0.25">
      <c r="A88" s="8">
        <v>42726.378437500003</v>
      </c>
      <c r="B88" s="21" t="s">
        <v>257</v>
      </c>
      <c r="C88" s="21" t="s">
        <v>533</v>
      </c>
      <c r="D88" s="164">
        <v>2720000</v>
      </c>
      <c r="E88" s="21" t="s">
        <v>489</v>
      </c>
      <c r="F88" s="21" t="s">
        <v>490</v>
      </c>
      <c r="G88" s="8" t="str">
        <f t="shared" si="1"/>
        <v>SIMONEAUX TERA</v>
      </c>
    </row>
    <row r="89" spans="1:7" x14ac:dyDescent="0.25">
      <c r="A89" s="8">
        <v>42726.382453703707</v>
      </c>
      <c r="B89" s="21" t="s">
        <v>206</v>
      </c>
      <c r="C89" s="21" t="s">
        <v>534</v>
      </c>
      <c r="D89" s="164">
        <v>2680000</v>
      </c>
      <c r="E89" s="21" t="s">
        <v>330</v>
      </c>
      <c r="F89" s="21" t="s">
        <v>331</v>
      </c>
      <c r="G89" s="8" t="str">
        <f t="shared" si="1"/>
        <v>DUNCAN SHEILA</v>
      </c>
    </row>
    <row r="90" spans="1:7" x14ac:dyDescent="0.25">
      <c r="A90" s="8">
        <v>42726.383113425924</v>
      </c>
      <c r="B90" s="21" t="s">
        <v>154</v>
      </c>
      <c r="C90" s="21" t="s">
        <v>535</v>
      </c>
      <c r="D90" s="164">
        <v>2360000</v>
      </c>
      <c r="E90" s="21" t="s">
        <v>536</v>
      </c>
      <c r="F90" s="21" t="s">
        <v>537</v>
      </c>
      <c r="G90" s="8" t="str">
        <f t="shared" si="1"/>
        <v>BRANDNER MELINDA</v>
      </c>
    </row>
    <row r="91" spans="1:7" x14ac:dyDescent="0.25">
      <c r="A91" s="8">
        <v>42726.383333333331</v>
      </c>
      <c r="B91" s="21" t="s">
        <v>381</v>
      </c>
      <c r="C91" s="21" t="s">
        <v>456</v>
      </c>
      <c r="D91" s="164">
        <v>2710000</v>
      </c>
      <c r="E91" s="21" t="s">
        <v>327</v>
      </c>
      <c r="F91" s="21" t="s">
        <v>328</v>
      </c>
      <c r="G91" s="8" t="str">
        <f t="shared" si="1"/>
        <v>SIMMONS SHYHESHA</v>
      </c>
    </row>
    <row r="92" spans="1:7" x14ac:dyDescent="0.25">
      <c r="A92" s="8">
        <v>42726.392951388887</v>
      </c>
      <c r="B92" s="21" t="s">
        <v>183</v>
      </c>
      <c r="C92" s="21" t="s">
        <v>538</v>
      </c>
      <c r="D92" s="164">
        <v>2140000</v>
      </c>
      <c r="E92" s="21" t="s">
        <v>484</v>
      </c>
      <c r="F92" s="21" t="s">
        <v>485</v>
      </c>
      <c r="G92" s="8" t="str">
        <f t="shared" si="1"/>
        <v>ROBINSON KADDIBA</v>
      </c>
    </row>
    <row r="93" spans="1:7" x14ac:dyDescent="0.25">
      <c r="A93" s="8">
        <v>42726.398043981484</v>
      </c>
      <c r="B93" s="21" t="s">
        <v>275</v>
      </c>
      <c r="C93" s="21" t="s">
        <v>539</v>
      </c>
      <c r="D93" s="164">
        <v>1090000</v>
      </c>
      <c r="E93" s="21" t="s">
        <v>511</v>
      </c>
      <c r="F93" s="21" t="s">
        <v>262</v>
      </c>
      <c r="G93" s="8" t="str">
        <f t="shared" si="1"/>
        <v>SPECTOR MICHAEL</v>
      </c>
    </row>
    <row r="94" spans="1:7" x14ac:dyDescent="0.25">
      <c r="A94" s="8">
        <v>42726.400555555556</v>
      </c>
      <c r="B94" s="21" t="s">
        <v>207</v>
      </c>
      <c r="C94" s="21" t="s">
        <v>540</v>
      </c>
      <c r="D94" s="164">
        <v>2680000</v>
      </c>
      <c r="E94" s="21" t="s">
        <v>330</v>
      </c>
      <c r="F94" s="21" t="s">
        <v>331</v>
      </c>
      <c r="G94" s="8" t="str">
        <f t="shared" si="1"/>
        <v>DUNCAN SHEILA</v>
      </c>
    </row>
    <row r="95" spans="1:7" x14ac:dyDescent="0.25">
      <c r="A95" s="8">
        <v>42726.402106481481</v>
      </c>
      <c r="B95" s="21" t="s">
        <v>301</v>
      </c>
      <c r="C95" s="21" t="s">
        <v>538</v>
      </c>
      <c r="D95" s="164">
        <v>2140000</v>
      </c>
      <c r="E95" s="21" t="s">
        <v>484</v>
      </c>
      <c r="F95" s="21" t="s">
        <v>485</v>
      </c>
      <c r="G95" s="8" t="str">
        <f t="shared" si="1"/>
        <v>ROBINSON KADDIBA</v>
      </c>
    </row>
    <row r="96" spans="1:7" x14ac:dyDescent="0.25">
      <c r="A96" s="8">
        <v>42726.402812499997</v>
      </c>
      <c r="B96" s="21" t="s">
        <v>301</v>
      </c>
      <c r="C96" s="21" t="s">
        <v>538</v>
      </c>
      <c r="D96" s="164">
        <v>2140000</v>
      </c>
      <c r="E96" s="21" t="s">
        <v>484</v>
      </c>
      <c r="F96" s="21" t="s">
        <v>485</v>
      </c>
      <c r="G96" s="8" t="str">
        <f t="shared" si="1"/>
        <v>ROBINSON KADDIBA</v>
      </c>
    </row>
    <row r="97" spans="1:7" x14ac:dyDescent="0.25">
      <c r="A97" s="8">
        <v>42726.403368055559</v>
      </c>
      <c r="B97" s="21" t="s">
        <v>301</v>
      </c>
      <c r="C97" s="21" t="s">
        <v>538</v>
      </c>
      <c r="D97" s="164">
        <v>2140000</v>
      </c>
      <c r="E97" s="21" t="s">
        <v>484</v>
      </c>
      <c r="F97" s="21" t="s">
        <v>485</v>
      </c>
      <c r="G97" s="8" t="str">
        <f t="shared" si="1"/>
        <v>ROBINSON KADDIBA</v>
      </c>
    </row>
    <row r="98" spans="1:7" x14ac:dyDescent="0.25">
      <c r="A98" s="8">
        <v>42726.404236111113</v>
      </c>
      <c r="B98" s="21" t="s">
        <v>229</v>
      </c>
      <c r="C98" s="21" t="s">
        <v>541</v>
      </c>
      <c r="D98" s="164">
        <v>2610000</v>
      </c>
      <c r="E98" s="21" t="s">
        <v>323</v>
      </c>
      <c r="F98" s="21" t="s">
        <v>324</v>
      </c>
      <c r="G98" s="8" t="str">
        <f t="shared" si="1"/>
        <v>MAGEE KENYA</v>
      </c>
    </row>
    <row r="99" spans="1:7" x14ac:dyDescent="0.25">
      <c r="A99" s="8">
        <v>42726.404270833336</v>
      </c>
      <c r="B99" s="21" t="s">
        <v>301</v>
      </c>
      <c r="C99" s="21" t="s">
        <v>538</v>
      </c>
      <c r="D99" s="164">
        <v>2140000</v>
      </c>
      <c r="E99" s="21" t="s">
        <v>484</v>
      </c>
      <c r="F99" s="21" t="s">
        <v>485</v>
      </c>
      <c r="G99" s="8" t="str">
        <f t="shared" si="1"/>
        <v>ROBINSON KADDIBA</v>
      </c>
    </row>
    <row r="100" spans="1:7" x14ac:dyDescent="0.25">
      <c r="A100" s="8">
        <v>42726.412222222221</v>
      </c>
      <c r="B100" s="21" t="s">
        <v>322</v>
      </c>
      <c r="C100" s="21" t="s">
        <v>457</v>
      </c>
      <c r="D100" s="164">
        <v>1110000</v>
      </c>
      <c r="E100" s="21" t="s">
        <v>325</v>
      </c>
      <c r="F100" s="21" t="s">
        <v>326</v>
      </c>
      <c r="G100" s="8" t="str">
        <f t="shared" si="1"/>
        <v>STARKS ANGELINA</v>
      </c>
    </row>
    <row r="101" spans="1:7" x14ac:dyDescent="0.25">
      <c r="A101" s="8">
        <v>42726.414375</v>
      </c>
      <c r="B101" s="21" t="s">
        <v>243</v>
      </c>
      <c r="C101" s="21" t="s">
        <v>542</v>
      </c>
      <c r="D101" s="164">
        <v>2720000</v>
      </c>
      <c r="E101" s="21" t="s">
        <v>489</v>
      </c>
      <c r="F101" s="21" t="s">
        <v>490</v>
      </c>
      <c r="G101" s="8" t="str">
        <f t="shared" si="1"/>
        <v>SIMONEAUX TERA</v>
      </c>
    </row>
    <row r="102" spans="1:7" x14ac:dyDescent="0.25">
      <c r="A102" s="8">
        <v>42726.418807870374</v>
      </c>
      <c r="B102" s="21" t="s">
        <v>155</v>
      </c>
      <c r="C102" s="21" t="s">
        <v>543</v>
      </c>
      <c r="D102" s="164">
        <v>2360000</v>
      </c>
      <c r="E102" s="21" t="s">
        <v>536</v>
      </c>
      <c r="F102" s="21" t="s">
        <v>537</v>
      </c>
      <c r="G102" s="8" t="str">
        <f t="shared" si="1"/>
        <v>BRANDNER MELINDA</v>
      </c>
    </row>
    <row r="103" spans="1:7" x14ac:dyDescent="0.25">
      <c r="A103" s="8">
        <v>42726.424247685187</v>
      </c>
      <c r="B103" s="21" t="s">
        <v>387</v>
      </c>
      <c r="C103" s="21" t="s">
        <v>459</v>
      </c>
      <c r="D103" s="164">
        <v>2710000</v>
      </c>
      <c r="E103" s="21" t="s">
        <v>327</v>
      </c>
      <c r="F103" s="21" t="s">
        <v>328</v>
      </c>
      <c r="G103" s="8" t="str">
        <f t="shared" si="1"/>
        <v>SIMMONS SHYHESHA</v>
      </c>
    </row>
    <row r="104" spans="1:7" x14ac:dyDescent="0.25">
      <c r="A104" s="8">
        <v>42726.42863425926</v>
      </c>
      <c r="B104" s="21" t="s">
        <v>206</v>
      </c>
      <c r="C104" s="21" t="s">
        <v>458</v>
      </c>
      <c r="D104" s="164">
        <v>2680000</v>
      </c>
      <c r="E104" s="21" t="s">
        <v>330</v>
      </c>
      <c r="F104" s="21" t="s">
        <v>331</v>
      </c>
      <c r="G104" s="8" t="str">
        <f t="shared" si="1"/>
        <v>DUNCAN SHEILA</v>
      </c>
    </row>
    <row r="105" spans="1:7" x14ac:dyDescent="0.25">
      <c r="A105" s="8">
        <v>42726.432303240741</v>
      </c>
      <c r="B105" s="21" t="s">
        <v>300</v>
      </c>
      <c r="C105" s="21" t="s">
        <v>544</v>
      </c>
      <c r="D105" s="164">
        <v>2140000</v>
      </c>
      <c r="E105" s="21" t="s">
        <v>484</v>
      </c>
      <c r="F105" s="21" t="s">
        <v>485</v>
      </c>
      <c r="G105" s="8" t="str">
        <f t="shared" si="1"/>
        <v>ROBINSON KADDIBA</v>
      </c>
    </row>
    <row r="106" spans="1:7" x14ac:dyDescent="0.25">
      <c r="A106" s="8">
        <v>42726.434942129628</v>
      </c>
      <c r="B106" s="21" t="s">
        <v>259</v>
      </c>
      <c r="C106" s="21" t="s">
        <v>545</v>
      </c>
      <c r="D106" s="164">
        <v>2610000</v>
      </c>
      <c r="E106" s="21" t="s">
        <v>323</v>
      </c>
      <c r="F106" s="21" t="s">
        <v>324</v>
      </c>
      <c r="G106" s="8" t="str">
        <f t="shared" si="1"/>
        <v>MAGEE KENYA</v>
      </c>
    </row>
    <row r="107" spans="1:7" x14ac:dyDescent="0.25">
      <c r="A107" s="8">
        <v>42726.435659722221</v>
      </c>
      <c r="B107" s="21" t="s">
        <v>274</v>
      </c>
      <c r="C107" s="21" t="s">
        <v>546</v>
      </c>
      <c r="D107" s="164">
        <v>2020000</v>
      </c>
      <c r="E107" s="21" t="s">
        <v>494</v>
      </c>
      <c r="F107" s="21" t="s">
        <v>249</v>
      </c>
      <c r="G107" s="8" t="str">
        <f t="shared" si="1"/>
        <v>SHOOK JOHN</v>
      </c>
    </row>
    <row r="108" spans="1:7" x14ac:dyDescent="0.25">
      <c r="A108" s="8">
        <v>42726.442569444444</v>
      </c>
      <c r="B108" s="21" t="s">
        <v>207</v>
      </c>
      <c r="C108" s="21" t="s">
        <v>547</v>
      </c>
      <c r="D108" s="164">
        <v>2680000</v>
      </c>
      <c r="E108" s="21" t="s">
        <v>330</v>
      </c>
      <c r="F108" s="21" t="s">
        <v>331</v>
      </c>
      <c r="G108" s="8" t="str">
        <f t="shared" si="1"/>
        <v>DUNCAN SHEILA</v>
      </c>
    </row>
    <row r="109" spans="1:7" x14ac:dyDescent="0.25">
      <c r="A109" s="8">
        <v>42726.444930555554</v>
      </c>
      <c r="B109" s="21" t="s">
        <v>329</v>
      </c>
      <c r="C109" s="21" t="s">
        <v>548</v>
      </c>
      <c r="D109" s="164">
        <v>1110000</v>
      </c>
      <c r="E109" s="21" t="s">
        <v>325</v>
      </c>
      <c r="F109" s="21" t="s">
        <v>326</v>
      </c>
      <c r="G109" s="8" t="str">
        <f t="shared" si="1"/>
        <v>STARKS ANGELINA</v>
      </c>
    </row>
    <row r="110" spans="1:7" x14ac:dyDescent="0.25">
      <c r="A110" s="8">
        <v>42726.450995370367</v>
      </c>
      <c r="B110" s="21" t="s">
        <v>257</v>
      </c>
      <c r="C110" s="21" t="s">
        <v>549</v>
      </c>
      <c r="D110" s="164">
        <v>2720000</v>
      </c>
      <c r="E110" s="21" t="s">
        <v>489</v>
      </c>
      <c r="F110" s="21" t="s">
        <v>490</v>
      </c>
      <c r="G110" s="8" t="str">
        <f t="shared" si="1"/>
        <v>SIMONEAUX TERA</v>
      </c>
    </row>
    <row r="111" spans="1:7" x14ac:dyDescent="0.25">
      <c r="A111" s="8">
        <v>42726.456759259258</v>
      </c>
      <c r="B111" s="21" t="s">
        <v>154</v>
      </c>
      <c r="C111" s="21" t="s">
        <v>550</v>
      </c>
      <c r="D111" s="164">
        <v>930000</v>
      </c>
      <c r="E111" s="21" t="s">
        <v>332</v>
      </c>
      <c r="F111" s="21" t="s">
        <v>333</v>
      </c>
      <c r="G111" s="8" t="str">
        <f t="shared" si="1"/>
        <v>CLARK KATHLEEN</v>
      </c>
    </row>
    <row r="112" spans="1:7" x14ac:dyDescent="0.25">
      <c r="A112" s="8">
        <v>42726.459976851853</v>
      </c>
      <c r="B112" s="21" t="s">
        <v>469</v>
      </c>
      <c r="C112" s="21" t="s">
        <v>551</v>
      </c>
      <c r="D112" s="164">
        <v>2040000</v>
      </c>
      <c r="E112" s="21" t="s">
        <v>552</v>
      </c>
      <c r="F112" s="21" t="s">
        <v>553</v>
      </c>
      <c r="G112" s="8" t="str">
        <f t="shared" si="1"/>
        <v>MOSES BRADLEY</v>
      </c>
    </row>
    <row r="113" spans="1:7" x14ac:dyDescent="0.25">
      <c r="A113" s="8">
        <v>42726.461793981478</v>
      </c>
      <c r="B113" s="21" t="s">
        <v>469</v>
      </c>
      <c r="C113" s="21" t="s">
        <v>551</v>
      </c>
      <c r="D113" s="164">
        <v>2040000</v>
      </c>
      <c r="E113" s="21" t="s">
        <v>552</v>
      </c>
      <c r="F113" s="21" t="s">
        <v>553</v>
      </c>
      <c r="G113" s="8" t="str">
        <f t="shared" si="1"/>
        <v>MOSES BRADLEY</v>
      </c>
    </row>
    <row r="114" spans="1:7" x14ac:dyDescent="0.25">
      <c r="A114" s="8">
        <v>42726.463321759256</v>
      </c>
      <c r="B114" s="21" t="s">
        <v>301</v>
      </c>
      <c r="C114" s="21" t="s">
        <v>554</v>
      </c>
      <c r="D114" s="164">
        <v>2030000</v>
      </c>
      <c r="E114" s="21" t="s">
        <v>555</v>
      </c>
      <c r="F114" s="21" t="s">
        <v>250</v>
      </c>
      <c r="G114" s="8" t="str">
        <f t="shared" si="1"/>
        <v>KILLION DAVID</v>
      </c>
    </row>
    <row r="115" spans="1:7" x14ac:dyDescent="0.25">
      <c r="A115" s="8">
        <v>42726.464513888888</v>
      </c>
      <c r="B115" s="21" t="s">
        <v>381</v>
      </c>
      <c r="C115" s="21" t="s">
        <v>556</v>
      </c>
      <c r="D115" s="164">
        <v>2710000</v>
      </c>
      <c r="E115" s="21" t="s">
        <v>327</v>
      </c>
      <c r="F115" s="21" t="s">
        <v>328</v>
      </c>
      <c r="G115" s="8" t="str">
        <f t="shared" si="1"/>
        <v>SIMMONS SHYHESHA</v>
      </c>
    </row>
    <row r="116" spans="1:7" x14ac:dyDescent="0.25">
      <c r="A116" s="8">
        <v>42726.467638888891</v>
      </c>
      <c r="B116" s="21" t="s">
        <v>206</v>
      </c>
      <c r="C116" s="21" t="s">
        <v>557</v>
      </c>
      <c r="D116" s="164">
        <v>2680000</v>
      </c>
      <c r="E116" s="21" t="s">
        <v>330</v>
      </c>
      <c r="F116" s="21" t="s">
        <v>331</v>
      </c>
      <c r="G116" s="8" t="str">
        <f t="shared" si="1"/>
        <v>DUNCAN SHEILA</v>
      </c>
    </row>
    <row r="117" spans="1:7" x14ac:dyDescent="0.25">
      <c r="A117" s="8">
        <v>42726.472048611111</v>
      </c>
      <c r="B117" s="21" t="s">
        <v>275</v>
      </c>
      <c r="C117" s="21" t="s">
        <v>558</v>
      </c>
      <c r="D117" s="164">
        <v>2020000</v>
      </c>
      <c r="E117" s="21" t="s">
        <v>494</v>
      </c>
      <c r="F117" s="21" t="s">
        <v>249</v>
      </c>
      <c r="G117" s="8" t="str">
        <f t="shared" si="1"/>
        <v>SHOOK JOHN</v>
      </c>
    </row>
    <row r="118" spans="1:7" x14ac:dyDescent="0.25">
      <c r="A118" s="8">
        <v>42726.476956018516</v>
      </c>
      <c r="B118" s="21" t="s">
        <v>229</v>
      </c>
      <c r="C118" s="21" t="s">
        <v>559</v>
      </c>
      <c r="D118" s="164">
        <v>1770000</v>
      </c>
      <c r="E118" s="21" t="s">
        <v>375</v>
      </c>
      <c r="F118" s="21" t="s">
        <v>376</v>
      </c>
      <c r="G118" s="8" t="str">
        <f t="shared" si="1"/>
        <v>BRUDER RICHARD</v>
      </c>
    </row>
    <row r="119" spans="1:7" x14ac:dyDescent="0.25">
      <c r="A119" s="8">
        <v>42726.482939814814</v>
      </c>
      <c r="B119" s="21" t="s">
        <v>322</v>
      </c>
      <c r="C119" s="21" t="s">
        <v>560</v>
      </c>
      <c r="D119" s="164">
        <v>1110000</v>
      </c>
      <c r="E119" s="21" t="s">
        <v>325</v>
      </c>
      <c r="F119" s="21" t="s">
        <v>326</v>
      </c>
      <c r="G119" s="8" t="str">
        <f t="shared" si="1"/>
        <v>STARKS ANGELINA</v>
      </c>
    </row>
    <row r="120" spans="1:7" x14ac:dyDescent="0.25">
      <c r="A120" s="8">
        <v>42726.484872685185</v>
      </c>
      <c r="B120" s="21" t="s">
        <v>207</v>
      </c>
      <c r="C120" s="21" t="s">
        <v>460</v>
      </c>
      <c r="D120" s="164">
        <v>2680000</v>
      </c>
      <c r="E120" s="21" t="s">
        <v>330</v>
      </c>
      <c r="F120" s="21" t="s">
        <v>331</v>
      </c>
      <c r="G120" s="8" t="str">
        <f t="shared" si="1"/>
        <v>DUNCAN SHEILA</v>
      </c>
    </row>
    <row r="121" spans="1:7" x14ac:dyDescent="0.25">
      <c r="A121" s="8">
        <v>42726.484884259262</v>
      </c>
      <c r="B121" s="21" t="s">
        <v>561</v>
      </c>
      <c r="C121" s="21" t="s">
        <v>562</v>
      </c>
      <c r="D121" s="164">
        <v>1100000</v>
      </c>
      <c r="E121" s="21" t="s">
        <v>367</v>
      </c>
      <c r="F121" s="21" t="s">
        <v>368</v>
      </c>
      <c r="G121" s="8" t="str">
        <f t="shared" si="1"/>
        <v>GEBRETEKLE DAGNEW</v>
      </c>
    </row>
    <row r="122" spans="1:7" x14ac:dyDescent="0.25">
      <c r="A122" s="8">
        <v>42726.48605324074</v>
      </c>
      <c r="B122" s="26" t="s">
        <v>243</v>
      </c>
      <c r="C122" s="21" t="s">
        <v>563</v>
      </c>
      <c r="D122" s="164">
        <v>2230000</v>
      </c>
      <c r="E122" s="21" t="s">
        <v>286</v>
      </c>
      <c r="F122" s="21" t="s">
        <v>262</v>
      </c>
      <c r="G122" s="8" t="str">
        <f t="shared" si="1"/>
        <v>SMITH MICHAEL</v>
      </c>
    </row>
    <row r="123" spans="1:7" x14ac:dyDescent="0.25">
      <c r="A123" s="8">
        <v>42726.490960648145</v>
      </c>
      <c r="B123" s="21" t="s">
        <v>155</v>
      </c>
      <c r="C123" s="21" t="s">
        <v>564</v>
      </c>
      <c r="D123" s="164">
        <v>930000</v>
      </c>
      <c r="E123" s="21" t="s">
        <v>332</v>
      </c>
      <c r="F123" s="21" t="s">
        <v>333</v>
      </c>
      <c r="G123" s="8" t="str">
        <f t="shared" si="1"/>
        <v>CLARK KATHLEEN</v>
      </c>
    </row>
    <row r="124" spans="1:7" x14ac:dyDescent="0.25">
      <c r="A124" s="8">
        <v>42726.496331018519</v>
      </c>
      <c r="B124" s="21" t="s">
        <v>387</v>
      </c>
      <c r="C124" s="21" t="s">
        <v>565</v>
      </c>
      <c r="D124" s="164">
        <v>1280000</v>
      </c>
      <c r="E124" s="21" t="s">
        <v>306</v>
      </c>
      <c r="F124" s="21" t="s">
        <v>307</v>
      </c>
      <c r="G124" s="8" t="str">
        <f t="shared" si="1"/>
        <v>BARTLETT KIANDRA</v>
      </c>
    </row>
    <row r="125" spans="1:7" x14ac:dyDescent="0.25">
      <c r="A125" s="8">
        <v>42726.503553240742</v>
      </c>
      <c r="B125" s="21" t="s">
        <v>300</v>
      </c>
      <c r="C125" s="21" t="s">
        <v>566</v>
      </c>
      <c r="D125" s="164">
        <v>2030000</v>
      </c>
      <c r="E125" s="21" t="s">
        <v>555</v>
      </c>
      <c r="F125" s="21" t="s">
        <v>250</v>
      </c>
      <c r="G125" s="8" t="str">
        <f t="shared" si="1"/>
        <v>KILLION DAVID</v>
      </c>
    </row>
    <row r="126" spans="1:7" x14ac:dyDescent="0.25">
      <c r="A126" s="8">
        <v>42726.506793981483</v>
      </c>
      <c r="B126" s="21" t="s">
        <v>274</v>
      </c>
      <c r="C126" s="21" t="s">
        <v>567</v>
      </c>
      <c r="D126" s="164">
        <v>1540000</v>
      </c>
      <c r="E126" s="21" t="s">
        <v>371</v>
      </c>
      <c r="F126" s="21" t="s">
        <v>372</v>
      </c>
      <c r="G126" s="8" t="str">
        <f t="shared" si="1"/>
        <v>HELVIE ADAM</v>
      </c>
    </row>
    <row r="127" spans="1:7" x14ac:dyDescent="0.25">
      <c r="A127" s="8">
        <v>42726.509629629632</v>
      </c>
      <c r="B127" s="21" t="s">
        <v>206</v>
      </c>
      <c r="C127" s="21" t="s">
        <v>568</v>
      </c>
      <c r="D127" s="164">
        <v>2680000</v>
      </c>
      <c r="E127" s="21" t="s">
        <v>330</v>
      </c>
      <c r="F127" s="21" t="s">
        <v>331</v>
      </c>
      <c r="G127" s="8" t="str">
        <f t="shared" si="1"/>
        <v>DUNCAN SHEILA</v>
      </c>
    </row>
    <row r="128" spans="1:7" x14ac:dyDescent="0.25">
      <c r="A128" s="8">
        <v>42726.513020833336</v>
      </c>
      <c r="B128" s="21" t="s">
        <v>259</v>
      </c>
      <c r="C128" s="21" t="s">
        <v>569</v>
      </c>
      <c r="D128" s="164">
        <v>1770000</v>
      </c>
      <c r="E128" s="21" t="s">
        <v>375</v>
      </c>
      <c r="F128" s="21" t="s">
        <v>376</v>
      </c>
      <c r="G128" s="8" t="str">
        <f t="shared" si="1"/>
        <v>BRUDER RICHARD</v>
      </c>
    </row>
    <row r="129" spans="1:7" x14ac:dyDescent="0.25">
      <c r="A129" s="8">
        <v>42726.518495370372</v>
      </c>
      <c r="B129" s="21" t="s">
        <v>257</v>
      </c>
      <c r="C129" s="21" t="s">
        <v>570</v>
      </c>
      <c r="D129" s="164">
        <v>2230000</v>
      </c>
      <c r="E129" s="21" t="s">
        <v>286</v>
      </c>
      <c r="F129" s="21" t="s">
        <v>262</v>
      </c>
      <c r="G129" s="8" t="str">
        <f t="shared" si="1"/>
        <v>SMITH MICHAEL</v>
      </c>
    </row>
    <row r="130" spans="1:7" x14ac:dyDescent="0.25">
      <c r="A130" s="8">
        <v>42726.51871527778</v>
      </c>
      <c r="B130" s="21" t="s">
        <v>329</v>
      </c>
      <c r="C130" s="21" t="s">
        <v>571</v>
      </c>
      <c r="D130" s="164">
        <v>1190000</v>
      </c>
      <c r="E130" s="21" t="s">
        <v>373</v>
      </c>
      <c r="F130" s="21" t="s">
        <v>374</v>
      </c>
      <c r="G130" s="8" t="str">
        <f t="shared" si="1"/>
        <v>BRANNON JEFFREY</v>
      </c>
    </row>
    <row r="131" spans="1:7" x14ac:dyDescent="0.25">
      <c r="A131" s="8">
        <v>42726.52548611111</v>
      </c>
      <c r="B131" s="21" t="s">
        <v>207</v>
      </c>
      <c r="C131" s="21" t="s">
        <v>572</v>
      </c>
      <c r="D131" s="164">
        <v>2680000</v>
      </c>
      <c r="E131" s="21" t="s">
        <v>330</v>
      </c>
      <c r="F131" s="21" t="s">
        <v>331</v>
      </c>
      <c r="G131" s="8" t="str">
        <f t="shared" ref="G131:G194" si="2">E131&amp;" "&amp;F131</f>
        <v>DUNCAN SHEILA</v>
      </c>
    </row>
    <row r="132" spans="1:7" x14ac:dyDescent="0.25">
      <c r="A132" s="8">
        <v>42726.528368055559</v>
      </c>
      <c r="B132" s="21" t="s">
        <v>381</v>
      </c>
      <c r="C132" s="21" t="s">
        <v>573</v>
      </c>
      <c r="D132" s="164">
        <v>1280000</v>
      </c>
      <c r="E132" s="21" t="s">
        <v>306</v>
      </c>
      <c r="F132" s="21" t="s">
        <v>307</v>
      </c>
      <c r="G132" s="8" t="str">
        <f t="shared" si="2"/>
        <v>BARTLETT KIANDRA</v>
      </c>
    </row>
    <row r="133" spans="1:7" x14ac:dyDescent="0.25">
      <c r="A133" s="8">
        <v>42726.528831018521</v>
      </c>
      <c r="B133" s="21" t="s">
        <v>154</v>
      </c>
      <c r="C133" s="21" t="s">
        <v>574</v>
      </c>
      <c r="D133" s="164">
        <v>930000</v>
      </c>
      <c r="E133" s="21" t="s">
        <v>332</v>
      </c>
      <c r="F133" s="21" t="s">
        <v>333</v>
      </c>
      <c r="G133" s="8" t="str">
        <f t="shared" si="2"/>
        <v>CLARK KATHLEEN</v>
      </c>
    </row>
    <row r="134" spans="1:7" x14ac:dyDescent="0.25">
      <c r="A134" s="8">
        <v>42726.539189814815</v>
      </c>
      <c r="B134" s="21" t="s">
        <v>301</v>
      </c>
      <c r="C134" s="21" t="s">
        <v>575</v>
      </c>
      <c r="D134" s="164">
        <v>2030000</v>
      </c>
      <c r="E134" s="21" t="s">
        <v>555</v>
      </c>
      <c r="F134" s="21" t="s">
        <v>250</v>
      </c>
      <c r="G134" s="8" t="str">
        <f t="shared" si="2"/>
        <v>KILLION DAVID</v>
      </c>
    </row>
    <row r="135" spans="1:7" x14ac:dyDescent="0.25">
      <c r="A135" s="8">
        <v>42726.545173611114</v>
      </c>
      <c r="B135" s="21" t="s">
        <v>206</v>
      </c>
      <c r="C135" s="21" t="s">
        <v>576</v>
      </c>
      <c r="D135" s="164">
        <v>2670000</v>
      </c>
      <c r="E135" s="21" t="s">
        <v>334</v>
      </c>
      <c r="F135" s="21" t="s">
        <v>335</v>
      </c>
      <c r="G135" s="8" t="str">
        <f t="shared" si="2"/>
        <v>COMELLA JUSTIN</v>
      </c>
    </row>
    <row r="136" spans="1:7" x14ac:dyDescent="0.25">
      <c r="A136" s="8">
        <v>42726.546412037038</v>
      </c>
      <c r="B136" s="21" t="s">
        <v>275</v>
      </c>
      <c r="C136" s="21" t="s">
        <v>577</v>
      </c>
      <c r="D136" s="164">
        <v>1540000</v>
      </c>
      <c r="E136" s="21" t="s">
        <v>371</v>
      </c>
      <c r="F136" s="21" t="s">
        <v>372</v>
      </c>
      <c r="G136" s="8" t="str">
        <f t="shared" si="2"/>
        <v>HELVIE ADAM</v>
      </c>
    </row>
    <row r="137" spans="1:7" x14ac:dyDescent="0.25">
      <c r="A137" s="8">
        <v>42726.547719907408</v>
      </c>
      <c r="B137" s="21" t="s">
        <v>229</v>
      </c>
      <c r="C137" s="21" t="s">
        <v>578</v>
      </c>
      <c r="D137" s="164">
        <v>1770000</v>
      </c>
      <c r="E137" s="21" t="s">
        <v>375</v>
      </c>
      <c r="F137" s="21" t="s">
        <v>376</v>
      </c>
      <c r="G137" s="8" t="str">
        <f t="shared" si="2"/>
        <v>BRUDER RICHARD</v>
      </c>
    </row>
    <row r="138" spans="1:7" x14ac:dyDescent="0.25">
      <c r="A138" s="8">
        <v>42726.557615740741</v>
      </c>
      <c r="B138" s="21" t="s">
        <v>322</v>
      </c>
      <c r="C138" s="21" t="s">
        <v>579</v>
      </c>
      <c r="D138" s="164">
        <v>1190000</v>
      </c>
      <c r="E138" s="21" t="s">
        <v>373</v>
      </c>
      <c r="F138" s="21" t="s">
        <v>374</v>
      </c>
      <c r="G138" s="8" t="str">
        <f t="shared" si="2"/>
        <v>BRANNON JEFFREY</v>
      </c>
    </row>
    <row r="139" spans="1:7" x14ac:dyDescent="0.25">
      <c r="A139" s="8">
        <v>42726.562708333331</v>
      </c>
      <c r="B139" s="21" t="s">
        <v>243</v>
      </c>
      <c r="C139" s="21" t="s">
        <v>580</v>
      </c>
      <c r="D139" s="164">
        <v>2230000</v>
      </c>
      <c r="E139" s="21" t="s">
        <v>286</v>
      </c>
      <c r="F139" s="21" t="s">
        <v>262</v>
      </c>
      <c r="G139" s="8" t="str">
        <f t="shared" si="2"/>
        <v>SMITH MICHAEL</v>
      </c>
    </row>
    <row r="140" spans="1:7" x14ac:dyDescent="0.25">
      <c r="A140" s="8">
        <v>42726.565081018518</v>
      </c>
      <c r="B140" s="21" t="s">
        <v>155</v>
      </c>
      <c r="C140" s="21" t="s">
        <v>581</v>
      </c>
      <c r="D140" s="164">
        <v>930000</v>
      </c>
      <c r="E140" s="21" t="s">
        <v>332</v>
      </c>
      <c r="F140" s="21" t="s">
        <v>333</v>
      </c>
      <c r="G140" s="8" t="str">
        <f t="shared" si="2"/>
        <v>CLARK KATHLEEN</v>
      </c>
    </row>
    <row r="141" spans="1:7" x14ac:dyDescent="0.25">
      <c r="A141" s="8">
        <v>42726.567511574074</v>
      </c>
      <c r="B141" s="21" t="s">
        <v>207</v>
      </c>
      <c r="C141" s="21" t="s">
        <v>582</v>
      </c>
      <c r="D141" s="164">
        <v>2670000</v>
      </c>
      <c r="E141" s="21" t="s">
        <v>334</v>
      </c>
      <c r="F141" s="21" t="s">
        <v>335</v>
      </c>
      <c r="G141" s="8" t="str">
        <f t="shared" si="2"/>
        <v>COMELLA JUSTIN</v>
      </c>
    </row>
    <row r="142" spans="1:7" x14ac:dyDescent="0.25">
      <c r="A142" s="8">
        <v>42726.571388888886</v>
      </c>
      <c r="B142" s="21" t="s">
        <v>387</v>
      </c>
      <c r="C142" s="21" t="s">
        <v>583</v>
      </c>
      <c r="D142" s="164">
        <v>1280000</v>
      </c>
      <c r="E142" s="21" t="s">
        <v>306</v>
      </c>
      <c r="F142" s="21" t="s">
        <v>307</v>
      </c>
      <c r="G142" s="8" t="str">
        <f t="shared" si="2"/>
        <v>BARTLETT KIANDRA</v>
      </c>
    </row>
    <row r="143" spans="1:7" x14ac:dyDescent="0.25">
      <c r="A143" s="8">
        <v>42726.574004629627</v>
      </c>
      <c r="B143" s="21" t="s">
        <v>300</v>
      </c>
      <c r="C143" s="21" t="s">
        <v>461</v>
      </c>
      <c r="D143" s="164">
        <v>2030000</v>
      </c>
      <c r="E143" s="21" t="s">
        <v>555</v>
      </c>
      <c r="F143" s="21" t="s">
        <v>250</v>
      </c>
      <c r="G143" s="8" t="str">
        <f t="shared" si="2"/>
        <v>KILLION DAVID</v>
      </c>
    </row>
    <row r="144" spans="1:7" x14ac:dyDescent="0.25">
      <c r="A144" s="8">
        <v>42726.582071759258</v>
      </c>
      <c r="B144" s="21" t="s">
        <v>274</v>
      </c>
      <c r="C144" s="21" t="s">
        <v>584</v>
      </c>
      <c r="D144" s="164">
        <v>1540000</v>
      </c>
      <c r="E144" s="21" t="s">
        <v>371</v>
      </c>
      <c r="F144" s="21" t="s">
        <v>372</v>
      </c>
      <c r="G144" s="8" t="str">
        <f t="shared" si="2"/>
        <v>HELVIE ADAM</v>
      </c>
    </row>
    <row r="145" spans="1:7" x14ac:dyDescent="0.25">
      <c r="A145" s="8">
        <v>42726.585902777777</v>
      </c>
      <c r="B145" s="21" t="s">
        <v>259</v>
      </c>
      <c r="C145" s="21" t="s">
        <v>585</v>
      </c>
      <c r="D145" s="164">
        <v>1770000</v>
      </c>
      <c r="E145" s="21" t="s">
        <v>375</v>
      </c>
      <c r="F145" s="21" t="s">
        <v>376</v>
      </c>
      <c r="G145" s="8" t="str">
        <f t="shared" si="2"/>
        <v>BRUDER RICHARD</v>
      </c>
    </row>
    <row r="146" spans="1:7" x14ac:dyDescent="0.25">
      <c r="A146" s="8">
        <v>42726.588182870371</v>
      </c>
      <c r="B146" s="21" t="s">
        <v>206</v>
      </c>
      <c r="C146" s="21" t="s">
        <v>586</v>
      </c>
      <c r="D146" s="164">
        <v>2360000</v>
      </c>
      <c r="E146" s="21" t="s">
        <v>536</v>
      </c>
      <c r="F146" s="21" t="s">
        <v>537</v>
      </c>
      <c r="G146" s="8" t="str">
        <f t="shared" si="2"/>
        <v>BRANDNER MELINDA</v>
      </c>
    </row>
    <row r="147" spans="1:7" x14ac:dyDescent="0.25">
      <c r="A147" s="8">
        <v>42726.591134259259</v>
      </c>
      <c r="B147" s="21" t="s">
        <v>329</v>
      </c>
      <c r="C147" s="21" t="s">
        <v>587</v>
      </c>
      <c r="D147" s="164">
        <v>1190000</v>
      </c>
      <c r="E147" s="21" t="s">
        <v>373</v>
      </c>
      <c r="F147" s="21" t="s">
        <v>374</v>
      </c>
      <c r="G147" s="8" t="str">
        <f t="shared" si="2"/>
        <v>BRANNON JEFFREY</v>
      </c>
    </row>
    <row r="148" spans="1:7" x14ac:dyDescent="0.25">
      <c r="A148" s="8">
        <v>42726.594351851854</v>
      </c>
      <c r="B148" s="21" t="s">
        <v>257</v>
      </c>
      <c r="C148" s="21" t="s">
        <v>588</v>
      </c>
      <c r="D148" s="164">
        <v>2230000</v>
      </c>
      <c r="E148" s="21" t="s">
        <v>286</v>
      </c>
      <c r="F148" s="21" t="s">
        <v>262</v>
      </c>
      <c r="G148" s="8" t="str">
        <f t="shared" si="2"/>
        <v>SMITH MICHAEL</v>
      </c>
    </row>
    <row r="149" spans="1:7" x14ac:dyDescent="0.25">
      <c r="A149" s="8">
        <v>42726.60193287037</v>
      </c>
      <c r="B149" s="21" t="s">
        <v>154</v>
      </c>
      <c r="C149" s="21" t="s">
        <v>589</v>
      </c>
      <c r="D149" s="164">
        <v>930000</v>
      </c>
      <c r="E149" s="21" t="s">
        <v>332</v>
      </c>
      <c r="F149" s="21" t="s">
        <v>333</v>
      </c>
      <c r="G149" s="8" t="str">
        <f t="shared" si="2"/>
        <v>CLARK KATHLEEN</v>
      </c>
    </row>
    <row r="150" spans="1:7" x14ac:dyDescent="0.25">
      <c r="A150" s="8">
        <v>42726.602094907408</v>
      </c>
      <c r="B150" s="21" t="s">
        <v>381</v>
      </c>
      <c r="C150" s="21" t="s">
        <v>590</v>
      </c>
      <c r="D150" s="164">
        <v>1280000</v>
      </c>
      <c r="E150" s="21" t="s">
        <v>306</v>
      </c>
      <c r="F150" s="21" t="s">
        <v>307</v>
      </c>
      <c r="G150" s="8" t="str">
        <f t="shared" si="2"/>
        <v>BARTLETT KIANDRA</v>
      </c>
    </row>
    <row r="151" spans="1:7" x14ac:dyDescent="0.25">
      <c r="A151" s="8">
        <v>42726.609861111108</v>
      </c>
      <c r="B151" s="21" t="s">
        <v>207</v>
      </c>
      <c r="C151" s="21" t="s">
        <v>591</v>
      </c>
      <c r="D151" s="164">
        <v>2670000</v>
      </c>
      <c r="E151" s="21" t="s">
        <v>334</v>
      </c>
      <c r="F151" s="21" t="s">
        <v>335</v>
      </c>
      <c r="G151" s="8" t="str">
        <f t="shared" si="2"/>
        <v>COMELLA JUSTIN</v>
      </c>
    </row>
    <row r="152" spans="1:7" x14ac:dyDescent="0.25">
      <c r="A152" s="8">
        <v>42726.612638888888</v>
      </c>
      <c r="B152" s="21" t="s">
        <v>301</v>
      </c>
      <c r="C152" s="21" t="s">
        <v>462</v>
      </c>
      <c r="D152" s="164">
        <v>2030000</v>
      </c>
      <c r="E152" s="21" t="s">
        <v>555</v>
      </c>
      <c r="F152" s="21" t="s">
        <v>250</v>
      </c>
      <c r="G152" s="8" t="str">
        <f t="shared" si="2"/>
        <v>KILLION DAVID</v>
      </c>
    </row>
    <row r="153" spans="1:7" x14ac:dyDescent="0.25">
      <c r="A153" s="8">
        <v>42726.620162037034</v>
      </c>
      <c r="B153" s="21" t="s">
        <v>275</v>
      </c>
      <c r="C153" s="21" t="s">
        <v>592</v>
      </c>
      <c r="D153" s="164">
        <v>1540000</v>
      </c>
      <c r="E153" s="21" t="s">
        <v>371</v>
      </c>
      <c r="F153" s="21" t="s">
        <v>372</v>
      </c>
      <c r="G153" s="8" t="str">
        <f t="shared" si="2"/>
        <v>HELVIE ADAM</v>
      </c>
    </row>
    <row r="154" spans="1:7" x14ac:dyDescent="0.25">
      <c r="A154" s="8">
        <v>42726.620462962965</v>
      </c>
      <c r="B154" s="21" t="s">
        <v>229</v>
      </c>
      <c r="C154" s="21" t="s">
        <v>464</v>
      </c>
      <c r="D154" s="164">
        <v>1770000</v>
      </c>
      <c r="E154" s="21" t="s">
        <v>375</v>
      </c>
      <c r="F154" s="21" t="s">
        <v>376</v>
      </c>
      <c r="G154" s="8" t="str">
        <f t="shared" si="2"/>
        <v>BRUDER RICHARD</v>
      </c>
    </row>
    <row r="155" spans="1:7" x14ac:dyDescent="0.25">
      <c r="A155" s="8">
        <v>42726.623298611114</v>
      </c>
      <c r="B155" s="21" t="s">
        <v>322</v>
      </c>
      <c r="C155" s="21" t="s">
        <v>593</v>
      </c>
      <c r="D155" s="164">
        <v>1190000</v>
      </c>
      <c r="E155" s="21" t="s">
        <v>373</v>
      </c>
      <c r="F155" s="21" t="s">
        <v>374</v>
      </c>
      <c r="G155" s="8" t="str">
        <f t="shared" si="2"/>
        <v>BRANNON JEFFREY</v>
      </c>
    </row>
    <row r="156" spans="1:7" x14ac:dyDescent="0.25">
      <c r="A156" s="8">
        <v>42726.624965277777</v>
      </c>
      <c r="B156" s="21" t="s">
        <v>257</v>
      </c>
      <c r="C156" s="21" t="s">
        <v>588</v>
      </c>
      <c r="D156" s="164">
        <v>2230000</v>
      </c>
      <c r="E156" s="21" t="s">
        <v>286</v>
      </c>
      <c r="F156" s="21" t="s">
        <v>262</v>
      </c>
      <c r="G156" s="8" t="str">
        <f t="shared" si="2"/>
        <v>SMITH MICHAEL</v>
      </c>
    </row>
    <row r="157" spans="1:7" x14ac:dyDescent="0.25">
      <c r="A157" s="8">
        <v>42726.629548611112</v>
      </c>
      <c r="B157" s="21" t="s">
        <v>183</v>
      </c>
      <c r="C157" s="21" t="s">
        <v>467</v>
      </c>
      <c r="D157" s="164">
        <v>1280000</v>
      </c>
      <c r="E157" s="21" t="s">
        <v>306</v>
      </c>
      <c r="F157" s="21" t="s">
        <v>307</v>
      </c>
      <c r="G157" s="8" t="str">
        <f t="shared" si="2"/>
        <v>BARTLETT KIANDRA</v>
      </c>
    </row>
    <row r="158" spans="1:7" x14ac:dyDescent="0.25">
      <c r="A158" s="8">
        <v>42726.636921296296</v>
      </c>
      <c r="B158" s="21" t="s">
        <v>206</v>
      </c>
      <c r="C158" s="21" t="s">
        <v>594</v>
      </c>
      <c r="D158" s="164">
        <v>2670000</v>
      </c>
      <c r="E158" s="21" t="s">
        <v>334</v>
      </c>
      <c r="F158" s="21" t="s">
        <v>335</v>
      </c>
      <c r="G158" s="8" t="str">
        <f t="shared" si="2"/>
        <v>COMELLA JUSTIN</v>
      </c>
    </row>
    <row r="159" spans="1:7" x14ac:dyDescent="0.25">
      <c r="A159" s="8">
        <v>42726.637800925928</v>
      </c>
      <c r="B159" s="21" t="s">
        <v>243</v>
      </c>
      <c r="C159" s="21" t="s">
        <v>595</v>
      </c>
      <c r="D159" s="164">
        <v>2230000</v>
      </c>
      <c r="E159" s="21" t="s">
        <v>286</v>
      </c>
      <c r="F159" s="21" t="s">
        <v>262</v>
      </c>
      <c r="G159" s="8" t="str">
        <f t="shared" si="2"/>
        <v>SMITH MICHAEL</v>
      </c>
    </row>
    <row r="160" spans="1:7" x14ac:dyDescent="0.25">
      <c r="A160" s="8">
        <v>42726.638819444444</v>
      </c>
      <c r="B160" s="21" t="s">
        <v>155</v>
      </c>
      <c r="C160" s="21" t="s">
        <v>596</v>
      </c>
      <c r="D160" s="164">
        <v>930000</v>
      </c>
      <c r="E160" s="21" t="s">
        <v>332</v>
      </c>
      <c r="F160" s="21" t="s">
        <v>333</v>
      </c>
      <c r="G160" s="8" t="str">
        <f t="shared" si="2"/>
        <v>CLARK KATHLEEN</v>
      </c>
    </row>
    <row r="161" spans="1:7" x14ac:dyDescent="0.25">
      <c r="A161" s="8">
        <v>42726.641689814816</v>
      </c>
      <c r="B161" s="21" t="s">
        <v>303</v>
      </c>
      <c r="C161" s="21" t="s">
        <v>463</v>
      </c>
      <c r="D161" s="164">
        <v>2730000</v>
      </c>
      <c r="E161" s="21" t="s">
        <v>336</v>
      </c>
      <c r="F161" s="21" t="s">
        <v>337</v>
      </c>
      <c r="G161" s="8" t="str">
        <f t="shared" si="2"/>
        <v>YANG JAN</v>
      </c>
    </row>
    <row r="162" spans="1:7" x14ac:dyDescent="0.25">
      <c r="A162" s="8">
        <v>42726.650127314817</v>
      </c>
      <c r="B162" s="21" t="s">
        <v>183</v>
      </c>
      <c r="C162" s="21" t="s">
        <v>467</v>
      </c>
      <c r="D162" s="164">
        <v>1280000</v>
      </c>
      <c r="E162" s="21" t="s">
        <v>306</v>
      </c>
      <c r="F162" s="21" t="s">
        <v>307</v>
      </c>
      <c r="G162" s="8" t="str">
        <f t="shared" si="2"/>
        <v>BARTLETT KIANDRA</v>
      </c>
    </row>
    <row r="163" spans="1:7" x14ac:dyDescent="0.25">
      <c r="A163" s="8">
        <v>42726.651006944441</v>
      </c>
      <c r="B163" s="21" t="s">
        <v>207</v>
      </c>
      <c r="C163" s="21" t="s">
        <v>597</v>
      </c>
      <c r="D163" s="164">
        <v>2670000</v>
      </c>
      <c r="E163" s="21" t="s">
        <v>334</v>
      </c>
      <c r="F163" s="21" t="s">
        <v>335</v>
      </c>
      <c r="G163" s="8" t="str">
        <f t="shared" si="2"/>
        <v>COMELLA JUSTIN</v>
      </c>
    </row>
    <row r="164" spans="1:7" x14ac:dyDescent="0.25">
      <c r="A164" s="8">
        <v>42726.651041666664</v>
      </c>
      <c r="B164" s="21" t="s">
        <v>300</v>
      </c>
      <c r="C164" s="21" t="s">
        <v>465</v>
      </c>
      <c r="D164" s="164">
        <v>2030000</v>
      </c>
      <c r="E164" s="21" t="s">
        <v>555</v>
      </c>
      <c r="F164" s="21" t="s">
        <v>250</v>
      </c>
      <c r="G164" s="8" t="str">
        <f t="shared" si="2"/>
        <v>KILLION DAVID</v>
      </c>
    </row>
    <row r="165" spans="1:7" x14ac:dyDescent="0.25">
      <c r="A165" s="8">
        <v>42726.652384259258</v>
      </c>
      <c r="B165" s="21" t="s">
        <v>274</v>
      </c>
      <c r="C165" s="21" t="s">
        <v>598</v>
      </c>
      <c r="D165" s="164">
        <v>1760000</v>
      </c>
      <c r="E165" s="21" t="s">
        <v>599</v>
      </c>
      <c r="F165" s="21" t="s">
        <v>600</v>
      </c>
      <c r="G165" s="8" t="str">
        <f t="shared" si="2"/>
        <v>STRICKLAND EVAN</v>
      </c>
    </row>
    <row r="166" spans="1:7" x14ac:dyDescent="0.25">
      <c r="A166" s="8">
        <v>42726.654513888891</v>
      </c>
      <c r="B166" s="21" t="s">
        <v>302</v>
      </c>
      <c r="C166" s="21" t="s">
        <v>466</v>
      </c>
      <c r="D166" s="164">
        <v>2730000</v>
      </c>
      <c r="E166" s="21" t="s">
        <v>336</v>
      </c>
      <c r="F166" s="21" t="s">
        <v>337</v>
      </c>
      <c r="G166" s="8" t="str">
        <f t="shared" si="2"/>
        <v>YANG JAN</v>
      </c>
    </row>
    <row r="167" spans="1:7" x14ac:dyDescent="0.25">
      <c r="A167" s="8">
        <v>42726.659467592595</v>
      </c>
      <c r="B167" s="21" t="s">
        <v>259</v>
      </c>
      <c r="C167" s="21" t="s">
        <v>601</v>
      </c>
      <c r="D167" s="164">
        <v>1770000</v>
      </c>
      <c r="E167" s="21" t="s">
        <v>375</v>
      </c>
      <c r="F167" s="21" t="s">
        <v>376</v>
      </c>
      <c r="G167" s="8" t="str">
        <f t="shared" si="2"/>
        <v>BRUDER RICHARD</v>
      </c>
    </row>
    <row r="168" spans="1:7" x14ac:dyDescent="0.25">
      <c r="A168" s="8">
        <v>42726.662314814814</v>
      </c>
      <c r="B168" s="21" t="s">
        <v>329</v>
      </c>
      <c r="C168" s="21" t="s">
        <v>602</v>
      </c>
      <c r="D168" s="164">
        <v>1190000</v>
      </c>
      <c r="E168" s="21" t="s">
        <v>373</v>
      </c>
      <c r="F168" s="21" t="s">
        <v>374</v>
      </c>
      <c r="G168" s="8" t="str">
        <f t="shared" si="2"/>
        <v>BRANNON JEFFREY</v>
      </c>
    </row>
    <row r="169" spans="1:7" x14ac:dyDescent="0.25">
      <c r="A169" s="8">
        <v>42726.666643518518</v>
      </c>
      <c r="B169" s="21" t="s">
        <v>257</v>
      </c>
      <c r="C169" s="21" t="s">
        <v>603</v>
      </c>
      <c r="D169" s="164">
        <v>2230000</v>
      </c>
      <c r="E169" s="21" t="s">
        <v>286</v>
      </c>
      <c r="F169" s="21" t="s">
        <v>262</v>
      </c>
      <c r="G169" s="8" t="str">
        <f t="shared" si="2"/>
        <v>SMITH MICHAEL</v>
      </c>
    </row>
    <row r="170" spans="1:7" x14ac:dyDescent="0.25">
      <c r="A170" s="8">
        <v>42726.673090277778</v>
      </c>
      <c r="B170" s="21" t="s">
        <v>303</v>
      </c>
      <c r="C170" s="21" t="s">
        <v>468</v>
      </c>
      <c r="D170" s="164">
        <v>2730000</v>
      </c>
      <c r="E170" s="21" t="s">
        <v>336</v>
      </c>
      <c r="F170" s="21" t="s">
        <v>337</v>
      </c>
      <c r="G170" s="8" t="str">
        <f t="shared" si="2"/>
        <v>YANG JAN</v>
      </c>
    </row>
    <row r="171" spans="1:7" x14ac:dyDescent="0.25">
      <c r="A171" s="8">
        <v>42726.674004629633</v>
      </c>
      <c r="B171" s="21" t="s">
        <v>206</v>
      </c>
      <c r="C171" s="21" t="s">
        <v>604</v>
      </c>
      <c r="D171" s="164">
        <v>2670000</v>
      </c>
      <c r="E171" s="21" t="s">
        <v>334</v>
      </c>
      <c r="F171" s="21" t="s">
        <v>335</v>
      </c>
      <c r="G171" s="8" t="str">
        <f t="shared" si="2"/>
        <v>COMELLA JUSTIN</v>
      </c>
    </row>
    <row r="172" spans="1:7" x14ac:dyDescent="0.25">
      <c r="A172" s="8">
        <v>42726.675949074073</v>
      </c>
      <c r="B172" s="21" t="s">
        <v>154</v>
      </c>
      <c r="C172" s="21" t="s">
        <v>605</v>
      </c>
      <c r="D172" s="164">
        <v>930000</v>
      </c>
      <c r="E172" s="21" t="s">
        <v>332</v>
      </c>
      <c r="F172" s="21" t="s">
        <v>333</v>
      </c>
      <c r="G172" s="8" t="str">
        <f t="shared" si="2"/>
        <v>CLARK KATHLEEN</v>
      </c>
    </row>
    <row r="173" spans="1:7" x14ac:dyDescent="0.25">
      <c r="A173" s="8">
        <v>42726.684074074074</v>
      </c>
      <c r="B173" s="21" t="s">
        <v>285</v>
      </c>
      <c r="C173" s="21" t="s">
        <v>606</v>
      </c>
      <c r="D173" s="164">
        <v>1280000</v>
      </c>
      <c r="E173" s="21" t="s">
        <v>306</v>
      </c>
      <c r="F173" s="21" t="s">
        <v>307</v>
      </c>
      <c r="G173" s="8" t="str">
        <f t="shared" si="2"/>
        <v>BARTLETT KIANDRA</v>
      </c>
    </row>
    <row r="174" spans="1:7" x14ac:dyDescent="0.25">
      <c r="A174" s="8">
        <v>42726.688043981485</v>
      </c>
      <c r="B174" s="21" t="s">
        <v>301</v>
      </c>
      <c r="C174" s="21" t="s">
        <v>607</v>
      </c>
      <c r="D174" s="164">
        <v>2030000</v>
      </c>
      <c r="E174" s="21" t="s">
        <v>555</v>
      </c>
      <c r="F174" s="21" t="s">
        <v>250</v>
      </c>
      <c r="G174" s="8" t="str">
        <f t="shared" si="2"/>
        <v>KILLION DAVID</v>
      </c>
    </row>
    <row r="175" spans="1:7" x14ac:dyDescent="0.25">
      <c r="A175" s="8">
        <v>42726.689328703702</v>
      </c>
      <c r="B175" s="21" t="s">
        <v>275</v>
      </c>
      <c r="C175" s="21" t="s">
        <v>608</v>
      </c>
      <c r="D175" s="164">
        <v>1760000</v>
      </c>
      <c r="E175" s="21" t="s">
        <v>599</v>
      </c>
      <c r="F175" s="21" t="s">
        <v>600</v>
      </c>
      <c r="G175" s="8" t="str">
        <f t="shared" si="2"/>
        <v>STRICKLAND EVAN</v>
      </c>
    </row>
    <row r="176" spans="1:7" x14ac:dyDescent="0.25">
      <c r="A176" s="8">
        <v>42726.693252314813</v>
      </c>
      <c r="B176" s="21" t="s">
        <v>207</v>
      </c>
      <c r="C176" s="21" t="s">
        <v>609</v>
      </c>
      <c r="D176" s="164">
        <v>2670000</v>
      </c>
      <c r="E176" s="21" t="s">
        <v>334</v>
      </c>
      <c r="F176" s="21" t="s">
        <v>335</v>
      </c>
      <c r="G176" s="8" t="str">
        <f t="shared" si="2"/>
        <v>COMELLA JUSTIN</v>
      </c>
    </row>
    <row r="177" spans="1:7" x14ac:dyDescent="0.25">
      <c r="A177" s="8">
        <v>42726.69363425926</v>
      </c>
      <c r="B177" s="21" t="s">
        <v>229</v>
      </c>
      <c r="C177" s="21" t="s">
        <v>610</v>
      </c>
      <c r="D177" s="164">
        <v>1770000</v>
      </c>
      <c r="E177" s="21" t="s">
        <v>375</v>
      </c>
      <c r="F177" s="21" t="s">
        <v>376</v>
      </c>
      <c r="G177" s="8" t="str">
        <f t="shared" si="2"/>
        <v>BRUDER RICHARD</v>
      </c>
    </row>
    <row r="178" spans="1:7" x14ac:dyDescent="0.25">
      <c r="A178" s="8">
        <v>42726.696099537039</v>
      </c>
      <c r="B178" s="21" t="s">
        <v>302</v>
      </c>
      <c r="C178" s="21" t="s">
        <v>611</v>
      </c>
      <c r="D178" s="164">
        <v>2730000</v>
      </c>
      <c r="E178" s="21" t="s">
        <v>336</v>
      </c>
      <c r="F178" s="21" t="s">
        <v>337</v>
      </c>
      <c r="G178" s="8" t="str">
        <f t="shared" si="2"/>
        <v>YANG JAN</v>
      </c>
    </row>
    <row r="179" spans="1:7" x14ac:dyDescent="0.25">
      <c r="A179" s="8">
        <v>42726.697951388887</v>
      </c>
      <c r="B179" s="21" t="s">
        <v>322</v>
      </c>
      <c r="C179" s="21" t="s">
        <v>612</v>
      </c>
      <c r="D179" s="164">
        <v>1190000</v>
      </c>
      <c r="E179" s="21" t="s">
        <v>373</v>
      </c>
      <c r="F179" s="21" t="s">
        <v>374</v>
      </c>
      <c r="G179" s="8" t="str">
        <f t="shared" si="2"/>
        <v>BRANNON JEFFREY</v>
      </c>
    </row>
    <row r="180" spans="1:7" x14ac:dyDescent="0.25">
      <c r="A180" s="8">
        <v>42726.704722222225</v>
      </c>
      <c r="B180" s="21" t="s">
        <v>243</v>
      </c>
      <c r="C180" s="21" t="s">
        <v>613</v>
      </c>
      <c r="D180" s="164">
        <v>2230000</v>
      </c>
      <c r="E180" s="21" t="s">
        <v>286</v>
      </c>
      <c r="F180" s="21" t="s">
        <v>262</v>
      </c>
      <c r="G180" s="8" t="str">
        <f t="shared" si="2"/>
        <v>SMITH MICHAEL</v>
      </c>
    </row>
    <row r="181" spans="1:7" x14ac:dyDescent="0.25">
      <c r="A181" s="8">
        <v>42726.711805555555</v>
      </c>
      <c r="B181" s="21" t="s">
        <v>469</v>
      </c>
      <c r="C181" s="21" t="s">
        <v>470</v>
      </c>
      <c r="D181" s="164">
        <v>1810000</v>
      </c>
      <c r="E181" s="21" t="s">
        <v>287</v>
      </c>
      <c r="F181" s="21" t="s">
        <v>251</v>
      </c>
      <c r="G181" s="8" t="str">
        <f t="shared" si="2"/>
        <v>NEWELL JAMES</v>
      </c>
    </row>
    <row r="182" spans="1:7" x14ac:dyDescent="0.25">
      <c r="A182" s="8">
        <v>42726.712141203701</v>
      </c>
      <c r="B182" s="21" t="s">
        <v>155</v>
      </c>
      <c r="C182" s="21" t="s">
        <v>614</v>
      </c>
      <c r="D182" s="164">
        <v>930000</v>
      </c>
      <c r="E182" s="21" t="s">
        <v>332</v>
      </c>
      <c r="F182" s="21" t="s">
        <v>333</v>
      </c>
      <c r="G182" s="8" t="str">
        <f t="shared" si="2"/>
        <v>CLARK KATHLEEN</v>
      </c>
    </row>
    <row r="183" spans="1:7" x14ac:dyDescent="0.25">
      <c r="A183" s="8">
        <v>42726.713703703703</v>
      </c>
      <c r="B183" s="21" t="s">
        <v>183</v>
      </c>
      <c r="C183" s="21" t="s">
        <v>615</v>
      </c>
      <c r="D183" s="164">
        <v>2480000</v>
      </c>
      <c r="E183" s="21" t="s">
        <v>616</v>
      </c>
      <c r="F183" s="21" t="s">
        <v>378</v>
      </c>
      <c r="G183" s="8" t="str">
        <f t="shared" si="2"/>
        <v>WHITED DUSTIN</v>
      </c>
    </row>
    <row r="184" spans="1:7" x14ac:dyDescent="0.25">
      <c r="A184" s="8">
        <v>42726.713796296295</v>
      </c>
      <c r="B184" s="21" t="s">
        <v>303</v>
      </c>
      <c r="C184" s="21" t="s">
        <v>471</v>
      </c>
      <c r="D184" s="164">
        <v>2730000</v>
      </c>
      <c r="E184" s="21" t="s">
        <v>336</v>
      </c>
      <c r="F184" s="21" t="s">
        <v>337</v>
      </c>
      <c r="G184" s="8" t="str">
        <f t="shared" si="2"/>
        <v>YANG JAN</v>
      </c>
    </row>
    <row r="185" spans="1:7" x14ac:dyDescent="0.25">
      <c r="A185" s="8">
        <v>42726.718298611115</v>
      </c>
      <c r="B185" s="21" t="s">
        <v>206</v>
      </c>
      <c r="C185" s="21" t="s">
        <v>617</v>
      </c>
      <c r="D185" s="164">
        <v>2670000</v>
      </c>
      <c r="E185" s="21" t="s">
        <v>334</v>
      </c>
      <c r="F185" s="21" t="s">
        <v>335</v>
      </c>
      <c r="G185" s="8" t="str">
        <f t="shared" si="2"/>
        <v>COMELLA JUSTIN</v>
      </c>
    </row>
    <row r="186" spans="1:7" x14ac:dyDescent="0.25">
      <c r="A186" s="8">
        <v>42726.721018518518</v>
      </c>
      <c r="B186" s="21" t="s">
        <v>300</v>
      </c>
      <c r="C186" s="21" t="s">
        <v>472</v>
      </c>
      <c r="D186" s="164">
        <v>2030000</v>
      </c>
      <c r="E186" s="21" t="s">
        <v>555</v>
      </c>
      <c r="F186" s="21" t="s">
        <v>250</v>
      </c>
      <c r="G186" s="8" t="str">
        <f t="shared" si="2"/>
        <v>KILLION DAVID</v>
      </c>
    </row>
    <row r="187" spans="1:7" x14ac:dyDescent="0.25">
      <c r="A187" s="8">
        <v>42726.726666666669</v>
      </c>
      <c r="B187" s="21" t="s">
        <v>274</v>
      </c>
      <c r="C187" s="21" t="s">
        <v>473</v>
      </c>
      <c r="D187" s="164">
        <v>1280000</v>
      </c>
      <c r="E187" s="21" t="s">
        <v>306</v>
      </c>
      <c r="F187" s="21" t="s">
        <v>307</v>
      </c>
      <c r="G187" s="8" t="str">
        <f t="shared" si="2"/>
        <v>BARTLETT KIANDRA</v>
      </c>
    </row>
    <row r="188" spans="1:7" x14ac:dyDescent="0.25">
      <c r="A188" s="8">
        <v>42726.732743055552</v>
      </c>
      <c r="B188" s="21" t="s">
        <v>387</v>
      </c>
      <c r="C188" s="21" t="s">
        <v>618</v>
      </c>
      <c r="D188" s="164">
        <v>1810000</v>
      </c>
      <c r="E188" s="21" t="s">
        <v>287</v>
      </c>
      <c r="F188" s="21" t="s">
        <v>251</v>
      </c>
      <c r="G188" s="8" t="str">
        <f t="shared" si="2"/>
        <v>NEWELL JAMES</v>
      </c>
    </row>
    <row r="189" spans="1:7" x14ac:dyDescent="0.25">
      <c r="A189" s="8">
        <v>42726.733912037038</v>
      </c>
      <c r="B189" s="21" t="s">
        <v>259</v>
      </c>
      <c r="C189" s="21" t="s">
        <v>619</v>
      </c>
      <c r="D189" s="164">
        <v>1770000</v>
      </c>
      <c r="E189" s="21" t="s">
        <v>375</v>
      </c>
      <c r="F189" s="21" t="s">
        <v>376</v>
      </c>
      <c r="G189" s="8" t="str">
        <f t="shared" si="2"/>
        <v>BRUDER RICHARD</v>
      </c>
    </row>
    <row r="190" spans="1:7" x14ac:dyDescent="0.25">
      <c r="A190" s="8">
        <v>42726.735625000001</v>
      </c>
      <c r="B190" s="21" t="s">
        <v>207</v>
      </c>
      <c r="C190" s="21" t="s">
        <v>620</v>
      </c>
      <c r="D190" s="164">
        <v>2670000</v>
      </c>
      <c r="E190" s="21" t="s">
        <v>334</v>
      </c>
      <c r="F190" s="21" t="s">
        <v>335</v>
      </c>
      <c r="G190" s="8" t="str">
        <f t="shared" si="2"/>
        <v>COMELLA JUSTIN</v>
      </c>
    </row>
    <row r="191" spans="1:7" x14ac:dyDescent="0.25">
      <c r="A191" s="8">
        <v>42726.737905092596</v>
      </c>
      <c r="B191" s="21" t="s">
        <v>210</v>
      </c>
      <c r="C191" s="21" t="s">
        <v>621</v>
      </c>
      <c r="D191" s="164">
        <v>2270000</v>
      </c>
      <c r="E191" s="21" t="s">
        <v>379</v>
      </c>
      <c r="F191" s="21" t="s">
        <v>380</v>
      </c>
      <c r="G191" s="8" t="str">
        <f t="shared" si="2"/>
        <v>BROWN JACOB</v>
      </c>
    </row>
    <row r="192" spans="1:7" x14ac:dyDescent="0.25">
      <c r="A192" s="8">
        <v>42726.738275462965</v>
      </c>
      <c r="B192" s="21" t="s">
        <v>302</v>
      </c>
      <c r="C192" s="21" t="s">
        <v>622</v>
      </c>
      <c r="D192" s="164">
        <v>2730000</v>
      </c>
      <c r="E192" s="21" t="s">
        <v>336</v>
      </c>
      <c r="F192" s="21" t="s">
        <v>337</v>
      </c>
      <c r="G192" s="8" t="str">
        <f t="shared" si="2"/>
        <v>YANG JAN</v>
      </c>
    </row>
    <row r="193" spans="1:7" x14ac:dyDescent="0.25">
      <c r="A193" s="8">
        <v>42726.739768518521</v>
      </c>
      <c r="B193" s="21" t="s">
        <v>257</v>
      </c>
      <c r="C193" s="21" t="s">
        <v>623</v>
      </c>
      <c r="D193" s="164">
        <v>2230000</v>
      </c>
      <c r="E193" s="21" t="s">
        <v>286</v>
      </c>
      <c r="F193" s="21" t="s">
        <v>262</v>
      </c>
      <c r="G193" s="8" t="str">
        <f t="shared" si="2"/>
        <v>SMITH MICHAEL</v>
      </c>
    </row>
    <row r="194" spans="1:7" x14ac:dyDescent="0.25">
      <c r="A194" s="8">
        <v>42726.750138888892</v>
      </c>
      <c r="B194" s="21" t="s">
        <v>154</v>
      </c>
      <c r="C194" s="21" t="s">
        <v>624</v>
      </c>
      <c r="D194" s="164">
        <v>1190000</v>
      </c>
      <c r="E194" s="21" t="s">
        <v>373</v>
      </c>
      <c r="F194" s="21" t="s">
        <v>374</v>
      </c>
      <c r="G194" s="8" t="str">
        <f t="shared" si="2"/>
        <v>BRANNON JEFFREY</v>
      </c>
    </row>
    <row r="195" spans="1:7" x14ac:dyDescent="0.25">
      <c r="A195" s="8">
        <v>42726.7503125</v>
      </c>
      <c r="B195" s="21" t="s">
        <v>329</v>
      </c>
      <c r="C195" s="21" t="s">
        <v>625</v>
      </c>
      <c r="D195" s="164">
        <v>2040000</v>
      </c>
      <c r="E195" s="21" t="s">
        <v>552</v>
      </c>
      <c r="F195" s="21" t="s">
        <v>553</v>
      </c>
      <c r="G195" s="8" t="str">
        <f t="shared" ref="G195:G258" si="3">E195&amp;" "&amp;F195</f>
        <v>MOSES BRADLEY</v>
      </c>
    </row>
    <row r="196" spans="1:7" x14ac:dyDescent="0.25">
      <c r="A196" s="8">
        <v>42726.753611111111</v>
      </c>
      <c r="B196" s="21" t="s">
        <v>285</v>
      </c>
      <c r="C196" s="21" t="s">
        <v>626</v>
      </c>
      <c r="D196" s="164">
        <v>2480000</v>
      </c>
      <c r="E196" s="21" t="s">
        <v>616</v>
      </c>
      <c r="F196" s="21" t="s">
        <v>378</v>
      </c>
      <c r="G196" s="8" t="str">
        <f t="shared" si="3"/>
        <v>WHITED DUSTIN</v>
      </c>
    </row>
    <row r="197" spans="1:7" x14ac:dyDescent="0.25">
      <c r="A197" s="8">
        <v>42726.756377314814</v>
      </c>
      <c r="B197" s="21" t="s">
        <v>303</v>
      </c>
      <c r="C197" s="21" t="s">
        <v>627</v>
      </c>
      <c r="D197" s="164">
        <v>2730000</v>
      </c>
      <c r="E197" s="21" t="s">
        <v>336</v>
      </c>
      <c r="F197" s="21" t="s">
        <v>337</v>
      </c>
      <c r="G197" s="8" t="str">
        <f t="shared" si="3"/>
        <v>YANG JAN</v>
      </c>
    </row>
    <row r="198" spans="1:7" x14ac:dyDescent="0.25">
      <c r="A198" s="8">
        <v>42726.757592592592</v>
      </c>
      <c r="B198" s="21" t="s">
        <v>275</v>
      </c>
      <c r="C198" s="21" t="s">
        <v>628</v>
      </c>
      <c r="D198" s="164">
        <v>1280000</v>
      </c>
      <c r="E198" s="21" t="s">
        <v>306</v>
      </c>
      <c r="F198" s="21" t="s">
        <v>307</v>
      </c>
      <c r="G198" s="8" t="str">
        <f t="shared" si="3"/>
        <v>BARTLETT KIANDRA</v>
      </c>
    </row>
    <row r="199" spans="1:7" x14ac:dyDescent="0.25">
      <c r="A199" s="8">
        <v>42726.759687500002</v>
      </c>
      <c r="B199" s="21" t="s">
        <v>301</v>
      </c>
      <c r="C199" s="21" t="s">
        <v>629</v>
      </c>
      <c r="D199" s="164">
        <v>2270000</v>
      </c>
      <c r="E199" s="21" t="s">
        <v>379</v>
      </c>
      <c r="F199" s="21" t="s">
        <v>380</v>
      </c>
      <c r="G199" s="8" t="str">
        <f t="shared" si="3"/>
        <v>BROWN JACOB</v>
      </c>
    </row>
    <row r="200" spans="1:7" x14ac:dyDescent="0.25">
      <c r="A200" s="8">
        <v>42726.761238425926</v>
      </c>
      <c r="B200" s="21" t="s">
        <v>204</v>
      </c>
      <c r="C200" s="21" t="s">
        <v>630</v>
      </c>
      <c r="D200" s="164">
        <v>930000</v>
      </c>
      <c r="E200" s="21" t="s">
        <v>332</v>
      </c>
      <c r="F200" s="21" t="s">
        <v>333</v>
      </c>
      <c r="G200" s="8" t="str">
        <f t="shared" si="3"/>
        <v>CLARK KATHLEEN</v>
      </c>
    </row>
    <row r="201" spans="1:7" x14ac:dyDescent="0.25">
      <c r="A201" s="8">
        <v>42726.761458333334</v>
      </c>
      <c r="B201" s="21" t="s">
        <v>206</v>
      </c>
      <c r="C201" s="21" t="s">
        <v>631</v>
      </c>
      <c r="D201" s="164">
        <v>2670000</v>
      </c>
      <c r="E201" s="21" t="s">
        <v>334</v>
      </c>
      <c r="F201" s="21" t="s">
        <v>335</v>
      </c>
      <c r="G201" s="8" t="str">
        <f t="shared" si="3"/>
        <v>COMELLA JUSTIN</v>
      </c>
    </row>
    <row r="202" spans="1:7" x14ac:dyDescent="0.25">
      <c r="A202" s="27">
        <v>42726.764317129629</v>
      </c>
      <c r="B202" s="21" t="s">
        <v>561</v>
      </c>
      <c r="C202" s="21" t="s">
        <v>632</v>
      </c>
      <c r="D202" s="164">
        <v>2030000</v>
      </c>
      <c r="E202" s="21" t="s">
        <v>555</v>
      </c>
      <c r="F202" s="21" t="s">
        <v>250</v>
      </c>
      <c r="G202" s="8" t="str">
        <f t="shared" si="3"/>
        <v>KILLION DAVID</v>
      </c>
    </row>
    <row r="203" spans="1:7" x14ac:dyDescent="0.25">
      <c r="A203" s="8">
        <v>42726.766504629632</v>
      </c>
      <c r="B203" s="21" t="s">
        <v>271</v>
      </c>
      <c r="C203" s="21" t="s">
        <v>474</v>
      </c>
      <c r="D203" s="164">
        <v>2620000</v>
      </c>
      <c r="E203" s="21" t="s">
        <v>384</v>
      </c>
      <c r="F203" s="21" t="s">
        <v>385</v>
      </c>
      <c r="G203" s="8" t="str">
        <f t="shared" si="3"/>
        <v>PERKINS DARREN</v>
      </c>
    </row>
    <row r="204" spans="1:7" x14ac:dyDescent="0.25">
      <c r="A204" s="8">
        <v>42726.767326388886</v>
      </c>
      <c r="B204" s="21" t="s">
        <v>229</v>
      </c>
      <c r="C204" s="21" t="s">
        <v>633</v>
      </c>
      <c r="D204" s="164">
        <v>2220000</v>
      </c>
      <c r="E204" s="21" t="s">
        <v>377</v>
      </c>
      <c r="F204" s="21" t="s">
        <v>378</v>
      </c>
      <c r="G204" s="8" t="str">
        <f t="shared" si="3"/>
        <v>HILLS DUSTIN</v>
      </c>
    </row>
    <row r="205" spans="1:7" x14ac:dyDescent="0.25">
      <c r="A205" s="8">
        <v>42726.768784722219</v>
      </c>
      <c r="B205" s="21" t="s">
        <v>381</v>
      </c>
      <c r="C205" s="21" t="s">
        <v>634</v>
      </c>
      <c r="D205" s="164">
        <v>1810000</v>
      </c>
      <c r="E205" s="21" t="s">
        <v>287</v>
      </c>
      <c r="F205" s="21" t="s">
        <v>251</v>
      </c>
      <c r="G205" s="8" t="str">
        <f t="shared" si="3"/>
        <v>NEWELL JAMES</v>
      </c>
    </row>
    <row r="206" spans="1:7" x14ac:dyDescent="0.25">
      <c r="A206" s="8">
        <v>42726.778541666667</v>
      </c>
      <c r="B206" s="21" t="s">
        <v>207</v>
      </c>
      <c r="C206" s="21" t="s">
        <v>635</v>
      </c>
      <c r="D206" s="164">
        <v>2670000</v>
      </c>
      <c r="E206" s="21" t="s">
        <v>334</v>
      </c>
      <c r="F206" s="21" t="s">
        <v>335</v>
      </c>
      <c r="G206" s="8" t="str">
        <f t="shared" si="3"/>
        <v>COMELLA JUSTIN</v>
      </c>
    </row>
    <row r="207" spans="1:7" x14ac:dyDescent="0.25">
      <c r="A207" s="8">
        <v>42726.778831018521</v>
      </c>
      <c r="B207" s="21" t="s">
        <v>243</v>
      </c>
      <c r="C207" s="21" t="s">
        <v>636</v>
      </c>
      <c r="D207" s="164">
        <v>2230000</v>
      </c>
      <c r="E207" s="21" t="s">
        <v>286</v>
      </c>
      <c r="F207" s="21" t="s">
        <v>262</v>
      </c>
      <c r="G207" s="8" t="str">
        <f t="shared" si="3"/>
        <v>SMITH MICHAEL</v>
      </c>
    </row>
    <row r="208" spans="1:7" x14ac:dyDescent="0.25">
      <c r="A208" s="8">
        <v>42726.779317129629</v>
      </c>
      <c r="B208" s="21" t="s">
        <v>302</v>
      </c>
      <c r="C208" s="21" t="s">
        <v>637</v>
      </c>
      <c r="D208" s="164">
        <v>2730000</v>
      </c>
      <c r="E208" s="21" t="s">
        <v>336</v>
      </c>
      <c r="F208" s="21" t="s">
        <v>337</v>
      </c>
      <c r="G208" s="8" t="str">
        <f t="shared" si="3"/>
        <v>YANG JAN</v>
      </c>
    </row>
    <row r="209" spans="1:7" x14ac:dyDescent="0.25">
      <c r="A209" s="8">
        <v>42726.786041666666</v>
      </c>
      <c r="B209" s="21" t="s">
        <v>155</v>
      </c>
      <c r="C209" s="21" t="s">
        <v>475</v>
      </c>
      <c r="D209" s="164">
        <v>1190000</v>
      </c>
      <c r="E209" s="21" t="s">
        <v>373</v>
      </c>
      <c r="F209" s="21" t="s">
        <v>374</v>
      </c>
      <c r="G209" s="8" t="str">
        <f t="shared" si="3"/>
        <v>BRANNON JEFFREY</v>
      </c>
    </row>
    <row r="210" spans="1:7" x14ac:dyDescent="0.25">
      <c r="A210" s="8">
        <v>42726.789166666669</v>
      </c>
      <c r="B210" s="21" t="s">
        <v>183</v>
      </c>
      <c r="C210" s="21" t="s">
        <v>638</v>
      </c>
      <c r="D210" s="164">
        <v>2480000</v>
      </c>
      <c r="E210" s="21" t="s">
        <v>616</v>
      </c>
      <c r="F210" s="21" t="s">
        <v>378</v>
      </c>
      <c r="G210" s="8" t="str">
        <f t="shared" si="3"/>
        <v>WHITED DUSTIN</v>
      </c>
    </row>
    <row r="211" spans="1:7" x14ac:dyDescent="0.25">
      <c r="A211" s="8">
        <v>42726.795810185184</v>
      </c>
      <c r="B211" s="21" t="s">
        <v>300</v>
      </c>
      <c r="C211" s="21" t="s">
        <v>639</v>
      </c>
      <c r="D211" s="164">
        <v>2270000</v>
      </c>
      <c r="E211" s="21" t="s">
        <v>379</v>
      </c>
      <c r="F211" s="21" t="s">
        <v>380</v>
      </c>
      <c r="G211" s="8" t="str">
        <f t="shared" si="3"/>
        <v>BROWN JACOB</v>
      </c>
    </row>
    <row r="212" spans="1:7" x14ac:dyDescent="0.25">
      <c r="A212" s="8">
        <v>42726.796527777777</v>
      </c>
      <c r="B212" s="21" t="s">
        <v>274</v>
      </c>
      <c r="C212" s="21" t="s">
        <v>640</v>
      </c>
      <c r="D212" s="164">
        <v>1280000</v>
      </c>
      <c r="E212" s="21" t="s">
        <v>306</v>
      </c>
      <c r="F212" s="21" t="s">
        <v>307</v>
      </c>
      <c r="G212" s="8" t="str">
        <f t="shared" si="3"/>
        <v>BARTLETT KIANDRA</v>
      </c>
    </row>
    <row r="213" spans="1:7" x14ac:dyDescent="0.25">
      <c r="A213" s="8">
        <v>42726.797673611109</v>
      </c>
      <c r="B213" s="21" t="s">
        <v>259</v>
      </c>
      <c r="C213" s="21" t="s">
        <v>641</v>
      </c>
      <c r="D213" s="164">
        <v>2220000</v>
      </c>
      <c r="E213" s="21" t="s">
        <v>377</v>
      </c>
      <c r="F213" s="21" t="s">
        <v>378</v>
      </c>
      <c r="G213" s="8" t="str">
        <f t="shared" si="3"/>
        <v>HILLS DUSTIN</v>
      </c>
    </row>
    <row r="214" spans="1:7" x14ac:dyDescent="0.25">
      <c r="A214" s="8">
        <v>42726.798425925925</v>
      </c>
      <c r="B214" s="21" t="s">
        <v>303</v>
      </c>
      <c r="C214" s="21" t="s">
        <v>642</v>
      </c>
      <c r="D214" s="164">
        <v>2730000</v>
      </c>
      <c r="E214" s="21" t="s">
        <v>336</v>
      </c>
      <c r="F214" s="21" t="s">
        <v>337</v>
      </c>
      <c r="G214" s="8" t="str">
        <f t="shared" si="3"/>
        <v>YANG JAN</v>
      </c>
    </row>
    <row r="215" spans="1:7" x14ac:dyDescent="0.25">
      <c r="A215" s="8">
        <v>42726.802777777775</v>
      </c>
      <c r="B215" s="21" t="s">
        <v>206</v>
      </c>
      <c r="C215" s="21" t="s">
        <v>643</v>
      </c>
      <c r="D215" s="164">
        <v>2670000</v>
      </c>
      <c r="E215" s="21" t="s">
        <v>334</v>
      </c>
      <c r="F215" s="21" t="s">
        <v>335</v>
      </c>
      <c r="G215" s="8" t="str">
        <f t="shared" si="3"/>
        <v>COMELLA JUSTIN</v>
      </c>
    </row>
    <row r="216" spans="1:7" x14ac:dyDescent="0.25">
      <c r="A216" s="8">
        <v>42726.806944444441</v>
      </c>
      <c r="B216" s="21" t="s">
        <v>387</v>
      </c>
      <c r="C216" s="21" t="s">
        <v>644</v>
      </c>
      <c r="D216" s="164">
        <v>1810000</v>
      </c>
      <c r="E216" s="21" t="s">
        <v>287</v>
      </c>
      <c r="F216" s="21" t="s">
        <v>251</v>
      </c>
      <c r="G216" s="8" t="str">
        <f t="shared" si="3"/>
        <v>NEWELL JAMES</v>
      </c>
    </row>
    <row r="217" spans="1:7" x14ac:dyDescent="0.25">
      <c r="A217" s="8">
        <v>42726.818645833337</v>
      </c>
      <c r="B217" s="21" t="s">
        <v>154</v>
      </c>
      <c r="C217" s="21" t="s">
        <v>645</v>
      </c>
      <c r="D217" s="164">
        <v>1190000</v>
      </c>
      <c r="E217" s="21" t="s">
        <v>373</v>
      </c>
      <c r="F217" s="21" t="s">
        <v>374</v>
      </c>
      <c r="G217" s="8" t="str">
        <f t="shared" si="3"/>
        <v>BRANNON JEFFREY</v>
      </c>
    </row>
    <row r="218" spans="1:7" x14ac:dyDescent="0.25">
      <c r="A218" s="8">
        <v>42726.818761574075</v>
      </c>
      <c r="B218" s="21" t="s">
        <v>207</v>
      </c>
      <c r="C218" s="21" t="s">
        <v>646</v>
      </c>
      <c r="D218" s="164">
        <v>2670000</v>
      </c>
      <c r="E218" s="21" t="s">
        <v>334</v>
      </c>
      <c r="F218" s="21" t="s">
        <v>335</v>
      </c>
      <c r="G218" s="8" t="str">
        <f t="shared" si="3"/>
        <v>COMELLA JUSTIN</v>
      </c>
    </row>
    <row r="219" spans="1:7" x14ac:dyDescent="0.25">
      <c r="A219" s="8">
        <v>42726.82534722222</v>
      </c>
      <c r="B219" s="21" t="s">
        <v>285</v>
      </c>
      <c r="C219" s="21" t="s">
        <v>647</v>
      </c>
      <c r="D219" s="164">
        <v>2480000</v>
      </c>
      <c r="E219" s="21" t="s">
        <v>616</v>
      </c>
      <c r="F219" s="21" t="s">
        <v>378</v>
      </c>
      <c r="G219" s="8" t="str">
        <f t="shared" si="3"/>
        <v>WHITED DUSTIN</v>
      </c>
    </row>
    <row r="220" spans="1:7" x14ac:dyDescent="0.25">
      <c r="A220" s="8">
        <v>42726.83326388889</v>
      </c>
      <c r="B220" s="21" t="s">
        <v>301</v>
      </c>
      <c r="C220" s="21" t="s">
        <v>476</v>
      </c>
      <c r="D220" s="164">
        <v>2270000</v>
      </c>
      <c r="E220" s="21" t="s">
        <v>379</v>
      </c>
      <c r="F220" s="21" t="s">
        <v>380</v>
      </c>
      <c r="G220" s="8" t="str">
        <f t="shared" si="3"/>
        <v>BROWN JACOB</v>
      </c>
    </row>
    <row r="221" spans="1:7" x14ac:dyDescent="0.25">
      <c r="A221" s="8">
        <v>42726.838229166664</v>
      </c>
      <c r="B221" s="21" t="s">
        <v>381</v>
      </c>
      <c r="C221" s="21" t="s">
        <v>648</v>
      </c>
      <c r="D221" s="164">
        <v>1810000</v>
      </c>
      <c r="E221" s="21" t="s">
        <v>287</v>
      </c>
      <c r="F221" s="21" t="s">
        <v>251</v>
      </c>
      <c r="G221" s="8" t="str">
        <f t="shared" si="3"/>
        <v>NEWELL JAMES</v>
      </c>
    </row>
    <row r="222" spans="1:7" x14ac:dyDescent="0.25">
      <c r="A222" s="8">
        <v>42726.838240740741</v>
      </c>
      <c r="B222" s="21" t="s">
        <v>229</v>
      </c>
      <c r="C222" s="21" t="s">
        <v>649</v>
      </c>
      <c r="D222" s="164">
        <v>2220000</v>
      </c>
      <c r="E222" s="21" t="s">
        <v>377</v>
      </c>
      <c r="F222" s="21" t="s">
        <v>378</v>
      </c>
      <c r="G222" s="8" t="str">
        <f t="shared" si="3"/>
        <v>HILLS DUSTIN</v>
      </c>
    </row>
    <row r="223" spans="1:7" x14ac:dyDescent="0.25">
      <c r="A223" s="8">
        <v>42726.840983796297</v>
      </c>
      <c r="B223" s="21" t="s">
        <v>206</v>
      </c>
      <c r="C223" s="21" t="s">
        <v>650</v>
      </c>
      <c r="D223" s="164">
        <v>2670000</v>
      </c>
      <c r="E223" s="21" t="s">
        <v>334</v>
      </c>
      <c r="F223" s="21" t="s">
        <v>335</v>
      </c>
      <c r="G223" s="8" t="str">
        <f t="shared" si="3"/>
        <v>COMELLA JUSTIN</v>
      </c>
    </row>
    <row r="224" spans="1:7" x14ac:dyDescent="0.25">
      <c r="A224" s="8">
        <v>42726.861516203702</v>
      </c>
      <c r="B224" t="s">
        <v>207</v>
      </c>
      <c r="C224" t="s">
        <v>651</v>
      </c>
      <c r="D224" s="164">
        <v>2670000</v>
      </c>
      <c r="E224" t="s">
        <v>334</v>
      </c>
      <c r="F224" s="21" t="s">
        <v>335</v>
      </c>
      <c r="G224" s="8" t="str">
        <f t="shared" si="3"/>
        <v>COMELLA JUSTIN</v>
      </c>
    </row>
    <row r="225" spans="1:7" x14ac:dyDescent="0.25">
      <c r="A225" s="8">
        <v>42726.86482638889</v>
      </c>
      <c r="B225" t="s">
        <v>183</v>
      </c>
      <c r="C225" t="s">
        <v>477</v>
      </c>
      <c r="D225" s="164">
        <v>2480000</v>
      </c>
      <c r="E225" t="s">
        <v>616</v>
      </c>
      <c r="F225" s="21" t="s">
        <v>378</v>
      </c>
      <c r="G225" s="8" t="str">
        <f t="shared" si="3"/>
        <v>WHITED DUSTIN</v>
      </c>
    </row>
    <row r="226" spans="1:7" x14ac:dyDescent="0.25">
      <c r="A226" s="8">
        <v>42726.869641203702</v>
      </c>
      <c r="B226" t="s">
        <v>300</v>
      </c>
      <c r="C226" t="s">
        <v>652</v>
      </c>
      <c r="D226" s="164">
        <v>2270000</v>
      </c>
      <c r="E226" t="s">
        <v>379</v>
      </c>
      <c r="F226" s="21" t="s">
        <v>380</v>
      </c>
      <c r="G226" s="8" t="str">
        <f t="shared" si="3"/>
        <v>BROWN JACOB</v>
      </c>
    </row>
    <row r="227" spans="1:7" x14ac:dyDescent="0.25">
      <c r="A227" s="8">
        <v>42726.878738425927</v>
      </c>
      <c r="B227" t="s">
        <v>206</v>
      </c>
      <c r="C227" t="s">
        <v>653</v>
      </c>
      <c r="D227" s="164">
        <v>2730000</v>
      </c>
      <c r="E227" t="s">
        <v>336</v>
      </c>
      <c r="F227" s="21" t="s">
        <v>337</v>
      </c>
      <c r="G227" s="8" t="str">
        <f t="shared" si="3"/>
        <v>YANG JAN</v>
      </c>
    </row>
    <row r="228" spans="1:7" x14ac:dyDescent="0.25">
      <c r="A228" s="8">
        <v>42726.879513888889</v>
      </c>
      <c r="B228" t="s">
        <v>387</v>
      </c>
      <c r="C228" t="s">
        <v>654</v>
      </c>
      <c r="D228" s="164">
        <v>1810000</v>
      </c>
      <c r="E228" t="s">
        <v>287</v>
      </c>
      <c r="F228" s="21" t="s">
        <v>251</v>
      </c>
      <c r="G228" s="8" t="str">
        <f t="shared" si="3"/>
        <v>NEWELL JAMES</v>
      </c>
    </row>
    <row r="229" spans="1:7" x14ac:dyDescent="0.25">
      <c r="A229" s="8">
        <v>42726.880509259259</v>
      </c>
      <c r="B229" t="s">
        <v>259</v>
      </c>
      <c r="C229" t="s">
        <v>655</v>
      </c>
      <c r="D229" s="164">
        <v>2220000</v>
      </c>
      <c r="E229" t="s">
        <v>377</v>
      </c>
      <c r="F229" s="21" t="s">
        <v>378</v>
      </c>
      <c r="G229" s="8" t="str">
        <f t="shared" si="3"/>
        <v>HILLS DUSTIN</v>
      </c>
    </row>
    <row r="230" spans="1:7" x14ac:dyDescent="0.25">
      <c r="A230" s="8">
        <v>42726.901284722226</v>
      </c>
      <c r="B230" t="s">
        <v>207</v>
      </c>
      <c r="C230" t="s">
        <v>656</v>
      </c>
      <c r="D230" s="164">
        <v>2730000</v>
      </c>
      <c r="E230" t="s">
        <v>336</v>
      </c>
      <c r="F230" s="21" t="s">
        <v>337</v>
      </c>
      <c r="G230" s="8" t="str">
        <f t="shared" si="3"/>
        <v>YANG JAN</v>
      </c>
    </row>
    <row r="231" spans="1:7" x14ac:dyDescent="0.25">
      <c r="A231" s="8">
        <v>42726.908564814818</v>
      </c>
      <c r="B231" t="s">
        <v>285</v>
      </c>
      <c r="C231" t="s">
        <v>657</v>
      </c>
      <c r="D231" s="164">
        <v>2480000</v>
      </c>
      <c r="E231" t="s">
        <v>616</v>
      </c>
      <c r="F231" s="21" t="s">
        <v>378</v>
      </c>
      <c r="G231" s="8" t="str">
        <f t="shared" si="3"/>
        <v>WHITED DUSTIN</v>
      </c>
    </row>
    <row r="232" spans="1:7" x14ac:dyDescent="0.25">
      <c r="A232" s="8">
        <v>42726.908831018518</v>
      </c>
      <c r="B232" t="s">
        <v>301</v>
      </c>
      <c r="C232" t="s">
        <v>658</v>
      </c>
      <c r="D232" s="164">
        <v>2270000</v>
      </c>
      <c r="E232" t="s">
        <v>379</v>
      </c>
      <c r="F232" s="21" t="s">
        <v>380</v>
      </c>
      <c r="G232" s="8" t="str">
        <f t="shared" si="3"/>
        <v>BROWN JACOB</v>
      </c>
    </row>
    <row r="233" spans="1:7" x14ac:dyDescent="0.25">
      <c r="A233" s="8">
        <v>42726.923715277779</v>
      </c>
      <c r="B233" t="s">
        <v>229</v>
      </c>
      <c r="C233" t="s">
        <v>659</v>
      </c>
      <c r="D233" s="164">
        <v>2220000</v>
      </c>
      <c r="E233" t="s">
        <v>377</v>
      </c>
      <c r="F233" s="21" t="s">
        <v>378</v>
      </c>
      <c r="G233" s="8" t="str">
        <f t="shared" si="3"/>
        <v>HILLS DUSTIN</v>
      </c>
    </row>
    <row r="234" spans="1:7" x14ac:dyDescent="0.25">
      <c r="A234" s="8">
        <v>42726.924641203703</v>
      </c>
      <c r="B234" t="s">
        <v>206</v>
      </c>
      <c r="C234" t="s">
        <v>479</v>
      </c>
      <c r="D234" s="164">
        <v>2730000</v>
      </c>
      <c r="E234" t="s">
        <v>336</v>
      </c>
      <c r="F234" s="21" t="s">
        <v>337</v>
      </c>
      <c r="G234" s="8" t="str">
        <f t="shared" si="3"/>
        <v>YANG JAN</v>
      </c>
    </row>
    <row r="235" spans="1:7" x14ac:dyDescent="0.25">
      <c r="A235" s="8">
        <v>42726.929652777777</v>
      </c>
      <c r="B235" t="s">
        <v>381</v>
      </c>
      <c r="C235" t="s">
        <v>478</v>
      </c>
      <c r="D235" s="164">
        <v>1810000</v>
      </c>
      <c r="E235" t="s">
        <v>287</v>
      </c>
      <c r="F235" s="21" t="s">
        <v>251</v>
      </c>
      <c r="G235" s="8" t="str">
        <f t="shared" si="3"/>
        <v>NEWELL JAMES</v>
      </c>
    </row>
    <row r="236" spans="1:7" x14ac:dyDescent="0.25">
      <c r="A236" s="8">
        <v>42726.943761574075</v>
      </c>
      <c r="B236" t="s">
        <v>207</v>
      </c>
      <c r="C236" t="s">
        <v>480</v>
      </c>
      <c r="D236" s="164">
        <v>2730000</v>
      </c>
      <c r="E236" t="s">
        <v>336</v>
      </c>
      <c r="F236" s="21" t="s">
        <v>337</v>
      </c>
      <c r="G236" s="8" t="str">
        <f t="shared" si="3"/>
        <v>YANG JAN</v>
      </c>
    </row>
    <row r="237" spans="1:7" x14ac:dyDescent="0.25">
      <c r="A237" s="8">
        <v>42726.945555555554</v>
      </c>
      <c r="B237" t="s">
        <v>183</v>
      </c>
      <c r="C237" t="s">
        <v>660</v>
      </c>
      <c r="D237" s="164">
        <v>2480000</v>
      </c>
      <c r="E237" t="s">
        <v>616</v>
      </c>
      <c r="F237" s="21" t="s">
        <v>378</v>
      </c>
      <c r="G237" s="8" t="str">
        <f t="shared" si="3"/>
        <v>WHITED DUSTIN</v>
      </c>
    </row>
    <row r="238" spans="1:7" x14ac:dyDescent="0.25">
      <c r="A238" s="8">
        <v>42726.950370370374</v>
      </c>
      <c r="B238" t="s">
        <v>300</v>
      </c>
      <c r="C238" t="s">
        <v>661</v>
      </c>
      <c r="D238" s="164">
        <v>2270000</v>
      </c>
      <c r="E238" t="s">
        <v>379</v>
      </c>
      <c r="F238" s="21" t="s">
        <v>380</v>
      </c>
      <c r="G238" s="8" t="str">
        <f t="shared" si="3"/>
        <v>BROWN JACOB</v>
      </c>
    </row>
    <row r="239" spans="1:7" x14ac:dyDescent="0.25">
      <c r="A239" s="8">
        <v>42726.963425925926</v>
      </c>
      <c r="B239" t="s">
        <v>387</v>
      </c>
      <c r="C239" t="s">
        <v>662</v>
      </c>
      <c r="D239" s="164">
        <v>1810000</v>
      </c>
      <c r="E239" t="s">
        <v>287</v>
      </c>
      <c r="F239" s="21" t="s">
        <v>251</v>
      </c>
      <c r="G239" s="8" t="str">
        <f t="shared" si="3"/>
        <v>NEWELL JAMES</v>
      </c>
    </row>
    <row r="240" spans="1:7" x14ac:dyDescent="0.25">
      <c r="A240" s="8">
        <v>42726.963912037034</v>
      </c>
      <c r="B240" t="s">
        <v>259</v>
      </c>
      <c r="C240" t="s">
        <v>663</v>
      </c>
      <c r="D240" s="164">
        <v>2220000</v>
      </c>
      <c r="E240" t="s">
        <v>377</v>
      </c>
      <c r="F240" s="21" t="s">
        <v>378</v>
      </c>
      <c r="G240" s="8" t="str">
        <f t="shared" si="3"/>
        <v>HILLS DUSTIN</v>
      </c>
    </row>
    <row r="241" spans="1:7" x14ac:dyDescent="0.25">
      <c r="A241" s="8">
        <v>42726.991354166668</v>
      </c>
      <c r="B241" t="s">
        <v>285</v>
      </c>
      <c r="C241" t="s">
        <v>664</v>
      </c>
      <c r="D241" s="164">
        <v>2480000</v>
      </c>
      <c r="E241" t="s">
        <v>616</v>
      </c>
      <c r="F241" s="21" t="s">
        <v>378</v>
      </c>
      <c r="G241" s="8" t="str">
        <f t="shared" si="3"/>
        <v>WHITED DUSTIN</v>
      </c>
    </row>
    <row r="242" spans="1:7" x14ac:dyDescent="0.25">
      <c r="A242" s="8">
        <v>42726.994884259257</v>
      </c>
      <c r="B242" t="s">
        <v>301</v>
      </c>
      <c r="C242" t="s">
        <v>665</v>
      </c>
      <c r="D242" s="164">
        <v>2270000</v>
      </c>
      <c r="E242" t="s">
        <v>379</v>
      </c>
      <c r="F242" s="21" t="s">
        <v>380</v>
      </c>
      <c r="G242" s="8" t="str">
        <f t="shared" si="3"/>
        <v>BROWN JACOB</v>
      </c>
    </row>
    <row r="243" spans="1:7" x14ac:dyDescent="0.25">
      <c r="A243" s="8">
        <v>42727.008101851854</v>
      </c>
      <c r="B243" t="s">
        <v>229</v>
      </c>
      <c r="C243" t="s">
        <v>481</v>
      </c>
      <c r="D243" s="164">
        <v>2220000</v>
      </c>
      <c r="E243" t="s">
        <v>377</v>
      </c>
      <c r="F243" s="21" t="s">
        <v>378</v>
      </c>
      <c r="G243" s="8" t="str">
        <f t="shared" si="3"/>
        <v>HILLS DUSTIN</v>
      </c>
    </row>
    <row r="244" spans="1:7" x14ac:dyDescent="0.25">
      <c r="A244" s="8">
        <v>42727.015509259261</v>
      </c>
      <c r="B244" t="s">
        <v>381</v>
      </c>
      <c r="C244" t="s">
        <v>666</v>
      </c>
      <c r="D244" s="164">
        <v>1810000</v>
      </c>
      <c r="E244" t="s">
        <v>287</v>
      </c>
      <c r="F244" s="21" t="s">
        <v>251</v>
      </c>
      <c r="G244" s="8" t="str">
        <f t="shared" si="3"/>
        <v>NEWELL JAMES</v>
      </c>
    </row>
    <row r="245" spans="1:7" x14ac:dyDescent="0.25">
      <c r="A245" s="8">
        <v>42727.029756944445</v>
      </c>
      <c r="B245" t="s">
        <v>183</v>
      </c>
      <c r="C245" t="s">
        <v>667</v>
      </c>
      <c r="D245" s="164">
        <v>2480000</v>
      </c>
      <c r="E245" t="s">
        <v>616</v>
      </c>
      <c r="F245" s="21" t="s">
        <v>378</v>
      </c>
      <c r="G245" s="8" t="str">
        <f t="shared" si="3"/>
        <v>WHITED DUSTIN</v>
      </c>
    </row>
    <row r="246" spans="1:7" x14ac:dyDescent="0.25">
      <c r="A246" s="8">
        <v>42727.033819444441</v>
      </c>
      <c r="B246" t="s">
        <v>300</v>
      </c>
      <c r="C246" t="s">
        <v>668</v>
      </c>
      <c r="D246" s="164">
        <v>2270000</v>
      </c>
      <c r="E246" t="s">
        <v>379</v>
      </c>
      <c r="F246" s="21" t="s">
        <v>380</v>
      </c>
      <c r="G246" s="8" t="str">
        <f t="shared" si="3"/>
        <v>BROWN JACOB</v>
      </c>
    </row>
    <row r="247" spans="1:7" x14ac:dyDescent="0.25">
      <c r="A247" s="8">
        <v>42727.046875</v>
      </c>
      <c r="B247" t="s">
        <v>259</v>
      </c>
      <c r="C247" t="s">
        <v>669</v>
      </c>
      <c r="D247" s="164">
        <v>2220000</v>
      </c>
      <c r="E247" t="s">
        <v>377</v>
      </c>
      <c r="F247" s="21" t="s">
        <v>378</v>
      </c>
      <c r="G247" s="8" t="str">
        <f t="shared" si="3"/>
        <v>HILLS DUSTIN</v>
      </c>
    </row>
    <row r="248" spans="1:7" x14ac:dyDescent="0.25">
      <c r="A248" s="8">
        <v>42727.047592592593</v>
      </c>
      <c r="B248" t="s">
        <v>387</v>
      </c>
      <c r="C248" t="s">
        <v>670</v>
      </c>
      <c r="D248" s="164">
        <v>1810000</v>
      </c>
      <c r="E248" t="s">
        <v>287</v>
      </c>
      <c r="F248" s="21" t="s">
        <v>251</v>
      </c>
      <c r="G248" s="8" t="str">
        <f t="shared" si="3"/>
        <v>NEWELL JAMES</v>
      </c>
    </row>
    <row r="249" spans="1:7" x14ac:dyDescent="0.25">
      <c r="A249" s="8">
        <v>42727.07440972222</v>
      </c>
      <c r="B249" t="s">
        <v>301</v>
      </c>
      <c r="C249" t="s">
        <v>671</v>
      </c>
      <c r="D249" s="164">
        <v>2270000</v>
      </c>
      <c r="E249" t="s">
        <v>379</v>
      </c>
      <c r="F249" s="21" t="s">
        <v>380</v>
      </c>
      <c r="G249" s="8" t="str">
        <f t="shared" si="3"/>
        <v>BROWN JACOB</v>
      </c>
    </row>
    <row r="250" spans="1:7" x14ac:dyDescent="0.25">
      <c r="A250" s="8">
        <v>42727.089560185188</v>
      </c>
      <c r="B250" t="s">
        <v>229</v>
      </c>
      <c r="C250" t="s">
        <v>672</v>
      </c>
      <c r="D250" s="164">
        <v>2220000</v>
      </c>
      <c r="E250" t="s">
        <v>377</v>
      </c>
      <c r="F250" s="21" t="s">
        <v>378</v>
      </c>
      <c r="G250" s="8" t="str">
        <f t="shared" si="3"/>
        <v>HILLS DUSTIN</v>
      </c>
    </row>
    <row r="251" spans="1:7" x14ac:dyDescent="0.25">
      <c r="A251" s="8">
        <v>42727.090196759258</v>
      </c>
      <c r="B251" t="s">
        <v>229</v>
      </c>
      <c r="C251" t="s">
        <v>672</v>
      </c>
      <c r="D251" s="164">
        <v>2220000</v>
      </c>
      <c r="E251" t="s">
        <v>377</v>
      </c>
      <c r="F251" s="21" t="s">
        <v>378</v>
      </c>
      <c r="G251" s="8" t="str">
        <f t="shared" si="3"/>
        <v>HILLS DUSTIN</v>
      </c>
    </row>
    <row r="252" spans="1:7" x14ac:dyDescent="0.25">
      <c r="A252" s="8">
        <v>42727.090729166666</v>
      </c>
      <c r="B252" t="s">
        <v>229</v>
      </c>
      <c r="C252" t="s">
        <v>672</v>
      </c>
      <c r="D252" s="164">
        <v>2220000</v>
      </c>
      <c r="E252" t="s">
        <v>377</v>
      </c>
      <c r="F252" s="21" t="s">
        <v>378</v>
      </c>
      <c r="G252" s="8" t="str">
        <f t="shared" si="3"/>
        <v>HILLS DUSTIN</v>
      </c>
    </row>
    <row r="253" spans="1:7" x14ac:dyDescent="0.25">
      <c r="A253" s="8">
        <v>42727.092118055552</v>
      </c>
      <c r="B253" t="s">
        <v>229</v>
      </c>
      <c r="C253" t="s">
        <v>672</v>
      </c>
      <c r="D253" s="164">
        <v>2220000</v>
      </c>
      <c r="E253" t="s">
        <v>377</v>
      </c>
      <c r="F253" s="21" t="s">
        <v>378</v>
      </c>
      <c r="G253" s="8" t="str">
        <f t="shared" si="3"/>
        <v>HILLS DUSTIN</v>
      </c>
    </row>
    <row r="254" spans="1:7" x14ac:dyDescent="0.25">
      <c r="A254" s="8">
        <v>42727.092777777776</v>
      </c>
      <c r="B254" t="s">
        <v>229</v>
      </c>
      <c r="C254" t="s">
        <v>672</v>
      </c>
      <c r="D254" s="164">
        <v>2220000</v>
      </c>
      <c r="E254" t="s">
        <v>377</v>
      </c>
      <c r="F254" s="21" t="s">
        <v>378</v>
      </c>
      <c r="G254" s="8" t="str">
        <f t="shared" si="3"/>
        <v>HILLS DUSTIN</v>
      </c>
    </row>
    <row r="255" spans="1:7" x14ac:dyDescent="0.25">
      <c r="A255" s="8">
        <v>42723.057719907411</v>
      </c>
      <c r="B255" t="s">
        <v>303</v>
      </c>
      <c r="C255" t="s">
        <v>310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311</v>
      </c>
      <c r="D256" s="164">
        <v>2230000</v>
      </c>
      <c r="E256" t="s">
        <v>286</v>
      </c>
      <c r="F256" s="21" t="s">
        <v>262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302</v>
      </c>
      <c r="C257" t="s">
        <v>312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313</v>
      </c>
      <c r="D258" s="164">
        <v>2110000</v>
      </c>
      <c r="E258" t="s">
        <v>304</v>
      </c>
      <c r="F258" s="21" t="s">
        <v>305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313</v>
      </c>
      <c r="D259" s="164">
        <v>2110000</v>
      </c>
      <c r="E259" t="s">
        <v>304</v>
      </c>
      <c r="F259" s="21" t="s">
        <v>305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232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234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673</v>
      </c>
      <c r="I1" s="179" t="s">
        <v>171</v>
      </c>
      <c r="J1" s="179" t="s">
        <v>172</v>
      </c>
      <c r="K1" s="179" t="s">
        <v>674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31.99</v>
      </c>
      <c r="B2" s="169">
        <v>0.73</v>
      </c>
      <c r="C2" s="169">
        <v>18.77</v>
      </c>
      <c r="D2" s="8">
        <v>42726</v>
      </c>
      <c r="E2" s="169">
        <v>0.57999999999999996</v>
      </c>
      <c r="F2" s="169" t="s">
        <v>675</v>
      </c>
      <c r="G2" s="169">
        <v>253.58</v>
      </c>
      <c r="H2" s="169"/>
      <c r="I2" s="169">
        <v>0</v>
      </c>
      <c r="J2" s="169">
        <v>0</v>
      </c>
      <c r="K2" s="169"/>
      <c r="L2" s="169">
        <v>1030.73</v>
      </c>
      <c r="M2" s="169" t="s">
        <v>676</v>
      </c>
      <c r="N2" s="169">
        <v>31.99</v>
      </c>
      <c r="O2" s="169">
        <v>1482390000</v>
      </c>
      <c r="P2" s="169">
        <v>1.1000000000000001</v>
      </c>
      <c r="Q2" s="169">
        <v>152</v>
      </c>
      <c r="R2" s="169">
        <v>2.09</v>
      </c>
    </row>
    <row r="3" spans="1:18" x14ac:dyDescent="0.25">
      <c r="A3" s="169">
        <v>31.72</v>
      </c>
      <c r="B3" s="169">
        <v>0.85</v>
      </c>
      <c r="C3" s="169">
        <v>19.37</v>
      </c>
      <c r="D3" s="8">
        <v>42726.041666666664</v>
      </c>
      <c r="E3" s="169">
        <v>0.6</v>
      </c>
      <c r="F3" s="169" t="s">
        <v>675</v>
      </c>
      <c r="G3" s="169">
        <v>255.41</v>
      </c>
      <c r="H3" s="169"/>
      <c r="I3" s="169">
        <v>0</v>
      </c>
      <c r="J3" s="169">
        <v>0</v>
      </c>
      <c r="K3" s="169"/>
      <c r="L3" s="169">
        <v>1030.9100000000001</v>
      </c>
      <c r="M3" s="169" t="s">
        <v>676</v>
      </c>
      <c r="N3" s="169">
        <v>31.72</v>
      </c>
      <c r="O3" s="169">
        <v>1482393600</v>
      </c>
      <c r="P3" s="169">
        <v>1.1000000000000001</v>
      </c>
      <c r="Q3" s="169">
        <v>118</v>
      </c>
      <c r="R3" s="169">
        <v>1.25</v>
      </c>
    </row>
    <row r="4" spans="1:18" x14ac:dyDescent="0.25">
      <c r="A4" s="169">
        <v>30.23</v>
      </c>
      <c r="B4" s="169">
        <v>0.96</v>
      </c>
      <c r="C4" s="169">
        <v>19.760000000000002</v>
      </c>
      <c r="D4" s="8">
        <v>42726.083333333336</v>
      </c>
      <c r="E4" s="169">
        <v>0.65</v>
      </c>
      <c r="F4" s="169" t="s">
        <v>675</v>
      </c>
      <c r="G4" s="169">
        <v>257.25</v>
      </c>
      <c r="H4" s="169"/>
      <c r="I4" s="169">
        <v>0</v>
      </c>
      <c r="J4" s="169">
        <v>0</v>
      </c>
      <c r="K4" s="169"/>
      <c r="L4" s="169">
        <v>1031.03</v>
      </c>
      <c r="M4" s="169" t="s">
        <v>676</v>
      </c>
      <c r="N4" s="169">
        <v>30.23</v>
      </c>
      <c r="O4" s="169">
        <v>1482397200</v>
      </c>
      <c r="P4" s="169">
        <v>1.1000000000000001</v>
      </c>
      <c r="Q4" s="169">
        <v>292</v>
      </c>
      <c r="R4" s="169">
        <v>1.06</v>
      </c>
    </row>
    <row r="5" spans="1:18" x14ac:dyDescent="0.25">
      <c r="A5" s="169">
        <v>29.53</v>
      </c>
      <c r="B5" s="169">
        <v>0.91</v>
      </c>
      <c r="C5" s="169">
        <v>19.350000000000001</v>
      </c>
      <c r="D5" s="8">
        <v>42726.125</v>
      </c>
      <c r="E5" s="169">
        <v>0.65</v>
      </c>
      <c r="F5" s="169" t="s">
        <v>675</v>
      </c>
      <c r="G5" s="169">
        <v>258.08</v>
      </c>
      <c r="H5" s="169"/>
      <c r="I5" s="169">
        <v>0</v>
      </c>
      <c r="J5" s="169">
        <v>0</v>
      </c>
      <c r="K5" s="169"/>
      <c r="L5" s="169">
        <v>1030.69</v>
      </c>
      <c r="M5" s="169" t="s">
        <v>676</v>
      </c>
      <c r="N5" s="169">
        <v>29.53</v>
      </c>
      <c r="O5" s="169">
        <v>1482400800</v>
      </c>
      <c r="P5" s="169">
        <v>1.1000000000000001</v>
      </c>
      <c r="Q5" s="169">
        <v>301</v>
      </c>
      <c r="R5" s="169">
        <v>1.53</v>
      </c>
    </row>
    <row r="6" spans="1:18" x14ac:dyDescent="0.25">
      <c r="A6" s="169">
        <v>29.58</v>
      </c>
      <c r="B6" s="169">
        <v>0.88</v>
      </c>
      <c r="C6" s="169">
        <v>19.989999999999998</v>
      </c>
      <c r="D6" s="8">
        <v>42726.166666666664</v>
      </c>
      <c r="E6" s="169">
        <v>0.67</v>
      </c>
      <c r="F6" s="169" t="s">
        <v>241</v>
      </c>
      <c r="G6" s="169">
        <v>258.49</v>
      </c>
      <c r="H6" s="169"/>
      <c r="I6" s="169">
        <v>0</v>
      </c>
      <c r="J6" s="169">
        <v>0</v>
      </c>
      <c r="K6" s="169"/>
      <c r="L6" s="169">
        <v>1030</v>
      </c>
      <c r="M6" s="169" t="s">
        <v>339</v>
      </c>
      <c r="N6" s="169">
        <v>29.58</v>
      </c>
      <c r="O6" s="169">
        <v>1482404400</v>
      </c>
      <c r="P6" s="169"/>
      <c r="Q6" s="169">
        <v>317</v>
      </c>
      <c r="R6" s="169">
        <v>2.58</v>
      </c>
    </row>
    <row r="7" spans="1:18" x14ac:dyDescent="0.25">
      <c r="A7" s="169">
        <v>29.41</v>
      </c>
      <c r="B7" s="169">
        <v>0.83</v>
      </c>
      <c r="C7" s="169">
        <v>20.350000000000001</v>
      </c>
      <c r="D7" s="8">
        <v>42726.208333333336</v>
      </c>
      <c r="E7" s="169">
        <v>0.68</v>
      </c>
      <c r="F7" s="169" t="s">
        <v>675</v>
      </c>
      <c r="G7" s="169">
        <v>259.08999999999997</v>
      </c>
      <c r="H7" s="169"/>
      <c r="I7" s="169">
        <v>0</v>
      </c>
      <c r="J7" s="169">
        <v>0</v>
      </c>
      <c r="K7" s="169"/>
      <c r="L7" s="169">
        <v>1029.19</v>
      </c>
      <c r="M7" s="169" t="s">
        <v>676</v>
      </c>
      <c r="N7" s="169">
        <v>29.41</v>
      </c>
      <c r="O7" s="169">
        <v>1482408000</v>
      </c>
      <c r="P7" s="169">
        <v>1.1000000000000001</v>
      </c>
      <c r="Q7" s="169">
        <v>322</v>
      </c>
      <c r="R7" s="169">
        <v>2.3199999999999998</v>
      </c>
    </row>
    <row r="8" spans="1:18" x14ac:dyDescent="0.25">
      <c r="A8" s="169">
        <v>28.83</v>
      </c>
      <c r="B8" s="169">
        <v>0.77</v>
      </c>
      <c r="C8" s="169">
        <v>21.6</v>
      </c>
      <c r="D8" s="8">
        <v>42726.25</v>
      </c>
      <c r="E8" s="169">
        <v>0.74</v>
      </c>
      <c r="F8" s="169" t="s">
        <v>675</v>
      </c>
      <c r="G8" s="169">
        <v>260.26</v>
      </c>
      <c r="H8" s="169"/>
      <c r="I8" s="169">
        <v>0</v>
      </c>
      <c r="J8" s="169">
        <v>0</v>
      </c>
      <c r="K8" s="169"/>
      <c r="L8" s="169">
        <v>1028.6500000000001</v>
      </c>
      <c r="M8" s="169" t="s">
        <v>676</v>
      </c>
      <c r="N8" s="169">
        <v>28.83</v>
      </c>
      <c r="O8" s="169">
        <v>1482411600</v>
      </c>
      <c r="P8" s="169">
        <v>1.1000000000000001</v>
      </c>
      <c r="Q8" s="169">
        <v>299</v>
      </c>
      <c r="R8" s="169">
        <v>1.67</v>
      </c>
    </row>
    <row r="9" spans="1:18" x14ac:dyDescent="0.25">
      <c r="A9" s="169">
        <v>28.92</v>
      </c>
      <c r="B9" s="169">
        <v>0.79</v>
      </c>
      <c r="C9" s="169">
        <v>20.48</v>
      </c>
      <c r="D9" s="8">
        <v>42726.291666666664</v>
      </c>
      <c r="E9" s="169">
        <v>0.7</v>
      </c>
      <c r="F9" s="169" t="s">
        <v>675</v>
      </c>
      <c r="G9" s="169">
        <v>261.62</v>
      </c>
      <c r="H9" s="169"/>
      <c r="I9" s="169">
        <v>0</v>
      </c>
      <c r="J9" s="169">
        <v>0</v>
      </c>
      <c r="K9" s="169"/>
      <c r="L9" s="169">
        <v>1028.1600000000001</v>
      </c>
      <c r="M9" s="169" t="s">
        <v>676</v>
      </c>
      <c r="N9" s="169">
        <v>28.92</v>
      </c>
      <c r="O9" s="169">
        <v>1482415200</v>
      </c>
      <c r="P9" s="169">
        <v>1.1000000000000001</v>
      </c>
      <c r="Q9" s="169">
        <v>284</v>
      </c>
      <c r="R9" s="169">
        <v>1.7</v>
      </c>
    </row>
    <row r="10" spans="1:18" x14ac:dyDescent="0.25">
      <c r="A10" s="169">
        <v>28.46</v>
      </c>
      <c r="B10" s="169">
        <v>0.71</v>
      </c>
      <c r="C10" s="169">
        <v>20.329999999999998</v>
      </c>
      <c r="D10" s="8">
        <v>42726.333333333336</v>
      </c>
      <c r="E10" s="169">
        <v>0.71</v>
      </c>
      <c r="F10" s="169" t="s">
        <v>675</v>
      </c>
      <c r="G10" s="169">
        <v>262.63</v>
      </c>
      <c r="H10" s="169"/>
      <c r="I10" s="169">
        <v>0</v>
      </c>
      <c r="J10" s="169">
        <v>0</v>
      </c>
      <c r="K10" s="169"/>
      <c r="L10" s="169">
        <v>1027.33</v>
      </c>
      <c r="M10" s="169" t="s">
        <v>676</v>
      </c>
      <c r="N10" s="169">
        <v>28.46</v>
      </c>
      <c r="O10" s="169">
        <v>1482418800</v>
      </c>
      <c r="P10" s="169">
        <v>1.1000000000000001</v>
      </c>
      <c r="Q10" s="169">
        <v>233</v>
      </c>
      <c r="R10" s="169">
        <v>2.0099999999999998</v>
      </c>
    </row>
    <row r="11" spans="1:18" x14ac:dyDescent="0.25">
      <c r="A11" s="169">
        <v>30.12</v>
      </c>
      <c r="B11" s="169">
        <v>0.67</v>
      </c>
      <c r="C11" s="169">
        <v>21.69</v>
      </c>
      <c r="D11" s="8">
        <v>42726.375</v>
      </c>
      <c r="E11" s="169">
        <v>0.7</v>
      </c>
      <c r="F11" s="169" t="s">
        <v>675</v>
      </c>
      <c r="G11" s="169">
        <v>262.87</v>
      </c>
      <c r="H11" s="169"/>
      <c r="I11" s="169">
        <v>0</v>
      </c>
      <c r="J11" s="169">
        <v>0</v>
      </c>
      <c r="K11" s="169"/>
      <c r="L11" s="169">
        <v>1026</v>
      </c>
      <c r="M11" s="169" t="s">
        <v>676</v>
      </c>
      <c r="N11" s="169">
        <v>30.12</v>
      </c>
      <c r="O11" s="169">
        <v>1482422400</v>
      </c>
      <c r="P11" s="169">
        <v>1.1000000000000001</v>
      </c>
      <c r="Q11" s="169">
        <v>195</v>
      </c>
      <c r="R11" s="169">
        <v>1.56</v>
      </c>
    </row>
    <row r="12" spans="1:18" x14ac:dyDescent="0.25">
      <c r="A12" s="169">
        <v>32.64</v>
      </c>
      <c r="B12" s="169">
        <v>0.64</v>
      </c>
      <c r="C12" s="169">
        <v>22.07</v>
      </c>
      <c r="D12" s="8">
        <v>42726.416666666664</v>
      </c>
      <c r="E12" s="169">
        <v>0.65</v>
      </c>
      <c r="F12" s="169" t="s">
        <v>675</v>
      </c>
      <c r="G12" s="169">
        <v>262.77</v>
      </c>
      <c r="H12" s="169"/>
      <c r="I12" s="169">
        <v>0</v>
      </c>
      <c r="J12" s="169">
        <v>0</v>
      </c>
      <c r="K12" s="169"/>
      <c r="L12" s="169">
        <v>1024.3399999999999</v>
      </c>
      <c r="M12" s="169" t="s">
        <v>676</v>
      </c>
      <c r="N12" s="169">
        <v>32.64</v>
      </c>
      <c r="O12" s="169">
        <v>1482426000</v>
      </c>
      <c r="P12" s="169">
        <v>1.1000000000000001</v>
      </c>
      <c r="Q12" s="169">
        <v>230</v>
      </c>
      <c r="R12" s="169">
        <v>0.97</v>
      </c>
    </row>
    <row r="13" spans="1:18" x14ac:dyDescent="0.25">
      <c r="A13" s="169">
        <v>35.24</v>
      </c>
      <c r="B13" s="169">
        <v>0.63</v>
      </c>
      <c r="C13" s="169">
        <v>21.62</v>
      </c>
      <c r="D13" s="8">
        <v>42726.458333333336</v>
      </c>
      <c r="E13" s="169">
        <v>0.56999999999999995</v>
      </c>
      <c r="F13" s="169" t="s">
        <v>675</v>
      </c>
      <c r="G13" s="169">
        <v>263.01</v>
      </c>
      <c r="H13" s="169"/>
      <c r="I13" s="169">
        <v>0</v>
      </c>
      <c r="J13" s="169">
        <v>0</v>
      </c>
      <c r="K13" s="169"/>
      <c r="L13" s="169">
        <v>1022.6</v>
      </c>
      <c r="M13" s="169" t="s">
        <v>676</v>
      </c>
      <c r="N13" s="169">
        <v>35.24</v>
      </c>
      <c r="O13" s="169">
        <v>1482429600</v>
      </c>
      <c r="P13" s="169">
        <v>1.1000000000000001</v>
      </c>
      <c r="Q13" s="169">
        <v>314</v>
      </c>
      <c r="R13" s="169">
        <v>0.47</v>
      </c>
    </row>
    <row r="14" spans="1:18" x14ac:dyDescent="0.25">
      <c r="A14" s="169">
        <v>36.81</v>
      </c>
      <c r="B14" s="169">
        <v>0.6</v>
      </c>
      <c r="C14" s="169">
        <v>21.96</v>
      </c>
      <c r="D14" s="8">
        <v>42726.5</v>
      </c>
      <c r="E14" s="169">
        <v>0.54</v>
      </c>
      <c r="F14" s="169" t="s">
        <v>675</v>
      </c>
      <c r="G14" s="169">
        <v>263.93</v>
      </c>
      <c r="H14" s="169"/>
      <c r="I14" s="169">
        <v>0</v>
      </c>
      <c r="J14" s="169">
        <v>0</v>
      </c>
      <c r="K14" s="169"/>
      <c r="L14" s="169">
        <v>1020.7</v>
      </c>
      <c r="M14" s="169" t="s">
        <v>676</v>
      </c>
      <c r="N14" s="169">
        <v>36.81</v>
      </c>
      <c r="O14" s="169">
        <v>1482433200</v>
      </c>
      <c r="P14" s="169">
        <v>1.1000000000000001</v>
      </c>
      <c r="Q14" s="169">
        <v>344</v>
      </c>
      <c r="R14" s="169">
        <v>0.67</v>
      </c>
    </row>
    <row r="15" spans="1:18" x14ac:dyDescent="0.25">
      <c r="A15" s="169">
        <v>38.29</v>
      </c>
      <c r="B15" s="169">
        <v>0.56000000000000005</v>
      </c>
      <c r="C15" s="169">
        <v>23.77</v>
      </c>
      <c r="D15" s="8">
        <v>42726.541666666664</v>
      </c>
      <c r="E15" s="169">
        <v>0.55000000000000004</v>
      </c>
      <c r="F15" s="169" t="s">
        <v>675</v>
      </c>
      <c r="G15" s="169">
        <v>265.18</v>
      </c>
      <c r="H15" s="169"/>
      <c r="I15" s="169">
        <v>0</v>
      </c>
      <c r="J15" s="169">
        <v>0</v>
      </c>
      <c r="K15" s="169"/>
      <c r="L15" s="169">
        <v>1018.81</v>
      </c>
      <c r="M15" s="169" t="s">
        <v>676</v>
      </c>
      <c r="N15" s="169">
        <v>38.29</v>
      </c>
      <c r="O15" s="169">
        <v>1482436800</v>
      </c>
      <c r="P15" s="169">
        <v>1.1000000000000001</v>
      </c>
      <c r="Q15" s="169">
        <v>261</v>
      </c>
      <c r="R15" s="169">
        <v>0.63</v>
      </c>
    </row>
    <row r="16" spans="1:18" x14ac:dyDescent="0.25">
      <c r="A16" s="169">
        <v>39.71</v>
      </c>
      <c r="B16" s="169">
        <v>0.41</v>
      </c>
      <c r="C16" s="169">
        <v>25.13</v>
      </c>
      <c r="D16" s="8">
        <v>42726.583333333336</v>
      </c>
      <c r="E16" s="169">
        <v>0.56000000000000005</v>
      </c>
      <c r="F16" s="169" t="s">
        <v>338</v>
      </c>
      <c r="G16" s="169">
        <v>266.52</v>
      </c>
      <c r="H16" s="169"/>
      <c r="I16" s="169">
        <v>0</v>
      </c>
      <c r="J16" s="169">
        <v>0</v>
      </c>
      <c r="K16" s="169"/>
      <c r="L16" s="169">
        <v>1017.34</v>
      </c>
      <c r="M16" s="169" t="s">
        <v>246</v>
      </c>
      <c r="N16" s="169">
        <v>39.71</v>
      </c>
      <c r="O16" s="169">
        <v>1482440400</v>
      </c>
      <c r="P16" s="169">
        <v>2.8</v>
      </c>
      <c r="Q16" s="169">
        <v>36</v>
      </c>
      <c r="R16" s="169">
        <v>1.86</v>
      </c>
    </row>
    <row r="17" spans="1:18" x14ac:dyDescent="0.25">
      <c r="A17" s="169">
        <v>39.770000000000003</v>
      </c>
      <c r="B17" s="169">
        <v>0.4</v>
      </c>
      <c r="C17" s="169">
        <v>24.68</v>
      </c>
      <c r="D17" s="8">
        <v>42726.625</v>
      </c>
      <c r="E17" s="169">
        <v>0.54</v>
      </c>
      <c r="F17" s="169" t="s">
        <v>338</v>
      </c>
      <c r="G17" s="169">
        <v>267.91000000000003</v>
      </c>
      <c r="H17" s="169"/>
      <c r="I17" s="169">
        <v>0</v>
      </c>
      <c r="J17" s="169">
        <v>0</v>
      </c>
      <c r="K17" s="169"/>
      <c r="L17" s="169">
        <v>1016.62</v>
      </c>
      <c r="M17" s="169" t="s">
        <v>246</v>
      </c>
      <c r="N17" s="169">
        <v>39.770000000000003</v>
      </c>
      <c r="O17" s="169">
        <v>1482444000</v>
      </c>
      <c r="P17" s="169">
        <v>2.81</v>
      </c>
      <c r="Q17" s="169">
        <v>13</v>
      </c>
      <c r="R17" s="169">
        <v>2.48</v>
      </c>
    </row>
    <row r="18" spans="1:18" x14ac:dyDescent="0.25">
      <c r="A18" s="169">
        <v>38.409999999999997</v>
      </c>
      <c r="B18" s="169">
        <v>0.42</v>
      </c>
      <c r="C18" s="169">
        <v>24.58</v>
      </c>
      <c r="D18" s="8">
        <v>42726.666666666664</v>
      </c>
      <c r="E18" s="169">
        <v>0.56999999999999995</v>
      </c>
      <c r="F18" s="169" t="s">
        <v>338</v>
      </c>
      <c r="G18" s="169">
        <v>269.38</v>
      </c>
      <c r="H18" s="169"/>
      <c r="I18" s="169">
        <v>0</v>
      </c>
      <c r="J18" s="169">
        <v>0</v>
      </c>
      <c r="K18" s="169"/>
      <c r="L18" s="169">
        <v>1016.34</v>
      </c>
      <c r="M18" s="169" t="s">
        <v>246</v>
      </c>
      <c r="N18" s="169">
        <v>38.409999999999997</v>
      </c>
      <c r="O18" s="169">
        <v>1482447600</v>
      </c>
      <c r="P18" s="169">
        <v>5.1100000000000003</v>
      </c>
      <c r="Q18" s="169">
        <v>6</v>
      </c>
      <c r="R18" s="169">
        <v>2.41</v>
      </c>
    </row>
    <row r="19" spans="1:18" x14ac:dyDescent="0.25">
      <c r="A19" s="169">
        <v>36.270000000000003</v>
      </c>
      <c r="B19" s="169">
        <v>0.5</v>
      </c>
      <c r="C19" s="169">
        <v>24.03</v>
      </c>
      <c r="D19" s="8">
        <v>42726.708333333336</v>
      </c>
      <c r="E19" s="169">
        <v>0.61</v>
      </c>
      <c r="F19" s="169" t="s">
        <v>241</v>
      </c>
      <c r="G19" s="169">
        <v>270.72000000000003</v>
      </c>
      <c r="H19" s="169"/>
      <c r="I19" s="169">
        <v>0</v>
      </c>
      <c r="J19" s="169">
        <v>0</v>
      </c>
      <c r="K19" s="169"/>
      <c r="L19" s="169">
        <v>1016.01</v>
      </c>
      <c r="M19" s="169" t="s">
        <v>246</v>
      </c>
      <c r="N19" s="169">
        <v>36.270000000000003</v>
      </c>
      <c r="O19" s="169">
        <v>1482451200</v>
      </c>
      <c r="P19" s="169">
        <v>5.53</v>
      </c>
      <c r="Q19" s="169">
        <v>7</v>
      </c>
      <c r="R19" s="169">
        <v>1.43</v>
      </c>
    </row>
    <row r="20" spans="1:18" x14ac:dyDescent="0.25">
      <c r="A20" s="169">
        <v>34.21</v>
      </c>
      <c r="B20" s="169">
        <v>0.65</v>
      </c>
      <c r="C20" s="169">
        <v>23.63</v>
      </c>
      <c r="D20" s="8">
        <v>42726.75</v>
      </c>
      <c r="E20" s="169">
        <v>0.65</v>
      </c>
      <c r="F20" s="169" t="s">
        <v>241</v>
      </c>
      <c r="G20" s="169">
        <v>271.82</v>
      </c>
      <c r="H20" s="169"/>
      <c r="I20" s="169">
        <v>0</v>
      </c>
      <c r="J20" s="169">
        <v>0</v>
      </c>
      <c r="K20" s="169"/>
      <c r="L20" s="169">
        <v>1015.49</v>
      </c>
      <c r="M20" s="169" t="s">
        <v>339</v>
      </c>
      <c r="N20" s="169">
        <v>34.21</v>
      </c>
      <c r="O20" s="169">
        <v>1482454800</v>
      </c>
      <c r="P20" s="169">
        <v>6.45</v>
      </c>
      <c r="Q20" s="169">
        <v>21</v>
      </c>
      <c r="R20" s="169">
        <v>1.88</v>
      </c>
    </row>
    <row r="21" spans="1:18" x14ac:dyDescent="0.25">
      <c r="A21" s="169">
        <v>32.33</v>
      </c>
      <c r="B21" s="169">
        <v>0.66</v>
      </c>
      <c r="C21" s="169">
        <v>22.57</v>
      </c>
      <c r="D21" s="8">
        <v>42726.791666666664</v>
      </c>
      <c r="E21" s="169">
        <v>0.67</v>
      </c>
      <c r="F21" s="169" t="s">
        <v>241</v>
      </c>
      <c r="G21" s="169">
        <v>272.77999999999997</v>
      </c>
      <c r="H21" s="169"/>
      <c r="I21" s="169">
        <v>0</v>
      </c>
      <c r="J21" s="169">
        <v>0</v>
      </c>
      <c r="K21" s="169"/>
      <c r="L21" s="169">
        <v>1014.82</v>
      </c>
      <c r="M21" s="169" t="s">
        <v>339</v>
      </c>
      <c r="N21" s="169">
        <v>32.33</v>
      </c>
      <c r="O21" s="169">
        <v>1482458400</v>
      </c>
      <c r="P21" s="169">
        <v>7.8</v>
      </c>
      <c r="Q21" s="169">
        <v>36</v>
      </c>
      <c r="R21" s="169">
        <v>0.81</v>
      </c>
    </row>
    <row r="22" spans="1:18" x14ac:dyDescent="0.25">
      <c r="A22" s="169">
        <v>31.18</v>
      </c>
      <c r="B22" s="169">
        <v>0.69</v>
      </c>
      <c r="C22" s="169">
        <v>22.72</v>
      </c>
      <c r="D22" s="8">
        <v>42726.833333333336</v>
      </c>
      <c r="E22" s="169">
        <v>0.7</v>
      </c>
      <c r="F22" s="169" t="s">
        <v>241</v>
      </c>
      <c r="G22" s="169">
        <v>273.77999999999997</v>
      </c>
      <c r="H22" s="169"/>
      <c r="I22" s="169">
        <v>0</v>
      </c>
      <c r="J22" s="169">
        <v>0</v>
      </c>
      <c r="K22" s="169"/>
      <c r="L22" s="169">
        <v>1014.11</v>
      </c>
      <c r="M22" s="169" t="s">
        <v>339</v>
      </c>
      <c r="N22" s="169">
        <v>31.18</v>
      </c>
      <c r="O22" s="169">
        <v>1482462000</v>
      </c>
      <c r="P22" s="169">
        <v>6.64</v>
      </c>
      <c r="Q22" s="169">
        <v>346</v>
      </c>
      <c r="R22" s="169">
        <v>0.78</v>
      </c>
    </row>
    <row r="23" spans="1:18" x14ac:dyDescent="0.25">
      <c r="A23" s="169">
        <v>30.25</v>
      </c>
      <c r="B23" s="169">
        <v>0.77</v>
      </c>
      <c r="C23" s="169">
        <v>22.84</v>
      </c>
      <c r="D23" s="8">
        <v>42726.875</v>
      </c>
      <c r="E23" s="169">
        <v>0.74</v>
      </c>
      <c r="F23" s="169" t="s">
        <v>241</v>
      </c>
      <c r="G23" s="169">
        <v>274.75</v>
      </c>
      <c r="H23" s="169"/>
      <c r="I23" s="169">
        <v>0</v>
      </c>
      <c r="J23" s="169">
        <v>0</v>
      </c>
      <c r="K23" s="169"/>
      <c r="L23" s="169">
        <v>1013.39</v>
      </c>
      <c r="M23" s="169" t="s">
        <v>339</v>
      </c>
      <c r="N23" s="169">
        <v>30.25</v>
      </c>
      <c r="O23" s="169">
        <v>1482465600</v>
      </c>
      <c r="P23" s="169">
        <v>6.36</v>
      </c>
      <c r="Q23" s="169">
        <v>241</v>
      </c>
      <c r="R23" s="169">
        <v>0.34</v>
      </c>
    </row>
    <row r="24" spans="1:18" x14ac:dyDescent="0.25">
      <c r="A24" s="169">
        <v>30.35</v>
      </c>
      <c r="B24" s="169">
        <v>0.93</v>
      </c>
      <c r="C24" s="169">
        <v>23.28</v>
      </c>
      <c r="D24" s="8">
        <v>42726.916666666664</v>
      </c>
      <c r="E24" s="169">
        <v>0.75</v>
      </c>
      <c r="F24" s="169" t="s">
        <v>241</v>
      </c>
      <c r="G24" s="169">
        <v>275.76</v>
      </c>
      <c r="H24" s="169">
        <v>7.0000000000000001E-3</v>
      </c>
      <c r="I24" s="169">
        <v>8.9999999999999998E-4</v>
      </c>
      <c r="J24" s="169">
        <v>0.01</v>
      </c>
      <c r="K24" s="169" t="s">
        <v>677</v>
      </c>
      <c r="L24" s="169">
        <v>1012.63</v>
      </c>
      <c r="M24" s="169" t="s">
        <v>339</v>
      </c>
      <c r="N24" s="169">
        <v>30.35</v>
      </c>
      <c r="O24" s="169">
        <v>1482469200</v>
      </c>
      <c r="P24" s="169">
        <v>6.15</v>
      </c>
      <c r="Q24" s="169">
        <v>279</v>
      </c>
      <c r="R24" s="169">
        <v>0.34</v>
      </c>
    </row>
    <row r="25" spans="1:18" x14ac:dyDescent="0.25">
      <c r="A25" s="169">
        <v>30.04</v>
      </c>
      <c r="B25" s="169">
        <v>1</v>
      </c>
      <c r="C25" s="169">
        <v>23.3</v>
      </c>
      <c r="D25" s="8">
        <v>42726.958333333336</v>
      </c>
      <c r="E25" s="169">
        <v>0.76</v>
      </c>
      <c r="F25" s="169" t="s">
        <v>677</v>
      </c>
      <c r="G25" s="169">
        <v>277.18</v>
      </c>
      <c r="H25" s="169">
        <v>1.9E-2</v>
      </c>
      <c r="I25" s="169">
        <v>2.0999999999999999E-3</v>
      </c>
      <c r="J25" s="169">
        <v>0.05</v>
      </c>
      <c r="K25" s="169" t="s">
        <v>677</v>
      </c>
      <c r="L25" s="169">
        <v>1011.81</v>
      </c>
      <c r="M25" s="169" t="s">
        <v>678</v>
      </c>
      <c r="N25" s="169">
        <v>30.04</v>
      </c>
      <c r="O25" s="169">
        <v>1482472800</v>
      </c>
      <c r="P25" s="169">
        <v>5.32</v>
      </c>
      <c r="Q25" s="169">
        <v>270</v>
      </c>
      <c r="R25" s="169">
        <v>0.53</v>
      </c>
    </row>
    <row r="26" spans="1:18" x14ac:dyDescent="0.25">
      <c r="A26" s="169">
        <v>30.01</v>
      </c>
      <c r="B26" s="169">
        <v>0.91</v>
      </c>
      <c r="C26" s="169">
        <v>23.21</v>
      </c>
      <c r="D26" s="8">
        <v>42727</v>
      </c>
      <c r="E26" s="169">
        <v>0.75</v>
      </c>
      <c r="F26" s="169" t="s">
        <v>241</v>
      </c>
      <c r="G26" s="169">
        <v>279.56</v>
      </c>
      <c r="H26" s="169"/>
      <c r="I26" s="169">
        <v>0</v>
      </c>
      <c r="J26" s="169">
        <v>0</v>
      </c>
      <c r="K26" s="169"/>
      <c r="L26" s="169">
        <v>1010.85</v>
      </c>
      <c r="M26" s="169" t="s">
        <v>339</v>
      </c>
      <c r="N26" s="169">
        <v>30.01</v>
      </c>
      <c r="O26" s="169">
        <v>1482476400</v>
      </c>
      <c r="P26" s="169">
        <v>5.58</v>
      </c>
      <c r="Q26" s="169">
        <v>351</v>
      </c>
      <c r="R26" s="169">
        <v>0.59</v>
      </c>
    </row>
    <row r="27" spans="1:18" x14ac:dyDescent="0.25">
      <c r="A27" s="169">
        <v>29.27</v>
      </c>
      <c r="B27" s="169">
        <v>0.92</v>
      </c>
      <c r="C27" s="169">
        <v>22.62</v>
      </c>
      <c r="D27" s="8">
        <v>42727.041666666664</v>
      </c>
      <c r="E27" s="169">
        <v>0.76</v>
      </c>
      <c r="F27" s="169" t="s">
        <v>241</v>
      </c>
      <c r="G27" s="169">
        <v>281.94</v>
      </c>
      <c r="H27" s="169"/>
      <c r="I27" s="169">
        <v>0</v>
      </c>
      <c r="J27" s="169">
        <v>0</v>
      </c>
      <c r="K27" s="169"/>
      <c r="L27" s="169">
        <v>1009.91</v>
      </c>
      <c r="M27" s="169" t="s">
        <v>339</v>
      </c>
      <c r="N27" s="169">
        <v>29.27</v>
      </c>
      <c r="O27" s="169">
        <v>1482480000</v>
      </c>
      <c r="P27" s="169">
        <v>5.81</v>
      </c>
      <c r="Q27" s="169">
        <v>249</v>
      </c>
      <c r="R27" s="169">
        <v>0.91</v>
      </c>
    </row>
    <row r="28" spans="1:18" x14ac:dyDescent="0.25">
      <c r="A28" s="169">
        <v>29.25</v>
      </c>
      <c r="B28" s="169">
        <v>0.94</v>
      </c>
      <c r="C28" s="169">
        <v>22.74</v>
      </c>
      <c r="D28" s="8">
        <v>42727.083333333336</v>
      </c>
      <c r="E28" s="169">
        <v>0.76</v>
      </c>
      <c r="F28" s="169" t="s">
        <v>391</v>
      </c>
      <c r="G28" s="169">
        <v>284.32</v>
      </c>
      <c r="H28" s="169"/>
      <c r="I28" s="169">
        <v>0</v>
      </c>
      <c r="J28" s="169">
        <v>0</v>
      </c>
      <c r="K28" s="169"/>
      <c r="L28" s="169">
        <v>1009.01</v>
      </c>
      <c r="M28" s="169" t="s">
        <v>392</v>
      </c>
      <c r="N28" s="169">
        <v>29.25</v>
      </c>
      <c r="O28" s="169">
        <v>1482483600</v>
      </c>
      <c r="P28" s="169">
        <v>5</v>
      </c>
      <c r="Q28" s="169">
        <v>315</v>
      </c>
      <c r="R28" s="169">
        <v>1.17</v>
      </c>
    </row>
    <row r="29" spans="1:18" x14ac:dyDescent="0.25">
      <c r="A29" s="169">
        <v>28.06</v>
      </c>
      <c r="B29" s="169">
        <v>0.92</v>
      </c>
      <c r="C29" s="169">
        <v>22.06</v>
      </c>
      <c r="D29" s="8">
        <v>42727.125</v>
      </c>
      <c r="E29" s="169">
        <v>0.78</v>
      </c>
      <c r="F29" s="169" t="s">
        <v>241</v>
      </c>
      <c r="G29" s="169">
        <v>283.72000000000003</v>
      </c>
      <c r="H29" s="169"/>
      <c r="I29" s="169">
        <v>0</v>
      </c>
      <c r="J29" s="169">
        <v>0</v>
      </c>
      <c r="K29" s="169"/>
      <c r="L29" s="169">
        <v>1008.59</v>
      </c>
      <c r="M29" s="169" t="s">
        <v>339</v>
      </c>
      <c r="N29" s="169">
        <v>28.06</v>
      </c>
      <c r="O29" s="169">
        <v>1482487200</v>
      </c>
      <c r="P29" s="169">
        <v>7.09</v>
      </c>
      <c r="Q29" s="169">
        <v>274</v>
      </c>
      <c r="R29" s="169">
        <v>0.71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9"/>
  <sheetViews>
    <sheetView topLeftCell="A4" workbookViewId="0">
      <selection activeCell="C18" sqref="C18:C39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42726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837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838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839</v>
      </c>
      <c r="J20" t="s">
        <v>87</v>
      </c>
      <c r="M20" s="164" t="s">
        <v>245</v>
      </c>
    </row>
    <row r="21" spans="3:13" x14ac:dyDescent="0.25">
      <c r="C21" t="s">
        <v>840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841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842</v>
      </c>
      <c r="J23" s="29" t="s">
        <v>95</v>
      </c>
      <c r="K23" s="21"/>
      <c r="M23" s="164">
        <v>-7</v>
      </c>
    </row>
    <row r="24" spans="3:13" x14ac:dyDescent="0.25">
      <c r="C24" t="s">
        <v>843</v>
      </c>
      <c r="J24" s="21" t="s">
        <v>108</v>
      </c>
      <c r="K24" s="21"/>
      <c r="M24" s="164" t="s">
        <v>110</v>
      </c>
    </row>
    <row r="25" spans="3:13" x14ac:dyDescent="0.25">
      <c r="C25" t="s">
        <v>844</v>
      </c>
      <c r="J25" t="s">
        <v>151</v>
      </c>
      <c r="M25" s="164" t="b">
        <v>1</v>
      </c>
    </row>
    <row r="26" spans="3:13" x14ac:dyDescent="0.25">
      <c r="C26" t="s">
        <v>845</v>
      </c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C:\Users\stu\Documents\GitHub\eaglep3-reporting\EC\2016-12-22-refined-times.txt</v>
      </c>
    </row>
    <row r="27" spans="3:13" x14ac:dyDescent="0.25">
      <c r="C27" t="s">
        <v>846</v>
      </c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C:\Users\stu\Documents\GitHub\eaglep3-reporting\EC\2016-12-22-Enforcements.txt</v>
      </c>
    </row>
    <row r="28" spans="3:13" x14ac:dyDescent="0.25">
      <c r="C28" t="s">
        <v>847</v>
      </c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C:\Users\stu\Documents\GitHub\eaglep3-reporting\EC\2016-12-22-Runs-refined.txt</v>
      </c>
    </row>
    <row r="29" spans="3:13" x14ac:dyDescent="0.25">
      <c r="C29" t="s">
        <v>848</v>
      </c>
      <c r="J29" t="s">
        <v>189</v>
      </c>
      <c r="M29" s="164" t="str">
        <f>"C:\Users\stu\Documents\GitHub\eaglep3-reporting\EC\"&amp;TEXT(A2,"YYYY-MM-DD")&amp;"-Trips.txt"</f>
        <v>C:\Users\stu\Documents\GitHub\eaglep3-reporting\EC\2016-12-22-Trips.txt</v>
      </c>
    </row>
    <row r="30" spans="3:13" x14ac:dyDescent="0.25">
      <c r="C30" t="s">
        <v>849</v>
      </c>
      <c r="J30" t="s">
        <v>190</v>
      </c>
      <c r="M30" s="164" t="str">
        <f>"C:\Users\stu\Documents\GitHub\eaglep3-reporting\EC\"&amp;TEXT(A2,"YYYY-MM-DD")&amp;"-Weather.txt"</f>
        <v>C:\Users\stu\Documents\GitHub\eaglep3-reporting\EC\2016-12-22-Weather.txt</v>
      </c>
    </row>
    <row r="31" spans="3:13" x14ac:dyDescent="0.25">
      <c r="C31" t="s">
        <v>850</v>
      </c>
    </row>
    <row r="32" spans="3:13" x14ac:dyDescent="0.25">
      <c r="C32" t="s">
        <v>851</v>
      </c>
    </row>
    <row r="33" spans="3:3" x14ac:dyDescent="0.25">
      <c r="C33" t="s">
        <v>852</v>
      </c>
    </row>
    <row r="34" spans="3:3" x14ac:dyDescent="0.25">
      <c r="C34" t="s">
        <v>853</v>
      </c>
    </row>
    <row r="35" spans="3:3" x14ac:dyDescent="0.25">
      <c r="C35" t="s">
        <v>854</v>
      </c>
    </row>
    <row r="36" spans="3:3" x14ac:dyDescent="0.25">
      <c r="C36" t="s">
        <v>855</v>
      </c>
    </row>
    <row r="37" spans="3:3" x14ac:dyDescent="0.25">
      <c r="C37" t="s">
        <v>856</v>
      </c>
    </row>
    <row r="38" spans="3:3" x14ac:dyDescent="0.25">
      <c r="C38" t="s">
        <v>857</v>
      </c>
    </row>
    <row r="39" spans="3:3" x14ac:dyDescent="0.25">
      <c r="C39" t="s">
        <v>858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871</v>
      </c>
      <c r="B1" t="str">
        <f t="shared" ref="B1:B52" si="0">MID(A1,6,23)</f>
        <v>2016/12/22 11:20:00.569</v>
      </c>
      <c r="C1" t="e">
        <f>ABS(B1-#REF!)</f>
        <v>#REF!</v>
      </c>
    </row>
    <row r="2" spans="1:3" x14ac:dyDescent="0.25">
      <c r="A2" t="s">
        <v>872</v>
      </c>
      <c r="B2" s="21" t="str">
        <f t="shared" si="0"/>
        <v>2016/12/22 11:20:00.595</v>
      </c>
      <c r="C2">
        <f>ABS(B2-B1)</f>
        <v>3.0092633096501231E-7</v>
      </c>
    </row>
    <row r="3" spans="1:3" x14ac:dyDescent="0.25">
      <c r="A3" t="s">
        <v>873</v>
      </c>
      <c r="B3" s="21" t="str">
        <f t="shared" si="0"/>
        <v>2016/12/22 11:20:00.606</v>
      </c>
      <c r="C3" s="21">
        <f t="shared" ref="C3:C52" si="1">ABS(B3-B2)</f>
        <v>1.2731470633298159E-7</v>
      </c>
    </row>
    <row r="4" spans="1:3" x14ac:dyDescent="0.25">
      <c r="A4" t="s">
        <v>874</v>
      </c>
      <c r="B4" s="21" t="str">
        <f t="shared" si="0"/>
        <v>2016/12/22 11:20:01.283</v>
      </c>
      <c r="C4" s="21">
        <f t="shared" si="1"/>
        <v>7.8356461017392576E-6</v>
      </c>
    </row>
    <row r="5" spans="1:3" x14ac:dyDescent="0.25">
      <c r="A5" t="s">
        <v>875</v>
      </c>
      <c r="B5" s="21" t="str">
        <f t="shared" si="0"/>
        <v>2016/12/22 11:20:01.303</v>
      </c>
      <c r="C5" s="21">
        <f t="shared" si="1"/>
        <v>2.314845914952457E-7</v>
      </c>
    </row>
    <row r="6" spans="1:3" x14ac:dyDescent="0.25">
      <c r="A6" t="s">
        <v>876</v>
      </c>
      <c r="B6" s="21" t="str">
        <f t="shared" si="0"/>
        <v>2016/12/22 11:20:01.313</v>
      </c>
      <c r="C6" s="21">
        <f t="shared" si="1"/>
        <v>1.1573865776881576E-7</v>
      </c>
    </row>
    <row r="7" spans="1:3" x14ac:dyDescent="0.25">
      <c r="A7" t="s">
        <v>877</v>
      </c>
      <c r="B7" s="21" t="str">
        <f t="shared" si="0"/>
        <v>2016/12/22 11:20:01.314</v>
      </c>
      <c r="C7" s="21">
        <f t="shared" si="1"/>
        <v>1.1576048564165831E-8</v>
      </c>
    </row>
    <row r="8" spans="1:3" x14ac:dyDescent="0.25">
      <c r="A8" t="s">
        <v>878</v>
      </c>
      <c r="B8" s="21" t="str">
        <f t="shared" si="0"/>
        <v>2016/12/22 11:20:01.334</v>
      </c>
      <c r="C8" s="21">
        <f t="shared" si="1"/>
        <v>2.3147731553763151E-7</v>
      </c>
    </row>
    <row r="9" spans="1:3" x14ac:dyDescent="0.25">
      <c r="A9" t="s">
        <v>879</v>
      </c>
      <c r="B9" s="21" t="str">
        <f t="shared" si="0"/>
        <v>2016/12/22 11:20:01.344</v>
      </c>
      <c r="C9" s="21">
        <f t="shared" si="1"/>
        <v>1.1574593372642994E-7</v>
      </c>
    </row>
    <row r="10" spans="1:3" x14ac:dyDescent="0.25">
      <c r="A10" t="s">
        <v>880</v>
      </c>
      <c r="B10" s="21" t="str">
        <f t="shared" si="0"/>
        <v>2016/12/22 12:02:22.730</v>
      </c>
      <c r="C10" s="21">
        <f t="shared" si="1"/>
        <v>2.9414189812086988E-2</v>
      </c>
    </row>
    <row r="11" spans="1:3" x14ac:dyDescent="0.25">
      <c r="A11" t="s">
        <v>881</v>
      </c>
      <c r="B11" s="21" t="str">
        <f t="shared" si="0"/>
        <v>2016/12/22 12:02:22.993</v>
      </c>
      <c r="C11" s="21">
        <f t="shared" si="1"/>
        <v>3.0439841793850064E-6</v>
      </c>
    </row>
    <row r="12" spans="1:3" x14ac:dyDescent="0.25">
      <c r="A12" t="s">
        <v>882</v>
      </c>
      <c r="B12" s="21" t="str">
        <f t="shared" si="0"/>
        <v>2016/12/22 12:02:23.092</v>
      </c>
      <c r="C12" s="21">
        <f t="shared" si="1"/>
        <v>1.1458323569968343E-6</v>
      </c>
    </row>
    <row r="13" spans="1:3" x14ac:dyDescent="0.25">
      <c r="A13" t="s">
        <v>883</v>
      </c>
      <c r="B13" s="21" t="str">
        <f t="shared" si="0"/>
        <v>2016/12/22 12:03:15.727</v>
      </c>
      <c r="C13" s="21">
        <f t="shared" si="1"/>
        <v>6.092013863963075E-4</v>
      </c>
    </row>
    <row r="14" spans="1:3" x14ac:dyDescent="0.25">
      <c r="A14" t="s">
        <v>884</v>
      </c>
      <c r="B14" s="21" t="str">
        <f t="shared" si="0"/>
        <v>2016/12/22 12:03:15.990</v>
      </c>
      <c r="C14" s="21">
        <f t="shared" si="1"/>
        <v>3.0439841793850064E-6</v>
      </c>
    </row>
    <row r="15" spans="1:3" x14ac:dyDescent="0.25">
      <c r="A15" t="s">
        <v>885</v>
      </c>
      <c r="B15" s="21" t="str">
        <f t="shared" si="0"/>
        <v>2016/12/22 12:03:16.088</v>
      </c>
      <c r="C15" s="21">
        <f t="shared" si="1"/>
        <v>1.1342563084326684E-6</v>
      </c>
    </row>
    <row r="16" spans="1:3" x14ac:dyDescent="0.25">
      <c r="A16" t="s">
        <v>886</v>
      </c>
      <c r="B16" s="21" t="str">
        <f t="shared" si="0"/>
        <v>2016/12/22 12:16:29.615</v>
      </c>
      <c r="C16" s="21">
        <f t="shared" si="1"/>
        <v>9.1843402769882232E-3</v>
      </c>
    </row>
    <row r="17" spans="1:3" x14ac:dyDescent="0.25">
      <c r="A17" t="s">
        <v>887</v>
      </c>
      <c r="B17" s="21" t="str">
        <f t="shared" si="0"/>
        <v>2016/12/22 12:16:30.678</v>
      </c>
      <c r="C17" s="21">
        <f t="shared" si="1"/>
        <v>1.2303244147915393E-5</v>
      </c>
    </row>
    <row r="18" spans="1:3" x14ac:dyDescent="0.25">
      <c r="A18" t="s">
        <v>888</v>
      </c>
      <c r="B18" s="21" t="str">
        <f t="shared" si="0"/>
        <v>2016/12/22 12:31:21.750</v>
      </c>
      <c r="C18" s="21">
        <f t="shared" si="1"/>
        <v>1.0313333332305774E-2</v>
      </c>
    </row>
    <row r="19" spans="1:3" x14ac:dyDescent="0.25">
      <c r="A19" t="s">
        <v>889</v>
      </c>
      <c r="B19" s="21" t="str">
        <f t="shared" si="0"/>
        <v>2016/12/22 12:31:21.930</v>
      </c>
      <c r="C19" s="21">
        <f t="shared" si="1"/>
        <v>2.0833322196267545E-6</v>
      </c>
    </row>
    <row r="20" spans="1:3" x14ac:dyDescent="0.25">
      <c r="A20" t="s">
        <v>890</v>
      </c>
      <c r="B20" s="21" t="str">
        <f t="shared" si="0"/>
        <v>2016/12/22 12:31:22.078</v>
      </c>
      <c r="C20" s="21">
        <f t="shared" si="1"/>
        <v>1.7129641491919756E-6</v>
      </c>
    </row>
    <row r="21" spans="1:3" x14ac:dyDescent="0.25">
      <c r="A21" t="s">
        <v>891</v>
      </c>
      <c r="B21" s="21" t="str">
        <f t="shared" si="0"/>
        <v>2016/12/22 12:36:47.733</v>
      </c>
      <c r="C21" s="21">
        <f t="shared" si="1"/>
        <v>3.7691550896852277E-3</v>
      </c>
    </row>
    <row r="22" spans="1:3" x14ac:dyDescent="0.25">
      <c r="A22" t="s">
        <v>892</v>
      </c>
      <c r="B22" s="21" t="str">
        <f t="shared" si="0"/>
        <v>2016/12/22 12:36:47.912</v>
      </c>
      <c r="C22" s="21">
        <f t="shared" si="1"/>
        <v>2.0717634470202029E-6</v>
      </c>
    </row>
    <row r="23" spans="1:3" x14ac:dyDescent="0.25">
      <c r="A23" t="s">
        <v>893</v>
      </c>
      <c r="B23" s="21" t="str">
        <f t="shared" si="0"/>
        <v>2016/12/22 12:36:48.070</v>
      </c>
      <c r="C23" s="21">
        <f t="shared" si="1"/>
        <v>1.8287028069607913E-6</v>
      </c>
    </row>
    <row r="24" spans="1:3" x14ac:dyDescent="0.25">
      <c r="A24" t="s">
        <v>894</v>
      </c>
      <c r="B24" s="21" t="str">
        <f t="shared" si="0"/>
        <v>2016/12/22 14:07:28.798</v>
      </c>
      <c r="C24" s="21">
        <f t="shared" si="1"/>
        <v>6.2971388892037794E-2</v>
      </c>
    </row>
    <row r="25" spans="1:3" x14ac:dyDescent="0.25">
      <c r="A25" t="s">
        <v>895</v>
      </c>
      <c r="B25" s="21" t="str">
        <f t="shared" si="0"/>
        <v>2016/12/22 14:07:28.925</v>
      </c>
      <c r="C25" s="21">
        <f t="shared" si="1"/>
        <v>1.4699035091325641E-6</v>
      </c>
    </row>
    <row r="26" spans="1:3" x14ac:dyDescent="0.25">
      <c r="A26" t="s">
        <v>896</v>
      </c>
      <c r="B26" s="21" t="str">
        <f t="shared" si="0"/>
        <v>2016/12/22 14:20:43.940</v>
      </c>
      <c r="C26" s="21">
        <f t="shared" si="1"/>
        <v>9.2015624977648258E-3</v>
      </c>
    </row>
    <row r="27" spans="1:3" x14ac:dyDescent="0.25">
      <c r="A27" t="s">
        <v>897</v>
      </c>
      <c r="B27" s="21" t="str">
        <f t="shared" si="0"/>
        <v>2016/12/22 14:20:44.117</v>
      </c>
      <c r="C27" s="21">
        <f t="shared" si="1"/>
        <v>2.0486113498918712E-6</v>
      </c>
    </row>
    <row r="28" spans="1:3" x14ac:dyDescent="0.25">
      <c r="A28" t="s">
        <v>898</v>
      </c>
      <c r="B28" s="21" t="str">
        <f t="shared" si="0"/>
        <v>2016/12/22 14:20:44.861</v>
      </c>
      <c r="C28" s="21">
        <f t="shared" si="1"/>
        <v>8.6111103883013129E-6</v>
      </c>
    </row>
    <row r="29" spans="1:3" x14ac:dyDescent="0.25">
      <c r="A29" t="s">
        <v>899</v>
      </c>
      <c r="B29" s="21" t="str">
        <f t="shared" si="0"/>
        <v>2016/12/22 14:32:41.812</v>
      </c>
      <c r="C29" s="21">
        <f t="shared" si="1"/>
        <v>8.2980439838138409E-3</v>
      </c>
    </row>
    <row r="30" spans="1:3" x14ac:dyDescent="0.25">
      <c r="A30" t="s">
        <v>900</v>
      </c>
      <c r="B30" s="21" t="str">
        <f t="shared" si="0"/>
        <v>2016/12/22 14:32:41.876</v>
      </c>
      <c r="C30" s="21">
        <f t="shared" si="1"/>
        <v>7.4074341682717204E-7</v>
      </c>
    </row>
    <row r="31" spans="1:3" x14ac:dyDescent="0.25">
      <c r="A31" t="s">
        <v>901</v>
      </c>
      <c r="B31" s="21" t="str">
        <f t="shared" si="0"/>
        <v>2016/12/22 14:32:42.754</v>
      </c>
      <c r="C31" s="21">
        <f t="shared" si="1"/>
        <v>1.0162031685467809E-5</v>
      </c>
    </row>
    <row r="32" spans="1:3" x14ac:dyDescent="0.25">
      <c r="A32" t="s">
        <v>902</v>
      </c>
      <c r="B32" s="21" t="str">
        <f t="shared" si="0"/>
        <v>2016/12/22 14:57:33.393</v>
      </c>
      <c r="C32" s="21">
        <f t="shared" si="1"/>
        <v>1.7252766207093373E-2</v>
      </c>
    </row>
    <row r="33" spans="1:3" x14ac:dyDescent="0.25">
      <c r="A33" t="s">
        <v>903</v>
      </c>
      <c r="B33" s="21" t="str">
        <f t="shared" si="0"/>
        <v>2016/12/22 14:57:33.691</v>
      </c>
      <c r="C33" s="21">
        <f t="shared" si="1"/>
        <v>3.4490731195546687E-6</v>
      </c>
    </row>
    <row r="34" spans="1:3" x14ac:dyDescent="0.25">
      <c r="A34" t="s">
        <v>904</v>
      </c>
      <c r="B34" s="21" t="str">
        <f t="shared" si="0"/>
        <v>2016/12/22 15:04:13.752</v>
      </c>
      <c r="C34" s="21">
        <f t="shared" si="1"/>
        <v>4.6303356502903625E-3</v>
      </c>
    </row>
    <row r="35" spans="1:3" x14ac:dyDescent="0.25">
      <c r="A35" t="s">
        <v>905</v>
      </c>
      <c r="B35" s="21" t="str">
        <f t="shared" si="0"/>
        <v>2016/12/22 15:04:13.975</v>
      </c>
      <c r="C35" s="21">
        <f t="shared" si="1"/>
        <v>2.581014996394515E-6</v>
      </c>
    </row>
    <row r="36" spans="1:3" x14ac:dyDescent="0.25">
      <c r="A36" t="s">
        <v>906</v>
      </c>
      <c r="B36" s="21" t="str">
        <f t="shared" si="0"/>
        <v>2016/12/22 15:04:14.194</v>
      </c>
      <c r="C36" s="21">
        <f t="shared" si="1"/>
        <v>2.5347253540530801E-6</v>
      </c>
    </row>
    <row r="37" spans="1:3" x14ac:dyDescent="0.25">
      <c r="A37" t="s">
        <v>907</v>
      </c>
      <c r="B37" s="21" t="str">
        <f t="shared" si="0"/>
        <v>2016/12/22 15:04:43.359</v>
      </c>
      <c r="C37" s="21">
        <f t="shared" si="1"/>
        <v>3.3755786716938019E-4</v>
      </c>
    </row>
    <row r="38" spans="1:3" x14ac:dyDescent="0.25">
      <c r="A38" t="s">
        <v>908</v>
      </c>
      <c r="B38" s="21" t="str">
        <f t="shared" si="0"/>
        <v>2016/12/22 15:04:43.773</v>
      </c>
      <c r="C38" s="21">
        <f t="shared" si="1"/>
        <v>4.7916691983118653E-6</v>
      </c>
    </row>
    <row r="39" spans="1:3" x14ac:dyDescent="0.25">
      <c r="A39" t="s">
        <v>909</v>
      </c>
      <c r="B39" s="21" t="str">
        <f t="shared" si="0"/>
        <v>2016/12/22 15:04:44.432</v>
      </c>
      <c r="C39" s="21">
        <f t="shared" si="1"/>
        <v>7.6273136073723435E-6</v>
      </c>
    </row>
    <row r="40" spans="1:3" x14ac:dyDescent="0.25">
      <c r="A40" t="s">
        <v>910</v>
      </c>
      <c r="B40" s="21" t="str">
        <f t="shared" si="0"/>
        <v>2016/12/22 15:07:37.797</v>
      </c>
      <c r="C40" s="21">
        <f t="shared" si="1"/>
        <v>2.0065393546246924E-3</v>
      </c>
    </row>
    <row r="41" spans="1:3" x14ac:dyDescent="0.25">
      <c r="A41" t="s">
        <v>911</v>
      </c>
      <c r="B41" s="21" t="str">
        <f t="shared" si="0"/>
        <v>2016/12/22 15:07:37.926</v>
      </c>
      <c r="C41" s="21">
        <f t="shared" si="1"/>
        <v>1.4930556062608957E-6</v>
      </c>
    </row>
    <row r="42" spans="1:3" x14ac:dyDescent="0.25">
      <c r="A42" t="s">
        <v>912</v>
      </c>
      <c r="B42" s="21" t="str">
        <f t="shared" si="0"/>
        <v>2016/12/22 15:07:38.427</v>
      </c>
      <c r="C42" s="21">
        <f t="shared" si="1"/>
        <v>5.7986108004115522E-6</v>
      </c>
    </row>
    <row r="43" spans="1:3" x14ac:dyDescent="0.25">
      <c r="A43" t="s">
        <v>913</v>
      </c>
      <c r="B43" s="21" t="str">
        <f t="shared" si="0"/>
        <v>2016/12/22 15:26:37.857</v>
      </c>
      <c r="C43" s="21">
        <f t="shared" si="1"/>
        <v>1.3187847223889548E-2</v>
      </c>
    </row>
    <row r="44" spans="1:3" x14ac:dyDescent="0.25">
      <c r="A44" t="s">
        <v>914</v>
      </c>
      <c r="B44" s="21" t="str">
        <f t="shared" si="0"/>
        <v>2016/12/22 15:26:38.092</v>
      </c>
      <c r="C44" s="21">
        <f t="shared" si="1"/>
        <v>2.7199057512916625E-6</v>
      </c>
    </row>
    <row r="45" spans="1:3" x14ac:dyDescent="0.25">
      <c r="A45" t="s">
        <v>915</v>
      </c>
      <c r="B45" s="21" t="str">
        <f t="shared" si="0"/>
        <v>2016/12/22 15:26:38.290</v>
      </c>
      <c r="C45" s="21">
        <f t="shared" si="1"/>
        <v>2.2916647139936686E-6</v>
      </c>
    </row>
    <row r="46" spans="1:3" x14ac:dyDescent="0.25">
      <c r="A46" t="s">
        <v>916</v>
      </c>
      <c r="B46" s="21" t="str">
        <f t="shared" si="0"/>
        <v>2016/12/22 16:02:48.067</v>
      </c>
      <c r="C46" s="21">
        <f t="shared" si="1"/>
        <v>2.511315972515149E-2</v>
      </c>
    </row>
    <row r="47" spans="1:3" x14ac:dyDescent="0.25">
      <c r="A47" t="s">
        <v>917</v>
      </c>
      <c r="B47" s="21" t="str">
        <f t="shared" si="0"/>
        <v>2016/12/22 16:02:48.738</v>
      </c>
      <c r="C47" s="21">
        <f t="shared" si="1"/>
        <v>7.766204362269491E-6</v>
      </c>
    </row>
    <row r="48" spans="1:3" x14ac:dyDescent="0.25">
      <c r="A48" t="s">
        <v>918</v>
      </c>
      <c r="B48" s="21" t="str">
        <f t="shared" si="0"/>
        <v>2016/12/22 16:02:48.919</v>
      </c>
      <c r="C48" s="21">
        <f t="shared" si="1"/>
        <v>2.0949009922333062E-6</v>
      </c>
    </row>
    <row r="49" spans="1:3" x14ac:dyDescent="0.25">
      <c r="A49" t="s">
        <v>919</v>
      </c>
      <c r="B49" s="21" t="str">
        <f t="shared" si="0"/>
        <v>2016/12/22 17:00:22.758</v>
      </c>
      <c r="C49" s="21">
        <f t="shared" si="1"/>
        <v>3.9974988430913072E-2</v>
      </c>
    </row>
    <row r="50" spans="1:3" x14ac:dyDescent="0.25">
      <c r="A50" t="s">
        <v>920</v>
      </c>
      <c r="B50" s="21" t="str">
        <f t="shared" si="0"/>
        <v>2016/12/22 17:00:23.355</v>
      </c>
      <c r="C50" s="21">
        <f t="shared" si="1"/>
        <v>6.9097222876735032E-6</v>
      </c>
    </row>
    <row r="51" spans="1:3" x14ac:dyDescent="0.25">
      <c r="A51" t="s">
        <v>921</v>
      </c>
      <c r="B51" s="21" t="str">
        <f t="shared" si="0"/>
        <v>2016/12/22 17:00:23.419</v>
      </c>
      <c r="C51" s="21">
        <f t="shared" si="1"/>
        <v>7.4073614086955786E-7</v>
      </c>
    </row>
    <row r="52" spans="1:3" x14ac:dyDescent="0.25">
      <c r="A52" t="s">
        <v>922</v>
      </c>
      <c r="B52" s="21" t="str">
        <f t="shared" si="0"/>
        <v>2016/12/22 17:11:41.473</v>
      </c>
      <c r="C52" s="21">
        <f t="shared" si="1"/>
        <v>7.8478472278220579E-3</v>
      </c>
    </row>
    <row r="53" spans="1:3" x14ac:dyDescent="0.25">
      <c r="A53" t="s">
        <v>923</v>
      </c>
      <c r="B53" s="21" t="str">
        <f t="shared" ref="B53:B80" si="2">MID(A53,6,23)</f>
        <v>2016/12/22 17:11:42.214</v>
      </c>
      <c r="C53" s="21">
        <f t="shared" ref="C53:C80" si="3">ABS(B53-B52)</f>
        <v>8.5763895185664296E-6</v>
      </c>
    </row>
    <row r="54" spans="1:3" x14ac:dyDescent="0.25">
      <c r="A54" t="s">
        <v>924</v>
      </c>
      <c r="B54" s="21" t="str">
        <f t="shared" si="2"/>
        <v>2016/12/22 17:11:42.437</v>
      </c>
      <c r="C54" s="21">
        <f t="shared" si="3"/>
        <v>2.581014996394515E-6</v>
      </c>
    </row>
    <row r="55" spans="1:3" x14ac:dyDescent="0.25">
      <c r="A55" t="s">
        <v>925</v>
      </c>
      <c r="B55" s="21" t="str">
        <f t="shared" si="2"/>
        <v>2016/12/22 17:23:30.079</v>
      </c>
      <c r="C55" s="21">
        <f t="shared" si="3"/>
        <v>8.1903009267989546E-3</v>
      </c>
    </row>
    <row r="56" spans="1:3" x14ac:dyDescent="0.25">
      <c r="A56" t="s">
        <v>926</v>
      </c>
      <c r="B56" s="21" t="str">
        <f t="shared" si="2"/>
        <v>2016/12/22 17:23:30.328</v>
      </c>
      <c r="C56" s="21">
        <f t="shared" si="3"/>
        <v>2.8819413273595273E-6</v>
      </c>
    </row>
    <row r="57" spans="1:3" x14ac:dyDescent="0.25">
      <c r="A57" t="s">
        <v>927</v>
      </c>
      <c r="B57" s="21" t="str">
        <f t="shared" si="2"/>
        <v>2016/12/22 17:35:42.745</v>
      </c>
      <c r="C57" s="21">
        <f t="shared" si="3"/>
        <v>8.4770486137131229E-3</v>
      </c>
    </row>
    <row r="58" spans="1:3" x14ac:dyDescent="0.25">
      <c r="A58" t="s">
        <v>928</v>
      </c>
      <c r="B58" s="21" t="str">
        <f t="shared" si="2"/>
        <v>2016/12/22 17:35:42.923</v>
      </c>
      <c r="C58" s="21">
        <f t="shared" si="3"/>
        <v>2.060187398456037E-6</v>
      </c>
    </row>
    <row r="59" spans="1:3" x14ac:dyDescent="0.25">
      <c r="A59" t="s">
        <v>929</v>
      </c>
      <c r="B59" s="21" t="str">
        <f t="shared" si="2"/>
        <v>2016/12/22 17:35:43.071</v>
      </c>
      <c r="C59" s="21">
        <f t="shared" si="3"/>
        <v>1.7129641491919756E-6</v>
      </c>
    </row>
    <row r="60" spans="1:3" x14ac:dyDescent="0.25">
      <c r="A60" t="s">
        <v>930</v>
      </c>
      <c r="B60" s="21" t="str">
        <f t="shared" si="2"/>
        <v>2016/12/22 17:40:52.740</v>
      </c>
      <c r="C60" s="21">
        <f t="shared" si="3"/>
        <v>3.5841319404426031E-3</v>
      </c>
    </row>
    <row r="61" spans="1:3" x14ac:dyDescent="0.25">
      <c r="A61" t="s">
        <v>931</v>
      </c>
      <c r="B61" s="21" t="str">
        <f t="shared" si="2"/>
        <v>2016/12/22 17:40:52.918</v>
      </c>
      <c r="C61" s="21">
        <f t="shared" si="3"/>
        <v>2.060187398456037E-6</v>
      </c>
    </row>
    <row r="62" spans="1:3" x14ac:dyDescent="0.25">
      <c r="A62" t="s">
        <v>932</v>
      </c>
      <c r="B62" s="21" t="str">
        <f t="shared" si="2"/>
        <v>2016/12/22 18:44:11.084</v>
      </c>
      <c r="C62" s="21">
        <f t="shared" si="3"/>
        <v>4.3960254624835216E-2</v>
      </c>
    </row>
    <row r="63" spans="1:3" x14ac:dyDescent="0.25">
      <c r="A63" t="s">
        <v>933</v>
      </c>
      <c r="B63" s="21" t="str">
        <f t="shared" si="2"/>
        <v>2016/12/22 18:44:11.411</v>
      </c>
      <c r="C63" s="21">
        <f t="shared" si="3"/>
        <v>3.7847275962121785E-6</v>
      </c>
    </row>
    <row r="64" spans="1:3" x14ac:dyDescent="0.25">
      <c r="A64" t="s">
        <v>934</v>
      </c>
      <c r="B64" s="21" t="str">
        <f t="shared" si="2"/>
        <v>2016/12/22 18:44:11.741</v>
      </c>
      <c r="C64" s="21">
        <f t="shared" si="3"/>
        <v>3.8194411899894476E-6</v>
      </c>
    </row>
    <row r="65" spans="1:3" x14ac:dyDescent="0.25">
      <c r="A65" t="s">
        <v>935</v>
      </c>
      <c r="B65" s="21" t="str">
        <f t="shared" si="2"/>
        <v>2016/12/22 19:04:16.433</v>
      </c>
      <c r="C65" s="21">
        <f t="shared" si="3"/>
        <v>1.3943194448074792E-2</v>
      </c>
    </row>
    <row r="66" spans="1:3" x14ac:dyDescent="0.25">
      <c r="A66" t="s">
        <v>936</v>
      </c>
      <c r="B66" s="21" t="str">
        <f t="shared" si="2"/>
        <v>2016/12/22 21:39:11.827</v>
      </c>
      <c r="C66" s="21">
        <f t="shared" si="3"/>
        <v>0.10758557869849028</v>
      </c>
    </row>
    <row r="67" spans="1:3" x14ac:dyDescent="0.25">
      <c r="A67" t="s">
        <v>937</v>
      </c>
      <c r="B67" s="21" t="str">
        <f t="shared" si="2"/>
        <v>2016/12/22 21:39:11.841</v>
      </c>
      <c r="C67" s="21">
        <f t="shared" si="3"/>
        <v>1.6204285202547908E-7</v>
      </c>
    </row>
    <row r="68" spans="1:3" x14ac:dyDescent="0.25">
      <c r="A68" t="s">
        <v>938</v>
      </c>
      <c r="B68" s="21" t="str">
        <f t="shared" si="2"/>
        <v>2016/12/22 21:39:12.690</v>
      </c>
      <c r="C68" s="21">
        <f t="shared" si="3"/>
        <v>9.8263844847679138E-6</v>
      </c>
    </row>
    <row r="69" spans="1:3" x14ac:dyDescent="0.25">
      <c r="A69" t="s">
        <v>939</v>
      </c>
      <c r="B69" s="21" t="str">
        <f t="shared" si="2"/>
        <v>2016/12/22 21:51:25.944</v>
      </c>
      <c r="C69" s="21">
        <f t="shared" si="3"/>
        <v>8.4867361147189513E-3</v>
      </c>
    </row>
    <row r="70" spans="1:3" x14ac:dyDescent="0.25">
      <c r="A70" t="s">
        <v>940</v>
      </c>
      <c r="B70" s="21" t="str">
        <f t="shared" si="2"/>
        <v>2016/12/22 21:51:26.156</v>
      </c>
      <c r="C70" s="21">
        <f t="shared" si="3"/>
        <v>2.4537002900615335E-6</v>
      </c>
    </row>
    <row r="71" spans="1:3" x14ac:dyDescent="0.25">
      <c r="A71" t="s">
        <v>941</v>
      </c>
      <c r="B71" s="21" t="str">
        <f t="shared" si="2"/>
        <v>2016/12/22 21:56:28.958</v>
      </c>
      <c r="C71" s="21">
        <f t="shared" si="3"/>
        <v>3.5046527773374692E-3</v>
      </c>
    </row>
    <row r="72" spans="1:3" x14ac:dyDescent="0.25">
      <c r="A72" t="s">
        <v>942</v>
      </c>
      <c r="B72" s="21" t="str">
        <f t="shared" si="2"/>
        <v>2016/12/22 21:56:29.154</v>
      </c>
      <c r="C72" s="21">
        <f t="shared" si="3"/>
        <v>2.2685198928229511E-6</v>
      </c>
    </row>
    <row r="73" spans="1:3" x14ac:dyDescent="0.25">
      <c r="A73" t="s">
        <v>943</v>
      </c>
      <c r="B73" s="21" t="str">
        <f t="shared" si="2"/>
        <v>2016/12/22 22:34:12.867</v>
      </c>
      <c r="C73" s="21">
        <f t="shared" si="3"/>
        <v>2.6200381944363471E-2</v>
      </c>
    </row>
    <row r="74" spans="1:3" x14ac:dyDescent="0.25">
      <c r="A74" t="s">
        <v>944</v>
      </c>
      <c r="B74" s="21" t="str">
        <f t="shared" si="2"/>
        <v>2016/12/22 22:34:25.092</v>
      </c>
      <c r="C74" s="21">
        <f t="shared" si="3"/>
        <v>1.4149305206956342E-4</v>
      </c>
    </row>
    <row r="75" spans="1:3" x14ac:dyDescent="0.25">
      <c r="A75" t="s">
        <v>945</v>
      </c>
      <c r="B75" s="21" t="str">
        <f t="shared" si="2"/>
        <v>2016/12/22 22:34:25.275</v>
      </c>
      <c r="C75" s="21">
        <f t="shared" si="3"/>
        <v>2.118060365319252E-6</v>
      </c>
    </row>
    <row r="76" spans="1:3" x14ac:dyDescent="0.25">
      <c r="A76" t="s">
        <v>946</v>
      </c>
      <c r="B76" s="21" t="str">
        <f t="shared" si="2"/>
        <v>2016/12/22 22:34:53.270</v>
      </c>
      <c r="C76" s="21">
        <f t="shared" si="3"/>
        <v>3.2401620410382748E-4</v>
      </c>
    </row>
    <row r="77" spans="1:3" x14ac:dyDescent="0.25">
      <c r="A77" t="s">
        <v>947</v>
      </c>
      <c r="B77" s="21" t="str">
        <f t="shared" si="2"/>
        <v>2016/12/22 22:34:53.859</v>
      </c>
      <c r="C77" s="21">
        <f t="shared" si="3"/>
        <v>6.8171284510754049E-6</v>
      </c>
    </row>
    <row r="78" spans="1:3" x14ac:dyDescent="0.25">
      <c r="A78" t="s">
        <v>948</v>
      </c>
      <c r="B78" s="21" t="str">
        <f t="shared" si="2"/>
        <v>2016/12/22 22:52:00.857</v>
      </c>
      <c r="C78" s="21">
        <f t="shared" si="3"/>
        <v>1.1886550928466022E-2</v>
      </c>
    </row>
    <row r="79" spans="1:3" x14ac:dyDescent="0.25">
      <c r="A79" t="s">
        <v>949</v>
      </c>
      <c r="B79" s="21" t="str">
        <f t="shared" si="2"/>
        <v>2016/12/22 22:52:01.705</v>
      </c>
      <c r="C79" s="21">
        <f t="shared" si="3"/>
        <v>9.814808436203748E-6</v>
      </c>
    </row>
    <row r="80" spans="1:3" x14ac:dyDescent="0.25">
      <c r="A80" t="s">
        <v>950</v>
      </c>
      <c r="B80" s="21" t="str">
        <f t="shared" si="2"/>
        <v>2016/12/22 22:52:01.845</v>
      </c>
      <c r="C80" s="21">
        <f t="shared" si="3"/>
        <v>1.6203703125938773E-6</v>
      </c>
    </row>
    <row r="81" spans="1:3" x14ac:dyDescent="0.25">
      <c r="A81" t="s">
        <v>951</v>
      </c>
      <c r="B81" s="21" t="str">
        <f t="shared" ref="B81:B85" si="4">MID(A81,6,23)</f>
        <v>2016/12/22 23:02:58.432</v>
      </c>
      <c r="C81" s="21">
        <f t="shared" ref="C81:C85" si="5">ABS(B81-B80)</f>
        <v>7.5993865757482126E-3</v>
      </c>
    </row>
    <row r="82" spans="1:3" x14ac:dyDescent="0.25">
      <c r="A82" t="s">
        <v>952</v>
      </c>
      <c r="B82" s="21" t="str">
        <f t="shared" si="4"/>
        <v>2016/12/22 23:02:58.805</v>
      </c>
      <c r="C82" s="21">
        <f t="shared" si="5"/>
        <v>4.3171312427148223E-6</v>
      </c>
    </row>
    <row r="83" spans="1:3" x14ac:dyDescent="0.25">
      <c r="A83" t="s">
        <v>953</v>
      </c>
      <c r="B83" s="21" t="str">
        <f t="shared" si="4"/>
        <v>2016/12/22 23:02:58.967</v>
      </c>
      <c r="C83" s="21">
        <f t="shared" si="5"/>
        <v>1.8749997252598405E-6</v>
      </c>
    </row>
    <row r="84" spans="1:3" x14ac:dyDescent="0.25">
      <c r="A84" t="s">
        <v>954</v>
      </c>
      <c r="B84" s="21" t="str">
        <f t="shared" si="4"/>
        <v>2016/12/22 23:06:42.426</v>
      </c>
      <c r="C84" s="21">
        <f t="shared" si="5"/>
        <v>2.5863310220302083E-3</v>
      </c>
    </row>
    <row r="85" spans="1:3" x14ac:dyDescent="0.25">
      <c r="A85" t="s">
        <v>955</v>
      </c>
      <c r="B85" s="21" t="str">
        <f t="shared" si="4"/>
        <v>2016/12/22 23:08:20.158</v>
      </c>
      <c r="C85" s="21">
        <f t="shared" si="5"/>
        <v>1.1311574053252116E-3</v>
      </c>
    </row>
    <row r="86" spans="1:3" x14ac:dyDescent="0.25">
      <c r="A86" t="s">
        <v>956</v>
      </c>
      <c r="B86" s="21" t="str">
        <f t="shared" ref="B86:B87" si="6">MID(A86,6,23)</f>
        <v>2016/12/22 23:08:20.262</v>
      </c>
      <c r="C86" s="21">
        <f t="shared" ref="C86:C87" si="7">ABS(B86-B85)</f>
        <v>1.2037053238600492E-6</v>
      </c>
    </row>
    <row r="87" spans="1:3" x14ac:dyDescent="0.25">
      <c r="A87" t="s">
        <v>957</v>
      </c>
      <c r="B87" s="21" t="str">
        <f t="shared" si="6"/>
        <v>2016/12/22 23:08:20.352</v>
      </c>
      <c r="C87" s="21">
        <f t="shared" si="7"/>
        <v>1.0416624718345702E-6</v>
      </c>
    </row>
    <row r="88" spans="1:3" x14ac:dyDescent="0.25">
      <c r="A88" t="s">
        <v>958</v>
      </c>
      <c r="B88" s="21" t="str">
        <f t="shared" ref="B88:B116" si="8">MID(A88,6,23)</f>
        <v>2016/12/22 23:26:18.284</v>
      </c>
      <c r="C88" s="21">
        <f t="shared" ref="C88:C116" si="9">ABS(B88-B87)</f>
        <v>1.2476064817747101E-2</v>
      </c>
    </row>
    <row r="89" spans="1:3" x14ac:dyDescent="0.25">
      <c r="A89" t="s">
        <v>959</v>
      </c>
      <c r="B89" s="21" t="str">
        <f t="shared" si="8"/>
        <v>2016/12/22 23:26:18.855</v>
      </c>
      <c r="C89" s="21">
        <f t="shared" si="9"/>
        <v>6.6087959567084908E-6</v>
      </c>
    </row>
    <row r="90" spans="1:3" x14ac:dyDescent="0.25">
      <c r="A90" t="s">
        <v>960</v>
      </c>
      <c r="B90" s="21" t="str">
        <f t="shared" si="8"/>
        <v>2016/12/22 23:26:19.094</v>
      </c>
      <c r="C90" s="21">
        <f t="shared" si="9"/>
        <v>2.7662026695907116E-6</v>
      </c>
    </row>
    <row r="91" spans="1:3" x14ac:dyDescent="0.25">
      <c r="A91" t="s">
        <v>961</v>
      </c>
      <c r="B91" s="21" t="str">
        <f t="shared" si="8"/>
        <v>2016/12/23 00:26:54.858</v>
      </c>
      <c r="C91" s="21">
        <f t="shared" si="9"/>
        <v>4.2080601851921529E-2</v>
      </c>
    </row>
    <row r="92" spans="1:3" x14ac:dyDescent="0.25">
      <c r="A92" t="s">
        <v>962</v>
      </c>
      <c r="B92" s="21" t="str">
        <f t="shared" si="8"/>
        <v>2016/12/23 00:26:55.097</v>
      </c>
      <c r="C92" s="21">
        <f t="shared" si="9"/>
        <v>2.7662026695907116E-6</v>
      </c>
    </row>
    <row r="93" spans="1:3" x14ac:dyDescent="0.25">
      <c r="A93" t="s">
        <v>963</v>
      </c>
      <c r="B93" s="21" t="str">
        <f t="shared" si="8"/>
        <v>2016/12/23 00:26:55.285</v>
      </c>
      <c r="C93" s="21">
        <f t="shared" si="9"/>
        <v>2.1759260562248528E-6</v>
      </c>
    </row>
    <row r="94" spans="1:3" x14ac:dyDescent="0.25">
      <c r="A94" t="s">
        <v>964</v>
      </c>
      <c r="B94" s="21" t="str">
        <f t="shared" si="8"/>
        <v>2016/12/23 00:48:48.854</v>
      </c>
      <c r="C94" s="21">
        <f t="shared" si="9"/>
        <v>1.5203344904875848E-2</v>
      </c>
    </row>
    <row r="95" spans="1:3" x14ac:dyDescent="0.25">
      <c r="A95" t="s">
        <v>965</v>
      </c>
      <c r="B95" s="21" t="str">
        <f t="shared" si="8"/>
        <v>2016/12/23 00:48:49.708</v>
      </c>
      <c r="C95" s="21">
        <f t="shared" si="9"/>
        <v>9.884264727588743E-6</v>
      </c>
    </row>
    <row r="96" spans="1:3" x14ac:dyDescent="0.25">
      <c r="A96" t="s">
        <v>966</v>
      </c>
      <c r="B96" s="21" t="str">
        <f t="shared" si="8"/>
        <v>2016/12/23 01:06:54.008</v>
      </c>
      <c r="C96" s="21">
        <f t="shared" si="9"/>
        <v>1.2549768514872994E-2</v>
      </c>
    </row>
    <row r="97" spans="1:3" x14ac:dyDescent="0.25">
      <c r="A97" t="s">
        <v>967</v>
      </c>
      <c r="B97" s="21" t="str">
        <f t="shared" si="8"/>
        <v>2016/12/23 01:06:54.052</v>
      </c>
      <c r="C97" s="21">
        <f t="shared" si="9"/>
        <v>5.0925882533192635E-7</v>
      </c>
    </row>
    <row r="98" spans="1:3" x14ac:dyDescent="0.25">
      <c r="A98" t="s">
        <v>968</v>
      </c>
      <c r="B98" s="21" t="str">
        <f t="shared" si="8"/>
        <v>2016/12/23 01:06:54.142</v>
      </c>
      <c r="C98" s="21">
        <f t="shared" si="9"/>
        <v>1.0416697477921844E-6</v>
      </c>
    </row>
    <row r="99" spans="1:3" x14ac:dyDescent="0.25">
      <c r="A99" t="s">
        <v>969</v>
      </c>
      <c r="B99" s="21" t="str">
        <f t="shared" si="8"/>
        <v>2016/12/23 02:18:01.145</v>
      </c>
      <c r="C99" s="21">
        <f t="shared" si="9"/>
        <v>4.9386608792701736E-2</v>
      </c>
    </row>
    <row r="100" spans="1:3" x14ac:dyDescent="0.25">
      <c r="A100" t="s">
        <v>970</v>
      </c>
      <c r="B100" s="21" t="str">
        <f t="shared" si="8"/>
        <v>2016/12/23 02:18:01.886</v>
      </c>
      <c r="C100" s="21">
        <f t="shared" si="9"/>
        <v>8.5763895185664296E-6</v>
      </c>
    </row>
    <row r="101" spans="1:3" x14ac:dyDescent="0.25">
      <c r="A101" t="s">
        <v>971</v>
      </c>
      <c r="B101" s="21" t="str">
        <f t="shared" si="8"/>
        <v>2016/12/23 02:18:01.962</v>
      </c>
      <c r="C101" s="21">
        <f t="shared" si="9"/>
        <v>8.7963417172431946E-7</v>
      </c>
    </row>
    <row r="102" spans="1:3" x14ac:dyDescent="0.25">
      <c r="A102" t="s">
        <v>972</v>
      </c>
      <c r="B102" s="21" t="str">
        <f t="shared" si="8"/>
        <v>2016/12/23 03:08:36.277</v>
      </c>
      <c r="C102" s="21">
        <f t="shared" si="9"/>
        <v>3.511938657175051E-2</v>
      </c>
    </row>
    <row r="103" spans="1:3" x14ac:dyDescent="0.25">
      <c r="A103" t="s">
        <v>973</v>
      </c>
      <c r="B103" s="21" t="str">
        <f t="shared" si="8"/>
        <v>2016/12/23 03:08:36.702</v>
      </c>
      <c r="C103" s="21">
        <f t="shared" si="9"/>
        <v>4.9189839046448469E-6</v>
      </c>
    </row>
    <row r="104" spans="1:3" x14ac:dyDescent="0.25">
      <c r="A104" t="s">
        <v>974</v>
      </c>
      <c r="B104" s="21" t="str">
        <f t="shared" si="8"/>
        <v>2016/12/23 03:08:36.936</v>
      </c>
      <c r="C104" s="21">
        <f t="shared" si="9"/>
        <v>2.7083297027274966E-6</v>
      </c>
    </row>
    <row r="105" spans="1:3" x14ac:dyDescent="0.25">
      <c r="A105" t="s">
        <v>975</v>
      </c>
      <c r="B105" s="21" t="str">
        <f t="shared" si="8"/>
        <v>2016/12/23 04:30:43.257</v>
      </c>
      <c r="C105" s="21">
        <f t="shared" si="9"/>
        <v>5.7017604165594094E-2</v>
      </c>
    </row>
    <row r="106" spans="1:3" x14ac:dyDescent="0.25">
      <c r="A106" t="s">
        <v>976</v>
      </c>
      <c r="B106" s="21" t="str">
        <f t="shared" si="8"/>
        <v>2016/12/23 04:30:44.146</v>
      </c>
      <c r="C106" s="21">
        <f t="shared" si="9"/>
        <v>1.0289353667758405E-5</v>
      </c>
    </row>
    <row r="107" spans="1:3" x14ac:dyDescent="0.25">
      <c r="A107" t="s">
        <v>977</v>
      </c>
      <c r="B107" s="21" t="str">
        <f t="shared" si="8"/>
        <v>2016/12/23 04:30:44.342</v>
      </c>
      <c r="C107" s="21">
        <f t="shared" si="9"/>
        <v>2.2685198928229511E-6</v>
      </c>
    </row>
    <row r="108" spans="1:3" x14ac:dyDescent="0.25">
      <c r="A108" t="s">
        <v>978</v>
      </c>
      <c r="B108" s="21" t="str">
        <f t="shared" si="8"/>
        <v>2016/12/23 05:30:44.326</v>
      </c>
      <c r="C108" s="21">
        <f t="shared" si="9"/>
        <v>4.1666481483844109E-2</v>
      </c>
    </row>
    <row r="109" spans="1:3" x14ac:dyDescent="0.25">
      <c r="A109" t="s">
        <v>979</v>
      </c>
      <c r="B109" s="21" t="str">
        <f t="shared" si="8"/>
        <v>2016/12/23 05:30:44.375</v>
      </c>
      <c r="C109" s="21">
        <f t="shared" si="9"/>
        <v>5.6712451623752713E-7</v>
      </c>
    </row>
    <row r="110" spans="1:3" x14ac:dyDescent="0.25">
      <c r="A110" t="s">
        <v>980</v>
      </c>
      <c r="B110" s="21" t="str">
        <f t="shared" si="8"/>
        <v>2016/12/23 05:30:44.376</v>
      </c>
      <c r="C110" s="21">
        <f t="shared" si="9"/>
        <v>1.1576048564165831E-8</v>
      </c>
    </row>
    <row r="111" spans="1:3" x14ac:dyDescent="0.25">
      <c r="A111" t="s">
        <v>981</v>
      </c>
      <c r="B111" s="21" t="str">
        <f t="shared" si="8"/>
        <v>2016/12/23 05:35:42.170</v>
      </c>
      <c r="C111" s="21">
        <f t="shared" si="9"/>
        <v>3.4466898141545244E-3</v>
      </c>
    </row>
    <row r="112" spans="1:3" x14ac:dyDescent="0.25">
      <c r="A112" t="s">
        <v>982</v>
      </c>
      <c r="B112" s="21" t="str">
        <f t="shared" si="8"/>
        <v>2016/12/23 05:35:42.285</v>
      </c>
      <c r="C112" s="21">
        <f t="shared" si="9"/>
        <v>1.3310200301930308E-6</v>
      </c>
    </row>
    <row r="113" spans="1:3" x14ac:dyDescent="0.25">
      <c r="A113" t="s">
        <v>983</v>
      </c>
      <c r="B113" s="21" t="str">
        <f t="shared" si="8"/>
        <v>2016/12/23 05:35:43.047</v>
      </c>
      <c r="C113" s="21">
        <f t="shared" si="9"/>
        <v>8.819442882668227E-6</v>
      </c>
    </row>
    <row r="114" spans="1:3" x14ac:dyDescent="0.25">
      <c r="A114" t="s">
        <v>984</v>
      </c>
      <c r="B114" s="21" t="str">
        <f t="shared" si="8"/>
        <v>2016/12/23 07:36:11.877</v>
      </c>
      <c r="C114" s="21">
        <f t="shared" si="9"/>
        <v>8.366701388877118E-2</v>
      </c>
    </row>
    <row r="115" spans="1:3" x14ac:dyDescent="0.25">
      <c r="A115" t="s">
        <v>985</v>
      </c>
      <c r="B115" s="21" t="str">
        <f t="shared" si="8"/>
        <v>2016/12/23 07:36:12.278</v>
      </c>
      <c r="C115" s="21">
        <f t="shared" si="9"/>
        <v>4.6412023948505521E-6</v>
      </c>
    </row>
    <row r="116" spans="1:3" x14ac:dyDescent="0.25">
      <c r="A116" t="s">
        <v>986</v>
      </c>
      <c r="B116" s="21" t="str">
        <f t="shared" si="8"/>
        <v>2016/12/23 08:04:59.265</v>
      </c>
      <c r="C116" s="21">
        <f t="shared" si="9"/>
        <v>1.998827546776738E-2</v>
      </c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2016-12-27T16:54:48Z</dcterms:modified>
</cp:coreProperties>
</file>