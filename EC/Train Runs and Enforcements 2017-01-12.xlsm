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Trips'!$A$2:$J$143</definedName>
    <definedName name="_xlnm._FilterDatabase" localSheetId="0" hidden="1">'Train Runs'!$A$12:$AG$240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S23" i="3" s="1"/>
  <c r="Y15" i="1"/>
  <c r="Z15" i="1"/>
  <c r="AB15" i="1"/>
  <c r="AC15" i="1"/>
  <c r="AD15" i="1"/>
  <c r="AG15" i="1" s="1"/>
  <c r="AE15" i="1"/>
  <c r="R23" i="3" s="1"/>
  <c r="AF15" i="1"/>
  <c r="AH15" i="1"/>
  <c r="AM15" i="1"/>
  <c r="AN15" i="1"/>
  <c r="K16" i="1"/>
  <c r="L16" i="1"/>
  <c r="M16" i="1"/>
  <c r="N16" i="1" s="1"/>
  <c r="V16" i="1"/>
  <c r="S16" i="3" s="1"/>
  <c r="Y16" i="1"/>
  <c r="Z16" i="1"/>
  <c r="AB16" i="1"/>
  <c r="AC16" i="1"/>
  <c r="AD16" i="1"/>
  <c r="AE16" i="1"/>
  <c r="R16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V25" i="1"/>
  <c r="S15" i="3" s="1"/>
  <c r="Y25" i="1"/>
  <c r="Z25" i="1"/>
  <c r="AB25" i="1"/>
  <c r="AC25" i="1"/>
  <c r="AD25" i="1"/>
  <c r="T25" i="1" s="1"/>
  <c r="AE25" i="1"/>
  <c r="R15" i="3" s="1"/>
  <c r="AF25" i="1"/>
  <c r="AH25" i="1"/>
  <c r="AM25" i="1"/>
  <c r="AN25" i="1"/>
  <c r="K26" i="1"/>
  <c r="L26" i="1"/>
  <c r="M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8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V61" i="1"/>
  <c r="S11" i="3" s="1"/>
  <c r="Y61" i="1"/>
  <c r="Z61" i="1"/>
  <c r="AB61" i="1"/>
  <c r="AC61" i="1"/>
  <c r="AD61" i="1"/>
  <c r="T61" i="1" s="1"/>
  <c r="AE61" i="1"/>
  <c r="R11" i="3" s="1"/>
  <c r="AF61" i="1"/>
  <c r="AH61" i="1"/>
  <c r="AM61" i="1"/>
  <c r="AN61" i="1"/>
  <c r="K62" i="1"/>
  <c r="L62" i="1"/>
  <c r="M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7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S17" i="3" s="1"/>
  <c r="Y96" i="1"/>
  <c r="Z96" i="1"/>
  <c r="AB96" i="1"/>
  <c r="AC96" i="1"/>
  <c r="AD96" i="1"/>
  <c r="T96" i="1" s="1"/>
  <c r="AE96" i="1"/>
  <c r="R17" i="3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S9" i="3" s="1"/>
  <c r="Y119" i="1"/>
  <c r="Z119" i="1"/>
  <c r="AB119" i="1"/>
  <c r="AC119" i="1"/>
  <c r="AD119" i="1"/>
  <c r="AE119" i="1"/>
  <c r="R9" i="3" s="1"/>
  <c r="AF119" i="1"/>
  <c r="AH119" i="1"/>
  <c r="AM119" i="1"/>
  <c r="AN119" i="1"/>
  <c r="K120" i="1"/>
  <c r="L120" i="1"/>
  <c r="M120" i="1"/>
  <c r="N120" i="1" s="1"/>
  <c r="V120" i="1"/>
  <c r="S18" i="3" s="1"/>
  <c r="Y120" i="1"/>
  <c r="Z120" i="1"/>
  <c r="AB120" i="1"/>
  <c r="AC120" i="1"/>
  <c r="AD120" i="1"/>
  <c r="T120" i="1" s="1"/>
  <c r="AE120" i="1"/>
  <c r="R18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S12" i="3" s="1"/>
  <c r="Y127" i="1"/>
  <c r="Z127" i="1"/>
  <c r="AB127" i="1"/>
  <c r="AC127" i="1"/>
  <c r="AD127" i="1"/>
  <c r="AE127" i="1"/>
  <c r="R12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P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19" i="3" s="1"/>
  <c r="Y135" i="1"/>
  <c r="Z135" i="1"/>
  <c r="AB135" i="1"/>
  <c r="AC135" i="1"/>
  <c r="AD135" i="1"/>
  <c r="AE135" i="1"/>
  <c r="R19" i="3" s="1"/>
  <c r="AF135" i="1"/>
  <c r="AH135" i="1"/>
  <c r="AM135" i="1"/>
  <c r="AN135" i="1"/>
  <c r="K136" i="1"/>
  <c r="L136" i="1"/>
  <c r="M136" i="1"/>
  <c r="V136" i="1"/>
  <c r="S13" i="3" s="1"/>
  <c r="Y136" i="1"/>
  <c r="Z136" i="1"/>
  <c r="AB136" i="1"/>
  <c r="AC136" i="1"/>
  <c r="AD136" i="1"/>
  <c r="AE136" i="1"/>
  <c r="R13" i="3" s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S21" i="3" s="1"/>
  <c r="Y144" i="1"/>
  <c r="Z144" i="1"/>
  <c r="AB144" i="1"/>
  <c r="AC144" i="1"/>
  <c r="AD144" i="1"/>
  <c r="T144" i="1" s="1"/>
  <c r="AE144" i="1"/>
  <c r="R21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AE152" i="1"/>
  <c r="R22" i="3" s="1"/>
  <c r="AF152" i="1"/>
  <c r="AH152" i="1"/>
  <c r="AM152" i="1"/>
  <c r="AN152" i="1"/>
  <c r="K153" i="1"/>
  <c r="L153" i="1"/>
  <c r="M153" i="1"/>
  <c r="N153" i="1" s="1"/>
  <c r="V153" i="1"/>
  <c r="S10" i="3" s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S28" i="3" s="1"/>
  <c r="Y213" i="1"/>
  <c r="Z213" i="1"/>
  <c r="AB213" i="1"/>
  <c r="AC213" i="1"/>
  <c r="AD213" i="1"/>
  <c r="AG213" i="1" s="1"/>
  <c r="AE213" i="1"/>
  <c r="R28" i="3" s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S26" i="3" s="1"/>
  <c r="Y215" i="1"/>
  <c r="Z215" i="1"/>
  <c r="AB215" i="1"/>
  <c r="AC215" i="1"/>
  <c r="AD215" i="1"/>
  <c r="AE215" i="1"/>
  <c r="R26" i="3" s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S29" i="3" s="1"/>
  <c r="Y219" i="1"/>
  <c r="Z219" i="1"/>
  <c r="AB219" i="1"/>
  <c r="AC219" i="1"/>
  <c r="AD219" i="1"/>
  <c r="AE219" i="1"/>
  <c r="R29" i="3" s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6" i="1"/>
  <c r="AM186" i="1"/>
  <c r="AN18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7" i="1"/>
  <c r="AM187" i="1"/>
  <c r="AN187" i="1"/>
  <c r="K163" i="1"/>
  <c r="L163" i="1"/>
  <c r="M163" i="1"/>
  <c r="P163" i="1" s="1"/>
  <c r="V163" i="1"/>
  <c r="AB163" i="1"/>
  <c r="AC163" i="1"/>
  <c r="AD163" i="1"/>
  <c r="AE163" i="1"/>
  <c r="AF163" i="1"/>
  <c r="AH188" i="1"/>
  <c r="AM188" i="1"/>
  <c r="AN188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6" i="1"/>
  <c r="AM196" i="1"/>
  <c r="AN196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6" i="1"/>
  <c r="AM206" i="1"/>
  <c r="AN20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3" i="1"/>
  <c r="AM213" i="1"/>
  <c r="AN213" i="1"/>
  <c r="K188" i="1"/>
  <c r="L188" i="1"/>
  <c r="M188" i="1"/>
  <c r="N188" i="1" s="1"/>
  <c r="V188" i="1"/>
  <c r="S25" i="3" s="1"/>
  <c r="Y188" i="1"/>
  <c r="Z188" i="1"/>
  <c r="AB188" i="1"/>
  <c r="AC188" i="1"/>
  <c r="AD188" i="1"/>
  <c r="AE188" i="1"/>
  <c r="R25" i="3" s="1"/>
  <c r="AF188" i="1"/>
  <c r="AH214" i="1"/>
  <c r="AM214" i="1"/>
  <c r="AN214" i="1"/>
  <c r="K189" i="1"/>
  <c r="L189" i="1"/>
  <c r="M189" i="1"/>
  <c r="N189" i="1" s="1"/>
  <c r="V189" i="1"/>
  <c r="S24" i="3" s="1"/>
  <c r="Y189" i="1"/>
  <c r="Z189" i="1"/>
  <c r="AB189" i="1"/>
  <c r="AC189" i="1"/>
  <c r="AD189" i="1"/>
  <c r="T189" i="1" s="1"/>
  <c r="AE189" i="1"/>
  <c r="R24" i="3" s="1"/>
  <c r="AF189" i="1"/>
  <c r="AH215" i="1"/>
  <c r="AM215" i="1"/>
  <c r="AN215" i="1"/>
  <c r="K190" i="1"/>
  <c r="L190" i="1"/>
  <c r="M190" i="1"/>
  <c r="P190" i="1" s="1"/>
  <c r="V190" i="1"/>
  <c r="AB190" i="1"/>
  <c r="AC190" i="1"/>
  <c r="AD190" i="1"/>
  <c r="T190" i="1" s="1"/>
  <c r="AE190" i="1"/>
  <c r="AF190" i="1"/>
  <c r="AH216" i="1"/>
  <c r="AM216" i="1"/>
  <c r="AN216" i="1"/>
  <c r="AH217" i="1"/>
  <c r="AM217" i="1"/>
  <c r="AN21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8" i="1"/>
  <c r="AM218" i="1"/>
  <c r="AN21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9" i="1"/>
  <c r="AM219" i="1"/>
  <c r="AN21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0" i="1"/>
  <c r="AM220" i="1"/>
  <c r="AN22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21" i="1"/>
  <c r="AM221" i="1"/>
  <c r="AN22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2" i="1"/>
  <c r="AM222" i="1"/>
  <c r="AN222" i="1"/>
  <c r="K196" i="1"/>
  <c r="L196" i="1"/>
  <c r="M196" i="1"/>
  <c r="P196" i="1" s="1"/>
  <c r="V196" i="1"/>
  <c r="Y196" i="1"/>
  <c r="Z196" i="1"/>
  <c r="AB196" i="1"/>
  <c r="AC196" i="1"/>
  <c r="AD196" i="1"/>
  <c r="AG196" i="1" s="1"/>
  <c r="AE196" i="1"/>
  <c r="AF196" i="1"/>
  <c r="AH223" i="1"/>
  <c r="AM223" i="1"/>
  <c r="AN22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4" i="1"/>
  <c r="AM224" i="1"/>
  <c r="AN22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5" i="1"/>
  <c r="AM225" i="1"/>
  <c r="AN22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6" i="1"/>
  <c r="AM226" i="1"/>
  <c r="AN22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7" i="1"/>
  <c r="AM227" i="1"/>
  <c r="AN22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8" i="1"/>
  <c r="AM228" i="1"/>
  <c r="AN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0" i="1"/>
  <c r="AM230" i="1"/>
  <c r="AN23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1" i="1"/>
  <c r="AM231" i="1"/>
  <c r="AN231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2" i="1"/>
  <c r="AM232" i="1"/>
  <c r="AN23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3" i="1"/>
  <c r="AM233" i="1"/>
  <c r="AN233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4" i="1"/>
  <c r="AM234" i="1"/>
  <c r="AN234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0" i="1"/>
  <c r="AM160" i="1"/>
  <c r="AN160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35" i="1"/>
  <c r="AM235" i="1"/>
  <c r="AN23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6" i="1"/>
  <c r="AM236" i="1"/>
  <c r="AN23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7" i="1"/>
  <c r="AM237" i="1"/>
  <c r="AN237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8" i="1"/>
  <c r="AM238" i="1"/>
  <c r="AN238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39" i="1"/>
  <c r="AM239" i="1"/>
  <c r="AN23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0" i="1"/>
  <c r="AM240" i="1"/>
  <c r="AN240" i="1"/>
  <c r="M29" i="3"/>
  <c r="U29" i="3"/>
  <c r="T29" i="3" s="1"/>
  <c r="V29" i="3"/>
  <c r="W29" i="3"/>
  <c r="X29" i="3"/>
  <c r="AC29" i="3"/>
  <c r="M23" i="3"/>
  <c r="U23" i="3"/>
  <c r="V23" i="3"/>
  <c r="W23" i="3"/>
  <c r="X23" i="3"/>
  <c r="M28" i="3"/>
  <c r="U28" i="3"/>
  <c r="AC28" i="3" s="1"/>
  <c r="V28" i="3"/>
  <c r="W28" i="3"/>
  <c r="X28" i="3"/>
  <c r="M26" i="3"/>
  <c r="T26" i="3"/>
  <c r="U26" i="3"/>
  <c r="V26" i="3"/>
  <c r="W26" i="3"/>
  <c r="Y26" i="3" s="1"/>
  <c r="X26" i="3"/>
  <c r="AC26" i="3"/>
  <c r="M16" i="3"/>
  <c r="U16" i="3"/>
  <c r="T16" i="3" s="1"/>
  <c r="V16" i="3"/>
  <c r="W16" i="3"/>
  <c r="X16" i="3"/>
  <c r="AC16" i="3"/>
  <c r="M15" i="3"/>
  <c r="U15" i="3"/>
  <c r="V15" i="3"/>
  <c r="W15" i="3"/>
  <c r="X15" i="3"/>
  <c r="AC15" i="3"/>
  <c r="M8" i="3"/>
  <c r="R8" i="3"/>
  <c r="U8" i="3"/>
  <c r="AC8" i="3" s="1"/>
  <c r="V8" i="3"/>
  <c r="W8" i="3"/>
  <c r="X8" i="3"/>
  <c r="M7" i="3"/>
  <c r="S7" i="3"/>
  <c r="U7" i="3"/>
  <c r="T7" i="3" s="1"/>
  <c r="V7" i="3"/>
  <c r="W7" i="3"/>
  <c r="X7" i="3"/>
  <c r="AC7" i="3"/>
  <c r="M11" i="3"/>
  <c r="U11" i="3"/>
  <c r="T11" i="3" s="1"/>
  <c r="V11" i="3"/>
  <c r="W11" i="3"/>
  <c r="X11" i="3"/>
  <c r="AC11" i="3"/>
  <c r="M17" i="3"/>
  <c r="U17" i="3"/>
  <c r="AD17" i="3" s="1"/>
  <c r="V17" i="3"/>
  <c r="W17" i="3"/>
  <c r="X17" i="3"/>
  <c r="M25" i="3"/>
  <c r="U25" i="3"/>
  <c r="AC25" i="3" s="1"/>
  <c r="V25" i="3"/>
  <c r="W25" i="3"/>
  <c r="X25" i="3"/>
  <c r="M24" i="3"/>
  <c r="U24" i="3"/>
  <c r="T24" i="3" s="1"/>
  <c r="V24" i="3"/>
  <c r="W24" i="3"/>
  <c r="X24" i="3"/>
  <c r="AC24" i="3"/>
  <c r="M9" i="3"/>
  <c r="U9" i="3"/>
  <c r="T9" i="3" s="1"/>
  <c r="V9" i="3"/>
  <c r="W9" i="3"/>
  <c r="X9" i="3"/>
  <c r="AC9" i="3"/>
  <c r="M18" i="3"/>
  <c r="U18" i="3"/>
  <c r="V18" i="3"/>
  <c r="W18" i="3"/>
  <c r="X18" i="3"/>
  <c r="M13" i="3"/>
  <c r="U13" i="3"/>
  <c r="AC13" i="3" s="1"/>
  <c r="V13" i="3"/>
  <c r="W13" i="3"/>
  <c r="X13" i="3"/>
  <c r="M12" i="3"/>
  <c r="U12" i="3"/>
  <c r="AD12" i="3" s="1"/>
  <c r="V12" i="3"/>
  <c r="W12" i="3"/>
  <c r="X12" i="3"/>
  <c r="M14" i="3"/>
  <c r="U14" i="3"/>
  <c r="T14" i="3" s="1"/>
  <c r="V14" i="3"/>
  <c r="W14" i="3"/>
  <c r="X14" i="3"/>
  <c r="AC14" i="3"/>
  <c r="M19" i="3"/>
  <c r="U19" i="3"/>
  <c r="V19" i="3"/>
  <c r="W19" i="3"/>
  <c r="X19" i="3"/>
  <c r="AC19" i="3"/>
  <c r="M21" i="3"/>
  <c r="U21" i="3"/>
  <c r="AC21" i="3" s="1"/>
  <c r="V21" i="3"/>
  <c r="W21" i="3"/>
  <c r="X21" i="3"/>
  <c r="M22" i="3"/>
  <c r="U22" i="3"/>
  <c r="T22" i="3" s="1"/>
  <c r="V22" i="3"/>
  <c r="W22" i="3"/>
  <c r="X22" i="3"/>
  <c r="AC22" i="3"/>
  <c r="M10" i="3"/>
  <c r="U10" i="3"/>
  <c r="T10" i="3" s="1"/>
  <c r="V10" i="3"/>
  <c r="W10" i="3"/>
  <c r="X10" i="3"/>
  <c r="AC10" i="3"/>
  <c r="M20" i="3"/>
  <c r="U20" i="3"/>
  <c r="AD20" i="3" s="1"/>
  <c r="V20" i="3"/>
  <c r="W20" i="3"/>
  <c r="X20" i="3"/>
  <c r="AC20" i="3"/>
  <c r="M28" i="5"/>
  <c r="AA180" i="1" l="1"/>
  <c r="AG17" i="1"/>
  <c r="AA240" i="1"/>
  <c r="W240" i="1" s="1"/>
  <c r="AA153" i="1"/>
  <c r="AA147" i="1"/>
  <c r="X15" i="1"/>
  <c r="AI83" i="1"/>
  <c r="AA79" i="1"/>
  <c r="W79" i="1" s="1"/>
  <c r="AA75" i="1"/>
  <c r="W75" i="1" s="1"/>
  <c r="S14" i="3"/>
  <c r="X191" i="1"/>
  <c r="AA182" i="1"/>
  <c r="X162" i="1"/>
  <c r="AI213" i="1"/>
  <c r="T240" i="1"/>
  <c r="U240" i="1" s="1"/>
  <c r="S240" i="1" s="1"/>
  <c r="AA181" i="1"/>
  <c r="AA88" i="1"/>
  <c r="AA118" i="1"/>
  <c r="W118" i="1" s="1"/>
  <c r="AA95" i="1"/>
  <c r="AA93" i="1"/>
  <c r="W93" i="1" s="1"/>
  <c r="AI118" i="1"/>
  <c r="X102" i="1"/>
  <c r="AA45" i="1"/>
  <c r="S20" i="3"/>
  <c r="AA207" i="1"/>
  <c r="AA212" i="1"/>
  <c r="X159" i="1"/>
  <c r="AG134" i="1"/>
  <c r="AI134" i="1" s="1"/>
  <c r="AA133" i="1"/>
  <c r="W133" i="1" s="1"/>
  <c r="AA96" i="1"/>
  <c r="X93" i="1"/>
  <c r="AA89" i="1"/>
  <c r="W89" i="1" s="1"/>
  <c r="AA85" i="1"/>
  <c r="T154" i="1"/>
  <c r="U154" i="1" s="1"/>
  <c r="S154" i="1" s="1"/>
  <c r="X48" i="1"/>
  <c r="T195" i="1"/>
  <c r="U195" i="1" s="1"/>
  <c r="S195" i="1" s="1"/>
  <c r="AA183" i="1"/>
  <c r="W183" i="1" s="1"/>
  <c r="AA167" i="1"/>
  <c r="X164" i="1"/>
  <c r="AA237" i="1"/>
  <c r="AA228" i="1"/>
  <c r="AA221" i="1"/>
  <c r="AA217" i="1"/>
  <c r="AI154" i="1"/>
  <c r="T118" i="1"/>
  <c r="U118" i="1" s="1"/>
  <c r="S118" i="1" s="1"/>
  <c r="AI117" i="1"/>
  <c r="X50" i="1"/>
  <c r="AG49" i="1"/>
  <c r="U49" i="1" s="1"/>
  <c r="S49" i="1" s="1"/>
  <c r="X49" i="1"/>
  <c r="AA47" i="1"/>
  <c r="X44" i="1"/>
  <c r="AG43" i="1"/>
  <c r="U43" i="1" s="1"/>
  <c r="S43" i="1" s="1"/>
  <c r="AA208" i="1"/>
  <c r="W208" i="1" s="1"/>
  <c r="AA160" i="1"/>
  <c r="W160" i="1" s="1"/>
  <c r="AA146" i="1"/>
  <c r="W146" i="1" s="1"/>
  <c r="AA142" i="1"/>
  <c r="AI138" i="1"/>
  <c r="AA123" i="1"/>
  <c r="AA99" i="1"/>
  <c r="X94" i="1"/>
  <c r="AA60" i="1"/>
  <c r="W60" i="1" s="1"/>
  <c r="X161" i="1"/>
  <c r="Y13" i="3"/>
  <c r="AD11" i="3"/>
  <c r="AD7" i="3"/>
  <c r="AE12" i="3"/>
  <c r="Y15" i="3"/>
  <c r="Y23" i="3"/>
  <c r="Y29" i="3"/>
  <c r="AI209" i="1"/>
  <c r="AA120" i="1"/>
  <c r="AA101" i="1"/>
  <c r="W101" i="1" s="1"/>
  <c r="AI79" i="1"/>
  <c r="AA19" i="1"/>
  <c r="W19" i="1" s="1"/>
  <c r="X17" i="1"/>
  <c r="X192" i="1"/>
  <c r="X193" i="1"/>
  <c r="T12" i="3"/>
  <c r="Y11" i="3"/>
  <c r="AG102" i="1"/>
  <c r="AI102" i="1" s="1"/>
  <c r="P61" i="1"/>
  <c r="AA58" i="1"/>
  <c r="AA56" i="1"/>
  <c r="AA52" i="1"/>
  <c r="W52" i="1" s="1"/>
  <c r="AA48" i="1"/>
  <c r="W48" i="1" s="1"/>
  <c r="T48" i="1"/>
  <c r="U48" i="1" s="1"/>
  <c r="S48" i="1" s="1"/>
  <c r="AA37" i="1"/>
  <c r="AA29" i="1"/>
  <c r="P25" i="1"/>
  <c r="AA23" i="1"/>
  <c r="AC12" i="3"/>
  <c r="AD19" i="3"/>
  <c r="Y17" i="3"/>
  <c r="R14" i="3"/>
  <c r="AE26" i="3"/>
  <c r="AA226" i="1"/>
  <c r="W226" i="1" s="1"/>
  <c r="X202" i="1"/>
  <c r="AA198" i="1"/>
  <c r="T180" i="1"/>
  <c r="AA179" i="1"/>
  <c r="W179" i="1" s="1"/>
  <c r="AA165" i="1"/>
  <c r="AA156" i="1"/>
  <c r="AG140" i="1"/>
  <c r="U140" i="1" s="1"/>
  <c r="S140" i="1" s="1"/>
  <c r="AA134" i="1"/>
  <c r="W134" i="1" s="1"/>
  <c r="N124" i="1"/>
  <c r="AA104" i="1"/>
  <c r="AA74" i="1"/>
  <c r="AA67" i="1"/>
  <c r="AA38" i="1"/>
  <c r="W38" i="1" s="1"/>
  <c r="AA32" i="1"/>
  <c r="AA24" i="1"/>
  <c r="W24" i="1" s="1"/>
  <c r="T166" i="1"/>
  <c r="X166" i="1"/>
  <c r="R10" i="3"/>
  <c r="R20" i="3"/>
  <c r="T172" i="1"/>
  <c r="X172" i="1"/>
  <c r="AG172" i="1"/>
  <c r="AE28" i="3"/>
  <c r="AG199" i="1"/>
  <c r="T199" i="1"/>
  <c r="T165" i="1"/>
  <c r="X165" i="1"/>
  <c r="AG165" i="1"/>
  <c r="AI165" i="1" s="1"/>
  <c r="AG164" i="1"/>
  <c r="T163" i="1"/>
  <c r="X163" i="1"/>
  <c r="AG159" i="1"/>
  <c r="AI159" i="1" s="1"/>
  <c r="T159" i="1"/>
  <c r="T148" i="1"/>
  <c r="AG148" i="1"/>
  <c r="AI148" i="1" s="1"/>
  <c r="P136" i="1"/>
  <c r="X69" i="1"/>
  <c r="AG168" i="1"/>
  <c r="X168" i="1"/>
  <c r="AG113" i="1"/>
  <c r="AI113" i="1" s="1"/>
  <c r="X113" i="1"/>
  <c r="T228" i="1"/>
  <c r="AG228" i="1"/>
  <c r="T80" i="1"/>
  <c r="X80" i="1"/>
  <c r="AG80" i="1"/>
  <c r="AI80" i="1" s="1"/>
  <c r="T68" i="1"/>
  <c r="X68" i="1"/>
  <c r="AG68" i="1"/>
  <c r="AI68" i="1" s="1"/>
  <c r="AG64" i="1"/>
  <c r="AI64" i="1" s="1"/>
  <c r="X64" i="1"/>
  <c r="AA194" i="1"/>
  <c r="W194" i="1" s="1"/>
  <c r="T188" i="1"/>
  <c r="X188" i="1"/>
  <c r="AG188" i="1"/>
  <c r="X169" i="1"/>
  <c r="AA222" i="1"/>
  <c r="W222" i="1" s="1"/>
  <c r="AA214" i="1"/>
  <c r="AA209" i="1"/>
  <c r="W209" i="1" s="1"/>
  <c r="AG123" i="1"/>
  <c r="T123" i="1"/>
  <c r="T110" i="1"/>
  <c r="X110" i="1"/>
  <c r="AG110" i="1"/>
  <c r="AI110" i="1" s="1"/>
  <c r="AA76" i="1"/>
  <c r="AA70" i="1"/>
  <c r="AG39" i="1"/>
  <c r="U39" i="1" s="1"/>
  <c r="S39" i="1" s="1"/>
  <c r="X21" i="1"/>
  <c r="AG20" i="1"/>
  <c r="AI20" i="1" s="1"/>
  <c r="X167" i="1"/>
  <c r="X81" i="1"/>
  <c r="Y21" i="3"/>
  <c r="Y12" i="3"/>
  <c r="AE7" i="3"/>
  <c r="AI205" i="1"/>
  <c r="AA154" i="1"/>
  <c r="W154" i="1" s="1"/>
  <c r="X143" i="1"/>
  <c r="AA128" i="1"/>
  <c r="X114" i="1"/>
  <c r="X106" i="1"/>
  <c r="AA100" i="1"/>
  <c r="X65" i="1"/>
  <c r="AD18" i="3"/>
  <c r="AA227" i="1"/>
  <c r="AI225" i="1"/>
  <c r="X223" i="1"/>
  <c r="AA204" i="1"/>
  <c r="X198" i="1"/>
  <c r="AA196" i="1"/>
  <c r="W196" i="1" s="1"/>
  <c r="AA178" i="1"/>
  <c r="AA174" i="1"/>
  <c r="AA239" i="1"/>
  <c r="AA164" i="1"/>
  <c r="AA230" i="1"/>
  <c r="AA113" i="1"/>
  <c r="AA90" i="1"/>
  <c r="AA71" i="1"/>
  <c r="AA64" i="1"/>
  <c r="AA59" i="1"/>
  <c r="AA57" i="1"/>
  <c r="AA55" i="1"/>
  <c r="AA22" i="1"/>
  <c r="AA17" i="1"/>
  <c r="W17" i="1" s="1"/>
  <c r="AA15" i="1"/>
  <c r="W15" i="1" s="1"/>
  <c r="AA51" i="1"/>
  <c r="AA42" i="1"/>
  <c r="W42" i="1" s="1"/>
  <c r="AA39" i="1"/>
  <c r="AA27" i="1"/>
  <c r="AA20" i="1"/>
  <c r="AA136" i="1"/>
  <c r="AG124" i="1"/>
  <c r="U124" i="1" s="1"/>
  <c r="AG203" i="1"/>
  <c r="U203" i="1" s="1"/>
  <c r="S203" i="1" s="1"/>
  <c r="X203" i="1"/>
  <c r="AA197" i="1"/>
  <c r="AA193" i="1"/>
  <c r="AA187" i="1"/>
  <c r="X176" i="1"/>
  <c r="AG175" i="1"/>
  <c r="AI175" i="1" s="1"/>
  <c r="X175" i="1"/>
  <c r="T235" i="1"/>
  <c r="X235" i="1"/>
  <c r="AG235" i="1"/>
  <c r="AI235" i="1" s="1"/>
  <c r="X214" i="1"/>
  <c r="AG155" i="1"/>
  <c r="AI155" i="1" s="1"/>
  <c r="X155" i="1"/>
  <c r="T76" i="1"/>
  <c r="X76" i="1"/>
  <c r="AG76" i="1"/>
  <c r="T45" i="1"/>
  <c r="X45" i="1"/>
  <c r="AG45" i="1"/>
  <c r="AI45" i="1" s="1"/>
  <c r="X227" i="1"/>
  <c r="AA225" i="1"/>
  <c r="W225" i="1" s="1"/>
  <c r="AA224" i="1"/>
  <c r="X206" i="1"/>
  <c r="AA206" i="1"/>
  <c r="AA202" i="1"/>
  <c r="T184" i="1"/>
  <c r="AG184" i="1"/>
  <c r="W180" i="1"/>
  <c r="T215" i="1"/>
  <c r="X215" i="1"/>
  <c r="AG215" i="1"/>
  <c r="X210" i="1"/>
  <c r="AG210" i="1"/>
  <c r="AI210" i="1" s="1"/>
  <c r="AG131" i="1"/>
  <c r="X131" i="1"/>
  <c r="T126" i="1"/>
  <c r="AG126" i="1"/>
  <c r="AG119" i="1"/>
  <c r="AI119" i="1" s="1"/>
  <c r="X119" i="1"/>
  <c r="T85" i="1"/>
  <c r="X85" i="1"/>
  <c r="AA205" i="1"/>
  <c r="W205" i="1" s="1"/>
  <c r="AA190" i="1"/>
  <c r="AG187" i="1"/>
  <c r="U187" i="1" s="1"/>
  <c r="S187" i="1" s="1"/>
  <c r="X187" i="1"/>
  <c r="T239" i="1"/>
  <c r="AG239" i="1"/>
  <c r="T169" i="1"/>
  <c r="AG169" i="1"/>
  <c r="T238" i="1"/>
  <c r="X238" i="1"/>
  <c r="AG238" i="1"/>
  <c r="T232" i="1"/>
  <c r="AG232" i="1"/>
  <c r="AI232" i="1" s="1"/>
  <c r="T152" i="1"/>
  <c r="AG152" i="1"/>
  <c r="T142" i="1"/>
  <c r="AG142" i="1"/>
  <c r="AI142" i="1" s="1"/>
  <c r="AG135" i="1"/>
  <c r="AI135" i="1" s="1"/>
  <c r="X135" i="1"/>
  <c r="T98" i="1"/>
  <c r="X98" i="1"/>
  <c r="AG98" i="1"/>
  <c r="AI98" i="1" s="1"/>
  <c r="T90" i="1"/>
  <c r="X90" i="1"/>
  <c r="AG90" i="1"/>
  <c r="AG32" i="1"/>
  <c r="AI32" i="1" s="1"/>
  <c r="X32" i="1"/>
  <c r="AG224" i="1"/>
  <c r="U224" i="1" s="1"/>
  <c r="S224" i="1" s="1"/>
  <c r="AA201" i="1"/>
  <c r="AA200" i="1"/>
  <c r="W200" i="1" s="1"/>
  <c r="X194" i="1"/>
  <c r="X239" i="1"/>
  <c r="T218" i="1"/>
  <c r="X218" i="1"/>
  <c r="AG218" i="1"/>
  <c r="AI218" i="1" s="1"/>
  <c r="T214" i="1"/>
  <c r="AG214" i="1"/>
  <c r="T150" i="1"/>
  <c r="AG150" i="1"/>
  <c r="AI150" i="1" s="1"/>
  <c r="T130" i="1"/>
  <c r="AG130" i="1"/>
  <c r="AI130" i="1" s="1"/>
  <c r="AG71" i="1"/>
  <c r="AI71" i="1" s="1"/>
  <c r="X71" i="1"/>
  <c r="AA166" i="1"/>
  <c r="AA238" i="1"/>
  <c r="AA234" i="1"/>
  <c r="AA231" i="1"/>
  <c r="W231" i="1" s="1"/>
  <c r="X219" i="1"/>
  <c r="X211" i="1"/>
  <c r="AA158" i="1"/>
  <c r="W158" i="1" s="1"/>
  <c r="AA150" i="1"/>
  <c r="W150" i="1" s="1"/>
  <c r="AA144" i="1"/>
  <c r="AA124" i="1"/>
  <c r="AA122" i="1"/>
  <c r="T114" i="1"/>
  <c r="AA112" i="1"/>
  <c r="AA109" i="1"/>
  <c r="W109" i="1" s="1"/>
  <c r="AA106" i="1"/>
  <c r="AA103" i="1"/>
  <c r="T94" i="1"/>
  <c r="AA92" i="1"/>
  <c r="AA87" i="1"/>
  <c r="X86" i="1"/>
  <c r="AA84" i="1"/>
  <c r="AA81" i="1"/>
  <c r="AA78" i="1"/>
  <c r="AA73" i="1"/>
  <c r="X72" i="1"/>
  <c r="AA66" i="1"/>
  <c r="AA63" i="1"/>
  <c r="X57" i="1"/>
  <c r="AA53" i="1"/>
  <c r="T52" i="1"/>
  <c r="U52" i="1" s="1"/>
  <c r="S52" i="1" s="1"/>
  <c r="AA41" i="1"/>
  <c r="AA36" i="1"/>
  <c r="W36" i="1" s="1"/>
  <c r="X33" i="1"/>
  <c r="AA30" i="1"/>
  <c r="T30" i="1"/>
  <c r="U30" i="1" s="1"/>
  <c r="S30" i="1" s="1"/>
  <c r="AA18" i="1"/>
  <c r="AI17" i="1"/>
  <c r="AA186" i="1"/>
  <c r="X179" i="1"/>
  <c r="AA175" i="1"/>
  <c r="AA171" i="1"/>
  <c r="AA168" i="1"/>
  <c r="AA229" i="1"/>
  <c r="X222" i="1"/>
  <c r="AA218" i="1"/>
  <c r="AA210" i="1"/>
  <c r="AA148" i="1"/>
  <c r="T147" i="1"/>
  <c r="U147" i="1" s="1"/>
  <c r="S147" i="1" s="1"/>
  <c r="AA141" i="1"/>
  <c r="W141" i="1" s="1"/>
  <c r="AA138" i="1"/>
  <c r="W138" i="1" s="1"/>
  <c r="AG132" i="1"/>
  <c r="U132" i="1" s="1"/>
  <c r="S132" i="1" s="1"/>
  <c r="AA130" i="1"/>
  <c r="AG128" i="1"/>
  <c r="U128" i="1" s="1"/>
  <c r="S128" i="1" s="1"/>
  <c r="AA126" i="1"/>
  <c r="AG114" i="1"/>
  <c r="AA108" i="1"/>
  <c r="AA105" i="1"/>
  <c r="W105" i="1" s="1"/>
  <c r="X101" i="1"/>
  <c r="AA97" i="1"/>
  <c r="W97" i="1" s="1"/>
  <c r="AG94" i="1"/>
  <c r="AI94" i="1" s="1"/>
  <c r="T86" i="1"/>
  <c r="AA82" i="1"/>
  <c r="T72" i="1"/>
  <c r="AA68" i="1"/>
  <c r="AA61" i="1"/>
  <c r="AA43" i="1"/>
  <c r="T42" i="1"/>
  <c r="U42" i="1" s="1"/>
  <c r="S42" i="1" s="1"/>
  <c r="T38" i="1"/>
  <c r="U38" i="1" s="1"/>
  <c r="S38" i="1" s="1"/>
  <c r="AA35" i="1"/>
  <c r="X34" i="1"/>
  <c r="T33" i="1"/>
  <c r="AA31" i="1"/>
  <c r="X30" i="1"/>
  <c r="AA28" i="1"/>
  <c r="W28" i="1" s="1"/>
  <c r="AA25" i="1"/>
  <c r="T21" i="1"/>
  <c r="AA16" i="1"/>
  <c r="AI146" i="1"/>
  <c r="AI158" i="1"/>
  <c r="T227" i="1"/>
  <c r="T206" i="1"/>
  <c r="X199" i="1"/>
  <c r="X195" i="1"/>
  <c r="AA189" i="1"/>
  <c r="AA188" i="1"/>
  <c r="X183" i="1"/>
  <c r="X180" i="1"/>
  <c r="AA173" i="1"/>
  <c r="AA172" i="1"/>
  <c r="AA236" i="1"/>
  <c r="AA235" i="1"/>
  <c r="X231" i="1"/>
  <c r="X228" i="1"/>
  <c r="AA216" i="1"/>
  <c r="AA215" i="1"/>
  <c r="AA213" i="1"/>
  <c r="W213" i="1" s="1"/>
  <c r="T213" i="1"/>
  <c r="U213" i="1" s="1"/>
  <c r="S213" i="1" s="1"/>
  <c r="AA211" i="1"/>
  <c r="AA149" i="1"/>
  <c r="W149" i="1" s="1"/>
  <c r="X147" i="1"/>
  <c r="AA139" i="1"/>
  <c r="W139" i="1" s="1"/>
  <c r="T139" i="1"/>
  <c r="U139" i="1" s="1"/>
  <c r="S139" i="1" s="1"/>
  <c r="T136" i="1"/>
  <c r="AG136" i="1"/>
  <c r="AI136" i="1" s="1"/>
  <c r="AG127" i="1"/>
  <c r="AI127" i="1" s="1"/>
  <c r="T127" i="1"/>
  <c r="X127" i="1"/>
  <c r="T205" i="1"/>
  <c r="U205" i="1" s="1"/>
  <c r="S205" i="1" s="1"/>
  <c r="T202" i="1"/>
  <c r="T198" i="1"/>
  <c r="T194" i="1"/>
  <c r="U194" i="1" s="1"/>
  <c r="S194" i="1" s="1"/>
  <c r="AA192" i="1"/>
  <c r="AA191" i="1"/>
  <c r="T191" i="1"/>
  <c r="X184" i="1"/>
  <c r="T179" i="1"/>
  <c r="U179" i="1" s="1"/>
  <c r="S179" i="1" s="1"/>
  <c r="AA177" i="1"/>
  <c r="AA176" i="1"/>
  <c r="T176" i="1"/>
  <c r="T164" i="1"/>
  <c r="AA163" i="1"/>
  <c r="AA162" i="1"/>
  <c r="T162" i="1"/>
  <c r="X232" i="1"/>
  <c r="T222" i="1"/>
  <c r="U222" i="1" s="1"/>
  <c r="S222" i="1" s="1"/>
  <c r="AA220" i="1"/>
  <c r="AA219" i="1"/>
  <c r="T219" i="1"/>
  <c r="T210" i="1"/>
  <c r="X209" i="1"/>
  <c r="T158" i="1"/>
  <c r="U158" i="1" s="1"/>
  <c r="S158" i="1" s="1"/>
  <c r="AA157" i="1"/>
  <c r="AA151" i="1"/>
  <c r="W151" i="1" s="1"/>
  <c r="T151" i="1"/>
  <c r="U151" i="1" s="1"/>
  <c r="S151" i="1" s="1"/>
  <c r="T146" i="1"/>
  <c r="U146" i="1" s="1"/>
  <c r="S146" i="1" s="1"/>
  <c r="AA145" i="1"/>
  <c r="W145" i="1" s="1"/>
  <c r="T138" i="1"/>
  <c r="U138" i="1" s="1"/>
  <c r="AA137" i="1"/>
  <c r="W137" i="1" s="1"/>
  <c r="T226" i="1"/>
  <c r="U226" i="1" s="1"/>
  <c r="S226" i="1" s="1"/>
  <c r="AG227" i="1"/>
  <c r="AA223" i="1"/>
  <c r="AG198" i="1"/>
  <c r="AI198" i="1" s="1"/>
  <c r="T183" i="1"/>
  <c r="U183" i="1" s="1"/>
  <c r="S183" i="1" s="1"/>
  <c r="T168" i="1"/>
  <c r="T231" i="1"/>
  <c r="U231" i="1" s="1"/>
  <c r="S231" i="1" s="1"/>
  <c r="X213" i="1"/>
  <c r="AA161" i="1"/>
  <c r="X139" i="1"/>
  <c r="AG206" i="1"/>
  <c r="AG202" i="1"/>
  <c r="AI202" i="1" s="1"/>
  <c r="X226" i="1"/>
  <c r="AG223" i="1"/>
  <c r="X205" i="1"/>
  <c r="AA203" i="1"/>
  <c r="AG191" i="1"/>
  <c r="AA185" i="1"/>
  <c r="AA184" i="1"/>
  <c r="AG176" i="1"/>
  <c r="AA170" i="1"/>
  <c r="AA169" i="1"/>
  <c r="AG162" i="1"/>
  <c r="AI162" i="1" s="1"/>
  <c r="AA233" i="1"/>
  <c r="AA232" i="1"/>
  <c r="AG219" i="1"/>
  <c r="T209" i="1"/>
  <c r="U209" i="1" s="1"/>
  <c r="S209" i="1" s="1"/>
  <c r="AG161" i="1"/>
  <c r="AI161" i="1" s="1"/>
  <c r="AA159" i="1"/>
  <c r="AG156" i="1"/>
  <c r="AI156" i="1" s="1"/>
  <c r="AA155" i="1"/>
  <c r="T155" i="1"/>
  <c r="AA152" i="1"/>
  <c r="X151" i="1"/>
  <c r="AG144" i="1"/>
  <c r="W144" i="1" s="1"/>
  <c r="AA143" i="1"/>
  <c r="W143" i="1" s="1"/>
  <c r="T143" i="1"/>
  <c r="U143" i="1" s="1"/>
  <c r="S143" i="1" s="1"/>
  <c r="AA140" i="1"/>
  <c r="T109" i="1"/>
  <c r="U109" i="1" s="1"/>
  <c r="S109" i="1" s="1"/>
  <c r="AG84" i="1"/>
  <c r="AI84" i="1" s="1"/>
  <c r="T79" i="1"/>
  <c r="U79" i="1" s="1"/>
  <c r="S79" i="1" s="1"/>
  <c r="AA65" i="1"/>
  <c r="T65" i="1"/>
  <c r="AG61" i="1"/>
  <c r="AI61" i="1" s="1"/>
  <c r="X61" i="1"/>
  <c r="T57" i="1"/>
  <c r="AG56" i="1"/>
  <c r="AI56" i="1" s="1"/>
  <c r="T36" i="1"/>
  <c r="U36" i="1" s="1"/>
  <c r="S36" i="1" s="1"/>
  <c r="T28" i="1"/>
  <c r="U28" i="1" s="1"/>
  <c r="S28" i="1" s="1"/>
  <c r="T24" i="1"/>
  <c r="U24" i="1" s="1"/>
  <c r="S24" i="1" s="1"/>
  <c r="T19" i="1"/>
  <c r="U19" i="1" s="1"/>
  <c r="S19" i="1" s="1"/>
  <c r="T16" i="1"/>
  <c r="AA135" i="1"/>
  <c r="T135" i="1"/>
  <c r="AA132" i="1"/>
  <c r="AA129" i="1"/>
  <c r="W129" i="1" s="1"/>
  <c r="AG122" i="1"/>
  <c r="AG120" i="1"/>
  <c r="U120" i="1" s="1"/>
  <c r="S120" i="1" s="1"/>
  <c r="AA119" i="1"/>
  <c r="T119" i="1"/>
  <c r="AA117" i="1"/>
  <c r="W117" i="1" s="1"/>
  <c r="AA116" i="1"/>
  <c r="AA114" i="1"/>
  <c r="AA107" i="1"/>
  <c r="X105" i="1"/>
  <c r="AA102" i="1"/>
  <c r="T101" i="1"/>
  <c r="U101" i="1" s="1"/>
  <c r="S101" i="1" s="1"/>
  <c r="X97" i="1"/>
  <c r="AA94" i="1"/>
  <c r="T93" i="1"/>
  <c r="U93" i="1" s="1"/>
  <c r="S93" i="1" s="1"/>
  <c r="X89" i="1"/>
  <c r="AA86" i="1"/>
  <c r="AA77" i="1"/>
  <c r="X75" i="1"/>
  <c r="AA72" i="1"/>
  <c r="T71" i="1"/>
  <c r="AA69" i="1"/>
  <c r="AG65" i="1"/>
  <c r="AI65" i="1" s="1"/>
  <c r="T64" i="1"/>
  <c r="U64" i="1" s="1"/>
  <c r="S64" i="1" s="1"/>
  <c r="X60" i="1"/>
  <c r="AG57" i="1"/>
  <c r="AI57" i="1" s="1"/>
  <c r="X56" i="1"/>
  <c r="AG53" i="1"/>
  <c r="AI53" i="1" s="1"/>
  <c r="X53" i="1"/>
  <c r="AI52" i="1"/>
  <c r="AG51" i="1"/>
  <c r="AI51" i="1" s="1"/>
  <c r="X46" i="1"/>
  <c r="AG41" i="1"/>
  <c r="AI41" i="1" s="1"/>
  <c r="X41" i="1"/>
  <c r="X40" i="1"/>
  <c r="AG37" i="1"/>
  <c r="AI37" i="1" s="1"/>
  <c r="X37" i="1"/>
  <c r="AG35" i="1"/>
  <c r="AA33" i="1"/>
  <c r="T32" i="1"/>
  <c r="AG29" i="1"/>
  <c r="AI29" i="1" s="1"/>
  <c r="X29" i="1"/>
  <c r="AG25" i="1"/>
  <c r="AI25" i="1" s="1"/>
  <c r="X25" i="1"/>
  <c r="AA21" i="1"/>
  <c r="X20" i="1"/>
  <c r="AG16" i="1"/>
  <c r="T15" i="1"/>
  <c r="U15" i="1" s="1"/>
  <c r="S15" i="1" s="1"/>
  <c r="AA14" i="1"/>
  <c r="AA131" i="1"/>
  <c r="T131" i="1"/>
  <c r="AA125" i="1"/>
  <c r="W125" i="1" s="1"/>
  <c r="X123" i="1"/>
  <c r="T113" i="1"/>
  <c r="X109" i="1"/>
  <c r="T106" i="1"/>
  <c r="AA91" i="1"/>
  <c r="AG86" i="1"/>
  <c r="AA83" i="1"/>
  <c r="W83" i="1" s="1"/>
  <c r="AA80" i="1"/>
  <c r="W80" i="1" s="1"/>
  <c r="X79" i="1"/>
  <c r="AG72" i="1"/>
  <c r="AI72" i="1" s="1"/>
  <c r="AA62" i="1"/>
  <c r="X52" i="1"/>
  <c r="AA50" i="1"/>
  <c r="W50" i="1" s="1"/>
  <c r="T50" i="1"/>
  <c r="U50" i="1" s="1"/>
  <c r="S50" i="1" s="1"/>
  <c r="AA49" i="1"/>
  <c r="AG47" i="1"/>
  <c r="AA44" i="1"/>
  <c r="W44" i="1" s="1"/>
  <c r="T44" i="1"/>
  <c r="U44" i="1" s="1"/>
  <c r="S44" i="1" s="1"/>
  <c r="X42" i="1"/>
  <c r="X36" i="1"/>
  <c r="AA34" i="1"/>
  <c r="W34" i="1" s="1"/>
  <c r="T34" i="1"/>
  <c r="U34" i="1" s="1"/>
  <c r="S34" i="1" s="1"/>
  <c r="AG33" i="1"/>
  <c r="AI33" i="1" s="1"/>
  <c r="X28" i="1"/>
  <c r="X24" i="1"/>
  <c r="AG21" i="1"/>
  <c r="AI21" i="1" s="1"/>
  <c r="X19" i="1"/>
  <c r="X16" i="1"/>
  <c r="AA127" i="1"/>
  <c r="AA121" i="1"/>
  <c r="W121" i="1" s="1"/>
  <c r="X117" i="1"/>
  <c r="AA110" i="1"/>
  <c r="AG106" i="1"/>
  <c r="AI106" i="1" s="1"/>
  <c r="T105" i="1"/>
  <c r="U105" i="1" s="1"/>
  <c r="S105" i="1" s="1"/>
  <c r="AA98" i="1"/>
  <c r="T97" i="1"/>
  <c r="U97" i="1" s="1"/>
  <c r="S97" i="1" s="1"/>
  <c r="T89" i="1"/>
  <c r="U89" i="1" s="1"/>
  <c r="S89" i="1" s="1"/>
  <c r="T75" i="1"/>
  <c r="U75" i="1" s="1"/>
  <c r="S75" i="1" s="1"/>
  <c r="T60" i="1"/>
  <c r="U60" i="1" s="1"/>
  <c r="S60" i="1" s="1"/>
  <c r="AA54" i="1"/>
  <c r="AA46" i="1"/>
  <c r="W46" i="1" s="1"/>
  <c r="T46" i="1"/>
  <c r="U46" i="1" s="1"/>
  <c r="S46" i="1" s="1"/>
  <c r="AA40" i="1"/>
  <c r="W40" i="1" s="1"/>
  <c r="T40" i="1"/>
  <c r="U40" i="1" s="1"/>
  <c r="S40" i="1" s="1"/>
  <c r="X38" i="1"/>
  <c r="AA26" i="1"/>
  <c r="AI239" i="1"/>
  <c r="AI240" i="1"/>
  <c r="X225" i="1"/>
  <c r="T225" i="1"/>
  <c r="U225" i="1" s="1"/>
  <c r="S225" i="1" s="1"/>
  <c r="X208" i="1"/>
  <c r="T208" i="1"/>
  <c r="U208" i="1" s="1"/>
  <c r="S208" i="1" s="1"/>
  <c r="X204" i="1"/>
  <c r="AI226" i="1"/>
  <c r="U223" i="1"/>
  <c r="S223" i="1" s="1"/>
  <c r="X240" i="1"/>
  <c r="T196" i="1"/>
  <c r="U196" i="1" s="1"/>
  <c r="S196" i="1" s="1"/>
  <c r="X196" i="1"/>
  <c r="AA195" i="1"/>
  <c r="W195" i="1" s="1"/>
  <c r="AG207" i="1"/>
  <c r="T200" i="1"/>
  <c r="U200" i="1" s="1"/>
  <c r="S200" i="1" s="1"/>
  <c r="X200" i="1"/>
  <c r="AA199" i="1"/>
  <c r="T197" i="1"/>
  <c r="X197" i="1"/>
  <c r="AG197" i="1"/>
  <c r="AI197" i="1" s="1"/>
  <c r="AI223" i="1"/>
  <c r="X224" i="1"/>
  <c r="X207" i="1"/>
  <c r="AG204" i="1"/>
  <c r="T201" i="1"/>
  <c r="X201" i="1"/>
  <c r="AG201" i="1"/>
  <c r="AI201" i="1" s="1"/>
  <c r="AI222" i="1"/>
  <c r="U180" i="1"/>
  <c r="S180" i="1" s="1"/>
  <c r="AI143" i="1"/>
  <c r="AI137" i="1"/>
  <c r="AI121" i="1"/>
  <c r="AG192" i="1"/>
  <c r="AG189" i="1"/>
  <c r="AG185" i="1"/>
  <c r="AG181" i="1"/>
  <c r="AG177" i="1"/>
  <c r="AG173" i="1"/>
  <c r="AG170" i="1"/>
  <c r="AI170" i="1" s="1"/>
  <c r="AG166" i="1"/>
  <c r="AI166" i="1" s="1"/>
  <c r="AG163" i="1"/>
  <c r="AI163" i="1" s="1"/>
  <c r="AG236" i="1"/>
  <c r="AI236" i="1" s="1"/>
  <c r="AG233" i="1"/>
  <c r="AI233" i="1" s="1"/>
  <c r="AG229" i="1"/>
  <c r="AG220" i="1"/>
  <c r="AG216" i="1"/>
  <c r="T212" i="1"/>
  <c r="X212" i="1"/>
  <c r="T211" i="1"/>
  <c r="AI149" i="1"/>
  <c r="AI139" i="1"/>
  <c r="AI133" i="1"/>
  <c r="AG193" i="1"/>
  <c r="AG190" i="1"/>
  <c r="AI190" i="1" s="1"/>
  <c r="X189" i="1"/>
  <c r="AG186" i="1"/>
  <c r="AI186" i="1" s="1"/>
  <c r="X185" i="1"/>
  <c r="AG182" i="1"/>
  <c r="AI182" i="1" s="1"/>
  <c r="X181" i="1"/>
  <c r="AG178" i="1"/>
  <c r="AI178" i="1" s="1"/>
  <c r="X177" i="1"/>
  <c r="AG174" i="1"/>
  <c r="AI174" i="1" s="1"/>
  <c r="X173" i="1"/>
  <c r="AG171" i="1"/>
  <c r="X170" i="1"/>
  <c r="AI194" i="1"/>
  <c r="AG167" i="1"/>
  <c r="AI167" i="1" s="1"/>
  <c r="AG237" i="1"/>
  <c r="X236" i="1"/>
  <c r="AI183" i="1"/>
  <c r="AG234" i="1"/>
  <c r="X233" i="1"/>
  <c r="AI179" i="1"/>
  <c r="AG230" i="1"/>
  <c r="AI230" i="1" s="1"/>
  <c r="X229" i="1"/>
  <c r="AG221" i="1"/>
  <c r="AI221" i="1" s="1"/>
  <c r="X220" i="1"/>
  <c r="AG217" i="1"/>
  <c r="X216" i="1"/>
  <c r="AG212" i="1"/>
  <c r="AG211" i="1"/>
  <c r="AI151" i="1"/>
  <c r="W147" i="1"/>
  <c r="AI145" i="1"/>
  <c r="AI129" i="1"/>
  <c r="X190" i="1"/>
  <c r="X186" i="1"/>
  <c r="X182" i="1"/>
  <c r="X178" i="1"/>
  <c r="X174" i="1"/>
  <c r="X171" i="1"/>
  <c r="X237" i="1"/>
  <c r="X234" i="1"/>
  <c r="X230" i="1"/>
  <c r="X221" i="1"/>
  <c r="X217" i="1"/>
  <c r="AG157" i="1"/>
  <c r="X158" i="1"/>
  <c r="T157" i="1"/>
  <c r="X157" i="1"/>
  <c r="AG153" i="1"/>
  <c r="X154" i="1"/>
  <c r="T153" i="1"/>
  <c r="X153" i="1"/>
  <c r="AI147" i="1"/>
  <c r="AI141" i="1"/>
  <c r="AI125" i="1"/>
  <c r="X149" i="1"/>
  <c r="T149" i="1"/>
  <c r="U149" i="1" s="1"/>
  <c r="S149" i="1" s="1"/>
  <c r="X145" i="1"/>
  <c r="T145" i="1"/>
  <c r="U145" i="1" s="1"/>
  <c r="S145" i="1" s="1"/>
  <c r="X141" i="1"/>
  <c r="T141" i="1"/>
  <c r="U141" i="1" s="1"/>
  <c r="S141" i="1" s="1"/>
  <c r="AI140" i="1"/>
  <c r="X137" i="1"/>
  <c r="T137" i="1"/>
  <c r="U137" i="1" s="1"/>
  <c r="X133" i="1"/>
  <c r="T133" i="1"/>
  <c r="U133" i="1" s="1"/>
  <c r="S133" i="1" s="1"/>
  <c r="X129" i="1"/>
  <c r="T129" i="1"/>
  <c r="U129" i="1" s="1"/>
  <c r="S129" i="1" s="1"/>
  <c r="X125" i="1"/>
  <c r="T125" i="1"/>
  <c r="U125" i="1" s="1"/>
  <c r="X121" i="1"/>
  <c r="T121" i="1"/>
  <c r="U121" i="1" s="1"/>
  <c r="S121" i="1" s="1"/>
  <c r="AI109" i="1"/>
  <c r="AI101" i="1"/>
  <c r="X150" i="1"/>
  <c r="X146" i="1"/>
  <c r="X142" i="1"/>
  <c r="X138" i="1"/>
  <c r="X134" i="1"/>
  <c r="X130" i="1"/>
  <c r="X126" i="1"/>
  <c r="X122" i="1"/>
  <c r="X118" i="1"/>
  <c r="T117" i="1"/>
  <c r="U117" i="1" s="1"/>
  <c r="S117" i="1" s="1"/>
  <c r="AA115" i="1"/>
  <c r="AA111" i="1"/>
  <c r="T107" i="1"/>
  <c r="X107" i="1"/>
  <c r="AG107" i="1"/>
  <c r="AI93" i="1"/>
  <c r="T116" i="1"/>
  <c r="X116" i="1"/>
  <c r="T111" i="1"/>
  <c r="X111" i="1"/>
  <c r="AI105" i="1"/>
  <c r="X156" i="1"/>
  <c r="X152" i="1"/>
  <c r="X148" i="1"/>
  <c r="X144" i="1"/>
  <c r="X140" i="1"/>
  <c r="X136" i="1"/>
  <c r="X132" i="1"/>
  <c r="X128" i="1"/>
  <c r="X124" i="1"/>
  <c r="X120" i="1"/>
  <c r="AG116" i="1"/>
  <c r="AG115" i="1"/>
  <c r="X115" i="1"/>
  <c r="T112" i="1"/>
  <c r="X112" i="1"/>
  <c r="AG112" i="1"/>
  <c r="AG111" i="1"/>
  <c r="T103" i="1"/>
  <c r="X103" i="1"/>
  <c r="AG103" i="1"/>
  <c r="AI97" i="1"/>
  <c r="AI89" i="1"/>
  <c r="AG69" i="1"/>
  <c r="T69" i="1"/>
  <c r="AG62" i="1"/>
  <c r="T62" i="1"/>
  <c r="X62" i="1"/>
  <c r="AG54" i="1"/>
  <c r="T54" i="1"/>
  <c r="X54" i="1"/>
  <c r="AG99" i="1"/>
  <c r="AG95" i="1"/>
  <c r="AG91" i="1"/>
  <c r="AG87" i="1"/>
  <c r="X84" i="1"/>
  <c r="T83" i="1"/>
  <c r="U83" i="1" s="1"/>
  <c r="S83" i="1" s="1"/>
  <c r="AG77" i="1"/>
  <c r="T77" i="1"/>
  <c r="X77" i="1"/>
  <c r="AI60" i="1"/>
  <c r="AG58" i="1"/>
  <c r="T58" i="1"/>
  <c r="X58" i="1"/>
  <c r="AG108" i="1"/>
  <c r="AG104" i="1"/>
  <c r="AG100" i="1"/>
  <c r="X99" i="1"/>
  <c r="AG96" i="1"/>
  <c r="X95" i="1"/>
  <c r="AG92" i="1"/>
  <c r="X91" i="1"/>
  <c r="AG88" i="1"/>
  <c r="X87" i="1"/>
  <c r="X83" i="1"/>
  <c r="T82" i="1"/>
  <c r="X82" i="1"/>
  <c r="T81" i="1"/>
  <c r="AI75" i="1"/>
  <c r="AG66" i="1"/>
  <c r="T66" i="1"/>
  <c r="X66" i="1"/>
  <c r="AI48" i="1"/>
  <c r="AI38" i="1"/>
  <c r="AI30" i="1"/>
  <c r="X108" i="1"/>
  <c r="X104" i="1"/>
  <c r="X100" i="1"/>
  <c r="X96" i="1"/>
  <c r="X92" i="1"/>
  <c r="X88" i="1"/>
  <c r="AG85" i="1"/>
  <c r="AG82" i="1"/>
  <c r="AG81" i="1"/>
  <c r="AG73" i="1"/>
  <c r="T73" i="1"/>
  <c r="X73" i="1"/>
  <c r="AG78" i="1"/>
  <c r="AG74" i="1"/>
  <c r="AG70" i="1"/>
  <c r="AG67" i="1"/>
  <c r="AG63" i="1"/>
  <c r="AG59" i="1"/>
  <c r="AG55" i="1"/>
  <c r="AI46" i="1"/>
  <c r="AI40" i="1"/>
  <c r="AI36" i="1"/>
  <c r="AI28" i="1"/>
  <c r="AI24" i="1"/>
  <c r="AI19" i="1"/>
  <c r="X78" i="1"/>
  <c r="X74" i="1"/>
  <c r="X70" i="1"/>
  <c r="X67" i="1"/>
  <c r="X63" i="1"/>
  <c r="X59" i="1"/>
  <c r="X55" i="1"/>
  <c r="AI42" i="1"/>
  <c r="W30" i="1"/>
  <c r="AI15" i="1"/>
  <c r="AI50" i="1"/>
  <c r="AI44" i="1"/>
  <c r="AI34" i="1"/>
  <c r="U41" i="1"/>
  <c r="S41" i="1" s="1"/>
  <c r="U17" i="1"/>
  <c r="S17" i="1" s="1"/>
  <c r="AG26" i="1"/>
  <c r="AG22" i="1"/>
  <c r="AG18" i="1"/>
  <c r="AG14" i="1"/>
  <c r="AG31" i="1"/>
  <c r="AG27" i="1"/>
  <c r="X26" i="1"/>
  <c r="AG23" i="1"/>
  <c r="X22" i="1"/>
  <c r="X18" i="1"/>
  <c r="X51" i="1"/>
  <c r="X47" i="1"/>
  <c r="X43" i="1"/>
  <c r="X39" i="1"/>
  <c r="X35" i="1"/>
  <c r="X31" i="1"/>
  <c r="X27" i="1"/>
  <c r="X23" i="1"/>
  <c r="Y19" i="3"/>
  <c r="AD9" i="3"/>
  <c r="Y25" i="3"/>
  <c r="Y16" i="3"/>
  <c r="AD26" i="3"/>
  <c r="AD23" i="3"/>
  <c r="Y20" i="3"/>
  <c r="Y22" i="3"/>
  <c r="Y18" i="3"/>
  <c r="Y7" i="3"/>
  <c r="Y8" i="3"/>
  <c r="AD15" i="3"/>
  <c r="Y28" i="3"/>
  <c r="AD29" i="3"/>
  <c r="AE29" i="3"/>
  <c r="AD10" i="3"/>
  <c r="Y14" i="3"/>
  <c r="AC18" i="3"/>
  <c r="AE24" i="3"/>
  <c r="Y24" i="3"/>
  <c r="AD16" i="3"/>
  <c r="AC23" i="3"/>
  <c r="AD14" i="3"/>
  <c r="Y9" i="3"/>
  <c r="AD24" i="3"/>
  <c r="AC17" i="3"/>
  <c r="Y10" i="3"/>
  <c r="AE21" i="3"/>
  <c r="T21" i="3"/>
  <c r="AE8" i="3"/>
  <c r="T8" i="3"/>
  <c r="T28" i="3"/>
  <c r="AE18" i="3"/>
  <c r="T18" i="3"/>
  <c r="AD25" i="3"/>
  <c r="AE17" i="3"/>
  <c r="T17" i="3"/>
  <c r="AD8" i="3"/>
  <c r="AE15" i="3"/>
  <c r="T15" i="3"/>
  <c r="AD28" i="3"/>
  <c r="AE23" i="3"/>
  <c r="T23" i="3"/>
  <c r="AE13" i="3"/>
  <c r="T13" i="3"/>
  <c r="AE25" i="3"/>
  <c r="T25" i="3"/>
  <c r="AE20" i="3"/>
  <c r="T20" i="3"/>
  <c r="AD21" i="3"/>
  <c r="AE19" i="3"/>
  <c r="T19" i="3"/>
  <c r="AD13" i="3"/>
  <c r="AE10" i="3"/>
  <c r="AE14" i="3"/>
  <c r="AE9" i="3"/>
  <c r="AE11" i="3"/>
  <c r="AE16" i="3"/>
  <c r="M27" i="3"/>
  <c r="R27" i="3"/>
  <c r="S27" i="3"/>
  <c r="U27" i="3"/>
  <c r="V27" i="3"/>
  <c r="W27" i="3"/>
  <c r="X27" i="3"/>
  <c r="W27" i="1" l="1"/>
  <c r="W203" i="1"/>
  <c r="W124" i="1"/>
  <c r="W153" i="1"/>
  <c r="W157" i="1"/>
  <c r="U156" i="1"/>
  <c r="S156" i="1" s="1"/>
  <c r="AI132" i="1"/>
  <c r="U32" i="1"/>
  <c r="S32" i="1" s="1"/>
  <c r="W148" i="1"/>
  <c r="U188" i="1"/>
  <c r="S188" i="1" s="1"/>
  <c r="W88" i="1"/>
  <c r="W98" i="1"/>
  <c r="W140" i="1"/>
  <c r="W188" i="1"/>
  <c r="W92" i="1"/>
  <c r="W99" i="1"/>
  <c r="AI124" i="1"/>
  <c r="U228" i="1"/>
  <c r="S228" i="1" s="1"/>
  <c r="U148" i="1"/>
  <c r="S148" i="1" s="1"/>
  <c r="W156" i="1"/>
  <c r="W172" i="1"/>
  <c r="W168" i="1"/>
  <c r="W218" i="1"/>
  <c r="W22" i="1"/>
  <c r="W127" i="1"/>
  <c r="W113" i="1"/>
  <c r="W214" i="1"/>
  <c r="W32" i="1"/>
  <c r="W76" i="1"/>
  <c r="W212" i="1"/>
  <c r="AI214" i="1"/>
  <c r="U86" i="1"/>
  <c r="S86" i="1" s="1"/>
  <c r="U135" i="1"/>
  <c r="S135" i="1" s="1"/>
  <c r="U20" i="1"/>
  <c r="S20" i="1" s="1"/>
  <c r="U206" i="1"/>
  <c r="S206" i="1" s="1"/>
  <c r="U215" i="1"/>
  <c r="S215" i="1" s="1"/>
  <c r="W123" i="1"/>
  <c r="U80" i="1"/>
  <c r="S80" i="1" s="1"/>
  <c r="U172" i="1"/>
  <c r="S172" i="1" s="1"/>
  <c r="U37" i="1"/>
  <c r="S37" i="1" s="1"/>
  <c r="U53" i="1"/>
  <c r="S53" i="1" s="1"/>
  <c r="W96" i="1"/>
  <c r="W62" i="1"/>
  <c r="W135" i="1"/>
  <c r="U168" i="1"/>
  <c r="S168" i="1" s="1"/>
  <c r="W181" i="1"/>
  <c r="U165" i="1"/>
  <c r="S165" i="1" s="1"/>
  <c r="U126" i="1"/>
  <c r="S126" i="1" s="1"/>
  <c r="AI39" i="1"/>
  <c r="W159" i="1"/>
  <c r="U175" i="1"/>
  <c r="S175" i="1" s="1"/>
  <c r="W175" i="1"/>
  <c r="AI123" i="1"/>
  <c r="W119" i="1"/>
  <c r="W49" i="1"/>
  <c r="U134" i="1"/>
  <c r="S134" i="1" s="1"/>
  <c r="AI49" i="1"/>
  <c r="U152" i="1"/>
  <c r="S152" i="1" s="1"/>
  <c r="W131" i="1"/>
  <c r="W20" i="1"/>
  <c r="AI43" i="1"/>
  <c r="W110" i="1"/>
  <c r="W72" i="1"/>
  <c r="W128" i="1"/>
  <c r="W102" i="1"/>
  <c r="W43" i="1"/>
  <c r="W211" i="1"/>
  <c r="U102" i="1"/>
  <c r="S102" i="1" s="1"/>
  <c r="W237" i="1"/>
  <c r="W199" i="1"/>
  <c r="U113" i="1"/>
  <c r="S113" i="1" s="1"/>
  <c r="W215" i="1"/>
  <c r="W39" i="1"/>
  <c r="U123" i="1"/>
  <c r="S123" i="1" s="1"/>
  <c r="U159" i="1"/>
  <c r="S159" i="1" s="1"/>
  <c r="W164" i="1"/>
  <c r="U199" i="1"/>
  <c r="S199" i="1" s="1"/>
  <c r="W165" i="1"/>
  <c r="W228" i="1"/>
  <c r="U169" i="1"/>
  <c r="S169" i="1" s="1"/>
  <c r="W169" i="1"/>
  <c r="W64" i="1"/>
  <c r="U84" i="1"/>
  <c r="S84" i="1" s="1"/>
  <c r="AI131" i="1"/>
  <c r="U98" i="1"/>
  <c r="S98" i="1" s="1"/>
  <c r="W31" i="1"/>
  <c r="W94" i="1"/>
  <c r="U218" i="1"/>
  <c r="S218" i="1" s="1"/>
  <c r="U150" i="1"/>
  <c r="S150" i="1" s="1"/>
  <c r="U232" i="1"/>
  <c r="S232" i="1" s="1"/>
  <c r="W239" i="1"/>
  <c r="W68" i="1"/>
  <c r="U68" i="1"/>
  <c r="S68" i="1" s="1"/>
  <c r="AI128" i="1"/>
  <c r="U144" i="1"/>
  <c r="S144" i="1" s="1"/>
  <c r="W232" i="1"/>
  <c r="W235" i="1"/>
  <c r="U114" i="1"/>
  <c r="S114" i="1" s="1"/>
  <c r="W18" i="1"/>
  <c r="AI86" i="1"/>
  <c r="AI187" i="1"/>
  <c r="W171" i="1"/>
  <c r="U176" i="1"/>
  <c r="S176" i="1" s="1"/>
  <c r="W14" i="1"/>
  <c r="U45" i="1"/>
  <c r="S45" i="1" s="1"/>
  <c r="AI114" i="1"/>
  <c r="AI120" i="1"/>
  <c r="W45" i="1"/>
  <c r="S124" i="1"/>
  <c r="U94" i="1"/>
  <c r="S94" i="1" s="1"/>
  <c r="U130" i="1"/>
  <c r="S130" i="1" s="1"/>
  <c r="U214" i="1"/>
  <c r="S214" i="1" s="1"/>
  <c r="U21" i="1"/>
  <c r="S21" i="1" s="1"/>
  <c r="U56" i="1"/>
  <c r="S56" i="1" s="1"/>
  <c r="W234" i="1"/>
  <c r="AI126" i="1"/>
  <c r="W114" i="1"/>
  <c r="W132" i="1"/>
  <c r="U191" i="1"/>
  <c r="S191" i="1" s="1"/>
  <c r="W227" i="1"/>
  <c r="U210" i="1"/>
  <c r="S210" i="1" s="1"/>
  <c r="U239" i="1"/>
  <c r="S239" i="1" s="1"/>
  <c r="U72" i="1"/>
  <c r="S72" i="1" s="1"/>
  <c r="W90" i="1"/>
  <c r="W69" i="1"/>
  <c r="W184" i="1"/>
  <c r="U219" i="1"/>
  <c r="S219" i="1" s="1"/>
  <c r="U164" i="1"/>
  <c r="S164" i="1" s="1"/>
  <c r="W126" i="1"/>
  <c r="W210" i="1"/>
  <c r="U184" i="1"/>
  <c r="S184" i="1" s="1"/>
  <c r="U110" i="1"/>
  <c r="S110" i="1" s="1"/>
  <c r="AI171" i="1"/>
  <c r="U162" i="1"/>
  <c r="S162" i="1" s="1"/>
  <c r="U127" i="1"/>
  <c r="S127" i="1" s="1"/>
  <c r="U29" i="1"/>
  <c r="S29" i="1" s="1"/>
  <c r="AI152" i="1"/>
  <c r="W152" i="1"/>
  <c r="U71" i="1"/>
  <c r="S71" i="1" s="1"/>
  <c r="U238" i="1"/>
  <c r="S238" i="1" s="1"/>
  <c r="U131" i="1"/>
  <c r="S131" i="1" s="1"/>
  <c r="U76" i="1"/>
  <c r="S76" i="1" s="1"/>
  <c r="U235" i="1"/>
  <c r="S235" i="1" s="1"/>
  <c r="W26" i="1"/>
  <c r="AI144" i="1"/>
  <c r="AI206" i="1"/>
  <c r="AI160" i="1"/>
  <c r="U57" i="1"/>
  <c r="S57" i="1" s="1"/>
  <c r="U25" i="1"/>
  <c r="AI76" i="1"/>
  <c r="U119" i="1"/>
  <c r="S119" i="1" s="1"/>
  <c r="W216" i="1"/>
  <c r="AI227" i="1"/>
  <c r="W84" i="1"/>
  <c r="W35" i="1"/>
  <c r="W238" i="1"/>
  <c r="W61" i="1"/>
  <c r="W71" i="1"/>
  <c r="U90" i="1"/>
  <c r="S90" i="1" s="1"/>
  <c r="U155" i="1"/>
  <c r="S155" i="1" s="1"/>
  <c r="W177" i="1"/>
  <c r="AI238" i="1"/>
  <c r="W155" i="1"/>
  <c r="W206" i="1"/>
  <c r="U198" i="1"/>
  <c r="S198" i="1" s="1"/>
  <c r="W130" i="1"/>
  <c r="U33" i="1"/>
  <c r="S33" i="1" s="1"/>
  <c r="U51" i="1"/>
  <c r="S51" i="1" s="1"/>
  <c r="AI90" i="1"/>
  <c r="U227" i="1"/>
  <c r="S227" i="1" s="1"/>
  <c r="U106" i="1"/>
  <c r="S106" i="1" s="1"/>
  <c r="W16" i="1"/>
  <c r="U142" i="1"/>
  <c r="S142" i="1" s="1"/>
  <c r="U61" i="1"/>
  <c r="W142" i="1"/>
  <c r="W224" i="1"/>
  <c r="W57" i="1"/>
  <c r="W223" i="1"/>
  <c r="U136" i="1"/>
  <c r="S136" i="1" s="1"/>
  <c r="W187" i="1"/>
  <c r="W217" i="1"/>
  <c r="AI217" i="1"/>
  <c r="W21" i="1"/>
  <c r="U122" i="1"/>
  <c r="S122" i="1" s="1"/>
  <c r="AI122" i="1"/>
  <c r="W53" i="1"/>
  <c r="U202" i="1"/>
  <c r="S202" i="1" s="1"/>
  <c r="W161" i="1"/>
  <c r="W122" i="1"/>
  <c r="W162" i="1"/>
  <c r="W191" i="1"/>
  <c r="W198" i="1"/>
  <c r="W170" i="1"/>
  <c r="W163" i="1"/>
  <c r="U16" i="1"/>
  <c r="S16" i="1" s="1"/>
  <c r="AI16" i="1"/>
  <c r="W86" i="1"/>
  <c r="W25" i="1"/>
  <c r="W37" i="1"/>
  <c r="U161" i="1"/>
  <c r="S161" i="1" s="1"/>
  <c r="W229" i="1"/>
  <c r="AI229" i="1"/>
  <c r="W166" i="1"/>
  <c r="W33" i="1"/>
  <c r="U65" i="1"/>
  <c r="S65" i="1" s="1"/>
  <c r="W41" i="1"/>
  <c r="W65" i="1"/>
  <c r="W120" i="1"/>
  <c r="W51" i="1"/>
  <c r="W219" i="1"/>
  <c r="W176" i="1"/>
  <c r="W136" i="1"/>
  <c r="W193" i="1"/>
  <c r="AI193" i="1"/>
  <c r="W182" i="1"/>
  <c r="AI237" i="1"/>
  <c r="U47" i="1"/>
  <c r="S47" i="1" s="1"/>
  <c r="AI47" i="1"/>
  <c r="W106" i="1"/>
  <c r="U35" i="1"/>
  <c r="S35" i="1" s="1"/>
  <c r="AI35" i="1"/>
  <c r="W29" i="1"/>
  <c r="W47" i="1"/>
  <c r="W56" i="1"/>
  <c r="W202" i="1"/>
  <c r="U85" i="1"/>
  <c r="S85" i="1" s="1"/>
  <c r="AI85" i="1"/>
  <c r="U27" i="1"/>
  <c r="S27" i="1" s="1"/>
  <c r="AI27" i="1"/>
  <c r="U31" i="1"/>
  <c r="S31" i="1" s="1"/>
  <c r="AI31" i="1"/>
  <c r="AI26" i="1"/>
  <c r="U26" i="1"/>
  <c r="U55" i="1"/>
  <c r="S55" i="1" s="1"/>
  <c r="AI55" i="1"/>
  <c r="W55" i="1"/>
  <c r="U70" i="1"/>
  <c r="S70" i="1" s="1"/>
  <c r="AI70" i="1"/>
  <c r="W70" i="1"/>
  <c r="AI81" i="1"/>
  <c r="U81" i="1"/>
  <c r="S81" i="1" s="1"/>
  <c r="U92" i="1"/>
  <c r="S92" i="1" s="1"/>
  <c r="AI92" i="1"/>
  <c r="U108" i="1"/>
  <c r="S108" i="1" s="1"/>
  <c r="AI108" i="1"/>
  <c r="W81" i="1"/>
  <c r="AI87" i="1"/>
  <c r="U87" i="1"/>
  <c r="S87" i="1" s="1"/>
  <c r="AI103" i="1"/>
  <c r="U103" i="1"/>
  <c r="S103" i="1" s="1"/>
  <c r="U116" i="1"/>
  <c r="S116" i="1" s="1"/>
  <c r="AI116" i="1"/>
  <c r="W103" i="1"/>
  <c r="W111" i="1"/>
  <c r="W87" i="1"/>
  <c r="U230" i="1"/>
  <c r="S230" i="1" s="1"/>
  <c r="AI177" i="1"/>
  <c r="U167" i="1"/>
  <c r="S167" i="1" s="1"/>
  <c r="AI192" i="1"/>
  <c r="U182" i="1"/>
  <c r="S182" i="1" s="1"/>
  <c r="AI208" i="1"/>
  <c r="AI180" i="1"/>
  <c r="U233" i="1"/>
  <c r="S233" i="1" s="1"/>
  <c r="AI195" i="1"/>
  <c r="U170" i="1"/>
  <c r="S170" i="1" s="1"/>
  <c r="AI211" i="1"/>
  <c r="U185" i="1"/>
  <c r="S185" i="1" s="1"/>
  <c r="W233" i="1"/>
  <c r="U204" i="1"/>
  <c r="S204" i="1" s="1"/>
  <c r="AI231" i="1"/>
  <c r="U207" i="1"/>
  <c r="S207" i="1" s="1"/>
  <c r="AI234" i="1"/>
  <c r="U58" i="1"/>
  <c r="S58" i="1" s="1"/>
  <c r="AI58" i="1"/>
  <c r="AI91" i="1"/>
  <c r="U91" i="1"/>
  <c r="S91" i="1" s="1"/>
  <c r="U69" i="1"/>
  <c r="S69" i="1" s="1"/>
  <c r="AI69" i="1"/>
  <c r="AI111" i="1"/>
  <c r="U111" i="1"/>
  <c r="S111" i="1" s="1"/>
  <c r="W91" i="1"/>
  <c r="AI107" i="1"/>
  <c r="U107" i="1"/>
  <c r="S107" i="1" s="1"/>
  <c r="U221" i="1"/>
  <c r="S221" i="1" s="1"/>
  <c r="AI173" i="1"/>
  <c r="AI189" i="1"/>
  <c r="U178" i="1"/>
  <c r="S178" i="1" s="1"/>
  <c r="AI204" i="1"/>
  <c r="U193" i="1"/>
  <c r="S193" i="1" s="1"/>
  <c r="AI220" i="1"/>
  <c r="AI168" i="1"/>
  <c r="U216" i="1"/>
  <c r="S216" i="1" s="1"/>
  <c r="AI184" i="1"/>
  <c r="U236" i="1"/>
  <c r="S236" i="1" s="1"/>
  <c r="AI199" i="1"/>
  <c r="U173" i="1"/>
  <c r="S173" i="1" s="1"/>
  <c r="AI215" i="1"/>
  <c r="U189" i="1"/>
  <c r="S189" i="1" s="1"/>
  <c r="U201" i="1"/>
  <c r="S201" i="1" s="1"/>
  <c r="AI228" i="1"/>
  <c r="U197" i="1"/>
  <c r="S197" i="1" s="1"/>
  <c r="AI224" i="1"/>
  <c r="W178" i="1"/>
  <c r="W189" i="1"/>
  <c r="U23" i="1"/>
  <c r="S23" i="1" s="1"/>
  <c r="AI23" i="1"/>
  <c r="AI14" i="1"/>
  <c r="U14" i="1"/>
  <c r="S14" i="1" s="1"/>
  <c r="U59" i="1"/>
  <c r="S59" i="1" s="1"/>
  <c r="AI59" i="1"/>
  <c r="W59" i="1"/>
  <c r="U74" i="1"/>
  <c r="S74" i="1" s="1"/>
  <c r="AI74" i="1"/>
  <c r="W23" i="1"/>
  <c r="U100" i="1"/>
  <c r="S100" i="1" s="1"/>
  <c r="AI100" i="1"/>
  <c r="AI95" i="1"/>
  <c r="U95" i="1"/>
  <c r="S95" i="1" s="1"/>
  <c r="U54" i="1"/>
  <c r="S54" i="1" s="1"/>
  <c r="AI54" i="1"/>
  <c r="U62" i="1"/>
  <c r="AI62" i="1"/>
  <c r="U112" i="1"/>
  <c r="S112" i="1" s="1"/>
  <c r="AI112" i="1"/>
  <c r="W100" i="1"/>
  <c r="W74" i="1"/>
  <c r="U153" i="1"/>
  <c r="S153" i="1" s="1"/>
  <c r="AI153" i="1"/>
  <c r="U211" i="1"/>
  <c r="S211" i="1" s="1"/>
  <c r="U217" i="1"/>
  <c r="S217" i="1" s="1"/>
  <c r="AI169" i="1"/>
  <c r="U237" i="1"/>
  <c r="S237" i="1" s="1"/>
  <c r="AI185" i="1"/>
  <c r="U174" i="1"/>
  <c r="S174" i="1" s="1"/>
  <c r="AI200" i="1"/>
  <c r="U190" i="1"/>
  <c r="S190" i="1" s="1"/>
  <c r="AI216" i="1"/>
  <c r="W108" i="1"/>
  <c r="AI172" i="1"/>
  <c r="U220" i="1"/>
  <c r="S220" i="1" s="1"/>
  <c r="AI188" i="1"/>
  <c r="U163" i="1"/>
  <c r="S163" i="1" s="1"/>
  <c r="AI203" i="1"/>
  <c r="U177" i="1"/>
  <c r="S177" i="1" s="1"/>
  <c r="AI219" i="1"/>
  <c r="U192" i="1"/>
  <c r="S192" i="1" s="1"/>
  <c r="W185" i="1"/>
  <c r="W167" i="1"/>
  <c r="W220" i="1"/>
  <c r="W173" i="1"/>
  <c r="W190" i="1"/>
  <c r="W197" i="1"/>
  <c r="W201" i="1"/>
  <c r="U73" i="1"/>
  <c r="S73" i="1" s="1"/>
  <c r="AI73" i="1"/>
  <c r="U82" i="1"/>
  <c r="S82" i="1" s="1"/>
  <c r="AI82" i="1"/>
  <c r="W82" i="1"/>
  <c r="U66" i="1"/>
  <c r="S66" i="1" s="1"/>
  <c r="AI66" i="1"/>
  <c r="U88" i="1"/>
  <c r="S88" i="1" s="1"/>
  <c r="AI88" i="1"/>
  <c r="AI18" i="1"/>
  <c r="U18" i="1"/>
  <c r="S18" i="1" s="1"/>
  <c r="U63" i="1"/>
  <c r="S63" i="1" s="1"/>
  <c r="AI63" i="1"/>
  <c r="W63" i="1"/>
  <c r="U78" i="1"/>
  <c r="S78" i="1" s="1"/>
  <c r="AI78" i="1"/>
  <c r="W78" i="1"/>
  <c r="AI22" i="1"/>
  <c r="U22" i="1"/>
  <c r="S22" i="1" s="1"/>
  <c r="U67" i="1"/>
  <c r="S67" i="1" s="1"/>
  <c r="W67" i="1"/>
  <c r="AI67" i="1"/>
  <c r="W54" i="1"/>
  <c r="W73" i="1"/>
  <c r="U96" i="1"/>
  <c r="S96" i="1" s="1"/>
  <c r="AI96" i="1"/>
  <c r="U104" i="1"/>
  <c r="S104" i="1" s="1"/>
  <c r="AI104" i="1"/>
  <c r="W66" i="1"/>
  <c r="U77" i="1"/>
  <c r="S77" i="1" s="1"/>
  <c r="AI77" i="1"/>
  <c r="W85" i="1"/>
  <c r="AI99" i="1"/>
  <c r="U99" i="1"/>
  <c r="S99" i="1" s="1"/>
  <c r="W58" i="1"/>
  <c r="W77" i="1"/>
  <c r="AI115" i="1"/>
  <c r="U115" i="1"/>
  <c r="S115" i="1" s="1"/>
  <c r="W115" i="1"/>
  <c r="W95" i="1"/>
  <c r="W107" i="1"/>
  <c r="W112" i="1"/>
  <c r="U157" i="1"/>
  <c r="S157" i="1" s="1"/>
  <c r="AI157" i="1"/>
  <c r="U212" i="1"/>
  <c r="S212" i="1" s="1"/>
  <c r="AI164" i="1"/>
  <c r="U234" i="1"/>
  <c r="S234" i="1" s="1"/>
  <c r="AI181" i="1"/>
  <c r="U171" i="1"/>
  <c r="S171" i="1" s="1"/>
  <c r="AI196" i="1"/>
  <c r="U186" i="1"/>
  <c r="S186" i="1" s="1"/>
  <c r="AI212" i="1"/>
  <c r="W116" i="1"/>
  <c r="AI176" i="1"/>
  <c r="U229" i="1"/>
  <c r="S229" i="1" s="1"/>
  <c r="AI191" i="1"/>
  <c r="U166" i="1"/>
  <c r="S166" i="1" s="1"/>
  <c r="AI207" i="1"/>
  <c r="U181" i="1"/>
  <c r="S181" i="1" s="1"/>
  <c r="W104" i="1"/>
  <c r="W186" i="1"/>
  <c r="W230" i="1"/>
  <c r="W221" i="1"/>
  <c r="W192" i="1"/>
  <c r="W236" i="1"/>
  <c r="W174" i="1"/>
  <c r="W204" i="1"/>
  <c r="W207" i="1"/>
  <c r="AC27" i="3"/>
  <c r="AD22" i="3"/>
  <c r="AE22" i="3"/>
  <c r="T27" i="3"/>
  <c r="Y27" i="3"/>
  <c r="AN13" i="1"/>
  <c r="S61" i="1" l="1"/>
  <c r="S25" i="1"/>
  <c r="AD27" i="3"/>
  <c r="V13" i="1"/>
  <c r="B84" i="9" l="1"/>
  <c r="C84" i="9" s="1"/>
  <c r="B85" i="9"/>
  <c r="C85" i="9"/>
  <c r="B86" i="9"/>
  <c r="C86" i="9" s="1"/>
  <c r="B87" i="9"/>
  <c r="C87" i="9"/>
  <c r="B88" i="9"/>
  <c r="C88" i="9" s="1"/>
  <c r="B89" i="9"/>
  <c r="C89" i="9"/>
  <c r="AE27" i="3" l="1"/>
  <c r="B31" i="9"/>
  <c r="B32" i="9"/>
  <c r="C32" i="9"/>
  <c r="B33" i="9"/>
  <c r="B34" i="9"/>
  <c r="C34" i="9" s="1"/>
  <c r="B35" i="9"/>
  <c r="B36" i="9"/>
  <c r="B37" i="9"/>
  <c r="B38" i="9"/>
  <c r="C39" i="9" s="1"/>
  <c r="B39" i="9"/>
  <c r="B40" i="9"/>
  <c r="C41" i="9" s="1"/>
  <c r="C40" i="9"/>
  <c r="B41" i="9"/>
  <c r="B42" i="9"/>
  <c r="C42" i="9"/>
  <c r="B43" i="9"/>
  <c r="C44" i="9" s="1"/>
  <c r="B44" i="9"/>
  <c r="B45" i="9"/>
  <c r="B46" i="9"/>
  <c r="C47" i="9" s="1"/>
  <c r="B47" i="9"/>
  <c r="B48" i="9"/>
  <c r="C49" i="9" s="1"/>
  <c r="C48" i="9"/>
  <c r="B49" i="9"/>
  <c r="B50" i="9"/>
  <c r="C50" i="9"/>
  <c r="B51" i="9"/>
  <c r="C52" i="9" s="1"/>
  <c r="B52" i="9"/>
  <c r="B53" i="9"/>
  <c r="B54" i="9"/>
  <c r="C55" i="9" s="1"/>
  <c r="B55" i="9"/>
  <c r="B56" i="9"/>
  <c r="C57" i="9" s="1"/>
  <c r="C56" i="9"/>
  <c r="B57" i="9"/>
  <c r="B58" i="9"/>
  <c r="C58" i="9"/>
  <c r="B59" i="9"/>
  <c r="C60" i="9" s="1"/>
  <c r="B60" i="9"/>
  <c r="B61" i="9"/>
  <c r="B62" i="9"/>
  <c r="C63" i="9" s="1"/>
  <c r="B63" i="9"/>
  <c r="B64" i="9"/>
  <c r="C65" i="9" s="1"/>
  <c r="C64" i="9"/>
  <c r="B65" i="9"/>
  <c r="B66" i="9"/>
  <c r="C66" i="9"/>
  <c r="B67" i="9"/>
  <c r="C68" i="9" s="1"/>
  <c r="B68" i="9"/>
  <c r="B69" i="9"/>
  <c r="B70" i="9"/>
  <c r="C71" i="9" s="1"/>
  <c r="B71" i="9"/>
  <c r="B72" i="9"/>
  <c r="C73" i="9" s="1"/>
  <c r="C72" i="9"/>
  <c r="B73" i="9"/>
  <c r="B74" i="9"/>
  <c r="C74" i="9"/>
  <c r="B75" i="9"/>
  <c r="C76" i="9" s="1"/>
  <c r="B76" i="9"/>
  <c r="B77" i="9"/>
  <c r="B78" i="9"/>
  <c r="C79" i="9" s="1"/>
  <c r="B79" i="9"/>
  <c r="B80" i="9"/>
  <c r="C81" i="9" s="1"/>
  <c r="C80" i="9"/>
  <c r="B81" i="9"/>
  <c r="B82" i="9"/>
  <c r="C82" i="9"/>
  <c r="B83" i="9"/>
  <c r="C75" i="9" l="1"/>
  <c r="C78" i="9"/>
  <c r="C77" i="9"/>
  <c r="C70" i="9"/>
  <c r="C69" i="9"/>
  <c r="C62" i="9"/>
  <c r="C61" i="9"/>
  <c r="C54" i="9"/>
  <c r="C53" i="9"/>
  <c r="C46" i="9"/>
  <c r="C45" i="9"/>
  <c r="C38" i="9"/>
  <c r="C37" i="9"/>
  <c r="C33" i="9"/>
  <c r="C83" i="9"/>
  <c r="C67" i="9"/>
  <c r="C59" i="9"/>
  <c r="C51" i="9"/>
  <c r="C43" i="9"/>
  <c r="C36" i="9"/>
  <c r="C35" i="9"/>
  <c r="B4" i="6" l="1"/>
  <c r="B5" i="6" l="1"/>
  <c r="F4" i="6"/>
  <c r="J4" i="6"/>
  <c r="G4" i="6"/>
  <c r="B3" i="6"/>
  <c r="F3" i="6" l="1"/>
  <c r="I3" i="6"/>
  <c r="G5" i="6"/>
  <c r="J5" i="6"/>
  <c r="F5" i="6"/>
  <c r="B6" i="6"/>
  <c r="G3" i="6"/>
  <c r="J3" i="6"/>
  <c r="Z13" i="1"/>
  <c r="Y13" i="1"/>
  <c r="G6" i="6" l="1"/>
  <c r="F6" i="6"/>
  <c r="J6" i="6"/>
  <c r="B7" i="6"/>
  <c r="B8" i="6" l="1"/>
  <c r="G7" i="6"/>
  <c r="F7" i="6"/>
  <c r="J7" i="6"/>
  <c r="AM13" i="1"/>
  <c r="B9" i="6" l="1"/>
  <c r="F8" i="6"/>
  <c r="J8" i="6"/>
  <c r="G8" i="6"/>
  <c r="H8" i="6"/>
  <c r="G9" i="6" l="1"/>
  <c r="J9" i="6"/>
  <c r="F9" i="6"/>
  <c r="H9" i="6"/>
  <c r="B10" i="6"/>
  <c r="B11" i="6" l="1"/>
  <c r="G10" i="6"/>
  <c r="H10" i="6"/>
  <c r="F10" i="6"/>
  <c r="J10" i="6"/>
  <c r="B12" i="6" l="1"/>
  <c r="G11" i="6"/>
  <c r="F11" i="6"/>
  <c r="J11" i="6"/>
  <c r="H11" i="6"/>
  <c r="B13" i="6" l="1"/>
  <c r="F12" i="6"/>
  <c r="J12" i="6"/>
  <c r="G12" i="6"/>
  <c r="H12" i="6"/>
  <c r="G13" i="6" l="1"/>
  <c r="J13" i="6"/>
  <c r="F13" i="6"/>
  <c r="H13" i="6"/>
  <c r="B14" i="6"/>
  <c r="G14" i="6" l="1"/>
  <c r="H14" i="6"/>
  <c r="J14" i="6"/>
  <c r="F14" i="6"/>
  <c r="B1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8" i="3"/>
  <c r="N14" i="3"/>
  <c r="N13" i="3"/>
  <c r="N12" i="3"/>
  <c r="N23" i="3"/>
  <c r="N17" i="3"/>
  <c r="N11" i="3"/>
  <c r="N15" i="3"/>
  <c r="N21" i="3"/>
  <c r="N26" i="3"/>
  <c r="N22" i="3"/>
  <c r="N9" i="3"/>
  <c r="N10" i="3"/>
  <c r="N20" i="3"/>
  <c r="N19" i="3"/>
  <c r="N18" i="3"/>
  <c r="N25" i="3"/>
  <c r="N7" i="3"/>
  <c r="N8" i="3"/>
  <c r="N16" i="3"/>
  <c r="N29" i="3"/>
  <c r="N27" i="3"/>
  <c r="H6" i="6"/>
  <c r="H4" i="6"/>
  <c r="H5" i="6"/>
  <c r="H7" i="6"/>
  <c r="B16" i="6"/>
  <c r="G15" i="6"/>
  <c r="F15" i="6"/>
  <c r="J15" i="6"/>
  <c r="H15" i="6"/>
  <c r="H3" i="6"/>
  <c r="L13" i="1"/>
  <c r="F16" i="6" l="1"/>
  <c r="J16" i="6"/>
  <c r="G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7" i="6" l="1"/>
  <c r="J17" i="6"/>
  <c r="F17" i="6"/>
  <c r="H17" i="6"/>
  <c r="B18" i="6"/>
  <c r="K13" i="1"/>
  <c r="M13" i="1"/>
  <c r="N13" i="1" s="1"/>
  <c r="AB13" i="1"/>
  <c r="AC13" i="1"/>
  <c r="AD13" i="1"/>
  <c r="X14" i="1" s="1"/>
  <c r="AE13" i="1"/>
  <c r="G18" i="6" l="1"/>
  <c r="H18" i="6"/>
  <c r="F18" i="6"/>
  <c r="J18" i="6"/>
  <c r="B19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G19" i="6"/>
  <c r="F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F20" i="6"/>
  <c r="J20" i="6"/>
  <c r="G20" i="6"/>
  <c r="H20" i="6"/>
  <c r="M30" i="5"/>
  <c r="M29" i="5"/>
  <c r="M27" i="5"/>
  <c r="G21" i="6" l="1"/>
  <c r="J21" i="6"/>
  <c r="F21" i="6"/>
  <c r="H21" i="6"/>
  <c r="B22" i="6"/>
  <c r="M26" i="5"/>
  <c r="G22" i="6" l="1"/>
  <c r="H22" i="6"/>
  <c r="F22" i="6"/>
  <c r="J22" i="6"/>
  <c r="B23" i="6"/>
  <c r="AH13" i="1"/>
  <c r="J7" i="1"/>
  <c r="B24" i="6" l="1"/>
  <c r="G23" i="6"/>
  <c r="F23" i="6"/>
  <c r="J23" i="6"/>
  <c r="H23" i="6"/>
  <c r="X6" i="1"/>
  <c r="W6" i="1"/>
  <c r="V6" i="1"/>
  <c r="S6" i="1"/>
  <c r="R2" i="1"/>
  <c r="I2" i="1"/>
  <c r="O6" i="1"/>
  <c r="N6" i="1"/>
  <c r="M6" i="1"/>
  <c r="J6" i="1"/>
  <c r="F24" i="6" l="1"/>
  <c r="J24" i="6"/>
  <c r="G24" i="6"/>
  <c r="H24" i="6"/>
  <c r="B25" i="6"/>
  <c r="P3" i="5"/>
  <c r="G25" i="6" l="1"/>
  <c r="J25" i="6"/>
  <c r="F25" i="6"/>
  <c r="H25" i="6"/>
  <c r="B26" i="6"/>
  <c r="M18" i="5"/>
  <c r="G26" i="6" l="1"/>
  <c r="H26" i="6"/>
  <c r="F26" i="6"/>
  <c r="J26" i="6"/>
  <c r="B27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G27" i="6"/>
  <c r="F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9" i="6" l="1"/>
  <c r="J29" i="6"/>
  <c r="G29" i="6"/>
  <c r="H29" i="6"/>
  <c r="B30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B31" i="6"/>
  <c r="U13" i="1"/>
  <c r="S13" i="1" s="1"/>
  <c r="O2" i="3"/>
  <c r="O3" i="3" s="1"/>
  <c r="F31" i="6" l="1"/>
  <c r="J31" i="6"/>
  <c r="G31" i="6"/>
  <c r="H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32" i="6" l="1"/>
  <c r="F32" i="6"/>
  <c r="G32" i="6"/>
  <c r="H32" i="6"/>
  <c r="B33" i="6"/>
  <c r="J8" i="1"/>
  <c r="J4" i="1"/>
  <c r="S8" i="1"/>
  <c r="S4" i="1"/>
  <c r="F33" i="6" l="1"/>
  <c r="J33" i="6"/>
  <c r="H33" i="6"/>
  <c r="G33" i="6"/>
  <c r="B34" i="6"/>
  <c r="S9" i="1"/>
  <c r="J9" i="1"/>
  <c r="B35" i="6" l="1"/>
  <c r="F34" i="6"/>
  <c r="G34" i="6"/>
  <c r="J34" i="6"/>
  <c r="H34" i="6"/>
  <c r="S11" i="1"/>
  <c r="A11" i="1"/>
  <c r="B36" i="6" l="1"/>
  <c r="G35" i="6"/>
  <c r="H35" i="6"/>
  <c r="J35" i="6"/>
  <c r="F35" i="6"/>
  <c r="B1" i="6"/>
  <c r="A5" i="3"/>
  <c r="G36" i="6" l="1"/>
  <c r="F36" i="6"/>
  <c r="J36" i="6"/>
  <c r="H36" i="6"/>
  <c r="B37" i="6"/>
  <c r="F37" i="6" l="1"/>
  <c r="J37" i="6"/>
  <c r="G37" i="6"/>
  <c r="H37" i="6"/>
  <c r="B38" i="6"/>
  <c r="B39" i="6" l="1"/>
  <c r="J38" i="6"/>
  <c r="G38" i="6"/>
  <c r="F38" i="6"/>
  <c r="H38" i="6"/>
  <c r="F39" i="6" l="1"/>
  <c r="G39" i="6"/>
  <c r="H39" i="6"/>
  <c r="J39" i="6"/>
  <c r="B40" i="6"/>
  <c r="J40" i="6" l="1"/>
  <c r="H40" i="6"/>
  <c r="F40" i="6"/>
  <c r="G40" i="6"/>
  <c r="B41" i="6"/>
  <c r="B42" i="6" l="1"/>
  <c r="J41" i="6"/>
  <c r="F41" i="6"/>
  <c r="H41" i="6"/>
  <c r="G41" i="6"/>
  <c r="F42" i="6" l="1"/>
  <c r="G42" i="6"/>
  <c r="H42" i="6"/>
  <c r="J42" i="6"/>
  <c r="B43" i="6"/>
  <c r="G43" i="6" l="1"/>
  <c r="H43" i="6"/>
  <c r="J43" i="6"/>
  <c r="F43" i="6"/>
  <c r="B44" i="6"/>
  <c r="F44" i="6" l="1"/>
  <c r="H44" i="6"/>
  <c r="J44" i="6"/>
  <c r="G44" i="6"/>
  <c r="B45" i="6"/>
  <c r="F45" i="6" l="1"/>
  <c r="J45" i="6"/>
  <c r="G45" i="6"/>
  <c r="H45" i="6"/>
  <c r="B46" i="6"/>
  <c r="B47" i="6" l="1"/>
  <c r="F46" i="6"/>
  <c r="H46" i="6"/>
  <c r="J46" i="6"/>
  <c r="G46" i="6"/>
  <c r="F47" i="6" l="1"/>
  <c r="H47" i="6"/>
  <c r="J47" i="6"/>
  <c r="G47" i="6"/>
  <c r="B48" i="6"/>
  <c r="J48" i="6" l="1"/>
  <c r="H48" i="6"/>
  <c r="F48" i="6"/>
  <c r="G48" i="6"/>
  <c r="B49" i="6"/>
  <c r="B50" i="6" l="1"/>
  <c r="F49" i="6"/>
  <c r="G49" i="6"/>
  <c r="H49" i="6"/>
  <c r="J49" i="6"/>
  <c r="B51" i="6" l="1"/>
  <c r="H50" i="6"/>
  <c r="F50" i="6"/>
  <c r="J50" i="6"/>
  <c r="G50" i="6"/>
  <c r="B52" i="6" l="1"/>
  <c r="F51" i="6"/>
  <c r="H51" i="6"/>
  <c r="J51" i="6"/>
  <c r="G51" i="6"/>
  <c r="F52" i="6" l="1"/>
  <c r="G52" i="6"/>
  <c r="J52" i="6"/>
  <c r="H52" i="6"/>
  <c r="B53" i="6"/>
  <c r="F53" i="6" l="1"/>
  <c r="J53" i="6"/>
  <c r="H53" i="6"/>
  <c r="G53" i="6"/>
  <c r="B54" i="6"/>
  <c r="F54" i="6" l="1"/>
  <c r="H54" i="6"/>
  <c r="G54" i="6"/>
  <c r="J54" i="6"/>
  <c r="B55" i="6"/>
  <c r="B56" i="6" l="1"/>
  <c r="G55" i="6"/>
  <c r="F55" i="6"/>
  <c r="H55" i="6"/>
  <c r="J55" i="6"/>
  <c r="J56" i="6" l="1"/>
  <c r="H56" i="6"/>
  <c r="F56" i="6"/>
  <c r="G56" i="6"/>
  <c r="B57" i="6"/>
  <c r="H57" i="6" l="1"/>
  <c r="J57" i="6"/>
  <c r="F57" i="6"/>
  <c r="G57" i="6"/>
  <c r="B58" i="6"/>
  <c r="H58" i="6" l="1"/>
  <c r="J58" i="6"/>
  <c r="F58" i="6"/>
  <c r="G58" i="6"/>
  <c r="B59" i="6"/>
  <c r="H59" i="6" l="1"/>
  <c r="J59" i="6"/>
  <c r="F59" i="6"/>
  <c r="G59" i="6"/>
  <c r="B60" i="6"/>
  <c r="G60" i="6" l="1"/>
  <c r="F60" i="6"/>
  <c r="H60" i="6"/>
  <c r="J60" i="6"/>
  <c r="B61" i="6"/>
  <c r="B62" i="6" l="1"/>
  <c r="J61" i="6"/>
  <c r="G61" i="6"/>
  <c r="F61" i="6"/>
  <c r="H61" i="6"/>
  <c r="B63" i="6" l="1"/>
  <c r="J62" i="6"/>
  <c r="G62" i="6"/>
  <c r="F62" i="6"/>
  <c r="H62" i="6"/>
  <c r="F63" i="6" l="1"/>
  <c r="H63" i="6"/>
  <c r="J63" i="6"/>
  <c r="G63" i="6"/>
  <c r="B64" i="6"/>
  <c r="B65" i="6" l="1"/>
  <c r="F64" i="6"/>
  <c r="G64" i="6"/>
  <c r="J64" i="6"/>
  <c r="H64" i="6"/>
  <c r="G65" i="6" l="1"/>
  <c r="F65" i="6"/>
  <c r="H65" i="6"/>
  <c r="J65" i="6"/>
  <c r="B66" i="6"/>
  <c r="F66" i="6" l="1"/>
  <c r="J66" i="6"/>
  <c r="G66" i="6"/>
  <c r="H66" i="6"/>
  <c r="B67" i="6"/>
  <c r="G67" i="6" l="1"/>
  <c r="H67" i="6"/>
  <c r="J67" i="6"/>
  <c r="F67" i="6"/>
  <c r="B68" i="6"/>
  <c r="B69" i="6" l="1"/>
  <c r="J68" i="6"/>
  <c r="H68" i="6"/>
  <c r="F68" i="6"/>
  <c r="G68" i="6"/>
  <c r="J69" i="6" l="1"/>
  <c r="G69" i="6"/>
  <c r="F69" i="6"/>
  <c r="H69" i="6"/>
  <c r="B70" i="6"/>
  <c r="B71" i="6" l="1"/>
  <c r="G70" i="6"/>
  <c r="J70" i="6"/>
  <c r="F70" i="6"/>
  <c r="H70" i="6"/>
  <c r="F71" i="6" l="1"/>
  <c r="G71" i="6"/>
  <c r="J71" i="6"/>
  <c r="H71" i="6"/>
  <c r="B72" i="6"/>
  <c r="B73" i="6" l="1"/>
  <c r="F72" i="6"/>
  <c r="G72" i="6"/>
  <c r="J72" i="6"/>
  <c r="H72" i="6"/>
  <c r="G73" i="6" l="1"/>
  <c r="H73" i="6"/>
  <c r="J73" i="6"/>
  <c r="F73" i="6"/>
  <c r="B74" i="6"/>
  <c r="B75" i="6" l="1"/>
  <c r="G74" i="6"/>
  <c r="H74" i="6"/>
  <c r="J74" i="6"/>
  <c r="F74" i="6"/>
  <c r="F75" i="6" l="1"/>
  <c r="G75" i="6"/>
  <c r="H75" i="6"/>
  <c r="J75" i="6"/>
  <c r="B76" i="6"/>
  <c r="G76" i="6" l="1"/>
  <c r="F76" i="6"/>
  <c r="H76" i="6"/>
  <c r="J76" i="6"/>
  <c r="B77" i="6"/>
  <c r="B78" i="6" l="1"/>
  <c r="J77" i="6"/>
  <c r="G77" i="6"/>
  <c r="F77" i="6"/>
  <c r="H77" i="6"/>
  <c r="B79" i="6" l="1"/>
  <c r="J78" i="6"/>
  <c r="G78" i="6"/>
  <c r="F78" i="6"/>
  <c r="H78" i="6"/>
  <c r="H79" i="6" l="1"/>
  <c r="F79" i="6"/>
  <c r="G79" i="6"/>
  <c r="J79" i="6"/>
  <c r="B80" i="6"/>
  <c r="B81" i="6" l="1"/>
  <c r="F80" i="6"/>
  <c r="G80" i="6"/>
  <c r="J80" i="6"/>
  <c r="H80" i="6"/>
  <c r="B82" i="6" l="1"/>
  <c r="J81" i="6"/>
  <c r="F81" i="6"/>
  <c r="G81" i="6"/>
  <c r="H81" i="6"/>
  <c r="F82" i="6" l="1"/>
  <c r="J82" i="6"/>
  <c r="G82" i="6"/>
  <c r="H82" i="6"/>
  <c r="B83" i="6"/>
  <c r="H83" i="6" l="1"/>
  <c r="J83" i="6"/>
  <c r="G83" i="6"/>
  <c r="F83" i="6"/>
  <c r="B84" i="6"/>
  <c r="B85" i="6" l="1"/>
  <c r="J84" i="6"/>
  <c r="H84" i="6"/>
  <c r="F84" i="6"/>
  <c r="G84" i="6"/>
  <c r="J85" i="6" l="1"/>
  <c r="G85" i="6"/>
  <c r="F85" i="6"/>
  <c r="H85" i="6"/>
  <c r="B86" i="6"/>
  <c r="G86" i="6" l="1"/>
  <c r="H86" i="6"/>
  <c r="J86" i="6"/>
  <c r="F86" i="6"/>
  <c r="B87" i="6"/>
  <c r="G87" i="6" l="1"/>
  <c r="F87" i="6"/>
  <c r="H87" i="6"/>
  <c r="J87" i="6"/>
  <c r="B88" i="6"/>
  <c r="B89" i="6" l="1"/>
  <c r="J88" i="6"/>
  <c r="F88" i="6"/>
  <c r="H88" i="6"/>
  <c r="G88" i="6"/>
  <c r="B90" i="6" l="1"/>
  <c r="J89" i="6"/>
  <c r="F89" i="6"/>
  <c r="G89" i="6"/>
  <c r="H89" i="6"/>
  <c r="H90" i="6" l="1"/>
  <c r="G90" i="6"/>
  <c r="F90" i="6"/>
  <c r="J90" i="6"/>
  <c r="B91" i="6"/>
  <c r="G91" i="6" l="1"/>
  <c r="H91" i="6"/>
  <c r="J91" i="6"/>
  <c r="F91" i="6"/>
  <c r="B92" i="6"/>
  <c r="B93" i="6" l="1"/>
  <c r="J92" i="6"/>
  <c r="F92" i="6"/>
  <c r="H92" i="6"/>
  <c r="G92" i="6"/>
  <c r="B94" i="6" l="1"/>
  <c r="J93" i="6"/>
  <c r="F93" i="6"/>
  <c r="G93" i="6"/>
  <c r="H93" i="6"/>
  <c r="B95" i="6" l="1"/>
  <c r="J94" i="6"/>
  <c r="F94" i="6"/>
  <c r="G94" i="6"/>
  <c r="H94" i="6"/>
  <c r="J95" i="6" l="1"/>
  <c r="F95" i="6"/>
  <c r="H95" i="6"/>
  <c r="G95" i="6"/>
  <c r="B96" i="6"/>
  <c r="F96" i="6" l="1"/>
  <c r="J96" i="6"/>
  <c r="H96" i="6"/>
  <c r="G96" i="6"/>
  <c r="B97" i="6"/>
  <c r="J97" i="6" l="1"/>
  <c r="G97" i="6"/>
  <c r="F97" i="6"/>
  <c r="H97" i="6"/>
  <c r="B98" i="6"/>
  <c r="B99" i="6" l="1"/>
  <c r="F98" i="6"/>
  <c r="G98" i="6"/>
  <c r="H98" i="6"/>
  <c r="J98" i="6"/>
  <c r="F99" i="6" l="1"/>
  <c r="G99" i="6"/>
  <c r="H99" i="6"/>
  <c r="J99" i="6"/>
  <c r="B100" i="6"/>
  <c r="B101" i="6" l="1"/>
  <c r="J100" i="6"/>
  <c r="F100" i="6"/>
  <c r="G100" i="6"/>
  <c r="H100" i="6"/>
  <c r="F101" i="6" l="1"/>
  <c r="H101" i="6"/>
  <c r="G101" i="6"/>
  <c r="J101" i="6"/>
  <c r="B102" i="6"/>
  <c r="B103" i="6" l="1"/>
  <c r="H102" i="6"/>
  <c r="G102" i="6"/>
  <c r="F102" i="6"/>
  <c r="J102" i="6"/>
  <c r="B104" i="6" l="1"/>
  <c r="J103" i="6"/>
  <c r="H103" i="6"/>
  <c r="F103" i="6"/>
  <c r="G103" i="6"/>
  <c r="J104" i="6" l="1"/>
  <c r="H104" i="6"/>
  <c r="F104" i="6"/>
  <c r="G104" i="6"/>
  <c r="B105" i="6"/>
  <c r="J105" i="6" l="1"/>
  <c r="F105" i="6"/>
  <c r="H105" i="6"/>
  <c r="G105" i="6"/>
  <c r="B106" i="6"/>
  <c r="B107" i="6" l="1"/>
  <c r="F106" i="6"/>
  <c r="J106" i="6"/>
  <c r="G106" i="6"/>
  <c r="H106" i="6"/>
  <c r="B108" i="6" l="1"/>
  <c r="F107" i="6"/>
  <c r="G107" i="6"/>
  <c r="H107" i="6"/>
  <c r="J107" i="6"/>
  <c r="B109" i="6" l="1"/>
  <c r="J108" i="6"/>
  <c r="H108" i="6"/>
  <c r="G108" i="6"/>
  <c r="F108" i="6"/>
  <c r="B110" i="6" l="1"/>
  <c r="H109" i="6"/>
  <c r="J109" i="6"/>
  <c r="F109" i="6"/>
  <c r="G109" i="6"/>
  <c r="G110" i="6" l="1"/>
  <c r="H110" i="6"/>
  <c r="J110" i="6"/>
  <c r="F110" i="6"/>
  <c r="B111" i="6"/>
  <c r="B112" i="6" l="1"/>
  <c r="G111" i="6"/>
  <c r="J111" i="6"/>
  <c r="H111" i="6"/>
  <c r="F111" i="6"/>
  <c r="F112" i="6" l="1"/>
  <c r="H112" i="6"/>
  <c r="J112" i="6"/>
  <c r="G112" i="6"/>
  <c r="B113" i="6"/>
  <c r="H113" i="6" l="1"/>
  <c r="F113" i="6"/>
  <c r="G113" i="6"/>
  <c r="J113" i="6"/>
  <c r="B114" i="6"/>
  <c r="H114" i="6" l="1"/>
  <c r="G114" i="6"/>
  <c r="F114" i="6"/>
  <c r="J114" i="6"/>
  <c r="B115" i="6"/>
  <c r="H115" i="6" l="1"/>
  <c r="J115" i="6"/>
  <c r="G115" i="6"/>
  <c r="F115" i="6"/>
  <c r="B116" i="6"/>
  <c r="J116" i="6" l="1"/>
  <c r="G116" i="6"/>
  <c r="F116" i="6"/>
  <c r="H116" i="6"/>
  <c r="B117" i="6"/>
  <c r="J117" i="6" l="1"/>
  <c r="F117" i="6"/>
  <c r="H117" i="6"/>
  <c r="G117" i="6"/>
  <c r="B118" i="6"/>
  <c r="G118" i="6" l="1"/>
  <c r="H118" i="6"/>
  <c r="F118" i="6"/>
  <c r="J118" i="6"/>
  <c r="B119" i="6"/>
  <c r="B120" i="6" l="1"/>
  <c r="J119" i="6"/>
  <c r="G119" i="6"/>
  <c r="H119" i="6"/>
  <c r="F119" i="6"/>
  <c r="J120" i="6" l="1"/>
  <c r="F120" i="6"/>
  <c r="H120" i="6"/>
  <c r="G120" i="6"/>
  <c r="B121" i="6"/>
  <c r="B122" i="6" l="1"/>
  <c r="J121" i="6"/>
  <c r="G121" i="6"/>
  <c r="H121" i="6"/>
  <c r="F121" i="6"/>
  <c r="B123" i="6" l="1"/>
  <c r="F122" i="6"/>
  <c r="H122" i="6"/>
  <c r="G122" i="6"/>
  <c r="J122" i="6"/>
  <c r="B124" i="6" l="1"/>
  <c r="J123" i="6"/>
  <c r="F123" i="6"/>
  <c r="G123" i="6"/>
  <c r="H123" i="6"/>
  <c r="B125" i="6" l="1"/>
  <c r="J124" i="6"/>
  <c r="H124" i="6"/>
  <c r="G124" i="6"/>
  <c r="F124" i="6"/>
  <c r="G125" i="6" l="1"/>
  <c r="H125" i="6"/>
  <c r="J125" i="6"/>
  <c r="F125" i="6"/>
  <c r="B126" i="6"/>
  <c r="B127" i="6" l="1"/>
  <c r="J126" i="6"/>
  <c r="F126" i="6"/>
  <c r="G126" i="6"/>
  <c r="H126" i="6"/>
  <c r="F127" i="6" l="1"/>
  <c r="G127" i="6"/>
  <c r="H127" i="6"/>
  <c r="J127" i="6"/>
  <c r="B128" i="6"/>
  <c r="F128" i="6" l="1"/>
  <c r="H128" i="6"/>
  <c r="G128" i="6"/>
  <c r="J128" i="6"/>
  <c r="B129" i="6"/>
  <c r="J129" i="6" l="1"/>
  <c r="H129" i="6"/>
  <c r="F129" i="6"/>
  <c r="G129" i="6"/>
  <c r="B130" i="6"/>
  <c r="F130" i="6" l="1"/>
  <c r="H130" i="6"/>
  <c r="G130" i="6"/>
  <c r="J130" i="6"/>
  <c r="B131" i="6"/>
  <c r="F131" i="6" l="1"/>
  <c r="H131" i="6"/>
  <c r="G131" i="6"/>
  <c r="J131" i="6"/>
  <c r="B132" i="6"/>
  <c r="J132" i="6" l="1"/>
  <c r="F132" i="6"/>
  <c r="G132" i="6"/>
  <c r="H132" i="6"/>
  <c r="B133" i="6"/>
  <c r="G133" i="6" l="1"/>
  <c r="H133" i="6"/>
  <c r="J133" i="6"/>
  <c r="F133" i="6"/>
  <c r="B134" i="6"/>
  <c r="B135" i="6" l="1"/>
  <c r="H134" i="6"/>
  <c r="G134" i="6"/>
  <c r="J134" i="6"/>
  <c r="F134" i="6"/>
  <c r="B136" i="6" l="1"/>
  <c r="J135" i="6"/>
  <c r="G135" i="6"/>
  <c r="H135" i="6"/>
  <c r="F135" i="6"/>
  <c r="H136" i="6" l="1"/>
  <c r="F136" i="6"/>
  <c r="G136" i="6"/>
  <c r="J136" i="6"/>
  <c r="B137" i="6"/>
  <c r="F137" i="6" l="1"/>
  <c r="H137" i="6"/>
  <c r="J137" i="6"/>
  <c r="G137" i="6"/>
  <c r="B138" i="6"/>
  <c r="F138" i="6" l="1"/>
  <c r="G138" i="6"/>
  <c r="J138" i="6"/>
  <c r="H138" i="6"/>
  <c r="B139" i="6"/>
  <c r="B140" i="6" l="1"/>
  <c r="H139" i="6"/>
  <c r="J139" i="6"/>
  <c r="F139" i="6"/>
  <c r="G139" i="6"/>
  <c r="B141" i="6" l="1"/>
  <c r="J140" i="6"/>
  <c r="H140" i="6"/>
  <c r="G140" i="6"/>
  <c r="F140" i="6"/>
  <c r="B143" i="6" l="1"/>
  <c r="B142" i="6"/>
  <c r="F141" i="6"/>
  <c r="G141" i="6"/>
  <c r="H141" i="6"/>
  <c r="J141" i="6"/>
  <c r="G142" i="6" l="1"/>
  <c r="H142" i="6"/>
  <c r="J142" i="6"/>
  <c r="F142" i="6"/>
  <c r="J143" i="6"/>
  <c r="F143" i="6"/>
  <c r="G143" i="6"/>
  <c r="H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<sst xmlns="http://schemas.openxmlformats.org/spreadsheetml/2006/main" count="2574" uniqueCount="954">
  <si>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</si>
  <si>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</si>
  <si>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</si>
  <si>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</si>
  <si>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</si>
  <si>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</si>
  <si>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</si>
  <si>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</si>
  <si>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</si>
  <si>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</si>
  <si>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</si>
  <si>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</si>
  <si>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</si>
  <si>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</si>
  <si>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</si>
  <si>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</si>
  <si>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</si>
  <si>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</si>
  <si>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</si>
  <si>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</si>
  <si>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</si>
  <si>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</si>
  <si>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</si>
  <si>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</si>
  <si>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</si>
  <si>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</si>
  <si>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</si>
  <si>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</si>
  <si>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</si>
  <si>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</si>
  <si>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</si>
  <si>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</si>
  <si>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</si>
  <si>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</si>
  <si>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</si>
  <si>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</si>
  <si>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</si>
  <si>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</si>
  <si>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</si>
  <si>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</si>
  <si>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</si>
  <si>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</si>
  <si>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</si>
  <si>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</si>
  <si>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</si>
  <si>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</si>
  <si>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</si>
  <si>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</si>
  <si>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</si>
  <si>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</si>
  <si>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</si>
  <si>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</si>
  <si>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</si>
  <si>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</si>
  <si>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</si>
  <si>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</si>
  <si>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</si>
  <si>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</si>
  <si>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</si>
  <si>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</si>
  <si>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</si>
  <si>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</si>
  <si>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</si>
  <si>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</si>
  <si>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</si>
  <si>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</si>
  <si>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</si>
  <si>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</si>
  <si>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</si>
  <si>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</si>
  <si>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</si>
  <si>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</si>
  <si>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</si>
  <si>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</si>
  <si>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</si>
  <si>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</si>
  <si>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</si>
  <si>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</si>
  <si>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</si>
  <si>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</si>
  <si>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</si>
  <si>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</si>
  <si>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</si>
  <si>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</si>
  <si>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</si>
  <si>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</si>
  <si>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</si>
  <si>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</si>
  <si>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</si>
  <si>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</si>
  <si>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</si>
  <si>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</si>
  <si>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</si>
  <si>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</si>
  <si>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</si>
  <si>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</si>
  <si>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</si>
  <si>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</si>
  <si>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</si>
  <si>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</si>
  <si>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</si>
  <si>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</si>
  <si>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</si>
  <si>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</si>
  <si>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</si>
  <si>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</si>
  <si>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</si>
  <si>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</si>
  <si>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</si>
  <si>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</si>
  <si>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</si>
  <si>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</si>
  <si>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</si>
  <si>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</si>
  <si>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</si>
  <si>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</si>
  <si>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</si>
  <si>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</si>
  <si>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</si>
  <si>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</si>
  <si>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</si>
  <si>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</si>
  <si>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</si>
  <si>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</si>
  <si>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</si>
  <si>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</si>
  <si>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</si>
  <si>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</si>
  <si>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</si>
  <si>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</si>
  <si>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</si>
  <si>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</si>
  <si>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</si>
  <si>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</si>
  <si>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</si>
  <si>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</si>
  <si>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</si>
  <si>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</si>
  <si>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</si>
  <si>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</si>
  <si>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</si>
  <si>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</si>
  <si>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</si>
  <si>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</si>
  <si>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</si>
  <si>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</si>
  <si>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</si>
  <si>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</si>
  <si>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</si>
  <si>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</si>
  <si>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</si>
  <si>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</si>
  <si>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</si>
  <si>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</si>
  <si>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</si>
  <si>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</si>
  <si>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</si>
  <si>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</si>
  <si>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</si>
  <si>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</si>
  <si>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</si>
  <si>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</si>
  <si>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</si>
  <si>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</si>
  <si>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</si>
  <si>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</si>
  <si>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</si>
  <si>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</si>
  <si>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</si>
  <si>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</si>
  <si>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</si>
  <si>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</si>
  <si>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</si>
  <si>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</si>
  <si>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</si>
  <si>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</si>
  <si>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</si>
  <si>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</si>
  <si>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</si>
  <si>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</si>
  <si>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</si>
  <si>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</si>
  <si>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</si>
  <si>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</si>
  <si>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</si>
  <si>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</si>
  <si>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</si>
  <si>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</si>
  <si>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</si>
  <si>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</si>
  <si>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</si>
  <si>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</si>
  <si>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</si>
  <si>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</si>
  <si>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</si>
  <si>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</si>
  <si>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</si>
  <si>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</si>
  <si>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</si>
  <si>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</si>
  <si>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</si>
  <si>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</si>
  <si>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</si>
  <si>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</si>
  <si>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</si>
  <si>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</si>
  <si>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</si>
  <si>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</si>
  <si>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</si>
  <si>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</si>
  <si>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</si>
  <si>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</si>
  <si>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</si>
  <si>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</si>
  <si>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</si>
  <si>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</si>
  <si>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</si>
  <si>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</si>
  <si>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</si>
  <si>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</si>
  <si>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</si>
  <si>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</si>
  <si>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</si>
  <si>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</si>
  <si>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</si>
  <si>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</si>
  <si>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</si>
  <si>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</si>
  <si>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</si>
  <si>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</si>
  <si>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</si>
  <si>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</si>
  <si>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</si>
  <si>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</si>
  <si>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</si>
  <si>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</si>
  <si>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</si>
  <si>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</si>
  <si>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</si>
  <si>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</si>
  <si>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</si>
  <si>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</si>
  <si>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</si>
  <si>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</si>
  <si>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</si>
  <si>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</si>
  <si>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</si>
  <si>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</si>
  <si>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</si>
  <si>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</si>
  <si>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</si>
  <si>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</si>
  <si>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</si>
  <si>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</si>
  <si>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</si>
  <si>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OUN</t>
  </si>
  <si>
    <t>ZACK</t>
  </si>
  <si>
    <t>302-19</t>
  </si>
  <si>
    <t>204:152</t>
  </si>
  <si>
    <t>204:158</t>
  </si>
  <si>
    <t>204:141</t>
  </si>
  <si>
    <t>204:232971</t>
  </si>
  <si>
    <t>204:156</t>
  </si>
  <si>
    <t>204:232989</t>
  </si>
  <si>
    <t>rtdc.l.rtdc.4030:itc</t>
  </si>
  <si>
    <t>204:233000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</si>
  <si>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</si>
  <si>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</si>
  <si>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</si>
  <si>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</si>
  <si>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rtdc.l.rtdc.4007:itc</t>
  </si>
  <si>
    <t>rtdc.l.rtdc.4031:itc</t>
  </si>
  <si>
    <t>204:232983</t>
  </si>
  <si>
    <t>204:233298</t>
  </si>
  <si>
    <t>204:446</t>
  </si>
  <si>
    <t>rtdc.l.rtdc.4032:itc</t>
  </si>
  <si>
    <t>300:58613</t>
  </si>
  <si>
    <t>PERMANENT SPEED RESTRICTION</t>
  </si>
  <si>
    <t>Speed (6)</t>
  </si>
  <si>
    <t>Y</t>
  </si>
  <si>
    <t>DUNCAN</t>
  </si>
  <si>
    <t>SHEILA</t>
  </si>
  <si>
    <t>precipType</t>
  </si>
  <si>
    <t>204:469</t>
  </si>
  <si>
    <t>rtdc.l.rtdc.4001:itc</t>
  </si>
  <si>
    <t>204:232987</t>
  </si>
  <si>
    <t>204:233301</t>
  </si>
  <si>
    <t>204:232993</t>
  </si>
  <si>
    <t>204:233299</t>
  </si>
  <si>
    <t>204:233006</t>
  </si>
  <si>
    <t>rtdc.l.rtdc.4019:itc</t>
  </si>
  <si>
    <t>rtdc.l.rtdc.4020:itc</t>
  </si>
  <si>
    <t>204:233293</t>
  </si>
  <si>
    <t>204:232969</t>
  </si>
  <si>
    <t>204:232994</t>
  </si>
  <si>
    <t>204:232984</t>
  </si>
  <si>
    <t>204:438</t>
  </si>
  <si>
    <t>rtdc.l.rtdc.4026:itc</t>
  </si>
  <si>
    <t>Partly Cloudy</t>
  </si>
  <si>
    <t>partly-cloudy-day</t>
  </si>
  <si>
    <t>204:138</t>
  </si>
  <si>
    <t>204:233317</t>
  </si>
  <si>
    <t>204:233304</t>
  </si>
  <si>
    <t>204:170</t>
  </si>
  <si>
    <t>204:161</t>
  </si>
  <si>
    <t>204:233306</t>
  </si>
  <si>
    <t>204:163</t>
  </si>
  <si>
    <t>204:232980</t>
  </si>
  <si>
    <t>204:154</t>
  </si>
  <si>
    <t>204:232996</t>
  </si>
  <si>
    <t>204:477</t>
  </si>
  <si>
    <t>204:233281</t>
  </si>
  <si>
    <t>Onboard in-route failure</t>
  </si>
  <si>
    <t>Early arrival</t>
  </si>
  <si>
    <t>STARKS</t>
  </si>
  <si>
    <t>ANGELINA</t>
  </si>
  <si>
    <t>BONDS</t>
  </si>
  <si>
    <t>REYNALDO</t>
  </si>
  <si>
    <t>YANG</t>
  </si>
  <si>
    <t>JAN</t>
  </si>
  <si>
    <t>CLARK</t>
  </si>
  <si>
    <t>KATHLEEN</t>
  </si>
  <si>
    <t>COMELLA</t>
  </si>
  <si>
    <t>JUSTIN</t>
  </si>
  <si>
    <t>204:233297</t>
  </si>
  <si>
    <t>204:233300</t>
  </si>
  <si>
    <t>204:233315</t>
  </si>
  <si>
    <t>204:233312</t>
  </si>
  <si>
    <t>204:232975</t>
  </si>
  <si>
    <t>204:233278</t>
  </si>
  <si>
    <t>204:442</t>
  </si>
  <si>
    <t>204:458</t>
  </si>
  <si>
    <t>204:232961</t>
  </si>
  <si>
    <t>204:167</t>
  </si>
  <si>
    <t>204:232998</t>
  </si>
  <si>
    <t>204:232991</t>
  </si>
  <si>
    <t>300:58956</t>
  </si>
  <si>
    <t>rtdc.l.rtdc.4018:itc</t>
  </si>
  <si>
    <t>rtdc.l.rtdc.4017:itc</t>
  </si>
  <si>
    <t>rtdc.l.rtdc.4008:itc</t>
  </si>
  <si>
    <t>LOZA</t>
  </si>
  <si>
    <t>FIDEL</t>
  </si>
  <si>
    <t>rtdc.l.rtdc.4025:itc</t>
  </si>
  <si>
    <t>HILLS</t>
  </si>
  <si>
    <t>DUSTIN</t>
  </si>
  <si>
    <t>DE LA ROSA</t>
  </si>
  <si>
    <t>ALEX</t>
  </si>
  <si>
    <t>NELSON</t>
  </si>
  <si>
    <t>ARIANE</t>
  </si>
  <si>
    <t>ISHMAEL</t>
  </si>
  <si>
    <t>JOSEPH</t>
  </si>
  <si>
    <t>204:232979</t>
  </si>
  <si>
    <t>204:233310</t>
  </si>
  <si>
    <t>204:232981</t>
  </si>
  <si>
    <t>204:129</t>
  </si>
  <si>
    <t>204:233305</t>
  </si>
  <si>
    <t>204:460</t>
  </si>
  <si>
    <t>204:233291</t>
  </si>
  <si>
    <t>204:233336</t>
  </si>
  <si>
    <t>300:58626</t>
  </si>
  <si>
    <t>300:58967</t>
  </si>
  <si>
    <t>300:58933</t>
  </si>
  <si>
    <t>204:678</t>
  </si>
  <si>
    <t>SYS :2017/01/10 12:42:02.892:ENFORCEMENT:Reactive Enforcement Action:  Target Number: 0001001E  Target Speed:  15.0  Current Speed:  20.3</t>
  </si>
  <si>
    <t>SYS :2017/01/10 12:42:03.025:ENFORCEMENT:Reactive Enforcement Action:  Target Number: 0001001E  Target Speed:  15.0  Current Speed:  20.3</t>
  </si>
  <si>
    <t>SYS :2017/01/10 12:42:03.746:ENFORCEMENT:Reactive Enforcement Action:  Target Number: 0001001E  Target Speed:  15.0  Current Speed:  20.3</t>
  </si>
  <si>
    <t>SYS :2017/01/10 13:01:51.871:ENFORCEMENT:Predictive Enforcement Action:  Target Number: 000101C3  Target Speed:  15.0  Current Speed:  32.3</t>
  </si>
  <si>
    <t>SYS :2017/01/10 13:01:52.025:ENFORCEMENT:Predictive Enforcement Action:  Target Number: 000101C5  Target Speed:  15.0  Current Speed:  32.1</t>
  </si>
  <si>
    <t>SYS :2017/01/10 13:22:57.748:ENFORCEMENT:Predictive Enforcement Action:  Target Number: 00001004  Target Speed:   0.0  Current Speed:   3.7</t>
  </si>
  <si>
    <t>SYS :2017/01/10 13:22:57.881:ENFORCEMENT:Predictive Enforcement Action:  Target Number: 00001004  Target Speed:   0.0  Current Speed:   3.7</t>
  </si>
  <si>
    <t>SYS :2017/01/10 13:22:58.000:ENFORCEMENT:Predictive Enforcement Action:  Target Number: 00001004  Target Speed:   0.0  Current Speed:   3.5</t>
  </si>
  <si>
    <t>SYS :2017/01/10 14:25:55.803:ENFORCEMENT:Predictive Enforcement Action:  Target Number: 00017068  Target Speed:   0.0  Current Speed:  40.3</t>
  </si>
  <si>
    <t>SYS :2017/01/10 14:25:56.997:ENFORCEMENT:Predictive Enforcement Action:  Target Number: 00017068  Target Speed:   0.0  Current Speed:  39.0</t>
  </si>
  <si>
    <t>SYS :2017/01/10 15:36:41.509:ENFORCEMENT:Predictive Enforcement Action:  Target Number: 0001706A  Target Speed:  27.0  Current Speed:  34.9</t>
  </si>
  <si>
    <t>SYS :2017/01/10 15:36:43.105:ENFORCEMENT:Predictive Enforcement Action:  Target Number: 00017069  Target Speed:  27.0  Current Speed:  34.7</t>
  </si>
  <si>
    <t>SYS :2017/01/10 15:51:34.491:ENFORCEMENT:Predictive Enforcement Action:  Target Number: 00001010  Target Speed:   0.0  Current Speed:   6.0</t>
  </si>
  <si>
    <t>SYS :2017/01/10 15:51:35.077:ENFORCEMENT:Predictive Enforcement Action:  Target Number: 00001010  Target Speed:   0.0  Current Speed:   6.0</t>
  </si>
  <si>
    <t>SYS :2017/01/10 16:34:31.272:ENFORCEMENT:Predictive Enforcement Action:  Target Number: 00001026  Target Speed:   0.0  Current Speed:   5.3</t>
  </si>
  <si>
    <t>SYS :2017/01/10 16:34:31.282:ENFORCEMENT:Predictive Enforcement Action:  Target Number: 00001024  Target Speed:   0.0  Current Speed:   5.3</t>
  </si>
  <si>
    <t>SYS :2017/01/10 16:34:33.543:ENFORCEMENT:Predictive Enforcement Action:  Target Number: 00001024  Target Speed:   0.0  Current Speed:   4.6</t>
  </si>
  <si>
    <t>SYS :2017/01/10 19:19:23.663:ENFORCEMENT:Reactive Enforcement Action:  Target Number: 000100AD  Target Speed:  60.0  Current Speed:  65.1</t>
  </si>
  <si>
    <t>SYS :2017/01/10 19:19:24.351:ENFORCEMENT:Reactive Enforcement Action:  Target Number: 0001007F  Target Speed:  60.0  Current Speed:  65.1</t>
  </si>
  <si>
    <t>SYS :2017/01/10 19:19:24.519:ENFORCEMENT:Reactive Enforcement Action:  Target Number: 00010035  Target Speed:  60.0  Current Speed:  65.1</t>
  </si>
  <si>
    <t>SYS :2017/01/10 20:37:43.970:ENFORCEMENT:Predictive Enforcement Action:  Target Number: 0000E002  Target Speed:   0.0  Current Speed:  27.5</t>
  </si>
  <si>
    <t>SYS :2017/01/10 20:37:44.491:ENFORCEMENT:Predictive Enforcement Action:  Target Number: 0000E002  Target Speed:   0.0  Current Speed:  27.5</t>
  </si>
  <si>
    <t>SYS :2017/01/10 22:25:56.018:ENFORCEMENT:Predictive Enforcement Action:  Target Number: 0000620A  Target Speed:   0.0  Current Speed:  21.7</t>
  </si>
  <si>
    <t>SYS :2017/01/10 22:25:56.485:ENFORCEMENT:Predictive Enforcement Action:  Target Number: 0000623C  Target Speed:   0.0  Current Speed:  21.7</t>
  </si>
  <si>
    <t>SYS :2017/01/10 22:31:19.461:ENFORCEMENT:Predictive Enforcement Action:  Target Number: 000060B7  Target Speed:   0.0  Current Speed:  15.2</t>
  </si>
  <si>
    <t>SYS :2017/01/10 22:31:19.761:ENFORCEMENT:Predictive Enforcement Action:  Target Number: 000061F0  Target Speed:   0.0  Current Speed:  15.2</t>
  </si>
  <si>
    <t>SYS :2017/01/10 22:31:20.440:ENFORCEMENT:Predictive Enforcement Action:  Target Number: 000061FA  Target Speed:   0.0  Current Speed:  15.0</t>
  </si>
  <si>
    <t>SYS :2017/01/10 22:35:23.684:ENFORCEMENT:Predictive Enforcement Action:  Target Number: 0000101E  Target Speed:   0.0  Current Speed:   2.6</t>
  </si>
  <si>
    <t>SYS :2017/01/10 22:35:23.941:ENFORCEMENT:Predictive Enforcement Action:  Target Number: 0000101E  Target Speed:   0.0  Current Speed:   2.6</t>
  </si>
  <si>
    <t>SYS :2017/01/10 22:35:24.137:ENFORCEMENT:Predictive Enforcement Action:  Target Number: 0000101E  Target Speed:   0.0  Current Speed:   2.6</t>
  </si>
  <si>
    <t>SYS :2017/01/10 22:41:32.473:ENFORCEMENT:Predictive Enforcement Action:  Target Number: 00001012  Target Speed:   0.0  Current Speed:  11.0</t>
  </si>
  <si>
    <t>SYS :2017/01/10 22:45:08.194:ENFORCEMENT:Predictive Enforcement Action:  Target Number: 00006254  Target Speed:   0.0  Current Speed:   3.0</t>
  </si>
  <si>
    <t>SYS :2017/01/10 22:45:08.221:ENFORCEMENT:Predictive Enforcement Action:  Target Number: 00006253  Target Speed:   0.0  Current Speed:   3.0</t>
  </si>
  <si>
    <t>SYS :2017/01/10 22:45:08.445:ENFORCEMENT:Predictive Enforcement Action:  Target Number: 00006251  Target Speed:   0.0  Current Speed:   3.2</t>
  </si>
  <si>
    <t>SYS :2017/01/10 23:08:05.992:ENFORCEMENT:Reactive Enforcement Action:  Target Number: 000063CA  Target Speed:  20.0  Current Speed:  26.5</t>
  </si>
  <si>
    <t>SYS :2017/01/10 23:08:06.030:ENFORCEMENT:Reactive Enforcement Action:  Target Number: 000063AA  Target Speed:  20.0  Current Speed:  26.5</t>
  </si>
  <si>
    <t>SYS :2017/01/10 23:08:06.400:ENFORCEMENT:Reactive Enforcement Action:  Target Number: 0000639E  Target Speed:  20.0  Current Speed:  26.5</t>
  </si>
  <si>
    <t>SYS :2017/01/10 23:10:35.217:ENFORCEMENT:Predictive Enforcement Action:  Target Number: 0000E004  Target Speed:   0.0  Current Speed:   4.0</t>
  </si>
  <si>
    <t>SYS :2017/01/10 23:10:35.347:ENFORCEMENT:Predictive Enforcement Action:  Target Number: 0000E004  Target Speed:   0.0  Current Speed:   3.9</t>
  </si>
  <si>
    <t>SYS :2017/01/10 23:14:08.211:ENFORCEMENT:Predictive Enforcement Action:  Target Number: 00006246  Target Speed:   0.0  Current Speed:   6.9</t>
  </si>
  <si>
    <t>SYS :2017/01/10 23:14:08.348:ENFORCEMENT:Predictive Enforcement Action:  Target Number: 00006212  Target Speed:   0.0  Current Speed:   6.9</t>
  </si>
  <si>
    <t>SYS :2017/01/10 23:17:36.333:ENFORCEMENT:Predictive Enforcement Action:  Target Number: 000061EF  Target Speed:   0.0  Current Speed:   8.6</t>
  </si>
  <si>
    <t>SYS :2017/01/10 23:17:36.357:ENFORCEMENT:Predictive Enforcement Action:  Target Number: 00006057  Target Speed:   0.0  Current Speed:   8.6</t>
  </si>
  <si>
    <t>SYS :2017/01/10 23:17:36.518:ENFORCEMENT:Predictive Enforcement Action:  Target Number: 00006133  Target Speed:   0.0  Current Speed:   8.6</t>
  </si>
  <si>
    <t>SYS :2017/01/10 23:20:08.334:ENFORCEMENT:Predictive Enforcement Action:  Target Number: 000061F1  Target Speed:   0.0  Current Speed:   4.0</t>
  </si>
  <si>
    <t>SYS :2017/01/10 23:20:08.351:ENFORCEMENT:Predictive Enforcement Action:  Target Number: 00006059  Target Speed:   0.0  Current Speed:   5.5</t>
  </si>
  <si>
    <t>SYS :2017/01/10 23:20:08.512:ENFORCEMENT:Predictive Enforcement Action:  Target Number: 00006135  Target Speed:   0.0  Current Speed:   4.0</t>
  </si>
  <si>
    <t>SYS :2017/01/10 23:25:00.948:ENFORCEMENT:Predictive Enforcement Action:  Target Number: 00001021  Target Speed:   0.0  Current Speed:  15.8</t>
  </si>
  <si>
    <t>SYS :2017/01/10 23:25:01.146:ENFORCEMENT:Predictive Enforcement Action:  Target Number: 00001021  Target Speed:   0.0  Current Speed:  15.8</t>
  </si>
  <si>
    <t>SYS :2017/01/10 23:25:50.682:ENFORCEMENT:Predictive Enforcement Action:  Target Number: 00001021  Target Speed:   0.0  Current Speed:   6.5</t>
  </si>
  <si>
    <t>SYS :2017/01/10 23:25:50.945:ENFORCEMENT:Predictive Enforcement Action:  Target Number: 00001021  Target Speed:   0.0  Current Speed:   6.4</t>
  </si>
  <si>
    <t>SYS :2017/01/10 23:25:51.145:ENFORCEMENT:Predictive Enforcement Action:  Target Number: 00001021  Target Speed:   0.0  Current Speed:   6.4</t>
  </si>
  <si>
    <t>SYS :2017/01/10 23:26:27.332:ENFORCEMENT:Predictive Enforcement Action:  Target Number: 000061F3  Target Speed:   0.0  Current Speed:  10.1</t>
  </si>
  <si>
    <t>SYS :2017/01/10 23:26:27.339:ENFORCEMENT:Predictive Enforcement Action:  Target Number: 0000605B  Target Speed:   0.0  Current Speed:  10.1</t>
  </si>
  <si>
    <t>SYS :2017/01/10 23:26:27.503:ENFORCEMENT:Predictive Enforcement Action:  Target Number: 00006137  Target Speed:   0.0  Current Speed:  10.1</t>
  </si>
  <si>
    <t>SYS :2017/01/10 23:32:17.975:ENFORCEMENT:Predictive Enforcement Action:  Target Number: 0000101C  Target Speed:   0.0  Current Speed:   7.1</t>
  </si>
  <si>
    <t>SYS :2017/01/10 23:32:18.006:ENFORCEMENT:Predictive Enforcement Action:  Target Number: 0000101C  Target Speed:   0.0  Current Speed:   7.1</t>
  </si>
  <si>
    <t>SYS :2017/01/11 00:05:56.877:ENFORCEMENT:Predictive Enforcement Action:  Target Number: 00001025  Target Speed:   0.0  Current Speed:   7.1</t>
  </si>
  <si>
    <t>SYS :2017/01/11 00:05:57.021:ENFORCEMENT:Predictive Enforcement Action:  Target Number: 00001025  Target Speed:   0.0  Current Speed:   7.1</t>
  </si>
  <si>
    <t>SYS :2017/01/11 00:05:57.196:ENFORCEMENT:Predictive Enforcement Action:  Target Number: 00001026  Target Speed:   0.0  Current Speed:   6.9</t>
  </si>
  <si>
    <t>SYS :2017/01/11 00:06:29.023:ENFORCEMENT:Predictive Enforcement Action:  Target Number: 00001025  Target Speed:   0.0  Current Speed:   4.5</t>
  </si>
  <si>
    <t>SYS :2017/01/11 00:06:32.195:ENFORCEMENT:Predictive Enforcement Action:  Target Number: 00001026  Target Speed:   0.0  Current Speed:   4.1</t>
  </si>
  <si>
    <t>SYS :2017/01/11 00:06:32.867:ENFORCEMENT:Predictive Enforcement Action:  Target Number: 00001025  Target Speed:   0.0  Current Speed:   4.4</t>
  </si>
  <si>
    <t>SYS :2017/01/11 00:20:13.689:ENFORCEMENT:Predictive Enforcement Action:  Target Number: 00017082  Target Speed:   9.0  Current Speed:  21.6</t>
  </si>
  <si>
    <t>SYS :2017/01/11 00:20:13.948:ENFORCEMENT:Predictive Enforcement Action:  Target Number: 0000A007  Target Speed:  10.0  Current Speed:  21.6</t>
  </si>
  <si>
    <t>SYS :2017/01/11 00:20:13.960:ENFORCEMENT:Predictive Enforcement Action:  Target Number: 00017082  Target Speed:   9.0  Current Speed:  21.6</t>
  </si>
  <si>
    <t>SYS :2017/01/11 00:20:14.148:ENFORCEMENT:Predictive Enforcement Action:  Target Number: 0000A007  Target Speed:  10.0  Current Speed:  21.6</t>
  </si>
  <si>
    <t>SYS :2017/01/11 00:20:14.162:ENFORCEMENT:Predictive Enforcement Action:  Target Number: 00017082  Target Speed:   9.0  Current Speed:  21.6</t>
  </si>
  <si>
    <t>SYS :2017/01/11 00:21:17.949:ENFORCEMENT:Reactive Enforcement Action:  Target Number: 0000A007  Target Speed:  10.0  Current Speed:  15.4</t>
  </si>
  <si>
    <t>SYS :2017/01/11 00:21:18.145:ENFORCEMENT:Reactive Enforcement Action:  Target Number: 0000A007  Target Speed:  10.0  Current Speed:  15.4</t>
  </si>
  <si>
    <t>SYS :2017/01/11 00:21:18.688:ENFORCEMENT:Reactive Enforcement Action:  Target Number: 0000A007  Target Speed:  10.0  Current Speed:  15.4</t>
  </si>
  <si>
    <t>SYS :2017/01/11 00:26:27.940:ENFORCEMENT:Predictive Enforcement Action:  Target Number: 00001024  Target Speed:   0.0  Current Speed:   3.9</t>
  </si>
  <si>
    <t>SYS :2017/01/11 00:26:28.145:ENFORCEMENT:Predictive Enforcement Action:  Target Number: 00001024  Target Speed:   0.0  Current Speed:   3.9</t>
  </si>
  <si>
    <t>SYS :2017/01/11 00:26:28.685:ENFORCEMENT:Predictive Enforcement Action:  Target Number: 00001024  Target Speed:   0.0  Current Speed:   3.9</t>
  </si>
  <si>
    <t>SYS :2017/01/11 01:16:46.948:ENFORCEMENT:Reactive Enforcement Action:  Target Number: 00010167  Target Speed:  40.0  Current Speed:  45.8</t>
  </si>
  <si>
    <t>SYS :2017/01/11 01:16:47.153:ENFORCEMENT:Reactive Enforcement Action:  Target Number: 00010167  Target Speed:  40.0  Current Speed:  45.8</t>
  </si>
  <si>
    <t>SYS :2017/01/11 01:16:47.688:ENFORCEMENT:Reactive Enforcement Action:  Target Number: 00010166  Target Speed:  40.0  Current Speed:  45.8</t>
  </si>
  <si>
    <t>SYS :2017/01/11 01:21:32.975:ENFORCEMENT:Predictive Enforcement Action:  Target Number: 0000101E  Target Speed:   0.0  Current Speed:  14.4</t>
  </si>
  <si>
    <t>SYS :2017/01/11 01:21:33.011:ENFORCEMENT:Predictive Enforcement Action:  Target Number: 0000101E  Target Speed:   0.0  Current Speed:  14.4</t>
  </si>
  <si>
    <t>SYS :2017/01/11 01:21:33.389:ENFORCEMENT:Predictive Enforcement Action:  Target Number: 0000101E  Target Speed:   0.0  Current Speed:  14.4</t>
  </si>
  <si>
    <t>SYS :2017/01/11 02:40:36.629:ENFORCEMENT:Predictive Enforcement Action:  Target Number: 0000E002  Target Speed:   0.0  Current Speed:  20.3</t>
  </si>
  <si>
    <t>SYS :2017/01/11 04:35:47.262:ENFORCEMENT:Predictive Enforcement Action:  Target Number: 00001047  Target Speed:   0.0  Current Speed:   2.7</t>
  </si>
  <si>
    <t>SYS :2017/01/11 04:35:47.282:ENFORCEMENT:Predictive Enforcement Action:  Target Number: 00001045  Target Speed:   0.0  Current Speed:   2.7</t>
  </si>
  <si>
    <t>SYS :2017/01/11 04:35:47.542:ENFORCEMENT:Predictive Enforcement Action:  Target Number: 00001043  Target Speed:   0.0  Current Speed:   2.4</t>
  </si>
  <si>
    <t>SYS :2017/01/11 04:54:42.499:ENFORCEMENT:Predictive Enforcement Action:  Target Number: 00001054  Target Speed:   0.0  Current Speed:  13.8</t>
  </si>
  <si>
    <t>SYS :2017/01/11 04:55:41.496:ENFORCEMENT:Predictive Enforcement Action:  Target Number: 00001054  Target Speed:   0.0  Current Speed:   4.0</t>
  </si>
  <si>
    <t>SYS :2017/01/11 06:22:56.159:ENFORCEMENT:Predictive Enforcement Action:  Target Number: 0000E004  Target Speed:   0.0  Current Speed:  38.1</t>
  </si>
  <si>
    <t>SYS :2017/01/11 06:22:56.629:ENFORCEMENT:Predictive Enforcement Action:  Target Number: 0000E004  Target Speed:   0.0  Current Speed:  38.0</t>
  </si>
  <si>
    <t>SYS :2017/01/11 06:22:56.669:ENFORCEMENT:Predictive Enforcement Action:  Target Number: 0000E004  Target Speed:   0.0  Current Speed:  38.0</t>
  </si>
  <si>
    <t>BRUDER</t>
  </si>
  <si>
    <t>RICHARD</t>
  </si>
  <si>
    <t>rtdc.l.rtdc.4046:itc</t>
  </si>
  <si>
    <t>SIMMONS</t>
  </si>
  <si>
    <t>SHYHESHA</t>
  </si>
  <si>
    <t>rtdc.l.rtdc.4045:itc</t>
  </si>
  <si>
    <t>61-11</t>
  </si>
  <si>
    <t>57-11</t>
  </si>
  <si>
    <t>GREGORY</t>
  </si>
  <si>
    <t>62-11</t>
  </si>
  <si>
    <t>58-11</t>
  </si>
  <si>
    <t>302-12</t>
  </si>
  <si>
    <t>precipAccumulation</t>
  </si>
  <si>
    <t>snow</t>
  </si>
  <si>
    <t>Flurries</t>
  </si>
  <si>
    <t>204:750</t>
  </si>
  <si>
    <t>204:233316</t>
  </si>
  <si>
    <t>204:233327</t>
  </si>
  <si>
    <t>204:130</t>
  </si>
  <si>
    <t>204:233307</t>
  </si>
  <si>
    <t>204:488</t>
  </si>
  <si>
    <t>204:232965</t>
  </si>
  <si>
    <t>204:429</t>
  </si>
  <si>
    <t>204:233380</t>
  </si>
  <si>
    <t>204:478</t>
  </si>
  <si>
    <t>204:233331</t>
  </si>
  <si>
    <t>204:233328</t>
  </si>
  <si>
    <t>204:233001</t>
  </si>
  <si>
    <t>204:232967</t>
  </si>
  <si>
    <t>204:232968</t>
  </si>
  <si>
    <t>204:233372</t>
  </si>
  <si>
    <t>204:233055</t>
  </si>
  <si>
    <t>204:134</t>
  </si>
  <si>
    <t>204:233011</t>
  </si>
  <si>
    <t>204:153</t>
  </si>
  <si>
    <t>204:735</t>
  </si>
  <si>
    <t>300:58636</t>
  </si>
  <si>
    <t>204:971</t>
  </si>
  <si>
    <t>300:58943</t>
  </si>
  <si>
    <t>300:58978</t>
  </si>
  <si>
    <t>204:958</t>
  </si>
  <si>
    <t>300:58952</t>
  </si>
  <si>
    <t>300:58638</t>
  </si>
  <si>
    <t>204:685</t>
  </si>
  <si>
    <t>204:969</t>
  </si>
  <si>
    <t>204:692</t>
  </si>
  <si>
    <t>204:687</t>
  </si>
  <si>
    <t>204:668</t>
  </si>
  <si>
    <t>204:943</t>
  </si>
  <si>
    <t>204:972</t>
  </si>
  <si>
    <t>300:58944</t>
  </si>
  <si>
    <t>300:58929</t>
  </si>
  <si>
    <t>204:694</t>
  </si>
  <si>
    <t>204:691</t>
  </si>
  <si>
    <t>GEBRETEKLE</t>
  </si>
  <si>
    <t>DAGNEW</t>
  </si>
  <si>
    <t>JOHN</t>
  </si>
  <si>
    <t>rtdc.l.rtdc.4021:itc</t>
  </si>
  <si>
    <t>Uncaught Wi-MAX GREP</t>
  </si>
  <si>
    <t>304-12</t>
  </si>
  <si>
    <t>313-11</t>
  </si>
  <si>
    <t>103-12</t>
  </si>
  <si>
    <t>UNHEALTHY CROSSING</t>
  </si>
  <si>
    <t>Other (9)</t>
  </si>
  <si>
    <t>306-12</t>
  </si>
  <si>
    <t>308-12</t>
  </si>
  <si>
    <t>104-12</t>
  </si>
  <si>
    <t>113-12</t>
  </si>
  <si>
    <t>124-12</t>
  </si>
  <si>
    <t>153-12</t>
  </si>
  <si>
    <t>rtdc.l.rtdc.4028:itc</t>
  </si>
  <si>
    <t>148-12</t>
  </si>
  <si>
    <t>182-12</t>
  </si>
  <si>
    <t>826-12</t>
  </si>
  <si>
    <t>827-12</t>
  </si>
  <si>
    <t>205-12</t>
  </si>
  <si>
    <t>206-12</t>
  </si>
  <si>
    <t>221-12</t>
  </si>
  <si>
    <t>212-12</t>
  </si>
  <si>
    <t>220-12</t>
  </si>
  <si>
    <t>227-12</t>
  </si>
  <si>
    <t>235-12</t>
  </si>
  <si>
    <t>236-12</t>
  </si>
  <si>
    <t>101-12</t>
  </si>
  <si>
    <t>ROBINSON</t>
  </si>
  <si>
    <t>KADDIBA</t>
  </si>
  <si>
    <t>102-12</t>
  </si>
  <si>
    <t>315-11</t>
  </si>
  <si>
    <t>rtdc.l.rtdc.4027:itc</t>
  </si>
  <si>
    <t>105-12</t>
  </si>
  <si>
    <t>310-12</t>
  </si>
  <si>
    <t>107-12</t>
  </si>
  <si>
    <t>109-12</t>
  </si>
  <si>
    <t>901-12</t>
  </si>
  <si>
    <t>SHOOK</t>
  </si>
  <si>
    <t>111-12</t>
  </si>
  <si>
    <t>YORK</t>
  </si>
  <si>
    <t>EDGAR</t>
  </si>
  <si>
    <t>106-12</t>
  </si>
  <si>
    <t>800-12</t>
  </si>
  <si>
    <t>108-12</t>
  </si>
  <si>
    <t>115-12</t>
  </si>
  <si>
    <t>801-12</t>
  </si>
  <si>
    <t>117-12</t>
  </si>
  <si>
    <t>110-12</t>
  </si>
  <si>
    <t>112-12</t>
  </si>
  <si>
    <t>119-12</t>
  </si>
  <si>
    <t>114-12</t>
  </si>
  <si>
    <t>902-12</t>
  </si>
  <si>
    <t>121-12</t>
  </si>
  <si>
    <t>802-12</t>
  </si>
  <si>
    <t>803-12</t>
  </si>
  <si>
    <t>116-12</t>
  </si>
  <si>
    <t>123-12</t>
  </si>
  <si>
    <t>805-12</t>
  </si>
  <si>
    <t>125-12</t>
  </si>
  <si>
    <t>118-12</t>
  </si>
  <si>
    <t>804-12</t>
  </si>
  <si>
    <t>120-12</t>
  </si>
  <si>
    <t>127-12</t>
  </si>
  <si>
    <t>122-12</t>
  </si>
  <si>
    <t>806-12</t>
  </si>
  <si>
    <t>129-12</t>
  </si>
  <si>
    <t>807-12</t>
  </si>
  <si>
    <t>131-12</t>
  </si>
  <si>
    <t>126-12</t>
  </si>
  <si>
    <t>809-12</t>
  </si>
  <si>
    <t>808-12</t>
  </si>
  <si>
    <t>133-12</t>
  </si>
  <si>
    <t>128-12</t>
  </si>
  <si>
    <t>135-12</t>
  </si>
  <si>
    <t>130-12</t>
  </si>
  <si>
    <t>137-12</t>
  </si>
  <si>
    <t>810-12</t>
  </si>
  <si>
    <t>811-12</t>
  </si>
  <si>
    <t>132-12</t>
  </si>
  <si>
    <t>139-12</t>
  </si>
  <si>
    <t>903-12</t>
  </si>
  <si>
    <t>134-12</t>
  </si>
  <si>
    <t>141-12</t>
  </si>
  <si>
    <t>812-12</t>
  </si>
  <si>
    <t>136-12</t>
  </si>
  <si>
    <t>143-12</t>
  </si>
  <si>
    <t>138-12</t>
  </si>
  <si>
    <t>813-12</t>
  </si>
  <si>
    <t>145-12</t>
  </si>
  <si>
    <t>140-12</t>
  </si>
  <si>
    <t>147-12</t>
  </si>
  <si>
    <t>142-12</t>
  </si>
  <si>
    <t>814-12</t>
  </si>
  <si>
    <t>149-12</t>
  </si>
  <si>
    <t>144-12</t>
  </si>
  <si>
    <t>151-12</t>
  </si>
  <si>
    <t>146-12</t>
  </si>
  <si>
    <t>815-12</t>
  </si>
  <si>
    <t>155-12</t>
  </si>
  <si>
    <t>150-12</t>
  </si>
  <si>
    <t>816-12</t>
  </si>
  <si>
    <t>157-12</t>
  </si>
  <si>
    <t>152-12</t>
  </si>
  <si>
    <t>154-12</t>
  </si>
  <si>
    <t>50-12</t>
  </si>
  <si>
    <t>159-12</t>
  </si>
  <si>
    <t>817-12</t>
  </si>
  <si>
    <t>156-12</t>
  </si>
  <si>
    <t>161-12</t>
  </si>
  <si>
    <t>KILLION</t>
  </si>
  <si>
    <t>DAVID</t>
  </si>
  <si>
    <t>163-12</t>
  </si>
  <si>
    <t>165-12</t>
  </si>
  <si>
    <t>52-12</t>
  </si>
  <si>
    <t>51-12</t>
  </si>
  <si>
    <t>818-12</t>
  </si>
  <si>
    <t>158-12</t>
  </si>
  <si>
    <t>160-12</t>
  </si>
  <si>
    <t>167-12</t>
  </si>
  <si>
    <t>ARVIDSON</t>
  </si>
  <si>
    <t>DANIEL</t>
  </si>
  <si>
    <t>162-12</t>
  </si>
  <si>
    <t>53-12</t>
  </si>
  <si>
    <t>169-12</t>
  </si>
  <si>
    <t>819-12</t>
  </si>
  <si>
    <t>164-12</t>
  </si>
  <si>
    <t>171-12</t>
  </si>
  <si>
    <t>166-12</t>
  </si>
  <si>
    <t>820-12</t>
  </si>
  <si>
    <t>173-12</t>
  </si>
  <si>
    <t>168-12</t>
  </si>
  <si>
    <t>175-12</t>
  </si>
  <si>
    <t>170-12</t>
  </si>
  <si>
    <t>821-12</t>
  </si>
  <si>
    <t>177-12</t>
  </si>
  <si>
    <t>172-12</t>
  </si>
  <si>
    <t>179-12</t>
  </si>
  <si>
    <t>174-12</t>
  </si>
  <si>
    <t>822-12</t>
  </si>
  <si>
    <t>181-12</t>
  </si>
  <si>
    <t>176-12</t>
  </si>
  <si>
    <t>183-12</t>
  </si>
  <si>
    <t>178-12</t>
  </si>
  <si>
    <t>185-12</t>
  </si>
  <si>
    <t>823-12</t>
  </si>
  <si>
    <t>180-12</t>
  </si>
  <si>
    <t>187-12</t>
  </si>
  <si>
    <t>824-12</t>
  </si>
  <si>
    <t>189-12</t>
  </si>
  <si>
    <t>184-12</t>
  </si>
  <si>
    <t>191-12</t>
  </si>
  <si>
    <t>825-12</t>
  </si>
  <si>
    <t>186-12</t>
  </si>
  <si>
    <t>193-12</t>
  </si>
  <si>
    <t>904-12</t>
  </si>
  <si>
    <t>LOPES</t>
  </si>
  <si>
    <t>KIMBERLY</t>
  </si>
  <si>
    <t>188-12</t>
  </si>
  <si>
    <t>195-12</t>
  </si>
  <si>
    <t>190-12</t>
  </si>
  <si>
    <t>197-12</t>
  </si>
  <si>
    <t>192-12</t>
  </si>
  <si>
    <t>199-12</t>
  </si>
  <si>
    <t>194-12</t>
  </si>
  <si>
    <t>828-12</t>
  </si>
  <si>
    <t>201-12</t>
  </si>
  <si>
    <t>829-12</t>
  </si>
  <si>
    <t>196-12</t>
  </si>
  <si>
    <t>203-12</t>
  </si>
  <si>
    <t>198-12</t>
  </si>
  <si>
    <t>830-12</t>
  </si>
  <si>
    <t>200-12</t>
  </si>
  <si>
    <t>831-12</t>
  </si>
  <si>
    <t>207-12</t>
  </si>
  <si>
    <t>202-12</t>
  </si>
  <si>
    <t>832-12</t>
  </si>
  <si>
    <t>833-12</t>
  </si>
  <si>
    <t>54-12</t>
  </si>
  <si>
    <t>209-12</t>
  </si>
  <si>
    <t>204-12</t>
  </si>
  <si>
    <t>75-12</t>
  </si>
  <si>
    <t>211-12</t>
  </si>
  <si>
    <t>835-12</t>
  </si>
  <si>
    <t>834-12</t>
  </si>
  <si>
    <t>208-12</t>
  </si>
  <si>
    <t>213-12</t>
  </si>
  <si>
    <t>76-12</t>
  </si>
  <si>
    <t>CRAYTON</t>
  </si>
  <si>
    <t>QUNTRELL</t>
  </si>
  <si>
    <t>215-12</t>
  </si>
  <si>
    <t>210-12</t>
  </si>
  <si>
    <t>55-12</t>
  </si>
  <si>
    <t>839-12</t>
  </si>
  <si>
    <t>836-12</t>
  </si>
  <si>
    <t>217-12</t>
  </si>
  <si>
    <t>HAITHCOX</t>
  </si>
  <si>
    <t>837-12</t>
  </si>
  <si>
    <t>219-12</t>
  </si>
  <si>
    <t>214-12</t>
  </si>
  <si>
    <t>838-12</t>
  </si>
  <si>
    <t>303-12</t>
  </si>
  <si>
    <t>216-12</t>
  </si>
  <si>
    <t>MACDONALD</t>
  </si>
  <si>
    <t>THOMAS</t>
  </si>
  <si>
    <t>218-12</t>
  </si>
  <si>
    <t>906-12</t>
  </si>
  <si>
    <t>841-12</t>
  </si>
  <si>
    <t>305-12</t>
  </si>
  <si>
    <t>223-12</t>
  </si>
  <si>
    <t>840-12</t>
  </si>
  <si>
    <t>307-12</t>
  </si>
  <si>
    <t>74-12</t>
  </si>
  <si>
    <t>PERKINS</t>
  </si>
  <si>
    <t>DARREN</t>
  </si>
  <si>
    <t>225-12</t>
  </si>
  <si>
    <t>WHITED</t>
  </si>
  <si>
    <t>222-12</t>
  </si>
  <si>
    <t>843-12</t>
  </si>
  <si>
    <t>224-12</t>
  </si>
  <si>
    <t>226-12</t>
  </si>
  <si>
    <t>842-12</t>
  </si>
  <si>
    <t>229-12</t>
  </si>
  <si>
    <t>228-12</t>
  </si>
  <si>
    <t>81-12</t>
  </si>
  <si>
    <t>231-12</t>
  </si>
  <si>
    <t>845-12</t>
  </si>
  <si>
    <t>844-12</t>
  </si>
  <si>
    <t>233-12</t>
  </si>
  <si>
    <t>230-12</t>
  </si>
  <si>
    <t>847-12</t>
  </si>
  <si>
    <t>232-12</t>
  </si>
  <si>
    <t>908-12</t>
  </si>
  <si>
    <t>234-12</t>
  </si>
  <si>
    <t>237-12</t>
  </si>
  <si>
    <t>239-12</t>
  </si>
  <si>
    <t>241-12</t>
  </si>
  <si>
    <t>238-12</t>
  </si>
  <si>
    <t>84-12</t>
  </si>
  <si>
    <t>65-12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</si>
  <si>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</si>
  <si>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</si>
  <si>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</si>
  <si>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</si>
  <si>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</si>
  <si>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</si>
  <si>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</si>
  <si>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</si>
  <si>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</si>
  <si>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</si>
  <si>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Mostly Cloudy</t>
  </si>
  <si>
    <t>rain</t>
  </si>
  <si>
    <t>Light Snow</t>
  </si>
  <si>
    <t>Snow</t>
  </si>
  <si>
    <t>204:232668</t>
  </si>
  <si>
    <t>204:143</t>
  </si>
  <si>
    <t>204:810</t>
  </si>
  <si>
    <t>204:232639</t>
  </si>
  <si>
    <t>204:795</t>
  </si>
  <si>
    <t>204:233385</t>
  </si>
  <si>
    <t>204:232756</t>
  </si>
  <si>
    <t>204:466</t>
  </si>
  <si>
    <t>204:788</t>
  </si>
  <si>
    <t>204:233295</t>
  </si>
  <si>
    <t>204:36987</t>
  </si>
  <si>
    <t>204:64712</t>
  </si>
  <si>
    <t>204:136</t>
  </si>
  <si>
    <t>204:701</t>
  </si>
  <si>
    <t>204:233288</t>
  </si>
  <si>
    <t>204:233323</t>
  </si>
  <si>
    <t>204:724</t>
  </si>
  <si>
    <t>204:233326</t>
  </si>
  <si>
    <t>204:233015</t>
  </si>
  <si>
    <t>204:132</t>
  </si>
  <si>
    <t>204:444</t>
  </si>
  <si>
    <t>204:233302</t>
  </si>
  <si>
    <t>204:491</t>
  </si>
  <si>
    <t>204:233314</t>
  </si>
  <si>
    <t>204:233321</t>
  </si>
  <si>
    <t>204:233010</t>
  </si>
  <si>
    <t>204:233303</t>
  </si>
  <si>
    <t>204:44850</t>
  </si>
  <si>
    <t>204:36787</t>
  </si>
  <si>
    <t>204:233318</t>
  </si>
  <si>
    <t>204:233005</t>
  </si>
  <si>
    <t>204:473</t>
  </si>
  <si>
    <t>204:165</t>
  </si>
  <si>
    <t>204:435</t>
  </si>
  <si>
    <t>204:233276</t>
  </si>
  <si>
    <t>204:232990</t>
  </si>
  <si>
    <t>204:169</t>
  </si>
  <si>
    <t>204:232988</t>
  </si>
  <si>
    <t>204:178</t>
  </si>
  <si>
    <t>204:119</t>
  </si>
  <si>
    <t>204:416</t>
  </si>
  <si>
    <t>204:233021</t>
  </si>
  <si>
    <t>204:471</t>
  </si>
  <si>
    <t>204:440</t>
  </si>
  <si>
    <t>204:893</t>
  </si>
  <si>
    <t>204:36782</t>
  </si>
  <si>
    <t>204:36790</t>
  </si>
  <si>
    <t>204:1167</t>
  </si>
  <si>
    <t>204:233346</t>
  </si>
  <si>
    <t>204:1483</t>
  </si>
  <si>
    <t>204:1904</t>
  </si>
  <si>
    <t>204:19145</t>
  </si>
  <si>
    <t>204:233311</t>
  </si>
  <si>
    <t>204:3415</t>
  </si>
  <si>
    <t>204:6999</t>
  </si>
  <si>
    <t>204:427</t>
  </si>
  <si>
    <t>204:232960</t>
  </si>
  <si>
    <t>204:92</t>
  </si>
  <si>
    <t>204:411</t>
  </si>
  <si>
    <t>204:233083</t>
  </si>
  <si>
    <t>204:233284</t>
  </si>
  <si>
    <t>204:232953</t>
  </si>
  <si>
    <t>204:233274</t>
  </si>
  <si>
    <t>204:90</t>
  </si>
  <si>
    <t>204:233106</t>
  </si>
  <si>
    <t>204:68</t>
  </si>
  <si>
    <t>300:23019</t>
  </si>
  <si>
    <t>204:1203</t>
  </si>
  <si>
    <t>300:23301</t>
  </si>
  <si>
    <t>300:21941</t>
  </si>
  <si>
    <t>204:1257</t>
  </si>
  <si>
    <t>300:23306</t>
  </si>
  <si>
    <t>300:22051</t>
  </si>
  <si>
    <t>204:172</t>
  </si>
  <si>
    <t>204:336</t>
  </si>
  <si>
    <t>300:23308</t>
  </si>
  <si>
    <t>300:23474</t>
  </si>
  <si>
    <t>300:32121</t>
  </si>
  <si>
    <t>300:20019</t>
  </si>
  <si>
    <t>300:31322</t>
  </si>
  <si>
    <t>204:128186</t>
  </si>
  <si>
    <t>204:392</t>
  </si>
  <si>
    <t>300:31095</t>
  </si>
  <si>
    <t>204:1267</t>
  </si>
  <si>
    <t>300:18379</t>
  </si>
  <si>
    <t>204:372</t>
  </si>
  <si>
    <t>300:31849</t>
  </si>
  <si>
    <t>300:21755</t>
  </si>
  <si>
    <t>300:21852</t>
  </si>
  <si>
    <t>204:975</t>
  </si>
  <si>
    <t>204:1283</t>
  </si>
  <si>
    <t>300:24244</t>
  </si>
  <si>
    <t>300:23067</t>
  </si>
  <si>
    <t>204:872</t>
  </si>
  <si>
    <t>204:1188</t>
  </si>
  <si>
    <t>300:31722</t>
  </si>
  <si>
    <t>204:10147</t>
  </si>
  <si>
    <t>204:128442</t>
  </si>
  <si>
    <t>204:70217</t>
  </si>
  <si>
    <t>300:30494</t>
  </si>
  <si>
    <t>300:28778</t>
  </si>
  <si>
    <t>300:30599</t>
  </si>
  <si>
    <t>300:20538</t>
  </si>
  <si>
    <t>204:1477</t>
  </si>
  <si>
    <t>204:1488</t>
  </si>
  <si>
    <t>300:22064</t>
  </si>
  <si>
    <t>300:22058</t>
  </si>
  <si>
    <t>300:58655</t>
  </si>
  <si>
    <t>204:731</t>
  </si>
  <si>
    <t>204:1034</t>
  </si>
  <si>
    <t>300:58992</t>
  </si>
  <si>
    <t>204:1035</t>
  </si>
  <si>
    <t>300:58709</t>
  </si>
  <si>
    <t>204:729</t>
  </si>
  <si>
    <t>300:58611</t>
  </si>
  <si>
    <t>204:1013</t>
  </si>
  <si>
    <t>300:58673</t>
  </si>
  <si>
    <t>204:712</t>
  </si>
  <si>
    <t>204:983</t>
  </si>
  <si>
    <t>300:58662</t>
  </si>
  <si>
    <t>204:1007</t>
  </si>
  <si>
    <t>300:58990</t>
  </si>
  <si>
    <t>204:1481</t>
  </si>
  <si>
    <t>300:58675</t>
  </si>
  <si>
    <t>204:166</t>
  </si>
  <si>
    <t>300:58973</t>
  </si>
  <si>
    <t>204:661</t>
  </si>
  <si>
    <t>204:974</t>
  </si>
  <si>
    <t>300:58641</t>
  </si>
  <si>
    <t>300:58986</t>
  </si>
  <si>
    <t>300:58670</t>
  </si>
  <si>
    <t>300:58647</t>
  </si>
  <si>
    <t>204:675</t>
  </si>
  <si>
    <t>204:981</t>
  </si>
  <si>
    <t>300:58984</t>
  </si>
  <si>
    <t>204:689</t>
  </si>
  <si>
    <t>300:58608</t>
  </si>
  <si>
    <t>204:722</t>
  </si>
  <si>
    <t>204:985</t>
  </si>
  <si>
    <t>300:58619</t>
  </si>
  <si>
    <t>204:671</t>
  </si>
  <si>
    <t>204:979</t>
  </si>
  <si>
    <t>300:58645</t>
  </si>
  <si>
    <t>204:710</t>
  </si>
  <si>
    <t>204:1037</t>
  </si>
  <si>
    <t>300:58937</t>
  </si>
  <si>
    <t>204:993</t>
  </si>
  <si>
    <t>300:58960</t>
  </si>
  <si>
    <t>204:964</t>
  </si>
  <si>
    <t>300:28148</t>
  </si>
  <si>
    <t>204:988</t>
  </si>
  <si>
    <t>300:58649</t>
  </si>
  <si>
    <t>204:990</t>
  </si>
  <si>
    <t>300:58971</t>
  </si>
  <si>
    <t>204:696</t>
  </si>
  <si>
    <t>204:706</t>
  </si>
  <si>
    <t>204:664</t>
  </si>
  <si>
    <t>300:58963</t>
  </si>
  <si>
    <t>204:955</t>
  </si>
  <si>
    <t>300:30869</t>
  </si>
  <si>
    <t>300:30239</t>
  </si>
  <si>
    <t>300:23355</t>
  </si>
  <si>
    <t>300:25431</t>
  </si>
  <si>
    <t>300:23366</t>
  </si>
  <si>
    <t>300:12501</t>
  </si>
  <si>
    <t>start /low /b %USERPROFILE%\Documents\GitHub\eaglep3\Utilities\DownloadLogsFromS3.py --loco 4011 --day 2017-01-12</t>
  </si>
  <si>
    <t>start /low /b %USERPROFILE%\Documents\GitHub\eaglep3\Utilities\DownloadLogsFromS3.py --loco 4028 --day 2017-01-12</t>
  </si>
  <si>
    <t>start /low /b %USERPROFILE%\Documents\GitHub\eaglep3\Utilities\DownloadLogsFromS3.py --loco 4019 --day 2017-01-12</t>
  </si>
  <si>
    <t>start /low /b %USERPROFILE%\Documents\GitHub\eaglep3\Utilities\DownloadLogsFromS3.py --loco 4013 --day 2017-01-12</t>
  </si>
  <si>
    <t>start /low /b %USERPROFILE%\Documents\GitHub\eaglep3\Utilities\DownloadLogsFromS3.py --loco 4003 --day 2017-01-12</t>
  </si>
  <si>
    <t>start /low /b %USERPROFILE%\Documents\GitHub\eaglep3\Utilities\DownloadLogsFromS3.py --loco 4045 --day 2017-01-12</t>
  </si>
  <si>
    <t>start /low /b %USERPROFILE%\Documents\GitHub\eaglep3\Utilities\DownloadLogsFromS3.py --loco 4020 --day 2017-01-12</t>
  </si>
  <si>
    <t>start /low /b %USERPROFILE%\Documents\GitHub\eaglep3\Utilities\DownloadLogsFromS3.py --loco 4001 --day 2017-01-12</t>
  </si>
  <si>
    <t>start /low /b %USERPROFILE%\Documents\GitHub\eaglep3\Utilities\DownloadLogsFromS3.py --loco 4022 --day 2017-01-12</t>
  </si>
  <si>
    <t>start /low /b %USERPROFILE%\Documents\GitHub\eaglep3\Utilities\DownloadLogsFromS3.py --loco 4021 --day 2017-01-13</t>
  </si>
  <si>
    <t>start /low /b %USERPROFILE%\Documents\GitHub\eaglep3\Utilities\DownloadLogsFromS3.py --loco 4012 --day 2017-01-13</t>
  </si>
  <si>
    <t>start /low /b %USERPROFILE%\Documents\GitHub\eaglep3\Utilities\DownloadLogsFromS3.py --loco 4003 --day 2017-01-13</t>
  </si>
  <si>
    <t>start /low /b %USERPROFILE%\Documents\GitHub\eaglep3\Utilities\DownloadLogsFromS3.py --loco 4022 --day 2017-01-13</t>
  </si>
  <si>
    <t>start /low /b %USERPROFILE%\Documents\GitHub\eaglep3\Utilities\DownloadLogsFromS3.py --loco 4031 --day 2017-01-12</t>
  </si>
  <si>
    <t>start /low /b %USERPROFILE%\Documents\GitHub\eaglep3\Utilities\DownloadLogsFromS3.py --loco 4007 --day 2017-01-12</t>
  </si>
  <si>
    <t>At 05:23:46, EC0365RH 27-1T 1N dropped from 270 to STOP &amp; PROCEED while the train was still approaching. Do logs tell of anything unusual at this time?</t>
  </si>
  <si>
    <t>EC0365RH 27-1T 1N premature downgrade</t>
  </si>
  <si>
    <t>EC0437RH 52-2T 2S</t>
  </si>
  <si>
    <t>Mechanical issue</t>
  </si>
  <si>
    <t>Banner without braking</t>
  </si>
  <si>
    <t>Main 3 departure</t>
  </si>
  <si>
    <t>NorthBound</t>
  </si>
  <si>
    <t>243-12 not found in TMDS, used 65-12 instead</t>
  </si>
  <si>
    <t>http://stevetu21.github.io/eaglep3/load_kml.html?kml=http://rtdc.gmaps-snips.s3.amazonaws.com/e8d40b29-5bbf-46f0-9f38-bae01ae2043b.kml</t>
  </si>
  <si>
    <t>Departure delayed by Wi-MAX data drop</t>
  </si>
  <si>
    <t>Unhealthy at Clayton/Steele due to config error from previous night's cutover</t>
  </si>
  <si>
    <t>Trip 76 mangled switch, impacted this 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</si>
</sst>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" fontId="9" fillId="0" borderId="0" xfId="0" applyNumberFormat="1" applyFont="1" applyFill="1" applyBorder="1"/>
    <xf numFmtId="169" fontId="20" fillId="0" borderId="0" xfId="4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e8d40b29-5bbf-46f0-9f38-bae01ae2043b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workbookViewId="0">
      <selection activeCell="R16" sqref="R1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42747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42747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COUNTIFS($N$13:$N$9367,"&gt;0",$AG$13:$AG$9367,I1)</f>
        <v>140</v>
      </c>
      <c r="K5" s="41"/>
      <c r="L5" s="41"/>
      <c r="M5" s="42">
        <f>AVERAGEIFS($N$13:$N$9367,$AG$13:$AG$9367,I1)</f>
        <v>38.295357143730925</v>
      </c>
      <c r="N5" s="40">
        <f t="array" ref="N5">MIN(IF($AG$13:$AG$9367=I1,IF(ISNUMBER($N$13:$N$9367),IF($N$13:$N$9367&gt;0,$N$13:$N$9367))))</f>
        <v>34.133333328645676</v>
      </c>
      <c r="O5" s="3">
        <f t="array" ref="O5">MAX(IF($AG$13:$AG$9367=I1,IF(ISNUMBER($N$13:$N$9367),IF($N$13:$N$9367&gt;0,$N$13:$N$9367))))</f>
        <v>70.016666668234393</v>
      </c>
      <c r="P5" s="2"/>
      <c r="R5" s="76" t="s">
        <v>17</v>
      </c>
      <c r="S5" s="52">
        <f>COUNTIFS($N$13:$N$9367,"&gt;0",$AG$13:$AG$9367,R1)</f>
        <v>44</v>
      </c>
      <c r="T5" s="41"/>
      <c r="U5" s="164"/>
      <c r="V5" s="42">
        <f>AVERAGEIFS($N$13:$N$9367,$AG$13:$AG$9367,R1)</f>
        <v>16.317803030780684</v>
      </c>
      <c r="W5" s="40">
        <f t="array" ref="W5">MIN(IF($AG$13:$AG$9367=R1,IF(ISNUMBER($N$13:$N$9367),IF($N$13:$N$9367&gt;0,$N$13:$N$9367))))</f>
        <v>13.299999997252598</v>
      </c>
      <c r="X5" s="169">
        <f t="array" ref="X5">MAX(IF($AG$13:$AG$9367=R1,IF(ISNUMBER($N$13:$N$9367),IF($N$13:$N$9367&gt;0,$N$13:$N$9367))))</f>
        <v>29.133333333302289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COUNTIFS($P$13:$P$9367,"&gt;0",$AG$13:$AG$9367,I1)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COUNTIFS($P$13:$P$9367,"&gt;0",$AG$13:$AG$9367,R1)</f>
        <v>3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140</v>
      </c>
      <c r="K8" s="41"/>
      <c r="L8" s="41"/>
      <c r="M8" s="42">
        <f>M5</f>
        <v>38.295357143730925</v>
      </c>
      <c r="N8" s="40">
        <f>N5</f>
        <v>34.133333328645676</v>
      </c>
      <c r="O8" s="3">
        <f>O5</f>
        <v>70.016666668234393</v>
      </c>
      <c r="P8" s="2"/>
      <c r="R8" s="76" t="s">
        <v>16</v>
      </c>
      <c r="S8" s="52">
        <f>S5</f>
        <v>44</v>
      </c>
      <c r="T8" s="41"/>
      <c r="U8" s="164"/>
      <c r="V8" s="42">
        <f>V5</f>
        <v>16.317803030780684</v>
      </c>
      <c r="W8" s="40">
        <f>W5</f>
        <v>13.299999997252598</v>
      </c>
      <c r="X8" s="169">
        <f>X5</f>
        <v>29.133333333302289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0.97222222222222221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0.93617021276595747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2" t="str">
        <f>"Eagle P3 System Performance - "&amp;TEXT(Variables!A2,"yyyy-mm-dd")</f>
        <v>Eagle P3 System Performance - 2017-01-12</v>
      </c>
      <c r="B11" s="192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S11" s="66">
        <f>AVERAGE(S13:S94)</f>
        <v>0.99270833333333319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266</v>
      </c>
      <c r="AN12" s="48" t="s">
        <v>510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535</v>
      </c>
      <c r="B13" s="7">
        <v>4020</v>
      </c>
      <c r="C13" s="22" t="s">
        <v>201</v>
      </c>
      <c r="D13" s="22" t="s">
        <v>487</v>
      </c>
      <c r="E13" s="13">
        <v>42747.122442129628</v>
      </c>
      <c r="F13" s="13">
        <v>42747.135787037034</v>
      </c>
      <c r="G13" s="7">
        <v>1</v>
      </c>
      <c r="H13" s="22" t="s">
        <v>302</v>
      </c>
      <c r="I13" s="13">
        <v>42747.161504629628</v>
      </c>
      <c r="J13" s="7">
        <v>0</v>
      </c>
      <c r="K13" s="105" t="str">
        <f t="shared" ref="K13:K76" si="0">IF(ISEVEN(B13),(B13-1)&amp;"/"&amp;B13,B13&amp;"/"&amp;(B13+1))</f>
        <v>4019/4020</v>
      </c>
      <c r="L13" s="22" t="str">
        <f>VLOOKUP(A13,'Trips&amp;Operators'!$C$1:$G$99999,5,FALSE)</f>
        <v>ISHMAEL JOSEPH</v>
      </c>
      <c r="M13" s="6">
        <f t="shared" ref="M13:M76" si="1">I13-F13</f>
        <v>2.5717592594446614E-2</v>
      </c>
      <c r="N13" s="7">
        <f t="shared" ref="N13:N24" si="2">24*60*SUM($M13:$M13)</f>
        <v>37.033333336003125</v>
      </c>
      <c r="O13" s="7"/>
      <c r="P13" s="7"/>
      <c r="Q13" s="23"/>
      <c r="R13" s="23"/>
      <c r="S13" s="32">
        <f t="shared" ref="S13:S24" si="3">SUM(U13:U13)/IF(AG13="EC",12,1)</f>
        <v>1</v>
      </c>
      <c r="T13" s="47" t="str">
        <f t="shared" ref="T13:T44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https://search-rtdc-monitor-bjffxe2xuh6vdkpspy63sjmuny.us-east-1.es.amazonaws.com/_plugin/kibana/#/discover/Steve-Slow-Train-Analysis-(2080s-and-2083s)?_g=(refreshInterval:(display:Off,section:0,value:0),time:(from:'2017-01-12 01:56:19-700',mode:absolute,to:'2017-01-12 04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3" s="49" t="str">
        <f t="shared" ref="W13:W76" si="6">IF(AA13&lt;IF(AG13="EC",23,5.65),"Y","N")</f>
        <v>N</v>
      </c>
      <c r="X13" s="173" t="e">
        <f t="shared" ref="X13:X44" si="7">VALUE(LEFT(AD13,4))-VALUE(LEFT(AD12,4))</f>
        <v>#VALUE!</v>
      </c>
      <c r="Y13" s="64">
        <f t="shared" ref="Y13:Y44" si="8">RIGHT(D13,LEN(D13)-4)/10000</f>
        <v>7.3499999999999996E-2</v>
      </c>
      <c r="Z13" s="64">
        <f t="shared" ref="Z13:Z44" si="9">RIGHT(H13,LEN(H13)-4)/10000</f>
        <v>23.330400000000001</v>
      </c>
      <c r="AA13" s="64">
        <f t="shared" ref="AA13:AA76" si="10">ABS(Z13-Y13)</f>
        <v>23.256900000000002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0101-12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/stypes="app*4020*20170112*" /stext=" 10:.+((SYSTEM_STATE.+slice.+state.+changed )|(ment ac)|(multiple cpu faults)|(system.+state.+changed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4020 --swversion DE.1.0.8.0 --startMP 204:735 --initTime 2017-01-12T02:56:19 --startdatetime 2017-01-12T03:15:32 --delay 1 --endMP 204:233304 --enddatetime 2017-01-12T03:52:34 --enforcementcount 0 &gt;&gt;C:\Users\stu\Documents\GitHub\eaglep3-reporting\EC\2017-01-12-refined-times.txt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{"issue":{"subject":"","project_id":79,"tracker_id":40,"status_id":1,"priority_id":2,"assigned_to_id":23,"start_date":"2017-01-12","description":"","custom_fields":[{"id":1,"name":"Subdivision","value":"EC"},{"id":4,"name":"Milepost","value":"23.3304"},{"id":17,"name":"Train ID","value":"101-12"},{"id":16,"name":"Locomotive ID","value":"4020"},{"id":130,"name":"Impact","value":""},{"id":150,"name":"Time of Event (Mountain Time)","value":"03:52:34"},{"id":151,"name":"Denver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4020 --day 2017-01-12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538</v>
      </c>
      <c r="B14" s="7">
        <v>4012</v>
      </c>
      <c r="C14" s="22" t="s">
        <v>201</v>
      </c>
      <c r="D14" s="22" t="s">
        <v>762</v>
      </c>
      <c r="E14" s="13">
        <v>42747.167673611111</v>
      </c>
      <c r="F14" s="13">
        <v>42747.174490740741</v>
      </c>
      <c r="G14" s="7">
        <v>1</v>
      </c>
      <c r="H14" s="22" t="s">
        <v>763</v>
      </c>
      <c r="I14" s="13">
        <v>42747.2028587963</v>
      </c>
      <c r="J14" s="7">
        <v>0</v>
      </c>
      <c r="K14" s="105" t="str">
        <f t="shared" si="0"/>
        <v>4011/4012</v>
      </c>
      <c r="L14" s="22" t="str">
        <f>VLOOKUP(A14,'Trips&amp;Operators'!$C$1:$G$99999,5,FALSE)</f>
        <v>ISHMAEL JOSEPH</v>
      </c>
      <c r="M14" s="6">
        <f t="shared" si="1"/>
        <v>2.8368055558530614E-2</v>
      </c>
      <c r="N14" s="7">
        <f t="shared" si="2"/>
        <v>40.850000004284084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03:01:27-700',mode:absolute,to:'2017-01-12 05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23.2668</v>
      </c>
      <c r="Z14" s="64">
        <f t="shared" si="9"/>
        <v>1.43E-2</v>
      </c>
      <c r="AA14" s="64">
        <f t="shared" si="10"/>
        <v>23.252500000000001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0102-12</v>
      </c>
      <c r="AE14" s="87" t="str">
        <f t="shared" si="12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14" s="84" t="str">
        <f t="shared" si="13"/>
        <v>"C:\Program Files (x86)\AstroGrep\AstroGrep.exe" /spath="%USERPROFILE%\AppData\Local\Temp\OnboardLogs" /stypes="app*4012*20170112*"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4012 --swversion DE.1.0.8.0 --startMP 204:232668 --initTime 2017-01-12T04:01:27 --startdatetime 2017-01-12T04:11:16 --delay 1 --endMP 204:143 --enddatetime 2017-01-12T04:52:07 --enforcementcount 0 &gt;&gt;C:\Users\stu\Documents\GitHub\eaglep3-reporting\EC\2017-01-12-refined-times.txt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{"issue":{"subject":"","project_id":79,"tracker_id":40,"status_id":1,"priority_id":2,"assigned_to_id":23,"start_date":"2017-01-12","description":"","custom_fields":[{"id":1,"name":"Subdivision","value":"EC"},{"id":4,"name":"Milepost","value":"0.0143"},{"id":17,"name":"Train ID","value":"102-12"},{"id":16,"name":"Locomotive ID","value":"4012"},{"id":130,"name":"Impact","value":""},{"id":150,"name":"Time of Event (Mountain Time)","value":"04:52:07"},{"id":151,"name":"Denver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6" si="20">"start /low /b "&amp;dls3logs&amp;" --loco "&amp;B14&amp;" --day "&amp;TEXT(F14,"YYYY-MM-DD")</f>
        <v>start /low /b %USERPROFILE%\Documents\GitHub\eaglep3\Utilities\DownloadLogsFromS3.py --loco 4012 --day 2017-01-12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513</v>
      </c>
      <c r="B15" s="7">
        <v>4031</v>
      </c>
      <c r="C15" s="22" t="s">
        <v>201</v>
      </c>
      <c r="D15" s="22" t="s">
        <v>764</v>
      </c>
      <c r="E15" s="13">
        <v>42747.148923611108</v>
      </c>
      <c r="F15" s="13">
        <v>42747.156446759262</v>
      </c>
      <c r="G15" s="7">
        <v>1</v>
      </c>
      <c r="H15" s="22" t="s">
        <v>327</v>
      </c>
      <c r="I15" s="13">
        <v>42747.18309027778</v>
      </c>
      <c r="J15" s="7">
        <v>0</v>
      </c>
      <c r="K15" s="105" t="str">
        <f t="shared" si="0"/>
        <v>4031/4032</v>
      </c>
      <c r="L15" s="22" t="str">
        <f>VLOOKUP(A15,'Trips&amp;Operators'!$C$1:$G$99999,5,FALSE)</f>
        <v>BONDS REYNALDO</v>
      </c>
      <c r="M15" s="6">
        <f t="shared" si="1"/>
        <v>2.6643518518540077E-2</v>
      </c>
      <c r="N15" s="7">
        <f t="shared" si="2"/>
        <v>38.366666666697711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02:34:27-700',mode:absolute,to:'2017-01-12 05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8.1000000000000003E-2</v>
      </c>
      <c r="Z15" s="64">
        <f t="shared" si="9"/>
        <v>23.331199999999999</v>
      </c>
      <c r="AA15" s="64">
        <f t="shared" si="10"/>
        <v>23.2502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0103-12</v>
      </c>
      <c r="AE15" s="87" t="str">
        <f t="shared" si="12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5" s="84" t="str">
        <f t="shared" si="13"/>
        <v>"C:\Program Files (x86)\AstroGrep\AstroGrep.exe" /spath="%USERPROFILE%\AppData\Local\Temp\OnboardLogs" /stypes="app*4031*20170112*"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103-12 --locoid 4031 --swversion DE.1.0.8.0 --startMP 204:810 --initTime 2017-01-12T03:34:27 --startdatetime 2017-01-12T03:45:17 --delay 1 --endMP 204:233312 --enddatetime 2017-01-12T04:23:39 --enforcementcount 0 &gt;&gt;C:\Users\stu\Documents\GitHub\eaglep3-reporting\EC\2017-01-12-refined-times.txt</v>
      </c>
      <c r="AI1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{"issue":{"subject":"","project_id":79,"tracker_id":40,"status_id":1,"priority_id":2,"assigned_to_id":23,"start_date":"2017-01-12","description":"","custom_fields":[{"id":1,"name":"Subdivision","value":"EC"},{"id":4,"name":"Milepost","value":"23.3312"},{"id":17,"name":"Train ID","value":"103-12"},{"id":16,"name":"Locomotive ID","value":"4031"},{"id":130,"name":"Impact","value":""},{"id":150,"name":"Time of Event (Mountain Time)","value":"04:23:39"},{"id":151,"name":"Denver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4031 --day 2017-01-12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518</v>
      </c>
      <c r="B16" s="7">
        <v>4013</v>
      </c>
      <c r="C16" s="22" t="s">
        <v>201</v>
      </c>
      <c r="D16" s="22" t="s">
        <v>765</v>
      </c>
      <c r="E16" s="13">
        <v>42747.192187499997</v>
      </c>
      <c r="F16" s="13">
        <v>42747.195324074077</v>
      </c>
      <c r="G16" s="7">
        <v>1</v>
      </c>
      <c r="H16" s="22" t="s">
        <v>258</v>
      </c>
      <c r="I16" s="13">
        <v>42747.223425925928</v>
      </c>
      <c r="J16" s="7">
        <v>0</v>
      </c>
      <c r="K16" s="105" t="str">
        <f t="shared" si="0"/>
        <v>4013/4014</v>
      </c>
      <c r="L16" s="22" t="str">
        <f>VLOOKUP(A16,'Trips&amp;Operators'!$C$1:$G$99999,5,FALSE)</f>
        <v>BONDS REYNALDO</v>
      </c>
      <c r="M16" s="6">
        <f t="shared" si="1"/>
        <v>2.810185185080627E-2</v>
      </c>
      <c r="N16" s="7">
        <f t="shared" si="2"/>
        <v>40.466666665161029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03:36:45-700',mode:absolute,to:'2017-01-12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23.2639</v>
      </c>
      <c r="Z16" s="64">
        <f t="shared" si="9"/>
        <v>1.52E-2</v>
      </c>
      <c r="AA16" s="64">
        <f t="shared" si="10"/>
        <v>23.248699999999999</v>
      </c>
      <c r="AB16" s="61" t="str">
        <f>VLOOKUP(A16,Enforcements!$C$7:$K$16,8,0)</f>
        <v>Form based authority (4)</v>
      </c>
      <c r="AC16" s="57" t="str">
        <f>VLOOKUP(A16,Enforcements!$C$7:$E$16,3,0)</f>
        <v>TRACK WARRANT AUTHORITY</v>
      </c>
      <c r="AD16" s="58" t="str">
        <f t="shared" si="11"/>
        <v>0104-12</v>
      </c>
      <c r="AE16" s="87" t="str">
        <f t="shared" si="12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16" s="84" t="str">
        <f t="shared" si="13"/>
        <v>"C:\Program Files (x86)\AstroGrep\AstroGrep.exe" /spath="%USERPROFILE%\AppData\Local\Temp\OnboardLogs" /stypes="app*4013*20170112*"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104-12 --locoid 4013 --swversion DE.1.0.8.0 --startMP 204:232639 --initTime 2017-01-12T04:36:45 --startdatetime 2017-01-12T04:41:16 --delay 1 --endMP 204:152 --enddatetime 2017-01-12T05:21:44 --enforcementcount 0 &gt;&gt;C:\Users\stu\Documents\GitHub\eaglep3-reporting\EC\2017-01-12-refined-times.txt</v>
      </c>
      <c r="AI1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{"issue":{"subject":"","project_id":79,"tracker_id":40,"status_id":1,"priority_id":2,"assigned_to_id":23,"start_date":"2017-01-12","description":"","custom_fields":[{"id":1,"name":"Subdivision","value":"EC"},{"id":4,"name":"Milepost","value":"0.0152"},{"id":17,"name":"Train ID","value":"104-12"},{"id":16,"name":"Locomotive ID","value":"4013"},{"id":130,"name":"Impact","value":""},{"id":150,"name":"Time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4013 --day 2017-01-12</v>
      </c>
      <c r="AN16" s="18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541</v>
      </c>
      <c r="B17" s="7">
        <v>4027</v>
      </c>
      <c r="C17" s="22" t="s">
        <v>201</v>
      </c>
      <c r="D17" s="22" t="s">
        <v>766</v>
      </c>
      <c r="E17" s="13">
        <v>42747.170972222222</v>
      </c>
      <c r="F17" s="13">
        <v>42747.17728009259</v>
      </c>
      <c r="G17" s="7">
        <v>1</v>
      </c>
      <c r="H17" s="22" t="s">
        <v>767</v>
      </c>
      <c r="I17" s="13">
        <v>42747.202731481484</v>
      </c>
      <c r="J17" s="7">
        <v>0</v>
      </c>
      <c r="K17" s="105" t="str">
        <f t="shared" si="0"/>
        <v>4027/4028</v>
      </c>
      <c r="L17" s="22" t="str">
        <f>VLOOKUP(A17,'Trips&amp;Operators'!$C$1:$G$99999,5,FALSE)</f>
        <v>ROBINSON KADDIBA</v>
      </c>
      <c r="M17" s="6">
        <f t="shared" si="1"/>
        <v>2.5451388893998228E-2</v>
      </c>
      <c r="N17" s="7">
        <f t="shared" si="2"/>
        <v>36.650000007357448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03:06:12-700',mode:absolute,to:'2017-01-12 05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7.9500000000000001E-2</v>
      </c>
      <c r="Z17" s="64">
        <f t="shared" si="9"/>
        <v>23.3385</v>
      </c>
      <c r="AA17" s="64">
        <f t="shared" si="10"/>
        <v>23.259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0105-12</v>
      </c>
      <c r="AE17" s="87" t="str">
        <f t="shared" si="12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7" s="84" t="str">
        <f t="shared" si="13"/>
        <v>"C:\Program Files (x86)\AstroGrep\AstroGrep.exe" /spath="%USERPROFILE%\AppData\Local\Temp\OnboardLogs" /stypes="app*4027*20170112*"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105-12 --locoid 4027 --swversion DE.1.0.8.0 --startMP 204:795 --initTime 2017-01-12T04:06:12 --startdatetime 2017-01-12T04:15:17 --delay 1 --endMP 204:233385 --enddatetime 2017-01-12T04:51:56 --enforcementcount 0 &gt;&gt;C:\Users\stu\Documents\GitHub\eaglep3-reporting\EC\2017-01-12-refined-times.txt</v>
      </c>
      <c r="AI1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{"issue":{"subject":"","project_id":79,"tracker_id":40,"status_id":1,"priority_id":2,"assigned_to_id":23,"start_date":"2017-01-12","description":"","custom_fields":[{"id":1,"name":"Subdivision","value":"EC"},{"id":4,"name":"Milepost","value":"23.3385"},{"id":17,"name":"Train ID","value":"105-12"},{"id":16,"name":"Locomotive ID","value":"4027"},{"id":130,"name":"Impact","value":""},{"id":150,"name":"Time of Event (Mountain Time)","value":"04:51:56"},{"id":151,"name":"Denver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4027 --day 2017-01-12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550</v>
      </c>
      <c r="B18" s="7">
        <v>4004</v>
      </c>
      <c r="C18" s="22" t="s">
        <v>201</v>
      </c>
      <c r="D18" s="22" t="s">
        <v>768</v>
      </c>
      <c r="E18" s="13">
        <v>42747.211157407408</v>
      </c>
      <c r="F18" s="13">
        <v>42747.216180555559</v>
      </c>
      <c r="G18" s="7">
        <v>1</v>
      </c>
      <c r="H18" s="22" t="s">
        <v>259</v>
      </c>
      <c r="I18" s="13">
        <v>42747.244895833333</v>
      </c>
      <c r="J18" s="7">
        <v>0</v>
      </c>
      <c r="K18" s="105" t="str">
        <f t="shared" si="0"/>
        <v>4003/4004</v>
      </c>
      <c r="L18" s="22" t="str">
        <f>VLOOKUP(A18,'Trips&amp;Operators'!$C$1:$G$99999,5,FALSE)</f>
        <v>ROBINSON KADDIBA</v>
      </c>
      <c r="M18" s="6">
        <f t="shared" si="1"/>
        <v>2.8715277774608694E-2</v>
      </c>
      <c r="N18" s="7">
        <f t="shared" si="2"/>
        <v>41.349999995436519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04:04:04-700',mode:absolute,to:'2017-01-12 06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23.275600000000001</v>
      </c>
      <c r="Z18" s="64">
        <f t="shared" si="9"/>
        <v>1.5800000000000002E-2</v>
      </c>
      <c r="AA18" s="64">
        <f t="shared" si="10"/>
        <v>23.259800000000002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0106-12</v>
      </c>
      <c r="AE18" s="87" t="str">
        <f t="shared" si="12"/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AF18" s="84" t="str">
        <f t="shared" si="13"/>
        <v>"C:\Program Files (x86)\AstroGrep\AstroGrep.exe" /spath="%USERPROFILE%\AppData\Local\Temp\OnboardLogs" /stypes="app*4004*20170112*"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106-12 --locoid 4004 --swversion DE.1.0.8.0 --startMP 204:232756 --initTime 2017-01-12T05:04:04 --startdatetime 2017-01-12T05:11:18 --delay 1 --endMP 204:158 --enddatetime 2017-01-12T05:52:39 --enforcementcount 0 &gt;&gt;C:\Users\stu\Documents\GitHub\eaglep3-reporting\EC\2017-01-12-refined-times.txt</v>
      </c>
      <c r="AI18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{"issue":{"subject":"","project_id":79,"tracker_id":40,"status_id":1,"priority_id":2,"assigned_to_id":23,"start_date":"2017-01-12","description":"","custom_fields":[{"id":1,"name":"Subdivision","value":"EC"},{"id":4,"name":"Milepost","value":"0.0158"},{"id":17,"name":"Train ID","value":"106-12"},{"id":16,"name":"Locomotive ID","value":"4004"},{"id":130,"name":"Impact","value":""},{"id":150,"name":"Time of Event (Mountain Time)","value":"05:52:39"},{"id":151,"name":"Denver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4004 --day 2017-01-12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"%USERPROFILE%\AppData\Local\Temp\OnboardLogs"\RTDC4004\*4004*20170112* | grep -SE "(Enforcement Action)|(\[TIMEOUT)|(CHR.+\|PRM\|1\|D.+(SWITCH|SIGNAL).+UNKNOWN)" - &gt;&gt; 2017-01-12-UncaughtWiMAX.txt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543</v>
      </c>
      <c r="B19" s="7">
        <v>4022</v>
      </c>
      <c r="C19" s="22" t="s">
        <v>201</v>
      </c>
      <c r="D19" s="22" t="s">
        <v>769</v>
      </c>
      <c r="E19" s="13">
        <v>42747.182951388888</v>
      </c>
      <c r="F19" s="13">
        <v>42747.187708333331</v>
      </c>
      <c r="G19" s="7">
        <v>2</v>
      </c>
      <c r="H19" s="22" t="s">
        <v>286</v>
      </c>
      <c r="I19" s="13">
        <v>42747.212256944447</v>
      </c>
      <c r="J19" s="7">
        <v>0</v>
      </c>
      <c r="K19" s="105" t="str">
        <f t="shared" si="0"/>
        <v>4021/4022</v>
      </c>
      <c r="L19" s="22" t="str">
        <f>VLOOKUP(A19,'Trips&amp;Operators'!$C$1:$G$99999,5,FALSE)</f>
        <v>GEBRETEKLE DAGNEW</v>
      </c>
      <c r="M19" s="6">
        <f t="shared" si="1"/>
        <v>2.4548611116188113E-2</v>
      </c>
      <c r="N19" s="7">
        <f t="shared" si="2"/>
        <v>35.350000007310882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03:23:27-700',mode:absolute,to:'2017-01-12 06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4.6600000000000003E-2</v>
      </c>
      <c r="Z19" s="64">
        <f t="shared" si="9"/>
        <v>23.330100000000002</v>
      </c>
      <c r="AA19" s="64">
        <f t="shared" si="10"/>
        <v>23.2835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0107-12</v>
      </c>
      <c r="AE19" s="87" t="str">
        <f t="shared" si="12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9" s="84" t="str">
        <f t="shared" si="13"/>
        <v>"C:\Program Files (x86)\AstroGrep\AstroGrep.exe" /spath="%USERPROFILE%\AppData\Local\Temp\OnboardLogs" /stypes="app*4022*20170112*"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107-12 --locoid 4022 --swversion DE.1.0.8.0 --startMP 204:466 --initTime 2017-01-12T04:23:27 --startdatetime 2017-01-12T04:30:18 --delay 2 --endMP 204:233301 --enddatetime 2017-01-12T05:05:39 --enforcementcount 0 &gt;&gt;C:\Users\stu\Documents\GitHub\eaglep3-reporting\EC\2017-01-12-refined-times.txt</v>
      </c>
      <c r="AI1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{"issue":{"subject":"","project_id":79,"tracker_id":40,"status_id":1,"priority_id":2,"assigned_to_id":23,"start_date":"2017-01-12","description":"","custom_fields":[{"id":1,"name":"Subdivision","value":"EC"},{"id":4,"name":"Milepost","value":"23.3301"},{"id":17,"name":"Train ID","value":"107-12"},{"id":16,"name":"Locomotive ID","value":"4022"},{"id":130,"name":"Impact","value":""},{"id":150,"name":"Time of Event (Mountain Time)","value":"05:05:39"},{"id":151,"name":"Denver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4022 --day 2017-01-12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552</v>
      </c>
      <c r="B20" s="7">
        <v>4021</v>
      </c>
      <c r="C20" s="22" t="s">
        <v>201</v>
      </c>
      <c r="D20" s="22" t="s">
        <v>265</v>
      </c>
      <c r="E20" s="13">
        <v>42747.22320601852</v>
      </c>
      <c r="F20" s="13">
        <v>42747.226666666669</v>
      </c>
      <c r="G20" s="7">
        <v>2</v>
      </c>
      <c r="H20" s="22" t="s">
        <v>239</v>
      </c>
      <c r="I20" s="13">
        <v>42747.253553240742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GEBRETEKLE DAGNEW</v>
      </c>
      <c r="M20" s="6">
        <f t="shared" si="1"/>
        <v>2.6886574072705116E-2</v>
      </c>
      <c r="N20" s="7">
        <f t="shared" si="2"/>
        <v>38.716666664695367</v>
      </c>
      <c r="O20" s="7"/>
      <c r="P20" s="7"/>
      <c r="Q20" s="23"/>
      <c r="R20" s="23" t="s">
        <v>952</v>
      </c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04:21:25-700',mode:absolute,to:'2017-01-12 07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23.3</v>
      </c>
      <c r="Z20" s="64">
        <f t="shared" si="9"/>
        <v>1.47E-2</v>
      </c>
      <c r="AA20" s="64">
        <f t="shared" si="10"/>
        <v>23.285299999999999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0108-12</v>
      </c>
      <c r="AE20" s="87" t="str">
        <f t="shared" si="12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20" s="84" t="str">
        <f t="shared" si="13"/>
        <v>"C:\Program Files (x86)\AstroGrep\AstroGrep.exe" /spath="%USERPROFILE%\AppData\Local\Temp\OnboardLogs" /stypes="app*4021*20170112*"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108-12 --locoid 4021 --swversion DE.1.0.8.0 --startMP 204:233000 --initTime 2017-01-12T05:21:25 --startdatetime 2017-01-12T05:26:24 --delay 2 --endMP 204:147 --enddatetime 2017-01-12T06:05:07 --enforcementcount 0 &gt;&gt;C:\Users\stu\Documents\GitHub\eaglep3-reporting\EC\2017-01-12-refined-times.txt</v>
      </c>
      <c r="AI20" s="115" t="str">
        <f t="shared" si="19"/>
        <v>echo {"issue":{"subject":"Unhealthy at Clayton/Steele due to config error from previous night's cutover","project_id":79,"tracker_id":40,"status_id":1,"priority_id":2,"assigned_to_id":23,"start_date":"2017-01-12","description":"","custom_fields":[{"id":1,"name":"Subdivision","value":"EC"},{"id":4,"name":"Milepost","value":"0.0147"},{"id":17,"name":"Train ID","value":"108-12"},{"id":16,"name":"Locomotive ID","value":"4021"},{"id":130,"name":"Impact","value":""},{"id":150,"name":"Time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4021 --day 2017-01-12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544</v>
      </c>
      <c r="B21" s="7">
        <v>4002</v>
      </c>
      <c r="C21" s="22" t="s">
        <v>201</v>
      </c>
      <c r="D21" s="22" t="s">
        <v>244</v>
      </c>
      <c r="E21" s="13">
        <v>42747.196215277778</v>
      </c>
      <c r="F21" s="13">
        <v>42747.198240740741</v>
      </c>
      <c r="G21" s="7">
        <v>1</v>
      </c>
      <c r="H21" s="22" t="s">
        <v>305</v>
      </c>
      <c r="I21" s="13">
        <v>42747.223796296297</v>
      </c>
      <c r="J21" s="7">
        <v>0</v>
      </c>
      <c r="K21" s="105" t="str">
        <f t="shared" si="0"/>
        <v>4001/4002</v>
      </c>
      <c r="L21" s="22" t="str">
        <f>VLOOKUP(A21,'Trips&amp;Operators'!$C$1:$G$99999,5,FALSE)</f>
        <v>DUNCAN SHEILA</v>
      </c>
      <c r="M21" s="6">
        <f t="shared" si="1"/>
        <v>2.5555555555911269E-2</v>
      </c>
      <c r="N21" s="7">
        <f t="shared" si="2"/>
        <v>36.800000000512227</v>
      </c>
      <c r="O21" s="7"/>
      <c r="P21" s="7"/>
      <c r="Q21" s="23"/>
      <c r="R21" s="23" t="s">
        <v>952</v>
      </c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03:42:33-700',mode:absolute,to:'2017-01-12 06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4.6199999999999998E-2</v>
      </c>
      <c r="Z21" s="64">
        <f t="shared" si="9"/>
        <v>23.3306</v>
      </c>
      <c r="AA21" s="64">
        <f t="shared" si="10"/>
        <v>23.284400000000002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0109-12</v>
      </c>
      <c r="AE21" s="87" t="str">
        <f t="shared" si="12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21" s="84" t="str">
        <f t="shared" si="13"/>
        <v>"C:\Program Files (x86)\AstroGrep\AstroGrep.exe" /spath="%USERPROFILE%\AppData\Local\Temp\OnboardLogs" /stypes="app*4002*20170112*"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109-12 --locoid 4002 --swversion DE.1.0.8.0 --startMP 204:462 --initTime 2017-01-12T04:42:33 --startdatetime 2017-01-12T04:45:28 --delay 1 --endMP 204:233306 --enddatetime 2017-01-12T05:22:16 --enforcementcount 0 &gt;&gt;C:\Users\stu\Documents\GitHub\eaglep3-reporting\EC\2017-01-12-refined-times.txt</v>
      </c>
      <c r="AI21" s="115" t="str">
        <f t="shared" si="19"/>
        <v>echo {"issue":{"subject":"Unhealthy at Clayton/Steele due to config error from previous night's cutover","project_id":79,"tracker_id":40,"status_id":1,"priority_id":2,"assigned_to_id":23,"start_date":"2017-01-12","description":"","custom_fields":[{"id":1,"name":"Subdivision","value":"EC"},{"id":4,"name":"Milepost","value":"23.3306"},{"id":17,"name":"Train ID","value":"109-12"},{"id":16,"name":"Locomotive ID","value":"4002"},{"id":130,"name":"Impact","value":""},{"id":150,"name":"Time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4002 --day 2017-01-12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556</v>
      </c>
      <c r="B22" s="7">
        <v>4001</v>
      </c>
      <c r="C22" s="22" t="s">
        <v>201</v>
      </c>
      <c r="D22" s="22" t="s">
        <v>309</v>
      </c>
      <c r="E22" s="13">
        <v>42747.233263888891</v>
      </c>
      <c r="F22" s="13">
        <v>42747.236990740741</v>
      </c>
      <c r="G22" s="7">
        <v>1</v>
      </c>
      <c r="H22" s="22" t="s">
        <v>308</v>
      </c>
      <c r="I22" s="13">
        <v>42747.2659375</v>
      </c>
      <c r="J22" s="7">
        <v>0</v>
      </c>
      <c r="K22" s="105" t="str">
        <f t="shared" si="0"/>
        <v>4001/4002</v>
      </c>
      <c r="L22" s="22" t="str">
        <f>VLOOKUP(A22,'Trips&amp;Operators'!$C$1:$G$99999,5,FALSE)</f>
        <v>DUNCAN SHEILA</v>
      </c>
      <c r="M22" s="6">
        <f t="shared" si="1"/>
        <v>2.8946759259270038E-2</v>
      </c>
      <c r="N22" s="7">
        <f t="shared" si="2"/>
        <v>41.683333333348855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04:35:54-700',mode:absolute,to:'2017-01-12 07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23.299600000000002</v>
      </c>
      <c r="Z22" s="64">
        <f t="shared" si="9"/>
        <v>1.54E-2</v>
      </c>
      <c r="AA22" s="64">
        <f t="shared" si="10"/>
        <v>23.284200000000002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0110-12</v>
      </c>
      <c r="AE22" s="87" t="str">
        <f t="shared" si="12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22" s="84" t="str">
        <f t="shared" si="13"/>
        <v>"C:\Program Files (x86)\AstroGrep\AstroGrep.exe" /spath="%USERPROFILE%\AppData\Local\Temp\OnboardLogs" /stypes="app*4001*20170112*"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110-12 --locoid 4001 --swversion DE.1.0.8.0 --startMP 204:232996 --initTime 2017-01-12T05:35:54 --startdatetime 2017-01-12T05:41:16 --delay 1 --endMP 204:154 --enddatetime 2017-01-12T06:22:57 --enforcementcount 0 &gt;&gt;C:\Users\stu\Documents\GitHub\eaglep3-reporting\EC\2017-01-12-refined-times.txt</v>
      </c>
      <c r="AI2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ID","value":"110-12"},{"id":16,"name":"Locomotive ID","value":"4001"},{"id":130,"name":"Impact","value":""},{"id":150,"name":"Time of Event (Mountain Time)","value":"06:22:57"},{"id":151,"name":"Denver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4001 --day 2017-01-12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547</v>
      </c>
      <c r="B23" s="7">
        <v>4020</v>
      </c>
      <c r="C23" s="22" t="s">
        <v>201</v>
      </c>
      <c r="D23" s="22" t="s">
        <v>770</v>
      </c>
      <c r="E23" s="13">
        <v>42747.207881944443</v>
      </c>
      <c r="F23" s="13">
        <v>42747.209224537037</v>
      </c>
      <c r="G23" s="7">
        <v>0</v>
      </c>
      <c r="H23" s="22" t="s">
        <v>771</v>
      </c>
      <c r="I23" s="13">
        <v>42747.232951388891</v>
      </c>
      <c r="J23" s="7">
        <v>0</v>
      </c>
      <c r="K23" s="105" t="str">
        <f t="shared" si="0"/>
        <v>4019/4020</v>
      </c>
      <c r="L23" s="22" t="str">
        <f>VLOOKUP(A23,'Trips&amp;Operators'!$C$1:$G$99999,5,FALSE)</f>
        <v>YORK EDGAR</v>
      </c>
      <c r="M23" s="6">
        <f t="shared" si="1"/>
        <v>2.3726851854007691E-2</v>
      </c>
      <c r="N23" s="7">
        <f t="shared" si="2"/>
        <v>34.166666669771075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03:59:21-700',mode:absolute,to:'2017-01-12 06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7.8799999999999995E-2</v>
      </c>
      <c r="Z23" s="64">
        <f t="shared" si="9"/>
        <v>23.329499999999999</v>
      </c>
      <c r="AA23" s="64">
        <f t="shared" si="10"/>
        <v>23.250699999999998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0111-12</v>
      </c>
      <c r="AE23" s="87" t="str">
        <f t="shared" si="12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23" s="84" t="str">
        <f t="shared" si="13"/>
        <v>"C:\Program Files (x86)\AstroGrep\AstroGrep.exe" /spath="%USERPROFILE%\AppData\Local\Temp\OnboardLogs" /stypes="app*4020*20170112*"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111-12 --locoid 4020 --swversion DE.1.0.8.0 --startMP 204:788 --initTime 2017-01-12T04:59:21 --startdatetime 2017-01-12T05:01:17 --delay 0 --endMP 204:233295 --enddatetime 2017-01-12T05:35:27 --enforcementcount 0 &gt;&gt;C:\Users\stu\Documents\GitHub\eaglep3-reporting\EC\2017-01-12-refined-times.txt</v>
      </c>
      <c r="AI2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{"issue":{"subject":"","project_id":79,"tracker_id":40,"status_id":1,"priority_id":2,"assigned_to_id":23,"start_date":"2017-01-12","description":"","custom_fields":[{"id":1,"name":"Subdivision","value":"EC"},{"id":4,"name":"Milepost","value":"23.3295"},{"id":17,"name":"Train ID","value":"111-12"},{"id":16,"name":"Locomotive ID","value":"4020"},{"id":130,"name":"Impact","value":""},{"id":150,"name":"Time of Event (Mountain Time)","value":"05:35:27"},{"id":151,"name":"Denver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4020 --day 2017-01-12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557</v>
      </c>
      <c r="B24" s="7">
        <v>4019</v>
      </c>
      <c r="C24" s="22" t="s">
        <v>201</v>
      </c>
      <c r="D24" s="22" t="s">
        <v>253</v>
      </c>
      <c r="E24" s="13">
        <v>42747.2341087963</v>
      </c>
      <c r="F24" s="13">
        <v>42747.247488425928</v>
      </c>
      <c r="G24" s="7">
        <v>1</v>
      </c>
      <c r="H24" s="22" t="s">
        <v>258</v>
      </c>
      <c r="I24" s="13">
        <v>42747.273877314816</v>
      </c>
      <c r="J24" s="7">
        <v>0</v>
      </c>
      <c r="K24" s="105" t="str">
        <f t="shared" si="0"/>
        <v>4019/4020</v>
      </c>
      <c r="L24" s="22" t="str">
        <f>VLOOKUP(A24,'Trips&amp;Operators'!$C$1:$G$99999,5,FALSE)</f>
        <v>YORK EDGAR</v>
      </c>
      <c r="M24" s="6">
        <f t="shared" si="1"/>
        <v>2.6388888887595385E-2</v>
      </c>
      <c r="N24" s="7">
        <f t="shared" si="2"/>
        <v>37.999999998137355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04:37:07-700',mode:absolute,to:'2017-01-12 07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23.2973</v>
      </c>
      <c r="Z24" s="64">
        <f t="shared" si="9"/>
        <v>1.52E-2</v>
      </c>
      <c r="AA24" s="64">
        <f t="shared" si="10"/>
        <v>23.2821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0112-12</v>
      </c>
      <c r="AE24" s="87" t="str">
        <f t="shared" si="12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24" s="84" t="str">
        <f t="shared" si="13"/>
        <v>"C:\Program Files (x86)\AstroGrep\AstroGrep.exe" /spath="%USERPROFILE%\AppData\Local\Temp\OnboardLogs" /stypes="app*4019*20170112*"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112-12 --locoid 4019 --swversion DE.1.0.8.0 --startMP 204:232973 --initTime 2017-01-12T05:37:07 --startdatetime 2017-01-12T05:56:23 --delay 1 --endMP 204:152 --enddatetime 2017-01-12T06:34:23 --enforcementcount 0 &gt;&gt;C:\Users\stu\Documents\GitHub\eaglep3-reporting\EC\2017-01-12-refined-times.txt</v>
      </c>
      <c r="AI2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{"issue":{"subject":"","project_id":79,"tracker_id":40,"status_id":1,"priority_id":2,"assigned_to_id":23,"start_date":"2017-01-12","description":"","custom_fields":[{"id":1,"name":"Subdivision","value":"EC"},{"id":4,"name":"Milepost","value":"0.0152"},{"id":17,"name":"Train ID","value":"112-12"},{"id":16,"name":"Locomotive ID","value":"4019"},{"id":130,"name":"Impact","value":""},{"id":150,"name":"Time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4019 --day 2017-01-12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519</v>
      </c>
      <c r="B25" s="7">
        <v>4011</v>
      </c>
      <c r="C25" s="22" t="s">
        <v>201</v>
      </c>
      <c r="D25" s="22" t="s">
        <v>296</v>
      </c>
      <c r="E25" s="13">
        <v>42747.211828703701</v>
      </c>
      <c r="F25" s="13">
        <v>42747.21261574074</v>
      </c>
      <c r="G25" s="7">
        <v>1</v>
      </c>
      <c r="H25" s="22" t="s">
        <v>772</v>
      </c>
      <c r="I25" s="13">
        <v>42747.225474537037</v>
      </c>
      <c r="J25" s="7">
        <v>1</v>
      </c>
      <c r="K25" s="105" t="str">
        <f t="shared" si="0"/>
        <v>4011/4012</v>
      </c>
      <c r="L25" s="22" t="str">
        <f>VLOOKUP(A25,'Trips&amp;Operators'!$C$1:$G$99999,5,FALSE)</f>
        <v>ISHMAEL JOSEPH</v>
      </c>
      <c r="M25" s="6">
        <f t="shared" si="1"/>
        <v>1.2858796297223307E-2</v>
      </c>
      <c r="N25" s="7"/>
      <c r="O25" s="7"/>
      <c r="P25" s="7">
        <f>24*60*SUM($M25:$M26)</f>
        <v>43.566666666883975</v>
      </c>
      <c r="Q25" s="23"/>
      <c r="R25" s="23" t="s">
        <v>943</v>
      </c>
      <c r="S25" s="32">
        <f>SUM(U25:U26)/IF(AG25="EC",12,1)</f>
        <v>0.5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04:05:02-700',mode:absolute,to:'2017-01-12 06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25" s="49" t="str">
        <f t="shared" si="6"/>
        <v>Y</v>
      </c>
      <c r="X25" s="173">
        <f t="shared" si="7"/>
        <v>1</v>
      </c>
      <c r="Y25" s="64">
        <f t="shared" si="8"/>
        <v>4.3799999999999999E-2</v>
      </c>
      <c r="Z25" s="64">
        <f t="shared" si="9"/>
        <v>3.6987000000000001</v>
      </c>
      <c r="AA25" s="64">
        <f t="shared" si="10"/>
        <v>3.6549</v>
      </c>
      <c r="AB25" s="61" t="str">
        <f>VLOOKUP(A25,Enforcements!$C$7:$K$16,8,0)</f>
        <v>Signal based authority (5)</v>
      </c>
      <c r="AC25" s="57" t="str">
        <f>VLOOKUP(A25,Enforcements!$C$7:$E$16,3,0)</f>
        <v>SIGNAL</v>
      </c>
      <c r="AD25" s="58" t="str">
        <f t="shared" si="11"/>
        <v>0113-12</v>
      </c>
      <c r="AE25" s="87" t="str">
        <f t="shared" si="12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25" s="84" t="str">
        <f t="shared" si="13"/>
        <v>"C:\Program Files (x86)\AstroGrep\AstroGrep.exe" /spath="%USERPROFILE%\AppData\Local\Temp\OnboardLogs" /stypes="app*4011*20170112*"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113-12 --locoid 4011 --swversion DE.1.0.8.0 --startMP 204:438 --initTime 2017-01-12T05:05:02 --startdatetime 2017-01-12T05:06:10 --delay 1 --endMP 204:36987 --enddatetime 2017-01-12T05:24:41 --enforcementcount 1 &gt;&gt;C:\Users\stu\Documents\GitHub\eaglep3-reporting\EC\2017-01-12-refined-times.txt</v>
      </c>
      <c r="AI25" s="115" t="str">
        <f t="shared" si="19"/>
        <v>echo {"issue":{"subject":"EC0365RH 27-1T 1N premature downgrade","project_id":79,"tracker_id":40,"status_id":1,"priority_id":2,"assigned_to_id":23,"start_date":"2017-01-12","description":"","custom_fields":[{"id":1,"name":"Subdivision","value":"EC"},{"id":4,"name":"Milepost","value":"3.6987"},{"id":17,"name":"Train ID","value":"113-12"},{"id":16,"name":"Locomotive ID","value":"4011"},{"id":130,"name":"Impact","value":""},{"id":150,"name":"Time of Event (Mountain Time)","value":"05:24:41"},{"id":151,"name":"Denver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4011 --day 2017-01-12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519</v>
      </c>
      <c r="B26" s="7">
        <v>4011</v>
      </c>
      <c r="C26" s="22" t="s">
        <v>201</v>
      </c>
      <c r="D26" s="22" t="s">
        <v>773</v>
      </c>
      <c r="E26" s="13">
        <v>42747.229733796295</v>
      </c>
      <c r="F26" s="13">
        <v>42747.23033564815</v>
      </c>
      <c r="G26" s="7">
        <v>0</v>
      </c>
      <c r="H26" s="22" t="s">
        <v>273</v>
      </c>
      <c r="I26" s="13">
        <v>42747.247731481482</v>
      </c>
      <c r="J26" s="7">
        <v>0</v>
      </c>
      <c r="K26" s="105" t="str">
        <f t="shared" si="0"/>
        <v>4011/4012</v>
      </c>
      <c r="L26" s="22" t="str">
        <f>VLOOKUP(A26,'Trips&amp;Operators'!$C$1:$G$99999,5,FALSE)</f>
        <v>ISHMAEL JOSEPH</v>
      </c>
      <c r="M26" s="6">
        <f t="shared" si="1"/>
        <v>1.7395833332557231E-2</v>
      </c>
      <c r="N26" s="7"/>
      <c r="O26" s="7"/>
      <c r="P26" s="7"/>
      <c r="Q26" s="23"/>
      <c r="R26" s="23"/>
      <c r="S26" s="32"/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3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04:30:49-700',mode:absolute,to:'2017-01-12 06:56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26" s="49" t="str">
        <f t="shared" si="6"/>
        <v>Y</v>
      </c>
      <c r="X26" s="173">
        <f t="shared" si="7"/>
        <v>0</v>
      </c>
      <c r="Y26" s="64">
        <f t="shared" si="8"/>
        <v>6.4711999999999996</v>
      </c>
      <c r="Z26" s="64">
        <f t="shared" si="9"/>
        <v>23.329799999999999</v>
      </c>
      <c r="AA26" s="64">
        <f t="shared" si="10"/>
        <v>16.858599999999999</v>
      </c>
      <c r="AB26" s="61" t="str">
        <f>VLOOKUP(A26,Enforcements!$C$7:$K$16,8,0)</f>
        <v>Signal based authority (5)</v>
      </c>
      <c r="AC26" s="57" t="str">
        <f>VLOOKUP(A26,Enforcements!$C$7:$E$16,3,0)</f>
        <v>SIGNAL</v>
      </c>
      <c r="AD26" s="58" t="str">
        <f t="shared" si="11"/>
        <v>0113-12</v>
      </c>
      <c r="AE26" s="87" t="str">
        <f t="shared" si="12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26" s="84" t="str">
        <f t="shared" si="13"/>
        <v>"C:\Program Files (x86)\AstroGrep\AstroGrep.exe" /spath="%USERPROFILE%\AppData\Local\Temp\OnboardLogs" /stypes="app*4011*20170112*"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113-12 --locoid 4011 --swversion DE.1.0.8.0 --startMP 204:64712 --initTime 2017-01-12T05:30:49 --startdatetime 2017-01-12T05:31:41 --delay 0 --endMP 204:233298 --enddatetime 2017-01-12T05:56:44 --enforcementcount 0 &gt;&gt;C:\Users\stu\Documents\GitHub\eaglep3-reporting\EC\2017-01-12-refined-times.txt</v>
      </c>
      <c r="AI2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{"issue":{"subject":"","project_id":79,"tracker_id":40,"status_id":1,"priority_id":2,"assigned_to_id":23,"start_date":"2017-01-12","description":"","custom_fields":[{"id":1,"name":"Subdivision","value":"EC"},{"id":4,"name":"Milepost","value":"23.3298"},{"id":17,"name":"Train ID","value":"113-12"},{"id":16,"name":"Locomotive ID","value":"4011"},{"id":130,"name":"Impact","value":""},{"id":150,"name":"Time of Event (Mountain Time)","value":"05:56:44"},{"id":151,"name":"Denver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4011 --day 2017-01-12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559</v>
      </c>
      <c r="B27" s="7">
        <v>4012</v>
      </c>
      <c r="C27" s="22" t="s">
        <v>201</v>
      </c>
      <c r="D27" s="22" t="s">
        <v>334</v>
      </c>
      <c r="E27" s="13">
        <v>42747.249768518515</v>
      </c>
      <c r="F27" s="13">
        <v>42747.2578125</v>
      </c>
      <c r="G27" s="7">
        <v>1</v>
      </c>
      <c r="H27" s="22" t="s">
        <v>774</v>
      </c>
      <c r="I27" s="13">
        <v>42747.285115740742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ISHMAEL JOSEPH</v>
      </c>
      <c r="M27" s="6">
        <f t="shared" si="1"/>
        <v>2.7303240742185153E-2</v>
      </c>
      <c r="N27" s="7">
        <f t="shared" ref="N27:N60" si="21">24*60*SUM($M27:$M27)</f>
        <v>39.31666666874662</v>
      </c>
      <c r="O27" s="7"/>
      <c r="P27" s="7"/>
      <c r="Q27" s="23"/>
      <c r="R27" s="23"/>
      <c r="S27" s="32">
        <f t="shared" ref="S27:S60" si="22">SUM(U27:U27)/IF(AG27="EC",12,1)</f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04:59:40-700',mode:absolute,to:'2017-01-12 07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23.299800000000001</v>
      </c>
      <c r="Z27" s="64">
        <f t="shared" si="9"/>
        <v>1.3599999999999999E-2</v>
      </c>
      <c r="AA27" s="64">
        <f t="shared" si="10"/>
        <v>23.286200000000001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0114-12</v>
      </c>
      <c r="AE27" s="87" t="str">
        <f t="shared" si="12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27" s="84" t="str">
        <f t="shared" si="13"/>
        <v>"C:\Program Files (x86)\AstroGrep\AstroGrep.exe" /spath="%USERPROFILE%\AppData\Local\Temp\OnboardLogs" /stypes="app*4012*20170112*"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114-12 --locoid 4012 --swversion DE.1.0.8.0 --startMP 204:232998 --initTime 2017-01-12T05:59:40 --startdatetime 2017-01-12T06:11:15 --delay 1 --endMP 204:136 --enddatetime 2017-01-12T06:50:34 --enforcementcount 0 &gt;&gt;C:\Users\stu\Documents\GitHub\eaglep3-reporting\EC\2017-01-12-refined-times.txt</v>
      </c>
      <c r="AI2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{"issue":{"subject":"","project_id":79,"tracker_id":40,"status_id":1,"priority_id":2,"assigned_to_id":23,"start_date":"2017-01-12","description":"","custom_fields":[{"id":1,"name":"Subdivision","value":"EC"},{"id":4,"name":"Milepost","value":"0.0136"},{"id":17,"name":"Train ID","value":"114-12"},{"id":16,"name":"Locomotive ID","value":"4012"},{"id":130,"name":"Impact","value":""},{"id":150,"name":"Time of Event (Mountain Time)","value":"06:50:34"},{"id":151,"name":"Denver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4012 --day 2017-01-12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553</v>
      </c>
      <c r="B28" s="7">
        <v>4031</v>
      </c>
      <c r="C28" s="22" t="s">
        <v>201</v>
      </c>
      <c r="D28" s="22" t="s">
        <v>775</v>
      </c>
      <c r="E28" s="13">
        <v>42747.226631944446</v>
      </c>
      <c r="F28" s="13">
        <v>42747.230821759258</v>
      </c>
      <c r="G28" s="7">
        <v>2</v>
      </c>
      <c r="H28" s="22" t="s">
        <v>776</v>
      </c>
      <c r="I28" s="13">
        <v>42747.255486111113</v>
      </c>
      <c r="J28" s="7">
        <v>0</v>
      </c>
      <c r="K28" s="105" t="str">
        <f t="shared" si="0"/>
        <v>4031/4032</v>
      </c>
      <c r="L28" s="22" t="str">
        <f>VLOOKUP(A28,'Trips&amp;Operators'!$C$1:$G$99999,5,FALSE)</f>
        <v>STARKS ANGELINA</v>
      </c>
      <c r="M28" s="6">
        <f t="shared" si="1"/>
        <v>2.4664351854880806E-2</v>
      </c>
      <c r="N28" s="7">
        <f t="shared" si="21"/>
        <v>35.516666671028361</v>
      </c>
      <c r="O28" s="7"/>
      <c r="P28" s="7"/>
      <c r="Q28" s="23"/>
      <c r="R28" s="23"/>
      <c r="S28" s="32">
        <f t="shared" si="22"/>
        <v>1</v>
      </c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04:26:21-700',mode:absolute,to:'2017-01-12 07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7.0099999999999996E-2</v>
      </c>
      <c r="Z28" s="64">
        <f t="shared" si="9"/>
        <v>23.328800000000001</v>
      </c>
      <c r="AA28" s="64">
        <f t="shared" si="10"/>
        <v>23.258700000000001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0115-12</v>
      </c>
      <c r="AE28" s="87" t="str">
        <f t="shared" si="12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28" s="84" t="str">
        <f t="shared" si="13"/>
        <v>"C:\Program Files (x86)\AstroGrep\AstroGrep.exe" /spath="%USERPROFILE%\AppData\Local\Temp\OnboardLogs" /stypes="app*4031*20170112*"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115-12 --locoid 4031 --swversion DE.1.0.8.0 --startMP 204:701 --initTime 2017-01-12T05:26:21 --startdatetime 2017-01-12T05:32:23 --delay 2 --endMP 204:233288 --enddatetime 2017-01-12T06:07:54 --enforcementcount 0 &gt;&gt;C:\Users\stu\Documents\GitHub\eaglep3-reporting\EC\2017-01-12-refined-times.txt</v>
      </c>
      <c r="AI28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{"issue":{"subject":"","project_id":79,"tracker_id":40,"status_id":1,"priority_id":2,"assigned_to_id":23,"start_date":"2017-01-12","description":"","custom_fields":[{"id":1,"name":"Subdivision","value":"EC"},{"id":4,"name":"Milepost","value":"23.3288"},{"id":17,"name":"Train ID","value":"115-12"},{"id":16,"name":"Locomotive ID","value":"4031"},{"id":130,"name":"Impact","value":""},{"id":150,"name":"Time of Event (Mountain Time)","value":"06:07:54"},{"id":151,"name":"Denver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4031 --day 2017-01-12</v>
      </c>
      <c r="AN28" s="18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564</v>
      </c>
      <c r="B29" s="7">
        <v>4032</v>
      </c>
      <c r="C29" s="22" t="s">
        <v>201</v>
      </c>
      <c r="D29" s="22" t="s">
        <v>307</v>
      </c>
      <c r="E29" s="13">
        <v>42747.265439814815</v>
      </c>
      <c r="F29" s="13">
        <v>42747.268252314818</v>
      </c>
      <c r="G29" s="7">
        <v>2</v>
      </c>
      <c r="H29" s="22" t="s">
        <v>306</v>
      </c>
      <c r="I29" s="13">
        <v>42747.295416666668</v>
      </c>
      <c r="J29" s="7">
        <v>0</v>
      </c>
      <c r="K29" s="105" t="str">
        <f t="shared" si="0"/>
        <v>4031/4032</v>
      </c>
      <c r="L29" s="22" t="str">
        <f>VLOOKUP(A29,'Trips&amp;Operators'!$C$1:$G$99999,5,FALSE)</f>
        <v>STARKS ANGELINA</v>
      </c>
      <c r="M29" s="6">
        <f t="shared" si="1"/>
        <v>2.7164351849933155E-2</v>
      </c>
      <c r="N29" s="7">
        <f t="shared" si="21"/>
        <v>39.116666663903743</v>
      </c>
      <c r="O29" s="7"/>
      <c r="P29" s="7"/>
      <c r="Q29" s="23"/>
      <c r="R29" s="23"/>
      <c r="S29" s="32">
        <f t="shared" si="22"/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05:22:14-700',mode:absolute,to:'2017-01-12 08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23.297999999999998</v>
      </c>
      <c r="Z29" s="64">
        <f t="shared" si="9"/>
        <v>1.6299999999999999E-2</v>
      </c>
      <c r="AA29" s="64">
        <f t="shared" si="10"/>
        <v>23.281699999999997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0116-12</v>
      </c>
      <c r="AE29" s="87" t="str">
        <f t="shared" si="12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29" s="84" t="str">
        <f t="shared" si="13"/>
        <v>"C:\Program Files (x86)\AstroGrep\AstroGrep.exe" /spath="%USERPROFILE%\AppData\Local\Temp\OnboardLogs" /stypes="app*4032*20170112*"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116-12 --locoid 4032 --swversion DE.1.0.8.0 --startMP 204:232980 --initTime 2017-01-12T06:22:14 --startdatetime 2017-01-12T06:26:17 --delay 2 --endMP 204:163 --enddatetime 2017-01-12T07:05:24 --enforcementcount 0 &gt;&gt;C:\Users\stu\Documents\GitHub\eaglep3-reporting\EC\2017-01-12-refined-times.txt</v>
      </c>
      <c r="AI2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{"issue":{"subject":"","project_id":79,"tracker_id":40,"status_id":1,"priority_id":2,"assigned_to_id":23,"start_date":"2017-01-12","description":"","custom_fields":[{"id":1,"name":"Subdivision","value":"EC"},{"id":4,"name":"Milepost","value":"0.0163"},{"id":17,"name":"Train ID","value":"116-12"},{"id":16,"name":"Locomotive ID","value":"4032"},{"id":130,"name":"Impact","value":""},{"id":150,"name":"Time of Event (Mountain Time)","value":"07:05:24"},{"id":151,"name":"Denver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4032 --day 2017-01-12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555</v>
      </c>
      <c r="B30" s="7">
        <v>4014</v>
      </c>
      <c r="C30" s="22" t="s">
        <v>201</v>
      </c>
      <c r="D30" s="22" t="s">
        <v>331</v>
      </c>
      <c r="E30" s="13">
        <v>42747.232048611113</v>
      </c>
      <c r="F30" s="13">
        <v>42747.240069444444</v>
      </c>
      <c r="G30" s="7">
        <v>1</v>
      </c>
      <c r="H30" s="22" t="s">
        <v>777</v>
      </c>
      <c r="I30" s="13">
        <v>42747.266863425924</v>
      </c>
      <c r="J30" s="7">
        <v>0</v>
      </c>
      <c r="K30" s="105" t="str">
        <f t="shared" si="0"/>
        <v>4013/4014</v>
      </c>
      <c r="L30" s="22" t="str">
        <f>VLOOKUP(A30,'Trips&amp;Operators'!$C$1:$G$99999,5,FALSE)</f>
        <v>BONDS REYNALDO</v>
      </c>
      <c r="M30" s="6">
        <f t="shared" si="1"/>
        <v>2.679398148029577E-2</v>
      </c>
      <c r="N30" s="7">
        <f t="shared" si="21"/>
        <v>38.583333331625909</v>
      </c>
      <c r="O30" s="7"/>
      <c r="P30" s="7"/>
      <c r="Q30" s="23"/>
      <c r="R30" s="23"/>
      <c r="S30" s="32">
        <f t="shared" si="22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04:34:09-700',mode:absolute,to:'2017-01-12 07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4.58E-2</v>
      </c>
      <c r="Z30" s="64">
        <f t="shared" si="9"/>
        <v>23.3323</v>
      </c>
      <c r="AA30" s="64">
        <f t="shared" si="10"/>
        <v>23.2865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0117-12</v>
      </c>
      <c r="AE30" s="87" t="str">
        <f t="shared" si="12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30" s="84" t="str">
        <f t="shared" si="13"/>
        <v>"C:\Program Files (x86)\AstroGrep\AstroGrep.exe" /spath="%USERPROFILE%\AppData\Local\Temp\OnboardLogs" /stypes="app*4014*20170112*"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117-12 --locoid 4014 --swversion DE.1.0.8.0 --startMP 204:458 --initTime 2017-01-12T05:34:09 --startdatetime 2017-01-12T05:45:42 --delay 1 --endMP 204:233323 --enddatetime 2017-01-12T06:24:17 --enforcementcount 0 &gt;&gt;C:\Users\stu\Documents\GitHub\eaglep3-reporting\EC\2017-01-12-refined-times.txt</v>
      </c>
      <c r="AI30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{"issue":{"subject":"","project_id":79,"tracker_id":40,"status_id":1,"priority_id":2,"assigned_to_id":23,"start_date":"2017-01-12","description":"","custom_fields":[{"id":1,"name":"Subdivision","value":"EC"},{"id":4,"name":"Milepost","value":"23.3323"},{"id":17,"name":"Train ID","value":"117-12"},{"id":16,"name":"Locomotive ID","value":"4014"},{"id":130,"name":"Impact","value":""},{"id":150,"name":"Time of Event (Mountain Time)","value":"06:24:17"},{"id":151,"name":"Denver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4014 --day 2017-01-12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568</v>
      </c>
      <c r="B31" s="7">
        <v>4013</v>
      </c>
      <c r="C31" s="22" t="s">
        <v>201</v>
      </c>
      <c r="D31" s="22" t="s">
        <v>294</v>
      </c>
      <c r="E31" s="13">
        <v>42747.275335648148</v>
      </c>
      <c r="F31" s="13">
        <v>42747.278229166666</v>
      </c>
      <c r="G31" s="7">
        <v>1</v>
      </c>
      <c r="H31" s="22" t="s">
        <v>763</v>
      </c>
      <c r="I31" s="13">
        <v>42747.306018518517</v>
      </c>
      <c r="J31" s="7">
        <v>0</v>
      </c>
      <c r="K31" s="105" t="str">
        <f t="shared" si="0"/>
        <v>4013/4014</v>
      </c>
      <c r="L31" s="22" t="str">
        <f>VLOOKUP(A31,'Trips&amp;Operators'!$C$1:$G$99999,5,FALSE)</f>
        <v>BONDS REYNALDO</v>
      </c>
      <c r="M31" s="6">
        <f t="shared" si="1"/>
        <v>2.7789351850515231E-2</v>
      </c>
      <c r="N31" s="7">
        <f t="shared" si="21"/>
        <v>40.016666664741933</v>
      </c>
      <c r="O31" s="7"/>
      <c r="P31" s="7"/>
      <c r="Q31" s="23"/>
      <c r="R31" s="23"/>
      <c r="S31" s="32">
        <f t="shared" si="22"/>
        <v>1</v>
      </c>
      <c r="T31" s="47" t="str">
        <f t="shared" si="4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05:36:29-700',mode:absolute,to:'2017-01-12 08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23.299399999999999</v>
      </c>
      <c r="Z31" s="64">
        <f t="shared" si="9"/>
        <v>1.43E-2</v>
      </c>
      <c r="AA31" s="64">
        <f t="shared" si="10"/>
        <v>23.2851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0118-12</v>
      </c>
      <c r="AE31" s="87" t="str">
        <f t="shared" si="12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31" s="84" t="str">
        <f t="shared" si="13"/>
        <v>"C:\Program Files (x86)\AstroGrep\AstroGrep.exe" /spath="%USERPROFILE%\AppData\Local\Temp\OnboardLogs" /stypes="app*4013*20170112*"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118-12 --locoid 4013 --swversion DE.1.0.8.0 --startMP 204:232994 --initTime 2017-01-12T06:36:29 --startdatetime 2017-01-12T06:40:39 --delay 1 --endMP 204:143 --enddatetime 2017-01-12T07:20:40 --enforcementcount 0 &gt;&gt;C:\Users\stu\Documents\GitHub\eaglep3-reporting\EC\2017-01-12-refined-times.txt</v>
      </c>
      <c r="AI31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{"issue":{"subject":"","project_id":79,"tracker_id":40,"status_id":1,"priority_id":2,"assigned_to_id":23,"start_date":"2017-01-12","description":"","custom_fields":[{"id":1,"name":"Subdivision","value":"EC"},{"id":4,"name":"Milepost","value":"0.0143"},{"id":17,"name":"Train ID","value":"118-12"},{"id":16,"name":"Locomotive ID","value":"4013"},{"id":130,"name":"Impact","value":""},{"id":150,"name":"Time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4013 --day 2017-01-12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558</v>
      </c>
      <c r="B32" s="7">
        <v>4027</v>
      </c>
      <c r="C32" s="22" t="s">
        <v>201</v>
      </c>
      <c r="D32" s="22" t="s">
        <v>778</v>
      </c>
      <c r="E32" s="13">
        <v>42747.248124999998</v>
      </c>
      <c r="F32" s="13">
        <v>42747.250150462962</v>
      </c>
      <c r="G32" s="7">
        <v>1</v>
      </c>
      <c r="H32" s="22" t="s">
        <v>779</v>
      </c>
      <c r="I32" s="13">
        <v>42747.274907407409</v>
      </c>
      <c r="J32" s="7">
        <v>0</v>
      </c>
      <c r="K32" s="105" t="str">
        <f t="shared" si="0"/>
        <v>4027/4028</v>
      </c>
      <c r="L32" s="22" t="str">
        <f>VLOOKUP(A32,'Trips&amp;Operators'!$C$1:$G$99999,5,FALSE)</f>
        <v>ROBINSON KADDIBA</v>
      </c>
      <c r="M32" s="6">
        <f t="shared" si="1"/>
        <v>2.4756944447290152E-2</v>
      </c>
      <c r="N32" s="7">
        <f t="shared" si="21"/>
        <v>35.650000004097819</v>
      </c>
      <c r="O32" s="7"/>
      <c r="P32" s="7"/>
      <c r="Q32" s="23"/>
      <c r="R32" s="23"/>
      <c r="S32" s="32">
        <f t="shared" si="22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04:57:18-700',mode:absolute,to:'2017-01-12 07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7.2400000000000006E-2</v>
      </c>
      <c r="Z32" s="64">
        <f t="shared" si="9"/>
        <v>23.332599999999999</v>
      </c>
      <c r="AA32" s="64">
        <f t="shared" si="10"/>
        <v>23.260200000000001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0119-12</v>
      </c>
      <c r="AE32" s="87" t="str">
        <f t="shared" si="12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32" s="84" t="str">
        <f t="shared" si="13"/>
        <v>"C:\Program Files (x86)\AstroGrep\AstroGrep.exe" /spath="%USERPROFILE%\AppData\Local\Temp\OnboardLogs" /stypes="app*4027*20170112*"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119-12 --locoid 4027 --swversion DE.1.0.8.0 --startMP 204:724 --initTime 2017-01-12T05:57:18 --startdatetime 2017-01-12T06:00:13 --delay 1 --endMP 204:233326 --enddatetime 2017-01-12T06:35:52 --enforcementcount 0 &gt;&gt;C:\Users\stu\Documents\GitHub\eaglep3-reporting\EC\2017-01-12-refined-times.txt</v>
      </c>
      <c r="AI3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{"issue":{"subject":"","project_id":79,"tracker_id":40,"status_id":1,"priority_id":2,"assigned_to_id":23,"start_date":"2017-01-12","description":"","custom_fields":[{"id":1,"name":"Subdivision","value":"EC"},{"id":4,"name":"Milepost","value":"23.3326"},{"id":17,"name":"Train ID","value":"119-12"},{"id":16,"name":"Locomotive ID","value":"4027"},{"id":130,"name":"Impact","value":""},{"id":150,"name":"Time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4027 --day 2017-01-12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570</v>
      </c>
      <c r="B33" s="7">
        <v>4028</v>
      </c>
      <c r="C33" s="22" t="s">
        <v>201</v>
      </c>
      <c r="D33" s="22" t="s">
        <v>295</v>
      </c>
      <c r="E33" s="13">
        <v>42747.283310185187</v>
      </c>
      <c r="F33" s="13">
        <v>42747.289085648146</v>
      </c>
      <c r="G33" s="7">
        <v>1</v>
      </c>
      <c r="H33" s="22" t="s">
        <v>308</v>
      </c>
      <c r="I33" s="13">
        <v>42747.31591435185</v>
      </c>
      <c r="J33" s="7">
        <v>0</v>
      </c>
      <c r="K33" s="105" t="str">
        <f t="shared" si="0"/>
        <v>4027/4028</v>
      </c>
      <c r="L33" s="22" t="str">
        <f>VLOOKUP(A33,'Trips&amp;Operators'!$C$1:$G$99999,5,FALSE)</f>
        <v>ROBINSON KADDIBA</v>
      </c>
      <c r="M33" s="6">
        <f t="shared" si="1"/>
        <v>2.6828703703358769E-2</v>
      </c>
      <c r="N33" s="7">
        <f t="shared" si="21"/>
        <v>38.633333332836628</v>
      </c>
      <c r="O33" s="7"/>
      <c r="P33" s="7"/>
      <c r="Q33" s="23"/>
      <c r="R33" s="23"/>
      <c r="S33" s="32">
        <f t="shared" si="22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05:47:58-700',mode:absolute,to:'2017-01-12 08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23.298400000000001</v>
      </c>
      <c r="Z33" s="64">
        <f t="shared" si="9"/>
        <v>1.54E-2</v>
      </c>
      <c r="AA33" s="64">
        <f t="shared" si="10"/>
        <v>23.283000000000001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0120-12</v>
      </c>
      <c r="AE33" s="87" t="str">
        <f t="shared" si="12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33" s="84" t="str">
        <f t="shared" si="13"/>
        <v>"C:\Program Files (x86)\AstroGrep\AstroGrep.exe" /spath="%USERPROFILE%\AppData\Local\Temp\OnboardLogs" /stypes="app*4028*20170112*"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120-12 --locoid 4028 --swversion DE.1.0.8.0 --startMP 204:232984 --initTime 2017-01-12T06:47:58 --startdatetime 2017-01-12T06:56:17 --delay 1 --endMP 204:154 --enddatetime 2017-01-12T07:34:55 --enforcementcount 0 &gt;&gt;C:\Users\stu\Documents\GitHub\eaglep3-reporting\EC\2017-01-12-refined-times.txt</v>
      </c>
      <c r="AI3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ID","value":"120-12"},{"id":16,"name":"Locomotive ID","value":"4028"},{"id":130,"name":"Impact","value":""},{"id":150,"name":"Time of Event (Mountain Time)","value":"07:34:55"},{"id":151,"name":"Denver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4028 --day 2017-01-12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561</v>
      </c>
      <c r="B34" s="7">
        <v>4022</v>
      </c>
      <c r="C34" s="22" t="s">
        <v>201</v>
      </c>
      <c r="D34" s="22" t="s">
        <v>331</v>
      </c>
      <c r="E34" s="13">
        <v>42747.256747685184</v>
      </c>
      <c r="F34" s="13">
        <v>42747.260601851849</v>
      </c>
      <c r="G34" s="7">
        <v>1</v>
      </c>
      <c r="H34" s="22" t="s">
        <v>469</v>
      </c>
      <c r="I34" s="13">
        <v>42747.28601851852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GEBRETEKLE DAGNEW</v>
      </c>
      <c r="M34" s="6">
        <f t="shared" si="1"/>
        <v>2.5416666670935228E-2</v>
      </c>
      <c r="N34" s="7">
        <f t="shared" si="21"/>
        <v>36.600000006146729</v>
      </c>
      <c r="O34" s="7"/>
      <c r="P34" s="7"/>
      <c r="Q34" s="23"/>
      <c r="R34" s="23"/>
      <c r="S34" s="32">
        <f t="shared" si="22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05:09:43-700',mode:absolute,to:'2017-01-12 07:51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4.58E-2</v>
      </c>
      <c r="Z34" s="64">
        <f t="shared" si="9"/>
        <v>23.332699999999999</v>
      </c>
      <c r="AA34" s="64">
        <f t="shared" si="10"/>
        <v>23.286899999999999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0121-12</v>
      </c>
      <c r="AE34" s="87" t="str">
        <f t="shared" si="12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34" s="84" t="str">
        <f t="shared" si="13"/>
        <v>"C:\Program Files (x86)\AstroGrep\AstroGrep.exe" /spath="%USERPROFILE%\AppData\Local\Temp\OnboardLogs" /stypes="app*4022*20170112*"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121-12 --locoid 4022 --swversion DE.1.0.8.0 --startMP 204:458 --initTime 2017-01-12T06:09:43 --startdatetime 2017-01-12T06:15:16 --delay 1 --endMP 204:233327 --enddatetime 2017-01-12T06:51:52 --enforcementcount 0 &gt;&gt;C:\Users\stu\Documents\GitHub\eaglep3-reporting\EC\2017-01-12-refined-times.txt</v>
      </c>
      <c r="AI3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{"issue":{"subject":"","project_id":79,"tracker_id":40,"status_id":1,"priority_id":2,"assigned_to_id":23,"start_date":"2017-01-12","description":"","custom_fields":[{"id":1,"name":"Subdivision","value":"EC"},{"id":4,"name":"Milepost","value":"23.3327"},{"id":17,"name":"Train ID","value":"121-12"},{"id":16,"name":"Locomotive ID","value":"4022"},{"id":130,"name":"Impact","value":""},{"id":150,"name":"Time of Event (Mountain Time)","value":"06:51:52"},{"id":151,"name":"Denver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4022 --day 2017-01-12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572</v>
      </c>
      <c r="B35" s="7">
        <v>4021</v>
      </c>
      <c r="C35" s="22" t="s">
        <v>201</v>
      </c>
      <c r="D35" s="22" t="s">
        <v>780</v>
      </c>
      <c r="E35" s="13">
        <v>42747.295659722222</v>
      </c>
      <c r="F35" s="13">
        <v>42747.299525462964</v>
      </c>
      <c r="G35" s="7">
        <v>1</v>
      </c>
      <c r="H35" s="22" t="s">
        <v>308</v>
      </c>
      <c r="I35" s="13">
        <v>42747.325520833336</v>
      </c>
      <c r="J35" s="7">
        <v>0</v>
      </c>
      <c r="K35" s="105" t="str">
        <f t="shared" si="0"/>
        <v>4021/4022</v>
      </c>
      <c r="L35" s="22" t="str">
        <f>VLOOKUP(A35,'Trips&amp;Operators'!$C$1:$G$99999,5,FALSE)</f>
        <v>GEBRETEKLE DAGNEW</v>
      </c>
      <c r="M35" s="6">
        <f t="shared" si="1"/>
        <v>2.5995370371674653E-2</v>
      </c>
      <c r="N35" s="7">
        <f t="shared" si="21"/>
        <v>37.433333335211501</v>
      </c>
      <c r="O35" s="7"/>
      <c r="P35" s="7"/>
      <c r="Q35" s="23"/>
      <c r="R35" s="23"/>
      <c r="S35" s="32">
        <f t="shared" si="22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06:05:45-700',mode:absolute,to:'2017-01-12 08:48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23.301500000000001</v>
      </c>
      <c r="Z35" s="64">
        <f t="shared" si="9"/>
        <v>1.54E-2</v>
      </c>
      <c r="AA35" s="64">
        <f t="shared" si="10"/>
        <v>23.286100000000001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0122-12</v>
      </c>
      <c r="AE35" s="87" t="str">
        <f t="shared" si="12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35" s="84" t="str">
        <f t="shared" si="13"/>
        <v>"C:\Program Files (x86)\AstroGrep\AstroGrep.exe" /spath="%USERPROFILE%\AppData\Local\Temp\OnboardLogs" /stypes="app*4021*20170112*"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122-12 --locoid 4021 --swversion DE.1.0.8.0 --startMP 204:233015 --initTime 2017-01-12T07:05:45 --startdatetime 2017-01-12T07:11:19 --delay 1 --endMP 204:154 --enddatetime 2017-01-12T07:48:45 --enforcementcount 0 &gt;&gt;C:\Users\stu\Documents\GitHub\eaglep3-reporting\EC\2017-01-12-refined-times.txt</v>
      </c>
      <c r="AI3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ID","value":"122-12"},{"id":16,"name":"Locomotive ID","value":"4021"},{"id":130,"name":"Impact","value":""},{"id":150,"name":"Time of Event (Mountain Time)","value":"07:48:45"},{"id":151,"name":"Denver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4021 --day 2017-01-12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565</v>
      </c>
      <c r="B36" s="7">
        <v>4002</v>
      </c>
      <c r="C36" s="22" t="s">
        <v>201</v>
      </c>
      <c r="D36" s="22" t="s">
        <v>237</v>
      </c>
      <c r="E36" s="13">
        <v>42747.267488425925</v>
      </c>
      <c r="F36" s="13">
        <v>42747.271006944444</v>
      </c>
      <c r="G36" s="7">
        <v>1</v>
      </c>
      <c r="H36" s="22" t="s">
        <v>248</v>
      </c>
      <c r="I36" s="13">
        <v>42747.295428240737</v>
      </c>
      <c r="J36" s="7">
        <v>0</v>
      </c>
      <c r="K36" s="105" t="str">
        <f t="shared" si="0"/>
        <v>4001/4002</v>
      </c>
      <c r="L36" s="22" t="str">
        <f>VLOOKUP(A36,'Trips&amp;Operators'!$C$1:$G$99999,5,FALSE)</f>
        <v>DUNCAN SHEILA</v>
      </c>
      <c r="M36" s="6">
        <f t="shared" si="1"/>
        <v>2.4421296293439809E-2</v>
      </c>
      <c r="N36" s="7">
        <f t="shared" si="21"/>
        <v>35.166666662553325</v>
      </c>
      <c r="O36" s="7"/>
      <c r="P36" s="7"/>
      <c r="Q36" s="23"/>
      <c r="R36" s="23"/>
      <c r="S36" s="32">
        <f t="shared" si="22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05:25:11-700',mode:absolute,to:'2017-01-12 08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4.53E-2</v>
      </c>
      <c r="Z36" s="64">
        <f t="shared" si="9"/>
        <v>23.328900000000001</v>
      </c>
      <c r="AA36" s="64">
        <f t="shared" si="10"/>
        <v>23.2836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0123-12</v>
      </c>
      <c r="AE36" s="87" t="str">
        <f t="shared" si="12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36" s="84" t="str">
        <f t="shared" si="13"/>
        <v>"C:\Program Files (x86)\AstroGrep\AstroGrep.exe" /spath="%USERPROFILE%\AppData\Local\Temp\OnboardLogs" /stypes="app*4002*20170112*"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123-12 --locoid 4002 --swversion DE.1.0.8.0 --startMP 204:453 --initTime 2017-01-12T06:25:11 --startdatetime 2017-01-12T06:30:15 --delay 1 --endMP 204:233289 --enddatetime 2017-01-12T07:05:25 --enforcementcount 0 &gt;&gt;C:\Users\stu\Documents\GitHub\eaglep3-reporting\EC\2017-01-12-refined-times.txt</v>
      </c>
      <c r="AI3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{"issue":{"subject":"","project_id":79,"tracker_id":40,"status_id":1,"priority_id":2,"assigned_to_id":23,"start_date":"2017-01-12","description":"","custom_fields":[{"id":1,"name":"Subdivision","value":"EC"},{"id":4,"name":"Milepost","value":"23.3289"},{"id":17,"name":"Train ID","value":"123-12"},{"id":16,"name":"Locomotive ID","value":"4002"},{"id":130,"name":"Impact","value":""},{"id":150,"name":"Time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4002 --day 2017-01-12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520</v>
      </c>
      <c r="B37" s="7">
        <v>4001</v>
      </c>
      <c r="C37" s="22" t="s">
        <v>201</v>
      </c>
      <c r="D37" s="22" t="s">
        <v>328</v>
      </c>
      <c r="E37" s="13">
        <v>42747.301921296297</v>
      </c>
      <c r="F37" s="13">
        <v>42747.309918981482</v>
      </c>
      <c r="G37" s="7">
        <v>1</v>
      </c>
      <c r="H37" s="22" t="s">
        <v>781</v>
      </c>
      <c r="I37" s="13">
        <v>42747.336377314816</v>
      </c>
      <c r="J37" s="7">
        <v>0</v>
      </c>
      <c r="K37" s="105" t="str">
        <f t="shared" si="0"/>
        <v>4001/4002</v>
      </c>
      <c r="L37" s="22" t="str">
        <f>VLOOKUP(A37,'Trips&amp;Operators'!$C$1:$G$99999,5,FALSE)</f>
        <v>DUNCAN SHEILA</v>
      </c>
      <c r="M37" s="6">
        <f t="shared" si="1"/>
        <v>2.6458333333721384E-2</v>
      </c>
      <c r="N37" s="7">
        <f t="shared" si="21"/>
        <v>38.100000000558794</v>
      </c>
      <c r="O37" s="7"/>
      <c r="P37" s="7"/>
      <c r="Q37" s="23"/>
      <c r="R37" s="23"/>
      <c r="S37" s="32">
        <f t="shared" si="22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06:14:46-700',mode:absolute,to:'2017-01-12 09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23.297499999999999</v>
      </c>
      <c r="Z37" s="64">
        <f t="shared" si="9"/>
        <v>1.32E-2</v>
      </c>
      <c r="AA37" s="64">
        <f t="shared" si="10"/>
        <v>23.284299999999998</v>
      </c>
      <c r="AB37" s="61" t="str">
        <f>VLOOKUP(A37,Enforcements!$C$7:$K$16,8,0)</f>
        <v>Bulletin (2)</v>
      </c>
      <c r="AC37" s="57" t="str">
        <f>VLOOKUP(A37,Enforcements!$C$7:$E$16,3,0)</f>
        <v>GRADE CROSSING</v>
      </c>
      <c r="AD37" s="58" t="str">
        <f t="shared" si="11"/>
        <v>0124-12</v>
      </c>
      <c r="AE37" s="87" t="str">
        <f t="shared" si="12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37" s="84" t="str">
        <f t="shared" si="13"/>
        <v>"C:\Program Files (x86)\AstroGrep\AstroGrep.exe" /spath="%USERPROFILE%\AppData\Local\Temp\OnboardLogs" /stypes="app*4001*20170112*"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124-12 --locoid 4001 --swversion DE.1.0.8.0 --startMP 204:232975 --initTime 2017-01-12T07:14:46 --startdatetime 2017-01-12T07:26:17 --delay 1 --endMP 204:132 --enddatetime 2017-01-12T08:04:23 --enforcementcount 0 &gt;&gt;C:\Users\stu\Documents\GitHub\eaglep3-reporting\EC\2017-01-12-refined-times.txt</v>
      </c>
      <c r="AI3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{"issue":{"subject":"","project_id":79,"tracker_id":40,"status_id":1,"priority_id":2,"assigned_to_id":23,"start_date":"2017-01-12","description":"","custom_fields":[{"id":1,"name":"Subdivision","value":"EC"},{"id":4,"name":"Milepost","value":"0.0132"},{"id":17,"name":"Train ID","value":"124-12"},{"id":16,"name":"Locomotive ID","value":"4001"},{"id":130,"name":"Impact","value":""},{"id":150,"name":"Time of Event (Mountain Time)","value":"08:04:23"},{"id":151,"name":"Denver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4001 --day 2017-01-12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567</v>
      </c>
      <c r="B38" s="7">
        <v>4020</v>
      </c>
      <c r="C38" s="22" t="s">
        <v>201</v>
      </c>
      <c r="D38" s="22" t="s">
        <v>274</v>
      </c>
      <c r="E38" s="13">
        <v>42747.274953703702</v>
      </c>
      <c r="F38" s="13">
        <v>42747.3205787037</v>
      </c>
      <c r="G38" s="7">
        <v>1</v>
      </c>
      <c r="H38" s="22" t="s">
        <v>325</v>
      </c>
      <c r="I38" s="13">
        <v>42747.346099537041</v>
      </c>
      <c r="J38" s="7">
        <v>0</v>
      </c>
      <c r="K38" s="105" t="str">
        <f t="shared" si="0"/>
        <v>4019/4020</v>
      </c>
      <c r="L38" s="22" t="str">
        <f>VLOOKUP(A38,'Trips&amp;Operators'!$C$1:$G$99999,5,FALSE)</f>
        <v>YORK EDGAR</v>
      </c>
      <c r="M38" s="6">
        <f t="shared" si="1"/>
        <v>2.5520833340124227E-2</v>
      </c>
      <c r="N38" s="7">
        <f t="shared" si="21"/>
        <v>36.750000009778887</v>
      </c>
      <c r="O38" s="7"/>
      <c r="P38" s="7"/>
      <c r="Q38" s="23"/>
      <c r="R38" s="23"/>
      <c r="S38" s="32">
        <f t="shared" si="22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05:35:56-700',mode:absolute,to:'2017-01-12 09:18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4.4600000000000001E-2</v>
      </c>
      <c r="Z38" s="64">
        <f t="shared" si="9"/>
        <v>23.33</v>
      </c>
      <c r="AA38" s="64">
        <f t="shared" si="10"/>
        <v>23.285399999999999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0125-12</v>
      </c>
      <c r="AE38" s="87" t="str">
        <f t="shared" si="12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38" s="84" t="str">
        <f t="shared" si="13"/>
        <v>"C:\Program Files (x86)\AstroGrep\AstroGrep.exe" /spath="%USERPROFILE%\AppData\Local\Temp\OnboardLogs" /stypes="app*4020*20170112*"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125-12 --locoid 4020 --swversion DE.1.0.8.0 --startMP 204:446 --initTime 2017-01-12T06:35:56 --startdatetime 2017-01-12T07:41:38 --delay 1 --endMP 204:233300 --enddatetime 2017-01-12T08:18:23 --enforcementcount 0 &gt;&gt;C:\Users\stu\Documents\GitHub\eaglep3-reporting\EC\2017-01-12-refined-times.txt</v>
      </c>
      <c r="AI38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{"issue":{"subject":"","project_id":79,"tracker_id":40,"status_id":1,"priority_id":2,"assigned_to_id":23,"start_date":"2017-01-12","description":"","custom_fields":[{"id":1,"name":"Subdivision","value":"EC"},{"id":4,"name":"Milepost","value":"23.33"},{"id":17,"name":"Train ID","value":"125-12"},{"id":16,"name":"Locomotive ID","value":"4020"},{"id":130,"name":"Impact","value":""},{"id":150,"name":"Time of Event (Mountain Time)","value":"08:18:23"},{"id":151,"name":"Denver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4020 --day 2017-01-12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577</v>
      </c>
      <c r="B39" s="7">
        <v>4019</v>
      </c>
      <c r="C39" s="22" t="s">
        <v>201</v>
      </c>
      <c r="D39" s="22" t="s">
        <v>242</v>
      </c>
      <c r="E39" s="13">
        <v>42747.307962962965</v>
      </c>
      <c r="F39" s="13">
        <v>42747.3205787037</v>
      </c>
      <c r="G39" s="7">
        <v>1</v>
      </c>
      <c r="H39" s="22" t="s">
        <v>260</v>
      </c>
      <c r="I39" s="13">
        <v>42747.346099537041</v>
      </c>
      <c r="J39" s="7">
        <v>0</v>
      </c>
      <c r="K39" s="105" t="str">
        <f t="shared" si="0"/>
        <v>4019/4020</v>
      </c>
      <c r="L39" s="22" t="str">
        <f>VLOOKUP(A39,'Trips&amp;Operators'!$C$1:$G$99999,5,FALSE)</f>
        <v>YORK EDGAR</v>
      </c>
      <c r="M39" s="6">
        <f t="shared" si="1"/>
        <v>2.5520833340124227E-2</v>
      </c>
      <c r="N39" s="7">
        <f t="shared" si="21"/>
        <v>36.750000009778887</v>
      </c>
      <c r="O39" s="7"/>
      <c r="P39" s="7"/>
      <c r="Q39" s="23"/>
      <c r="R39" s="23"/>
      <c r="S39" s="32">
        <f t="shared" si="22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06:23:28-700',mode:absolute,to:'2017-01-12 09:18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23.297699999999999</v>
      </c>
      <c r="Z39" s="64">
        <f t="shared" si="9"/>
        <v>1.41E-2</v>
      </c>
      <c r="AA39" s="64">
        <f t="shared" si="10"/>
        <v>23.2836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0126-12</v>
      </c>
      <c r="AE39" s="87" t="str">
        <f t="shared" si="12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39" s="84" t="str">
        <f t="shared" si="13"/>
        <v>"C:\Program Files (x86)\AstroGrep\AstroGrep.exe" /spath="%USERPROFILE%\AppData\Local\Temp\OnboardLogs" /stypes="app*4019*20170112*"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126-12 --locoid 4019 --swversion DE.1.0.8.0 --startMP 204:232977 --initTime 2017-01-12T07:23:28 --startdatetime 2017-01-12T07:41:38 --delay 1 --endMP 204:141 --enddatetime 2017-01-12T08:18:23 --enforcementcount 0 &gt;&gt;C:\Users\stu\Documents\GitHub\eaglep3-reporting\EC\2017-01-12-refined-times.txt</v>
      </c>
      <c r="AI3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{"issue":{"subject":"","project_id":79,"tracker_id":40,"status_id":1,"priority_id":2,"assigned_to_id":23,"start_date":"2017-01-12","description":"","custom_fields":[{"id":1,"name":"Subdivision","value":"EC"},{"id":4,"name":"Milepost","value":"0.0141"},{"id":17,"name":"Train ID","value":"126-12"},{"id":16,"name":"Locomotive ID","value":"4019"},{"id":130,"name":"Impact","value":""},{"id":150,"name":"Time of Event (Mountain Time)","value":"08:18:23"},{"id":151,"name":"Denver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4019 --day 2017-01-12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571</v>
      </c>
      <c r="B40" s="7">
        <v>4011</v>
      </c>
      <c r="C40" s="22" t="s">
        <v>201</v>
      </c>
      <c r="D40" s="22" t="s">
        <v>330</v>
      </c>
      <c r="E40" s="13">
        <v>42747.286747685182</v>
      </c>
      <c r="F40" s="13">
        <v>42747.292048611111</v>
      </c>
      <c r="G40" s="7">
        <v>1</v>
      </c>
      <c r="H40" s="22" t="s">
        <v>771</v>
      </c>
      <c r="I40" s="13">
        <v>42747.316747685189</v>
      </c>
      <c r="J40" s="7">
        <v>0</v>
      </c>
      <c r="K40" s="105" t="str">
        <f t="shared" si="0"/>
        <v>4011/4012</v>
      </c>
      <c r="L40" s="22" t="str">
        <f>VLOOKUP(A40,'Trips&amp;Operators'!$C$1:$G$99999,5,FALSE)</f>
        <v>ISHMAEL JOSEPH</v>
      </c>
      <c r="M40" s="6">
        <f t="shared" si="1"/>
        <v>2.4699074077943806E-2</v>
      </c>
      <c r="N40" s="7">
        <f t="shared" si="21"/>
        <v>35.56666667223908</v>
      </c>
      <c r="O40" s="7"/>
      <c r="P40" s="7"/>
      <c r="Q40" s="23"/>
      <c r="R40" s="23"/>
      <c r="S40" s="32">
        <f t="shared" si="22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05:52:55-700',mode:absolute,to:'2017-01-12 08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4.4200000000000003E-2</v>
      </c>
      <c r="Z40" s="64">
        <f t="shared" si="9"/>
        <v>23.329499999999999</v>
      </c>
      <c r="AA40" s="64">
        <f t="shared" si="10"/>
        <v>23.285299999999999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0127-12</v>
      </c>
      <c r="AE40" s="87" t="str">
        <f t="shared" si="12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40" s="84" t="str">
        <f t="shared" si="13"/>
        <v>"C:\Program Files (x86)\AstroGrep\AstroGrep.exe" /spath="%USERPROFILE%\AppData\Local\Temp\OnboardLogs" /stypes="app*4011*20170112*"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127-12 --locoid 4011 --swversion DE.1.0.8.0 --startMP 204:442 --initTime 2017-01-12T06:52:55 --startdatetime 2017-01-12T07:00:33 --delay 1 --endMP 204:233295 --enddatetime 2017-01-12T07:36:07 --enforcementcount 0 &gt;&gt;C:\Users\stu\Documents\GitHub\eaglep3-reporting\EC\2017-01-12-refined-times.txt</v>
      </c>
      <c r="AI40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{"issue":{"subject":"","project_id":79,"tracker_id":40,"status_id":1,"priority_id":2,"assigned_to_id":23,"start_date":"2017-01-12","description":"","custom_fields":[{"id":1,"name":"Subdivision","value":"EC"},{"id":4,"name":"Milepost","value":"23.3295"},{"id":17,"name":"Train ID","value":"127-12"},{"id":16,"name":"Locomotive ID","value":"4011"},{"id":130,"name":"Impact","value":""},{"id":150,"name":"Time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4011 --day 2017-01-12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581</v>
      </c>
      <c r="B41" s="7">
        <v>4012</v>
      </c>
      <c r="C41" s="22" t="s">
        <v>201</v>
      </c>
      <c r="D41" s="22" t="s">
        <v>295</v>
      </c>
      <c r="E41" s="13">
        <v>42747.322847222225</v>
      </c>
      <c r="F41" s="13">
        <v>42747.330833333333</v>
      </c>
      <c r="G41" s="7">
        <v>1</v>
      </c>
      <c r="H41" s="22" t="s">
        <v>224</v>
      </c>
      <c r="I41" s="13">
        <v>42747.357349537036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ISHMAEL JOSEPH</v>
      </c>
      <c r="M41" s="6">
        <f t="shared" si="1"/>
        <v>2.6516203703067731E-2</v>
      </c>
      <c r="N41" s="7">
        <f t="shared" si="21"/>
        <v>38.183333332417533</v>
      </c>
      <c r="O41" s="7"/>
      <c r="P41" s="7"/>
      <c r="Q41" s="23"/>
      <c r="R41" s="23"/>
      <c r="S41" s="32">
        <f t="shared" si="22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06:44:54-700',mode:absolute,to:'2017-01-12 09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23.298400000000001</v>
      </c>
      <c r="Z41" s="64">
        <f t="shared" si="9"/>
        <v>1.4500000000000001E-2</v>
      </c>
      <c r="AA41" s="64">
        <f t="shared" si="10"/>
        <v>23.283899999999999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0128-12</v>
      </c>
      <c r="AE41" s="87" t="str">
        <f t="shared" si="12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41" s="84" t="str">
        <f t="shared" si="13"/>
        <v>"C:\Program Files (x86)\AstroGrep\AstroGrep.exe" /spath="%USERPROFILE%\AppData\Local\Temp\OnboardLogs" /stypes="app*4012*20170112*"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128-12 --locoid 4012 --swversion DE.1.0.8.0 --startMP 204:232984 --initTime 2017-01-12T07:44:54 --startdatetime 2017-01-12T07:56:24 --delay 1 --endMP 204:145 --enddatetime 2017-01-12T08:34:35 --enforcementcount 0 &gt;&gt;C:\Users\stu\Documents\GitHub\eaglep3-reporting\EC\2017-01-12-refined-times.txt</v>
      </c>
      <c r="AI41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{"issue":{"subject":"","project_id":79,"tracker_id":40,"status_id":1,"priority_id":2,"assigned_to_id":23,"start_date":"2017-01-12","description":"","custom_fields":[{"id":1,"name":"Subdivision","value":"EC"},{"id":4,"name":"Milepost","value":"0.0145"},{"id":17,"name":"Train ID","value":"128-12"},{"id":16,"name":"Locomotive ID","value":"4012"},{"id":130,"name":"Impact","value":""},{"id":150,"name":"Time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4012 --day 2017-01-12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574</v>
      </c>
      <c r="B42" s="7">
        <v>4031</v>
      </c>
      <c r="C42" s="22" t="s">
        <v>201</v>
      </c>
      <c r="D42" s="22" t="s">
        <v>782</v>
      </c>
      <c r="E42" s="13">
        <v>42747.297951388886</v>
      </c>
      <c r="F42" s="13">
        <v>42747.302337962959</v>
      </c>
      <c r="G42" s="7">
        <v>1</v>
      </c>
      <c r="H42" s="22" t="s">
        <v>273</v>
      </c>
      <c r="I42" s="13">
        <v>42747.328333333331</v>
      </c>
      <c r="J42" s="7">
        <v>0</v>
      </c>
      <c r="K42" s="105" t="str">
        <f t="shared" si="0"/>
        <v>4031/4032</v>
      </c>
      <c r="L42" s="22" t="str">
        <f>VLOOKUP(A42,'Trips&amp;Operators'!$C$1:$G$99999,5,FALSE)</f>
        <v>STARKS ANGELINA</v>
      </c>
      <c r="M42" s="6">
        <f t="shared" si="1"/>
        <v>2.5995370371674653E-2</v>
      </c>
      <c r="N42" s="7">
        <f t="shared" si="21"/>
        <v>37.433333335211501</v>
      </c>
      <c r="O42" s="7"/>
      <c r="P42" s="7"/>
      <c r="Q42" s="23"/>
      <c r="R42" s="23"/>
      <c r="S42" s="32">
        <f t="shared" si="22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06:09:03-700',mode:absolute,to:'2017-01-12 08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4.4400000000000002E-2</v>
      </c>
      <c r="Z42" s="64">
        <f t="shared" si="9"/>
        <v>23.329799999999999</v>
      </c>
      <c r="AA42" s="64">
        <f t="shared" si="10"/>
        <v>23.285399999999999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0129-12</v>
      </c>
      <c r="AE42" s="87" t="str">
        <f t="shared" si="12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42" s="84" t="str">
        <f t="shared" si="13"/>
        <v>"C:\Program Files (x86)\AstroGrep\AstroGrep.exe" /spath="%USERPROFILE%\AppData\Local\Temp\OnboardLogs" /stypes="app*4031*20170112*"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129-12 --locoid 4031 --swversion DE.1.0.8.0 --startMP 204:444 --initTime 2017-01-12T07:09:03 --startdatetime 2017-01-12T07:15:22 --delay 1 --endMP 204:233298 --enddatetime 2017-01-12T07:52:48 --enforcementcount 0 &gt;&gt;C:\Users\stu\Documents\GitHub\eaglep3-reporting\EC\2017-01-12-refined-times.txt</v>
      </c>
      <c r="AI4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{"issue":{"subject":"","project_id":79,"tracker_id":40,"status_id":1,"priority_id":2,"assigned_to_id":23,"start_date":"2017-01-12","description":"","custom_fields":[{"id":1,"name":"Subdivision","value":"EC"},{"id":4,"name":"Milepost","value":"23.3298"},{"id":17,"name":"Train ID","value":"129-12"},{"id":16,"name":"Locomotive ID","value":"4031"},{"id":130,"name":"Impact","value":""},{"id":150,"name":"Time of Event (Mountain Time)","value":"07:52:48"},{"id":151,"name":"Denver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4031 --day 2017-01-12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583</v>
      </c>
      <c r="B43" s="7">
        <v>4032</v>
      </c>
      <c r="C43" s="22" t="s">
        <v>201</v>
      </c>
      <c r="D43" s="22" t="s">
        <v>287</v>
      </c>
      <c r="E43" s="13">
        <v>42747.337870370371</v>
      </c>
      <c r="F43" s="13">
        <v>42747.341145833336</v>
      </c>
      <c r="G43" s="7">
        <v>1</v>
      </c>
      <c r="H43" s="22" t="s">
        <v>763</v>
      </c>
      <c r="I43" s="13">
        <v>42747.367708333331</v>
      </c>
      <c r="J43" s="7">
        <v>0</v>
      </c>
      <c r="K43" s="105" t="str">
        <f t="shared" si="0"/>
        <v>4031/4032</v>
      </c>
      <c r="L43" s="22" t="str">
        <f>VLOOKUP(A43,'Trips&amp;Operators'!$C$1:$G$99999,5,FALSE)</f>
        <v>STARKS ANGELINA</v>
      </c>
      <c r="M43" s="6">
        <f t="shared" si="1"/>
        <v>2.6562499995634425E-2</v>
      </c>
      <c r="N43" s="7">
        <f t="shared" si="21"/>
        <v>38.249999993713573</v>
      </c>
      <c r="O43" s="7"/>
      <c r="P43" s="7"/>
      <c r="Q43" s="23"/>
      <c r="R43" s="23"/>
      <c r="S43" s="32">
        <f t="shared" si="22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07:06:32-700',mode:absolute,to:'2017-01-12 09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23.299299999999999</v>
      </c>
      <c r="Z43" s="64">
        <f t="shared" si="9"/>
        <v>1.43E-2</v>
      </c>
      <c r="AA43" s="64">
        <f t="shared" si="10"/>
        <v>23.285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0130-12</v>
      </c>
      <c r="AE43" s="87" t="str">
        <f t="shared" si="12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43" s="84" t="str">
        <f t="shared" si="13"/>
        <v>"C:\Program Files (x86)\AstroGrep\AstroGrep.exe" /spath="%USERPROFILE%\AppData\Local\Temp\OnboardLogs" /stypes="app*4032*20170112*"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130-12 --locoid 4032 --swversion DE.1.0.8.0 --startMP 204:232993 --initTime 2017-01-12T08:06:32 --startdatetime 2017-01-12T08:11:15 --delay 1 --endMP 204:143 --enddatetime 2017-01-12T08:49:30 --enforcementcount 0 &gt;&gt;C:\Users\stu\Documents\GitHub\eaglep3-reporting\EC\2017-01-12-refined-times.txt</v>
      </c>
      <c r="AI4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{"issue":{"subject":"","project_id":79,"tracker_id":40,"status_id":1,"priority_id":2,"assigned_to_id":23,"start_date":"2017-01-12","description":"","custom_fields":[{"id":1,"name":"Subdivision","value":"EC"},{"id":4,"name":"Milepost","value":"0.0143"},{"id":17,"name":"Train ID","value":"130-12"},{"id":16,"name":"Locomotive ID","value":"4032"},{"id":130,"name":"Impact","value":""},{"id":150,"name":"Time of Event (Mountain Time)","value":"08:49:30"},{"id":151,"name":"Denver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4032 --day 2017-01-12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576</v>
      </c>
      <c r="B44" s="7">
        <v>4014</v>
      </c>
      <c r="C44" s="22" t="s">
        <v>201</v>
      </c>
      <c r="D44" s="22" t="s">
        <v>221</v>
      </c>
      <c r="E44" s="13">
        <v>42747.307615740741</v>
      </c>
      <c r="F44" s="13">
        <v>42747.312673611108</v>
      </c>
      <c r="G44" s="7">
        <v>1</v>
      </c>
      <c r="H44" s="22" t="s">
        <v>286</v>
      </c>
      <c r="I44" s="13">
        <v>42747.338692129626</v>
      </c>
      <c r="J44" s="7">
        <v>0</v>
      </c>
      <c r="K44" s="105" t="str">
        <f t="shared" si="0"/>
        <v>4013/4014</v>
      </c>
      <c r="L44" s="22" t="str">
        <f>VLOOKUP(A44,'Trips&amp;Operators'!$C$1:$G$99999,5,FALSE)</f>
        <v>BONDS REYNALDO</v>
      </c>
      <c r="M44" s="6">
        <f t="shared" si="1"/>
        <v>2.6018518517958E-2</v>
      </c>
      <c r="N44" s="7">
        <f t="shared" si="21"/>
        <v>37.46666666585952</v>
      </c>
      <c r="O44" s="7"/>
      <c r="P44" s="7"/>
      <c r="Q44" s="23"/>
      <c r="R44" s="23"/>
      <c r="S44" s="32">
        <f t="shared" si="22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06:22:58-700',mode:absolute,to:'2017-01-12 09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4.5499999999999999E-2</v>
      </c>
      <c r="Z44" s="64">
        <f t="shared" si="9"/>
        <v>23.330100000000002</v>
      </c>
      <c r="AA44" s="64">
        <f t="shared" si="10"/>
        <v>23.284600000000001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0131-12</v>
      </c>
      <c r="AE44" s="87" t="str">
        <f t="shared" si="12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44" s="84" t="str">
        <f t="shared" si="13"/>
        <v>"C:\Program Files (x86)\AstroGrep\AstroGrep.exe" /spath="%USERPROFILE%\AppData\Local\Temp\OnboardLogs" /stypes="app*4014*20170112*"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131-12 --locoid 4014 --swversion DE.1.0.8.0 --startMP 204:455 --initTime 2017-01-12T07:22:58 --startdatetime 2017-01-12T07:30:15 --delay 1 --endMP 204:233301 --enddatetime 2017-01-12T08:07:43 --enforcementcount 0 &gt;&gt;C:\Users\stu\Documents\GitHub\eaglep3-reporting\EC\2017-01-12-refined-times.txt</v>
      </c>
      <c r="AI4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{"issue":{"subject":"","project_id":79,"tracker_id":40,"status_id":1,"priority_id":2,"assigned_to_id":23,"start_date":"2017-01-12","description":"","custom_fields":[{"id":1,"name":"Subdivision","value":"EC"},{"id":4,"name":"Milepost","value":"23.3301"},{"id":17,"name":"Train ID","value":"131-12"},{"id":16,"name":"Locomotive ID","value":"4014"},{"id":130,"name":"Impact","value":""},{"id":150,"name":"Time of Event (Mountain Time)","value":"08:07:43"},{"id":151,"name":"Denver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4014 --day 2017-01-12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587</v>
      </c>
      <c r="B45" s="7">
        <v>4013</v>
      </c>
      <c r="C45" s="22" t="s">
        <v>201</v>
      </c>
      <c r="D45" s="22" t="s">
        <v>242</v>
      </c>
      <c r="E45" s="13">
        <v>42747.347372685188</v>
      </c>
      <c r="F45" s="13">
        <v>42747.351527777777</v>
      </c>
      <c r="G45" s="7">
        <v>1</v>
      </c>
      <c r="H45" s="22" t="s">
        <v>259</v>
      </c>
      <c r="I45" s="13">
        <v>42747.378692129627</v>
      </c>
      <c r="J45" s="7">
        <v>0</v>
      </c>
      <c r="K45" s="105" t="str">
        <f t="shared" si="0"/>
        <v>4013/4014</v>
      </c>
      <c r="L45" s="22" t="str">
        <f>VLOOKUP(A45,'Trips&amp;Operators'!$C$1:$G$99999,5,FALSE)</f>
        <v>BONDS REYNALDO</v>
      </c>
      <c r="M45" s="6">
        <f t="shared" si="1"/>
        <v>2.7164351849933155E-2</v>
      </c>
      <c r="N45" s="7">
        <f t="shared" si="21"/>
        <v>39.116666663903743</v>
      </c>
      <c r="O45" s="7"/>
      <c r="P45" s="7"/>
      <c r="Q45" s="23"/>
      <c r="R45" s="23"/>
      <c r="S45" s="32">
        <f t="shared" si="22"/>
        <v>1</v>
      </c>
      <c r="T45" s="47" t="str">
        <f t="shared" ref="T45:T76" si="23">IF(ISEVEN(LEFT(AD45,4)),"Southbound","NorthBound")</f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07:20:13-700',mode:absolute,to:'2017-01-12 10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45" s="49" t="str">
        <f t="shared" si="6"/>
        <v>N</v>
      </c>
      <c r="X45" s="173">
        <f t="shared" ref="X45:X67" si="24">VALUE(LEFT(AD45,4))-VALUE(LEFT(AD44,4))</f>
        <v>1</v>
      </c>
      <c r="Y45" s="64">
        <f t="shared" ref="Y45:Y76" si="25">RIGHT(D45,LEN(D45)-4)/10000</f>
        <v>23.297699999999999</v>
      </c>
      <c r="Z45" s="64">
        <f t="shared" ref="Z45:Z76" si="26">RIGHT(H45,LEN(H45)-4)/10000</f>
        <v>1.5800000000000002E-2</v>
      </c>
      <c r="AA45" s="64">
        <f t="shared" si="10"/>
        <v>23.2819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0132-12</v>
      </c>
      <c r="AE45" s="87" t="str">
        <f t="shared" si="12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45" s="84" t="str">
        <f t="shared" si="13"/>
        <v>"C:\Program Files (x86)\AstroGrep\AstroGrep.exe" /spath="%USERPROFILE%\AppData\Local\Temp\OnboardLogs" /stypes="app*4013*20170112*" /stext=" 16:.+((SYSTEM_STATE.+slice.+state.+changed )|(ment ac)|(multiple cpu faults)|(system.+state.+changed )|(\[timeout)|(PRM\|1\|D)|(kpr)|(kdp)|(\|lc)|(penalty))" /e /r /s</v>
      </c>
      <c r="AG45" s="1" t="str">
        <f t="shared" ref="AG45:AG76" si="27">IFERROR(IF(VALUE(LEFT(AD45,2))&lt;=2,"EC",IF(OR(VALUE(LEFT(AD45,2))=8,VALUE(LEFT(AD45,2))=18),"NW","Other")),"Other")</f>
        <v>EC</v>
      </c>
      <c r="AH45" s="88" t="str">
        <f t="shared" si="18"/>
        <v>"%USERPROFILE%\Documents\GitHub\eaglep3\Utilities\RefineRTDCRunTimes.py" --tripid 132-12 --locoid 4013 --swversion DE.1.0.8.0 --startMP 204:232977 --initTime 2017-01-12T08:20:13 --startdatetime 2017-01-12T08:26:12 --delay 1 --endMP 204:158 --enddatetime 2017-01-12T09:05:19 --enforcementcount 0 &gt;&gt;C:\Users\stu\Documents\GitHub\eaglep3-reporting\EC\2017-01-12-refined-times.txt</v>
      </c>
      <c r="AI4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{"issue":{"subject":"","project_id":79,"tracker_id":40,"status_id":1,"priority_id":2,"assigned_to_id":23,"start_date":"2017-01-12","description":"","custom_fields":[{"id":1,"name":"Subdivision","value":"EC"},{"id":4,"name":"Milepost","value":"0.0158"},{"id":17,"name":"Train ID","value":"132-12"},{"id":16,"name":"Locomotive ID","value":"4013"},{"id":130,"name":"Impact","value":""},{"id":150,"name":"Time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4013 --day 2017-01-12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580</v>
      </c>
      <c r="B46" s="7">
        <v>4027</v>
      </c>
      <c r="C46" s="22" t="s">
        <v>201</v>
      </c>
      <c r="D46" s="22" t="s">
        <v>244</v>
      </c>
      <c r="E46" s="13">
        <v>42747.317800925928</v>
      </c>
      <c r="F46" s="13">
        <v>42747.323078703703</v>
      </c>
      <c r="G46" s="7">
        <v>1</v>
      </c>
      <c r="H46" s="22" t="s">
        <v>783</v>
      </c>
      <c r="I46" s="13">
        <v>42747.349108796298</v>
      </c>
      <c r="J46" s="7">
        <v>0</v>
      </c>
      <c r="K46" s="105" t="str">
        <f t="shared" si="0"/>
        <v>4027/4028</v>
      </c>
      <c r="L46" s="22" t="str">
        <f>VLOOKUP(A46,'Trips&amp;Operators'!$C$1:$G$99999,5,FALSE)</f>
        <v>ROBINSON KADDIBA</v>
      </c>
      <c r="M46" s="6">
        <f t="shared" si="1"/>
        <v>2.6030092594737653E-2</v>
      </c>
      <c r="N46" s="7">
        <f t="shared" si="21"/>
        <v>37.48333333642222</v>
      </c>
      <c r="O46" s="7"/>
      <c r="P46" s="7"/>
      <c r="Q46" s="23"/>
      <c r="R46" s="23"/>
      <c r="S46" s="32">
        <f t="shared" si="22"/>
        <v>1</v>
      </c>
      <c r="T46" s="47" t="str">
        <f t="shared" si="23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06:37:38-700',mode:absolute,to:'2017-01-12 09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46" s="49" t="str">
        <f t="shared" si="6"/>
        <v>N</v>
      </c>
      <c r="X46" s="173">
        <f t="shared" si="24"/>
        <v>1</v>
      </c>
      <c r="Y46" s="64">
        <f t="shared" si="25"/>
        <v>4.6199999999999998E-2</v>
      </c>
      <c r="Z46" s="64">
        <f t="shared" si="26"/>
        <v>23.330200000000001</v>
      </c>
      <c r="AA46" s="64">
        <f t="shared" si="10"/>
        <v>23.284000000000002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0133-12</v>
      </c>
      <c r="AE46" s="87" t="str">
        <f t="shared" si="12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46" s="84" t="str">
        <f t="shared" si="13"/>
        <v>"C:\Program Files (x86)\AstroGrep\AstroGrep.exe" /spath="%USERPROFILE%\AppData\Local\Temp\OnboardLogs" /stypes="app*4027*20170112*" /stext=" 15:.+((SYSTEM_STATE.+slice.+state.+changed )|(ment ac)|(multiple cpu faults)|(system.+state.+changed )|(\[timeout)|(PRM\|1\|D)|(kpr)|(kdp)|(\|lc)|(penalty))" /e /r /s</v>
      </c>
      <c r="AG46" s="1" t="str">
        <f t="shared" si="27"/>
        <v>EC</v>
      </c>
      <c r="AH46" s="88" t="str">
        <f t="shared" si="18"/>
        <v>"%USERPROFILE%\Documents\GitHub\eaglep3\Utilities\RefineRTDCRunTimes.py" --tripid 133-12 --locoid 4027 --swversion DE.1.0.8.0 --startMP 204:462 --initTime 2017-01-12T07:37:38 --startdatetime 2017-01-12T07:45:14 --delay 1 --endMP 204:233302 --enddatetime 2017-01-12T08:22:43 --enforcementcount 0 &gt;&gt;C:\Users\stu\Documents\GitHub\eaglep3-reporting\EC\2017-01-12-refined-times.txt</v>
      </c>
      <c r="AI4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{"issue":{"subject":"","project_id":79,"tracker_id":40,"status_id":1,"priority_id":2,"assigned_to_id":23,"start_date":"2017-01-12","description":"","custom_fields":[{"id":1,"name":"Subdivision","value":"EC"},{"id":4,"name":"Milepost","value":"23.3302"},{"id":17,"name":"Train ID","value":"133-12"},{"id":16,"name":"Locomotive ID","value":"4027"},{"id":130,"name":"Impact","value":""},{"id":150,"name":"Time of Event (Mountain Time)","value":"08:22:43"},{"id":151,"name":"Denver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4027 --day 2017-01-12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590</v>
      </c>
      <c r="B47" s="7">
        <v>4028</v>
      </c>
      <c r="C47" s="22" t="s">
        <v>201</v>
      </c>
      <c r="D47" s="22" t="s">
        <v>309</v>
      </c>
      <c r="E47" s="13">
        <v>42747.355300925927</v>
      </c>
      <c r="F47" s="13">
        <v>42747.361979166664</v>
      </c>
      <c r="G47" s="7">
        <v>0</v>
      </c>
      <c r="H47" s="22" t="s">
        <v>308</v>
      </c>
      <c r="I47" s="13">
        <v>42747.388379629629</v>
      </c>
      <c r="J47" s="7">
        <v>0</v>
      </c>
      <c r="K47" s="105" t="str">
        <f t="shared" si="0"/>
        <v>4027/4028</v>
      </c>
      <c r="L47" s="22" t="str">
        <f>VLOOKUP(A47,'Trips&amp;Operators'!$C$1:$G$99999,5,FALSE)</f>
        <v>ROBINSON KADDIBA</v>
      </c>
      <c r="M47" s="6">
        <f t="shared" si="1"/>
        <v>2.6400462964375038E-2</v>
      </c>
      <c r="N47" s="7">
        <f t="shared" si="21"/>
        <v>38.016666668700054</v>
      </c>
      <c r="O47" s="7"/>
      <c r="P47" s="7"/>
      <c r="Q47" s="23"/>
      <c r="R47" s="23"/>
      <c r="S47" s="32">
        <f t="shared" si="22"/>
        <v>1</v>
      </c>
      <c r="T47" s="47" t="str">
        <f t="shared" si="23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07:31:38-700',mode:absolute,to:'2017-01-12 10:19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47" s="49" t="str">
        <f t="shared" si="6"/>
        <v>N</v>
      </c>
      <c r="X47" s="173">
        <f t="shared" si="24"/>
        <v>1</v>
      </c>
      <c r="Y47" s="64">
        <f t="shared" si="25"/>
        <v>23.299600000000002</v>
      </c>
      <c r="Z47" s="64">
        <f t="shared" si="26"/>
        <v>1.54E-2</v>
      </c>
      <c r="AA47" s="64">
        <f t="shared" si="10"/>
        <v>23.284200000000002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0134-12</v>
      </c>
      <c r="AE47" s="87" t="str">
        <f t="shared" si="12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47" s="84" t="str">
        <f t="shared" si="13"/>
        <v>"C:\Program Files (x86)\AstroGrep\AstroGrep.exe" /spath="%USERPROFILE%\AppData\Local\Temp\OnboardLogs" /stypes="app*4028*20170112*" /stext=" 16:.+((SYSTEM_STATE.+slice.+state.+changed )|(ment ac)|(multiple cpu faults)|(system.+state.+changed )|(\[timeout)|(PRM\|1\|D)|(kpr)|(kdp)|(\|lc)|(penalty))" /e /r /s</v>
      </c>
      <c r="AG47" s="1" t="str">
        <f t="shared" si="27"/>
        <v>EC</v>
      </c>
      <c r="AH47" s="88" t="str">
        <f t="shared" si="18"/>
        <v>"%USERPROFILE%\Documents\GitHub\eaglep3\Utilities\RefineRTDCRunTimes.py" --tripid 134-12 --locoid 4028 --swversion DE.1.0.8.0 --startMP 204:232996 --initTime 2017-01-12T08:31:38 --startdatetime 2017-01-12T08:41:15 --delay 0 --endMP 204:154 --enddatetime 2017-01-12T09:19:16 --enforcementcount 0 &gt;&gt;C:\Users\stu\Documents\GitHub\eaglep3-reporting\EC\2017-01-12-refined-times.txt</v>
      </c>
      <c r="AI4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ID","value":"134-12"},{"id":16,"name":"Locomotive ID","value":"4028"},{"id":130,"name":"Impact","value":""},{"id":150,"name":"Time of Event (Mountain Time)","value":"09:19:16"},{"id":151,"name":"Denver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4028 --day 2017-01-12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582</v>
      </c>
      <c r="B48" s="7">
        <v>4022</v>
      </c>
      <c r="C48" s="22" t="s">
        <v>201</v>
      </c>
      <c r="D48" s="22" t="s">
        <v>244</v>
      </c>
      <c r="E48" s="13">
        <v>42747.329085648147</v>
      </c>
      <c r="F48" s="13">
        <v>42747.333587962959</v>
      </c>
      <c r="G48" s="7">
        <v>2</v>
      </c>
      <c r="H48" s="22" t="s">
        <v>468</v>
      </c>
      <c r="I48" s="13">
        <v>42747.358078703706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GEBRETEKLE DAGNEW</v>
      </c>
      <c r="M48" s="6">
        <f t="shared" si="1"/>
        <v>2.4490740746841766E-2</v>
      </c>
      <c r="N48" s="7">
        <f t="shared" si="21"/>
        <v>35.266666675452143</v>
      </c>
      <c r="O48" s="7"/>
      <c r="P48" s="7"/>
      <c r="Q48" s="23"/>
      <c r="R48" s="23" t="s">
        <v>951</v>
      </c>
      <c r="S48" s="32">
        <f t="shared" si="22"/>
        <v>1</v>
      </c>
      <c r="T48" s="47" t="str">
        <f t="shared" si="23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06:53:53-700',mode:absolute,to:'2017-01-12 09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48" s="49" t="str">
        <f t="shared" si="6"/>
        <v>N</v>
      </c>
      <c r="X48" s="173">
        <f t="shared" si="24"/>
        <v>1</v>
      </c>
      <c r="Y48" s="64">
        <f t="shared" si="25"/>
        <v>4.6199999999999998E-2</v>
      </c>
      <c r="Z48" s="64">
        <f t="shared" si="26"/>
        <v>23.331600000000002</v>
      </c>
      <c r="AA48" s="64">
        <f t="shared" si="10"/>
        <v>23.285400000000003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0135-12</v>
      </c>
      <c r="AE48" s="87" t="str">
        <f t="shared" si="12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48" s="84" t="str">
        <f t="shared" si="13"/>
        <v>"C:\Program Files (x86)\AstroGrep\AstroGrep.exe" /spath="%USERPROFILE%\AppData\Local\Temp\OnboardLogs" /stypes="app*4022*20170112*" /stext=" 15:.+((SYSTEM_STATE.+slice.+state.+changed )|(ment ac)|(multiple cpu faults)|(system.+state.+changed )|(\[timeout)|(PRM\|1\|D)|(kpr)|(kdp)|(\|lc)|(penalty))" /e /r /s</v>
      </c>
      <c r="AG48" s="1" t="str">
        <f t="shared" si="27"/>
        <v>EC</v>
      </c>
      <c r="AH48" s="88" t="str">
        <f t="shared" si="18"/>
        <v>"%USERPROFILE%\Documents\GitHub\eaglep3\Utilities\RefineRTDCRunTimes.py" --tripid 135-12 --locoid 4022 --swversion DE.1.0.8.0 --startMP 204:462 --initTime 2017-01-12T07:53:53 --startdatetime 2017-01-12T08:00:22 --delay 2 --endMP 204:233316 --enddatetime 2017-01-12T08:35:38 --enforcementcount 0 &gt;&gt;C:\Users\stu\Documents\GitHub\eaglep3-reporting\EC\2017-01-12-refined-times.txt</v>
      </c>
      <c r="AI48" s="115" t="str">
        <f t="shared" si="19"/>
        <v>echo {"issue":{"subject":"Departure delayed by Wi-MAX data drop","project_id":79,"tracker_id":40,"status_id":1,"priority_id":2,"assigned_to_id":23,"start_date":"2017-01-12","description":"http://stevetu21.github.io/eaglep3/load_kml.html?kml=http://rtdc.gmaps-snips.s3.amazonaws.com/e8d40b29-5bbf-46f0-9f38-bae01ae2043b.kml","custom_fields":[{"id":1,"name":"Subdivision","value":"EC"},{"id":4,"name":"Milepost","value":"23.3316"},{"id":17,"name":"Train ID","value":"135-12"},{"id":16,"name":"Locomotive ID","value":"4022"},{"id":130,"name":"Impact","value":"Others"},{"id":150,"name":"Time of Event (Mountain Time)","value":"08:35:38"},{"id":151,"name":"Denver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48" s="191" t="s">
        <v>950</v>
      </c>
      <c r="AK48" s="50" t="s">
        <v>137</v>
      </c>
      <c r="AL48" s="50" t="s">
        <v>138</v>
      </c>
      <c r="AM48" s="180" t="str">
        <f t="shared" si="20"/>
        <v>start /low /b %USERPROFILE%\Documents\GitHub\eaglep3\Utilities\DownloadLogsFromS3.py --loco 4022 --day 2017-01-12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593</v>
      </c>
      <c r="B49" s="7">
        <v>4021</v>
      </c>
      <c r="C49" s="22" t="s">
        <v>201</v>
      </c>
      <c r="D49" s="22" t="s">
        <v>479</v>
      </c>
      <c r="E49" s="13">
        <v>42747.369351851848</v>
      </c>
      <c r="F49" s="13">
        <v>42747.372418981482</v>
      </c>
      <c r="G49" s="7">
        <v>1</v>
      </c>
      <c r="H49" s="22" t="s">
        <v>304</v>
      </c>
      <c r="I49" s="13">
        <v>42747.39806712963</v>
      </c>
      <c r="J49" s="7">
        <v>0</v>
      </c>
      <c r="K49" s="105" t="str">
        <f t="shared" si="0"/>
        <v>4021/4022</v>
      </c>
      <c r="L49" s="22" t="str">
        <f>VLOOKUP(A49,'Trips&amp;Operators'!$C$1:$G$99999,5,FALSE)</f>
        <v>GEBRETEKLE DAGNEW</v>
      </c>
      <c r="M49" s="6">
        <f t="shared" si="1"/>
        <v>2.5648148148320615E-2</v>
      </c>
      <c r="N49" s="7">
        <f t="shared" si="21"/>
        <v>36.933333333581686</v>
      </c>
      <c r="O49" s="7"/>
      <c r="P49" s="7"/>
      <c r="Q49" s="23"/>
      <c r="R49" s="23"/>
      <c r="S49" s="32">
        <f t="shared" si="22"/>
        <v>1</v>
      </c>
      <c r="T49" s="47" t="str">
        <f t="shared" si="23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07:51:52-700',mode:absolute,to:'2017-01-12 10:33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49" s="49" t="str">
        <f t="shared" si="6"/>
        <v>N</v>
      </c>
      <c r="X49" s="173">
        <f t="shared" si="24"/>
        <v>1</v>
      </c>
      <c r="Y49" s="64">
        <f t="shared" si="25"/>
        <v>23.3001</v>
      </c>
      <c r="Z49" s="64">
        <f t="shared" si="26"/>
        <v>1.61E-2</v>
      </c>
      <c r="AA49" s="64">
        <f t="shared" si="10"/>
        <v>23.283999999999999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0136-12</v>
      </c>
      <c r="AE49" s="87" t="str">
        <f t="shared" si="12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49" s="84" t="str">
        <f t="shared" si="13"/>
        <v>"C:\Program Files (x86)\AstroGrep\AstroGrep.exe" /spath="%USERPROFILE%\AppData\Local\Temp\OnboardLogs" /stypes="app*4021*20170112*" /stext=" 16:.+((SYSTEM_STATE.+slice.+state.+changed )|(ment ac)|(multiple cpu faults)|(system.+state.+changed )|(\[timeout)|(PRM\|1\|D)|(kpr)|(kdp)|(\|lc)|(penalty))" /e /r /s</v>
      </c>
      <c r="AG49" s="1" t="str">
        <f t="shared" si="27"/>
        <v>EC</v>
      </c>
      <c r="AH49" s="88" t="str">
        <f t="shared" si="18"/>
        <v>"%USERPROFILE%\Documents\GitHub\eaglep3\Utilities\RefineRTDCRunTimes.py" --tripid 136-12 --locoid 4021 --swversion DE.1.0.8.0 --startMP 204:233001 --initTime 2017-01-12T08:51:52 --startdatetime 2017-01-12T08:56:17 --delay 1 --endMP 204:161 --enddatetime 2017-01-12T09:33:13 --enforcementcount 0 &gt;&gt;C:\Users\stu\Documents\GitHub\eaglep3-reporting\EC\2017-01-12-refined-times.txt</v>
      </c>
      <c r="AI4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{"issue":{"subject":"","project_id":79,"tracker_id":40,"status_id":1,"priority_id":2,"assigned_to_id":23,"start_date":"2017-01-12","description":"","custom_fields":[{"id":1,"name":"Subdivision","value":"EC"},{"id":4,"name":"Milepost","value":"0.0161"},{"id":17,"name":"Train ID","value":"136-12"},{"id":16,"name":"Locomotive ID","value":"4021"},{"id":130,"name":"Impact","value":""},{"id":150,"name":"Time of Event (Mountain Time)","value":"09:33:13"},{"id":151,"name":"Denver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4021 --day 2017-01-12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584</v>
      </c>
      <c r="B50" s="7">
        <v>4002</v>
      </c>
      <c r="C50" s="22" t="s">
        <v>201</v>
      </c>
      <c r="D50" s="22" t="s">
        <v>784</v>
      </c>
      <c r="E50" s="13">
        <v>42747.338414351849</v>
      </c>
      <c r="F50" s="13">
        <v>42747.344097222223</v>
      </c>
      <c r="G50" s="7">
        <v>1</v>
      </c>
      <c r="H50" s="22" t="s">
        <v>357</v>
      </c>
      <c r="I50" s="13">
        <v>42747.371215277781</v>
      </c>
      <c r="J50" s="7">
        <v>0</v>
      </c>
      <c r="K50" s="105" t="str">
        <f t="shared" si="0"/>
        <v>4001/4002</v>
      </c>
      <c r="L50" s="22" t="str">
        <f>VLOOKUP(A50,'Trips&amp;Operators'!$C$1:$G$99999,5,FALSE)</f>
        <v>DUNCAN SHEILA</v>
      </c>
      <c r="M50" s="6">
        <f t="shared" si="1"/>
        <v>2.7118055557366461E-2</v>
      </c>
      <c r="N50" s="7">
        <f t="shared" si="21"/>
        <v>39.050000002607703</v>
      </c>
      <c r="O50" s="7"/>
      <c r="P50" s="7"/>
      <c r="Q50" s="23"/>
      <c r="R50" s="23"/>
      <c r="S50" s="32">
        <f t="shared" si="22"/>
        <v>1</v>
      </c>
      <c r="T50" s="47" t="str">
        <f t="shared" si="23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07:07:19-700',mode:absolute,to:'2017-01-12 09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50" s="49" t="str">
        <f t="shared" si="6"/>
        <v>N</v>
      </c>
      <c r="X50" s="173">
        <f t="shared" si="24"/>
        <v>1</v>
      </c>
      <c r="Y50" s="64">
        <f t="shared" si="25"/>
        <v>4.9099999999999998E-2</v>
      </c>
      <c r="Z50" s="64">
        <f t="shared" si="26"/>
        <v>23.3291</v>
      </c>
      <c r="AA50" s="64">
        <f t="shared" si="10"/>
        <v>23.28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0137-12</v>
      </c>
      <c r="AE50" s="87" t="str">
        <f t="shared" si="12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50" s="84" t="str">
        <f t="shared" si="13"/>
        <v>"C:\Program Files (x86)\AstroGrep\AstroGrep.exe" /spath="%USERPROFILE%\AppData\Local\Temp\OnboardLogs" /stypes="app*4002*20170112*" /stext=" 15:.+((SYSTEM_STATE.+slice.+state.+changed )|(ment ac)|(multiple cpu faults)|(system.+state.+changed )|(\[timeout)|(PRM\|1\|D)|(kpr)|(kdp)|(\|lc)|(penalty))" /e /r /s</v>
      </c>
      <c r="AG50" s="1" t="str">
        <f t="shared" si="27"/>
        <v>EC</v>
      </c>
      <c r="AH50" s="88" t="str">
        <f t="shared" si="18"/>
        <v>"%USERPROFILE%\Documents\GitHub\eaglep3\Utilities\RefineRTDCRunTimes.py" --tripid 137-12 --locoid 4002 --swversion DE.1.0.8.0 --startMP 204:491 --initTime 2017-01-12T08:07:19 --startdatetime 2017-01-12T08:15:30 --delay 1 --endMP 204:233291 --enddatetime 2017-01-12T08:54:33 --enforcementcount 0 &gt;&gt;C:\Users\stu\Documents\GitHub\eaglep3-reporting\EC\2017-01-12-refined-times.txt</v>
      </c>
      <c r="AI50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{"issue":{"subject":"","project_id":79,"tracker_id":40,"status_id":1,"priority_id":2,"assigned_to_id":23,"start_date":"2017-01-12","description":"","custom_fields":[{"id":1,"name":"Subdivision","value":"EC"},{"id":4,"name":"Milepost","value":"23.3291"},{"id":17,"name":"Train ID","value":"137-12"},{"id":16,"name":"Locomotive ID","value":"4002"},{"id":130,"name":"Impact","value":""},{"id":150,"name":"Time of Event (Mountain Time)","value":"08:54:33"},{"id":151,"name":"Denver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4002 --day 2017-01-12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595</v>
      </c>
      <c r="B51" s="7">
        <v>4001</v>
      </c>
      <c r="C51" s="22" t="s">
        <v>201</v>
      </c>
      <c r="D51" s="22" t="s">
        <v>272</v>
      </c>
      <c r="E51" s="13">
        <v>42747.375925925924</v>
      </c>
      <c r="F51" s="13">
        <v>42747.383194444446</v>
      </c>
      <c r="G51" s="7">
        <v>1</v>
      </c>
      <c r="H51" s="22" t="s">
        <v>206</v>
      </c>
      <c r="I51" s="13">
        <v>42747.409826388888</v>
      </c>
      <c r="J51" s="7">
        <v>0</v>
      </c>
      <c r="K51" s="105" t="str">
        <f t="shared" si="0"/>
        <v>4001/4002</v>
      </c>
      <c r="L51" s="22" t="str">
        <f>VLOOKUP(A51,'Trips&amp;Operators'!$C$1:$G$99999,5,FALSE)</f>
        <v>DUNCAN SHEILA</v>
      </c>
      <c r="M51" s="6">
        <f t="shared" si="1"/>
        <v>2.6631944441760425E-2</v>
      </c>
      <c r="N51" s="7">
        <f t="shared" si="21"/>
        <v>38.349999996135011</v>
      </c>
      <c r="O51" s="7"/>
      <c r="P51" s="7"/>
      <c r="Q51" s="23"/>
      <c r="R51" s="23"/>
      <c r="S51" s="32">
        <f t="shared" si="22"/>
        <v>1</v>
      </c>
      <c r="T51" s="47" t="str">
        <f t="shared" si="23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08:01:20-700',mode:absolute,to:'2017-01-12 10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51" s="49" t="str">
        <f t="shared" si="6"/>
        <v>N</v>
      </c>
      <c r="X51" s="173">
        <f t="shared" si="24"/>
        <v>1</v>
      </c>
      <c r="Y51" s="64">
        <f t="shared" si="25"/>
        <v>23.298300000000001</v>
      </c>
      <c r="Z51" s="64">
        <f t="shared" si="26"/>
        <v>1.4999999999999999E-2</v>
      </c>
      <c r="AA51" s="64">
        <f t="shared" si="10"/>
        <v>23.283300000000001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0138-12</v>
      </c>
      <c r="AE51" s="87" t="str">
        <f t="shared" si="12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51" s="84" t="str">
        <f t="shared" si="13"/>
        <v>"C:\Program Files (x86)\AstroGrep\AstroGrep.exe" /spath="%USERPROFILE%\AppData\Local\Temp\OnboardLogs" /stypes="app*4001*20170112*" /stext=" 16:.+((SYSTEM_STATE.+slice.+state.+changed )|(ment ac)|(multiple cpu faults)|(system.+state.+changed )|(\[timeout)|(PRM\|1\|D)|(kpr)|(kdp)|(\|lc)|(penalty))" /e /r /s</v>
      </c>
      <c r="AG51" s="1" t="str">
        <f t="shared" si="27"/>
        <v>EC</v>
      </c>
      <c r="AH51" s="88" t="str">
        <f t="shared" si="18"/>
        <v>"%USERPROFILE%\Documents\GitHub\eaglep3\Utilities\RefineRTDCRunTimes.py" --tripid 138-12 --locoid 4001 --swversion DE.1.0.8.0 --startMP 204:232983 --initTime 2017-01-12T09:01:20 --startdatetime 2017-01-12T09:11:48 --delay 1 --endMP 204:150 --enddatetime 2017-01-12T09:50:09 --enforcementcount 0 &gt;&gt;C:\Users\stu\Documents\GitHub\eaglep3-reporting\EC\2017-01-12-refined-times.txt</v>
      </c>
      <c r="AI51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{"issue":{"subject":"","project_id":79,"tracker_id":40,"status_id":1,"priority_id":2,"assigned_to_id":23,"start_date":"2017-01-12","description":"","custom_fields":[{"id":1,"name":"Subdivision","value":"EC"},{"id":4,"name":"Milepost","value":"0.015"},{"id":17,"name":"Train ID","value":"138-12"},{"id":16,"name":"Locomotive ID","value":"4001"},{"id":130,"name":"Impact","value":""},{"id":150,"name":"Time of Event (Mountain Time)","value":"09:50:09"},{"id":151,"name":"Denver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4001 --day 2017-01-12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588</v>
      </c>
      <c r="B52" s="7">
        <v>4020</v>
      </c>
      <c r="C52" s="22" t="s">
        <v>201</v>
      </c>
      <c r="D52" s="22" t="s">
        <v>296</v>
      </c>
      <c r="E52" s="13">
        <v>42747.34851851852</v>
      </c>
      <c r="F52" s="13">
        <v>42747.354803240742</v>
      </c>
      <c r="G52" s="7">
        <v>1</v>
      </c>
      <c r="H52" s="22" t="s">
        <v>776</v>
      </c>
      <c r="I52" s="13">
        <v>42747.378506944442</v>
      </c>
      <c r="J52" s="7">
        <v>0</v>
      </c>
      <c r="K52" s="105" t="str">
        <f t="shared" si="0"/>
        <v>4019/4020</v>
      </c>
      <c r="L52" s="22" t="str">
        <f>VLOOKUP(A52,'Trips&amp;Operators'!$C$1:$G$99999,5,FALSE)</f>
        <v>YORK EDGAR</v>
      </c>
      <c r="M52" s="6">
        <f t="shared" si="1"/>
        <v>2.3703703700448386E-2</v>
      </c>
      <c r="N52" s="7">
        <f t="shared" si="21"/>
        <v>34.133333328645676</v>
      </c>
      <c r="O52" s="7"/>
      <c r="P52" s="7"/>
      <c r="Q52" s="23"/>
      <c r="R52" s="23"/>
      <c r="S52" s="32">
        <f t="shared" si="22"/>
        <v>1</v>
      </c>
      <c r="T52" s="47" t="str">
        <f t="shared" si="23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07:21:52-700',mode:absolute,to:'2017-01-12 10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52" s="49" t="str">
        <f t="shared" si="6"/>
        <v>N</v>
      </c>
      <c r="X52" s="173">
        <f t="shared" si="24"/>
        <v>1</v>
      </c>
      <c r="Y52" s="64">
        <f t="shared" si="25"/>
        <v>4.3799999999999999E-2</v>
      </c>
      <c r="Z52" s="64">
        <f t="shared" si="26"/>
        <v>23.328800000000001</v>
      </c>
      <c r="AA52" s="64">
        <f t="shared" si="10"/>
        <v>23.285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0139-12</v>
      </c>
      <c r="AE52" s="87" t="str">
        <f t="shared" si="12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52" s="84" t="str">
        <f t="shared" si="13"/>
        <v>"C:\Program Files (x86)\AstroGrep\AstroGrep.exe" /spath="%USERPROFILE%\AppData\Local\Temp\OnboardLogs" /stypes="app*4020*20170112*" /stext=" 16:.+((SYSTEM_STATE.+slice.+state.+changed )|(ment ac)|(multiple cpu faults)|(system.+state.+changed )|(\[timeout)|(PRM\|1\|D)|(kpr)|(kdp)|(\|lc)|(penalty))" /e /r /s</v>
      </c>
      <c r="AG52" s="1" t="str">
        <f t="shared" si="27"/>
        <v>EC</v>
      </c>
      <c r="AH52" s="88" t="str">
        <f t="shared" si="18"/>
        <v>"%USERPROFILE%\Documents\GitHub\eaglep3\Utilities\RefineRTDCRunTimes.py" --tripid 139-12 --locoid 4020 --swversion DE.1.0.8.0 --startMP 204:438 --initTime 2017-01-12T08:21:52 --startdatetime 2017-01-12T08:30:55 --delay 1 --endMP 204:233288 --enddatetime 2017-01-12T09:05:03 --enforcementcount 0 &gt;&gt;C:\Users\stu\Documents\GitHub\eaglep3-reporting\EC\2017-01-12-refined-times.txt</v>
      </c>
      <c r="AI5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{"issue":{"subject":"","project_id":79,"tracker_id":40,"status_id":1,"priority_id":2,"assigned_to_id":23,"start_date":"2017-01-12","description":"","custom_fields":[{"id":1,"name":"Subdivision","value":"EC"},{"id":4,"name":"Milepost","value":"23.3288"},{"id":17,"name":"Train ID","value":"139-12"},{"id":16,"name":"Locomotive ID","value":"4020"},{"id":130,"name":"Impact","value":""},{"id":150,"name":"Time of Event (Mountain Time)","value":"09:05:03"},{"id":151,"name":"Denver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4020 --day 2017-01-12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598</v>
      </c>
      <c r="B53" s="7">
        <v>4019</v>
      </c>
      <c r="C53" s="22" t="s">
        <v>201</v>
      </c>
      <c r="D53" s="22" t="s">
        <v>253</v>
      </c>
      <c r="E53" s="13">
        <v>42747.38858796296</v>
      </c>
      <c r="F53" s="13">
        <v>42747.393217592595</v>
      </c>
      <c r="G53" s="7">
        <v>1</v>
      </c>
      <c r="H53" s="22" t="s">
        <v>206</v>
      </c>
      <c r="I53" s="13">
        <v>42747.418888888889</v>
      </c>
      <c r="J53" s="7">
        <v>0</v>
      </c>
      <c r="K53" s="105" t="str">
        <f t="shared" si="0"/>
        <v>4019/4020</v>
      </c>
      <c r="L53" s="22" t="str">
        <f>VLOOKUP(A53,'Trips&amp;Operators'!$C$1:$G$99999,5,FALSE)</f>
        <v>YORK EDGAR</v>
      </c>
      <c r="M53" s="6">
        <f t="shared" si="1"/>
        <v>2.5671296294603962E-2</v>
      </c>
      <c r="N53" s="7">
        <f t="shared" si="21"/>
        <v>36.966666664229706</v>
      </c>
      <c r="O53" s="7"/>
      <c r="P53" s="7"/>
      <c r="Q53" s="23"/>
      <c r="R53" s="23"/>
      <c r="S53" s="32">
        <f t="shared" si="22"/>
        <v>1</v>
      </c>
      <c r="T53" s="47" t="str">
        <f t="shared" si="23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08:19:34-700',mode:absolute,to:'2017-01-12 11:03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53" s="49" t="str">
        <f t="shared" si="6"/>
        <v>N</v>
      </c>
      <c r="X53" s="173">
        <f t="shared" si="24"/>
        <v>1</v>
      </c>
      <c r="Y53" s="64">
        <f t="shared" si="25"/>
        <v>23.2973</v>
      </c>
      <c r="Z53" s="64">
        <f t="shared" si="26"/>
        <v>1.4999999999999999E-2</v>
      </c>
      <c r="AA53" s="64">
        <f t="shared" si="10"/>
        <v>23.282299999999999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0140-12</v>
      </c>
      <c r="AE53" s="87" t="str">
        <f t="shared" si="12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53" s="84" t="str">
        <f t="shared" si="13"/>
        <v>"C:\Program Files (x86)\AstroGrep\AstroGrep.exe" /spath="%USERPROFILE%\AppData\Local\Temp\OnboardLogs" /stypes="app*4019*20170112*" /stext=" 17:.+((SYSTEM_STATE.+slice.+state.+changed )|(ment ac)|(multiple cpu faults)|(system.+state.+changed )|(\[timeout)|(PRM\|1\|D)|(kpr)|(kdp)|(\|lc)|(penalty))" /e /r /s</v>
      </c>
      <c r="AG53" s="1" t="str">
        <f t="shared" si="27"/>
        <v>EC</v>
      </c>
      <c r="AH53" s="88" t="str">
        <f t="shared" si="18"/>
        <v>"%USERPROFILE%\Documents\GitHub\eaglep3\Utilities\RefineRTDCRunTimes.py" --tripid 140-12 --locoid 4019 --swversion DE.1.0.8.0 --startMP 204:232973 --initTime 2017-01-12T09:19:34 --startdatetime 2017-01-12T09:26:14 --delay 1 --endMP 204:150 --enddatetime 2017-01-12T10:03:12 --enforcementcount 0 &gt;&gt;C:\Users\stu\Documents\GitHub\eaglep3-reporting\EC\2017-01-12-refined-times.txt</v>
      </c>
      <c r="AI5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{"issue":{"subject":"","project_id":79,"tracker_id":40,"status_id":1,"priority_id":2,"assigned_to_id":23,"start_date":"2017-01-12","description":"","custom_fields":[{"id":1,"name":"Subdivision","value":"EC"},{"id":4,"name":"Milepost","value":"0.015"},{"id":17,"name":"Train ID","value":"140-12"},{"id":16,"name":"Locomotive ID","value":"4019"},{"id":130,"name":"Impact","value":""},{"id":150,"name":"Time of Event (Mountain Time)","value":"10:03:12"},{"id":151,"name":"Denver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4019 --day 2017-01-12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591</v>
      </c>
      <c r="B54" s="7">
        <v>4011</v>
      </c>
      <c r="C54" s="22" t="s">
        <v>201</v>
      </c>
      <c r="D54" s="22" t="s">
        <v>330</v>
      </c>
      <c r="E54" s="13">
        <v>42747.358460648145</v>
      </c>
      <c r="F54" s="13">
        <v>42747.364756944444</v>
      </c>
      <c r="G54" s="7">
        <v>1</v>
      </c>
      <c r="H54" s="22" t="s">
        <v>352</v>
      </c>
      <c r="I54" s="13">
        <v>42747.3903587963</v>
      </c>
      <c r="J54" s="7">
        <v>0</v>
      </c>
      <c r="K54" s="105" t="str">
        <f t="shared" si="0"/>
        <v>4011/4012</v>
      </c>
      <c r="L54" s="22" t="str">
        <f>VLOOKUP(A54,'Trips&amp;Operators'!$C$1:$G$99999,5,FALSE)</f>
        <v>ISHMAEL JOSEPH</v>
      </c>
      <c r="M54" s="6">
        <f t="shared" si="1"/>
        <v>2.5601851855753921E-2</v>
      </c>
      <c r="N54" s="7">
        <f t="shared" si="21"/>
        <v>36.866666672285646</v>
      </c>
      <c r="O54" s="7"/>
      <c r="P54" s="7"/>
      <c r="Q54" s="23"/>
      <c r="R54" s="23"/>
      <c r="S54" s="32">
        <f t="shared" si="22"/>
        <v>1</v>
      </c>
      <c r="T54" s="47" t="str">
        <f t="shared" si="23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07:36:11-700',mode:absolute,to:'2017-01-12 10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54" s="49" t="str">
        <f t="shared" si="6"/>
        <v>N</v>
      </c>
      <c r="X54" s="173">
        <f t="shared" si="24"/>
        <v>1</v>
      </c>
      <c r="Y54" s="64">
        <f t="shared" si="25"/>
        <v>4.4200000000000003E-2</v>
      </c>
      <c r="Z54" s="64">
        <f t="shared" si="26"/>
        <v>23.331</v>
      </c>
      <c r="AA54" s="64">
        <f t="shared" si="10"/>
        <v>23.286799999999999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0141-12</v>
      </c>
      <c r="AE54" s="87" t="str">
        <f t="shared" si="12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54" s="84" t="str">
        <f t="shared" si="13"/>
        <v>"C:\Program Files (x86)\AstroGrep\AstroGrep.exe" /spath="%USERPROFILE%\AppData\Local\Temp\OnboardLogs" /stypes="app*4011*20170112*" /stext=" 16:.+((SYSTEM_STATE.+slice.+state.+changed )|(ment ac)|(multiple cpu faults)|(system.+state.+changed )|(\[timeout)|(PRM\|1\|D)|(kpr)|(kdp)|(\|lc)|(penalty))" /e /r /s</v>
      </c>
      <c r="AG54" s="1" t="str">
        <f t="shared" si="27"/>
        <v>EC</v>
      </c>
      <c r="AH54" s="88" t="str">
        <f t="shared" si="18"/>
        <v>"%USERPROFILE%\Documents\GitHub\eaglep3\Utilities\RefineRTDCRunTimes.py" --tripid 141-12 --locoid 4011 --swversion DE.1.0.8.0 --startMP 204:442 --initTime 2017-01-12T08:36:11 --startdatetime 2017-01-12T08:45:15 --delay 1 --endMP 204:233310 --enddatetime 2017-01-12T09:22:07 --enforcementcount 0 &gt;&gt;C:\Users\stu\Documents\GitHub\eaglep3-reporting\EC\2017-01-12-refined-times.txt</v>
      </c>
      <c r="AI5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{"issue":{"subject":"","project_id":79,"tracker_id":40,"status_id":1,"priority_id":2,"assigned_to_id":23,"start_date":"2017-01-12","description":"","custom_fields":[{"id":1,"name":"Subdivision","value":"EC"},{"id":4,"name":"Milepost","value":"23.331"},{"id":17,"name":"Train ID","value":"141-12"},{"id":16,"name":"Locomotive ID","value":"4011"},{"id":130,"name":"Impact","value":""},{"id":150,"name":"Time of Event (Mountain Time)","value":"09:22:07"},{"id":151,"name":"Denver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4011 --day 2017-01-12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600</v>
      </c>
      <c r="B55" s="7">
        <v>4012</v>
      </c>
      <c r="C55" s="22" t="s">
        <v>201</v>
      </c>
      <c r="D55" s="22" t="s">
        <v>353</v>
      </c>
      <c r="E55" s="13">
        <v>42747.396608796298</v>
      </c>
      <c r="F55" s="13">
        <v>42747.403935185182</v>
      </c>
      <c r="G55" s="7">
        <v>1</v>
      </c>
      <c r="H55" s="22" t="s">
        <v>206</v>
      </c>
      <c r="I55" s="13">
        <v>42747.430185185185</v>
      </c>
      <c r="J55" s="7">
        <v>0</v>
      </c>
      <c r="K55" s="105" t="str">
        <f t="shared" si="0"/>
        <v>4011/4012</v>
      </c>
      <c r="L55" s="22" t="str">
        <f>VLOOKUP(A55,'Trips&amp;Operators'!$C$1:$G$99999,5,FALSE)</f>
        <v>ISHMAEL JOSEPH</v>
      </c>
      <c r="M55" s="6">
        <f t="shared" si="1"/>
        <v>2.6250000002619345E-2</v>
      </c>
      <c r="N55" s="7">
        <f t="shared" si="21"/>
        <v>37.800000003771856</v>
      </c>
      <c r="O55" s="7"/>
      <c r="P55" s="7"/>
      <c r="Q55" s="23"/>
      <c r="R55" s="23"/>
      <c r="S55" s="32">
        <f t="shared" si="22"/>
        <v>1</v>
      </c>
      <c r="T55" s="47" t="str">
        <f t="shared" si="23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08:31:07-700',mode:absolute,to:'2017-01-12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55" s="49" t="str">
        <f t="shared" si="6"/>
        <v>N</v>
      </c>
      <c r="X55" s="173">
        <f t="shared" si="24"/>
        <v>1</v>
      </c>
      <c r="Y55" s="64">
        <f t="shared" si="25"/>
        <v>23.298100000000002</v>
      </c>
      <c r="Z55" s="64">
        <f t="shared" si="26"/>
        <v>1.4999999999999999E-2</v>
      </c>
      <c r="AA55" s="64">
        <f t="shared" si="10"/>
        <v>23.283100000000001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0142-12</v>
      </c>
      <c r="AE55" s="87" t="str">
        <f t="shared" si="12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55" s="84" t="str">
        <f t="shared" si="13"/>
        <v>"C:\Program Files (x86)\AstroGrep\AstroGrep.exe" /spath="%USERPROFILE%\AppData\Local\Temp\OnboardLogs" /stypes="app*4012*20170112*" /stext=" 17:.+((SYSTEM_STATE.+slice.+state.+changed )|(ment ac)|(multiple cpu faults)|(system.+state.+changed )|(\[timeout)|(PRM\|1\|D)|(kpr)|(kdp)|(\|lc)|(penalty))" /e /r /s</v>
      </c>
      <c r="AG55" s="1" t="str">
        <f t="shared" si="27"/>
        <v>EC</v>
      </c>
      <c r="AH55" s="88" t="str">
        <f t="shared" si="18"/>
        <v>"%USERPROFILE%\Documents\GitHub\eaglep3\Utilities\RefineRTDCRunTimes.py" --tripid 142-12 --locoid 4012 --swversion DE.1.0.8.0 --startMP 204:232981 --initTime 2017-01-12T09:31:07 --startdatetime 2017-01-12T09:41:40 --delay 1 --endMP 204:150 --enddatetime 2017-01-12T10:19:28 --enforcementcount 0 &gt;&gt;C:\Users\stu\Documents\GitHub\eaglep3-reporting\EC\2017-01-12-refined-times.txt</v>
      </c>
      <c r="AI5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{"issue":{"subject":"","project_id":79,"tracker_id":40,"status_id":1,"priority_id":2,"assigned_to_id":23,"start_date":"2017-01-12","description":"","custom_fields":[{"id":1,"name":"Subdivision","value":"EC"},{"id":4,"name":"Milepost","value":"0.015"},{"id":17,"name":"Train ID","value":"142-12"},{"id":16,"name":"Locomotive ID","value":"4012"},{"id":130,"name":"Impact","value":""},{"id":150,"name":"Time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4012 --day 2017-01-12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594</v>
      </c>
      <c r="B56" s="7">
        <v>4031</v>
      </c>
      <c r="C56" s="22" t="s">
        <v>201</v>
      </c>
      <c r="D56" s="22" t="s">
        <v>221</v>
      </c>
      <c r="E56" s="13">
        <v>42747.371215277781</v>
      </c>
      <c r="F56" s="13">
        <v>42747.375243055554</v>
      </c>
      <c r="G56" s="7">
        <v>1</v>
      </c>
      <c r="H56" s="22" t="s">
        <v>785</v>
      </c>
      <c r="I56" s="13">
        <v>42747.399988425925</v>
      </c>
      <c r="J56" s="7">
        <v>0</v>
      </c>
      <c r="K56" s="105" t="str">
        <f t="shared" si="0"/>
        <v>4031/4032</v>
      </c>
      <c r="L56" s="22" t="str">
        <f>VLOOKUP(A56,'Trips&amp;Operators'!$C$1:$G$99999,5,FALSE)</f>
        <v>STARKS ANGELINA</v>
      </c>
      <c r="M56" s="6">
        <f t="shared" si="1"/>
        <v>2.47453703705105E-2</v>
      </c>
      <c r="N56" s="7">
        <f t="shared" si="21"/>
        <v>35.63333333353512</v>
      </c>
      <c r="O56" s="7"/>
      <c r="P56" s="7"/>
      <c r="Q56" s="23"/>
      <c r="R56" s="23"/>
      <c r="S56" s="32">
        <f t="shared" si="22"/>
        <v>1</v>
      </c>
      <c r="T56" s="47" t="str">
        <f t="shared" si="23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07:54:33-700',mode:absolute,to:'2017-01-12 10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56" s="49" t="str">
        <f t="shared" si="6"/>
        <v>N</v>
      </c>
      <c r="X56" s="173">
        <f t="shared" si="24"/>
        <v>1</v>
      </c>
      <c r="Y56" s="64">
        <f t="shared" si="25"/>
        <v>4.5499999999999999E-2</v>
      </c>
      <c r="Z56" s="64">
        <f t="shared" si="26"/>
        <v>23.331399999999999</v>
      </c>
      <c r="AA56" s="64">
        <f t="shared" si="10"/>
        <v>23.285899999999998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0143-12</v>
      </c>
      <c r="AE56" s="87" t="str">
        <f t="shared" si="12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56" s="84" t="str">
        <f t="shared" si="13"/>
        <v>"C:\Program Files (x86)\AstroGrep\AstroGrep.exe" /spath="%USERPROFILE%\AppData\Local\Temp\OnboardLogs" /stypes="app*4031*20170112*" /stext=" 16:.+((SYSTEM_STATE.+slice.+state.+changed )|(ment ac)|(multiple cpu faults)|(system.+state.+changed )|(\[timeout)|(PRM\|1\|D)|(kpr)|(kdp)|(\|lc)|(penalty))" /e /r /s</v>
      </c>
      <c r="AG56" s="1" t="str">
        <f t="shared" si="27"/>
        <v>EC</v>
      </c>
      <c r="AH56" s="88" t="str">
        <f t="shared" si="18"/>
        <v>"%USERPROFILE%\Documents\GitHub\eaglep3\Utilities\RefineRTDCRunTimes.py" --tripid 143-12 --locoid 4031 --swversion DE.1.0.8.0 --startMP 204:455 --initTime 2017-01-12T08:54:33 --startdatetime 2017-01-12T09:00:21 --delay 1 --endMP 204:233314 --enddatetime 2017-01-12T09:35:59 --enforcementcount 0 &gt;&gt;C:\Users\stu\Documents\GitHub\eaglep3-reporting\EC\2017-01-12-refined-times.txt</v>
      </c>
      <c r="AI5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{"issue":{"subject":"","project_id":79,"tracker_id":40,"status_id":1,"priority_id":2,"assigned_to_id":23,"start_date":"2017-01-12","description":"","custom_fields":[{"id":1,"name":"Subdivision","value":"EC"},{"id":4,"name":"Milepost","value":"23.3314"},{"id":17,"name":"Train ID","value":"143-12"},{"id":16,"name":"Locomotive ID","value":"4031"},{"id":130,"name":"Impact","value":""},{"id":150,"name":"Time of Event (Mountain Time)","value":"09:35:59"},{"id":151,"name":"Denver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4031 --day 2017-01-12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603</v>
      </c>
      <c r="B57" s="7">
        <v>4032</v>
      </c>
      <c r="C57" s="22" t="s">
        <v>201</v>
      </c>
      <c r="D57" s="22" t="s">
        <v>242</v>
      </c>
      <c r="E57" s="13">
        <v>42747.409305555557</v>
      </c>
      <c r="F57" s="13">
        <v>42747.414270833331</v>
      </c>
      <c r="G57" s="7">
        <v>2</v>
      </c>
      <c r="H57" s="22" t="s">
        <v>191</v>
      </c>
      <c r="I57" s="13">
        <v>42747.440775462965</v>
      </c>
      <c r="J57" s="7">
        <v>0</v>
      </c>
      <c r="K57" s="105" t="str">
        <f t="shared" si="0"/>
        <v>4031/4032</v>
      </c>
      <c r="L57" s="22" t="str">
        <f>VLOOKUP(A57,'Trips&amp;Operators'!$C$1:$G$99999,5,FALSE)</f>
        <v>STARKS ANGELINA</v>
      </c>
      <c r="M57" s="6">
        <f t="shared" si="1"/>
        <v>2.6504629633564036E-2</v>
      </c>
      <c r="N57" s="7">
        <f t="shared" si="21"/>
        <v>38.166666672332212</v>
      </c>
      <c r="O57" s="7"/>
      <c r="P57" s="7"/>
      <c r="Q57" s="23"/>
      <c r="R57" s="23"/>
      <c r="S57" s="32">
        <f t="shared" si="22"/>
        <v>1</v>
      </c>
      <c r="T57" s="47" t="str">
        <f t="shared" si="23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08:49:24-700',mode:absolute,to:'2017-01-12 11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57" s="49" t="str">
        <f t="shared" si="6"/>
        <v>N</v>
      </c>
      <c r="X57" s="173">
        <f t="shared" si="24"/>
        <v>1</v>
      </c>
      <c r="Y57" s="64">
        <f t="shared" si="25"/>
        <v>23.297699999999999</v>
      </c>
      <c r="Z57" s="64">
        <f t="shared" si="26"/>
        <v>1.49E-2</v>
      </c>
      <c r="AA57" s="64">
        <f t="shared" si="10"/>
        <v>23.282799999999998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0144-12</v>
      </c>
      <c r="AE57" s="87" t="str">
        <f t="shared" si="12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57" s="84" t="str">
        <f t="shared" si="13"/>
        <v>"C:\Program Files (x86)\AstroGrep\AstroGrep.exe" /spath="%USERPROFILE%\AppData\Local\Temp\OnboardLogs" /stypes="app*4032*20170112*" /stext=" 17:.+((SYSTEM_STATE.+slice.+state.+changed )|(ment ac)|(multiple cpu faults)|(system.+state.+changed )|(\[timeout)|(PRM\|1\|D)|(kpr)|(kdp)|(\|lc)|(penalty))" /e /r /s</v>
      </c>
      <c r="AG57" s="1" t="str">
        <f t="shared" si="27"/>
        <v>EC</v>
      </c>
      <c r="AH57" s="88" t="str">
        <f t="shared" si="18"/>
        <v>"%USERPROFILE%\Documents\GitHub\eaglep3\Utilities\RefineRTDCRunTimes.py" --tripid 144-12 --locoid 4032 --swversion DE.1.0.8.0 --startMP 204:232977 --initTime 2017-01-12T09:49:24 --startdatetime 2017-01-12T09:56:33 --delay 2 --endMP 204:149 --enddatetime 2017-01-12T10:34:43 --enforcementcount 0 &gt;&gt;C:\Users\stu\Documents\GitHub\eaglep3-reporting\EC\2017-01-12-refined-times.txt</v>
      </c>
      <c r="AI5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{"issue":{"subject":"","project_id":79,"tracker_id":40,"status_id":1,"priority_id":2,"assigned_to_id":23,"start_date":"2017-01-12","description":"","custom_fields":[{"id":1,"name":"Subdivision","value":"EC"},{"id":4,"name":"Milepost","value":"0.0149"},{"id":17,"name":"Train ID","value":"144-12"},{"id":16,"name":"Locomotive ID","value":"4032"},{"id":130,"name":"Impact","value":""},{"id":150,"name":"Time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4032 --day 2017-01-12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597</v>
      </c>
      <c r="B58" s="7">
        <v>4014</v>
      </c>
      <c r="C58" s="22" t="s">
        <v>201</v>
      </c>
      <c r="D58" s="22" t="s">
        <v>330</v>
      </c>
      <c r="E58" s="13">
        <v>42747.380995370368</v>
      </c>
      <c r="F58" s="13">
        <v>42747.385925925926</v>
      </c>
      <c r="G58" s="7">
        <v>1</v>
      </c>
      <c r="H58" s="22" t="s">
        <v>786</v>
      </c>
      <c r="I58" s="13">
        <v>42747.41165509259</v>
      </c>
      <c r="J58" s="7">
        <v>0</v>
      </c>
      <c r="K58" s="105" t="str">
        <f t="shared" si="0"/>
        <v>4013/4014</v>
      </c>
      <c r="L58" s="22" t="str">
        <f>VLOOKUP(A58,'Trips&amp;Operators'!$C$1:$G$99999,5,FALSE)</f>
        <v>BONDS REYNALDO</v>
      </c>
      <c r="M58" s="6">
        <f t="shared" si="1"/>
        <v>2.5729166663950309E-2</v>
      </c>
      <c r="N58" s="7">
        <f t="shared" si="21"/>
        <v>37.049999996088445</v>
      </c>
      <c r="O58" s="7"/>
      <c r="P58" s="7"/>
      <c r="Q58" s="23"/>
      <c r="R58" s="23"/>
      <c r="S58" s="32">
        <f t="shared" si="22"/>
        <v>1</v>
      </c>
      <c r="T58" s="47" t="str">
        <f t="shared" si="23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08:08:38-700',mode:absolute,to:'2017-01-12 10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58" s="49" t="str">
        <f t="shared" si="6"/>
        <v>N</v>
      </c>
      <c r="X58" s="173">
        <f t="shared" si="24"/>
        <v>1</v>
      </c>
      <c r="Y58" s="64">
        <f t="shared" si="25"/>
        <v>4.4200000000000003E-2</v>
      </c>
      <c r="Z58" s="64">
        <f t="shared" si="26"/>
        <v>23.332100000000001</v>
      </c>
      <c r="AA58" s="64">
        <f t="shared" si="10"/>
        <v>23.2879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0145-12</v>
      </c>
      <c r="AE58" s="87" t="str">
        <f t="shared" si="12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58" s="84" t="str">
        <f t="shared" si="13"/>
        <v>"C:\Program Files (x86)\AstroGrep\AstroGrep.exe" /spath="%USERPROFILE%\AppData\Local\Temp\OnboardLogs" /stypes="app*4014*20170112*" /stext=" 16:.+((SYSTEM_STATE.+slice.+state.+changed )|(ment ac)|(multiple cpu faults)|(system.+state.+changed )|(\[timeout)|(PRM\|1\|D)|(kpr)|(kdp)|(\|lc)|(penalty))" /e /r /s</v>
      </c>
      <c r="AG58" s="1" t="str">
        <f t="shared" si="27"/>
        <v>EC</v>
      </c>
      <c r="AH58" s="88" t="str">
        <f t="shared" si="18"/>
        <v>"%USERPROFILE%\Documents\GitHub\eaglep3\Utilities\RefineRTDCRunTimes.py" --tripid 145-12 --locoid 4014 --swversion DE.1.0.8.0 --startMP 204:442 --initTime 2017-01-12T09:08:38 --startdatetime 2017-01-12T09:15:44 --delay 1 --endMP 204:233321 --enddatetime 2017-01-12T09:52:47 --enforcementcount 0 &gt;&gt;C:\Users\stu\Documents\GitHub\eaglep3-reporting\EC\2017-01-12-refined-times.txt</v>
      </c>
      <c r="AI58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{"issue":{"subject":"","project_id":79,"tracker_id":40,"status_id":1,"priority_id":2,"assigned_to_id":23,"start_date":"2017-01-12","description":"","custom_fields":[{"id":1,"name":"Subdivision","value":"EC"},{"id":4,"name":"Milepost","value":"23.3321"},{"id":17,"name":"Train ID","value":"145-12"},{"id":16,"name":"Locomotive ID","value":"4014"},{"id":130,"name":"Impact","value":""},{"id":150,"name":"Time of Event (Mountain Time)","value":"09:52:47"},{"id":151,"name":"Denver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4014 --day 2017-01-12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605</v>
      </c>
      <c r="B59" s="7">
        <v>4013</v>
      </c>
      <c r="C59" s="22" t="s">
        <v>201</v>
      </c>
      <c r="D59" s="22" t="s">
        <v>787</v>
      </c>
      <c r="E59" s="13">
        <v>42747.421643518515</v>
      </c>
      <c r="F59" s="13">
        <v>42747.424467592595</v>
      </c>
      <c r="G59" s="7">
        <v>1</v>
      </c>
      <c r="H59" s="22" t="s">
        <v>243</v>
      </c>
      <c r="I59" s="13">
        <v>42747.451874999999</v>
      </c>
      <c r="J59" s="7">
        <v>0</v>
      </c>
      <c r="K59" s="105" t="str">
        <f t="shared" si="0"/>
        <v>4013/4014</v>
      </c>
      <c r="L59" s="22" t="str">
        <f>VLOOKUP(A59,'Trips&amp;Operators'!$C$1:$G$99999,5,FALSE)</f>
        <v>BONDS REYNALDO</v>
      </c>
      <c r="M59" s="6">
        <f t="shared" si="1"/>
        <v>2.7407407404098194E-2</v>
      </c>
      <c r="N59" s="7">
        <f t="shared" si="21"/>
        <v>39.466666661901399</v>
      </c>
      <c r="O59" s="7"/>
      <c r="P59" s="7"/>
      <c r="Q59" s="23"/>
      <c r="R59" s="23"/>
      <c r="S59" s="32">
        <f t="shared" si="22"/>
        <v>1</v>
      </c>
      <c r="T59" s="47" t="str">
        <f t="shared" si="23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09:07:10-700',mode:absolute,to:'2017-01-12 11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59" s="49" t="str">
        <f t="shared" si="6"/>
        <v>N</v>
      </c>
      <c r="X59" s="173">
        <f t="shared" si="24"/>
        <v>1</v>
      </c>
      <c r="Y59" s="64">
        <f t="shared" si="25"/>
        <v>23.300999999999998</v>
      </c>
      <c r="Z59" s="64">
        <f t="shared" si="26"/>
        <v>1.6E-2</v>
      </c>
      <c r="AA59" s="64">
        <f t="shared" si="10"/>
        <v>23.285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0146-12</v>
      </c>
      <c r="AE59" s="87" t="str">
        <f t="shared" si="12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59" s="84" t="str">
        <f t="shared" si="13"/>
        <v>"C:\Program Files (x86)\AstroGrep\AstroGrep.exe" /spath="%USERPROFILE%\AppData\Local\Temp\OnboardLogs" /stypes="app*4013*20170112*" /stext=" 17:.+((SYSTEM_STATE.+slice.+state.+changed )|(ment ac)|(multiple cpu faults)|(system.+state.+changed )|(\[timeout)|(PRM\|1\|D)|(kpr)|(kdp)|(\|lc)|(penalty))" /e /r /s</v>
      </c>
      <c r="AG59" s="1" t="str">
        <f t="shared" si="27"/>
        <v>EC</v>
      </c>
      <c r="AH59" s="88" t="str">
        <f t="shared" si="18"/>
        <v>"%USERPROFILE%\Documents\GitHub\eaglep3\Utilities\RefineRTDCRunTimes.py" --tripid 146-12 --locoid 4013 --swversion DE.1.0.8.0 --startMP 204:233010 --initTime 2017-01-12T10:07:10 --startdatetime 2017-01-12T10:11:14 --delay 1 --endMP 204:160 --enddatetime 2017-01-12T10:50:42 --enforcementcount 0 &gt;&gt;C:\Users\stu\Documents\GitHub\eaglep3-reporting\EC\2017-01-12-refined-times.txt</v>
      </c>
      <c r="AI5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{"issue":{"subject":"","project_id":79,"tracker_id":40,"status_id":1,"priority_id":2,"assigned_to_id":23,"start_date":"2017-01-12","description":"","custom_fields":[{"id":1,"name":"Subdivision","value":"EC"},{"id":4,"name":"Milepost","value":"0.016"},{"id":17,"name":"Train ID","value":"146-12"},{"id":16,"name":"Locomotive ID","value":"4013"},{"id":130,"name":"Impact","value":""},{"id":150,"name":"Time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4013 --day 2017-01-12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599</v>
      </c>
      <c r="B60" s="7">
        <v>4027</v>
      </c>
      <c r="C60" s="22" t="s">
        <v>201</v>
      </c>
      <c r="D60" s="22" t="s">
        <v>274</v>
      </c>
      <c r="E60" s="13">
        <v>42747.390092592592</v>
      </c>
      <c r="F60" s="13">
        <v>42747.395983796298</v>
      </c>
      <c r="G60" s="7">
        <v>1</v>
      </c>
      <c r="H60" s="22" t="s">
        <v>788</v>
      </c>
      <c r="I60" s="13">
        <v>42747.420972222222</v>
      </c>
      <c r="J60" s="7">
        <v>0</v>
      </c>
      <c r="K60" s="105" t="str">
        <f t="shared" si="0"/>
        <v>4027/4028</v>
      </c>
      <c r="L60" s="22" t="str">
        <f>VLOOKUP(A60,'Trips&amp;Operators'!$C$1:$G$99999,5,FALSE)</f>
        <v>ROBINSON KADDIBA</v>
      </c>
      <c r="M60" s="6">
        <f t="shared" si="1"/>
        <v>2.4988425924675539E-2</v>
      </c>
      <c r="N60" s="7">
        <f t="shared" si="21"/>
        <v>35.983333331532776</v>
      </c>
      <c r="O60" s="7"/>
      <c r="P60" s="7"/>
      <c r="Q60" s="23"/>
      <c r="R60" s="23"/>
      <c r="S60" s="32">
        <f t="shared" si="22"/>
        <v>1</v>
      </c>
      <c r="T60" s="47" t="str">
        <f t="shared" si="23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08:21:44-700',mode:absolute,to:'2017-01-12 11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60" s="49" t="str">
        <f t="shared" si="6"/>
        <v>N</v>
      </c>
      <c r="X60" s="173">
        <f t="shared" si="24"/>
        <v>1</v>
      </c>
      <c r="Y60" s="64">
        <f t="shared" si="25"/>
        <v>4.4600000000000001E-2</v>
      </c>
      <c r="Z60" s="64">
        <f t="shared" si="26"/>
        <v>23.330300000000001</v>
      </c>
      <c r="AA60" s="64">
        <f t="shared" si="10"/>
        <v>23.285700000000002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0147-12</v>
      </c>
      <c r="AE60" s="87" t="str">
        <f t="shared" si="12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60" s="84" t="str">
        <f t="shared" si="13"/>
        <v>"C:\Program Files (x86)\AstroGrep\AstroGrep.exe" /spath="%USERPROFILE%\AppData\Local\Temp\OnboardLogs" /stypes="app*4027*20170112*" /stext=" 17:.+((SYSTEM_STATE.+slice.+state.+changed )|(ment ac)|(multiple cpu faults)|(system.+state.+changed )|(\[timeout)|(PRM\|1\|D)|(kpr)|(kdp)|(\|lc)|(penalty))" /e /r /s</v>
      </c>
      <c r="AG60" s="1" t="str">
        <f t="shared" si="27"/>
        <v>EC</v>
      </c>
      <c r="AH60" s="88" t="str">
        <f t="shared" si="18"/>
        <v>"%USERPROFILE%\Documents\GitHub\eaglep3\Utilities\RefineRTDCRunTimes.py" --tripid 147-12 --locoid 4027 --swversion DE.1.0.8.0 --startMP 204:446 --initTime 2017-01-12T09:21:44 --startdatetime 2017-01-12T09:30:13 --delay 1 --endMP 204:233303 --enddatetime 2017-01-12T10:06:12 --enforcementcount 0 &gt;&gt;C:\Users\stu\Documents\GitHub\eaglep3-reporting\EC\2017-01-12-refined-times.txt</v>
      </c>
      <c r="AI60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{"issue":{"subject":"","project_id":79,"tracker_id":40,"status_id":1,"priority_id":2,"assigned_to_id":23,"start_date":"2017-01-12","description":"","custom_fields":[{"id":1,"name":"Subdivision","value":"EC"},{"id":4,"name":"Milepost","value":"23.3303"},{"id":17,"name":"Train ID","value":"147-12"},{"id":16,"name":"Locomotive ID","value":"4027"},{"id":130,"name":"Impact","value":""},{"id":150,"name":"Time of Event (Mountain Time)","value":"10:06:12"},{"id":151,"name":"Denver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4027 --day 2017-01-12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523</v>
      </c>
      <c r="B61" s="7">
        <v>4028</v>
      </c>
      <c r="C61" s="22" t="s">
        <v>201</v>
      </c>
      <c r="D61" s="22" t="s">
        <v>479</v>
      </c>
      <c r="E61" s="13">
        <v>42747.427569444444</v>
      </c>
      <c r="F61" s="13">
        <v>42747.428414351853</v>
      </c>
      <c r="G61" s="7">
        <v>1</v>
      </c>
      <c r="H61" s="22" t="s">
        <v>789</v>
      </c>
      <c r="I61" s="13">
        <v>42747.455405092594</v>
      </c>
      <c r="J61" s="7">
        <v>1</v>
      </c>
      <c r="K61" s="105" t="str">
        <f t="shared" si="0"/>
        <v>4027/4028</v>
      </c>
      <c r="L61" s="22" t="str">
        <f>VLOOKUP(A61,'Trips&amp;Operators'!$C$1:$G$99999,5,FALSE)</f>
        <v>ROBINSON KADDIBA</v>
      </c>
      <c r="M61" s="6">
        <f t="shared" si="1"/>
        <v>2.6990740741894115E-2</v>
      </c>
      <c r="N61" s="7"/>
      <c r="O61" s="7"/>
      <c r="P61" s="7">
        <f>24*60*SUM($M61:$M62)</f>
        <v>50.61666666995734</v>
      </c>
      <c r="Q61" s="23"/>
      <c r="R61" s="23" t="s">
        <v>312</v>
      </c>
      <c r="S61" s="32">
        <f>SUM(U61:U62)/IF(AG61="EC",12,1)</f>
        <v>0.91666666666666663</v>
      </c>
      <c r="T61" s="47" t="str">
        <f t="shared" si="23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8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09:15:42-700',mode:absolute,to:'2017-01-12 11:55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61" s="49" t="str">
        <f t="shared" si="6"/>
        <v>Y</v>
      </c>
      <c r="X61" s="173">
        <f t="shared" si="24"/>
        <v>1</v>
      </c>
      <c r="Y61" s="64">
        <f t="shared" si="25"/>
        <v>23.3001</v>
      </c>
      <c r="Z61" s="64">
        <f t="shared" si="26"/>
        <v>4.4850000000000003</v>
      </c>
      <c r="AA61" s="64">
        <f t="shared" si="10"/>
        <v>18.815100000000001</v>
      </c>
      <c r="AB61" s="61" t="str">
        <f>VLOOKUP(A61,Enforcements!$C$7:$K$16,8,0)</f>
        <v>Bulletin (2)</v>
      </c>
      <c r="AC61" s="57" t="str">
        <f>VLOOKUP(A61,Enforcements!$C$7:$E$16,3,0)</f>
        <v>GRADE CROSSING</v>
      </c>
      <c r="AD61" s="58" t="str">
        <f t="shared" si="11"/>
        <v>0148-12</v>
      </c>
      <c r="AE61" s="87" t="str">
        <f t="shared" si="12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61" s="84" t="str">
        <f t="shared" si="13"/>
        <v>"C:\Program Files (x86)\AstroGrep\AstroGrep.exe" /spath="%USERPROFILE%\AppData\Local\Temp\OnboardLogs" /stypes="app*4028*20170112*" /stext=" 17:.+((SYSTEM_STATE.+slice.+state.+changed )|(ment ac)|(multiple cpu faults)|(system.+state.+changed )|(\[timeout)|(PRM\|1\|D)|(kpr)|(kdp)|(\|lc)|(penalty))" /e /r /s</v>
      </c>
      <c r="AG61" s="1" t="str">
        <f t="shared" si="27"/>
        <v>EC</v>
      </c>
      <c r="AH61" s="88" t="str">
        <f t="shared" si="18"/>
        <v>"%USERPROFILE%\Documents\GitHub\eaglep3\Utilities\RefineRTDCRunTimes.py" --tripid 148-12 --locoid 4028 --swversion DE.1.0.8.0 --startMP 204:233001 --initTime 2017-01-12T10:15:42 --startdatetime 2017-01-12T10:16:55 --delay 1 --endMP 204:44850 --enddatetime 2017-01-12T10:55:47 --enforcementcount 1 &gt;&gt;C:\Users\stu\Documents\GitHub\eaglep3-reporting\EC\2017-01-12-refined-times.txt</v>
      </c>
      <c r="AI61" s="115" t="str">
        <f t="shared" si="19"/>
        <v>echo {"issue":{"subject":"Onboard in-route failure","project_id":79,"tracker_id":40,"status_id":1,"priority_id":2,"assigned_to_id":23,"start_date":"2017-01-12","description":"EC0437RH 52-2T 2S","custom_fields":[{"id":1,"name":"Subdivision","value":"EC"},{"id":4,"name":"Milepost","value":"4.485"},{"id":17,"name":"Train ID","value":"148-12"},{"id":16,"name":"Locomotive ID","value":"4028"},{"id":130,"name":"Impact","value":"Unexpected Cut-Out or Disengaged"},{"id":150,"name":"Time of Event (Mountain Time)","value":"10:55:47"},{"id":151,"name":"Denver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1" s="50" t="s">
        <v>944</v>
      </c>
      <c r="AK61" s="50" t="s">
        <v>131</v>
      </c>
      <c r="AL61" s="50" t="s">
        <v>130</v>
      </c>
      <c r="AM61" s="180" t="str">
        <f t="shared" si="20"/>
        <v>start /low /b %USERPROFILE%\Documents\GitHub\eaglep3\Utilities\DownloadLogsFromS3.py --loco 4028 --day 2017-01-12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523</v>
      </c>
      <c r="B62" s="7">
        <v>4028</v>
      </c>
      <c r="C62" s="22" t="s">
        <v>201</v>
      </c>
      <c r="D62" s="22" t="s">
        <v>790</v>
      </c>
      <c r="E62" s="13">
        <v>42747.456550925926</v>
      </c>
      <c r="F62" s="13">
        <v>42747.457418981481</v>
      </c>
      <c r="G62" s="7">
        <v>1</v>
      </c>
      <c r="H62" s="22" t="s">
        <v>243</v>
      </c>
      <c r="I62" s="13">
        <v>42747.465578703705</v>
      </c>
      <c r="J62" s="7">
        <v>0</v>
      </c>
      <c r="K62" s="105" t="str">
        <f t="shared" si="0"/>
        <v>4027/4028</v>
      </c>
      <c r="L62" s="22" t="str">
        <f>VLOOKUP(A62,'Trips&amp;Operators'!$C$1:$G$99999,5,FALSE)</f>
        <v>ROBINSON KADDIBA</v>
      </c>
      <c r="M62" s="6">
        <f t="shared" si="1"/>
        <v>8.1597222233540379E-3</v>
      </c>
      <c r="N62" s="7"/>
      <c r="O62" s="7"/>
      <c r="P62" s="7"/>
      <c r="Q62" s="23"/>
      <c r="R62" s="23"/>
      <c r="S62" s="32"/>
      <c r="T62" s="47" t="str">
        <f t="shared" si="23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3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09:57:26-700',mode:absolute,to:'2017-01-12 12:10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62" s="49" t="str">
        <f t="shared" si="6"/>
        <v>Y</v>
      </c>
      <c r="X62" s="173">
        <f t="shared" si="24"/>
        <v>0</v>
      </c>
      <c r="Y62" s="64">
        <f t="shared" si="25"/>
        <v>3.6787000000000001</v>
      </c>
      <c r="Z62" s="64">
        <f t="shared" si="26"/>
        <v>1.6E-2</v>
      </c>
      <c r="AA62" s="64">
        <f t="shared" si="10"/>
        <v>3.6627000000000001</v>
      </c>
      <c r="AB62" s="61" t="str">
        <f>VLOOKUP(A62,Enforcements!$C$7:$K$16,8,0)</f>
        <v>Bulletin (2)</v>
      </c>
      <c r="AC62" s="57" t="str">
        <f>VLOOKUP(A62,Enforcements!$C$7:$E$16,3,0)</f>
        <v>GRADE CROSSING</v>
      </c>
      <c r="AD62" s="58" t="str">
        <f t="shared" si="11"/>
        <v>0148-12</v>
      </c>
      <c r="AE62" s="87" t="str">
        <f t="shared" si="12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62" s="84" t="str">
        <f t="shared" si="13"/>
        <v>"C:\Program Files (x86)\AstroGrep\AstroGrep.exe" /spath="%USERPROFILE%\AppData\Local\Temp\OnboardLogs" /stypes="app*4028*20170112*" /stext=" 18:.+((SYSTEM_STATE.+slice.+state.+changed )|(ment ac)|(multiple cpu faults)|(system.+state.+changed )|(\[timeout)|(PRM\|1\|D)|(kpr)|(kdp)|(\|lc)|(penalty))" /e /r /s</v>
      </c>
      <c r="AG62" s="1" t="str">
        <f t="shared" si="27"/>
        <v>EC</v>
      </c>
      <c r="AH62" s="88" t="str">
        <f t="shared" si="18"/>
        <v>"%USERPROFILE%\Documents\GitHub\eaglep3\Utilities\RefineRTDCRunTimes.py" --tripid 148-12 --locoid 4028 --swversion DE.1.0.8.0 --startMP 204:36787 --initTime 2017-01-12T10:57:26 --startdatetime 2017-01-12T10:58:41 --delay 1 --endMP 204:160 --enddatetime 2017-01-12T11:10:26 --enforcementcount 0 &gt;&gt;C:\Users\stu\Documents\GitHub\eaglep3-reporting\EC\2017-01-12-refined-times.txt</v>
      </c>
      <c r="AI6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{"issue":{"subject":"","project_id":79,"tracker_id":40,"status_id":1,"priority_id":2,"assigned_to_id":23,"start_date":"2017-01-12","description":"","custom_fields":[{"id":1,"name":"Subdivision","value":"EC"},{"id":4,"name":"Milepost","value":"0.016"},{"id":17,"name":"Train ID","value":"148-12"},{"id":16,"name":"Locomotive ID","value":"4028"},{"id":130,"name":"Impact","value":""},{"id":150,"name":"Time of Event (Mountain Time)","value":"11:10:26"},{"id":151,"name":"Denver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4028 --day 2017-01-12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602</v>
      </c>
      <c r="B63" s="7">
        <v>4022</v>
      </c>
      <c r="C63" s="22" t="s">
        <v>201</v>
      </c>
      <c r="D63" s="22" t="s">
        <v>244</v>
      </c>
      <c r="E63" s="13">
        <v>42747.400937500002</v>
      </c>
      <c r="F63" s="13">
        <v>42747.406423611108</v>
      </c>
      <c r="G63" s="7">
        <v>1</v>
      </c>
      <c r="H63" s="22" t="s">
        <v>783</v>
      </c>
      <c r="I63" s="13">
        <v>42747.43136574074</v>
      </c>
      <c r="J63" s="7">
        <v>0</v>
      </c>
      <c r="K63" s="105" t="str">
        <f t="shared" si="0"/>
        <v>4021/4022</v>
      </c>
      <c r="L63" s="22" t="str">
        <f>VLOOKUP(A63,'Trips&amp;Operators'!$C$1:$G$99999,5,FALSE)</f>
        <v>GEBRETEKLE DAGNEW</v>
      </c>
      <c r="M63" s="6">
        <f t="shared" si="1"/>
        <v>2.4942129632108845E-2</v>
      </c>
      <c r="N63" s="7">
        <f t="shared" ref="N63:N94" si="28">24*60*SUM($M63:$M63)</f>
        <v>35.916666670236737</v>
      </c>
      <c r="O63" s="7"/>
      <c r="P63" s="7"/>
      <c r="Q63" s="23"/>
      <c r="R63" s="23"/>
      <c r="S63" s="32">
        <f t="shared" ref="S63:S94" si="29">SUM(U63:U63)/IF(AG63="EC",12,1)</f>
        <v>1</v>
      </c>
      <c r="T63" s="47" t="str">
        <f t="shared" si="23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08:37:21-700',mode:absolute,to:'2017-01-12 11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63" s="49" t="str">
        <f t="shared" si="6"/>
        <v>N</v>
      </c>
      <c r="X63" s="173">
        <f t="shared" si="24"/>
        <v>1</v>
      </c>
      <c r="Y63" s="64">
        <f t="shared" si="25"/>
        <v>4.6199999999999998E-2</v>
      </c>
      <c r="Z63" s="64">
        <f t="shared" si="26"/>
        <v>23.330200000000001</v>
      </c>
      <c r="AA63" s="64">
        <f t="shared" si="10"/>
        <v>23.284000000000002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0149-12</v>
      </c>
      <c r="AE63" s="87" t="str">
        <f t="shared" si="12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63" s="84" t="str">
        <f t="shared" si="13"/>
        <v>"C:\Program Files (x86)\AstroGrep\AstroGrep.exe" /spath="%USERPROFILE%\AppData\Local\Temp\OnboardLogs" /stypes="app*4022*20170112*" /stext=" 17:.+((SYSTEM_STATE.+slice.+state.+changed )|(ment ac)|(multiple cpu faults)|(system.+state.+changed )|(\[timeout)|(PRM\|1\|D)|(kpr)|(kdp)|(\|lc)|(penalty))" /e /r /s</v>
      </c>
      <c r="AG63" s="1" t="str">
        <f t="shared" si="27"/>
        <v>EC</v>
      </c>
      <c r="AH63" s="88" t="str">
        <f t="shared" si="18"/>
        <v>"%USERPROFILE%\Documents\GitHub\eaglep3\Utilities\RefineRTDCRunTimes.py" --tripid 149-12 --locoid 4022 --swversion DE.1.0.8.0 --startMP 204:462 --initTime 2017-01-12T09:37:21 --startdatetime 2017-01-12T09:45:15 --delay 1 --endMP 204:233302 --enddatetime 2017-01-12T10:21:10 --enforcementcount 0 &gt;&gt;C:\Users\stu\Documents\GitHub\eaglep3-reporting\EC\2017-01-12-refined-times.txt</v>
      </c>
      <c r="AI6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{"issue":{"subject":"","project_id":79,"tracker_id":40,"status_id":1,"priority_id":2,"assigned_to_id":23,"start_date":"2017-01-12","description":"","custom_fields":[{"id":1,"name":"Subdivision","value":"EC"},{"id":4,"name":"Milepost","value":"23.3302"},{"id":17,"name":"Train ID","value":"149-12"},{"id":16,"name":"Locomotive ID","value":"4022"},{"id":130,"name":"Impact","value":""},{"id":150,"name":"Time of Event (Mountain Time)","value":"10:21:10"},{"id":151,"name":"Denver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4022 --day 2017-01-12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608</v>
      </c>
      <c r="B64" s="7">
        <v>4021</v>
      </c>
      <c r="C64" s="22" t="s">
        <v>201</v>
      </c>
      <c r="D64" s="22" t="s">
        <v>242</v>
      </c>
      <c r="E64" s="13">
        <v>42747.442291666666</v>
      </c>
      <c r="F64" s="13">
        <v>42747.445381944446</v>
      </c>
      <c r="G64" s="7">
        <v>1</v>
      </c>
      <c r="H64" s="22" t="s">
        <v>333</v>
      </c>
      <c r="I64" s="13">
        <v>42747.47111111111</v>
      </c>
      <c r="J64" s="7">
        <v>0</v>
      </c>
      <c r="K64" s="105" t="str">
        <f t="shared" si="0"/>
        <v>4021/4022</v>
      </c>
      <c r="L64" s="22" t="str">
        <f>VLOOKUP(A64,'Trips&amp;Operators'!$C$1:$G$99999,5,FALSE)</f>
        <v>GEBRETEKLE DAGNEW</v>
      </c>
      <c r="M64" s="6">
        <f t="shared" si="1"/>
        <v>2.5729166663950309E-2</v>
      </c>
      <c r="N64" s="7">
        <f t="shared" si="28"/>
        <v>37.049999996088445</v>
      </c>
      <c r="O64" s="7"/>
      <c r="P64" s="7"/>
      <c r="Q64" s="23"/>
      <c r="R64" s="23"/>
      <c r="S64" s="32">
        <f t="shared" si="29"/>
        <v>1</v>
      </c>
      <c r="T64" s="47" t="str">
        <f t="shared" si="23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09:36:54-700',mode:absolute,to:'2017-01-12 12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64" s="49" t="str">
        <f t="shared" si="6"/>
        <v>N</v>
      </c>
      <c r="X64" s="173">
        <f t="shared" si="24"/>
        <v>1</v>
      </c>
      <c r="Y64" s="64">
        <f t="shared" si="25"/>
        <v>23.297699999999999</v>
      </c>
      <c r="Z64" s="64">
        <f t="shared" si="26"/>
        <v>1.67E-2</v>
      </c>
      <c r="AA64" s="64">
        <f t="shared" si="10"/>
        <v>23.280999999999999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0150-12</v>
      </c>
      <c r="AE64" s="87" t="str">
        <f t="shared" si="12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64" s="84" t="str">
        <f t="shared" si="13"/>
        <v>"C:\Program Files (x86)\AstroGrep\AstroGrep.exe" /spath="%USERPROFILE%\AppData\Local\Temp\OnboardLogs" /stypes="app*4021*20170112*" /stext=" 18:.+((SYSTEM_STATE.+slice.+state.+changed )|(ment ac)|(multiple cpu faults)|(system.+state.+changed )|(\[timeout)|(PRM\|1\|D)|(kpr)|(kdp)|(\|lc)|(penalty))" /e /r /s</v>
      </c>
      <c r="AG64" s="1" t="str">
        <f t="shared" si="27"/>
        <v>EC</v>
      </c>
      <c r="AH64" s="88" t="str">
        <f t="shared" si="18"/>
        <v>"%USERPROFILE%\Documents\GitHub\eaglep3\Utilities\RefineRTDCRunTimes.py" --tripid 150-12 --locoid 4021 --swversion DE.1.0.8.0 --startMP 204:232977 --initTime 2017-01-12T10:36:54 --startdatetime 2017-01-12T10:41:21 --delay 1 --endMP 204:167 --enddatetime 2017-01-12T11:18:24 --enforcementcount 0 &gt;&gt;C:\Users\stu\Documents\GitHub\eaglep3-reporting\EC\2017-01-12-refined-times.txt</v>
      </c>
      <c r="AI6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{"issue":{"subject":"","project_id":79,"tracker_id":40,"status_id":1,"priority_id":2,"assigned_to_id":23,"start_date":"2017-01-12","description":"","custom_fields":[{"id":1,"name":"Subdivision","value":"EC"},{"id":4,"name":"Milepost","value":"0.0167"},{"id":17,"name":"Train ID","value":"150-12"},{"id":16,"name":"Locomotive ID","value":"4021"},{"id":130,"name":"Impact","value":""},{"id":150,"name":"Time of Event (Mountain Time)","value":"11:18:24"},{"id":151,"name":"Denver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4021 --day 2017-01-12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604</v>
      </c>
      <c r="B65" s="7">
        <v>4002</v>
      </c>
      <c r="C65" s="22" t="s">
        <v>201</v>
      </c>
      <c r="D65" s="22" t="s">
        <v>238</v>
      </c>
      <c r="E65" s="13">
        <v>42747.411620370367</v>
      </c>
      <c r="F65" s="13">
        <v>42747.417083333334</v>
      </c>
      <c r="G65" s="7">
        <v>1</v>
      </c>
      <c r="H65" s="22" t="s">
        <v>471</v>
      </c>
      <c r="I65" s="13">
        <v>42747.441307870373</v>
      </c>
      <c r="J65" s="7">
        <v>0</v>
      </c>
      <c r="K65" s="105" t="str">
        <f t="shared" si="0"/>
        <v>4001/4002</v>
      </c>
      <c r="L65" s="22" t="str">
        <f>VLOOKUP(A65,'Trips&amp;Operators'!$C$1:$G$99999,5,FALSE)</f>
        <v>DUNCAN SHEILA</v>
      </c>
      <c r="M65" s="6">
        <f t="shared" si="1"/>
        <v>2.4224537039117422E-2</v>
      </c>
      <c r="N65" s="7">
        <f t="shared" si="28"/>
        <v>34.883333336329088</v>
      </c>
      <c r="O65" s="7"/>
      <c r="P65" s="7"/>
      <c r="Q65" s="23"/>
      <c r="R65" s="23"/>
      <c r="S65" s="32">
        <f t="shared" si="29"/>
        <v>1</v>
      </c>
      <c r="T65" s="47" t="str">
        <f t="shared" si="23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08:52:44-700',mode:absolute,to:'2017-01-12 11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65" s="49" t="str">
        <f t="shared" si="6"/>
        <v>N</v>
      </c>
      <c r="X65" s="173">
        <f t="shared" si="24"/>
        <v>1</v>
      </c>
      <c r="Y65" s="64">
        <f t="shared" si="25"/>
        <v>4.6399999999999997E-2</v>
      </c>
      <c r="Z65" s="64">
        <f t="shared" si="26"/>
        <v>23.3307</v>
      </c>
      <c r="AA65" s="64">
        <f t="shared" si="10"/>
        <v>23.284300000000002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0151-12</v>
      </c>
      <c r="AE65" s="87" t="str">
        <f t="shared" si="12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65" s="84" t="str">
        <f t="shared" si="13"/>
        <v>"C:\Program Files (x86)\AstroGrep\AstroGrep.exe" /spath="%USERPROFILE%\AppData\Local\Temp\OnboardLogs" /stypes="app*4002*20170112*" /stext=" 17:.+((SYSTEM_STATE.+slice.+state.+changed )|(ment ac)|(multiple cpu faults)|(system.+state.+changed )|(\[timeout)|(PRM\|1\|D)|(kpr)|(kdp)|(\|lc)|(penalty))" /e /r /s</v>
      </c>
      <c r="AG65" s="1" t="str">
        <f t="shared" si="27"/>
        <v>EC</v>
      </c>
      <c r="AH65" s="88" t="str">
        <f t="shared" si="18"/>
        <v>"%USERPROFILE%\Documents\GitHub\eaglep3\Utilities\RefineRTDCRunTimes.py" --tripid 151-12 --locoid 4002 --swversion DE.1.0.8.0 --startMP 204:464 --initTime 2017-01-12T09:52:44 --startdatetime 2017-01-12T10:00:36 --delay 1 --endMP 204:233307 --enddatetime 2017-01-12T10:35:29 --enforcementcount 0 &gt;&gt;C:\Users\stu\Documents\GitHub\eaglep3-reporting\EC\2017-01-12-refined-times.txt</v>
      </c>
      <c r="AI6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{"issue":{"subject":"","project_id":79,"tracker_id":40,"status_id":1,"priority_id":2,"assigned_to_id":23,"start_date":"2017-01-12","description":"","custom_fields":[{"id":1,"name":"Subdivision","value":"EC"},{"id":4,"name":"Milepost","value":"23.3307"},{"id":17,"name":"Train ID","value":"151-12"},{"id":16,"name":"Locomotive ID","value":"4002"},{"id":130,"name":"Impact","value":""},{"id":150,"name":"Time of Event (Mountain Time)","value":"10:35:29"},{"id":151,"name":"Denver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4002 --day 2017-01-12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611</v>
      </c>
      <c r="B66" s="7">
        <v>4001</v>
      </c>
      <c r="C66" s="22" t="s">
        <v>201</v>
      </c>
      <c r="D66" s="22" t="s">
        <v>242</v>
      </c>
      <c r="E66" s="13">
        <v>42747.448229166665</v>
      </c>
      <c r="F66" s="13">
        <v>42747.455717592595</v>
      </c>
      <c r="G66" s="7">
        <v>1</v>
      </c>
      <c r="H66" s="22" t="s">
        <v>191</v>
      </c>
      <c r="I66" s="13">
        <v>42747.481157407405</v>
      </c>
      <c r="J66" s="7">
        <v>0</v>
      </c>
      <c r="K66" s="105" t="str">
        <f t="shared" si="0"/>
        <v>4001/4002</v>
      </c>
      <c r="L66" s="22" t="str">
        <f>VLOOKUP(A66,'Trips&amp;Operators'!$C$1:$G$99999,5,FALSE)</f>
        <v>DUNCAN SHEILA</v>
      </c>
      <c r="M66" s="6">
        <f t="shared" si="1"/>
        <v>2.5439814809942618E-2</v>
      </c>
      <c r="N66" s="7">
        <f t="shared" si="28"/>
        <v>36.63333332631737</v>
      </c>
      <c r="O66" s="7"/>
      <c r="P66" s="7"/>
      <c r="Q66" s="23"/>
      <c r="R66" s="23"/>
      <c r="S66" s="32">
        <f t="shared" si="29"/>
        <v>1</v>
      </c>
      <c r="T66" s="47" t="str">
        <f t="shared" si="23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09:45:27-700',mode:absolute,to:'2017-01-12 12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66" s="49" t="str">
        <f t="shared" si="6"/>
        <v>N</v>
      </c>
      <c r="X66" s="173">
        <f t="shared" si="24"/>
        <v>1</v>
      </c>
      <c r="Y66" s="64">
        <f t="shared" si="25"/>
        <v>23.297699999999999</v>
      </c>
      <c r="Z66" s="64">
        <f t="shared" si="26"/>
        <v>1.49E-2</v>
      </c>
      <c r="AA66" s="64">
        <f t="shared" si="10"/>
        <v>23.282799999999998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0152-12</v>
      </c>
      <c r="AE66" s="87" t="str">
        <f t="shared" si="12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66" s="84" t="str">
        <f t="shared" si="13"/>
        <v>"C:\Program Files (x86)\AstroGrep\AstroGrep.exe" /spath="%USERPROFILE%\AppData\Local\Temp\OnboardLogs" /stypes="app*4001*20170112*" /stext=" 18:.+((SYSTEM_STATE.+slice.+state.+changed )|(ment ac)|(multiple cpu faults)|(system.+state.+changed )|(\[timeout)|(PRM\|1\|D)|(kpr)|(kdp)|(\|lc)|(penalty))" /e /r /s</v>
      </c>
      <c r="AG66" s="1" t="str">
        <f t="shared" si="27"/>
        <v>EC</v>
      </c>
      <c r="AH66" s="88" t="str">
        <f t="shared" si="18"/>
        <v>"%USERPROFILE%\Documents\GitHub\eaglep3\Utilities\RefineRTDCRunTimes.py" --tripid 152-12 --locoid 4001 --swversion DE.1.0.8.0 --startMP 204:232977 --initTime 2017-01-12T10:45:27 --startdatetime 2017-01-12T10:56:14 --delay 1 --endMP 204:149 --enddatetime 2017-01-12T11:32:52 --enforcementcount 0 &gt;&gt;C:\Users\stu\Documents\GitHub\eaglep3-reporting\EC\2017-01-12-refined-times.txt</v>
      </c>
      <c r="AI6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{"issue":{"subject":"","project_id":79,"tracker_id":40,"status_id":1,"priority_id":2,"assigned_to_id":23,"start_date":"2017-01-12","description":"","custom_fields":[{"id":1,"name":"Subdivision","value":"EC"},{"id":4,"name":"Milepost","value":"0.0149"},{"id":17,"name":"Train ID","value":"152-12"},{"id":16,"name":"Locomotive ID","value":"4001"},{"id":130,"name":"Impact","value":""},{"id":150,"name":"Time of Event (Mountain Time)","value":"11:32:52"},{"id":151,"name":"Denver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4001 --day 2017-01-12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521</v>
      </c>
      <c r="B67" s="7">
        <v>4020</v>
      </c>
      <c r="C67" s="22" t="s">
        <v>201</v>
      </c>
      <c r="D67" s="22" t="s">
        <v>274</v>
      </c>
      <c r="E67" s="13">
        <v>42747.419861111113</v>
      </c>
      <c r="F67" s="13">
        <v>42747.427222222221</v>
      </c>
      <c r="G67" s="7">
        <v>1</v>
      </c>
      <c r="H67" s="22" t="s">
        <v>777</v>
      </c>
      <c r="I67" s="13">
        <v>42747.452106481483</v>
      </c>
      <c r="J67" s="7">
        <v>0</v>
      </c>
      <c r="K67" s="105" t="str">
        <f t="shared" si="0"/>
        <v>4019/4020</v>
      </c>
      <c r="L67" s="22" t="str">
        <f>VLOOKUP(A67,'Trips&amp;Operators'!$C$1:$G$99999,5,FALSE)</f>
        <v>YORK EDGAR</v>
      </c>
      <c r="M67" s="6">
        <f t="shared" si="1"/>
        <v>2.4884259262762498E-2</v>
      </c>
      <c r="N67" s="7">
        <f t="shared" si="28"/>
        <v>35.833333338377997</v>
      </c>
      <c r="O67" s="7"/>
      <c r="P67" s="7"/>
      <c r="Q67" s="23"/>
      <c r="R67" s="23"/>
      <c r="S67" s="32">
        <f t="shared" si="29"/>
        <v>1</v>
      </c>
      <c r="T67" s="47" t="str">
        <f t="shared" si="23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09:04:36-700',mode:absolute,to:'2017-01-12 11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67" s="49" t="str">
        <f t="shared" si="6"/>
        <v>N</v>
      </c>
      <c r="X67" s="173">
        <f t="shared" si="24"/>
        <v>1</v>
      </c>
      <c r="Y67" s="64">
        <f t="shared" si="25"/>
        <v>4.4600000000000001E-2</v>
      </c>
      <c r="Z67" s="64">
        <f t="shared" si="26"/>
        <v>23.3323</v>
      </c>
      <c r="AA67" s="64">
        <f t="shared" si="10"/>
        <v>23.287700000000001</v>
      </c>
      <c r="AB67" s="61" t="str">
        <f>VLOOKUP(A67,Enforcements!$C$7:$K$16,8,0)</f>
        <v>Bulletin (2)</v>
      </c>
      <c r="AC67" s="57" t="str">
        <f>VLOOKUP(A67,Enforcements!$C$7:$E$16,3,0)</f>
        <v>GRADE CROSSING</v>
      </c>
      <c r="AD67" s="58" t="str">
        <f t="shared" si="11"/>
        <v>0153-12</v>
      </c>
      <c r="AE67" s="87" t="str">
        <f t="shared" si="12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67" s="84" t="str">
        <f t="shared" si="13"/>
        <v>"C:\Program Files (x86)\AstroGrep\AstroGrep.exe" /spath="%USERPROFILE%\AppData\Local\Temp\OnboardLogs" /stypes="app*4020*20170112*" /stext=" 17:.+((SYSTEM_STATE.+slice.+state.+changed )|(ment ac)|(multiple cpu faults)|(system.+state.+changed )|(\[timeout)|(PRM\|1\|D)|(kpr)|(kdp)|(\|lc)|(penalty))" /e /r /s</v>
      </c>
      <c r="AG67" s="1" t="str">
        <f t="shared" si="27"/>
        <v>EC</v>
      </c>
      <c r="AH67" s="88" t="str">
        <f t="shared" si="18"/>
        <v>"%USERPROFILE%\Documents\GitHub\eaglep3\Utilities\RefineRTDCRunTimes.py" --tripid 153-12 --locoid 4020 --swversion DE.1.0.8.0 --startMP 204:446 --initTime 2017-01-12T10:04:36 --startdatetime 2017-01-12T10:15:12 --delay 1 --endMP 204:233323 --enddatetime 2017-01-12T10:51:02 --enforcementcount 0 &gt;&gt;C:\Users\stu\Documents\GitHub\eaglep3-reporting\EC\2017-01-12-refined-times.txt</v>
      </c>
      <c r="AI67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{"issue":{"subject":"","project_id":79,"tracker_id":40,"status_id":1,"priority_id":2,"assigned_to_id":23,"start_date":"2017-01-12","description":"","custom_fields":[{"id":1,"name":"Subdivision","value":"EC"},{"id":4,"name":"Milepost","value":"23.3323"},{"id":17,"name":"Train ID","value":"153-12"},{"id":16,"name":"Locomotive ID","value":"4020"},{"id":130,"name":"Impact","value":""},{"id":150,"name":"Time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4020 --day 2017-01-12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612</v>
      </c>
      <c r="B68" s="7">
        <v>4019</v>
      </c>
      <c r="C68" s="22" t="s">
        <v>201</v>
      </c>
      <c r="D68" s="22" t="s">
        <v>289</v>
      </c>
      <c r="E68" s="13">
        <v>42747.452974537038</v>
      </c>
      <c r="F68" s="13">
        <v>42747.466226851851</v>
      </c>
      <c r="G68" s="7">
        <v>0</v>
      </c>
      <c r="H68" s="22" t="s">
        <v>308</v>
      </c>
      <c r="I68" s="13">
        <v>42747.491793981484</v>
      </c>
      <c r="J68" s="7">
        <v>0</v>
      </c>
      <c r="K68" s="105" t="str">
        <f t="shared" si="0"/>
        <v>4019/4020</v>
      </c>
      <c r="L68" s="22" t="str">
        <f>VLOOKUP(A68,'Trips&amp;Operators'!$C$1:$G$99999,5,FALSE)</f>
        <v>YORK EDGAR</v>
      </c>
      <c r="M68" s="6">
        <f t="shared" si="1"/>
        <v>2.5567129632690921E-2</v>
      </c>
      <c r="N68" s="7">
        <f t="shared" si="28"/>
        <v>36.816666671074927</v>
      </c>
      <c r="O68" s="7"/>
      <c r="P68" s="7"/>
      <c r="Q68" s="23"/>
      <c r="R68" s="23"/>
      <c r="S68" s="32">
        <f t="shared" si="29"/>
        <v>1</v>
      </c>
      <c r="T68" s="47" t="str">
        <f t="shared" si="23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09:52:17-700',mode:absolute,to:'2017-01-12 12:48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68" s="49" t="str">
        <f t="shared" si="6"/>
        <v>N</v>
      </c>
      <c r="X68" s="173">
        <f t="shared" ref="X68:X69" si="30">VALUE(LEFT(AD68,4))-VALUE(LEFT(AD67,4))</f>
        <v>1</v>
      </c>
      <c r="Y68" s="64">
        <f t="shared" si="25"/>
        <v>23.300599999999999</v>
      </c>
      <c r="Z68" s="64">
        <f t="shared" si="26"/>
        <v>1.54E-2</v>
      </c>
      <c r="AA68" s="64">
        <f t="shared" si="10"/>
        <v>23.2852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0154-12</v>
      </c>
      <c r="AE68" s="87" t="str">
        <f t="shared" si="12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68" s="84" t="str">
        <f t="shared" si="13"/>
        <v>"C:\Program Files (x86)\AstroGrep\AstroGrep.exe" /spath="%USERPROFILE%\AppData\Local\Temp\OnboardLogs" /stypes="app*4019*20170112*" /stext=" 18:.+((SYSTEM_STATE.+slice.+state.+changed )|(ment ac)|(multiple cpu faults)|(system.+state.+changed )|(\[timeout)|(PRM\|1\|D)|(kpr)|(kdp)|(\|lc)|(penalty))" /e /r /s</v>
      </c>
      <c r="AG68" s="1" t="str">
        <f t="shared" si="27"/>
        <v>EC</v>
      </c>
      <c r="AH68" s="88" t="str">
        <f t="shared" si="18"/>
        <v>"%USERPROFILE%\Documents\GitHub\eaglep3\Utilities\RefineRTDCRunTimes.py" --tripid 154-12 --locoid 4019 --swversion DE.1.0.8.0 --startMP 204:233006 --initTime 2017-01-12T10:52:17 --startdatetime 2017-01-12T11:11:22 --delay 0 --endMP 204:154 --enddatetime 2017-01-12T11:48:11 --enforcementcount 0 &gt;&gt;C:\Users\stu\Documents\GitHub\eaglep3-reporting\EC\2017-01-12-refined-times.txt</v>
      </c>
      <c r="AI68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ID","value":"154-12"},{"id":16,"name":"Locomotive ID","value":"4019"},{"id":130,"name":"Impact","value":""},{"id":150,"name":"Time of Event (Mountain Time)","value":"11:48:11"},{"id":151,"name":"Denver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4019 --day 2017-01-12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607</v>
      </c>
      <c r="B69" s="7">
        <v>4011</v>
      </c>
      <c r="C69" s="22" t="s">
        <v>201</v>
      </c>
      <c r="D69" s="22" t="s">
        <v>192</v>
      </c>
      <c r="E69" s="13">
        <v>42747.432800925926</v>
      </c>
      <c r="F69" s="13">
        <v>42747.437777777777</v>
      </c>
      <c r="G69" s="7">
        <v>2</v>
      </c>
      <c r="H69" s="22" t="s">
        <v>791</v>
      </c>
      <c r="I69" s="13">
        <v>42747.463159722225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SHOOK JOHN</v>
      </c>
      <c r="M69" s="6">
        <f t="shared" si="1"/>
        <v>2.5381944447872229E-2</v>
      </c>
      <c r="N69" s="7">
        <f t="shared" si="28"/>
        <v>36.55000000493601</v>
      </c>
      <c r="O69" s="7"/>
      <c r="P69" s="7"/>
      <c r="Q69" s="23"/>
      <c r="R69" s="23"/>
      <c r="S69" s="32">
        <f t="shared" si="29"/>
        <v>1</v>
      </c>
      <c r="T69" s="47" t="str">
        <f t="shared" si="23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09:23:14-700',mode:absolute,to:'2017-01-12 12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69" s="49" t="str">
        <f t="shared" si="6"/>
        <v>N</v>
      </c>
      <c r="X69" s="173">
        <f t="shared" si="30"/>
        <v>1</v>
      </c>
      <c r="Y69" s="64">
        <f t="shared" si="25"/>
        <v>4.4699999999999997E-2</v>
      </c>
      <c r="Z69" s="64">
        <f t="shared" si="26"/>
        <v>23.331800000000001</v>
      </c>
      <c r="AA69" s="64">
        <f t="shared" si="10"/>
        <v>23.287100000000002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0155-12</v>
      </c>
      <c r="AE69" s="87" t="str">
        <f t="shared" si="12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69" s="84" t="str">
        <f t="shared" si="13"/>
        <v>"C:\Program Files (x86)\AstroGrep\AstroGrep.exe" /spath="%USERPROFILE%\AppData\Local\Temp\OnboardLogs" /stypes="app*4011*20170112*" /stext=" 18:.+((SYSTEM_STATE.+slice.+state.+changed )|(ment ac)|(multiple cpu faults)|(system.+state.+changed )|(\[timeout)|(PRM\|1\|D)|(kpr)|(kdp)|(\|lc)|(penalty))" /e /r /s</v>
      </c>
      <c r="AG69" s="1" t="str">
        <f t="shared" si="27"/>
        <v>EC</v>
      </c>
      <c r="AH69" s="88" t="str">
        <f t="shared" si="18"/>
        <v>"%USERPROFILE%\Documents\GitHub\eaglep3\Utilities\RefineRTDCRunTimes.py" --tripid 155-12 --locoid 4011 --swversion DE.1.0.8.0 --startMP 204:447 --initTime 2017-01-12T10:23:14 --startdatetime 2017-01-12T10:30:24 --delay 2 --endMP 204:233318 --enddatetime 2017-01-12T11:06:57 --enforcementcount 0 &gt;&gt;C:\Users\stu\Documents\GitHub\eaglep3-reporting\EC\2017-01-12-refined-times.txt</v>
      </c>
      <c r="AI69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{"issue":{"subject":"","project_id":79,"tracker_id":40,"status_id":1,"priority_id":2,"assigned_to_id":23,"start_date":"2017-01-12","description":"","custom_fields":[{"id":1,"name":"Subdivision","value":"EC"},{"id":4,"name":"Milepost","value":"23.3318"},{"id":17,"name":"Train ID","value":"155-12"},{"id":16,"name":"Locomotive ID","value":"4011"},{"id":130,"name":"Impact","value":""},{"id":150,"name":"Time of Event (Mountain Time)","value":"11:06:57"},{"id":151,"name":"Denver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4011 --day 2017-01-12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616</v>
      </c>
      <c r="B70" s="7">
        <v>4012</v>
      </c>
      <c r="C70" s="22" t="s">
        <v>201</v>
      </c>
      <c r="D70" s="22" t="s">
        <v>792</v>
      </c>
      <c r="E70" s="13">
        <v>42747.465254629627</v>
      </c>
      <c r="F70" s="13">
        <v>42747.476620370369</v>
      </c>
      <c r="G70" s="7">
        <v>1</v>
      </c>
      <c r="H70" s="22" t="s">
        <v>239</v>
      </c>
      <c r="I70" s="13">
        <v>42747.504293981481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SHOOK JOHN</v>
      </c>
      <c r="M70" s="6">
        <f t="shared" si="1"/>
        <v>2.7673611111822538E-2</v>
      </c>
      <c r="N70" s="7">
        <f t="shared" si="28"/>
        <v>39.850000001024455</v>
      </c>
      <c r="O70" s="7"/>
      <c r="P70" s="7"/>
      <c r="Q70" s="23"/>
      <c r="R70" s="23"/>
      <c r="S70" s="32">
        <f t="shared" si="29"/>
        <v>1</v>
      </c>
      <c r="T70" s="47" t="str">
        <f t="shared" si="23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10:09:58-700',mode:absolute,to:'2017-01-12 13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70" s="49" t="str">
        <f t="shared" si="6"/>
        <v>N</v>
      </c>
      <c r="X70" s="173">
        <f t="shared" ref="X70:X101" si="31">VALUE(LEFT(AD70,4))-VALUE(LEFT(AD69,4))</f>
        <v>1</v>
      </c>
      <c r="Y70" s="64">
        <f t="shared" si="25"/>
        <v>23.3005</v>
      </c>
      <c r="Z70" s="64">
        <f t="shared" si="26"/>
        <v>1.47E-2</v>
      </c>
      <c r="AA70" s="64">
        <f t="shared" si="10"/>
        <v>23.285799999999998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0156-12</v>
      </c>
      <c r="AE70" s="87" t="str">
        <f t="shared" si="12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70" s="84" t="str">
        <f t="shared" si="13"/>
        <v>"C:\Program Files (x86)\AstroGrep\AstroGrep.exe" /spath="%USERPROFILE%\AppData\Local\Temp\OnboardLogs" /stypes="app*4012*20170112*" /stext=" 19:.+((SYSTEM_STATE.+slice.+state.+changed )|(ment ac)|(multiple cpu faults)|(system.+state.+changed )|(\[timeout)|(PRM\|1\|D)|(kpr)|(kdp)|(\|lc)|(penalty))" /e /r /s</v>
      </c>
      <c r="AG70" s="1" t="str">
        <f t="shared" si="27"/>
        <v>EC</v>
      </c>
      <c r="AH70" s="88" t="str">
        <f t="shared" si="18"/>
        <v>"%USERPROFILE%\Documents\GitHub\eaglep3\Utilities\RefineRTDCRunTimes.py" --tripid 156-12 --locoid 4012 --swversion DE.1.0.8.0 --startMP 204:233005 --initTime 2017-01-12T11:09:58 --startdatetime 2017-01-12T11:26:20 --delay 1 --endMP 204:147 --enddatetime 2017-01-12T12:06:11 --enforcementcount 0 &gt;&gt;C:\Users\stu\Documents\GitHub\eaglep3-reporting\EC\2017-01-12-refined-times.txt</v>
      </c>
      <c r="AI70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ID","value":"156-12"},{"id":16,"name":"Locomotive ID","value":"4012"},{"id":130,"name":"Impact","value":""},{"id":150,"name":"Time of Event (Mountain Time)","value":"12:06:11"},{"id":151,"name":"Denver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4012 --day 2017-01-12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610</v>
      </c>
      <c r="B71" s="7">
        <v>4031</v>
      </c>
      <c r="C71" s="22" t="s">
        <v>201</v>
      </c>
      <c r="D71" s="22" t="s">
        <v>793</v>
      </c>
      <c r="E71" s="13">
        <v>42747.443611111114</v>
      </c>
      <c r="F71" s="13">
        <v>42747.44809027778</v>
      </c>
      <c r="G71" s="7">
        <v>1</v>
      </c>
      <c r="H71" s="22" t="s">
        <v>324</v>
      </c>
      <c r="I71" s="13">
        <v>42747.473819444444</v>
      </c>
      <c r="J71" s="7">
        <v>0</v>
      </c>
      <c r="K71" s="105" t="str">
        <f t="shared" si="0"/>
        <v>4031/4032</v>
      </c>
      <c r="L71" s="22" t="str">
        <f>VLOOKUP(A71,'Trips&amp;Operators'!$C$1:$G$99999,5,FALSE)</f>
        <v>STARKS ANGELINA</v>
      </c>
      <c r="M71" s="6">
        <f t="shared" si="1"/>
        <v>2.5729166663950309E-2</v>
      </c>
      <c r="N71" s="7">
        <f t="shared" si="28"/>
        <v>37.049999996088445</v>
      </c>
      <c r="O71" s="7"/>
      <c r="P71" s="7"/>
      <c r="Q71" s="23"/>
      <c r="R71" s="23"/>
      <c r="S71" s="32">
        <f t="shared" si="29"/>
        <v>1</v>
      </c>
      <c r="T71" s="47" t="str">
        <f t="shared" si="23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09:38:48-700',mode:absolute,to:'2017-01-12 12:22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71" s="49" t="str">
        <f t="shared" si="6"/>
        <v>N</v>
      </c>
      <c r="X71" s="173">
        <f t="shared" si="31"/>
        <v>1</v>
      </c>
      <c r="Y71" s="64">
        <f t="shared" si="25"/>
        <v>4.7300000000000002E-2</v>
      </c>
      <c r="Z71" s="64">
        <f t="shared" si="26"/>
        <v>23.329699999999999</v>
      </c>
      <c r="AA71" s="64">
        <f t="shared" si="10"/>
        <v>23.282399999999999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0157-12</v>
      </c>
      <c r="AE71" s="87" t="str">
        <f t="shared" si="12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71" s="84" t="str">
        <f t="shared" si="13"/>
        <v>"C:\Program Files (x86)\AstroGrep\AstroGrep.exe" /spath="%USERPROFILE%\AppData\Local\Temp\OnboardLogs" /stypes="app*4031*20170112*" /stext=" 18:.+((SYSTEM_STATE.+slice.+state.+changed )|(ment ac)|(multiple cpu faults)|(system.+state.+changed )|(\[timeout)|(PRM\|1\|D)|(kpr)|(kdp)|(\|lc)|(penalty))" /e /r /s</v>
      </c>
      <c r="AG71" s="1" t="str">
        <f t="shared" si="27"/>
        <v>EC</v>
      </c>
      <c r="AH71" s="88" t="str">
        <f t="shared" si="18"/>
        <v>"%USERPROFILE%\Documents\GitHub\eaglep3\Utilities\RefineRTDCRunTimes.py" --tripid 157-12 --locoid 4031 --swversion DE.1.0.8.0 --startMP 204:473 --initTime 2017-01-12T10:38:48 --startdatetime 2017-01-12T10:45:15 --delay 1 --endMP 204:233297 --enddatetime 2017-01-12T11:22:18 --enforcementcount 0 &gt;&gt;C:\Users\stu\Documents\GitHub\eaglep3-reporting\EC\2017-01-12-refined-times.txt</v>
      </c>
      <c r="AI71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{"issue":{"subject":"","project_id":79,"tracker_id":40,"status_id":1,"priority_id":2,"assigned_to_id":23,"start_date":"2017-01-12","description":"","custom_fields":[{"id":1,"name":"Subdivision","value":"EC"},{"id":4,"name":"Milepost","value":"23.3297"},{"id":17,"name":"Train ID","value":"157-12"},{"id":16,"name":"Locomotive ID","value":"4031"},{"id":130,"name":"Impact","value":""},{"id":150,"name":"Time of Event (Mountain Time)","value":"11:22:18"},{"id":151,"name":"Denver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4031 --day 2017-01-12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625</v>
      </c>
      <c r="B72" s="7">
        <v>4032</v>
      </c>
      <c r="C72" s="22" t="s">
        <v>201</v>
      </c>
      <c r="D72" s="22" t="s">
        <v>335</v>
      </c>
      <c r="E72" s="13">
        <v>42747.485011574077</v>
      </c>
      <c r="F72" s="13">
        <v>42747.486990740741</v>
      </c>
      <c r="G72" s="7">
        <v>1</v>
      </c>
      <c r="H72" s="22" t="s">
        <v>262</v>
      </c>
      <c r="I72" s="13">
        <v>42747.513622685183</v>
      </c>
      <c r="J72" s="7">
        <v>0</v>
      </c>
      <c r="K72" s="105" t="str">
        <f t="shared" si="0"/>
        <v>4031/4032</v>
      </c>
      <c r="L72" s="22" t="str">
        <f>VLOOKUP(A72,'Trips&amp;Operators'!$C$1:$G$99999,5,FALSE)</f>
        <v>STARKS ANGELINA</v>
      </c>
      <c r="M72" s="6">
        <f t="shared" si="1"/>
        <v>2.6631944441760425E-2</v>
      </c>
      <c r="N72" s="7">
        <f t="shared" si="28"/>
        <v>38.349999996135011</v>
      </c>
      <c r="O72" s="7"/>
      <c r="P72" s="7"/>
      <c r="Q72" s="23"/>
      <c r="R72" s="23"/>
      <c r="S72" s="32">
        <f t="shared" si="29"/>
        <v>1</v>
      </c>
      <c r="T72" s="47" t="str">
        <f t="shared" si="23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10:38:25-700',mode:absolute,to:'2017-01-12 13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72" s="49" t="str">
        <f t="shared" si="6"/>
        <v>N</v>
      </c>
      <c r="X72" s="173">
        <f t="shared" si="31"/>
        <v>1</v>
      </c>
      <c r="Y72" s="64">
        <f t="shared" si="25"/>
        <v>23.299099999999999</v>
      </c>
      <c r="Z72" s="64">
        <f t="shared" si="26"/>
        <v>1.5599999999999999E-2</v>
      </c>
      <c r="AA72" s="64">
        <f t="shared" si="10"/>
        <v>23.2835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0158-12</v>
      </c>
      <c r="AE72" s="87" t="str">
        <f t="shared" si="12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72" s="84" t="str">
        <f t="shared" si="13"/>
        <v>"C:\Program Files (x86)\AstroGrep\AstroGrep.exe" /spath="%USERPROFILE%\AppData\Local\Temp\OnboardLogs" /stypes="app*4032*20170112*" /stext=" 19:.+((SYSTEM_STATE.+slice.+state.+changed )|(ment ac)|(multiple cpu faults)|(system.+state.+changed )|(\[timeout)|(PRM\|1\|D)|(kpr)|(kdp)|(\|lc)|(penalty))" /e /r /s</v>
      </c>
      <c r="AG72" s="1" t="str">
        <f t="shared" si="27"/>
        <v>EC</v>
      </c>
      <c r="AH72" s="88" t="str">
        <f t="shared" si="18"/>
        <v>"%USERPROFILE%\Documents\GitHub\eaglep3\Utilities\RefineRTDCRunTimes.py" --tripid 158-12 --locoid 4032 --swversion DE.1.0.8.0 --startMP 204:232991 --initTime 2017-01-12T11:38:25 --startdatetime 2017-01-12T11:41:16 --delay 1 --endMP 204:156 --enddatetime 2017-01-12T12:19:37 --enforcementcount 0 &gt;&gt;C:\Users\stu\Documents\GitHub\eaglep3-reporting\EC\2017-01-12-refined-times.txt</v>
      </c>
      <c r="AI72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{"issue":{"subject":"","project_id":79,"tracker_id":40,"status_id":1,"priority_id":2,"assigned_to_id":23,"start_date":"2017-01-12","description":"","custom_fields":[{"id":1,"name":"Subdivision","value":"EC"},{"id":4,"name":"Milepost","value":"0.0156"},{"id":17,"name":"Train ID","value":"158-12"},{"id":16,"name":"Locomotive ID","value":"4032"},{"id":130,"name":"Impact","value":""},{"id":150,"name":"Time of Event (Mountain Time)","value":"12:19:37"},{"id":151,"name":"Denver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4032 --day 2017-01-12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614</v>
      </c>
      <c r="B73" s="7">
        <v>4014</v>
      </c>
      <c r="C73" s="22" t="s">
        <v>201</v>
      </c>
      <c r="D73" s="22" t="s">
        <v>356</v>
      </c>
      <c r="E73" s="13">
        <v>42747.455671296295</v>
      </c>
      <c r="F73" s="13">
        <v>42747.45884259259</v>
      </c>
      <c r="G73" s="7">
        <v>1</v>
      </c>
      <c r="H73" s="22" t="s">
        <v>788</v>
      </c>
      <c r="I73" s="13">
        <v>42747.484930555554</v>
      </c>
      <c r="J73" s="7">
        <v>0</v>
      </c>
      <c r="K73" s="105" t="str">
        <f t="shared" si="0"/>
        <v>4013/4014</v>
      </c>
      <c r="L73" s="22" t="str">
        <f>VLOOKUP(A73,'Trips&amp;Operators'!$C$1:$G$99999,5,FALSE)</f>
        <v>CLARK KATHLEEN</v>
      </c>
      <c r="M73" s="6">
        <f t="shared" si="1"/>
        <v>2.6087962964083999E-2</v>
      </c>
      <c r="N73" s="7">
        <f t="shared" si="28"/>
        <v>37.566666668280959</v>
      </c>
      <c r="O73" s="7"/>
      <c r="P73" s="7"/>
      <c r="Q73" s="23"/>
      <c r="R73" s="23"/>
      <c r="S73" s="32">
        <f t="shared" si="29"/>
        <v>1</v>
      </c>
      <c r="T73" s="47" t="str">
        <f t="shared" si="23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09:56:10-700',mode:absolute,to:'2017-01-12 12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73" s="49" t="str">
        <f t="shared" si="6"/>
        <v>N</v>
      </c>
      <c r="X73" s="173">
        <f t="shared" si="31"/>
        <v>1</v>
      </c>
      <c r="Y73" s="64">
        <f t="shared" si="25"/>
        <v>4.5999999999999999E-2</v>
      </c>
      <c r="Z73" s="64">
        <f t="shared" si="26"/>
        <v>23.330300000000001</v>
      </c>
      <c r="AA73" s="64">
        <f t="shared" si="10"/>
        <v>23.284300000000002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0159-12</v>
      </c>
      <c r="AE73" s="87" t="str">
        <f t="shared" si="12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73" s="84" t="str">
        <f t="shared" si="13"/>
        <v>"C:\Program Files (x86)\AstroGrep\AstroGrep.exe" /spath="%USERPROFILE%\AppData\Local\Temp\OnboardLogs" /stypes="app*4014*20170112*" /stext=" 18:.+((SYSTEM_STATE.+slice.+state.+changed )|(ment ac)|(multiple cpu faults)|(system.+state.+changed )|(\[timeout)|(PRM\|1\|D)|(kpr)|(kdp)|(\|lc)|(penalty))" /e /r /s</v>
      </c>
      <c r="AG73" s="1" t="str">
        <f t="shared" si="27"/>
        <v>EC</v>
      </c>
      <c r="AH73" s="88" t="str">
        <f t="shared" si="18"/>
        <v>"%USERPROFILE%\Documents\GitHub\eaglep3\Utilities\RefineRTDCRunTimes.py" --tripid 159-12 --locoid 4014 --swversion DE.1.0.8.0 --startMP 204:460 --initTime 2017-01-12T10:56:10 --startdatetime 2017-01-12T11:00:44 --delay 1 --endMP 204:233303 --enddatetime 2017-01-12T11:38:18 --enforcementcount 0 &gt;&gt;C:\Users\stu\Documents\GitHub\eaglep3-reporting\EC\2017-01-12-refined-times.txt</v>
      </c>
      <c r="AI73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{"issue":{"subject":"","project_id":79,"tracker_id":40,"status_id":1,"priority_id":2,"assigned_to_id":23,"start_date":"2017-01-12","description":"","custom_fields":[{"id":1,"name":"Subdivision","value":"EC"},{"id":4,"name":"Milepost","value":"23.3303"},{"id":17,"name":"Train ID","value":"159-12"},{"id":16,"name":"Locomotive ID","value":"4014"},{"id":130,"name":"Impact","value":""},{"id":150,"name":"Time of Event (Mountain Time)","value":"11:38:18"},{"id":151,"name":"Denver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4014 --day 2017-01-12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626</v>
      </c>
      <c r="B74" s="7">
        <v>4013</v>
      </c>
      <c r="C74" s="22" t="s">
        <v>201</v>
      </c>
      <c r="D74" s="22" t="s">
        <v>293</v>
      </c>
      <c r="E74" s="13">
        <v>42747.491400462961</v>
      </c>
      <c r="F74" s="13">
        <v>42747.497384259259</v>
      </c>
      <c r="G74" s="7">
        <v>1</v>
      </c>
      <c r="H74" s="22" t="s">
        <v>794</v>
      </c>
      <c r="I74" s="13">
        <v>42747.526354166665</v>
      </c>
      <c r="J74" s="7">
        <v>0</v>
      </c>
      <c r="K74" s="105" t="str">
        <f t="shared" si="0"/>
        <v>4013/4014</v>
      </c>
      <c r="L74" s="22" t="str">
        <f>VLOOKUP(A74,'Trips&amp;Operators'!$C$1:$G$99999,5,FALSE)</f>
        <v>CLARK KATHLEEN</v>
      </c>
      <c r="M74" s="6">
        <f t="shared" si="1"/>
        <v>2.8969907405553386E-2</v>
      </c>
      <c r="N74" s="7">
        <f t="shared" si="28"/>
        <v>41.716666663996875</v>
      </c>
      <c r="O74" s="7"/>
      <c r="P74" s="7"/>
      <c r="Q74" s="23"/>
      <c r="R74" s="23"/>
      <c r="S74" s="32">
        <f t="shared" si="29"/>
        <v>1</v>
      </c>
      <c r="T74" s="47" t="str">
        <f t="shared" si="23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10:47:37-700',mode:absolute,to:'2017-01-12 13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74" s="49" t="str">
        <f t="shared" si="6"/>
        <v>N</v>
      </c>
      <c r="X74" s="173">
        <f t="shared" si="31"/>
        <v>1</v>
      </c>
      <c r="Y74" s="64">
        <f t="shared" si="25"/>
        <v>23.296900000000001</v>
      </c>
      <c r="Z74" s="64">
        <f t="shared" si="26"/>
        <v>1.6500000000000001E-2</v>
      </c>
      <c r="AA74" s="64">
        <f t="shared" si="10"/>
        <v>23.2804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0160-12</v>
      </c>
      <c r="AE74" s="87" t="str">
        <f t="shared" si="12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74" s="84" t="str">
        <f t="shared" si="13"/>
        <v>"C:\Program Files (x86)\AstroGrep\AstroGrep.exe" /spath="%USERPROFILE%\AppData\Local\Temp\OnboardLogs" /stypes="app*4013*20170112*" /stext=" 19:.+((SYSTEM_STATE.+slice.+state.+changed )|(ment ac)|(multiple cpu faults)|(system.+state.+changed )|(\[timeout)|(PRM\|1\|D)|(kpr)|(kdp)|(\|lc)|(penalty))" /e /r /s</v>
      </c>
      <c r="AG74" s="1" t="str">
        <f t="shared" si="27"/>
        <v>EC</v>
      </c>
      <c r="AH74" s="88" t="str">
        <f t="shared" si="18"/>
        <v>"%USERPROFILE%\Documents\GitHub\eaglep3\Utilities\RefineRTDCRunTimes.py" --tripid 160-12 --locoid 4013 --swversion DE.1.0.8.0 --startMP 204:232969 --initTime 2017-01-12T11:47:37 --startdatetime 2017-01-12T11:56:14 --delay 1 --endMP 204:165 --enddatetime 2017-01-12T12:37:57 --enforcementcount 0 &gt;&gt;C:\Users\stu\Documents\GitHub\eaglep3-reporting\EC\2017-01-12-refined-times.txt</v>
      </c>
      <c r="AI74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{"issue":{"subject":"","project_id":79,"tracker_id":40,"status_id":1,"priority_id":2,"assigned_to_id":23,"start_date":"2017-01-12","description":"","custom_fields":[{"id":1,"name":"Subdivision","value":"EC"},{"id":4,"name":"Milepost","value":"0.0165"},{"id":17,"name":"Train ID","value":"160-12"},{"id":16,"name":"Locomotive ID","value":"4013"},{"id":130,"name":"Impact","value":""},{"id":150,"name":"Time of Event (Mountain Time)","value":"12:37:57"},{"id":151,"name":"Denver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4013 --day 2017-01-12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617</v>
      </c>
      <c r="B75" s="7">
        <v>4027</v>
      </c>
      <c r="C75" s="22" t="s">
        <v>201</v>
      </c>
      <c r="D75" s="22" t="s">
        <v>283</v>
      </c>
      <c r="E75" s="13">
        <v>42747.466585648152</v>
      </c>
      <c r="F75" s="13">
        <v>42747.468958333331</v>
      </c>
      <c r="G75" s="7">
        <v>1</v>
      </c>
      <c r="H75" s="22" t="s">
        <v>302</v>
      </c>
      <c r="I75" s="13">
        <v>42747.493946759256</v>
      </c>
      <c r="J75" s="7">
        <v>0</v>
      </c>
      <c r="K75" s="105" t="str">
        <f t="shared" si="0"/>
        <v>4027/4028</v>
      </c>
      <c r="L75" s="22" t="str">
        <f>VLOOKUP(A75,'Trips&amp;Operators'!$C$1:$G$99999,5,FALSE)</f>
        <v>KILLION DAVID</v>
      </c>
      <c r="M75" s="6">
        <f t="shared" si="1"/>
        <v>2.4988425924675539E-2</v>
      </c>
      <c r="N75" s="7">
        <f t="shared" si="28"/>
        <v>35.983333331532776</v>
      </c>
      <c r="O75" s="7"/>
      <c r="P75" s="7"/>
      <c r="Q75" s="23"/>
      <c r="R75" s="23"/>
      <c r="S75" s="32">
        <f t="shared" si="29"/>
        <v>1</v>
      </c>
      <c r="T75" s="47" t="str">
        <f t="shared" si="23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10:11:53-700',mode:absolute,to:'2017-01-12 12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75" s="49" t="str">
        <f t="shared" si="6"/>
        <v>N</v>
      </c>
      <c r="X75" s="173">
        <f t="shared" si="31"/>
        <v>1</v>
      </c>
      <c r="Y75" s="64">
        <f t="shared" si="25"/>
        <v>4.6899999999999997E-2</v>
      </c>
      <c r="Z75" s="64">
        <f t="shared" si="26"/>
        <v>23.330400000000001</v>
      </c>
      <c r="AA75" s="64">
        <f t="shared" si="10"/>
        <v>23.2835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0161-12</v>
      </c>
      <c r="AE75" s="87" t="str">
        <f t="shared" si="12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75" s="84" t="str">
        <f t="shared" si="13"/>
        <v>"C:\Program Files (x86)\AstroGrep\AstroGrep.exe" /spath="%USERPROFILE%\AppData\Local\Temp\OnboardLogs" /stypes="app*4027*20170112*" /stext=" 18:.+((SYSTEM_STATE.+slice.+state.+changed )|(ment ac)|(multiple cpu faults)|(system.+state.+changed )|(\[timeout)|(PRM\|1\|D)|(kpr)|(kdp)|(\|lc)|(penalty))" /e /r /s</v>
      </c>
      <c r="AG75" s="1" t="str">
        <f t="shared" si="27"/>
        <v>EC</v>
      </c>
      <c r="AH75" s="88" t="str">
        <f t="shared" si="18"/>
        <v>"%USERPROFILE%\Documents\GitHub\eaglep3\Utilities\RefineRTDCRunTimes.py" --tripid 161-12 --locoid 4027 --swversion DE.1.0.8.0 --startMP 204:469 --initTime 2017-01-12T11:11:53 --startdatetime 2017-01-12T11:15:18 --delay 1 --endMP 204:233304 --enddatetime 2017-01-12T11:51:17 --enforcementcount 0 &gt;&gt;C:\Users\stu\Documents\GitHub\eaglep3-reporting\EC\2017-01-12-refined-times.txt</v>
      </c>
      <c r="AI75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{"issue":{"subject":"","project_id":79,"tracker_id":40,"status_id":1,"priority_id":2,"assigned_to_id":23,"start_date":"2017-01-12","description":"","custom_fields":[{"id":1,"name":"Subdivision","value":"EC"},{"id":4,"name":"Milepost","value":"23.3304"},{"id":17,"name":"Train ID","value":"161-12"},{"id":16,"name":"Locomotive ID","value":"4027"},{"id":130,"name":"Impact","value":""},{"id":150,"name":"Time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4027 --day 2017-01-12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630</v>
      </c>
      <c r="B76" s="7">
        <v>4028</v>
      </c>
      <c r="C76" s="22" t="s">
        <v>201</v>
      </c>
      <c r="D76" s="22" t="s">
        <v>285</v>
      </c>
      <c r="E76" s="13">
        <v>42747.4997337963</v>
      </c>
      <c r="F76" s="13">
        <v>42747.507824074077</v>
      </c>
      <c r="G76" s="7">
        <v>1</v>
      </c>
      <c r="H76" s="22" t="s">
        <v>308</v>
      </c>
      <c r="I76" s="13">
        <v>42747.533842592595</v>
      </c>
      <c r="J76" s="7">
        <v>0</v>
      </c>
      <c r="K76" s="105" t="str">
        <f t="shared" si="0"/>
        <v>4027/4028</v>
      </c>
      <c r="L76" s="22" t="str">
        <f>VLOOKUP(A76,'Trips&amp;Operators'!$C$1:$G$99999,5,FALSE)</f>
        <v>KILLION DAVID</v>
      </c>
      <c r="M76" s="6">
        <f t="shared" si="1"/>
        <v>2.6018518517958E-2</v>
      </c>
      <c r="N76" s="7">
        <f t="shared" si="28"/>
        <v>37.46666666585952</v>
      </c>
      <c r="O76" s="7"/>
      <c r="P76" s="7"/>
      <c r="Q76" s="23"/>
      <c r="R76" s="23"/>
      <c r="S76" s="32">
        <f t="shared" si="29"/>
        <v>1</v>
      </c>
      <c r="T76" s="47" t="str">
        <f t="shared" si="23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https://search-rtdc-monitor-bjffxe2xuh6vdkpspy63sjmuny.us-east-1.es.amazonaws.com/_plugin/kibana/#/discover/Steve-Slow-Train-Analysis-(2080s-and-2083s)?_g=(refreshInterval:(display:Off,section:0,value:0),time:(from:'2017-01-12 10:59:37-700',mode:absolute,to:'2017-01-12 13:48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76" s="49" t="str">
        <f t="shared" si="6"/>
        <v>N</v>
      </c>
      <c r="X76" s="173">
        <f t="shared" si="31"/>
        <v>1</v>
      </c>
      <c r="Y76" s="64">
        <f t="shared" si="25"/>
        <v>23.2987</v>
      </c>
      <c r="Z76" s="64">
        <f t="shared" si="26"/>
        <v>1.54E-2</v>
      </c>
      <c r="AA76" s="64">
        <f t="shared" si="10"/>
        <v>23.283300000000001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0162-12</v>
      </c>
      <c r="AE76" s="87" t="str">
        <f t="shared" si="12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76" s="84" t="str">
        <f t="shared" si="13"/>
        <v>"C:\Program Files (x86)\AstroGrep\AstroGrep.exe" /spath="%USERPROFILE%\AppData\Local\Temp\OnboardLogs" /stypes="app*4028*20170112*" /stext=" 19:.+((SYSTEM_STATE.+slice.+state.+changed )|(ment ac)|(multiple cpu faults)|(system.+state.+changed )|(\[timeout)|(PRM\|1\|D)|(kpr)|(kdp)|(\|lc)|(penalty))" /e /r /s</v>
      </c>
      <c r="AG76" s="1" t="str">
        <f t="shared" si="27"/>
        <v>EC</v>
      </c>
      <c r="AH76" s="88" t="str">
        <f t="shared" si="18"/>
        <v>"%USERPROFILE%\Documents\GitHub\eaglep3\Utilities\RefineRTDCRunTimes.py" --tripid 162-12 --locoid 4028 --swversion DE.1.0.8.0 --startMP 204:232987 --initTime 2017-01-12T11:59:37 --startdatetime 2017-01-12T12:11:16 --delay 1 --endMP 204:154 --enddatetime 2017-01-12T12:48:44 --enforcementcount 0 &gt;&gt;C:\Users\stu\Documents\GitHub\eaglep3-reporting\EC\2017-01-12-refined-times.txt</v>
      </c>
      <c r="AI76" s="115" t="str">
        <f t="shared" si="19"/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ID","value":"162-12"},{"id":16,"name":"Locomotive ID","value":"4028"},{"id":130,"name":"Impact","value":""},{"id":150,"name":"Time of Event (Mountain Time)","value":"12:48:44"},{"id":151,"name":"Denver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4028 --day 2017-01-12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620</v>
      </c>
      <c r="B77" s="7">
        <v>4022</v>
      </c>
      <c r="C77" s="22" t="s">
        <v>201</v>
      </c>
      <c r="D77" s="22" t="s">
        <v>476</v>
      </c>
      <c r="E77" s="13">
        <v>42747.475115740737</v>
      </c>
      <c r="F77" s="13">
        <v>42747.479351851849</v>
      </c>
      <c r="G77" s="7">
        <v>1</v>
      </c>
      <c r="H77" s="22" t="s">
        <v>288</v>
      </c>
      <c r="I77" s="13">
        <v>42747.503842592596</v>
      </c>
      <c r="J77" s="7">
        <v>0</v>
      </c>
      <c r="K77" s="105" t="str">
        <f t="shared" ref="K77:K140" si="32">IF(ISEVEN(B77),(B77-1)&amp;"/"&amp;B77,B77&amp;"/"&amp;(B77+1))</f>
        <v>4021/4022</v>
      </c>
      <c r="L77" s="22" t="str">
        <f>VLOOKUP(A77,'Trips&amp;Operators'!$C$1:$G$99999,5,FALSE)</f>
        <v>BRUDER RICHARD</v>
      </c>
      <c r="M77" s="6">
        <f t="shared" ref="M77:M140" si="33">I77-F77</f>
        <v>2.4490740746841766E-2</v>
      </c>
      <c r="N77" s="7">
        <f t="shared" si="28"/>
        <v>35.266666675452143</v>
      </c>
      <c r="O77" s="7"/>
      <c r="P77" s="7"/>
      <c r="Q77" s="23"/>
      <c r="R77" s="23"/>
      <c r="S77" s="32">
        <f t="shared" si="29"/>
        <v>1</v>
      </c>
      <c r="T77" s="47" t="str">
        <f t="shared" ref="T77:T108" si="34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5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https://search-rtdc-monitor-bjffxe2xuh6vdkpspy63sjmuny.us-east-1.es.amazonaws.com/_plugin/kibana/#/discover/Steve-Slow-Train-Analysis-(2080s-and-2083s)?_g=(refreshInterval:(display:Off,section:0,value:0),time:(from:'2017-01-12 10:24:10-700',mode:absolute,to:'2017-01-12 13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77" s="49" t="str">
        <f t="shared" ref="W77:W140" si="36">IF(AA77&lt;IF(AG77="EC",23,5.65),"Y","N")</f>
        <v>N</v>
      </c>
      <c r="X77" s="173">
        <f t="shared" si="31"/>
        <v>1</v>
      </c>
      <c r="Y77" s="64">
        <f t="shared" ref="Y77:Y108" si="37">RIGHT(D77,LEN(D77)-4)/10000</f>
        <v>4.7800000000000002E-2</v>
      </c>
      <c r="Z77" s="64">
        <f t="shared" ref="Z77:Z108" si="38">RIGHT(H77,LEN(H77)-4)/10000</f>
        <v>23.329899999999999</v>
      </c>
      <c r="AA77" s="64">
        <f t="shared" ref="AA77:AA140" si="39">ABS(Z77-Y77)</f>
        <v>23.2821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40">IF(LEN(A77)=6,"0"&amp;A77,A77)</f>
        <v>0163-12</v>
      </c>
      <c r="AE77" s="87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77" s="84" t="str">
        <f t="shared" ref="AF77:AF140" si="4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/stypes="app*4022*20170112*" /stext=" 19:.+((SYSTEM_STATE.+slice.+state.+changed )|(ment ac)|(multiple cpu faults)|(system.+state.+changed )|(\[timeout)|(PRM\|1\|D)|(kpr)|(kdp)|(\|lc)|(penalty))" /e /r /s</v>
      </c>
      <c r="AG77" s="1" t="str">
        <f t="shared" ref="AG77:AG108" si="43">IFERROR(IF(VALUE(LEFT(AD77,2))&lt;=2,"EC",IF(OR(VALUE(LEFT(AD77,2))=8,VALUE(LEFT(AD77,2))=18),"NW","Other")),"Other")</f>
        <v>EC</v>
      </c>
      <c r="AH77" s="88" t="str">
        <f t="shared" ref="AH77:AH140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163-12 --locoid 4022 --swversion DE.1.0.8.0 --startMP 204:478 --initTime 2017-01-12T11:24:10 --startdatetime 2017-01-12T11:30:16 --delay 1 --endMP 204:233299 --enddatetime 2017-01-12T12:05:32 --enforcementcount 0 &gt;&gt;C:\Users\stu\Documents\GitHub\eaglep3-reporting\EC\2017-01-12-refined-times.txt</v>
      </c>
      <c r="AI77" s="115" t="str">
        <f t="shared" ref="AI77:AI140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{"issue":{"subject":"","project_id":79,"tracker_id":40,"status_id":1,"priority_id":2,"assigned_to_id":23,"start_date":"2017-01-12","description":"","custom_fields":[{"id":1,"name":"Subdivision","value":"EC"},{"id":4,"name":"Milepost","value":"23.3299"},{"id":17,"name":"Train ID","value":"163-12"},{"id":16,"name":"Locomotive ID","value":"4022"},{"id":130,"name":"Impact","value":""},{"id":150,"name":"Time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40" si="46">"start /low /b "&amp;dls3logs&amp;" --loco "&amp;B77&amp;" --day "&amp;TEXT(F77,"YYYY-MM-DD")</f>
        <v>start /low /b %USERPROFILE%\Documents\GitHub\eaglep3\Utilities\DownloadLogsFromS3.py --loco 4022 --day 2017-01-12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634</v>
      </c>
      <c r="B78" s="7">
        <v>4021</v>
      </c>
      <c r="C78" s="22" t="s">
        <v>201</v>
      </c>
      <c r="D78" s="22" t="s">
        <v>253</v>
      </c>
      <c r="E78" s="13">
        <v>42747.513726851852</v>
      </c>
      <c r="F78" s="13">
        <v>42747.518263888887</v>
      </c>
      <c r="G78" s="7">
        <v>1</v>
      </c>
      <c r="H78" s="22" t="s">
        <v>259</v>
      </c>
      <c r="I78" s="13">
        <v>42747.545057870368</v>
      </c>
      <c r="J78" s="7">
        <v>0</v>
      </c>
      <c r="K78" s="105" t="str">
        <f t="shared" si="32"/>
        <v>4021/4022</v>
      </c>
      <c r="L78" s="22" t="str">
        <f>VLOOKUP(A78,'Trips&amp;Operators'!$C$1:$G$99999,5,FALSE)</f>
        <v>BRUDER RICHARD</v>
      </c>
      <c r="M78" s="6">
        <f t="shared" si="33"/>
        <v>2.679398148029577E-2</v>
      </c>
      <c r="N78" s="7">
        <f t="shared" si="28"/>
        <v>38.583333331625909</v>
      </c>
      <c r="O78" s="7"/>
      <c r="P78" s="7"/>
      <c r="Q78" s="23"/>
      <c r="R78" s="23"/>
      <c r="S78" s="32">
        <f t="shared" si="29"/>
        <v>1</v>
      </c>
      <c r="T78" s="47" t="str">
        <f t="shared" si="34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11:19:46-700',mode:absolute,to:'2017-01-12 14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78" s="49" t="str">
        <f t="shared" si="36"/>
        <v>N</v>
      </c>
      <c r="X78" s="173">
        <f t="shared" si="31"/>
        <v>1</v>
      </c>
      <c r="Y78" s="64">
        <f t="shared" si="37"/>
        <v>23.2973</v>
      </c>
      <c r="Z78" s="64">
        <f t="shared" si="38"/>
        <v>1.5800000000000002E-2</v>
      </c>
      <c r="AA78" s="64">
        <f t="shared" si="39"/>
        <v>23.281500000000001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0"/>
        <v>0164-12</v>
      </c>
      <c r="AE78" s="87" t="str">
        <f t="shared" si="41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78" s="84" t="str">
        <f t="shared" si="42"/>
        <v>"C:\Program Files (x86)\AstroGrep\AstroGrep.exe" /spath="%USERPROFILE%\AppData\Local\Temp\OnboardLogs" /stypes="app*4021*20170112*" /stext=" 20:.+((SYSTEM_STATE.+slice.+state.+changed )|(ment ac)|(multiple cpu faults)|(system.+state.+changed )|(\[timeout)|(PRM\|1\|D)|(kpr)|(kdp)|(\|lc)|(penalty))" /e /r /s</v>
      </c>
      <c r="AG78" s="1" t="str">
        <f t="shared" si="43"/>
        <v>EC</v>
      </c>
      <c r="AH78" s="88" t="str">
        <f t="shared" si="44"/>
        <v>"%USERPROFILE%\Documents\GitHub\eaglep3\Utilities\RefineRTDCRunTimes.py" --tripid 164-12 --locoid 4021 --swversion DE.1.0.8.0 --startMP 204:232973 --initTime 2017-01-12T12:19:46 --startdatetime 2017-01-12T12:26:18 --delay 1 --endMP 204:158 --enddatetime 2017-01-12T13:04:53 --enforcementcount 0 &gt;&gt;C:\Users\stu\Documents\GitHub\eaglep3-reporting\EC\2017-01-12-refined-times.txt</v>
      </c>
      <c r="AI7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{"issue":{"subject":"","project_id":79,"tracker_id":40,"status_id":1,"priority_id":2,"assigned_to_id":23,"start_date":"2017-01-12","description":"","custom_fields":[{"id":1,"name":"Subdivision","value":"EC"},{"id":4,"name":"Milepost","value":"0.0158"},{"id":17,"name":"Train ID","value":"164-12"},{"id":16,"name":"Locomotive ID","value":"4021"},{"id":130,"name":"Impact","value":""},{"id":150,"name":"Time of Event (Mountain Time)","value":"13:04:53"},{"id":151,"name":"Denver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46"/>
        <v>start /low /b %USERPROFILE%\Documents\GitHub\eaglep3\Utilities\DownloadLogsFromS3.py --loco 4021 --day 2017-01-12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621</v>
      </c>
      <c r="B79" s="7">
        <v>4002</v>
      </c>
      <c r="C79" s="22" t="s">
        <v>201</v>
      </c>
      <c r="D79" s="22" t="s">
        <v>795</v>
      </c>
      <c r="E79" s="13">
        <v>42747.483356481483</v>
      </c>
      <c r="F79" s="13">
        <v>42747.489791666667</v>
      </c>
      <c r="G79" s="7">
        <v>2</v>
      </c>
      <c r="H79" s="22" t="s">
        <v>301</v>
      </c>
      <c r="I79" s="13">
        <v>42747.514965277776</v>
      </c>
      <c r="J79" s="7">
        <v>0</v>
      </c>
      <c r="K79" s="105" t="str">
        <f t="shared" si="32"/>
        <v>4001/4002</v>
      </c>
      <c r="L79" s="22" t="str">
        <f>VLOOKUP(A79,'Trips&amp;Operators'!$C$1:$G$99999,5,FALSE)</f>
        <v>SMITH MICHAEL</v>
      </c>
      <c r="M79" s="6">
        <f t="shared" si="33"/>
        <v>2.5173611109494232E-2</v>
      </c>
      <c r="N79" s="7">
        <f t="shared" si="28"/>
        <v>36.249999997671694</v>
      </c>
      <c r="O79" s="7"/>
      <c r="P79" s="7"/>
      <c r="Q79" s="23"/>
      <c r="R79" s="23"/>
      <c r="S79" s="32">
        <f t="shared" si="29"/>
        <v>1</v>
      </c>
      <c r="T79" s="47" t="str">
        <f t="shared" si="34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10:36:02-700',mode:absolute,to:'2017-01-12 13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79" s="49" t="str">
        <f t="shared" si="36"/>
        <v>N</v>
      </c>
      <c r="X79" s="173">
        <f t="shared" si="31"/>
        <v>1</v>
      </c>
      <c r="Y79" s="64">
        <f t="shared" si="37"/>
        <v>4.3499999999999997E-2</v>
      </c>
      <c r="Z79" s="64">
        <f t="shared" si="38"/>
        <v>23.331700000000001</v>
      </c>
      <c r="AA79" s="64">
        <f t="shared" si="39"/>
        <v>23.2882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0"/>
        <v>0165-12</v>
      </c>
      <c r="AE79" s="87" t="str">
        <f t="shared" si="41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79" s="84" t="str">
        <f t="shared" si="42"/>
        <v>"C:\Program Files (x86)\AstroGrep\AstroGrep.exe" /spath="%USERPROFILE%\AppData\Local\Temp\OnboardLogs" /stypes="app*4002*20170112*" /stext=" 19:.+((SYSTEM_STATE.+slice.+state.+changed )|(ment ac)|(multiple cpu faults)|(system.+state.+changed )|(\[timeout)|(PRM\|1\|D)|(kpr)|(kdp)|(\|lc)|(penalty))" /e /r /s</v>
      </c>
      <c r="AG79" s="1" t="str">
        <f t="shared" si="43"/>
        <v>EC</v>
      </c>
      <c r="AH79" s="88" t="str">
        <f t="shared" si="44"/>
        <v>"%USERPROFILE%\Documents\GitHub\eaglep3\Utilities\RefineRTDCRunTimes.py" --tripid 165-12 --locoid 4002 --swversion DE.1.0.8.0 --startMP 204:435 --initTime 2017-01-12T11:36:02 --startdatetime 2017-01-12T11:45:18 --delay 2 --endMP 204:233317 --enddatetime 2017-01-12T12:21:33 --enforcementcount 0 &gt;&gt;C:\Users\stu\Documents\GitHub\eaglep3-reporting\EC\2017-01-12-refined-times.txt</v>
      </c>
      <c r="AI7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{"issue":{"subject":"","project_id":79,"tracker_id":40,"status_id":1,"priority_id":2,"assigned_to_id":23,"start_date":"2017-01-12","description":"","custom_fields":[{"id":1,"name":"Subdivision","value":"EC"},{"id":4,"name":"Milepost","value":"23.3317"},{"id":17,"name":"Train ID","value":"165-12"},{"id":16,"name":"Locomotive ID","value":"4002"},{"id":130,"name":"Impact","value":""},{"id":150,"name":"Time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6"/>
        <v>start /low /b %USERPROFILE%\Documents\GitHub\eaglep3\Utilities\DownloadLogsFromS3.py --loco 4002 --day 2017-01-12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636</v>
      </c>
      <c r="B80" s="7">
        <v>4001</v>
      </c>
      <c r="C80" s="22" t="s">
        <v>201</v>
      </c>
      <c r="D80" s="22" t="s">
        <v>263</v>
      </c>
      <c r="E80" s="13">
        <v>42747.518171296295</v>
      </c>
      <c r="F80" s="13">
        <v>42747.528807870367</v>
      </c>
      <c r="G80" s="7">
        <v>1</v>
      </c>
      <c r="H80" s="22" t="s">
        <v>259</v>
      </c>
      <c r="I80" s="13">
        <v>42747.555335648147</v>
      </c>
      <c r="J80" s="7">
        <v>0</v>
      </c>
      <c r="K80" s="105" t="str">
        <f t="shared" si="32"/>
        <v>4001/4002</v>
      </c>
      <c r="L80" s="22" t="str">
        <f>VLOOKUP(A80,'Trips&amp;Operators'!$C$1:$G$99999,5,FALSE)</f>
        <v>SMITH MICHAEL</v>
      </c>
      <c r="M80" s="6">
        <f t="shared" si="33"/>
        <v>2.6527777779847383E-2</v>
      </c>
      <c r="N80" s="7">
        <f t="shared" si="28"/>
        <v>38.200000002980232</v>
      </c>
      <c r="O80" s="7"/>
      <c r="P80" s="7"/>
      <c r="Q80" s="23"/>
      <c r="R80" s="23"/>
      <c r="S80" s="32">
        <f t="shared" si="29"/>
        <v>1</v>
      </c>
      <c r="T80" s="47" t="str">
        <f t="shared" si="34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11:26:10-700',mode:absolute,to:'2017-01-12 14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80" s="49" t="str">
        <f t="shared" si="36"/>
        <v>N</v>
      </c>
      <c r="X80" s="173">
        <f t="shared" si="31"/>
        <v>1</v>
      </c>
      <c r="Y80" s="64">
        <f t="shared" si="37"/>
        <v>23.2989</v>
      </c>
      <c r="Z80" s="64">
        <f t="shared" si="38"/>
        <v>1.5800000000000002E-2</v>
      </c>
      <c r="AA80" s="64">
        <f t="shared" si="39"/>
        <v>23.283100000000001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40"/>
        <v>0166-12</v>
      </c>
      <c r="AE80" s="87" t="str">
        <f t="shared" si="41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80" s="84" t="str">
        <f t="shared" si="42"/>
        <v>"C:\Program Files (x86)\AstroGrep\AstroGrep.exe" /spath="%USERPROFILE%\AppData\Local\Temp\OnboardLogs" /stypes="app*4001*20170112*" /stext=" 20:.+((SYSTEM_STATE.+slice.+state.+changed )|(ment ac)|(multiple cpu faults)|(system.+state.+changed )|(\[timeout)|(PRM\|1\|D)|(kpr)|(kdp)|(\|lc)|(penalty))" /e /r /s</v>
      </c>
      <c r="AG80" s="1" t="str">
        <f t="shared" si="43"/>
        <v>EC</v>
      </c>
      <c r="AH80" s="88" t="str">
        <f t="shared" si="44"/>
        <v>"%USERPROFILE%\Documents\GitHub\eaglep3\Utilities\RefineRTDCRunTimes.py" --tripid 166-12 --locoid 4001 --swversion DE.1.0.8.0 --startMP 204:232989 --initTime 2017-01-12T12:26:10 --startdatetime 2017-01-12T12:41:29 --delay 1 --endMP 204:158 --enddatetime 2017-01-12T13:19:41 --enforcementcount 0 &gt;&gt;C:\Users\stu\Documents\GitHub\eaglep3-reporting\EC\2017-01-12-refined-times.txt</v>
      </c>
      <c r="AI8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{"issue":{"subject":"","project_id":79,"tracker_id":40,"status_id":1,"priority_id":2,"assigned_to_id":23,"start_date":"2017-01-12","description":"","custom_fields":[{"id":1,"name":"Subdivision","value":"EC"},{"id":4,"name":"Milepost","value":"0.0158"},{"id":17,"name":"Train ID","value":"166-12"},{"id":16,"name":"Locomotive ID","value":"4001"},{"id":130,"name":"Impact","value":""},{"id":150,"name":"Time of Event (Mountain Time)","value":"13:19:41"},{"id":151,"name":"Denver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6"/>
        <v>start /low /b %USERPROFILE%\Documents\GitHub\eaglep3\Utilities\DownloadLogsFromS3.py --loco 4001 --day 2017-01-12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627</v>
      </c>
      <c r="B81" s="7">
        <v>4020</v>
      </c>
      <c r="C81" s="22" t="s">
        <v>201</v>
      </c>
      <c r="D81" s="22" t="s">
        <v>274</v>
      </c>
      <c r="E81" s="13">
        <v>42747.496307870373</v>
      </c>
      <c r="F81" s="13">
        <v>42747.500289351854</v>
      </c>
      <c r="G81" s="7">
        <v>2</v>
      </c>
      <c r="H81" s="22" t="s">
        <v>796</v>
      </c>
      <c r="I81" s="13">
        <v>42747.526817129627</v>
      </c>
      <c r="J81" s="7">
        <v>0</v>
      </c>
      <c r="K81" s="105" t="str">
        <f t="shared" si="32"/>
        <v>4019/4020</v>
      </c>
      <c r="L81" s="22" t="str">
        <f>VLOOKUP(A81,'Trips&amp;Operators'!$C$1:$G$99999,5,FALSE)</f>
        <v>ARVIDSON DANIEL</v>
      </c>
      <c r="M81" s="6">
        <f t="shared" si="33"/>
        <v>2.6527777772571426E-2</v>
      </c>
      <c r="N81" s="7">
        <f t="shared" si="28"/>
        <v>38.199999992502853</v>
      </c>
      <c r="O81" s="7"/>
      <c r="P81" s="7"/>
      <c r="Q81" s="23"/>
      <c r="R81" s="23"/>
      <c r="S81" s="32">
        <f t="shared" si="29"/>
        <v>1</v>
      </c>
      <c r="T81" s="47" t="str">
        <f t="shared" si="34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10:54:41-700',mode:absolute,to:'2017-01-12 13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81" s="49" t="str">
        <f t="shared" si="36"/>
        <v>N</v>
      </c>
      <c r="X81" s="173">
        <f t="shared" si="31"/>
        <v>1</v>
      </c>
      <c r="Y81" s="64">
        <f t="shared" si="37"/>
        <v>4.4600000000000001E-2</v>
      </c>
      <c r="Z81" s="64">
        <f t="shared" si="38"/>
        <v>23.3276</v>
      </c>
      <c r="AA81" s="64">
        <f t="shared" si="39"/>
        <v>23.283000000000001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0"/>
        <v>0167-12</v>
      </c>
      <c r="AE81" s="87" t="str">
        <f t="shared" si="41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81" s="84" t="str">
        <f t="shared" si="42"/>
        <v>"C:\Program Files (x86)\AstroGrep\AstroGrep.exe" /spath="%USERPROFILE%\AppData\Local\Temp\OnboardLogs" /stypes="app*4020*20170112*" /stext=" 19:.+((SYSTEM_STATE.+slice.+state.+changed )|(ment ac)|(multiple cpu faults)|(system.+state.+changed )|(\[timeout)|(PRM\|1\|D)|(kpr)|(kdp)|(\|lc)|(penalty))" /e /r /s</v>
      </c>
      <c r="AG81" s="1" t="str">
        <f t="shared" si="43"/>
        <v>EC</v>
      </c>
      <c r="AH81" s="88" t="str">
        <f t="shared" si="44"/>
        <v>"%USERPROFILE%\Documents\GitHub\eaglep3\Utilities\RefineRTDCRunTimes.py" --tripid 167-12 --locoid 4020 --swversion DE.1.0.8.0 --startMP 204:446 --initTime 2017-01-12T11:54:41 --startdatetime 2017-01-12T12:00:25 --delay 2 --endMP 204:233276 --enddatetime 2017-01-12T12:38:37 --enforcementcount 0 &gt;&gt;C:\Users\stu\Documents\GitHub\eaglep3-reporting\EC\2017-01-12-refined-times.txt</v>
      </c>
      <c r="AI81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{"issue":{"subject":"","project_id":79,"tracker_id":40,"status_id":1,"priority_id":2,"assigned_to_id":23,"start_date":"2017-01-12","description":"","custom_fields":[{"id":1,"name":"Subdivision","value":"EC"},{"id":4,"name":"Milepost","value":"23.3276"},{"id":17,"name":"Train ID","value":"167-12"},{"id":16,"name":"Locomotive ID","value":"4020"},{"id":130,"name":"Impact","value":""},{"id":150,"name":"Time of Event (Mountain Time)","value":"12:38:37"},{"id":151,"name":"Denver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6"/>
        <v>start /low /b %USERPROFILE%\Documents\GitHub\eaglep3\Utilities\DownloadLogsFromS3.py --loco 4020 --day 2017-01-12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639</v>
      </c>
      <c r="B82" s="7">
        <v>4019</v>
      </c>
      <c r="C82" s="22" t="s">
        <v>201</v>
      </c>
      <c r="D82" s="22" t="s">
        <v>797</v>
      </c>
      <c r="E82" s="13">
        <v>42747.535034722219</v>
      </c>
      <c r="F82" s="13">
        <v>42747.539201388892</v>
      </c>
      <c r="G82" s="7">
        <v>1</v>
      </c>
      <c r="H82" s="22" t="s">
        <v>354</v>
      </c>
      <c r="I82" s="13">
        <v>42747.567071759258</v>
      </c>
      <c r="J82" s="7">
        <v>0</v>
      </c>
      <c r="K82" s="105" t="str">
        <f t="shared" si="32"/>
        <v>4019/4020</v>
      </c>
      <c r="L82" s="22" t="str">
        <f>VLOOKUP(A82,'Trips&amp;Operators'!$C$1:$G$99999,5,FALSE)</f>
        <v>ARVIDSON DANIEL</v>
      </c>
      <c r="M82" s="6">
        <f t="shared" si="33"/>
        <v>2.7870370366144925E-2</v>
      </c>
      <c r="N82" s="7">
        <f t="shared" si="28"/>
        <v>40.133333327248693</v>
      </c>
      <c r="O82" s="7"/>
      <c r="P82" s="7"/>
      <c r="Q82" s="23"/>
      <c r="R82" s="23"/>
      <c r="S82" s="32">
        <f t="shared" si="29"/>
        <v>1</v>
      </c>
      <c r="T82" s="47" t="str">
        <f t="shared" si="34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11:50:27-700',mode:absolute,to:'2017-01-12 14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82" s="49" t="str">
        <f t="shared" si="36"/>
        <v>N</v>
      </c>
      <c r="X82" s="173">
        <f t="shared" si="31"/>
        <v>1</v>
      </c>
      <c r="Y82" s="64">
        <f t="shared" si="37"/>
        <v>23.298999999999999</v>
      </c>
      <c r="Z82" s="64">
        <f t="shared" si="38"/>
        <v>1.29E-2</v>
      </c>
      <c r="AA82" s="64">
        <f t="shared" si="39"/>
        <v>23.286100000000001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0"/>
        <v>0168-12</v>
      </c>
      <c r="AE82" s="87" t="str">
        <f t="shared" si="41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82" s="84" t="str">
        <f t="shared" si="42"/>
        <v>"C:\Program Files (x86)\AstroGrep\AstroGrep.exe" /spath="%USERPROFILE%\AppData\Local\Temp\OnboardLogs" /stypes="app*4019*20170112*" /stext=" 20:.+((SYSTEM_STATE.+slice.+state.+changed )|(ment ac)|(multiple cpu faults)|(system.+state.+changed )|(\[timeout)|(PRM\|1\|D)|(kpr)|(kdp)|(\|lc)|(penalty))" /e /r /s</v>
      </c>
      <c r="AG82" s="1" t="str">
        <f t="shared" si="43"/>
        <v>EC</v>
      </c>
      <c r="AH82" s="88" t="str">
        <f t="shared" si="44"/>
        <v>"%USERPROFILE%\Documents\GitHub\eaglep3\Utilities\RefineRTDCRunTimes.py" --tripid 168-12 --locoid 4019 --swversion DE.1.0.8.0 --startMP 204:232990 --initTime 2017-01-12T12:50:27 --startdatetime 2017-01-12T12:56:27 --delay 1 --endMP 204:129 --enddatetime 2017-01-12T13:36:35 --enforcementcount 0 &gt;&gt;C:\Users\stu\Documents\GitHub\eaglep3-reporting\EC\2017-01-12-refined-times.txt</v>
      </c>
      <c r="AI8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{"issue":{"subject":"","project_id":79,"tracker_id":40,"status_id":1,"priority_id":2,"assigned_to_id":23,"start_date":"2017-01-12","description":"","custom_fields":[{"id":1,"name":"Subdivision","value":"EC"},{"id":4,"name":"Milepost","value":"0.0129"},{"id":17,"name":"Train ID","value":"168-12"},{"id":16,"name":"Locomotive ID","value":"4019"},{"id":130,"name":"Impact","value":""},{"id":150,"name":"Time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6"/>
        <v>start /low /b %USERPROFILE%\Documents\GitHub\eaglep3\Utilities\DownloadLogsFromS3.py --loco 4019 --day 2017-01-12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632</v>
      </c>
      <c r="B83" s="7">
        <v>4011</v>
      </c>
      <c r="C83" s="22" t="s">
        <v>201</v>
      </c>
      <c r="D83" s="22" t="s">
        <v>252</v>
      </c>
      <c r="E83" s="13">
        <v>42747.505787037036</v>
      </c>
      <c r="F83" s="13">
        <v>42747.510625000003</v>
      </c>
      <c r="G83" s="7">
        <v>2</v>
      </c>
      <c r="H83" s="22" t="s">
        <v>783</v>
      </c>
      <c r="I83" s="13">
        <v>42747.535902777781</v>
      </c>
      <c r="J83" s="7">
        <v>0</v>
      </c>
      <c r="K83" s="105" t="str">
        <f t="shared" si="32"/>
        <v>4011/4012</v>
      </c>
      <c r="L83" s="22" t="str">
        <f>VLOOKUP(A83,'Trips&amp;Operators'!$C$1:$G$99999,5,FALSE)</f>
        <v>YANG JAN</v>
      </c>
      <c r="M83" s="6">
        <f t="shared" si="33"/>
        <v>2.527777777868323E-2</v>
      </c>
      <c r="N83" s="7">
        <f t="shared" si="28"/>
        <v>36.400000001303852</v>
      </c>
      <c r="O83" s="7"/>
      <c r="P83" s="7"/>
      <c r="Q83" s="23"/>
      <c r="R83" s="23"/>
      <c r="S83" s="32">
        <f t="shared" si="29"/>
        <v>1</v>
      </c>
      <c r="T83" s="47" t="str">
        <f t="shared" si="34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11:08:20-700',mode:absolute,to:'2017-01-12 13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83" s="49" t="str">
        <f t="shared" si="36"/>
        <v>N</v>
      </c>
      <c r="X83" s="173">
        <f t="shared" si="31"/>
        <v>1</v>
      </c>
      <c r="Y83" s="64">
        <f t="shared" si="37"/>
        <v>4.4900000000000002E-2</v>
      </c>
      <c r="Z83" s="64">
        <f t="shared" si="38"/>
        <v>23.330200000000001</v>
      </c>
      <c r="AA83" s="64">
        <f t="shared" si="39"/>
        <v>23.285300000000003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0"/>
        <v>0169-12</v>
      </c>
      <c r="AE83" s="87" t="str">
        <f t="shared" si="41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83" s="84" t="str">
        <f t="shared" si="42"/>
        <v>"C:\Program Files (x86)\AstroGrep\AstroGrep.exe" /spath="%USERPROFILE%\AppData\Local\Temp\OnboardLogs" /stypes="app*4011*20170112*" /stext=" 19:.+((SYSTEM_STATE.+slice.+state.+changed )|(ment ac)|(multiple cpu faults)|(system.+state.+changed )|(\[timeout)|(PRM\|1\|D)|(kpr)|(kdp)|(\|lc)|(penalty))" /e /r /s</v>
      </c>
      <c r="AG83" s="1" t="str">
        <f t="shared" si="43"/>
        <v>EC</v>
      </c>
      <c r="AH83" s="88" t="str">
        <f t="shared" si="44"/>
        <v>"%USERPROFILE%\Documents\GitHub\eaglep3\Utilities\RefineRTDCRunTimes.py" --tripid 169-12 --locoid 4011 --swversion DE.1.0.8.0 --startMP 204:449 --initTime 2017-01-12T12:08:20 --startdatetime 2017-01-12T12:15:18 --delay 2 --endMP 204:233302 --enddatetime 2017-01-12T12:51:42 --enforcementcount 0 &gt;&gt;C:\Users\stu\Documents\GitHub\eaglep3-reporting\EC\2017-01-12-refined-times.txt</v>
      </c>
      <c r="AI8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{"issue":{"subject":"","project_id":79,"tracker_id":40,"status_id":1,"priority_id":2,"assigned_to_id":23,"start_date":"2017-01-12","description":"","custom_fields":[{"id":1,"name":"Subdivision","value":"EC"},{"id":4,"name":"Milepost","value":"23.3302"},{"id":17,"name":"Train ID","value":"169-12"},{"id":16,"name":"Locomotive ID","value":"4011"},{"id":130,"name":"Impact","value":""},{"id":150,"name":"Time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6"/>
        <v>start /low /b %USERPROFILE%\Documents\GitHub\eaglep3\Utilities\DownloadLogsFromS3.py --loco 4011 --day 2017-01-12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641</v>
      </c>
      <c r="B84" s="7">
        <v>4012</v>
      </c>
      <c r="C84" s="22" t="s">
        <v>201</v>
      </c>
      <c r="D84" s="22" t="s">
        <v>285</v>
      </c>
      <c r="E84" s="13">
        <v>42747.53833333333</v>
      </c>
      <c r="F84" s="13">
        <v>42747.549675925926</v>
      </c>
      <c r="G84" s="7">
        <v>1</v>
      </c>
      <c r="H84" s="22" t="s">
        <v>206</v>
      </c>
      <c r="I84" s="13">
        <v>42747.576886574076</v>
      </c>
      <c r="J84" s="7">
        <v>0</v>
      </c>
      <c r="K84" s="105" t="str">
        <f t="shared" si="32"/>
        <v>4011/4012</v>
      </c>
      <c r="L84" s="22" t="str">
        <f>VLOOKUP(A84,'Trips&amp;Operators'!$C$1:$G$99999,5,FALSE)</f>
        <v>YANG JAN</v>
      </c>
      <c r="M84" s="6">
        <f t="shared" si="33"/>
        <v>2.7210648149775807E-2</v>
      </c>
      <c r="N84" s="7">
        <f t="shared" si="28"/>
        <v>39.183333335677162</v>
      </c>
      <c r="O84" s="7"/>
      <c r="P84" s="7"/>
      <c r="Q84" s="23"/>
      <c r="R84" s="23"/>
      <c r="S84" s="32">
        <f t="shared" si="29"/>
        <v>1</v>
      </c>
      <c r="T84" s="47" t="str">
        <f t="shared" si="34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11:55:12-700',mode:absolute,to:'2017-01-12 14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84" s="49" t="str">
        <f t="shared" si="36"/>
        <v>N</v>
      </c>
      <c r="X84" s="173">
        <f t="shared" si="31"/>
        <v>1</v>
      </c>
      <c r="Y84" s="64">
        <f t="shared" si="37"/>
        <v>23.2987</v>
      </c>
      <c r="Z84" s="64">
        <f t="shared" si="38"/>
        <v>1.4999999999999999E-2</v>
      </c>
      <c r="AA84" s="64">
        <f t="shared" si="39"/>
        <v>23.2837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0"/>
        <v>0170-12</v>
      </c>
      <c r="AE84" s="87" t="str">
        <f t="shared" si="41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84" s="84" t="str">
        <f t="shared" si="42"/>
        <v>"C:\Program Files (x86)\AstroGrep\AstroGrep.exe" /spath="%USERPROFILE%\AppData\Local\Temp\OnboardLogs" /stypes="app*4012*20170112*" /stext=" 20:.+((SYSTEM_STATE.+slice.+state.+changed )|(ment ac)|(multiple cpu faults)|(system.+state.+changed )|(\[timeout)|(PRM\|1\|D)|(kpr)|(kdp)|(\|lc)|(penalty))" /e /r /s</v>
      </c>
      <c r="AG84" s="1" t="str">
        <f t="shared" si="43"/>
        <v>EC</v>
      </c>
      <c r="AH84" s="88" t="str">
        <f t="shared" si="44"/>
        <v>"%USERPROFILE%\Documents\GitHub\eaglep3\Utilities\RefineRTDCRunTimes.py" --tripid 170-12 --locoid 4012 --swversion DE.1.0.8.0 --startMP 204:232987 --initTime 2017-01-12T12:55:12 --startdatetime 2017-01-12T13:11:32 --delay 1 --endMP 204:150 --enddatetime 2017-01-12T13:50:43 --enforcementcount 0 &gt;&gt;C:\Users\stu\Documents\GitHub\eaglep3-reporting\EC\2017-01-12-refined-times.txt</v>
      </c>
      <c r="AI84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{"issue":{"subject":"","project_id":79,"tracker_id":40,"status_id":1,"priority_id":2,"assigned_to_id":23,"start_date":"2017-01-12","description":"","custom_fields":[{"id":1,"name":"Subdivision","value":"EC"},{"id":4,"name":"Milepost","value":"0.015"},{"id":17,"name":"Train ID","value":"170-12"},{"id":16,"name":"Locomotive ID","value":"4012"},{"id":130,"name":"Impact","value":""},{"id":150,"name":"Time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6"/>
        <v>start /low /b %USERPROFILE%\Documents\GitHub\eaglep3\Utilities\DownloadLogsFromS3.py --loco 4012 --day 2017-01-12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635</v>
      </c>
      <c r="B85" s="7">
        <v>4031</v>
      </c>
      <c r="C85" s="22" t="s">
        <v>201</v>
      </c>
      <c r="D85" s="22" t="s">
        <v>474</v>
      </c>
      <c r="E85" s="13">
        <v>42747.51703703704</v>
      </c>
      <c r="F85" s="13">
        <v>42747.521134259259</v>
      </c>
      <c r="G85" s="7">
        <v>1</v>
      </c>
      <c r="H85" s="22" t="s">
        <v>468</v>
      </c>
      <c r="I85" s="13">
        <v>42747.54583333333</v>
      </c>
      <c r="J85" s="7">
        <v>0</v>
      </c>
      <c r="K85" s="105" t="str">
        <f t="shared" si="32"/>
        <v>4031/4032</v>
      </c>
      <c r="L85" s="22" t="str">
        <f>VLOOKUP(A85,'Trips&amp;Operators'!$C$1:$G$99999,5,FALSE)</f>
        <v>SIMMONS SHYHESHA</v>
      </c>
      <c r="M85" s="6">
        <f t="shared" si="33"/>
        <v>2.4699074070667848E-2</v>
      </c>
      <c r="N85" s="7">
        <f t="shared" si="28"/>
        <v>35.566666661761701</v>
      </c>
      <c r="O85" s="7"/>
      <c r="P85" s="7"/>
      <c r="Q85" s="23"/>
      <c r="R85" s="23"/>
      <c r="S85" s="32">
        <f t="shared" si="29"/>
        <v>1</v>
      </c>
      <c r="T85" s="47" t="str">
        <f t="shared" si="34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11:24:32-700',mode:absolute,to:'2017-01-12 14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85" s="49" t="str">
        <f t="shared" si="36"/>
        <v>N</v>
      </c>
      <c r="X85" s="173">
        <f t="shared" si="31"/>
        <v>1</v>
      </c>
      <c r="Y85" s="64">
        <f t="shared" si="37"/>
        <v>4.2900000000000001E-2</v>
      </c>
      <c r="Z85" s="64">
        <f t="shared" si="38"/>
        <v>23.331600000000002</v>
      </c>
      <c r="AA85" s="64">
        <f t="shared" si="39"/>
        <v>23.288700000000002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0"/>
        <v>0171-12</v>
      </c>
      <c r="AE85" s="87" t="str">
        <f t="shared" si="41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85" s="84" t="str">
        <f t="shared" si="42"/>
        <v>"C:\Program Files (x86)\AstroGrep\AstroGrep.exe" /spath="%USERPROFILE%\AppData\Local\Temp\OnboardLogs" /stypes="app*4031*20170112*" /stext=" 20:.+((SYSTEM_STATE.+slice.+state.+changed )|(ment ac)|(multiple cpu faults)|(system.+state.+changed )|(\[timeout)|(PRM\|1\|D)|(kpr)|(kdp)|(\|lc)|(penalty))" /e /r /s</v>
      </c>
      <c r="AG85" s="1" t="str">
        <f t="shared" si="43"/>
        <v>EC</v>
      </c>
      <c r="AH85" s="88" t="str">
        <f t="shared" si="44"/>
        <v>"%USERPROFILE%\Documents\GitHub\eaglep3\Utilities\RefineRTDCRunTimes.py" --tripid 171-12 --locoid 4031 --swversion DE.1.0.8.0 --startMP 204:429 --initTime 2017-01-12T12:24:32 --startdatetime 2017-01-12T12:30:26 --delay 1 --endMP 204:233316 --enddatetime 2017-01-12T13:06:00 --enforcementcount 0 &gt;&gt;C:\Users\stu\Documents\GitHub\eaglep3-reporting\EC\2017-01-12-refined-times.txt</v>
      </c>
      <c r="AI8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{"issue":{"subject":"","project_id":79,"tracker_id":40,"status_id":1,"priority_id":2,"assigned_to_id":23,"start_date":"2017-01-12","description":"","custom_fields":[{"id":1,"name":"Subdivision","value":"EC"},{"id":4,"name":"Milepost","value":"23.3316"},{"id":17,"name":"Train ID","value":"171-12"},{"id":16,"name":"Locomotive ID","value":"4031"},{"id":130,"name":"Impact","value":""},{"id":150,"name":"Time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6"/>
        <v>start /low /b %USERPROFILE%\Documents\GitHub\eaglep3\Utilities\DownloadLogsFromS3.py --loco 4031 --day 2017-01-12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644</v>
      </c>
      <c r="B86" s="7">
        <v>4032</v>
      </c>
      <c r="C86" s="22" t="s">
        <v>201</v>
      </c>
      <c r="D86" s="22" t="s">
        <v>242</v>
      </c>
      <c r="E86" s="13">
        <v>42747.552349537036</v>
      </c>
      <c r="F86" s="13">
        <v>42747.559895833336</v>
      </c>
      <c r="G86" s="7">
        <v>1</v>
      </c>
      <c r="H86" s="22" t="s">
        <v>224</v>
      </c>
      <c r="I86" s="13">
        <v>42747.586365740739</v>
      </c>
      <c r="J86" s="7">
        <v>0</v>
      </c>
      <c r="K86" s="105" t="str">
        <f t="shared" si="32"/>
        <v>4031/4032</v>
      </c>
      <c r="L86" s="22" t="str">
        <f>VLOOKUP(A86,'Trips&amp;Operators'!$C$1:$G$99999,5,FALSE)</f>
        <v>SIMMONS SHYHESHA</v>
      </c>
      <c r="M86" s="6">
        <f t="shared" si="33"/>
        <v>2.6469907403225079E-2</v>
      </c>
      <c r="N86" s="7">
        <f t="shared" si="28"/>
        <v>38.116666660644114</v>
      </c>
      <c r="O86" s="7"/>
      <c r="P86" s="7"/>
      <c r="Q86" s="23"/>
      <c r="R86" s="23"/>
      <c r="S86" s="32">
        <f t="shared" si="29"/>
        <v>1</v>
      </c>
      <c r="T86" s="47" t="str">
        <f t="shared" si="34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12:15:23-700',mode:absolute,to:'2017-01-12 15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86" s="49" t="str">
        <f t="shared" si="36"/>
        <v>N</v>
      </c>
      <c r="X86" s="173">
        <f t="shared" si="31"/>
        <v>1</v>
      </c>
      <c r="Y86" s="64">
        <f t="shared" si="37"/>
        <v>23.297699999999999</v>
      </c>
      <c r="Z86" s="64">
        <f t="shared" si="38"/>
        <v>1.4500000000000001E-2</v>
      </c>
      <c r="AA86" s="64">
        <f t="shared" si="39"/>
        <v>23.283199999999997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0"/>
        <v>0172-12</v>
      </c>
      <c r="AE86" s="87" t="str">
        <f t="shared" si="41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86" s="84" t="str">
        <f t="shared" si="42"/>
        <v>"C:\Program Files (x86)\AstroGrep\AstroGrep.exe" /spath="%USERPROFILE%\AppData\Local\Temp\OnboardLogs" /stypes="app*4032*20170112*" /stext=" 21:.+((SYSTEM_STATE.+slice.+state.+changed )|(ment ac)|(multiple cpu faults)|(system.+state.+changed )|(\[timeout)|(PRM\|1\|D)|(kpr)|(kdp)|(\|lc)|(penalty))" /e /r /s</v>
      </c>
      <c r="AG86" s="1" t="str">
        <f t="shared" si="43"/>
        <v>EC</v>
      </c>
      <c r="AH86" s="88" t="str">
        <f t="shared" si="44"/>
        <v>"%USERPROFILE%\Documents\GitHub\eaglep3\Utilities\RefineRTDCRunTimes.py" --tripid 172-12 --locoid 4032 --swversion DE.1.0.8.0 --startMP 204:232977 --initTime 2017-01-12T13:15:23 --startdatetime 2017-01-12T13:26:15 --delay 1 --endMP 204:145 --enddatetime 2017-01-12T14:04:22 --enforcementcount 0 &gt;&gt;C:\Users\stu\Documents\GitHub\eaglep3-reporting\EC\2017-01-12-refined-times.txt</v>
      </c>
      <c r="AI86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{"issue":{"subject":"","project_id":79,"tracker_id":40,"status_id":1,"priority_id":2,"assigned_to_id":23,"start_date":"2017-01-12","description":"","custom_fields":[{"id":1,"name":"Subdivision","value":"EC"},{"id":4,"name":"Milepost","value":"0.0145"},{"id":17,"name":"Train ID","value":"172-12"},{"id":16,"name":"Locomotive ID","value":"4032"},{"id":130,"name":"Impact","value":""},{"id":150,"name":"Time of Event (Mountain Time)","value":"14:04:22"},{"id":151,"name":"Denver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6"/>
        <v>start /low /b %USERPROFILE%\Documents\GitHub\eaglep3\Utilities\DownloadLogsFromS3.py --loco 4032 --day 2017-01-12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638</v>
      </c>
      <c r="B87" s="7">
        <v>4014</v>
      </c>
      <c r="C87" s="22" t="s">
        <v>201</v>
      </c>
      <c r="D87" s="22" t="s">
        <v>769</v>
      </c>
      <c r="E87" s="13">
        <v>42747.52784722222</v>
      </c>
      <c r="F87" s="13">
        <v>42747.531412037039</v>
      </c>
      <c r="G87" s="7">
        <v>1</v>
      </c>
      <c r="H87" s="22" t="s">
        <v>273</v>
      </c>
      <c r="I87" s="13">
        <v>42747.558298611111</v>
      </c>
      <c r="J87" s="7">
        <v>0</v>
      </c>
      <c r="K87" s="105" t="str">
        <f t="shared" si="32"/>
        <v>4013/4014</v>
      </c>
      <c r="L87" s="22" t="str">
        <f>VLOOKUP(A87,'Trips&amp;Operators'!$C$1:$G$99999,5,FALSE)</f>
        <v>CLARK KATHLEEN</v>
      </c>
      <c r="M87" s="6">
        <f t="shared" si="33"/>
        <v>2.6886574072705116E-2</v>
      </c>
      <c r="N87" s="7">
        <f t="shared" si="28"/>
        <v>38.716666664695367</v>
      </c>
      <c r="O87" s="7"/>
      <c r="P87" s="7"/>
      <c r="Q87" s="23"/>
      <c r="R87" s="23"/>
      <c r="S87" s="32">
        <f t="shared" si="29"/>
        <v>1</v>
      </c>
      <c r="T87" s="47" t="str">
        <f t="shared" si="34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11:40:06-700',mode:absolute,to:'2017-01-12 14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87" s="49" t="str">
        <f t="shared" si="36"/>
        <v>N</v>
      </c>
      <c r="X87" s="173">
        <f t="shared" si="31"/>
        <v>1</v>
      </c>
      <c r="Y87" s="64">
        <f t="shared" si="37"/>
        <v>4.6600000000000003E-2</v>
      </c>
      <c r="Z87" s="64">
        <f t="shared" si="38"/>
        <v>23.329799999999999</v>
      </c>
      <c r="AA87" s="64">
        <f t="shared" si="39"/>
        <v>23.283199999999997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0"/>
        <v>0173-12</v>
      </c>
      <c r="AE87" s="87" t="str">
        <f t="shared" si="41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87" s="84" t="str">
        <f t="shared" si="42"/>
        <v>"C:\Program Files (x86)\AstroGrep\AstroGrep.exe" /spath="%USERPROFILE%\AppData\Local\Temp\OnboardLogs" /stypes="app*4014*20170112*" /stext=" 20:.+((SYSTEM_STATE.+slice.+state.+changed )|(ment ac)|(multiple cpu faults)|(system.+state.+changed )|(\[timeout)|(PRM\|1\|D)|(kpr)|(kdp)|(\|lc)|(penalty))" /e /r /s</v>
      </c>
      <c r="AG87" s="1" t="str">
        <f t="shared" si="43"/>
        <v>EC</v>
      </c>
      <c r="AH87" s="88" t="str">
        <f t="shared" si="44"/>
        <v>"%USERPROFILE%\Documents\GitHub\eaglep3\Utilities\RefineRTDCRunTimes.py" --tripid 173-12 --locoid 4014 --swversion DE.1.0.8.0 --startMP 204:466 --initTime 2017-01-12T12:40:06 --startdatetime 2017-01-12T12:45:14 --delay 1 --endMP 204:233298 --enddatetime 2017-01-12T13:23:57 --enforcementcount 0 &gt;&gt;C:\Users\stu\Documents\GitHub\eaglep3-reporting\EC\2017-01-12-refined-times.txt</v>
      </c>
      <c r="AI8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{"issue":{"subject":"","project_id":79,"tracker_id":40,"status_id":1,"priority_id":2,"assigned_to_id":23,"start_date":"2017-01-12","description":"","custom_fields":[{"id":1,"name":"Subdivision","value":"EC"},{"id":4,"name":"Milepost","value":"23.3298"},{"id":17,"name":"Train ID","value":"173-12"},{"id":16,"name":"Locomotive ID","value":"4014"},{"id":130,"name":"Impact","value":""},{"id":150,"name":"Time of Event (Mountain Time)","value":"13:23:57"},{"id":151,"name":"Denver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6"/>
        <v>start /low /b %USERPROFILE%\Documents\GitHub\eaglep3\Utilities\DownloadLogsFromS3.py --loco 4014 --day 2017-01-12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646</v>
      </c>
      <c r="B88" s="7">
        <v>4013</v>
      </c>
      <c r="C88" s="22" t="s">
        <v>201</v>
      </c>
      <c r="D88" s="22" t="s">
        <v>334</v>
      </c>
      <c r="E88" s="13">
        <v>42747.565370370372</v>
      </c>
      <c r="F88" s="13">
        <v>42747.570300925923</v>
      </c>
      <c r="G88" s="7">
        <v>1</v>
      </c>
      <c r="H88" s="22" t="s">
        <v>798</v>
      </c>
      <c r="I88" s="13">
        <v>42747.599050925928</v>
      </c>
      <c r="J88" s="7">
        <v>0</v>
      </c>
      <c r="K88" s="105" t="str">
        <f t="shared" si="32"/>
        <v>4013/4014</v>
      </c>
      <c r="L88" s="22" t="str">
        <f>VLOOKUP(A88,'Trips&amp;Operators'!$C$1:$G$99999,5,FALSE)</f>
        <v>CLARK KATHLEEN</v>
      </c>
      <c r="M88" s="6">
        <f t="shared" si="33"/>
        <v>2.8750000004947651E-2</v>
      </c>
      <c r="N88" s="7">
        <f t="shared" si="28"/>
        <v>41.400000007124618</v>
      </c>
      <c r="O88" s="7"/>
      <c r="P88" s="7"/>
      <c r="Q88" s="23"/>
      <c r="R88" s="23"/>
      <c r="S88" s="32">
        <f t="shared" si="29"/>
        <v>1</v>
      </c>
      <c r="T88" s="47" t="str">
        <f t="shared" si="34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12:34:08-700',mode:absolute,to:'2017-01-12 15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88" s="49" t="str">
        <f t="shared" si="36"/>
        <v>N</v>
      </c>
      <c r="X88" s="173">
        <f t="shared" si="31"/>
        <v>1</v>
      </c>
      <c r="Y88" s="64">
        <f t="shared" si="37"/>
        <v>23.299800000000001</v>
      </c>
      <c r="Z88" s="64">
        <f t="shared" si="38"/>
        <v>1.6899999999999998E-2</v>
      </c>
      <c r="AA88" s="64">
        <f t="shared" si="39"/>
        <v>23.282900000000001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40"/>
        <v>0174-12</v>
      </c>
      <c r="AE88" s="87" t="str">
        <f t="shared" si="41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88" s="84" t="str">
        <f t="shared" si="42"/>
        <v>"C:\Program Files (x86)\AstroGrep\AstroGrep.exe" /spath="%USERPROFILE%\AppData\Local\Temp\OnboardLogs" /stypes="app*4013*20170112*" /stext=" 21:.+((SYSTEM_STATE.+slice.+state.+changed )|(ment ac)|(multiple cpu faults)|(system.+state.+changed )|(\[timeout)|(PRM\|1\|D)|(kpr)|(kdp)|(\|lc)|(penalty))" /e /r /s</v>
      </c>
      <c r="AG88" s="1" t="str">
        <f t="shared" si="43"/>
        <v>EC</v>
      </c>
      <c r="AH88" s="88" t="str">
        <f t="shared" si="44"/>
        <v>"%USERPROFILE%\Documents\GitHub\eaglep3\Utilities\RefineRTDCRunTimes.py" --tripid 174-12 --locoid 4013 --swversion DE.1.0.8.0 --startMP 204:232998 --initTime 2017-01-12T13:34:08 --startdatetime 2017-01-12T13:41:14 --delay 1 --endMP 204:169 --enddatetime 2017-01-12T14:22:38 --enforcementcount 0 &gt;&gt;C:\Users\stu\Documents\GitHub\eaglep3-reporting\EC\2017-01-12-refined-times.txt</v>
      </c>
      <c r="AI8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{"issue":{"subject":"","project_id":79,"tracker_id":40,"status_id":1,"priority_id":2,"assigned_to_id":23,"start_date":"2017-01-12","description":"","custom_fields":[{"id":1,"name":"Subdivision","value":"EC"},{"id":4,"name":"Milepost","value":"0.0169"},{"id":17,"name":"Train ID","value":"174-12"},{"id":16,"name":"Locomotive ID","value":"4013"},{"id":130,"name":"Impact","value":""},{"id":150,"name":"Time of Event (Mountain Time)","value":"14:22:38"},{"id":151,"name":"Denver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6"/>
        <v>start /low /b %USERPROFILE%\Documents\GitHub\eaglep3\Utilities\DownloadLogsFromS3.py --loco 4013 --day 2017-01-12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640</v>
      </c>
      <c r="B89" s="7">
        <v>4027</v>
      </c>
      <c r="C89" s="22" t="s">
        <v>201</v>
      </c>
      <c r="D89" s="22" t="s">
        <v>769</v>
      </c>
      <c r="E89" s="13">
        <v>42747.536874999998</v>
      </c>
      <c r="F89" s="13">
        <v>42747.541851851849</v>
      </c>
      <c r="G89" s="7">
        <v>1</v>
      </c>
      <c r="H89" s="22" t="s">
        <v>355</v>
      </c>
      <c r="I89" s="13">
        <v>42747.566863425927</v>
      </c>
      <c r="J89" s="7">
        <v>0</v>
      </c>
      <c r="K89" s="105" t="str">
        <f t="shared" si="32"/>
        <v>4027/4028</v>
      </c>
      <c r="L89" s="22" t="str">
        <f>VLOOKUP(A89,'Trips&amp;Operators'!$C$1:$G$99999,5,FALSE)</f>
        <v>KILLION DAVID</v>
      </c>
      <c r="M89" s="6">
        <f t="shared" si="33"/>
        <v>2.5011574078234844E-2</v>
      </c>
      <c r="N89" s="7">
        <f t="shared" si="28"/>
        <v>36.016666672658175</v>
      </c>
      <c r="O89" s="7"/>
      <c r="P89" s="7"/>
      <c r="Q89" s="23"/>
      <c r="R89" s="23"/>
      <c r="S89" s="32">
        <f t="shared" si="29"/>
        <v>1</v>
      </c>
      <c r="T89" s="47" t="str">
        <f t="shared" si="34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11:53:06-700',mode:absolute,to:'2017-01-12 14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89" s="49" t="str">
        <f t="shared" si="36"/>
        <v>N</v>
      </c>
      <c r="X89" s="173">
        <f t="shared" si="31"/>
        <v>1</v>
      </c>
      <c r="Y89" s="64">
        <f t="shared" si="37"/>
        <v>4.6600000000000003E-2</v>
      </c>
      <c r="Z89" s="64">
        <f t="shared" si="38"/>
        <v>23.330500000000001</v>
      </c>
      <c r="AA89" s="64">
        <f t="shared" si="39"/>
        <v>23.283899999999999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0"/>
        <v>0175-12</v>
      </c>
      <c r="AE89" s="87" t="str">
        <f t="shared" si="41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89" s="84" t="str">
        <f t="shared" si="42"/>
        <v>"C:\Program Files (x86)\AstroGrep\AstroGrep.exe" /spath="%USERPROFILE%\AppData\Local\Temp\OnboardLogs" /stypes="app*4027*20170112*" /stext=" 20:.+((SYSTEM_STATE.+slice.+state.+changed )|(ment ac)|(multiple cpu faults)|(system.+state.+changed )|(\[timeout)|(PRM\|1\|D)|(kpr)|(kdp)|(\|lc)|(penalty))" /e /r /s</v>
      </c>
      <c r="AG89" s="1" t="str">
        <f t="shared" si="43"/>
        <v>EC</v>
      </c>
      <c r="AH89" s="88" t="str">
        <f t="shared" si="44"/>
        <v>"%USERPROFILE%\Documents\GitHub\eaglep3\Utilities\RefineRTDCRunTimes.py" --tripid 175-12 --locoid 4027 --swversion DE.1.0.8.0 --startMP 204:466 --initTime 2017-01-12T12:53:06 --startdatetime 2017-01-12T13:00:16 --delay 1 --endMP 204:233305 --enddatetime 2017-01-12T13:36:17 --enforcementcount 0 &gt;&gt;C:\Users\stu\Documents\GitHub\eaglep3-reporting\EC\2017-01-12-refined-times.txt</v>
      </c>
      <c r="AI8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{"issue":{"subject":"","project_id":79,"tracker_id":40,"status_id":1,"priority_id":2,"assigned_to_id":23,"start_date":"2017-01-12","description":"","custom_fields":[{"id":1,"name":"Subdivision","value":"EC"},{"id":4,"name":"Milepost","value":"23.3305"},{"id":17,"name":"Train ID","value":"175-12"},{"id":16,"name":"Locomotive ID","value":"4027"},{"id":130,"name":"Impact","value":""},{"id":150,"name":"Time of Event (Mountain Time)","value":"13:36:17"},{"id":151,"name":"Denver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6"/>
        <v>start /low /b %USERPROFILE%\Documents\GitHub\eaglep3\Utilities\DownloadLogsFromS3.py --loco 4027 --day 2017-01-12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649</v>
      </c>
      <c r="B90" s="7">
        <v>4028</v>
      </c>
      <c r="C90" s="22" t="s">
        <v>201</v>
      </c>
      <c r="D90" s="22" t="s">
        <v>799</v>
      </c>
      <c r="E90" s="13">
        <v>42747.572627314818</v>
      </c>
      <c r="F90" s="13">
        <v>42747.580763888887</v>
      </c>
      <c r="G90" s="7">
        <v>1</v>
      </c>
      <c r="H90" s="22" t="s">
        <v>470</v>
      </c>
      <c r="I90" s="13">
        <v>42747.607314814813</v>
      </c>
      <c r="J90" s="7">
        <v>0</v>
      </c>
      <c r="K90" s="105" t="str">
        <f t="shared" si="32"/>
        <v>4027/4028</v>
      </c>
      <c r="L90" s="22" t="str">
        <f>VLOOKUP(A90,'Trips&amp;Operators'!$C$1:$G$99999,5,FALSE)</f>
        <v>KILLION DAVID</v>
      </c>
      <c r="M90" s="6">
        <f t="shared" si="33"/>
        <v>2.6550925926130731E-2</v>
      </c>
      <c r="N90" s="7">
        <f t="shared" si="28"/>
        <v>38.233333333628252</v>
      </c>
      <c r="O90" s="7"/>
      <c r="P90" s="7"/>
      <c r="Q90" s="23"/>
      <c r="R90" s="23"/>
      <c r="S90" s="32">
        <f t="shared" si="29"/>
        <v>1</v>
      </c>
      <c r="T90" s="47" t="str">
        <f t="shared" si="34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12:44:35-700',mode:absolute,to:'2017-01-12 15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90" s="49" t="str">
        <f t="shared" si="36"/>
        <v>N</v>
      </c>
      <c r="X90" s="173">
        <f t="shared" si="31"/>
        <v>1</v>
      </c>
      <c r="Y90" s="64">
        <f t="shared" si="37"/>
        <v>23.2988</v>
      </c>
      <c r="Z90" s="64">
        <f t="shared" si="38"/>
        <v>1.2999999999999999E-2</v>
      </c>
      <c r="AA90" s="64">
        <f t="shared" si="39"/>
        <v>23.285799999999998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0"/>
        <v>0176-12</v>
      </c>
      <c r="AE90" s="87" t="str">
        <f t="shared" si="41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90" s="84" t="str">
        <f t="shared" si="42"/>
        <v>"C:\Program Files (x86)\AstroGrep\AstroGrep.exe" /spath="%USERPROFILE%\AppData\Local\Temp\OnboardLogs" /stypes="app*4028*20170112*" /stext=" 21:.+((SYSTEM_STATE.+slice.+state.+changed )|(ment ac)|(multiple cpu faults)|(system.+state.+changed )|(\[timeout)|(PRM\|1\|D)|(kpr)|(kdp)|(\|lc)|(penalty))" /e /r /s</v>
      </c>
      <c r="AG90" s="1" t="str">
        <f t="shared" si="43"/>
        <v>EC</v>
      </c>
      <c r="AH90" s="88" t="str">
        <f t="shared" si="44"/>
        <v>"%USERPROFILE%\Documents\GitHub\eaglep3\Utilities\RefineRTDCRunTimes.py" --tripid 176-12 --locoid 4028 --swversion DE.1.0.8.0 --startMP 204:232988 --initTime 2017-01-12T13:44:35 --startdatetime 2017-01-12T13:56:18 --delay 1 --endMP 204:130 --enddatetime 2017-01-12T14:34:32 --enforcementcount 0 &gt;&gt;C:\Users\stu\Documents\GitHub\eaglep3-reporting\EC\2017-01-12-refined-times.txt</v>
      </c>
      <c r="AI9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{"issue":{"subject":"","project_id":79,"tracker_id":40,"status_id":1,"priority_id":2,"assigned_to_id":23,"start_date":"2017-01-12","description":"","custom_fields":[{"id":1,"name":"Subdivision","value":"EC"},{"id":4,"name":"Milepost","value":"0.013"},{"id":17,"name":"Train ID","value":"176-12"},{"id":16,"name":"Locomotive ID","value":"4028"},{"id":130,"name":"Impact","value":""},{"id":150,"name":"Time of Event (Mountain Time)","value":"14:34:32"},{"id":151,"name":"Denver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6"/>
        <v>start /low /b %USERPROFILE%\Documents\GitHub\eaglep3\Utilities\DownloadLogsFromS3.py --loco 4028 --day 2017-01-12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</row>
    <row r="91" spans="1:91" x14ac:dyDescent="0.25">
      <c r="A91" s="34" t="s">
        <v>643</v>
      </c>
      <c r="B91" s="7">
        <v>4022</v>
      </c>
      <c r="C91" s="22" t="s">
        <v>201</v>
      </c>
      <c r="D91" s="22" t="s">
        <v>331</v>
      </c>
      <c r="E91" s="13">
        <v>42747.546782407408</v>
      </c>
      <c r="F91" s="13">
        <v>42747.552256944444</v>
      </c>
      <c r="G91" s="7">
        <v>1</v>
      </c>
      <c r="H91" s="22" t="s">
        <v>327</v>
      </c>
      <c r="I91" s="13">
        <v>42747.577094907407</v>
      </c>
      <c r="J91" s="7">
        <v>0</v>
      </c>
      <c r="K91" s="105" t="str">
        <f t="shared" si="32"/>
        <v>4021/4022</v>
      </c>
      <c r="L91" s="22" t="str">
        <f>VLOOKUP(A91,'Trips&amp;Operators'!$C$1:$G$99999,5,FALSE)</f>
        <v>BRUDER RICHARD</v>
      </c>
      <c r="M91" s="6">
        <f t="shared" si="33"/>
        <v>2.4837962962919846E-2</v>
      </c>
      <c r="N91" s="7">
        <f t="shared" si="28"/>
        <v>35.766666666604578</v>
      </c>
      <c r="O91" s="7"/>
      <c r="P91" s="7"/>
      <c r="Q91" s="23"/>
      <c r="R91" s="23"/>
      <c r="S91" s="32">
        <f t="shared" si="29"/>
        <v>1</v>
      </c>
      <c r="T91" s="47" t="str">
        <f t="shared" si="34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12:07:22-700',mode:absolute,to:'2017-01-12 14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91" s="49" t="str">
        <f t="shared" si="36"/>
        <v>N</v>
      </c>
      <c r="X91" s="173">
        <f t="shared" si="31"/>
        <v>1</v>
      </c>
      <c r="Y91" s="64">
        <f t="shared" si="37"/>
        <v>4.58E-2</v>
      </c>
      <c r="Z91" s="64">
        <f t="shared" si="38"/>
        <v>23.331199999999999</v>
      </c>
      <c r="AA91" s="64">
        <f t="shared" si="39"/>
        <v>23.285399999999999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0"/>
        <v>0177-12</v>
      </c>
      <c r="AE91" s="87" t="str">
        <f t="shared" si="41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91" s="84" t="str">
        <f t="shared" si="42"/>
        <v>"C:\Program Files (x86)\AstroGrep\AstroGrep.exe" /spath="%USERPROFILE%\AppData\Local\Temp\OnboardLogs" /stypes="app*4022*20170112*" /stext=" 20:.+((SYSTEM_STATE.+slice.+state.+changed )|(ment ac)|(multiple cpu faults)|(system.+state.+changed )|(\[timeout)|(PRM\|1\|D)|(kpr)|(kdp)|(\|lc)|(penalty))" /e /r /s</v>
      </c>
      <c r="AG91" s="1" t="str">
        <f t="shared" si="43"/>
        <v>EC</v>
      </c>
      <c r="AH91" s="88" t="str">
        <f t="shared" si="44"/>
        <v>"%USERPROFILE%\Documents\GitHub\eaglep3\Utilities\RefineRTDCRunTimes.py" --tripid 177-12 --locoid 4022 --swversion DE.1.0.8.0 --startMP 204:458 --initTime 2017-01-12T13:07:22 --startdatetime 2017-01-12T13:15:15 --delay 1 --endMP 204:233312 --enddatetime 2017-01-12T13:51:01 --enforcementcount 0 &gt;&gt;C:\Users\stu\Documents\GitHub\eaglep3-reporting\EC\2017-01-12-refined-times.txt</v>
      </c>
      <c r="AI91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{"issue":{"subject":"","project_id":79,"tracker_id":40,"status_id":1,"priority_id":2,"assigned_to_id":23,"start_date":"2017-01-12","description":"","custom_fields":[{"id":1,"name":"Subdivision","value":"EC"},{"id":4,"name":"Milepost","value":"23.3312"},{"id":17,"name":"Train ID","value":"177-12"},{"id":16,"name":"Locomotive ID","value":"4022"},{"id":130,"name":"Impact","value":""},{"id":150,"name":"Time of Event (Mountain Time)","value":"13:51:01"},{"id":151,"name":"Denver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6"/>
        <v>start /low /b %USERPROFILE%\Documents\GitHub\eaglep3\Utilities\DownloadLogsFromS3.py --loco 4022 --day 2017-01-12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</row>
    <row r="92" spans="1:91" x14ac:dyDescent="0.25">
      <c r="A92" s="34" t="s">
        <v>651</v>
      </c>
      <c r="B92" s="7">
        <v>4021</v>
      </c>
      <c r="C92" s="22" t="s">
        <v>201</v>
      </c>
      <c r="D92" s="22" t="s">
        <v>335</v>
      </c>
      <c r="E92" s="13">
        <v>42747.585925925923</v>
      </c>
      <c r="F92" s="13">
        <v>42747.591157407405</v>
      </c>
      <c r="G92" s="7">
        <v>1</v>
      </c>
      <c r="H92" s="22" t="s">
        <v>239</v>
      </c>
      <c r="I92" s="13">
        <v>42747.617893518516</v>
      </c>
      <c r="J92" s="7">
        <v>0</v>
      </c>
      <c r="K92" s="105" t="str">
        <f t="shared" si="32"/>
        <v>4021/4022</v>
      </c>
      <c r="L92" s="22" t="str">
        <f>VLOOKUP(A92,'Trips&amp;Operators'!$C$1:$G$99999,5,FALSE)</f>
        <v>BRUDER RICHARD</v>
      </c>
      <c r="M92" s="6">
        <f t="shared" si="33"/>
        <v>2.6736111110949423E-2</v>
      </c>
      <c r="N92" s="7">
        <f t="shared" si="28"/>
        <v>38.499999999767169</v>
      </c>
      <c r="O92" s="7"/>
      <c r="P92" s="7"/>
      <c r="Q92" s="23"/>
      <c r="R92" s="23"/>
      <c r="S92" s="32">
        <f t="shared" si="29"/>
        <v>1</v>
      </c>
      <c r="T92" s="47" t="str">
        <f t="shared" si="34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13:03:44-700',mode:absolute,to:'2017-01-12 15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92" s="49" t="str">
        <f t="shared" si="36"/>
        <v>N</v>
      </c>
      <c r="X92" s="173">
        <f t="shared" si="31"/>
        <v>1</v>
      </c>
      <c r="Y92" s="64">
        <f t="shared" si="37"/>
        <v>23.299099999999999</v>
      </c>
      <c r="Z92" s="64">
        <f t="shared" si="38"/>
        <v>1.47E-2</v>
      </c>
      <c r="AA92" s="64">
        <f t="shared" si="39"/>
        <v>23.284399999999998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0"/>
        <v>0178-12</v>
      </c>
      <c r="AE92" s="87" t="str">
        <f t="shared" si="41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92" s="84" t="str">
        <f t="shared" si="42"/>
        <v>"C:\Program Files (x86)\AstroGrep\AstroGrep.exe" /spath="%USERPROFILE%\AppData\Local\Temp\OnboardLogs" /stypes="app*4021*20170112*" /stext=" 21:.+((SYSTEM_STATE.+slice.+state.+changed )|(ment ac)|(multiple cpu faults)|(system.+state.+changed )|(\[timeout)|(PRM\|1\|D)|(kpr)|(kdp)|(\|lc)|(penalty))" /e /r /s</v>
      </c>
      <c r="AG92" s="1" t="str">
        <f t="shared" si="43"/>
        <v>EC</v>
      </c>
      <c r="AH92" s="88" t="str">
        <f t="shared" si="44"/>
        <v>"%USERPROFILE%\Documents\GitHub\eaglep3\Utilities\RefineRTDCRunTimes.py" --tripid 178-12 --locoid 4021 --swversion DE.1.0.8.0 --startMP 204:232991 --initTime 2017-01-12T14:03:44 --startdatetime 2017-01-12T14:11:16 --delay 1 --endMP 204:147 --enddatetime 2017-01-12T14:49:46 --enforcementcount 0 &gt;&gt;C:\Users\stu\Documents\GitHub\eaglep3-reporting\EC\2017-01-12-refined-times.txt</v>
      </c>
      <c r="AI9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ID","value":"178-12"},{"id":16,"name":"Locomotive ID","value":"4021"},{"id":130,"name":"Impact","value":""},{"id":150,"name":"Time of Event (Mountain Time)","value":"14:49:46"},{"id":151,"name":"Denver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6"/>
        <v>start /low /b %USERPROFILE%\Documents\GitHub\eaglep3\Utilities\DownloadLogsFromS3.py --loco 4021 --day 2017-01-12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</row>
    <row r="93" spans="1:91" s="21" customFormat="1" x14ac:dyDescent="0.25">
      <c r="A93" s="34" t="s">
        <v>645</v>
      </c>
      <c r="B93" s="7">
        <v>4002</v>
      </c>
      <c r="C93" s="22" t="s">
        <v>201</v>
      </c>
      <c r="D93" s="22" t="s">
        <v>283</v>
      </c>
      <c r="E93" s="13">
        <v>42747.557372685187</v>
      </c>
      <c r="F93" s="13">
        <v>42747.562997685185</v>
      </c>
      <c r="G93" s="7">
        <v>1</v>
      </c>
      <c r="H93" s="22" t="s">
        <v>324</v>
      </c>
      <c r="I93" s="13">
        <v>42747.588067129633</v>
      </c>
      <c r="J93" s="7">
        <v>0</v>
      </c>
      <c r="K93" s="105" t="str">
        <f t="shared" si="32"/>
        <v>4001/4002</v>
      </c>
      <c r="L93" s="22" t="str">
        <f>VLOOKUP(A93,'Trips&amp;Operators'!$C$1:$G$99999,5,FALSE)</f>
        <v>SMITH MICHAEL</v>
      </c>
      <c r="M93" s="6">
        <f t="shared" si="33"/>
        <v>2.5069444447581191E-2</v>
      </c>
      <c r="N93" s="7">
        <f t="shared" si="28"/>
        <v>36.100000004516914</v>
      </c>
      <c r="O93" s="7"/>
      <c r="P93" s="7"/>
      <c r="Q93" s="23"/>
      <c r="R93" s="23"/>
      <c r="S93" s="32">
        <f t="shared" si="29"/>
        <v>1</v>
      </c>
      <c r="T93" s="47" t="str">
        <f t="shared" si="34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12:22:37-700',mode:absolute,to:'2017-01-12 15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93" s="49" t="str">
        <f t="shared" si="36"/>
        <v>N</v>
      </c>
      <c r="X93" s="173">
        <f t="shared" si="31"/>
        <v>1</v>
      </c>
      <c r="Y93" s="64">
        <f t="shared" si="37"/>
        <v>4.6899999999999997E-2</v>
      </c>
      <c r="Z93" s="64">
        <f t="shared" si="38"/>
        <v>23.329699999999999</v>
      </c>
      <c r="AA93" s="64">
        <f t="shared" si="39"/>
        <v>23.282799999999998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0"/>
        <v>0179-12</v>
      </c>
      <c r="AE93" s="87" t="str">
        <f t="shared" si="41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93" s="84" t="str">
        <f t="shared" si="42"/>
        <v>"C:\Program Files (x86)\AstroGrep\AstroGrep.exe" /spath="%USERPROFILE%\AppData\Local\Temp\OnboardLogs" /stypes="app*4002*20170112*" /stext=" 21:.+((SYSTEM_STATE.+slice.+state.+changed )|(ment ac)|(multiple cpu faults)|(system.+state.+changed )|(\[timeout)|(PRM\|1\|D)|(kpr)|(kdp)|(\|lc)|(penalty))" /e /r /s</v>
      </c>
      <c r="AG93" s="1" t="str">
        <f t="shared" si="43"/>
        <v>EC</v>
      </c>
      <c r="AH93" s="88" t="str">
        <f t="shared" si="44"/>
        <v>"%USERPROFILE%\Documents\GitHub\eaglep3\Utilities\RefineRTDCRunTimes.py" --tripid 179-12 --locoid 4002 --swversion DE.1.0.8.0 --startMP 204:469 --initTime 2017-01-12T13:22:37 --startdatetime 2017-01-12T13:30:43 --delay 1 --endMP 204:233297 --enddatetime 2017-01-12T14:06:49 --enforcementcount 0 &gt;&gt;C:\Users\stu\Documents\GitHub\eaglep3-reporting\EC\2017-01-12-refined-times.txt</v>
      </c>
      <c r="AI9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{"issue":{"subject":"","project_id":79,"tracker_id":40,"status_id":1,"priority_id":2,"assigned_to_id":23,"start_date":"2017-01-12","description":"","custom_fields":[{"id":1,"name":"Subdivision","value":"EC"},{"id":4,"name":"Milepost","value":"23.3297"},{"id":17,"name":"Train ID","value":"179-12"},{"id":16,"name":"Locomotive ID","value":"4002"},{"id":130,"name":"Impact","value":""},{"id":150,"name":"Time of Event (Mountain Time)","value":"14:06:49"},{"id":151,"name":"Denver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6"/>
        <v>start /low /b %USERPROFILE%\Documents\GitHub\eaglep3\Utilities\DownloadLogsFromS3.py --loco 4002 --day 2017-01-12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654</v>
      </c>
      <c r="B94" s="7">
        <v>4001</v>
      </c>
      <c r="C94" s="22" t="s">
        <v>201</v>
      </c>
      <c r="D94" s="22" t="s">
        <v>249</v>
      </c>
      <c r="E94" s="13">
        <v>42747.592592592591</v>
      </c>
      <c r="F94" s="13">
        <v>42747.601678240739</v>
      </c>
      <c r="G94" s="7">
        <v>1</v>
      </c>
      <c r="H94" s="22" t="s">
        <v>800</v>
      </c>
      <c r="I94" s="13">
        <v>42747.628506944442</v>
      </c>
      <c r="J94" s="7">
        <v>0</v>
      </c>
      <c r="K94" s="105" t="str">
        <f t="shared" si="32"/>
        <v>4001/4002</v>
      </c>
      <c r="L94" s="22" t="str">
        <f>VLOOKUP(A94,'Trips&amp;Operators'!$C$1:$G$99999,5,FALSE)</f>
        <v>SMITH MICHAEL</v>
      </c>
      <c r="M94" s="6">
        <f t="shared" si="33"/>
        <v>2.6828703703358769E-2</v>
      </c>
      <c r="N94" s="7">
        <f t="shared" si="28"/>
        <v>38.633333332836628</v>
      </c>
      <c r="O94" s="7"/>
      <c r="P94" s="7"/>
      <c r="Q94" s="23"/>
      <c r="R94" s="23"/>
      <c r="S94" s="32">
        <f t="shared" si="29"/>
        <v>1</v>
      </c>
      <c r="T94" s="47" t="str">
        <f t="shared" si="34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13:13:20-700',mode:absolute,to:'2017-01-12 16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94" s="49" t="str">
        <f t="shared" si="36"/>
        <v>N</v>
      </c>
      <c r="X94" s="173">
        <f t="shared" si="31"/>
        <v>1</v>
      </c>
      <c r="Y94" s="64">
        <f t="shared" si="37"/>
        <v>23.2986</v>
      </c>
      <c r="Z94" s="64">
        <f t="shared" si="38"/>
        <v>1.78E-2</v>
      </c>
      <c r="AA94" s="64">
        <f t="shared" si="39"/>
        <v>23.280799999999999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0"/>
        <v>0180-12</v>
      </c>
      <c r="AE94" s="87" t="str">
        <f t="shared" si="41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94" s="84" t="str">
        <f t="shared" si="42"/>
        <v>"C:\Program Files (x86)\AstroGrep\AstroGrep.exe" /spath="%USERPROFILE%\AppData\Local\Temp\OnboardLogs" /stypes="app*4001*20170112*" /stext=" 22:.+((SYSTEM_STATE.+slice.+state.+changed )|(ment ac)|(multiple cpu faults)|(system.+state.+changed )|(\[timeout)|(PRM\|1\|D)|(kpr)|(kdp)|(\|lc)|(penalty))" /e /r /s</v>
      </c>
      <c r="AG94" s="1" t="str">
        <f t="shared" si="43"/>
        <v>EC</v>
      </c>
      <c r="AH94" s="88" t="str">
        <f t="shared" si="44"/>
        <v>"%USERPROFILE%\Documents\GitHub\eaglep3\Utilities\RefineRTDCRunTimes.py" --tripid 180-12 --locoid 4001 --swversion DE.1.0.8.0 --startMP 204:232986 --initTime 2017-01-12T14:13:20 --startdatetime 2017-01-12T14:26:25 --delay 1 --endMP 204:178 --enddatetime 2017-01-12T15:05:03 --enforcementcount 0 &gt;&gt;C:\Users\stu\Documents\GitHub\eaglep3-reporting\EC\2017-01-12-refined-times.txt</v>
      </c>
      <c r="AI94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{"issue":{"subject":"","project_id":79,"tracker_id":40,"status_id":1,"priority_id":2,"assigned_to_id":23,"start_date":"2017-01-12","description":"","custom_fields":[{"id":1,"name":"Subdivision","value":"EC"},{"id":4,"name":"Milepost","value":"0.0178"},{"id":17,"name":"Train ID","value":"180-12"},{"id":16,"name":"Locomotive ID","value":"4001"},{"id":130,"name":"Impact","value":""},{"id":150,"name":"Time of Event (Mountain Time)","value":"15:05:03"},{"id":151,"name":"Denver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6"/>
        <v>start /low /b %USERPROFILE%\Documents\GitHub\eaglep3\Utilities\DownloadLogsFromS3.py --loco 4001 --day 2017-01-12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648</v>
      </c>
      <c r="B95" s="7">
        <v>4020</v>
      </c>
      <c r="C95" s="22" t="s">
        <v>201</v>
      </c>
      <c r="D95" s="22" t="s">
        <v>237</v>
      </c>
      <c r="E95" s="13">
        <v>42747.570034722223</v>
      </c>
      <c r="F95" s="13">
        <v>42747.573287037034</v>
      </c>
      <c r="G95" s="7">
        <v>1</v>
      </c>
      <c r="H95" s="22" t="s">
        <v>327</v>
      </c>
      <c r="I95" s="13">
        <v>42747.599456018521</v>
      </c>
      <c r="J95" s="7">
        <v>0</v>
      </c>
      <c r="K95" s="105" t="str">
        <f t="shared" si="32"/>
        <v>4019/4020</v>
      </c>
      <c r="L95" s="22" t="str">
        <f>VLOOKUP(A95,'Trips&amp;Operators'!$C$1:$G$99999,5,FALSE)</f>
        <v>ARVIDSON DANIEL</v>
      </c>
      <c r="M95" s="6">
        <f t="shared" si="33"/>
        <v>2.6168981486989651E-2</v>
      </c>
      <c r="N95" s="7">
        <f t="shared" ref="N95:N123" si="47">24*60*SUM($M95:$M95)</f>
        <v>37.683333341265097</v>
      </c>
      <c r="O95" s="7"/>
      <c r="P95" s="7"/>
      <c r="Q95" s="23"/>
      <c r="R95" s="23"/>
      <c r="S95" s="32">
        <f t="shared" ref="S95:S123" si="48">SUM(U95:U95)/IF(AG95="EC",12,1)</f>
        <v>1</v>
      </c>
      <c r="T95" s="47" t="str">
        <f t="shared" si="34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12:40:51-700',mode:absolute,to:'2017-01-12 15:23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95" s="49" t="str">
        <f t="shared" si="36"/>
        <v>N</v>
      </c>
      <c r="X95" s="173">
        <f t="shared" si="31"/>
        <v>1</v>
      </c>
      <c r="Y95" s="64">
        <f t="shared" si="37"/>
        <v>4.53E-2</v>
      </c>
      <c r="Z95" s="64">
        <f t="shared" si="38"/>
        <v>23.331199999999999</v>
      </c>
      <c r="AA95" s="64">
        <f t="shared" si="39"/>
        <v>23.285899999999998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0"/>
        <v>0181-12</v>
      </c>
      <c r="AE95" s="87" t="str">
        <f t="shared" si="41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95" s="84" t="str">
        <f t="shared" si="42"/>
        <v>"C:\Program Files (x86)\AstroGrep\AstroGrep.exe" /spath="%USERPROFILE%\AppData\Local\Temp\OnboardLogs" /stypes="app*4020*20170112*" /stext=" 21:.+((SYSTEM_STATE.+slice.+state.+changed )|(ment ac)|(multiple cpu faults)|(system.+state.+changed )|(\[timeout)|(PRM\|1\|D)|(kpr)|(kdp)|(\|lc)|(penalty))" /e /r /s</v>
      </c>
      <c r="AG95" s="1" t="str">
        <f t="shared" si="43"/>
        <v>EC</v>
      </c>
      <c r="AH95" s="88" t="str">
        <f t="shared" si="44"/>
        <v>"%USERPROFILE%\Documents\GitHub\eaglep3\Utilities\RefineRTDCRunTimes.py" --tripid 181-12 --locoid 4020 --swversion DE.1.0.8.0 --startMP 204:453 --initTime 2017-01-12T13:40:51 --startdatetime 2017-01-12T13:45:32 --delay 1 --endMP 204:233312 --enddatetime 2017-01-12T14:23:13 --enforcementcount 0 &gt;&gt;C:\Users\stu\Documents\GitHub\eaglep3-reporting\EC\2017-01-12-refined-times.txt</v>
      </c>
      <c r="AI9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{"issue":{"subject":"","project_id":79,"tracker_id":40,"status_id":1,"priority_id":2,"assigned_to_id":23,"start_date":"2017-01-12","description":"","custom_fields":[{"id":1,"name":"Subdivision","value":"EC"},{"id":4,"name":"Milepost","value":"23.3312"},{"id":17,"name":"Train ID","value":"181-12"},{"id":16,"name":"Locomotive ID","value":"4020"},{"id":130,"name":"Impact","value":""},{"id":150,"name":"Time of Event (Mountain Time)","value":"14:23:13"},{"id":151,"name":"Denver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6"/>
        <v>start /low /b %USERPROFILE%\Documents\GitHub\eaglep3\Utilities\DownloadLogsFromS3.py --loco 4020 --day 2017-01-12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524</v>
      </c>
      <c r="B96" s="7">
        <v>4019</v>
      </c>
      <c r="C96" s="22" t="s">
        <v>201</v>
      </c>
      <c r="D96" s="22" t="s">
        <v>335</v>
      </c>
      <c r="E96" s="13">
        <v>42747.608460648145</v>
      </c>
      <c r="F96" s="13">
        <v>42747.612060185187</v>
      </c>
      <c r="G96" s="7">
        <v>1</v>
      </c>
      <c r="H96" s="22" t="s">
        <v>801</v>
      </c>
      <c r="I96" s="13">
        <v>42747.639421296299</v>
      </c>
      <c r="J96" s="7">
        <v>0</v>
      </c>
      <c r="K96" s="105" t="str">
        <f t="shared" si="32"/>
        <v>4019/4020</v>
      </c>
      <c r="L96" s="22" t="str">
        <f>VLOOKUP(A96,'Trips&amp;Operators'!$C$1:$G$99999,5,FALSE)</f>
        <v>ARVIDSON DANIEL</v>
      </c>
      <c r="M96" s="6">
        <f t="shared" si="33"/>
        <v>2.73611111115315E-2</v>
      </c>
      <c r="N96" s="7">
        <f t="shared" si="47"/>
        <v>39.40000000060536</v>
      </c>
      <c r="O96" s="7"/>
      <c r="P96" s="7"/>
      <c r="Q96" s="23"/>
      <c r="R96" s="23"/>
      <c r="S96" s="32">
        <f t="shared" si="48"/>
        <v>1</v>
      </c>
      <c r="T96" s="47" t="str">
        <f t="shared" si="34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13:36:11-700',mode:absolute,to:'2017-01-12 16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96" s="49" t="str">
        <f t="shared" si="36"/>
        <v>N</v>
      </c>
      <c r="X96" s="173">
        <f t="shared" si="31"/>
        <v>1</v>
      </c>
      <c r="Y96" s="64">
        <f t="shared" si="37"/>
        <v>23.299099999999999</v>
      </c>
      <c r="Z96" s="64">
        <f t="shared" si="38"/>
        <v>1.1900000000000001E-2</v>
      </c>
      <c r="AA96" s="64">
        <f t="shared" si="39"/>
        <v>23.287199999999999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0"/>
        <v>0182-12</v>
      </c>
      <c r="AE96" s="87" t="str">
        <f t="shared" si="41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96" s="84" t="str">
        <f t="shared" si="42"/>
        <v>"C:\Program Files (x86)\AstroGrep\AstroGrep.exe" /spath="%USERPROFILE%\AppData\Local\Temp\OnboardLogs" /stypes="app*4019*20170112*" /stext=" 22:.+((SYSTEM_STATE.+slice.+state.+changed )|(ment ac)|(multiple cpu faults)|(system.+state.+changed )|(\[timeout)|(PRM\|1\|D)|(kpr)|(kdp)|(\|lc)|(penalty))" /e /r /s</v>
      </c>
      <c r="AG96" s="1" t="str">
        <f t="shared" si="43"/>
        <v>EC</v>
      </c>
      <c r="AH96" s="88" t="str">
        <f t="shared" si="44"/>
        <v>"%USERPROFILE%\Documents\GitHub\eaglep3\Utilities\RefineRTDCRunTimes.py" --tripid 182-12 --locoid 4019 --swversion DE.1.0.8.0 --startMP 204:232991 --initTime 2017-01-12T14:36:11 --startdatetime 2017-01-12T14:41:22 --delay 1 --endMP 204:119 --enddatetime 2017-01-12T15:20:46 --enforcementcount 0 &gt;&gt;C:\Users\stu\Documents\GitHub\eaglep3-reporting\EC\2017-01-12-refined-times.txt</v>
      </c>
      <c r="AI96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{"issue":{"subject":"","project_id":79,"tracker_id":40,"status_id":1,"priority_id":2,"assigned_to_id":23,"start_date":"2017-01-12","description":"","custom_fields":[{"id":1,"name":"Subdivision","value":"EC"},{"id":4,"name":"Milepost","value":"0.0119"},{"id":17,"name":"Train ID","value":"182-12"},{"id":16,"name":"Locomotive ID","value":"4019"},{"id":130,"name":"Impact","value":""},{"id":150,"name":"Time of Event (Mountain Time)","value":"15:20:46"},{"id":151,"name":"Denver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6"/>
        <v>start /low /b %USERPROFILE%\Documents\GitHub\eaglep3\Utilities\DownloadLogsFromS3.py --loco 4019 --day 2017-01-12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650</v>
      </c>
      <c r="B97" s="7">
        <v>4011</v>
      </c>
      <c r="C97" s="22" t="s">
        <v>201</v>
      </c>
      <c r="D97" s="22" t="s">
        <v>769</v>
      </c>
      <c r="E97" s="13">
        <v>42747.579687500001</v>
      </c>
      <c r="F97" s="13">
        <v>42747.583506944444</v>
      </c>
      <c r="G97" s="7">
        <v>1</v>
      </c>
      <c r="H97" s="22" t="s">
        <v>771</v>
      </c>
      <c r="I97" s="13">
        <v>42747.608043981483</v>
      </c>
      <c r="J97" s="7">
        <v>0</v>
      </c>
      <c r="K97" s="105" t="str">
        <f t="shared" si="32"/>
        <v>4011/4012</v>
      </c>
      <c r="L97" s="22" t="str">
        <f>VLOOKUP(A97,'Trips&amp;Operators'!$C$1:$G$99999,5,FALSE)</f>
        <v>YANG JAN</v>
      </c>
      <c r="M97" s="6">
        <f t="shared" si="33"/>
        <v>2.453703703940846E-2</v>
      </c>
      <c r="N97" s="7">
        <f t="shared" si="47"/>
        <v>35.333333336748183</v>
      </c>
      <c r="O97" s="7"/>
      <c r="P97" s="7"/>
      <c r="Q97" s="23"/>
      <c r="R97" s="23"/>
      <c r="S97" s="32">
        <f t="shared" si="48"/>
        <v>1</v>
      </c>
      <c r="T97" s="47" t="str">
        <f t="shared" si="34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12:54:45-700',mode:absolute,to:'2017-01-12 15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97" s="49" t="str">
        <f t="shared" si="36"/>
        <v>N</v>
      </c>
      <c r="X97" s="173">
        <f t="shared" si="31"/>
        <v>1</v>
      </c>
      <c r="Y97" s="64">
        <f t="shared" si="37"/>
        <v>4.6600000000000003E-2</v>
      </c>
      <c r="Z97" s="64">
        <f t="shared" si="38"/>
        <v>23.329499999999999</v>
      </c>
      <c r="AA97" s="64">
        <f t="shared" si="39"/>
        <v>23.282899999999998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0"/>
        <v>0183-12</v>
      </c>
      <c r="AE97" s="87" t="str">
        <f t="shared" si="41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97" s="84" t="str">
        <f t="shared" si="42"/>
        <v>"C:\Program Files (x86)\AstroGrep\AstroGrep.exe" /spath="%USERPROFILE%\AppData\Local\Temp\OnboardLogs" /stypes="app*4011*20170112*" /stext=" 21:.+((SYSTEM_STATE.+slice.+state.+changed )|(ment ac)|(multiple cpu faults)|(system.+state.+changed )|(\[timeout)|(PRM\|1\|D)|(kpr)|(kdp)|(\|lc)|(penalty))" /e /r /s</v>
      </c>
      <c r="AG97" s="1" t="str">
        <f t="shared" si="43"/>
        <v>EC</v>
      </c>
      <c r="AH97" s="88" t="str">
        <f t="shared" si="44"/>
        <v>"%USERPROFILE%\Documents\GitHub\eaglep3\Utilities\RefineRTDCRunTimes.py" --tripid 183-12 --locoid 4011 --swversion DE.1.0.8.0 --startMP 204:466 --initTime 2017-01-12T13:54:45 --startdatetime 2017-01-12T14:00:15 --delay 1 --endMP 204:233295 --enddatetime 2017-01-12T14:35:35 --enforcementcount 0 &gt;&gt;C:\Users\stu\Documents\GitHub\eaglep3-reporting\EC\2017-01-12-refined-times.txt</v>
      </c>
      <c r="AI9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{"issue":{"subject":"","project_id":79,"tracker_id":40,"status_id":1,"priority_id":2,"assigned_to_id":23,"start_date":"2017-01-12","description":"","custom_fields":[{"id":1,"name":"Subdivision","value":"EC"},{"id":4,"name":"Milepost","value":"23.3295"},{"id":17,"name":"Train ID","value":"183-12"},{"id":16,"name":"Locomotive ID","value":"4011"},{"id":130,"name":"Impact","value":""},{"id":150,"name":"Time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6"/>
        <v>start /low /b %USERPROFILE%\Documents\GitHub\eaglep3\Utilities\DownloadLogsFromS3.py --loco 4011 --day 2017-01-12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658</v>
      </c>
      <c r="B98" s="7">
        <v>4012</v>
      </c>
      <c r="C98" s="22" t="s">
        <v>201</v>
      </c>
      <c r="D98" s="22" t="s">
        <v>332</v>
      </c>
      <c r="E98" s="13">
        <v>42747.616956018515</v>
      </c>
      <c r="F98" s="13">
        <v>42747.622534722221</v>
      </c>
      <c r="G98" s="7">
        <v>1</v>
      </c>
      <c r="H98" s="22" t="s">
        <v>240</v>
      </c>
      <c r="I98" s="13">
        <v>42747.64984953704</v>
      </c>
      <c r="J98" s="7">
        <v>0</v>
      </c>
      <c r="K98" s="105" t="str">
        <f t="shared" si="32"/>
        <v>4011/4012</v>
      </c>
      <c r="L98" s="22" t="str">
        <f>VLOOKUP(A98,'Trips&amp;Operators'!$C$1:$G$99999,5,FALSE)</f>
        <v>YANG JAN</v>
      </c>
      <c r="M98" s="6">
        <f t="shared" si="33"/>
        <v>2.7314814818964805E-2</v>
      </c>
      <c r="N98" s="7">
        <f t="shared" si="47"/>
        <v>39.33333333930932</v>
      </c>
      <c r="O98" s="7"/>
      <c r="P98" s="7"/>
      <c r="Q98" s="23"/>
      <c r="R98" s="23"/>
      <c r="S98" s="32">
        <f t="shared" si="48"/>
        <v>1</v>
      </c>
      <c r="T98" s="47" t="str">
        <f t="shared" si="34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13:48:25-700',mode:absolute,to:'2017-01-12 16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98" s="49" t="str">
        <f t="shared" si="36"/>
        <v>N</v>
      </c>
      <c r="X98" s="173">
        <f t="shared" si="31"/>
        <v>1</v>
      </c>
      <c r="Y98" s="64">
        <f t="shared" si="37"/>
        <v>23.296099999999999</v>
      </c>
      <c r="Z98" s="64">
        <f t="shared" si="38"/>
        <v>1.3899999999999999E-2</v>
      </c>
      <c r="AA98" s="64">
        <f t="shared" si="39"/>
        <v>23.2822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0"/>
        <v>0184-12</v>
      </c>
      <c r="AE98" s="87" t="str">
        <f t="shared" si="41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98" s="84" t="str">
        <f t="shared" si="42"/>
        <v>"C:\Program Files (x86)\AstroGrep\AstroGrep.exe" /spath="%USERPROFILE%\AppData\Local\Temp\OnboardLogs" /stypes="app*4012*20170112*" /stext=" 22:.+((SYSTEM_STATE.+slice.+state.+changed )|(ment ac)|(multiple cpu faults)|(system.+state.+changed )|(\[timeout)|(PRM\|1\|D)|(kpr)|(kdp)|(\|lc)|(penalty))" /e /r /s</v>
      </c>
      <c r="AG98" s="1" t="str">
        <f t="shared" si="43"/>
        <v>EC</v>
      </c>
      <c r="AH98" s="88" t="str">
        <f t="shared" si="44"/>
        <v>"%USERPROFILE%\Documents\GitHub\eaglep3\Utilities\RefineRTDCRunTimes.py" --tripid 184-12 --locoid 4012 --swversion DE.1.0.8.0 --startMP 204:232961 --initTime 2017-01-12T14:48:25 --startdatetime 2017-01-12T14:56:27 --delay 1 --endMP 204:139 --enddatetime 2017-01-12T15:35:47 --enforcementcount 0 &gt;&gt;C:\Users\stu\Documents\GitHub\eaglep3-reporting\EC\2017-01-12-refined-times.txt</v>
      </c>
      <c r="AI9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{"issue":{"subject":"","project_id":79,"tracker_id":40,"status_id":1,"priority_id":2,"assigned_to_id":23,"start_date":"2017-01-12","description":"","custom_fields":[{"id":1,"name":"Subdivision","value":"EC"},{"id":4,"name":"Milepost","value":"0.0139"},{"id":17,"name":"Train ID","value":"184-12"},{"id":16,"name":"Locomotive ID","value":"4012"},{"id":130,"name":"Impact","value":""},{"id":150,"name":"Time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6"/>
        <v>start /low /b %USERPROFILE%\Documents\GitHub\eaglep3\Utilities\DownloadLogsFromS3.py --loco 4012 --day 2017-01-12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</row>
    <row r="99" spans="1:91" s="21" customFormat="1" x14ac:dyDescent="0.25">
      <c r="A99" s="34" t="s">
        <v>652</v>
      </c>
      <c r="B99" s="7">
        <v>4031</v>
      </c>
      <c r="C99" s="22" t="s">
        <v>201</v>
      </c>
      <c r="D99" s="22" t="s">
        <v>283</v>
      </c>
      <c r="E99" s="13">
        <v>42747.588078703702</v>
      </c>
      <c r="F99" s="13">
        <v>42747.593969907408</v>
      </c>
      <c r="G99" s="7">
        <v>1</v>
      </c>
      <c r="H99" s="22" t="s">
        <v>326</v>
      </c>
      <c r="I99" s="13">
        <v>42747.618993055556</v>
      </c>
      <c r="J99" s="7">
        <v>0</v>
      </c>
      <c r="K99" s="105" t="str">
        <f t="shared" si="32"/>
        <v>4031/4032</v>
      </c>
      <c r="L99" s="22" t="str">
        <f>VLOOKUP(A99,'Trips&amp;Operators'!$C$1:$G$99999,5,FALSE)</f>
        <v>SIMMONS SHYHESHA</v>
      </c>
      <c r="M99" s="6">
        <f t="shared" si="33"/>
        <v>2.5023148147738539E-2</v>
      </c>
      <c r="N99" s="7">
        <f t="shared" si="47"/>
        <v>36.033333332743496</v>
      </c>
      <c r="O99" s="7"/>
      <c r="P99" s="7"/>
      <c r="Q99" s="23"/>
      <c r="R99" s="23"/>
      <c r="S99" s="32">
        <f t="shared" si="48"/>
        <v>1</v>
      </c>
      <c r="T99" s="47" t="str">
        <f t="shared" si="34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13:06:50-700',mode:absolute,to:'2017-01-12 15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99" s="49" t="str">
        <f t="shared" si="36"/>
        <v>N</v>
      </c>
      <c r="X99" s="173">
        <f t="shared" si="31"/>
        <v>1</v>
      </c>
      <c r="Y99" s="64">
        <f t="shared" si="37"/>
        <v>4.6899999999999997E-2</v>
      </c>
      <c r="Z99" s="64">
        <f t="shared" si="38"/>
        <v>23.331499999999998</v>
      </c>
      <c r="AA99" s="64">
        <f t="shared" si="39"/>
        <v>23.284599999999998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0"/>
        <v>0185-12</v>
      </c>
      <c r="AE99" s="87" t="str">
        <f t="shared" si="41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99" s="84" t="str">
        <f t="shared" si="42"/>
        <v>"C:\Program Files (x86)\AstroGrep\AstroGrep.exe" /spath="%USERPROFILE%\AppData\Local\Temp\OnboardLogs" /stypes="app*4031*20170112*" /stext=" 21:.+((SYSTEM_STATE.+slice.+state.+changed )|(ment ac)|(multiple cpu faults)|(system.+state.+changed )|(\[timeout)|(PRM\|1\|D)|(kpr)|(kdp)|(\|lc)|(penalty))" /e /r /s</v>
      </c>
      <c r="AG99" s="1" t="str">
        <f t="shared" si="43"/>
        <v>EC</v>
      </c>
      <c r="AH99" s="88" t="str">
        <f t="shared" si="44"/>
        <v>"%USERPROFILE%\Documents\GitHub\eaglep3\Utilities\RefineRTDCRunTimes.py" --tripid 185-12 --locoid 4031 --swversion DE.1.0.8.0 --startMP 204:469 --initTime 2017-01-12T14:06:50 --startdatetime 2017-01-12T14:15:19 --delay 1 --endMP 204:233315 --enddatetime 2017-01-12T14:51:21 --enforcementcount 0 &gt;&gt;C:\Users\stu\Documents\GitHub\eaglep3-reporting\EC\2017-01-12-refined-times.txt</v>
      </c>
      <c r="AI9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{"issue":{"subject":"","project_id":79,"tracker_id":40,"status_id":1,"priority_id":2,"assigned_to_id":23,"start_date":"2017-01-12","description":"","custom_fields":[{"id":1,"name":"Subdivision","value":"EC"},{"id":4,"name":"Milepost","value":"23.3315"},{"id":17,"name":"Train ID","value":"185-12"},{"id":16,"name":"Locomotive ID","value":"4031"},{"id":130,"name":"Impact","value":""},{"id":150,"name":"Time of Event (Mountain Time)","value":"14:51:21"},{"id":151,"name":"Denver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6"/>
        <v>start /low /b %USERPROFILE%\Documents\GitHub\eaglep3\Utilities\DownloadLogsFromS3.py --loco 4031 --day 2017-01-12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661</v>
      </c>
      <c r="B100" s="7">
        <v>4032</v>
      </c>
      <c r="C100" s="22" t="s">
        <v>201</v>
      </c>
      <c r="D100" s="22" t="s">
        <v>309</v>
      </c>
      <c r="E100" s="13">
        <v>42747.630011574074</v>
      </c>
      <c r="F100" s="13">
        <v>42747.632835648146</v>
      </c>
      <c r="G100" s="7">
        <v>1</v>
      </c>
      <c r="H100" s="22" t="s">
        <v>774</v>
      </c>
      <c r="I100" s="13">
        <v>42747.659618055557</v>
      </c>
      <c r="J100" s="7">
        <v>0</v>
      </c>
      <c r="K100" s="105" t="str">
        <f t="shared" si="32"/>
        <v>4031/4032</v>
      </c>
      <c r="L100" s="22" t="str">
        <f>VLOOKUP(A100,'Trips&amp;Operators'!$C$1:$G$99999,5,FALSE)</f>
        <v>SIMMONS SHYHESHA</v>
      </c>
      <c r="M100" s="6">
        <f t="shared" si="33"/>
        <v>2.6782407410792075E-2</v>
      </c>
      <c r="N100" s="7">
        <f t="shared" si="47"/>
        <v>38.566666671540588</v>
      </c>
      <c r="O100" s="7"/>
      <c r="P100" s="7"/>
      <c r="Q100" s="23"/>
      <c r="R100" s="23"/>
      <c r="S100" s="32">
        <f t="shared" si="48"/>
        <v>1</v>
      </c>
      <c r="T100" s="47" t="str">
        <f t="shared" si="34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14:07:13-700',mode:absolute,to:'2017-01-12 16:49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00" s="49" t="str">
        <f t="shared" si="36"/>
        <v>N</v>
      </c>
      <c r="X100" s="173">
        <f t="shared" si="31"/>
        <v>1</v>
      </c>
      <c r="Y100" s="64">
        <f t="shared" si="37"/>
        <v>23.299600000000002</v>
      </c>
      <c r="Z100" s="64">
        <f t="shared" si="38"/>
        <v>1.3599999999999999E-2</v>
      </c>
      <c r="AA100" s="64">
        <f t="shared" si="39"/>
        <v>23.286000000000001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0"/>
        <v>0186-12</v>
      </c>
      <c r="AE100" s="87" t="str">
        <f t="shared" si="41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100" s="84" t="str">
        <f t="shared" si="42"/>
        <v>"C:\Program Files (x86)\AstroGrep\AstroGrep.exe" /spath="%USERPROFILE%\AppData\Local\Temp\OnboardLogs" /stypes="app*4032*20170112*" /stext=" 22:.+((SYSTEM_STATE.+slice.+state.+changed )|(ment ac)|(multiple cpu faults)|(system.+state.+changed )|(\[timeout)|(PRM\|1\|D)|(kpr)|(kdp)|(\|lc)|(penalty))" /e /r /s</v>
      </c>
      <c r="AG100" s="1" t="str">
        <f t="shared" si="43"/>
        <v>EC</v>
      </c>
      <c r="AH100" s="88" t="str">
        <f t="shared" si="44"/>
        <v>"%USERPROFILE%\Documents\GitHub\eaglep3\Utilities\RefineRTDCRunTimes.py" --tripid 186-12 --locoid 4032 --swversion DE.1.0.8.0 --startMP 204:232996 --initTime 2017-01-12T15:07:13 --startdatetime 2017-01-12T15:11:17 --delay 1 --endMP 204:136 --enddatetime 2017-01-12T15:49:51 --enforcementcount 0 &gt;&gt;C:\Users\stu\Documents\GitHub\eaglep3-reporting\EC\2017-01-12-refined-times.txt</v>
      </c>
      <c r="AI10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{"issue":{"subject":"","project_id":79,"tracker_id":40,"status_id":1,"priority_id":2,"assigned_to_id":23,"start_date":"2017-01-12","description":"","custom_fields":[{"id":1,"name":"Subdivision","value":"EC"},{"id":4,"name":"Milepost","value":"0.0136"},{"id":17,"name":"Train ID","value":"186-12"},{"id":16,"name":"Locomotive ID","value":"4032"},{"id":130,"name":"Impact","value":""},{"id":150,"name":"Time of Event (Mountain Time)","value":"15:49:51"},{"id":151,"name":"Denver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6"/>
        <v>start /low /b %USERPROFILE%\Documents\GitHub\eaglep3\Utilities\DownloadLogsFromS3.py --loco 4032 --day 2017-01-12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655</v>
      </c>
      <c r="B101" s="7">
        <v>4014</v>
      </c>
      <c r="C101" s="22" t="s">
        <v>201</v>
      </c>
      <c r="D101" s="22" t="s">
        <v>472</v>
      </c>
      <c r="E101" s="13">
        <v>42747.600613425922</v>
      </c>
      <c r="F101" s="13">
        <v>42747.604444444441</v>
      </c>
      <c r="G101" s="7">
        <v>1</v>
      </c>
      <c r="H101" s="22" t="s">
        <v>248</v>
      </c>
      <c r="I101" s="13">
        <v>42747.630381944444</v>
      </c>
      <c r="J101" s="7">
        <v>0</v>
      </c>
      <c r="K101" s="105" t="str">
        <f t="shared" si="32"/>
        <v>4013/4014</v>
      </c>
      <c r="L101" s="22" t="str">
        <f>VLOOKUP(A101,'Trips&amp;Operators'!$C$1:$G$99999,5,FALSE)</f>
        <v>CLARK KATHLEEN</v>
      </c>
      <c r="M101" s="6">
        <f t="shared" si="33"/>
        <v>2.5937500002328306E-2</v>
      </c>
      <c r="N101" s="7">
        <f t="shared" si="47"/>
        <v>37.350000003352761</v>
      </c>
      <c r="O101" s="7"/>
      <c r="P101" s="7"/>
      <c r="Q101" s="23"/>
      <c r="R101" s="23"/>
      <c r="S101" s="32">
        <f t="shared" si="48"/>
        <v>1</v>
      </c>
      <c r="T101" s="47" t="str">
        <f t="shared" si="34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13:24:53-700',mode:absolute,to:'2017-01-12 16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01" s="49" t="str">
        <f t="shared" si="36"/>
        <v>N</v>
      </c>
      <c r="X101" s="173">
        <f t="shared" si="31"/>
        <v>1</v>
      </c>
      <c r="Y101" s="64">
        <f t="shared" si="37"/>
        <v>4.8800000000000003E-2</v>
      </c>
      <c r="Z101" s="64">
        <f t="shared" si="38"/>
        <v>23.328900000000001</v>
      </c>
      <c r="AA101" s="64">
        <f t="shared" si="39"/>
        <v>23.280100000000001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0"/>
        <v>0187-12</v>
      </c>
      <c r="AE101" s="87" t="str">
        <f t="shared" si="41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101" s="84" t="str">
        <f t="shared" si="42"/>
        <v>"C:\Program Files (x86)\AstroGrep\AstroGrep.exe" /spath="%USERPROFILE%\AppData\Local\Temp\OnboardLogs" /stypes="app*4014*20170112*" /stext=" 22:.+((SYSTEM_STATE.+slice.+state.+changed )|(ment ac)|(multiple cpu faults)|(system.+state.+changed )|(\[timeout)|(PRM\|1\|D)|(kpr)|(kdp)|(\|lc)|(penalty))" /e /r /s</v>
      </c>
      <c r="AG101" s="1" t="str">
        <f t="shared" si="43"/>
        <v>EC</v>
      </c>
      <c r="AH101" s="88" t="str">
        <f t="shared" si="44"/>
        <v>"%USERPROFILE%\Documents\GitHub\eaglep3\Utilities\RefineRTDCRunTimes.py" --tripid 187-12 --locoid 4014 --swversion DE.1.0.8.0 --startMP 204:488 --initTime 2017-01-12T14:24:53 --startdatetime 2017-01-12T14:30:24 --delay 1 --endMP 204:233289 --enddatetime 2017-01-12T15:07:45 --enforcementcount 0 &gt;&gt;C:\Users\stu\Documents\GitHub\eaglep3-reporting\EC\2017-01-12-refined-times.txt</v>
      </c>
      <c r="AI101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{"issue":{"subject":"","project_id":79,"tracker_id":40,"status_id":1,"priority_id":2,"assigned_to_id":23,"start_date":"2017-01-12","description":"","custom_fields":[{"id":1,"name":"Subdivision","value":"EC"},{"id":4,"name":"Milepost","value":"23.3289"},{"id":17,"name":"Train ID","value":"187-12"},{"id":16,"name":"Locomotive ID","value":"4014"},{"id":130,"name":"Impact","value":""},{"id":150,"name":"Time of Event (Mountain Time)","value":"15:07:45"},{"id":151,"name":"Denver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6"/>
        <v>start /low /b %USERPROFILE%\Documents\GitHub\eaglep3\Utilities\DownloadLogsFromS3.py --loco 4014 --day 2017-01-12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666</v>
      </c>
      <c r="B102" s="7">
        <v>4013</v>
      </c>
      <c r="C102" s="22" t="s">
        <v>201</v>
      </c>
      <c r="D102" s="22" t="s">
        <v>473</v>
      </c>
      <c r="E102" s="13">
        <v>42747.638124999998</v>
      </c>
      <c r="F102" s="13">
        <v>42747.643229166664</v>
      </c>
      <c r="G102" s="7">
        <v>1</v>
      </c>
      <c r="H102" s="22" t="s">
        <v>239</v>
      </c>
      <c r="I102" s="13">
        <v>42747.672442129631</v>
      </c>
      <c r="J102" s="7">
        <v>0</v>
      </c>
      <c r="K102" s="105" t="str">
        <f t="shared" si="32"/>
        <v>4013/4014</v>
      </c>
      <c r="L102" s="22" t="str">
        <f>VLOOKUP(A102,'Trips&amp;Operators'!$C$1:$G$99999,5,FALSE)</f>
        <v>CLARK KATHLEEN</v>
      </c>
      <c r="M102" s="6">
        <f t="shared" si="33"/>
        <v>2.9212962966994382E-2</v>
      </c>
      <c r="N102" s="7">
        <f t="shared" si="47"/>
        <v>42.066666672471911</v>
      </c>
      <c r="O102" s="7"/>
      <c r="P102" s="7"/>
      <c r="Q102" s="23"/>
      <c r="R102" s="23"/>
      <c r="S102" s="32">
        <f t="shared" si="48"/>
        <v>1</v>
      </c>
      <c r="T102" s="47" t="str">
        <f t="shared" si="34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14:18:54-700',mode:absolute,to:'2017-01-12 17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02" s="49" t="str">
        <f t="shared" si="36"/>
        <v>N</v>
      </c>
      <c r="X102" s="173">
        <f t="shared" ref="X102:X133" si="49">VALUE(LEFT(AD102,4))-VALUE(LEFT(AD101,4))</f>
        <v>1</v>
      </c>
      <c r="Y102" s="64">
        <f t="shared" si="37"/>
        <v>23.296500000000002</v>
      </c>
      <c r="Z102" s="64">
        <f t="shared" si="38"/>
        <v>1.47E-2</v>
      </c>
      <c r="AA102" s="64">
        <f t="shared" si="39"/>
        <v>23.2818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40"/>
        <v>0188-12</v>
      </c>
      <c r="AE102" s="87" t="str">
        <f t="shared" si="41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102" s="84" t="str">
        <f t="shared" si="42"/>
        <v>"C:\Program Files (x86)\AstroGrep\AstroGrep.exe" /spath="%USERPROFILE%\AppData\Local\Temp\OnboardLogs" /stypes="app*4013*20170112*" /stext=" 23:.+((SYSTEM_STATE.+slice.+state.+changed )|(ment ac)|(multiple cpu faults)|(system.+state.+changed )|(\[timeout)|(PRM\|1\|D)|(kpr)|(kdp)|(\|lc)|(penalty))" /e /r /s</v>
      </c>
      <c r="AG102" s="1" t="str">
        <f t="shared" si="43"/>
        <v>EC</v>
      </c>
      <c r="AH102" s="88" t="str">
        <f t="shared" si="44"/>
        <v>"%USERPROFILE%\Documents\GitHub\eaglep3\Utilities\RefineRTDCRunTimes.py" --tripid 188-12 --locoid 4013 --swversion DE.1.0.8.0 --startMP 204:232965 --initTime 2017-01-12T15:18:54 --startdatetime 2017-01-12T15:26:15 --delay 1 --endMP 204:147 --enddatetime 2017-01-12T16:08:19 --enforcementcount 0 &gt;&gt;C:\Users\stu\Documents\GitHub\eaglep3-reporting\EC\2017-01-12-refined-times.txt</v>
      </c>
      <c r="AI10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ID","value":"188-12"},{"id":16,"name":"Locomotive ID","value":"4013"},{"id":130,"name":"Impact","value":""},{"id":150,"name":"Time of Event (Mountain Time)","value":"16:08:19"},{"id":151,"name":"Denver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6"/>
        <v>start /low /b %USERPROFILE%\Documents\GitHub\eaglep3\Utilities\DownloadLogsFromS3.py --loco 4013 --day 2017-01-12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657</v>
      </c>
      <c r="B103" s="7">
        <v>4027</v>
      </c>
      <c r="C103" s="22" t="s">
        <v>201</v>
      </c>
      <c r="D103" s="22" t="s">
        <v>476</v>
      </c>
      <c r="E103" s="13">
        <v>42747.610578703701</v>
      </c>
      <c r="F103" s="13">
        <v>42747.614849537036</v>
      </c>
      <c r="G103" s="7">
        <v>1</v>
      </c>
      <c r="H103" s="22" t="s">
        <v>324</v>
      </c>
      <c r="I103" s="13">
        <v>42747.640034722222</v>
      </c>
      <c r="J103" s="7">
        <v>0</v>
      </c>
      <c r="K103" s="105" t="str">
        <f t="shared" si="32"/>
        <v>4027/4028</v>
      </c>
      <c r="L103" s="22" t="str">
        <f>VLOOKUP(A103,'Trips&amp;Operators'!$C$1:$G$99999,5,FALSE)</f>
        <v>KILLION DAVID</v>
      </c>
      <c r="M103" s="6">
        <f t="shared" si="33"/>
        <v>2.5185185186273884E-2</v>
      </c>
      <c r="N103" s="7">
        <f t="shared" si="47"/>
        <v>36.266666668234393</v>
      </c>
      <c r="O103" s="7"/>
      <c r="P103" s="7"/>
      <c r="Q103" s="23"/>
      <c r="R103" s="23"/>
      <c r="S103" s="32">
        <f t="shared" si="48"/>
        <v>1</v>
      </c>
      <c r="T103" s="47" t="str">
        <f t="shared" si="34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13:39:14-700',mode:absolute,to:'2017-01-12 16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03" s="49" t="str">
        <f t="shared" si="36"/>
        <v>N</v>
      </c>
      <c r="X103" s="173">
        <f t="shared" si="49"/>
        <v>1</v>
      </c>
      <c r="Y103" s="64">
        <f t="shared" si="37"/>
        <v>4.7800000000000002E-2</v>
      </c>
      <c r="Z103" s="64">
        <f t="shared" si="38"/>
        <v>23.329699999999999</v>
      </c>
      <c r="AA103" s="64">
        <f t="shared" si="39"/>
        <v>23.2819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0"/>
        <v>0189-12</v>
      </c>
      <c r="AE103" s="87" t="str">
        <f t="shared" si="41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03" s="84" t="str">
        <f t="shared" si="42"/>
        <v>"C:\Program Files (x86)\AstroGrep\AstroGrep.exe" /spath="%USERPROFILE%\AppData\Local\Temp\OnboardLogs" /stypes="app*4027*20170112*" /stext=" 22:.+((SYSTEM_STATE.+slice.+state.+changed )|(ment ac)|(multiple cpu faults)|(system.+state.+changed )|(\[timeout)|(PRM\|1\|D)|(kpr)|(kdp)|(\|lc)|(penalty))" /e /r /s</v>
      </c>
      <c r="AG103" s="1" t="str">
        <f t="shared" si="43"/>
        <v>EC</v>
      </c>
      <c r="AH103" s="88" t="str">
        <f t="shared" si="44"/>
        <v>"%USERPROFILE%\Documents\GitHub\eaglep3\Utilities\RefineRTDCRunTimes.py" --tripid 189-12 --locoid 4027 --swversion DE.1.0.8.0 --startMP 204:478 --initTime 2017-01-12T14:39:14 --startdatetime 2017-01-12T14:45:23 --delay 1 --endMP 204:233297 --enddatetime 2017-01-12T15:21:39 --enforcementcount 0 &gt;&gt;C:\Users\stu\Documents\GitHub\eaglep3-reporting\EC\2017-01-12-refined-times.txt</v>
      </c>
      <c r="AI10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{"issue":{"subject":"","project_id":79,"tracker_id":40,"status_id":1,"priority_id":2,"assigned_to_id":23,"start_date":"2017-01-12","description":"","custom_fields":[{"id":1,"name":"Subdivision","value":"EC"},{"id":4,"name":"Milepost","value":"23.3297"},{"id":17,"name":"Train ID","value":"189-12"},{"id":16,"name":"Locomotive ID","value":"4027"},{"id":130,"name":"Impact","value":""},{"id":150,"name":"Time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6"/>
        <v>start /low /b %USERPROFILE%\Documents\GitHub\eaglep3\Utilities\DownloadLogsFromS3.py --loco 4027 --day 2017-01-12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668</v>
      </c>
      <c r="B104" s="7">
        <v>4028</v>
      </c>
      <c r="C104" s="22" t="s">
        <v>201</v>
      </c>
      <c r="D104" s="22" t="s">
        <v>481</v>
      </c>
      <c r="E104" s="13">
        <v>42747.64539351852</v>
      </c>
      <c r="F104" s="13">
        <v>42747.65384259259</v>
      </c>
      <c r="G104" s="7">
        <v>1</v>
      </c>
      <c r="H104" s="22" t="s">
        <v>206</v>
      </c>
      <c r="I104" s="13">
        <v>42747.680474537039</v>
      </c>
      <c r="J104" s="7">
        <v>0</v>
      </c>
      <c r="K104" s="105" t="str">
        <f t="shared" si="32"/>
        <v>4027/4028</v>
      </c>
      <c r="L104" s="22" t="str">
        <f>VLOOKUP(A104,'Trips&amp;Operators'!$C$1:$G$99999,5,FALSE)</f>
        <v>KILLION DAVID</v>
      </c>
      <c r="M104" s="6">
        <f t="shared" si="33"/>
        <v>2.6631944449036382E-2</v>
      </c>
      <c r="N104" s="7">
        <f t="shared" si="47"/>
        <v>38.35000000661239</v>
      </c>
      <c r="O104" s="7"/>
      <c r="P104" s="7"/>
      <c r="Q104" s="23"/>
      <c r="R104" s="23"/>
      <c r="S104" s="32">
        <f t="shared" si="48"/>
        <v>1</v>
      </c>
      <c r="T104" s="47" t="str">
        <f t="shared" si="34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14:29:22-700',mode:absolute,to:'2017-01-12 17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04" s="49" t="str">
        <f t="shared" si="36"/>
        <v>N</v>
      </c>
      <c r="X104" s="173">
        <f t="shared" si="49"/>
        <v>1</v>
      </c>
      <c r="Y104" s="64">
        <f t="shared" si="37"/>
        <v>23.296800000000001</v>
      </c>
      <c r="Z104" s="64">
        <f t="shared" si="38"/>
        <v>1.4999999999999999E-2</v>
      </c>
      <c r="AA104" s="64">
        <f t="shared" si="39"/>
        <v>23.2818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0"/>
        <v>0190-12</v>
      </c>
      <c r="AE104" s="87" t="str">
        <f t="shared" si="41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104" s="84" t="str">
        <f t="shared" si="42"/>
        <v>"C:\Program Files (x86)\AstroGrep\AstroGrep.exe" /spath="%USERPROFILE%\AppData\Local\Temp\OnboardLogs" /stypes="app*4028*20170112*" /stext=" 23:.+((SYSTEM_STATE.+slice.+state.+changed )|(ment ac)|(multiple cpu faults)|(system.+state.+changed )|(\[timeout)|(PRM\|1\|D)|(kpr)|(kdp)|(\|lc)|(penalty))" /e /r /s</v>
      </c>
      <c r="AG104" s="1" t="str">
        <f t="shared" si="43"/>
        <v>EC</v>
      </c>
      <c r="AH104" s="88" t="str">
        <f t="shared" si="44"/>
        <v>"%USERPROFILE%\Documents\GitHub\eaglep3\Utilities\RefineRTDCRunTimes.py" --tripid 190-12 --locoid 4028 --swversion DE.1.0.8.0 --startMP 204:232968 --initTime 2017-01-12T15:29:22 --startdatetime 2017-01-12T15:41:32 --delay 1 --endMP 204:150 --enddatetime 2017-01-12T16:19:53 --enforcementcount 0 &gt;&gt;C:\Users\stu\Documents\GitHub\eaglep3-reporting\EC\2017-01-12-refined-times.txt</v>
      </c>
      <c r="AI104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{"issue":{"subject":"","project_id":79,"tracker_id":40,"status_id":1,"priority_id":2,"assigned_to_id":23,"start_date":"2017-01-12","description":"","custom_fields":[{"id":1,"name":"Subdivision","value":"EC"},{"id":4,"name":"Milepost","value":"0.015"},{"id":17,"name":"Train ID","value":"190-12"},{"id":16,"name":"Locomotive ID","value":"4028"},{"id":130,"name":"Impact","value":""},{"id":150,"name":"Time of Event (Mountain Time)","value":"16:19:53"},{"id":151,"name":"Denver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6"/>
        <v>start /low /b %USERPROFILE%\Documents\GitHub\eaglep3\Utilities\DownloadLogsFromS3.py --loco 4028 --day 2017-01-12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"%USERPROFILE%\AppData\Local\Temp\OnboardLogs"\RTDC4028\*4028*20170112* | grep -SE "(Enforcement Action)|(\[TIMEOUT)|(CHR.+\|PRM\|1\|D.+(SWITCH|SIGNAL).+UNKNOWN)" - &gt;&gt; 2017-01-12-UncaughtWiMAX.txt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659</v>
      </c>
      <c r="B105" s="7">
        <v>4022</v>
      </c>
      <c r="C105" s="22" t="s">
        <v>201</v>
      </c>
      <c r="D105" s="22" t="s">
        <v>331</v>
      </c>
      <c r="E105" s="13">
        <v>42747.619837962964</v>
      </c>
      <c r="F105" s="13">
        <v>42747.6252662037</v>
      </c>
      <c r="G105" s="7">
        <v>1</v>
      </c>
      <c r="H105" s="22" t="s">
        <v>785</v>
      </c>
      <c r="I105" s="13">
        <v>42747.650069444448</v>
      </c>
      <c r="J105" s="7">
        <v>0</v>
      </c>
      <c r="K105" s="105" t="str">
        <f t="shared" si="32"/>
        <v>4021/4022</v>
      </c>
      <c r="L105" s="22" t="str">
        <f>VLOOKUP(A105,'Trips&amp;Operators'!$C$1:$G$99999,5,FALSE)</f>
        <v>BRUDER RICHARD</v>
      </c>
      <c r="M105" s="6">
        <f t="shared" si="33"/>
        <v>2.4803240747132804E-2</v>
      </c>
      <c r="N105" s="7">
        <f t="shared" si="47"/>
        <v>35.716666675871238</v>
      </c>
      <c r="O105" s="7"/>
      <c r="P105" s="7"/>
      <c r="Q105" s="23"/>
      <c r="R105" s="23"/>
      <c r="S105" s="32">
        <f t="shared" si="48"/>
        <v>1</v>
      </c>
      <c r="T105" s="47" t="str">
        <f t="shared" si="34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13:52:34-700',mode:absolute,to:'2017-01-12 16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05" s="49" t="str">
        <f t="shared" si="36"/>
        <v>N</v>
      </c>
      <c r="X105" s="173">
        <f t="shared" si="49"/>
        <v>1</v>
      </c>
      <c r="Y105" s="64">
        <f t="shared" si="37"/>
        <v>4.58E-2</v>
      </c>
      <c r="Z105" s="64">
        <f t="shared" si="38"/>
        <v>23.331399999999999</v>
      </c>
      <c r="AA105" s="64">
        <f t="shared" si="39"/>
        <v>23.285599999999999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0"/>
        <v>0191-12</v>
      </c>
      <c r="AE105" s="87" t="str">
        <f t="shared" si="41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05" s="84" t="str">
        <f t="shared" si="42"/>
        <v>"C:\Program Files (x86)\AstroGrep\AstroGrep.exe" /spath="%USERPROFILE%\AppData\Local\Temp\OnboardLogs" /stypes="app*4022*20170112*" /stext=" 22:.+((SYSTEM_STATE.+slice.+state.+changed )|(ment ac)|(multiple cpu faults)|(system.+state.+changed )|(\[timeout)|(PRM\|1\|D)|(kpr)|(kdp)|(\|lc)|(penalty))" /e /r /s</v>
      </c>
      <c r="AG105" s="1" t="str">
        <f t="shared" si="43"/>
        <v>EC</v>
      </c>
      <c r="AH105" s="88" t="str">
        <f t="shared" si="44"/>
        <v>"%USERPROFILE%\Documents\GitHub\eaglep3\Utilities\RefineRTDCRunTimes.py" --tripid 191-12 --locoid 4022 --swversion DE.1.0.8.0 --startMP 204:458 --initTime 2017-01-12T14:52:34 --startdatetime 2017-01-12T15:00:23 --delay 1 --endMP 204:233314 --enddatetime 2017-01-12T15:36:06 --enforcementcount 0 &gt;&gt;C:\Users\stu\Documents\GitHub\eaglep3-reporting\EC\2017-01-12-refined-times.txt</v>
      </c>
      <c r="AI10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{"issue":{"subject":"","project_id":79,"tracker_id":40,"status_id":1,"priority_id":2,"assigned_to_id":23,"start_date":"2017-01-12","description":"","custom_fields":[{"id":1,"name":"Subdivision","value":"EC"},{"id":4,"name":"Milepost","value":"23.3314"},{"id":17,"name":"Train ID","value":"191-12"},{"id":16,"name":"Locomotive ID","value":"4022"},{"id":130,"name":"Impact","value":""},{"id":150,"name":"Time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6"/>
        <v>start /low /b %USERPROFILE%\Documents\GitHub\eaglep3\Utilities\DownloadLogsFromS3.py --loco 4022 --day 2017-01-12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670</v>
      </c>
      <c r="B106" s="7">
        <v>4021</v>
      </c>
      <c r="C106" s="22" t="s">
        <v>201</v>
      </c>
      <c r="D106" s="22" t="s">
        <v>309</v>
      </c>
      <c r="E106" s="13">
        <v>42747.659004629626</v>
      </c>
      <c r="F106" s="13">
        <v>42747.664074074077</v>
      </c>
      <c r="G106" s="7">
        <v>1</v>
      </c>
      <c r="H106" s="22" t="s">
        <v>239</v>
      </c>
      <c r="I106" s="13">
        <v>42747.690752314818</v>
      </c>
      <c r="J106" s="7">
        <v>0</v>
      </c>
      <c r="K106" s="105" t="str">
        <f t="shared" si="32"/>
        <v>4021/4022</v>
      </c>
      <c r="L106" s="22" t="str">
        <f>VLOOKUP(A106,'Trips&amp;Operators'!$C$1:$G$99999,5,FALSE)</f>
        <v>BRUDER RICHARD</v>
      </c>
      <c r="M106" s="6">
        <f t="shared" si="33"/>
        <v>2.6678240741603076E-2</v>
      </c>
      <c r="N106" s="7">
        <f t="shared" si="47"/>
        <v>38.41666666790843</v>
      </c>
      <c r="O106" s="7"/>
      <c r="P106" s="7"/>
      <c r="Q106" s="23"/>
      <c r="R106" s="23"/>
      <c r="S106" s="32">
        <f t="shared" si="48"/>
        <v>1</v>
      </c>
      <c r="T106" s="47" t="str">
        <f t="shared" si="34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14:48:58-700',mode:absolute,to:'2017-01-12 17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06" s="49" t="str">
        <f t="shared" si="36"/>
        <v>N</v>
      </c>
      <c r="X106" s="173">
        <f t="shared" si="49"/>
        <v>1</v>
      </c>
      <c r="Y106" s="64">
        <f t="shared" si="37"/>
        <v>23.299600000000002</v>
      </c>
      <c r="Z106" s="64">
        <f t="shared" si="38"/>
        <v>1.47E-2</v>
      </c>
      <c r="AA106" s="64">
        <f t="shared" si="39"/>
        <v>23.2849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0"/>
        <v>0192-12</v>
      </c>
      <c r="AE106" s="87" t="str">
        <f t="shared" si="41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106" s="84" t="str">
        <f t="shared" si="42"/>
        <v>"C:\Program Files (x86)\AstroGrep\AstroGrep.exe" /spath="%USERPROFILE%\AppData\Local\Temp\OnboardLogs" /stypes="app*4021*20170112*" /stext=" 23:.+((SYSTEM_STATE.+slice.+state.+changed )|(ment ac)|(multiple cpu faults)|(system.+state.+changed )|(\[timeout)|(PRM\|1\|D)|(kpr)|(kdp)|(\|lc)|(penalty))" /e /r /s</v>
      </c>
      <c r="AG106" s="1" t="str">
        <f t="shared" si="43"/>
        <v>EC</v>
      </c>
      <c r="AH106" s="88" t="str">
        <f t="shared" si="44"/>
        <v>"%USERPROFILE%\Documents\GitHub\eaglep3\Utilities\RefineRTDCRunTimes.py" --tripid 192-12 --locoid 4021 --swversion DE.1.0.8.0 --startMP 204:232996 --initTime 2017-01-12T15:48:58 --startdatetime 2017-01-12T15:56:16 --delay 1 --endMP 204:147 --enddatetime 2017-01-12T16:34:41 --enforcementcount 0 &gt;&gt;C:\Users\stu\Documents\GitHub\eaglep3-reporting\EC\2017-01-12-refined-times.txt</v>
      </c>
      <c r="AI106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ID","value":"192-12"},{"id":16,"name":"Locomotive ID","value":"4021"},{"id":130,"name":"Impact","value":""},{"id":150,"name":"Time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6"/>
        <v>start /low /b %USERPROFILE%\Documents\GitHub\eaglep3\Utilities\DownloadLogsFromS3.py --loco 4021 --day 2017-01-12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662</v>
      </c>
      <c r="B107" s="7">
        <v>4002</v>
      </c>
      <c r="C107" s="22" t="s">
        <v>201</v>
      </c>
      <c r="D107" s="22" t="s">
        <v>237</v>
      </c>
      <c r="E107" s="13">
        <v>42747.630393518521</v>
      </c>
      <c r="F107" s="13">
        <v>42747.635648148149</v>
      </c>
      <c r="G107" s="7">
        <v>1</v>
      </c>
      <c r="H107" s="22" t="s">
        <v>327</v>
      </c>
      <c r="I107" s="13">
        <v>42747.660775462966</v>
      </c>
      <c r="J107" s="7">
        <v>0</v>
      </c>
      <c r="K107" s="105" t="str">
        <f t="shared" si="32"/>
        <v>4001/4002</v>
      </c>
      <c r="L107" s="22" t="str">
        <f>VLOOKUP(A107,'Trips&amp;Operators'!$C$1:$G$99999,5,FALSE)</f>
        <v>SMITH MICHAEL</v>
      </c>
      <c r="M107" s="6">
        <f t="shared" si="33"/>
        <v>2.5127314816927537E-2</v>
      </c>
      <c r="N107" s="7">
        <f t="shared" si="47"/>
        <v>36.183333336375654</v>
      </c>
      <c r="O107" s="7"/>
      <c r="P107" s="7"/>
      <c r="Q107" s="23"/>
      <c r="R107" s="23"/>
      <c r="S107" s="32">
        <f t="shared" si="48"/>
        <v>1</v>
      </c>
      <c r="T107" s="47" t="str">
        <f t="shared" si="34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14:07:46-700',mode:absolute,to:'2017-01-12 16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07" s="49" t="str">
        <f t="shared" si="36"/>
        <v>N</v>
      </c>
      <c r="X107" s="173">
        <f t="shared" si="49"/>
        <v>1</v>
      </c>
      <c r="Y107" s="64">
        <f t="shared" si="37"/>
        <v>4.53E-2</v>
      </c>
      <c r="Z107" s="64">
        <f t="shared" si="38"/>
        <v>23.331199999999999</v>
      </c>
      <c r="AA107" s="64">
        <f t="shared" si="39"/>
        <v>23.285899999999998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0"/>
        <v>0193-12</v>
      </c>
      <c r="AE107" s="87" t="str">
        <f t="shared" si="41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107" s="84" t="str">
        <f t="shared" si="42"/>
        <v>"C:\Program Files (x86)\AstroGrep\AstroGrep.exe" /spath="%USERPROFILE%\AppData\Local\Temp\OnboardLogs" /stypes="app*4002*20170112*" /stext=" 22:.+((SYSTEM_STATE.+slice.+state.+changed )|(ment ac)|(multiple cpu faults)|(system.+state.+changed )|(\[timeout)|(PRM\|1\|D)|(kpr)|(kdp)|(\|lc)|(penalty))" /e /r /s</v>
      </c>
      <c r="AG107" s="1" t="str">
        <f t="shared" si="43"/>
        <v>EC</v>
      </c>
      <c r="AH107" s="88" t="str">
        <f t="shared" si="44"/>
        <v>"%USERPROFILE%\Documents\GitHub\eaglep3\Utilities\RefineRTDCRunTimes.py" --tripid 193-12 --locoid 4002 --swversion DE.1.0.8.0 --startMP 204:453 --initTime 2017-01-12T15:07:46 --startdatetime 2017-01-12T15:15:20 --delay 1 --endMP 204:233312 --enddatetime 2017-01-12T15:51:31 --enforcementcount 0 &gt;&gt;C:\Users\stu\Documents\GitHub\eaglep3-reporting\EC\2017-01-12-refined-times.txt</v>
      </c>
      <c r="AI10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{"issue":{"subject":"","project_id":79,"tracker_id":40,"status_id":1,"priority_id":2,"assigned_to_id":23,"start_date":"2017-01-12","description":"","custom_fields":[{"id":1,"name":"Subdivision","value":"EC"},{"id":4,"name":"Milepost","value":"23.3312"},{"id":17,"name":"Train ID","value":"193-12"},{"id":16,"name":"Locomotive ID","value":"4002"},{"id":130,"name":"Impact","value":""},{"id":150,"name":"Time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6"/>
        <v>start /low /b %USERPROFILE%\Documents\GitHub\eaglep3\Utilities\DownloadLogsFromS3.py --loco 4002 --day 2017-01-12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672</v>
      </c>
      <c r="B108" s="7">
        <v>4001</v>
      </c>
      <c r="C108" s="22" t="s">
        <v>201</v>
      </c>
      <c r="D108" s="22" t="s">
        <v>351</v>
      </c>
      <c r="E108" s="13">
        <v>42747.664907407408</v>
      </c>
      <c r="F108" s="13">
        <v>42747.674513888887</v>
      </c>
      <c r="G108" s="7">
        <v>1</v>
      </c>
      <c r="H108" s="22" t="s">
        <v>240</v>
      </c>
      <c r="I108" s="13">
        <v>42747.701516203706</v>
      </c>
      <c r="J108" s="7">
        <v>0</v>
      </c>
      <c r="K108" s="105" t="str">
        <f t="shared" si="32"/>
        <v>4001/4002</v>
      </c>
      <c r="L108" s="22" t="str">
        <f>VLOOKUP(A108,'Trips&amp;Operators'!$C$1:$G$99999,5,FALSE)</f>
        <v>SMITH MICHAEL</v>
      </c>
      <c r="M108" s="6">
        <f t="shared" si="33"/>
        <v>2.7002314818673767E-2</v>
      </c>
      <c r="N108" s="7">
        <f t="shared" si="47"/>
        <v>38.883333338890225</v>
      </c>
      <c r="O108" s="7"/>
      <c r="P108" s="7"/>
      <c r="Q108" s="23"/>
      <c r="R108" s="23"/>
      <c r="S108" s="32">
        <f t="shared" si="48"/>
        <v>1</v>
      </c>
      <c r="T108" s="47" t="str">
        <f t="shared" si="34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14:57:28-700',mode:absolute,to:'2017-01-12 17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08" s="49" t="str">
        <f t="shared" si="36"/>
        <v>N</v>
      </c>
      <c r="X108" s="173">
        <f t="shared" si="49"/>
        <v>1</v>
      </c>
      <c r="Y108" s="64">
        <f t="shared" si="37"/>
        <v>23.297899999999998</v>
      </c>
      <c r="Z108" s="64">
        <f t="shared" si="38"/>
        <v>1.3899999999999999E-2</v>
      </c>
      <c r="AA108" s="64">
        <f t="shared" si="39"/>
        <v>23.283999999999999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0"/>
        <v>0194-12</v>
      </c>
      <c r="AE108" s="87" t="str">
        <f t="shared" si="41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108" s="84" t="str">
        <f t="shared" si="42"/>
        <v>"C:\Program Files (x86)\AstroGrep\AstroGrep.exe" /spath="%USERPROFILE%\AppData\Local\Temp\OnboardLogs" /stypes="app*4001*20170112*" /stext=" 23:.+((SYSTEM_STATE.+slice.+state.+changed )|(ment ac)|(multiple cpu faults)|(system.+state.+changed )|(\[timeout)|(PRM\|1\|D)|(kpr)|(kdp)|(\|lc)|(penalty))" /e /r /s</v>
      </c>
      <c r="AG108" s="1" t="str">
        <f t="shared" si="43"/>
        <v>EC</v>
      </c>
      <c r="AH108" s="88" t="str">
        <f t="shared" si="44"/>
        <v>"%USERPROFILE%\Documents\GitHub\eaglep3\Utilities\RefineRTDCRunTimes.py" --tripid 194-12 --locoid 4001 --swversion DE.1.0.8.0 --startMP 204:232979 --initTime 2017-01-12T15:57:28 --startdatetime 2017-01-12T16:11:18 --delay 1 --endMP 204:139 --enddatetime 2017-01-12T16:50:11 --enforcementcount 0 &gt;&gt;C:\Users\stu\Documents\GitHub\eaglep3-reporting\EC\2017-01-12-refined-times.txt</v>
      </c>
      <c r="AI10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{"issue":{"subject":"","project_id":79,"tracker_id":40,"status_id":1,"priority_id":2,"assigned_to_id":23,"start_date":"2017-01-12","description":"","custom_fields":[{"id":1,"name":"Subdivision","value":"EC"},{"id":4,"name":"Milepost","value":"0.0139"},{"id":17,"name":"Train ID","value":"194-12"},{"id":16,"name":"Locomotive ID","value":"4001"},{"id":130,"name":"Impact","value":""},{"id":150,"name":"Time of Event (Mountain Time)","value":"16:50:11"},{"id":151,"name":"Denver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6"/>
        <v>start /low /b %USERPROFILE%\Documents\GitHub\eaglep3\Utilities\DownloadLogsFromS3.py --loco 4001 --day 2017-01-12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667</v>
      </c>
      <c r="B109" s="7">
        <v>4020</v>
      </c>
      <c r="C109" s="22" t="s">
        <v>201</v>
      </c>
      <c r="D109" s="22" t="s">
        <v>802</v>
      </c>
      <c r="E109" s="13">
        <v>42747.641388888886</v>
      </c>
      <c r="F109" s="13">
        <v>42747.646168981482</v>
      </c>
      <c r="G109" s="7">
        <v>1</v>
      </c>
      <c r="H109" s="22" t="s">
        <v>478</v>
      </c>
      <c r="I109" s="13">
        <v>42747.671886574077</v>
      </c>
      <c r="J109" s="7">
        <v>0</v>
      </c>
      <c r="K109" s="105" t="str">
        <f t="shared" si="32"/>
        <v>4019/4020</v>
      </c>
      <c r="L109" s="22" t="str">
        <f>VLOOKUP(A109,'Trips&amp;Operators'!$C$1:$G$99999,5,FALSE)</f>
        <v>ARVIDSON DANIEL</v>
      </c>
      <c r="M109" s="6">
        <f t="shared" si="33"/>
        <v>2.5717592594446614E-2</v>
      </c>
      <c r="N109" s="7">
        <f t="shared" si="47"/>
        <v>37.033333336003125</v>
      </c>
      <c r="O109" s="7"/>
      <c r="P109" s="7"/>
      <c r="Q109" s="23"/>
      <c r="R109" s="23"/>
      <c r="S109" s="32">
        <f t="shared" si="48"/>
        <v>1</v>
      </c>
      <c r="T109" s="47" t="str">
        <f t="shared" ref="T109:T140" si="50">IF(ISEVEN(LEFT(AD109,4)),"Southbound","NorthBound")</f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14:23:36-700',mode:absolute,to:'2017-01-12 17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09" s="49" t="str">
        <f t="shared" si="36"/>
        <v>N</v>
      </c>
      <c r="X109" s="173">
        <f t="shared" si="49"/>
        <v>1</v>
      </c>
      <c r="Y109" s="64">
        <f t="shared" ref="Y109:Y140" si="51">RIGHT(D109,LEN(D109)-4)/10000</f>
        <v>4.1599999999999998E-2</v>
      </c>
      <c r="Z109" s="64">
        <f t="shared" ref="Z109:Z140" si="52">RIGHT(H109,LEN(H109)-4)/10000</f>
        <v>23.332799999999999</v>
      </c>
      <c r="AA109" s="64">
        <f t="shared" si="39"/>
        <v>23.2912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40"/>
        <v>0195-12</v>
      </c>
      <c r="AE109" s="87" t="str">
        <f t="shared" si="41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109" s="84" t="str">
        <f t="shared" si="42"/>
        <v>"C:\Program Files (x86)\AstroGrep\AstroGrep.exe" /spath="%USERPROFILE%\AppData\Local\Temp\OnboardLogs" /stypes="app*4020*20170112*" /stext=" 23:.+((SYSTEM_STATE.+slice.+state.+changed )|(ment ac)|(multiple cpu faults)|(system.+state.+changed )|(\[timeout)|(PRM\|1\|D)|(kpr)|(kdp)|(\|lc)|(penalty))" /e /r /s</v>
      </c>
      <c r="AG109" s="1" t="str">
        <f t="shared" ref="AG109:AG140" si="53">IFERROR(IF(VALUE(LEFT(AD109,2))&lt;=2,"EC",IF(OR(VALUE(LEFT(AD109,2))=8,VALUE(LEFT(AD109,2))=18),"NW","Other")),"Other")</f>
        <v>EC</v>
      </c>
      <c r="AH109" s="88" t="str">
        <f t="shared" si="44"/>
        <v>"%USERPROFILE%\Documents\GitHub\eaglep3\Utilities\RefineRTDCRunTimes.py" --tripid 195-12 --locoid 4020 --swversion DE.1.0.8.0 --startMP 204:416 --initTime 2017-01-12T15:23:36 --startdatetime 2017-01-12T15:30:29 --delay 1 --endMP 204:233328 --enddatetime 2017-01-12T16:07:31 --enforcementcount 0 &gt;&gt;C:\Users\stu\Documents\GitHub\eaglep3-reporting\EC\2017-01-12-refined-times.txt</v>
      </c>
      <c r="AI10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{"issue":{"subject":"","project_id":79,"tracker_id":40,"status_id":1,"priority_id":2,"assigned_to_id":23,"start_date":"2017-01-12","description":"","custom_fields":[{"id":1,"name":"Subdivision","value":"EC"},{"id":4,"name":"Milepost","value":"23.3328"},{"id":17,"name":"Train ID","value":"195-12"},{"id":16,"name":"Locomotive ID","value":"4020"},{"id":130,"name":"Impact","value":""},{"id":150,"name":"Time of Event (Mountain Time)","value":"16:07:31"},{"id":151,"name":"Denver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6"/>
        <v>start /low /b %USERPROFILE%\Documents\GitHub\eaglep3\Utilities\DownloadLogsFromS3.py --loco 4020 --day 2017-01-12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"%USERPROFILE%\AppData\Local\Temp\OnboardLogs"\RTDC4020\*4020*20170112* | grep -SE "(Enforcement Action)|(\[TIMEOUT)|(CHR.+\|PRM\|1\|D.+(SWITCH|SIGNAL).+UNKNOWN)" - &gt;&gt; 2017-01-12-UncaughtWiMAX.txt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676</v>
      </c>
      <c r="B110" s="7">
        <v>4019</v>
      </c>
      <c r="C110" s="22" t="s">
        <v>201</v>
      </c>
      <c r="D110" s="22" t="s">
        <v>803</v>
      </c>
      <c r="E110" s="13">
        <v>42747.681793981479</v>
      </c>
      <c r="F110" s="13">
        <v>42747.684930555559</v>
      </c>
      <c r="G110" s="7">
        <v>1</v>
      </c>
      <c r="H110" s="22" t="s">
        <v>259</v>
      </c>
      <c r="I110" s="13">
        <v>42747.713113425925</v>
      </c>
      <c r="J110" s="7">
        <v>0</v>
      </c>
      <c r="K110" s="105" t="str">
        <f t="shared" si="32"/>
        <v>4019/4020</v>
      </c>
      <c r="L110" s="22" t="str">
        <f>VLOOKUP(A110,'Trips&amp;Operators'!$C$1:$G$99999,5,FALSE)</f>
        <v>ARVIDSON DANIEL</v>
      </c>
      <c r="M110" s="6">
        <f t="shared" si="33"/>
        <v>2.8182870366435964E-2</v>
      </c>
      <c r="N110" s="7">
        <f t="shared" si="47"/>
        <v>40.583333327667788</v>
      </c>
      <c r="O110" s="7"/>
      <c r="P110" s="7"/>
      <c r="Q110" s="23"/>
      <c r="R110" s="23"/>
      <c r="S110" s="32">
        <f t="shared" si="48"/>
        <v>1</v>
      </c>
      <c r="T110" s="47" t="str">
        <f t="shared" si="50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15:21:47-700',mode:absolute,to:'2017-01-12 18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10" s="49" t="str">
        <f t="shared" si="36"/>
        <v>N</v>
      </c>
      <c r="X110" s="173">
        <f t="shared" si="49"/>
        <v>1</v>
      </c>
      <c r="Y110" s="64">
        <f t="shared" si="51"/>
        <v>23.302099999999999</v>
      </c>
      <c r="Z110" s="64">
        <f t="shared" si="52"/>
        <v>1.5800000000000002E-2</v>
      </c>
      <c r="AA110" s="64">
        <f t="shared" si="39"/>
        <v>23.286300000000001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40"/>
        <v>0196-12</v>
      </c>
      <c r="AE110" s="87" t="str">
        <f t="shared" si="41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110" s="84" t="str">
        <f t="shared" si="42"/>
        <v>"C:\Program Files (x86)\AstroGrep\AstroGrep.exe" /spath="%USERPROFILE%\AppData\Local\Temp\OnboardLogs" /stypes="app*4019*20170113*" /stext=" 00:.+((SYSTEM_STATE.+slice.+state.+changed )|(ment ac)|(multiple cpu faults)|(system.+state.+changed )|(\[timeout)|(PRM\|1\|D)|(kpr)|(kdp)|(\|lc)|(penalty))" /e /r /s</v>
      </c>
      <c r="AG110" s="1" t="str">
        <f t="shared" si="53"/>
        <v>EC</v>
      </c>
      <c r="AH110" s="88" t="str">
        <f t="shared" si="44"/>
        <v>"%USERPROFILE%\Documents\GitHub\eaglep3\Utilities\RefineRTDCRunTimes.py" --tripid 196-12 --locoid 4019 --swversion DE.1.0.8.0 --startMP 204:233021 --initTime 2017-01-12T16:21:47 --startdatetime 2017-01-12T16:26:18 --delay 1 --endMP 204:158 --enddatetime 2017-01-12T17:06:53 --enforcementcount 0 &gt;&gt;C:\Users\stu\Documents\GitHub\eaglep3-reporting\EC\2017-01-12-refined-times.txt</v>
      </c>
      <c r="AI11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{"issue":{"subject":"","project_id":79,"tracker_id":40,"status_id":1,"priority_id":2,"assigned_to_id":23,"start_date":"2017-01-12","description":"","custom_fields":[{"id":1,"name":"Subdivision","value":"EC"},{"id":4,"name":"Milepost","value":"0.0158"},{"id":17,"name":"Train ID","value":"196-12"},{"id":16,"name":"Locomotive ID","value":"4019"},{"id":130,"name":"Impact","value":""},{"id":150,"name":"Time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6"/>
        <v>start /low /b %USERPROFILE%\Documents\GitHub\eaglep3\Utilities\DownloadLogsFromS3.py --loco 4019 --day 2017-01-12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"%USERPROFILE%\AppData\Local\Temp\OnboardLogs"\RTDC4019\*4019*20170112* | grep -SE "(Enforcement Action)|(\[TIMEOUT)|(CHR.+\|PRM\|1\|D.+(SWITCH|SIGNAL).+UNKNOWN)" - &gt;&gt; 2017-01-12-UncaughtWiMAX.txt</v>
      </c>
    </row>
    <row r="111" spans="1:91" s="21" customFormat="1" x14ac:dyDescent="0.25">
      <c r="A111" s="34" t="s">
        <v>669</v>
      </c>
      <c r="B111" s="7">
        <v>4011</v>
      </c>
      <c r="C111" s="22" t="s">
        <v>201</v>
      </c>
      <c r="D111" s="22" t="s">
        <v>252</v>
      </c>
      <c r="E111" s="13">
        <v>42747.652395833335</v>
      </c>
      <c r="F111" s="13">
        <v>42747.656527777777</v>
      </c>
      <c r="G111" s="7">
        <v>1</v>
      </c>
      <c r="H111" s="22" t="s">
        <v>302</v>
      </c>
      <c r="I111" s="13">
        <v>42747.682129629633</v>
      </c>
      <c r="J111" s="7">
        <v>0</v>
      </c>
      <c r="K111" s="105" t="str">
        <f t="shared" si="32"/>
        <v>4011/4012</v>
      </c>
      <c r="L111" s="22" t="str">
        <f>VLOOKUP(A111,'Trips&amp;Operators'!$C$1:$G$99999,5,FALSE)</f>
        <v>YANG JAN</v>
      </c>
      <c r="M111" s="6">
        <f t="shared" si="33"/>
        <v>2.5601851855753921E-2</v>
      </c>
      <c r="N111" s="7">
        <f t="shared" si="47"/>
        <v>36.866666672285646</v>
      </c>
      <c r="O111" s="7"/>
      <c r="P111" s="7"/>
      <c r="Q111" s="23"/>
      <c r="R111" s="23"/>
      <c r="S111" s="32">
        <f t="shared" si="48"/>
        <v>1</v>
      </c>
      <c r="T111" s="47" t="str">
        <f t="shared" si="50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14:39:27-700',mode:absolute,to:'2017-01-12 17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111" s="49" t="str">
        <f t="shared" si="36"/>
        <v>N</v>
      </c>
      <c r="X111" s="173">
        <f t="shared" si="49"/>
        <v>1</v>
      </c>
      <c r="Y111" s="64">
        <f t="shared" si="51"/>
        <v>4.4900000000000002E-2</v>
      </c>
      <c r="Z111" s="64">
        <f t="shared" si="52"/>
        <v>23.330400000000001</v>
      </c>
      <c r="AA111" s="64">
        <f t="shared" si="39"/>
        <v>23.285500000000003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40"/>
        <v>0197-12</v>
      </c>
      <c r="AE111" s="87" t="str">
        <f t="shared" si="41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111" s="84" t="str">
        <f t="shared" si="42"/>
        <v>"C:\Program Files (x86)\AstroGrep\AstroGrep.exe" /spath="%USERPROFILE%\AppData\Local\Temp\OnboardLogs" /stypes="app*4011*20170112*" /stext=" 23:.+((SYSTEM_STATE.+slice.+state.+changed )|(ment ac)|(multiple cpu faults)|(system.+state.+changed )|(\[timeout)|(PRM\|1\|D)|(kpr)|(kdp)|(\|lc)|(penalty))" /e /r /s</v>
      </c>
      <c r="AG111" s="1" t="str">
        <f t="shared" si="53"/>
        <v>EC</v>
      </c>
      <c r="AH111" s="88" t="str">
        <f t="shared" si="44"/>
        <v>"%USERPROFILE%\Documents\GitHub\eaglep3\Utilities\RefineRTDCRunTimes.py" --tripid 197-12 --locoid 4011 --swversion DE.1.0.8.0 --startMP 204:449 --initTime 2017-01-12T15:39:27 --startdatetime 2017-01-12T15:45:24 --delay 1 --endMP 204:233304 --enddatetime 2017-01-12T16:22:16 --enforcementcount 0 &gt;&gt;C:\Users\stu\Documents\GitHub\eaglep3-reporting\EC\2017-01-12-refined-times.txt</v>
      </c>
      <c r="AI111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{"issue":{"subject":"","project_id":79,"tracker_id":40,"status_id":1,"priority_id":2,"assigned_to_id":23,"start_date":"2017-01-12","description":"","custom_fields":[{"id":1,"name":"Subdivision","value":"EC"},{"id":4,"name":"Milepost","value":"23.3304"},{"id":17,"name":"Train ID","value":"197-12"},{"id":16,"name":"Locomotive ID","value":"4011"},{"id":130,"name":"Impact","value":""},{"id":150,"name":"Time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6"/>
        <v>start /low /b %USERPROFILE%\Documents\GitHub\eaglep3\Utilities\DownloadLogsFromS3.py --loco 4011 --day 2017-01-12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"%USERPROFILE%\AppData\Local\Temp\OnboardLogs"\RTDC4011\*4011*20170112* | grep -SE "(Enforcement Action)|(\[TIMEOUT)|(CHR.+\|PRM\|1\|D.+(SWITCH|SIGNAL).+UNKNOWN)" - &gt;&gt; 2017-01-12-UncaughtWiMAX.txt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678</v>
      </c>
      <c r="B112" s="7">
        <v>4012</v>
      </c>
      <c r="C112" s="22" t="s">
        <v>201</v>
      </c>
      <c r="D112" s="22" t="s">
        <v>334</v>
      </c>
      <c r="E112" s="13">
        <v>42747.684120370373</v>
      </c>
      <c r="F112" s="13">
        <v>42747.6955787037</v>
      </c>
      <c r="G112" s="7">
        <v>1</v>
      </c>
      <c r="H112" s="22" t="s">
        <v>763</v>
      </c>
      <c r="I112" s="13">
        <v>42747.724768518521</v>
      </c>
      <c r="J112" s="7">
        <v>0</v>
      </c>
      <c r="K112" s="105" t="str">
        <f t="shared" si="32"/>
        <v>4011/4012</v>
      </c>
      <c r="L112" s="22" t="str">
        <f>VLOOKUP(A112,'Trips&amp;Operators'!$C$1:$G$99999,5,FALSE)</f>
        <v>YANG JAN</v>
      </c>
      <c r="M112" s="6">
        <f t="shared" si="33"/>
        <v>2.9189814820711035E-2</v>
      </c>
      <c r="N112" s="7">
        <f t="shared" si="47"/>
        <v>42.033333341823891</v>
      </c>
      <c r="O112" s="7"/>
      <c r="P112" s="7"/>
      <c r="Q112" s="23"/>
      <c r="R112" s="23"/>
      <c r="S112" s="32">
        <f t="shared" si="48"/>
        <v>1</v>
      </c>
      <c r="T112" s="47" t="str">
        <f t="shared" si="50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15:25:08-700',mode:absolute,to:'2017-01-12 18:23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112" s="49" t="str">
        <f t="shared" si="36"/>
        <v>N</v>
      </c>
      <c r="X112" s="173">
        <f t="shared" si="49"/>
        <v>1</v>
      </c>
      <c r="Y112" s="64">
        <f t="shared" si="51"/>
        <v>23.299800000000001</v>
      </c>
      <c r="Z112" s="64">
        <f t="shared" si="52"/>
        <v>1.43E-2</v>
      </c>
      <c r="AA112" s="64">
        <f t="shared" si="39"/>
        <v>23.285500000000003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40"/>
        <v>0198-12</v>
      </c>
      <c r="AE112" s="87" t="str">
        <f t="shared" si="41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112" s="84" t="str">
        <f t="shared" si="42"/>
        <v>"C:\Program Files (x86)\AstroGrep\AstroGrep.exe" /spath="%USERPROFILE%\AppData\Local\Temp\OnboardLogs" /stypes="app*4012*20170113*" /stext=" 00:.+((SYSTEM_STATE.+slice.+state.+changed )|(ment ac)|(multiple cpu faults)|(system.+state.+changed )|(\[timeout)|(PRM\|1\|D)|(kpr)|(kdp)|(\|lc)|(penalty))" /e /r /s</v>
      </c>
      <c r="AG112" s="1" t="str">
        <f t="shared" si="53"/>
        <v>EC</v>
      </c>
      <c r="AH112" s="88" t="str">
        <f t="shared" si="44"/>
        <v>"%USERPROFILE%\Documents\GitHub\eaglep3\Utilities\RefineRTDCRunTimes.py" --tripid 198-12 --locoid 4012 --swversion DE.1.0.8.0 --startMP 204:232998 --initTime 2017-01-12T16:25:08 --startdatetime 2017-01-12T16:41:38 --delay 1 --endMP 204:143 --enddatetime 2017-01-12T17:23:40 --enforcementcount 0 &gt;&gt;C:\Users\stu\Documents\GitHub\eaglep3-reporting\EC\2017-01-12-refined-times.txt</v>
      </c>
      <c r="AI11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{"issue":{"subject":"","project_id":79,"tracker_id":40,"status_id":1,"priority_id":2,"assigned_to_id":23,"start_date":"2017-01-12","description":"","custom_fields":[{"id":1,"name":"Subdivision","value":"EC"},{"id":4,"name":"Milepost","value":"0.0143"},{"id":17,"name":"Train ID","value":"198-12"},{"id":16,"name":"Locomotive ID","value":"4012"},{"id":130,"name":"Impact","value":""},{"id":150,"name":"Time of Event (Mountain Time)","value":"17:23:40"},{"id":151,"name":"Denver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6"/>
        <v>start /low /b %USERPROFILE%\Documents\GitHub\eaglep3\Utilities\DownloadLogsFromS3.py --loco 4012 --day 2017-01-12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"%USERPROFILE%\AppData\Local\Temp\OnboardLogs"\RTDC4012\*4012*20170113* | grep -SE "(Enforcement Action)|(\[TIMEOUT)|(CHR.+\|PRM\|1\|D.+(SWITCH|SIGNAL).+UNKNOWN)" - &gt;&gt; 2017-01-12-UncaughtWiMAX.txt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671</v>
      </c>
      <c r="B113" s="7">
        <v>4031</v>
      </c>
      <c r="C113" s="22" t="s">
        <v>201</v>
      </c>
      <c r="D113" s="22" t="s">
        <v>252</v>
      </c>
      <c r="E113" s="13">
        <v>42747.661238425928</v>
      </c>
      <c r="F113" s="13">
        <v>42747.66684027778</v>
      </c>
      <c r="G113" s="7">
        <v>1</v>
      </c>
      <c r="H113" s="22" t="s">
        <v>292</v>
      </c>
      <c r="I113" s="13">
        <v>42747.69121527778</v>
      </c>
      <c r="J113" s="7">
        <v>0</v>
      </c>
      <c r="K113" s="105" t="str">
        <f t="shared" si="32"/>
        <v>4031/4032</v>
      </c>
      <c r="L113" s="22" t="str">
        <f>VLOOKUP(A113,'Trips&amp;Operators'!$C$1:$G$99999,5,FALSE)</f>
        <v>SIMMONS SHYHESHA</v>
      </c>
      <c r="M113" s="6">
        <f t="shared" si="33"/>
        <v>2.4375000000873115E-2</v>
      </c>
      <c r="N113" s="7">
        <f t="shared" si="47"/>
        <v>35.100000001257285</v>
      </c>
      <c r="O113" s="7"/>
      <c r="P113" s="7"/>
      <c r="Q113" s="23"/>
      <c r="R113" s="23"/>
      <c r="S113" s="32">
        <f t="shared" si="48"/>
        <v>1</v>
      </c>
      <c r="T113" s="47" t="str">
        <f t="shared" si="50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14:52:11-700',mode:absolute,to:'2017-01-12 17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13" s="49" t="str">
        <f t="shared" si="36"/>
        <v>N</v>
      </c>
      <c r="X113" s="173">
        <f t="shared" si="49"/>
        <v>1</v>
      </c>
      <c r="Y113" s="64">
        <f t="shared" si="51"/>
        <v>4.4900000000000002E-2</v>
      </c>
      <c r="Z113" s="64">
        <f t="shared" si="52"/>
        <v>23.3293</v>
      </c>
      <c r="AA113" s="64">
        <f t="shared" si="39"/>
        <v>23.284400000000002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40"/>
        <v>0199-12</v>
      </c>
      <c r="AE113" s="87" t="str">
        <f t="shared" si="41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13" s="84" t="str">
        <f t="shared" si="42"/>
        <v>"C:\Program Files (x86)\AstroGrep\AstroGrep.exe" /spath="%USERPROFILE%\AppData\Local\Temp\OnboardLogs" /stypes="app*4031*20170112*" /stext=" 23:.+((SYSTEM_STATE.+slice.+state.+changed )|(ment ac)|(multiple cpu faults)|(system.+state.+changed )|(\[timeout)|(PRM\|1\|D)|(kpr)|(kdp)|(\|lc)|(penalty))" /e /r /s</v>
      </c>
      <c r="AG113" s="1" t="str">
        <f t="shared" si="53"/>
        <v>EC</v>
      </c>
      <c r="AH113" s="88" t="str">
        <f t="shared" si="44"/>
        <v>"%USERPROFILE%\Documents\GitHub\eaglep3\Utilities\RefineRTDCRunTimes.py" --tripid 199-12 --locoid 4031 --swversion DE.1.0.8.0 --startMP 204:449 --initTime 2017-01-12T15:52:11 --startdatetime 2017-01-12T16:00:15 --delay 1 --endMP 204:233293 --enddatetime 2017-01-12T16:35:21 --enforcementcount 0 &gt;&gt;C:\Users\stu\Documents\GitHub\eaglep3-reporting\EC\2017-01-12-refined-times.txt</v>
      </c>
      <c r="AI11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{"issue":{"subject":"","project_id":79,"tracker_id":40,"status_id":1,"priority_id":2,"assigned_to_id":23,"start_date":"2017-01-12","description":"","custom_fields":[{"id":1,"name":"Subdivision","value":"EC"},{"id":4,"name":"Milepost","value":"23.3293"},{"id":17,"name":"Train ID","value":"199-12"},{"id":16,"name":"Locomotive ID","value":"4031"},{"id":130,"name":"Impact","value":""},{"id":150,"name":"Time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6"/>
        <v>start /low /b %USERPROFILE%\Documents\GitHub\eaglep3\Utilities\DownloadLogsFromS3.py --loco 4031 --day 2017-01-12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680</v>
      </c>
      <c r="B114" s="7">
        <v>4032</v>
      </c>
      <c r="C114" s="22" t="s">
        <v>201</v>
      </c>
      <c r="D114" s="22" t="s">
        <v>480</v>
      </c>
      <c r="E114" s="13">
        <v>42747.698171296295</v>
      </c>
      <c r="F114" s="13">
        <v>42747.705972222226</v>
      </c>
      <c r="G114" s="7">
        <v>0</v>
      </c>
      <c r="H114" s="22" t="s">
        <v>239</v>
      </c>
      <c r="I114" s="13">
        <v>42747.734583333331</v>
      </c>
      <c r="J114" s="7">
        <v>0</v>
      </c>
      <c r="K114" s="105" t="str">
        <f t="shared" si="32"/>
        <v>4031/4032</v>
      </c>
      <c r="L114" s="22" t="str">
        <f>VLOOKUP(A114,'Trips&amp;Operators'!$C$1:$G$99999,5,FALSE)</f>
        <v>SIMMONS SHYHESHA</v>
      </c>
      <c r="M114" s="6">
        <f t="shared" si="33"/>
        <v>2.8611111105419695E-2</v>
      </c>
      <c r="N114" s="7">
        <f t="shared" si="47"/>
        <v>41.199999991804361</v>
      </c>
      <c r="O114" s="7"/>
      <c r="P114" s="7"/>
      <c r="Q114" s="23"/>
      <c r="R114" s="23"/>
      <c r="S114" s="32">
        <f t="shared" si="48"/>
        <v>1</v>
      </c>
      <c r="T114" s="47" t="str">
        <f t="shared" si="50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15:45:22-700',mode:absolute,to:'2017-01-12 18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14" s="49" t="str">
        <f t="shared" si="36"/>
        <v>N</v>
      </c>
      <c r="X114" s="173">
        <f t="shared" si="49"/>
        <v>1</v>
      </c>
      <c r="Y114" s="64">
        <f t="shared" si="51"/>
        <v>23.296700000000001</v>
      </c>
      <c r="Z114" s="64">
        <f t="shared" si="52"/>
        <v>1.47E-2</v>
      </c>
      <c r="AA114" s="64">
        <f t="shared" si="39"/>
        <v>23.282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40"/>
        <v>0200-12</v>
      </c>
      <c r="AE114" s="87" t="str">
        <f t="shared" si="41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114" s="84" t="str">
        <f t="shared" si="42"/>
        <v>"C:\Program Files (x86)\AstroGrep\AstroGrep.exe" /spath="%USERPROFILE%\AppData\Local\Temp\OnboardLogs" /stypes="app*4032*20170113*" /stext=" 00:.+((SYSTEM_STATE.+slice.+state.+changed )|(ment ac)|(multiple cpu faults)|(system.+state.+changed )|(\[timeout)|(PRM\|1\|D)|(kpr)|(kdp)|(\|lc)|(penalty))" /e /r /s</v>
      </c>
      <c r="AG114" s="1" t="str">
        <f t="shared" si="53"/>
        <v>EC</v>
      </c>
      <c r="AH114" s="88" t="str">
        <f t="shared" si="44"/>
        <v>"%USERPROFILE%\Documents\GitHub\eaglep3\Utilities\RefineRTDCRunTimes.py" --tripid 200-12 --locoid 4032 --swversion DE.1.0.8.0 --startMP 204:232967 --initTime 2017-01-12T16:45:22 --startdatetime 2017-01-12T16:56:36 --delay 0 --endMP 204:147 --enddatetime 2017-01-12T17:37:48 --enforcementcount 0 &gt;&gt;C:\Users\stu\Documents\GitHub\eaglep3-reporting\EC\2017-01-12-refined-times.txt</v>
      </c>
      <c r="AI114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ID","value":"200-12"},{"id":16,"name":"Locomotive ID","value":"4032"},{"id":130,"name":"Impact","value":""},{"id":150,"name":"Time of Event (Mountain Time)","value":"17:37:48"},{"id":151,"name":"Denver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6"/>
        <v>start /low /b %USERPROFILE%\Documents\GitHub\eaglep3\Utilities\DownloadLogsFromS3.py --loco 4032 --day 2017-01-12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674</v>
      </c>
      <c r="B115" s="7">
        <v>4014</v>
      </c>
      <c r="C115" s="22" t="s">
        <v>201</v>
      </c>
      <c r="D115" s="22" t="s">
        <v>804</v>
      </c>
      <c r="E115" s="13">
        <v>42747.673576388886</v>
      </c>
      <c r="F115" s="13">
        <v>42747.677303240744</v>
      </c>
      <c r="G115" s="7">
        <v>1</v>
      </c>
      <c r="H115" s="22" t="s">
        <v>311</v>
      </c>
      <c r="I115" s="13">
        <v>42747.704305555555</v>
      </c>
      <c r="J115" s="7">
        <v>0</v>
      </c>
      <c r="K115" s="105" t="str">
        <f t="shared" si="32"/>
        <v>4013/4014</v>
      </c>
      <c r="L115" s="22" t="str">
        <f>VLOOKUP(A115,'Trips&amp;Operators'!$C$1:$G$99999,5,FALSE)</f>
        <v>CLARK KATHLEEN</v>
      </c>
      <c r="M115" s="6">
        <f t="shared" si="33"/>
        <v>2.700231481139781E-2</v>
      </c>
      <c r="N115" s="7">
        <f t="shared" si="47"/>
        <v>38.883333328412846</v>
      </c>
      <c r="O115" s="7"/>
      <c r="P115" s="7"/>
      <c r="Q115" s="23"/>
      <c r="R115" s="23"/>
      <c r="S115" s="32">
        <f t="shared" si="48"/>
        <v>1</v>
      </c>
      <c r="T115" s="47" t="str">
        <f t="shared" si="50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15:09:57-700',mode:absolute,to:'2017-01-12 17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15" s="49" t="str">
        <f t="shared" si="36"/>
        <v>N</v>
      </c>
      <c r="X115" s="173">
        <f t="shared" si="49"/>
        <v>1</v>
      </c>
      <c r="Y115" s="64">
        <f t="shared" si="51"/>
        <v>4.7100000000000003E-2</v>
      </c>
      <c r="Z115" s="64">
        <f t="shared" si="52"/>
        <v>23.328099999999999</v>
      </c>
      <c r="AA115" s="64">
        <f t="shared" si="39"/>
        <v>23.280999999999999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40"/>
        <v>0201-12</v>
      </c>
      <c r="AE115" s="87" t="str">
        <f t="shared" si="41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115" s="84" t="str">
        <f t="shared" si="42"/>
        <v>"C:\Program Files (x86)\AstroGrep\AstroGrep.exe" /spath="%USERPROFILE%\AppData\Local\Temp\OnboardLogs" /stypes="app*4014*20170112*" /stext=" 23:.+((SYSTEM_STATE.+slice.+state.+changed )|(ment ac)|(multiple cpu faults)|(system.+state.+changed )|(\[timeout)|(PRM\|1\|D)|(kpr)|(kdp)|(\|lc)|(penalty))" /e /r /s</v>
      </c>
      <c r="AG115" s="1" t="str">
        <f t="shared" si="53"/>
        <v>EC</v>
      </c>
      <c r="AH115" s="88" t="str">
        <f t="shared" si="44"/>
        <v>"%USERPROFILE%\Documents\GitHub\eaglep3\Utilities\RefineRTDCRunTimes.py" --tripid 201-12 --locoid 4014 --swversion DE.1.0.8.0 --startMP 204:471 --initTime 2017-01-12T16:09:57 --startdatetime 2017-01-12T16:15:19 --delay 1 --endMP 204:233281 --enddatetime 2017-01-12T16:54:12 --enforcementcount 0 &gt;&gt;C:\Users\stu\Documents\GitHub\eaglep3-reporting\EC\2017-01-12-refined-times.txt</v>
      </c>
      <c r="AI11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{"issue":{"subject":"","project_id":79,"tracker_id":40,"status_id":1,"priority_id":2,"assigned_to_id":23,"start_date":"2017-01-12","description":"","custom_fields":[{"id":1,"name":"Subdivision","value":"EC"},{"id":4,"name":"Milepost","value":"23.3281"},{"id":17,"name":"Train ID","value":"201-12"},{"id":16,"name":"Locomotive ID","value":"4014"},{"id":130,"name":"Impact","value":""},{"id":150,"name":"Time of Event (Mountain Time)","value":"16:54:12"},{"id":151,"name":"Denver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6"/>
        <v>start /low /b %USERPROFILE%\Documents\GitHub\eaglep3\Utilities\DownloadLogsFromS3.py --loco 4014 --day 2017-01-12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"%USERPROFILE%\AppData\Local\Temp\OnboardLogs"\RTDC4014\*4014*20170112* | grep -SE "(Enforcement Action)|(\[TIMEOUT)|(CHR.+\|PRM\|1\|D.+(SWITCH|SIGNAL).+UNKNOWN)" - &gt;&gt; 2017-01-12-UncaughtWiMAX.txt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683</v>
      </c>
      <c r="B116" s="7">
        <v>4013</v>
      </c>
      <c r="C116" s="22" t="s">
        <v>201</v>
      </c>
      <c r="D116" s="22" t="s">
        <v>481</v>
      </c>
      <c r="E116" s="13">
        <v>42747.710613425923</v>
      </c>
      <c r="F116" s="13">
        <v>42747.716249999998</v>
      </c>
      <c r="G116" s="7">
        <v>1</v>
      </c>
      <c r="H116" s="22" t="s">
        <v>304</v>
      </c>
      <c r="I116" s="13">
        <v>42747.744837962964</v>
      </c>
      <c r="J116" s="7">
        <v>0</v>
      </c>
      <c r="K116" s="105" t="str">
        <f t="shared" si="32"/>
        <v>4013/4014</v>
      </c>
      <c r="L116" s="22" t="str">
        <f>VLOOKUP(A116,'Trips&amp;Operators'!$C$1:$G$99999,5,FALSE)</f>
        <v>CLARK KATHLEEN</v>
      </c>
      <c r="M116" s="6">
        <f t="shared" si="33"/>
        <v>2.8587962966412306E-2</v>
      </c>
      <c r="N116" s="7">
        <f t="shared" si="47"/>
        <v>41.16666667163372</v>
      </c>
      <c r="O116" s="7"/>
      <c r="P116" s="7"/>
      <c r="Q116" s="23"/>
      <c r="R116" s="23"/>
      <c r="S116" s="32">
        <f t="shared" si="48"/>
        <v>1</v>
      </c>
      <c r="T116" s="47" t="str">
        <f t="shared" si="50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16:03:17-700',mode:absolute,to:'2017-01-12 18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16" s="49" t="str">
        <f t="shared" si="36"/>
        <v>N</v>
      </c>
      <c r="X116" s="173">
        <f t="shared" si="49"/>
        <v>1</v>
      </c>
      <c r="Y116" s="64">
        <f t="shared" si="51"/>
        <v>23.296800000000001</v>
      </c>
      <c r="Z116" s="64">
        <f t="shared" si="52"/>
        <v>1.61E-2</v>
      </c>
      <c r="AA116" s="64">
        <f t="shared" si="39"/>
        <v>23.2807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40"/>
        <v>0202-12</v>
      </c>
      <c r="AE116" s="87" t="str">
        <f t="shared" si="41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116" s="84" t="str">
        <f t="shared" si="42"/>
        <v>"C:\Program Files (x86)\AstroGrep\AstroGrep.exe" /spath="%USERPROFILE%\AppData\Local\Temp\OnboardLogs" /stypes="app*4013*20170113*" /stext=" 00:.+((SYSTEM_STATE.+slice.+state.+changed )|(ment ac)|(multiple cpu faults)|(system.+state.+changed )|(\[timeout)|(PRM\|1\|D)|(kpr)|(kdp)|(\|lc)|(penalty))" /e /r /s</v>
      </c>
      <c r="AG116" s="1" t="str">
        <f t="shared" si="53"/>
        <v>EC</v>
      </c>
      <c r="AH116" s="88" t="str">
        <f t="shared" si="44"/>
        <v>"%USERPROFILE%\Documents\GitHub\eaglep3\Utilities\RefineRTDCRunTimes.py" --tripid 202-12 --locoid 4013 --swversion DE.1.0.8.0 --startMP 204:232968 --initTime 2017-01-12T17:03:17 --startdatetime 2017-01-12T17:11:24 --delay 1 --endMP 204:161 --enddatetime 2017-01-12T17:52:34 --enforcementcount 0 &gt;&gt;C:\Users\stu\Documents\GitHub\eaglep3-reporting\EC\2017-01-12-refined-times.txt</v>
      </c>
      <c r="AI116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{"issue":{"subject":"","project_id":79,"tracker_id":40,"status_id":1,"priority_id":2,"assigned_to_id":23,"start_date":"2017-01-12","description":"","custom_fields":[{"id":1,"name":"Subdivision","value":"EC"},{"id":4,"name":"Milepost","value":"0.0161"},{"id":17,"name":"Train ID","value":"202-12"},{"id":16,"name":"Locomotive ID","value":"4013"},{"id":130,"name":"Impact","value":""},{"id":150,"name":"Time of Event (Mountain Time)","value":"17:52:34"},{"id":151,"name":"Denver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6"/>
        <v>start /low /b %USERPROFILE%\Documents\GitHub\eaglep3\Utilities\DownloadLogsFromS3.py --loco 4013 --day 2017-01-12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677</v>
      </c>
      <c r="B117" s="7">
        <v>4027</v>
      </c>
      <c r="C117" s="22" t="s">
        <v>201</v>
      </c>
      <c r="D117" s="22" t="s">
        <v>769</v>
      </c>
      <c r="E117" s="13">
        <v>42747.682835648149</v>
      </c>
      <c r="F117" s="13">
        <v>42747.687754629631</v>
      </c>
      <c r="G117" s="7">
        <v>1</v>
      </c>
      <c r="H117" s="22" t="s">
        <v>771</v>
      </c>
      <c r="I117" s="13">
        <v>42747.712743055556</v>
      </c>
      <c r="J117" s="7">
        <v>0</v>
      </c>
      <c r="K117" s="105" t="str">
        <f t="shared" si="32"/>
        <v>4027/4028</v>
      </c>
      <c r="L117" s="22" t="str">
        <f>VLOOKUP(A117,'Trips&amp;Operators'!$C$1:$G$99999,5,FALSE)</f>
        <v>KILLION DAVID</v>
      </c>
      <c r="M117" s="6">
        <f t="shared" si="33"/>
        <v>2.4988425924675539E-2</v>
      </c>
      <c r="N117" s="7">
        <f t="shared" si="47"/>
        <v>35.983333331532776</v>
      </c>
      <c r="O117" s="7"/>
      <c r="P117" s="7"/>
      <c r="Q117" s="23"/>
      <c r="R117" s="23"/>
      <c r="S117" s="32">
        <f t="shared" si="48"/>
        <v>1</v>
      </c>
      <c r="T117" s="47" t="str">
        <f t="shared" si="50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15:23:17-700',mode:absolute,to:'2017-01-12 18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17" s="49" t="str">
        <f t="shared" si="36"/>
        <v>N</v>
      </c>
      <c r="X117" s="173">
        <f t="shared" si="49"/>
        <v>1</v>
      </c>
      <c r="Y117" s="64">
        <f t="shared" si="51"/>
        <v>4.6600000000000003E-2</v>
      </c>
      <c r="Z117" s="64">
        <f t="shared" si="52"/>
        <v>23.329499999999999</v>
      </c>
      <c r="AA117" s="64">
        <f t="shared" si="39"/>
        <v>23.282899999999998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40"/>
        <v>0203-12</v>
      </c>
      <c r="AE117" s="87" t="str">
        <f t="shared" si="41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17" s="84" t="str">
        <f t="shared" si="42"/>
        <v>"C:\Program Files (x86)\AstroGrep\AstroGrep.exe" /spath="%USERPROFILE%\AppData\Local\Temp\OnboardLogs" /stypes="app*4027*20170113*" /stext=" 00:.+((SYSTEM_STATE.+slice.+state.+changed )|(ment ac)|(multiple cpu faults)|(system.+state.+changed )|(\[timeout)|(PRM\|1\|D)|(kpr)|(kdp)|(\|lc)|(penalty))" /e /r /s</v>
      </c>
      <c r="AG117" s="1" t="str">
        <f t="shared" si="53"/>
        <v>EC</v>
      </c>
      <c r="AH117" s="88" t="str">
        <f t="shared" si="44"/>
        <v>"%USERPROFILE%\Documents\GitHub\eaglep3\Utilities\RefineRTDCRunTimes.py" --tripid 203-12 --locoid 4027 --swversion DE.1.0.8.0 --startMP 204:466 --initTime 2017-01-12T16:23:17 --startdatetime 2017-01-12T16:30:22 --delay 1 --endMP 204:233295 --enddatetime 2017-01-12T17:06:21 --enforcementcount 0 &gt;&gt;C:\Users\stu\Documents\GitHub\eaglep3-reporting\EC\2017-01-12-refined-times.txt</v>
      </c>
      <c r="AI11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{"issue":{"subject":"","project_id":79,"tracker_id":40,"status_id":1,"priority_id":2,"assigned_to_id":23,"start_date":"2017-01-12","description":"","custom_fields":[{"id":1,"name":"Subdivision","value":"EC"},{"id":4,"name":"Milepost","value":"23.3295"},{"id":17,"name":"Train ID","value":"203-12"},{"id":16,"name":"Locomotive ID","value":"4027"},{"id":130,"name":"Impact","value":""},{"id":150,"name":"Time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6"/>
        <v>start /low /b %USERPROFILE%\Documents\GitHub\eaglep3\Utilities\DownloadLogsFromS3.py --loco 4027 --day 2017-01-12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"%USERPROFILE%\AppData\Local\Temp\OnboardLogs"\RTDC4027\*4027*20170112* | grep -SE "(Enforcement Action)|(\[TIMEOUT)|(CHR.+\|PRM\|1\|D.+(SWITCH|SIGNAL).+UNKNOWN)" - &gt;&gt; 2017-01-12-UncaughtWiMAX.txt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688</v>
      </c>
      <c r="B118" s="7">
        <v>4028</v>
      </c>
      <c r="C118" s="22" t="s">
        <v>201</v>
      </c>
      <c r="D118" s="22" t="s">
        <v>480</v>
      </c>
      <c r="E118" s="13">
        <v>42747.719560185185</v>
      </c>
      <c r="F118" s="13">
        <v>42747.726597222223</v>
      </c>
      <c r="G118" s="7">
        <v>1</v>
      </c>
      <c r="H118" s="22" t="s">
        <v>484</v>
      </c>
      <c r="I118" s="13">
        <v>42747.75377314815</v>
      </c>
      <c r="J118" s="7">
        <v>0</v>
      </c>
      <c r="K118" s="105" t="str">
        <f t="shared" si="32"/>
        <v>4027/4028</v>
      </c>
      <c r="L118" s="22" t="str">
        <f>VLOOKUP(A118,'Trips&amp;Operators'!$C$1:$G$99999,5,FALSE)</f>
        <v>KILLION DAVID</v>
      </c>
      <c r="M118" s="6">
        <f t="shared" si="33"/>
        <v>2.7175925926712807E-2</v>
      </c>
      <c r="N118" s="7">
        <f t="shared" si="47"/>
        <v>39.133333334466442</v>
      </c>
      <c r="O118" s="7"/>
      <c r="P118" s="7"/>
      <c r="Q118" s="23"/>
      <c r="R118" s="23"/>
      <c r="S118" s="32">
        <f t="shared" si="48"/>
        <v>1</v>
      </c>
      <c r="T118" s="47" t="str">
        <f t="shared" si="50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16:16:10-700',mode:absolute,to:'2017-01-12 19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18" s="49" t="str">
        <f t="shared" si="36"/>
        <v>N</v>
      </c>
      <c r="X118" s="173">
        <f t="shared" si="49"/>
        <v>1</v>
      </c>
      <c r="Y118" s="64">
        <f t="shared" si="51"/>
        <v>23.296700000000001</v>
      </c>
      <c r="Z118" s="64">
        <f t="shared" si="52"/>
        <v>1.34E-2</v>
      </c>
      <c r="AA118" s="64">
        <f t="shared" si="39"/>
        <v>23.283300000000001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40"/>
        <v>0204-12</v>
      </c>
      <c r="AE118" s="87" t="str">
        <f t="shared" si="41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118" s="84" t="str">
        <f t="shared" si="42"/>
        <v>"C:\Program Files (x86)\AstroGrep\AstroGrep.exe" /spath="%USERPROFILE%\AppData\Local\Temp\OnboardLogs" /stypes="app*4028*20170113*" /stext=" 01:.+((SYSTEM_STATE.+slice.+state.+changed )|(ment ac)|(multiple cpu faults)|(system.+state.+changed )|(\[timeout)|(PRM\|1\|D)|(kpr)|(kdp)|(\|lc)|(penalty))" /e /r /s</v>
      </c>
      <c r="AG118" s="1" t="str">
        <f t="shared" si="53"/>
        <v>EC</v>
      </c>
      <c r="AH118" s="88" t="str">
        <f t="shared" si="44"/>
        <v>"%USERPROFILE%\Documents\GitHub\eaglep3\Utilities\RefineRTDCRunTimes.py" --tripid 204-12 --locoid 4028 --swversion DE.1.0.8.0 --startMP 204:232967 --initTime 2017-01-12T17:16:10 --startdatetime 2017-01-12T17:26:18 --delay 1 --endMP 204:134 --enddatetime 2017-01-12T18:05:26 --enforcementcount 0 &gt;&gt;C:\Users\stu\Documents\GitHub\eaglep3-reporting\EC\2017-01-12-refined-times.txt</v>
      </c>
      <c r="AI11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{"issue":{"subject":"","project_id":79,"tracker_id":40,"status_id":1,"priority_id":2,"assigned_to_id":23,"start_date":"2017-01-12","description":"","custom_fields":[{"id":1,"name":"Subdivision","value":"EC"},{"id":4,"name":"Milepost","value":"0.0134"},{"id":17,"name":"Train ID","value":"204-12"},{"id":16,"name":"Locomotive ID","value":"4028"},{"id":130,"name":"Impact","value":""},{"id":150,"name":"Time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6"/>
        <v>start /low /b %USERPROFILE%\Documents\GitHub\eaglep3\Utilities\DownloadLogsFromS3.py --loco 4028 --day 2017-01-12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"%USERPROFILE%\AppData\Local\Temp\OnboardLogs"\RTDC4028\*4028*20170113* | grep -SE "(Enforcement Action)|(\[TIMEOUT)|(CHR.+\|PRM\|1\|D.+(SWITCH|SIGNAL).+UNKNOWN)" - &gt;&gt; 2017-01-12-UncaughtWiMAX.txt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527</v>
      </c>
      <c r="B119" s="7">
        <v>4022</v>
      </c>
      <c r="C119" s="22" t="s">
        <v>201</v>
      </c>
      <c r="D119" s="22" t="s">
        <v>238</v>
      </c>
      <c r="E119" s="13">
        <v>42747.692314814813</v>
      </c>
      <c r="F119" s="13">
        <v>42747.698125000003</v>
      </c>
      <c r="G119" s="7">
        <v>1</v>
      </c>
      <c r="H119" s="22" t="s">
        <v>783</v>
      </c>
      <c r="I119" s="13">
        <v>42747.723877314813</v>
      </c>
      <c r="J119" s="7">
        <v>0</v>
      </c>
      <c r="K119" s="105" t="str">
        <f t="shared" si="32"/>
        <v>4021/4022</v>
      </c>
      <c r="L119" s="22" t="str">
        <f>VLOOKUP(A119,'Trips&amp;Operators'!$C$1:$G$99999,5,FALSE)</f>
        <v>BRUDER RICHARD</v>
      </c>
      <c r="M119" s="6">
        <f t="shared" si="33"/>
        <v>2.5752314810233656E-2</v>
      </c>
      <c r="N119" s="7">
        <f t="shared" si="47"/>
        <v>37.083333326736465</v>
      </c>
      <c r="O119" s="7"/>
      <c r="P119" s="7"/>
      <c r="Q119" s="23"/>
      <c r="R119" s="23"/>
      <c r="S119" s="32">
        <f t="shared" si="48"/>
        <v>1</v>
      </c>
      <c r="T119" s="47" t="str">
        <f t="shared" si="50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15:36:56-700',mode:absolute,to:'2017-01-12 18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19" s="49" t="str">
        <f t="shared" si="36"/>
        <v>N</v>
      </c>
      <c r="X119" s="173">
        <f t="shared" si="49"/>
        <v>1</v>
      </c>
      <c r="Y119" s="64">
        <f t="shared" si="51"/>
        <v>4.6399999999999997E-2</v>
      </c>
      <c r="Z119" s="64">
        <f t="shared" si="52"/>
        <v>23.330200000000001</v>
      </c>
      <c r="AA119" s="64">
        <f t="shared" si="39"/>
        <v>23.283800000000003</v>
      </c>
      <c r="AB119" s="61" t="str">
        <f>VLOOKUP(A119,Enforcements!$C$7:$K$16,8,0)</f>
        <v>Bulletin (2)</v>
      </c>
      <c r="AC119" s="57" t="str">
        <f>VLOOKUP(A119,Enforcements!$C$7:$E$16,3,0)</f>
        <v>GRADE CROSSING</v>
      </c>
      <c r="AD119" s="58" t="str">
        <f t="shared" si="40"/>
        <v>0205-12</v>
      </c>
      <c r="AE119" s="87" t="str">
        <f t="shared" si="41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19" s="84" t="str">
        <f t="shared" si="42"/>
        <v>"C:\Program Files (x86)\AstroGrep\AstroGrep.exe" /spath="%USERPROFILE%\AppData\Local\Temp\OnboardLogs" /stypes="app*4022*20170113*" /stext=" 00:.+((SYSTEM_STATE.+slice.+state.+changed )|(ment ac)|(multiple cpu faults)|(system.+state.+changed )|(\[timeout)|(PRM\|1\|D)|(kpr)|(kdp)|(\|lc)|(penalty))" /e /r /s</v>
      </c>
      <c r="AG119" s="1" t="str">
        <f t="shared" si="53"/>
        <v>EC</v>
      </c>
      <c r="AH119" s="88" t="str">
        <f t="shared" si="44"/>
        <v>"%USERPROFILE%\Documents\GitHub\eaglep3\Utilities\RefineRTDCRunTimes.py" --tripid 205-12 --locoid 4022 --swversion DE.1.0.8.0 --startMP 204:464 --initTime 2017-01-12T16:36:56 --startdatetime 2017-01-12T16:45:18 --delay 1 --endMP 204:233302 --enddatetime 2017-01-12T17:22:23 --enforcementcount 0 &gt;&gt;C:\Users\stu\Documents\GitHub\eaglep3-reporting\EC\2017-01-12-refined-times.txt</v>
      </c>
      <c r="AI11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{"issue":{"subject":"","project_id":79,"tracker_id":40,"status_id":1,"priority_id":2,"assigned_to_id":23,"start_date":"2017-01-12","description":"","custom_fields":[{"id":1,"name":"Subdivision","value":"EC"},{"id":4,"name":"Milepost","value":"23.3302"},{"id":17,"name":"Train ID","value":"205-12"},{"id":16,"name":"Locomotive ID","value":"4022"},{"id":130,"name":"Impact","value":""},{"id":150,"name":"Time of Event (Mountain Time)","value":"17:22:23"},{"id":151,"name":"Denver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6"/>
        <v>start /low /b %USERPROFILE%\Documents\GitHub\eaglep3\Utilities\DownloadLogsFromS3.py --loco 4022 --day 2017-01-12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"%USERPROFILE%\AppData\Local\Temp\OnboardLogs"\RTDC4022\*4022*20170113* | grep -SE "(Enforcement Action)|(\[TIMEOUT)|(CHR.+\|PRM\|1\|D.+(SWITCH|SIGNAL).+UNKNOWN)" - &gt;&gt; 2017-01-12-UncaughtWiMAX.txt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528</v>
      </c>
      <c r="B120" s="7">
        <v>4021</v>
      </c>
      <c r="C120" s="22" t="s">
        <v>201</v>
      </c>
      <c r="D120" s="22" t="s">
        <v>351</v>
      </c>
      <c r="E120" s="13">
        <v>42747.729097222225</v>
      </c>
      <c r="F120" s="13">
        <v>42747.73710648148</v>
      </c>
      <c r="G120" s="7">
        <v>1</v>
      </c>
      <c r="H120" s="22" t="s">
        <v>191</v>
      </c>
      <c r="I120" s="13">
        <v>42747.764386574076</v>
      </c>
      <c r="J120" s="7">
        <v>0</v>
      </c>
      <c r="K120" s="105" t="str">
        <f t="shared" si="32"/>
        <v>4021/4022</v>
      </c>
      <c r="L120" s="22" t="str">
        <f>VLOOKUP(A120,'Trips&amp;Operators'!$C$1:$G$99999,5,FALSE)</f>
        <v>BRUDER RICHARD</v>
      </c>
      <c r="M120" s="6">
        <f t="shared" si="33"/>
        <v>2.7280092595901806E-2</v>
      </c>
      <c r="N120" s="7">
        <f t="shared" si="47"/>
        <v>39.283333338098601</v>
      </c>
      <c r="O120" s="7"/>
      <c r="P120" s="7"/>
      <c r="Q120" s="23"/>
      <c r="R120" s="23"/>
      <c r="S120" s="32">
        <f t="shared" si="48"/>
        <v>1</v>
      </c>
      <c r="T120" s="47" t="str">
        <f t="shared" si="50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16:29:54-700',mode:absolute,to:'2017-01-12 19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20" s="49" t="str">
        <f t="shared" si="36"/>
        <v>N</v>
      </c>
      <c r="X120" s="173">
        <f t="shared" si="49"/>
        <v>1</v>
      </c>
      <c r="Y120" s="64">
        <f t="shared" si="51"/>
        <v>23.297899999999998</v>
      </c>
      <c r="Z120" s="64">
        <f t="shared" si="52"/>
        <v>1.49E-2</v>
      </c>
      <c r="AA120" s="64">
        <f t="shared" si="39"/>
        <v>23.282999999999998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40"/>
        <v>0206-12</v>
      </c>
      <c r="AE120" s="87" t="str">
        <f t="shared" si="41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120" s="84" t="str">
        <f t="shared" si="42"/>
        <v>"C:\Program Files (x86)\AstroGrep\AstroGrep.exe" /spath="%USERPROFILE%\AppData\Local\Temp\OnboardLogs" /stypes="app*4021*20170113*" /stext=" 01:.+((SYSTEM_STATE.+slice.+state.+changed )|(ment ac)|(multiple cpu faults)|(system.+state.+changed )|(\[timeout)|(PRM\|1\|D)|(kpr)|(kdp)|(\|lc)|(penalty))" /e /r /s</v>
      </c>
      <c r="AG120" s="1" t="str">
        <f t="shared" si="53"/>
        <v>EC</v>
      </c>
      <c r="AH120" s="88" t="str">
        <f t="shared" si="44"/>
        <v>"%USERPROFILE%\Documents\GitHub\eaglep3\Utilities\RefineRTDCRunTimes.py" --tripid 206-12 --locoid 4021 --swversion DE.1.0.8.0 --startMP 204:232979 --initTime 2017-01-12T17:29:54 --startdatetime 2017-01-12T17:41:26 --delay 1 --endMP 204:149 --enddatetime 2017-01-12T18:20:43 --enforcementcount 0 &gt;&gt;C:\Users\stu\Documents\GitHub\eaglep3-reporting\EC\2017-01-12-refined-times.txt</v>
      </c>
      <c r="AI12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{"issue":{"subject":"","project_id":79,"tracker_id":40,"status_id":1,"priority_id":2,"assigned_to_id":23,"start_date":"2017-01-12","description":"","custom_fields":[{"id":1,"name":"Subdivision","value":"EC"},{"id":4,"name":"Milepost","value":"0.0149"},{"id":17,"name":"Train ID","value":"206-12"},{"id":16,"name":"Locomotive ID","value":"4021"},{"id":130,"name":"Impact","value":""},{"id":150,"name":"Time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6"/>
        <v>start /low /b %USERPROFILE%\Documents\GitHub\eaglep3\Utilities\DownloadLogsFromS3.py --loco 4021 --day 2017-01-12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682</v>
      </c>
      <c r="B121" s="7">
        <v>4002</v>
      </c>
      <c r="C121" s="22" t="s">
        <v>201</v>
      </c>
      <c r="D121" s="22" t="s">
        <v>805</v>
      </c>
      <c r="E121" s="13">
        <v>42747.703576388885</v>
      </c>
      <c r="F121" s="13">
        <v>42747.708969907406</v>
      </c>
      <c r="G121" s="7">
        <v>1</v>
      </c>
      <c r="H121" s="22" t="s">
        <v>357</v>
      </c>
      <c r="I121" s="13">
        <v>42747.733888888892</v>
      </c>
      <c r="J121" s="7">
        <v>0</v>
      </c>
      <c r="K121" s="105" t="str">
        <f t="shared" si="32"/>
        <v>4001/4002</v>
      </c>
      <c r="L121" s="22" t="str">
        <f>VLOOKUP(A121,'Trips&amp;Operators'!$C$1:$G$99999,5,FALSE)</f>
        <v>SMITH MICHAEL</v>
      </c>
      <c r="M121" s="6">
        <f t="shared" si="33"/>
        <v>2.4918981485825498E-2</v>
      </c>
      <c r="N121" s="7">
        <f t="shared" si="47"/>
        <v>35.883333339588717</v>
      </c>
      <c r="O121" s="7"/>
      <c r="P121" s="7"/>
      <c r="Q121" s="23"/>
      <c r="R121" s="23"/>
      <c r="S121" s="32">
        <f t="shared" si="48"/>
        <v>1</v>
      </c>
      <c r="T121" s="47" t="str">
        <f t="shared" si="50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15:53:09-700',mode:absolute,to:'2017-01-12 18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21" s="49" t="str">
        <f t="shared" si="36"/>
        <v>N</v>
      </c>
      <c r="X121" s="173">
        <f t="shared" si="49"/>
        <v>1</v>
      </c>
      <c r="Y121" s="64">
        <f t="shared" si="51"/>
        <v>4.3999999999999997E-2</v>
      </c>
      <c r="Z121" s="64">
        <f t="shared" si="52"/>
        <v>23.3291</v>
      </c>
      <c r="AA121" s="64">
        <f t="shared" si="39"/>
        <v>23.2851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40"/>
        <v>0207-12</v>
      </c>
      <c r="AE121" s="87" t="str">
        <f t="shared" si="41"/>
        <v>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 &amp; 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</v>
      </c>
      <c r="AF121" s="84" t="str">
        <f t="shared" si="42"/>
        <v>"C:\Program Files (x86)\AstroGrep\AstroGrep.exe" /spath="%USERPROFILE%\AppData\Local\Temp\OnboardLogs" /stypes="app*4002*20170113*" /stext=" 00:.+((SYSTEM_STATE.+slice.+state.+changed )|(ment ac)|(multiple cpu faults)|(system.+state.+changed )|(\[timeout)|(PRM\|1\|D)|(kpr)|(kdp)|(\|lc)|(penalty))" /e /r /s</v>
      </c>
      <c r="AG121" s="1" t="str">
        <f t="shared" si="53"/>
        <v>EC</v>
      </c>
      <c r="AH121" s="88" t="str">
        <f t="shared" si="44"/>
        <v>"%USERPROFILE%\Documents\GitHub\eaglep3\Utilities\RefineRTDCRunTimes.py" --tripid 207-12 --locoid 4002 --swversion DE.1.0.8.0 --startMP 204:440 --initTime 2017-01-12T16:53:09 --startdatetime 2017-01-12T17:00:55 --delay 1 --endMP 204:233291 --enddatetime 2017-01-12T17:36:48 --enforcementcount 0 &gt;&gt;C:\Users\stu\Documents\GitHub\eaglep3-reporting\EC\2017-01-12-refined-times.txt</v>
      </c>
      <c r="AI121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{"issue":{"subject":"","project_id":79,"tracker_id":40,"status_id":1,"priority_id":2,"assigned_to_id":23,"start_date":"2017-01-12","description":"","custom_fields":[{"id":1,"name":"Subdivision","value":"EC"},{"id":4,"name":"Milepost","value":"23.3291"},{"id":17,"name":"Train ID","value":"207-12"},{"id":16,"name":"Locomotive ID","value":"4002"},{"id":130,"name":"Impact","value":""},{"id":150,"name":"Time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6"/>
        <v>start /low /b %USERPROFILE%\Documents\GitHub\eaglep3\Utilities\DownloadLogsFromS3.py --loco 4002 --day 2017-01-12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693</v>
      </c>
      <c r="B122" s="7">
        <v>4001</v>
      </c>
      <c r="C122" s="22" t="s">
        <v>201</v>
      </c>
      <c r="D122" s="22" t="s">
        <v>261</v>
      </c>
      <c r="E122" s="13">
        <v>42747.736585648148</v>
      </c>
      <c r="F122" s="13">
        <v>42747.747604166667</v>
      </c>
      <c r="G122" s="7">
        <v>1</v>
      </c>
      <c r="H122" s="22" t="s">
        <v>806</v>
      </c>
      <c r="I122" s="13">
        <v>42747.776342592595</v>
      </c>
      <c r="J122" s="7">
        <v>0</v>
      </c>
      <c r="K122" s="105" t="str">
        <f t="shared" si="32"/>
        <v>4001/4002</v>
      </c>
      <c r="L122" s="22" t="str">
        <f>VLOOKUP(A122,'Trips&amp;Operators'!$C$1:$G$99999,5,FALSE)</f>
        <v>SMITH MICHAEL</v>
      </c>
      <c r="M122" s="6">
        <f t="shared" si="33"/>
        <v>2.8738425928167999E-2</v>
      </c>
      <c r="N122" s="7">
        <f t="shared" si="47"/>
        <v>41.383333336561918</v>
      </c>
      <c r="O122" s="7"/>
      <c r="P122" s="7"/>
      <c r="Q122" s="23"/>
      <c r="R122" s="23"/>
      <c r="S122" s="32">
        <f t="shared" si="48"/>
        <v>1</v>
      </c>
      <c r="T122" s="47" t="str">
        <f t="shared" si="50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16:40:41-700',mode:absolute,to:'2017-01-12 19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22" s="49" t="str">
        <f t="shared" si="36"/>
        <v>N</v>
      </c>
      <c r="X122" s="173">
        <f t="shared" si="49"/>
        <v>1</v>
      </c>
      <c r="Y122" s="64">
        <f t="shared" si="51"/>
        <v>23.2971</v>
      </c>
      <c r="Z122" s="64">
        <f t="shared" si="52"/>
        <v>8.9300000000000004E-2</v>
      </c>
      <c r="AA122" s="64">
        <f t="shared" si="39"/>
        <v>23.207799999999999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40"/>
        <v>0208-12</v>
      </c>
      <c r="AE122" s="87" t="str">
        <f t="shared" si="41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122" s="84" t="str">
        <f t="shared" si="42"/>
        <v>"C:\Program Files (x86)\AstroGrep\AstroGrep.exe" /spath="%USERPROFILE%\AppData\Local\Temp\OnboardLogs" /stypes="app*4001*20170113*" /stext=" 01:.+((SYSTEM_STATE.+slice.+state.+changed )|(ment ac)|(multiple cpu faults)|(system.+state.+changed )|(\[timeout)|(PRM\|1\|D)|(kpr)|(kdp)|(\|lc)|(penalty))" /e /r /s</v>
      </c>
      <c r="AG122" s="1" t="str">
        <f t="shared" si="53"/>
        <v>EC</v>
      </c>
      <c r="AH122" s="88" t="str">
        <f t="shared" si="44"/>
        <v>"%USERPROFILE%\Documents\GitHub\eaglep3\Utilities\RefineRTDCRunTimes.py" --tripid 208-12 --locoid 4001 --swversion DE.1.0.8.0 --startMP 204:232971 --initTime 2017-01-12T17:40:41 --startdatetime 2017-01-12T17:56:33 --delay 1 --endMP 204:893 --enddatetime 2017-01-12T18:37:56 --enforcementcount 0 &gt;&gt;C:\Users\stu\Documents\GitHub\eaglep3-reporting\EC\2017-01-12-refined-times.txt</v>
      </c>
      <c r="AI12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{"issue":{"subject":"","project_id":79,"tracker_id":40,"status_id":1,"priority_id":2,"assigned_to_id":23,"start_date":"2017-01-12","description":"","custom_fields":[{"id":1,"name":"Subdivision","value":"EC"},{"id":4,"name":"Milepost","value":"0.0893"},{"id":17,"name":"Train ID","value":"208-12"},{"id":16,"name":"Locomotive ID","value":"4001"},{"id":130,"name":"Impact","value":""},{"id":150,"name":"Time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6"/>
        <v>start /low /b %USERPROFILE%\Documents\GitHub\eaglep3\Utilities\DownloadLogsFromS3.py --loco 4001 --day 2017-01-12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687</v>
      </c>
      <c r="B123" s="7">
        <v>4020</v>
      </c>
      <c r="C123" s="22" t="s">
        <v>201</v>
      </c>
      <c r="D123" s="22" t="s">
        <v>804</v>
      </c>
      <c r="E123" s="13">
        <v>42747.718078703707</v>
      </c>
      <c r="F123" s="13">
        <v>42747.719282407408</v>
      </c>
      <c r="G123" s="7">
        <v>1</v>
      </c>
      <c r="H123" s="22" t="s">
        <v>796</v>
      </c>
      <c r="I123" s="13">
        <v>42747.745173611111</v>
      </c>
      <c r="J123" s="7">
        <v>0</v>
      </c>
      <c r="K123" s="105" t="str">
        <f t="shared" si="32"/>
        <v>4019/4020</v>
      </c>
      <c r="L123" s="22" t="str">
        <f>VLOOKUP(A123,'Trips&amp;Operators'!$C$1:$G$99999,5,FALSE)</f>
        <v>CHANDLER KELVIN</v>
      </c>
      <c r="M123" s="6">
        <f t="shared" si="33"/>
        <v>2.5891203702485655E-2</v>
      </c>
      <c r="N123" s="7">
        <f t="shared" si="47"/>
        <v>37.283333331579342</v>
      </c>
      <c r="O123" s="7"/>
      <c r="P123" s="7"/>
      <c r="Q123" s="23"/>
      <c r="R123" s="23"/>
      <c r="S123" s="32">
        <f t="shared" si="48"/>
        <v>1</v>
      </c>
      <c r="T123" s="47" t="str">
        <f t="shared" si="50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16:14:02-700',mode:absolute,to:'2017-01-12 18:53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23" s="49" t="str">
        <f t="shared" si="36"/>
        <v>N</v>
      </c>
      <c r="X123" s="173">
        <f t="shared" si="49"/>
        <v>1</v>
      </c>
      <c r="Y123" s="64">
        <f t="shared" si="51"/>
        <v>4.7100000000000003E-2</v>
      </c>
      <c r="Z123" s="64">
        <f t="shared" si="52"/>
        <v>23.3276</v>
      </c>
      <c r="AA123" s="64">
        <f t="shared" si="39"/>
        <v>23.2805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40"/>
        <v>0209-12</v>
      </c>
      <c r="AE123" s="87" t="str">
        <f t="shared" si="41"/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AF123" s="84" t="str">
        <f t="shared" si="42"/>
        <v>"C:\Program Files (x86)\AstroGrep\AstroGrep.exe" /spath="%USERPROFILE%\AppData\Local\Temp\OnboardLogs" /stypes="app*4020*20170113*" /stext=" 00:.+((SYSTEM_STATE.+slice.+state.+changed )|(ment ac)|(multiple cpu faults)|(system.+state.+changed )|(\[timeout)|(PRM\|1\|D)|(kpr)|(kdp)|(\|lc)|(penalty))" /e /r /s</v>
      </c>
      <c r="AG123" s="1" t="str">
        <f t="shared" si="53"/>
        <v>EC</v>
      </c>
      <c r="AH123" s="88" t="str">
        <f t="shared" si="44"/>
        <v>"%USERPROFILE%\Documents\GitHub\eaglep3\Utilities\RefineRTDCRunTimes.py" --tripid 209-12 --locoid 4020 --swversion DE.1.0.8.0 --startMP 204:471 --initTime 2017-01-12T17:14:02 --startdatetime 2017-01-12T17:15:46 --delay 1 --endMP 204:233276 --enddatetime 2017-01-12T17:53:03 --enforcementcount 0 &gt;&gt;C:\Users\stu\Documents\GitHub\eaglep3-reporting\EC\2017-01-12-refined-times.txt</v>
      </c>
      <c r="AI12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{"issue":{"subject":"","project_id":79,"tracker_id":40,"status_id":1,"priority_id":2,"assigned_to_id":23,"start_date":"2017-01-12","description":"","custom_fields":[{"id":1,"name":"Subdivision","value":"EC"},{"id":4,"name":"Milepost","value":"23.3276"},{"id":17,"name":"Train ID","value":"209-12"},{"id":16,"name":"Locomotive ID","value":"4020"},{"id":130,"name":"Impact","value":""},{"id":150,"name":"Time of Event (Mountain Time)","value":"17:53:03"},{"id":151,"name":"Denver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6"/>
        <v>start /low /b %USERPROFILE%\Documents\GitHub\eaglep3\Utilities\DownloadLogsFromS3.py --loco 4020 --day 2017-01-12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699</v>
      </c>
      <c r="B124" s="7">
        <v>4019</v>
      </c>
      <c r="C124" s="22" t="s">
        <v>201</v>
      </c>
      <c r="D124" s="22" t="s">
        <v>481</v>
      </c>
      <c r="E124" s="13">
        <v>42747.749814814815</v>
      </c>
      <c r="F124" s="13">
        <v>42747.751168981478</v>
      </c>
      <c r="G124" s="7">
        <v>1</v>
      </c>
      <c r="H124" s="22" t="s">
        <v>807</v>
      </c>
      <c r="I124" s="13">
        <v>42747.789143518516</v>
      </c>
      <c r="J124" s="7">
        <v>0</v>
      </c>
      <c r="K124" s="105" t="str">
        <f t="shared" si="32"/>
        <v>4019/4020</v>
      </c>
      <c r="L124" s="22" t="str">
        <f>VLOOKUP(A124,'Trips&amp;Operators'!$C$1:$G$99999,5,FALSE)</f>
        <v>CHANDLER KELVIN</v>
      </c>
      <c r="M124" s="6">
        <f t="shared" si="33"/>
        <v>3.7974537037371192E-2</v>
      </c>
      <c r="N124" s="7">
        <f>24*60*SUM($M124:$M125)</f>
        <v>70.016666668234393</v>
      </c>
      <c r="O124" s="7"/>
      <c r="P124" s="7"/>
      <c r="Q124" s="23"/>
      <c r="R124" s="23" t="s">
        <v>945</v>
      </c>
      <c r="S124" s="32">
        <f>SUM(U124:U125)/IF(AG124="EC",12,1)</f>
        <v>1</v>
      </c>
      <c r="T124" s="47" t="str">
        <f t="shared" si="50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9</v>
      </c>
      <c r="V12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16:59:44-700',mode:absolute,to:'2017-01-12 19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24" s="49" t="str">
        <f t="shared" si="36"/>
        <v>Y</v>
      </c>
      <c r="X124" s="173">
        <f t="shared" si="49"/>
        <v>1</v>
      </c>
      <c r="Y124" s="64">
        <f t="shared" si="51"/>
        <v>23.296800000000001</v>
      </c>
      <c r="Z124" s="64">
        <f t="shared" si="52"/>
        <v>3.6781999999999999</v>
      </c>
      <c r="AA124" s="64">
        <f t="shared" si="39"/>
        <v>19.618600000000001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40"/>
        <v>0210-12</v>
      </c>
      <c r="AE124" s="87" t="str">
        <f t="shared" si="41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124" s="84" t="str">
        <f t="shared" si="42"/>
        <v>"C:\Program Files (x86)\AstroGrep\AstroGrep.exe" /spath="%USERPROFILE%\AppData\Local\Temp\OnboardLogs" /stypes="app*4019*20170113*" /stext=" 01:.+((SYSTEM_STATE.+slice.+state.+changed )|(ment ac)|(multiple cpu faults)|(system.+state.+changed )|(\[timeout)|(PRM\|1\|D)|(kpr)|(kdp)|(\|lc)|(penalty))" /e /r /s</v>
      </c>
      <c r="AG124" s="1" t="str">
        <f t="shared" si="53"/>
        <v>EC</v>
      </c>
      <c r="AH124" s="88" t="str">
        <f t="shared" si="44"/>
        <v>"%USERPROFILE%\Documents\GitHub\eaglep3\Utilities\RefineRTDCRunTimes.py" --tripid 210-12 --locoid 4019 --swversion DE.1.0.8.0 --startMP 204:232968 --initTime 2017-01-12T17:59:44 --startdatetime 2017-01-12T18:01:41 --delay 1 --endMP 204:36782 --enddatetime 2017-01-12T18:56:22 --enforcementcount 0 &gt;&gt;C:\Users\stu\Documents\GitHub\eaglep3-reporting\EC\2017-01-12-refined-times.txt</v>
      </c>
      <c r="AI124" s="115" t="str">
        <f t="shared" si="45"/>
        <v>echo {"issue":{"subject":"Mechanical issue","project_id":79,"tracker_id":40,"status_id":1,"priority_id":2,"assigned_to_id":23,"start_date":"2017-01-12","description":"","custom_fields":[{"id":1,"name":"Subdivision","value":"EC"},{"id":4,"name":"Milepost","value":"3.6782"},{"id":17,"name":"Train ID","value":"210-12"},{"id":16,"name":"Locomotive ID","value":"4019"},{"id":130,"name":"Impact","value":""},{"id":150,"name":"Time of Event (Mountain Time)","value":"18:56:22"},{"id":151,"name":"Denver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6"/>
        <v>start /low /b %USERPROFILE%\Documents\GitHub\eaglep3\Utilities\DownloadLogsFromS3.py --loco 4019 --day 2017-01-12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699</v>
      </c>
      <c r="B125" s="7">
        <v>4019</v>
      </c>
      <c r="C125" s="22" t="s">
        <v>201</v>
      </c>
      <c r="D125" s="22" t="s">
        <v>808</v>
      </c>
      <c r="E125" s="13">
        <v>42747.792083333334</v>
      </c>
      <c r="F125" s="13">
        <v>42747.793078703704</v>
      </c>
      <c r="G125" s="7">
        <v>1</v>
      </c>
      <c r="H125" s="22" t="s">
        <v>809</v>
      </c>
      <c r="I125" s="13">
        <v>42747.803726851853</v>
      </c>
      <c r="J125" s="7">
        <v>0</v>
      </c>
      <c r="K125" s="105" t="str">
        <f t="shared" si="32"/>
        <v>4019/4020</v>
      </c>
      <c r="L125" s="22" t="str">
        <f>VLOOKUP(A125,'Trips&amp;Operators'!$C$1:$G$99999,5,FALSE)</f>
        <v>CHANDLER KELVIN</v>
      </c>
      <c r="M125" s="6">
        <f t="shared" si="33"/>
        <v>1.0648148148902692E-2</v>
      </c>
      <c r="N125" s="7"/>
      <c r="O125" s="7"/>
      <c r="P125" s="7"/>
      <c r="Q125" s="23"/>
      <c r="R125" s="23"/>
      <c r="S125" s="32"/>
      <c r="T125" s="47" t="str">
        <f t="shared" si="50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18:00:36-700',mode:absolute,to:'2017-01-12 20:17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25" s="49" t="str">
        <f t="shared" si="36"/>
        <v>Y</v>
      </c>
      <c r="X125" s="173">
        <f t="shared" si="49"/>
        <v>0</v>
      </c>
      <c r="Y125" s="64">
        <f t="shared" si="51"/>
        <v>3.6789999999999998</v>
      </c>
      <c r="Z125" s="64">
        <f t="shared" si="52"/>
        <v>0.1167</v>
      </c>
      <c r="AA125" s="64">
        <f t="shared" si="39"/>
        <v>3.5623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40"/>
        <v>0210-12</v>
      </c>
      <c r="AE125" s="87" t="str">
        <f t="shared" si="41"/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AF125" s="84" t="str">
        <f t="shared" si="42"/>
        <v>"C:\Program Files (x86)\AstroGrep\AstroGrep.exe" /spath="%USERPROFILE%\AppData\Local\Temp\OnboardLogs" /stypes="app*4019*20170113*" /stext=" 02:.+((SYSTEM_STATE.+slice.+state.+changed )|(ment ac)|(multiple cpu faults)|(system.+state.+changed )|(\[timeout)|(PRM\|1\|D)|(kpr)|(kdp)|(\|lc)|(penalty))" /e /r /s</v>
      </c>
      <c r="AG125" s="1" t="str">
        <f t="shared" si="53"/>
        <v>EC</v>
      </c>
      <c r="AH125" s="88" t="str">
        <f t="shared" si="44"/>
        <v>"%USERPROFILE%\Documents\GitHub\eaglep3\Utilities\RefineRTDCRunTimes.py" --tripid 210-12 --locoid 4019 --swversion DE.1.0.8.0 --startMP 204:36790 --initTime 2017-01-12T19:00:36 --startdatetime 2017-01-12T19:02:02 --delay 1 --endMP 204:1167 --enddatetime 2017-01-12T19:17:22 --enforcementcount 0 &gt;&gt;C:\Users\stu\Documents\GitHub\eaglep3-reporting\EC\2017-01-12-refined-times.txt</v>
      </c>
      <c r="AI12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{"issue":{"subject":"","project_id":79,"tracker_id":40,"status_id":1,"priority_id":2,"assigned_to_id":23,"start_date":"2017-01-12","description":"","custom_fields":[{"id":1,"name":"Subdivision","value":"EC"},{"id":4,"name":"Milepost","value":"0.1167"},{"id":17,"name":"Train ID","value":"210-12"},{"id":16,"name":"Locomotive ID","value":"4019"},{"id":130,"name":"Impact","value":""},{"id":150,"name":"Time of Event (Mountain Time)","value":"19:17:22"},{"id":151,"name":"Denver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6"/>
        <v>start /low /b %USERPROFILE%\Documents\GitHub\eaglep3\Utilities\DownloadLogsFromS3.py --loco 4019 --day 2017-01-12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690</v>
      </c>
      <c r="B126" s="7">
        <v>4011</v>
      </c>
      <c r="C126" s="22" t="s">
        <v>201</v>
      </c>
      <c r="D126" s="22" t="s">
        <v>237</v>
      </c>
      <c r="E126" s="13">
        <v>42747.728414351855</v>
      </c>
      <c r="F126" s="13">
        <v>42747.730405092596</v>
      </c>
      <c r="G126" s="7">
        <v>2</v>
      </c>
      <c r="H126" s="22" t="s">
        <v>286</v>
      </c>
      <c r="I126" s="13">
        <v>42747.756874999999</v>
      </c>
      <c r="J126" s="7">
        <v>0</v>
      </c>
      <c r="K126" s="105" t="str">
        <f t="shared" si="32"/>
        <v>4011/4012</v>
      </c>
      <c r="L126" s="22" t="str">
        <f>VLOOKUP(A126,'Trips&amp;Operators'!$C$1:$G$99999,5,FALSE)</f>
        <v>ARVIDSON DANIEL</v>
      </c>
      <c r="M126" s="6">
        <f t="shared" si="33"/>
        <v>2.6469907403225079E-2</v>
      </c>
      <c r="N126" s="7">
        <f>24*60*SUM($M126:$M126)</f>
        <v>38.116666660644114</v>
      </c>
      <c r="O126" s="7"/>
      <c r="P126" s="7"/>
      <c r="Q126" s="23"/>
      <c r="R126" s="23"/>
      <c r="S126" s="32">
        <f t="shared" ref="S126:S135" si="54">SUM(U126:U126)/IF(AG126="EC",12,1)</f>
        <v>1</v>
      </c>
      <c r="T126" s="47" t="str">
        <f t="shared" si="50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16:28:55-700',mode:absolute,to:'2017-01-12 19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36"/>
        <v>N</v>
      </c>
      <c r="X126" s="173">
        <f t="shared" si="49"/>
        <v>1</v>
      </c>
      <c r="Y126" s="64">
        <f t="shared" si="51"/>
        <v>4.53E-2</v>
      </c>
      <c r="Z126" s="64">
        <f t="shared" si="52"/>
        <v>23.330100000000002</v>
      </c>
      <c r="AA126" s="64">
        <f t="shared" si="39"/>
        <v>23.284800000000001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40"/>
        <v>0211-12</v>
      </c>
      <c r="AE126" s="87" t="str">
        <f t="shared" si="41"/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AF126" s="84" t="str">
        <f t="shared" si="42"/>
        <v>"C:\Program Files (x86)\AstroGrep\AstroGrep.exe" /spath="%USERPROFILE%\AppData\Local\Temp\OnboardLogs" /stypes="app*4011*20170113*" /stext=" 01:.+((SYSTEM_STATE.+slice.+state.+changed )|(ment ac)|(multiple cpu faults)|(system.+state.+changed )|(\[timeout)|(PRM\|1\|D)|(kpr)|(kdp)|(\|lc)|(penalty))" /e /r /s</v>
      </c>
      <c r="AG126" s="1" t="str">
        <f t="shared" si="53"/>
        <v>EC</v>
      </c>
      <c r="AH126" s="88" t="str">
        <f t="shared" si="44"/>
        <v>"%USERPROFILE%\Documents\GitHub\eaglep3\Utilities\RefineRTDCRunTimes.py" --tripid 211-12 --locoid 4011 --swversion DE.1.0.8.0 --startMP 204:453 --initTime 2017-01-12T17:28:55 --startdatetime 2017-01-12T17:31:47 --delay 2 --endMP 204:233301 --enddatetime 2017-01-12T18:09:54 --enforcementcount 0 &gt;&gt;C:\Users\stu\Documents\GitHub\eaglep3-reporting\EC\2017-01-12-refined-times.txt</v>
      </c>
      <c r="AI126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{"issue":{"subject":"","project_id":79,"tracker_id":40,"status_id":1,"priority_id":2,"assigned_to_id":23,"start_date":"2017-01-12","description":"","custom_fields":[{"id":1,"name":"Subdivision","value":"EC"},{"id":4,"name":"Milepost","value":"23.3301"},{"id":17,"name":"Train ID","value":"211-12"},{"id":16,"name":"Locomotive ID","value":"4011"},{"id":130,"name":"Impact","value":""},{"id":150,"name":"Time of Event (Mountain Time)","value":"18:09:54"},{"id":151,"name":"Denver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6"/>
        <v>start /low /b %USERPROFILE%\Documents\GitHub\eaglep3\Utilities\DownloadLogsFromS3.py --loco 4011 --day 2017-01-12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"%USERPROFILE%\AppData\Local\Temp\OnboardLogs"\RTDC4011\*4011*20170113* | grep -SE "(Enforcement Action)|(\[TIMEOUT)|(CHR.+\|PRM\|1\|D.+(SWITCH|SIGNAL).+UNKNOWN)" - &gt;&gt; 2017-01-12-UncaughtWiMAX.txt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530</v>
      </c>
      <c r="B127" s="7">
        <v>4012</v>
      </c>
      <c r="C127" s="22" t="s">
        <v>201</v>
      </c>
      <c r="D127" s="22" t="s">
        <v>293</v>
      </c>
      <c r="E127" s="13">
        <v>42747.7656712963</v>
      </c>
      <c r="F127" s="13">
        <v>42747.768726851849</v>
      </c>
      <c r="G127" s="7">
        <v>1</v>
      </c>
      <c r="H127" s="22" t="s">
        <v>500</v>
      </c>
      <c r="I127" s="13">
        <v>42747.806111111109</v>
      </c>
      <c r="J127" s="7">
        <v>0</v>
      </c>
      <c r="K127" s="105" t="str">
        <f t="shared" si="32"/>
        <v>4011/4012</v>
      </c>
      <c r="L127" s="22" t="str">
        <f>VLOOKUP(A127,'Trips&amp;Operators'!$C$1:$G$99999,5,FALSE)</f>
        <v>ARVIDSON DANIEL</v>
      </c>
      <c r="M127" s="6">
        <f t="shared" si="33"/>
        <v>3.7384259259852115E-2</v>
      </c>
      <c r="N127" s="7">
        <f>24*60*SUM($M127:$M127)</f>
        <v>53.833333334187046</v>
      </c>
      <c r="O127" s="7"/>
      <c r="P127" s="7"/>
      <c r="Q127" s="23"/>
      <c r="R127" s="23"/>
      <c r="S127" s="32">
        <f t="shared" si="54"/>
        <v>1</v>
      </c>
      <c r="T127" s="47" t="str">
        <f t="shared" si="50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17:22:34-700',mode:absolute,to:'2017-01-12 20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36"/>
        <v>N</v>
      </c>
      <c r="X127" s="173">
        <f t="shared" si="49"/>
        <v>1</v>
      </c>
      <c r="Y127" s="64">
        <f t="shared" si="51"/>
        <v>23.296900000000001</v>
      </c>
      <c r="Z127" s="64">
        <f t="shared" si="52"/>
        <v>9.4299999999999995E-2</v>
      </c>
      <c r="AA127" s="64">
        <f t="shared" si="39"/>
        <v>23.2026</v>
      </c>
      <c r="AB127" s="61" t="str">
        <f>VLOOKUP(A127,Enforcements!$C$7:$K$16,8,0)</f>
        <v>Speed (6)</v>
      </c>
      <c r="AC127" s="57" t="str">
        <f>VLOOKUP(A127,Enforcements!$C$7:$E$16,3,0)</f>
        <v>PERMANENT SPEED RESTRICTION</v>
      </c>
      <c r="AD127" s="58" t="str">
        <f t="shared" si="40"/>
        <v>0212-12</v>
      </c>
      <c r="AE127" s="87" t="str">
        <f t="shared" si="41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127" s="84" t="str">
        <f t="shared" si="42"/>
        <v>"C:\Program Files (x86)\AstroGrep\AstroGrep.exe" /spath="%USERPROFILE%\AppData\Local\Temp\OnboardLogs" /stypes="app*4012*20170113*" /stext=" 02:.+((SYSTEM_STATE.+slice.+state.+changed )|(ment ac)|(multiple cpu faults)|(system.+state.+changed )|(\[timeout)|(PRM\|1\|D)|(kpr)|(kdp)|(\|lc)|(penalty))" /e /r /s</v>
      </c>
      <c r="AG127" s="1" t="str">
        <f t="shared" si="53"/>
        <v>EC</v>
      </c>
      <c r="AH127" s="88" t="str">
        <f t="shared" si="44"/>
        <v>"%USERPROFILE%\Documents\GitHub\eaglep3\Utilities\RefineRTDCRunTimes.py" --tripid 212-12 --locoid 4012 --swversion DE.1.0.8.0 --startMP 204:232969 --initTime 2017-01-12T18:22:34 --startdatetime 2017-01-12T18:26:58 --delay 1 --endMP 204:943 --enddatetime 2017-01-12T19:20:48 --enforcementcount 0 &gt;&gt;C:\Users\stu\Documents\GitHub\eaglep3-reporting\EC\2017-01-12-refined-times.txt</v>
      </c>
      <c r="AI12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{"issue":{"subject":"","project_id":79,"tracker_id":40,"status_id":1,"priority_id":2,"assigned_to_id":23,"start_date":"2017-01-12","description":"","custom_fields":[{"id":1,"name":"Subdivision","value":"EC"},{"id":4,"name":"Milepost","value":"0.0943"},{"id":17,"name":"Train ID","value":"212-12"},{"id":16,"name":"Locomotive ID","value":"4012"},{"id":130,"name":"Impact","value":""},{"id":150,"name":"Time of Event (Mountain Time)","value":"19:20:48"},{"id":151,"name":"Denver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6"/>
        <v>start /low /b %USERPROFILE%\Documents\GitHub\eaglep3\Utilities\DownloadLogsFromS3.py --loco 4012 --day 2017-01-12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"%USERPROFILE%\AppData\Local\Temp\OnboardLogs"\RTDC4012\*4012*20170113* | grep -SE "(Enforcement Action)|(\[TIMEOUT)|(CHR.+\|PRM\|1\|D.+(SWITCH|SIGNAL).+UNKNOWN)" - &gt;&gt; 2017-01-12-UncaughtWiMAX.txt</v>
      </c>
    </row>
    <row r="128" spans="1:91" s="21" customFormat="1" x14ac:dyDescent="0.25">
      <c r="A128" s="34" t="s">
        <v>694</v>
      </c>
      <c r="B128" s="7">
        <v>4031</v>
      </c>
      <c r="C128" s="22" t="s">
        <v>201</v>
      </c>
      <c r="D128" s="22" t="s">
        <v>283</v>
      </c>
      <c r="E128" s="13">
        <v>42747.737511574072</v>
      </c>
      <c r="F128" s="13">
        <v>42747.739733796298</v>
      </c>
      <c r="G128" s="7">
        <v>1</v>
      </c>
      <c r="H128" s="22" t="s">
        <v>477</v>
      </c>
      <c r="I128" s="13">
        <v>42747.764675925922</v>
      </c>
      <c r="J128" s="7">
        <v>0</v>
      </c>
      <c r="K128" s="105" t="str">
        <f t="shared" si="32"/>
        <v>4031/4032</v>
      </c>
      <c r="L128" s="22" t="str">
        <f>VLOOKUP(A128,'Trips&amp;Operators'!$C$1:$G$99999,5,FALSE)</f>
        <v>NEWELL JAMES</v>
      </c>
      <c r="M128" s="6">
        <f t="shared" si="33"/>
        <v>2.4942129624832887E-2</v>
      </c>
      <c r="N128" s="7">
        <f>24*60*SUM($M128:$M128)</f>
        <v>35.916666659759358</v>
      </c>
      <c r="O128" s="7"/>
      <c r="P128" s="7"/>
      <c r="Q128" s="23"/>
      <c r="R128" s="23"/>
      <c r="S128" s="32">
        <f t="shared" si="54"/>
        <v>1</v>
      </c>
      <c r="T128" s="47" t="str">
        <f t="shared" si="50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16:42:01-700',mode:absolute,to:'2017-01-12 19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28" s="49" t="str">
        <f t="shared" si="36"/>
        <v>N</v>
      </c>
      <c r="X128" s="173">
        <f t="shared" si="49"/>
        <v>1</v>
      </c>
      <c r="Y128" s="64">
        <f t="shared" si="51"/>
        <v>4.6899999999999997E-2</v>
      </c>
      <c r="Z128" s="64">
        <f t="shared" si="52"/>
        <v>23.333100000000002</v>
      </c>
      <c r="AA128" s="64">
        <f t="shared" si="39"/>
        <v>23.286200000000001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40"/>
        <v>0213-12</v>
      </c>
      <c r="AE128" s="87" t="str">
        <f t="shared" si="41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28" s="84" t="str">
        <f t="shared" si="42"/>
        <v>"C:\Program Files (x86)\AstroGrep\AstroGrep.exe" /spath="%USERPROFILE%\AppData\Local\Temp\OnboardLogs" /stypes="app*4031*20170113*" /stext=" 01:.+((SYSTEM_STATE.+slice.+state.+changed )|(ment ac)|(multiple cpu faults)|(system.+state.+changed )|(\[timeout)|(PRM\|1\|D)|(kpr)|(kdp)|(\|lc)|(penalty))" /e /r /s</v>
      </c>
      <c r="AG128" s="1" t="str">
        <f t="shared" si="53"/>
        <v>EC</v>
      </c>
      <c r="AH128" s="88" t="str">
        <f t="shared" si="44"/>
        <v>"%USERPROFILE%\Documents\GitHub\eaglep3\Utilities\RefineRTDCRunTimes.py" --tripid 213-12 --locoid 4031 --swversion DE.1.0.8.0 --startMP 204:469 --initTime 2017-01-12T17:42:01 --startdatetime 2017-01-12T17:45:13 --delay 1 --endMP 204:233331 --enddatetime 2017-01-12T18:21:08 --enforcementcount 0 &gt;&gt;C:\Users\stu\Documents\GitHub\eaglep3-reporting\EC\2017-01-12-refined-times.txt</v>
      </c>
      <c r="AI12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{"issue":{"subject":"","project_id":79,"tracker_id":40,"status_id":1,"priority_id":2,"assigned_to_id":23,"start_date":"2017-01-12","description":"","custom_fields":[{"id":1,"name":"Subdivision","value":"EC"},{"id":4,"name":"Milepost","value":"23.3331"},{"id":17,"name":"Train ID","value":"213-12"},{"id":16,"name":"Locomotive ID","value":"4031"},{"id":130,"name":"Impact","value":""},{"id":150,"name":"Time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6"/>
        <v>start /low /b %USERPROFILE%\Documents\GitHub\eaglep3\Utilities\DownloadLogsFromS3.py --loco 4031 --day 2017-01-12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707</v>
      </c>
      <c r="B129" s="7">
        <v>4032</v>
      </c>
      <c r="C129" s="22" t="s">
        <v>201</v>
      </c>
      <c r="D129" s="22" t="s">
        <v>289</v>
      </c>
      <c r="E129" s="13">
        <v>42747.770162037035</v>
      </c>
      <c r="F129" s="13">
        <v>42747.778668981482</v>
      </c>
      <c r="G129" s="7">
        <v>1</v>
      </c>
      <c r="H129" s="22" t="s">
        <v>304</v>
      </c>
      <c r="I129" s="13">
        <v>42747.809398148151</v>
      </c>
      <c r="J129" s="7">
        <v>0</v>
      </c>
      <c r="K129" s="105" t="str">
        <f t="shared" si="32"/>
        <v>4031/4032</v>
      </c>
      <c r="L129" s="22" t="str">
        <f>VLOOKUP(A129,'Trips&amp;Operators'!$C$1:$G$99999,5,FALSE)</f>
        <v>NEWELL JAMES</v>
      </c>
      <c r="M129" s="6">
        <f t="shared" si="33"/>
        <v>3.0729166668606922E-2</v>
      </c>
      <c r="N129" s="7">
        <f>24*60*SUM($M129:$M129)</f>
        <v>44.250000002793968</v>
      </c>
      <c r="O129" s="7"/>
      <c r="P129" s="7"/>
      <c r="Q129" s="23"/>
      <c r="R129" s="23"/>
      <c r="S129" s="32">
        <f t="shared" si="54"/>
        <v>1</v>
      </c>
      <c r="T129" s="47" t="str">
        <f t="shared" si="50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17:29:02-700',mode:absolute,to:'2017-01-12 20:25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29" s="49" t="str">
        <f t="shared" si="36"/>
        <v>N</v>
      </c>
      <c r="X129" s="173">
        <f t="shared" si="49"/>
        <v>1</v>
      </c>
      <c r="Y129" s="64">
        <f t="shared" si="51"/>
        <v>23.300599999999999</v>
      </c>
      <c r="Z129" s="64">
        <f t="shared" si="52"/>
        <v>1.61E-2</v>
      </c>
      <c r="AA129" s="64">
        <f t="shared" si="39"/>
        <v>23.284499999999998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40"/>
        <v>0214-12</v>
      </c>
      <c r="AE129" s="87" t="str">
        <f t="shared" si="41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129" s="84" t="str">
        <f t="shared" si="42"/>
        <v>"C:\Program Files (x86)\AstroGrep\AstroGrep.exe" /spath="%USERPROFILE%\AppData\Local\Temp\OnboardLogs" /stypes="app*4032*20170113*" /stext=" 02:.+((SYSTEM_STATE.+slice.+state.+changed )|(ment ac)|(multiple cpu faults)|(system.+state.+changed )|(\[timeout)|(PRM\|1\|D)|(kpr)|(kdp)|(\|lc)|(penalty))" /e /r /s</v>
      </c>
      <c r="AG129" s="1" t="str">
        <f t="shared" si="53"/>
        <v>EC</v>
      </c>
      <c r="AH129" s="88" t="str">
        <f t="shared" si="44"/>
        <v>"%USERPROFILE%\Documents\GitHub\eaglep3\Utilities\RefineRTDCRunTimes.py" --tripid 214-12 --locoid 4032 --swversion DE.1.0.8.0 --startMP 204:233006 --initTime 2017-01-12T18:29:02 --startdatetime 2017-01-12T18:41:17 --delay 1 --endMP 204:161 --enddatetime 2017-01-12T19:25:32 --enforcementcount 0 &gt;&gt;C:\Users\stu\Documents\GitHub\eaglep3-reporting\EC\2017-01-12-refined-times.txt</v>
      </c>
      <c r="AI12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{"issue":{"subject":"","project_id":79,"tracker_id":40,"status_id":1,"priority_id":2,"assigned_to_id":23,"start_date":"2017-01-12","description":"","custom_fields":[{"id":1,"name":"Subdivision","value":"EC"},{"id":4,"name":"Milepost","value":"0.0161"},{"id":17,"name":"Train ID","value":"214-12"},{"id":16,"name":"Locomotive ID","value":"4032"},{"id":130,"name":"Impact","value":""},{"id":150,"name":"Time of Event (Mountain Time)","value":"19:25:32"},{"id":151,"name":"Denver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6"/>
        <v>start /low /b %USERPROFILE%\Documents\GitHub\eaglep3\Utilities\DownloadLogsFromS3.py --loco 4032 --day 2017-01-12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2017-01-12-UncaughtWiMAX.txt</v>
      </c>
    </row>
    <row r="130" spans="1:91" s="21" customFormat="1" x14ac:dyDescent="0.25">
      <c r="A130" s="34" t="s">
        <v>698</v>
      </c>
      <c r="B130" s="7">
        <v>4014</v>
      </c>
      <c r="C130" s="22" t="s">
        <v>201</v>
      </c>
      <c r="D130" s="22" t="s">
        <v>238</v>
      </c>
      <c r="E130" s="13">
        <v>42747.747175925928</v>
      </c>
      <c r="F130" s="13">
        <v>42747.750219907408</v>
      </c>
      <c r="G130" s="7">
        <v>1</v>
      </c>
      <c r="H130" s="22" t="s">
        <v>355</v>
      </c>
      <c r="I130" s="13">
        <v>42747.775636574072</v>
      </c>
      <c r="J130" s="7">
        <v>0</v>
      </c>
      <c r="K130" s="105" t="str">
        <f t="shared" si="32"/>
        <v>4013/4014</v>
      </c>
      <c r="L130" s="22" t="str">
        <f>VLOOKUP(A130,'Trips&amp;Operators'!$C$1:$G$99999,5,FALSE)</f>
        <v>SIMMONS SHYHESHA</v>
      </c>
      <c r="M130" s="6">
        <f t="shared" si="33"/>
        <v>2.5416666663659271E-2</v>
      </c>
      <c r="N130" s="7">
        <f>24*60*SUM($M130:$M130)</f>
        <v>36.59999999566935</v>
      </c>
      <c r="O130" s="7"/>
      <c r="P130" s="7"/>
      <c r="Q130" s="23"/>
      <c r="R130" s="23"/>
      <c r="S130" s="32">
        <f t="shared" si="54"/>
        <v>1</v>
      </c>
      <c r="T130" s="47" t="str">
        <f t="shared" si="50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16:55:56-700',mode:absolute,to:'2017-01-12 19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30" s="49" t="str">
        <f t="shared" si="36"/>
        <v>N</v>
      </c>
      <c r="X130" s="173">
        <f t="shared" si="49"/>
        <v>1</v>
      </c>
      <c r="Y130" s="64">
        <f t="shared" si="51"/>
        <v>4.6399999999999997E-2</v>
      </c>
      <c r="Z130" s="64">
        <f t="shared" si="52"/>
        <v>23.330500000000001</v>
      </c>
      <c r="AA130" s="64">
        <f t="shared" si="39"/>
        <v>23.284100000000002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40"/>
        <v>0215-12</v>
      </c>
      <c r="AE130" s="87" t="str">
        <f t="shared" si="41"/>
        <v>aws s3 cp s3://rtdc.mdm.uploadarchive.raw/RTDC4014/ "%USERPROFILE%\AppData\Local\Temp\OnboardLogs"\RTDC4014\2017-01-12 --exclude "*" --recursive --include "*20170112*" &amp; "%USERPROFILE%\Documents\GitHub\mrs-test-scripts\Headless Mode &amp; Sideloading\WalkAndUnGZ.bat" "%USERPROFILE%\AppData\Local\Temp\OnboardLogs"\RTDC4014\2017-01-12 &amp; 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</v>
      </c>
      <c r="AF130" s="84" t="str">
        <f t="shared" si="42"/>
        <v>"C:\Program Files (x86)\AstroGrep\AstroGrep.exe" /spath="%USERPROFILE%\AppData\Local\Temp\OnboardLogs" /stypes="app*4014*20170113*" /stext=" 01:.+((SYSTEM_STATE.+slice.+state.+changed )|(ment ac)|(multiple cpu faults)|(system.+state.+changed )|(\[timeout)|(PRM\|1\|D)|(kpr)|(kdp)|(\|lc)|(penalty))" /e /r /s</v>
      </c>
      <c r="AG130" s="1" t="str">
        <f t="shared" si="53"/>
        <v>EC</v>
      </c>
      <c r="AH130" s="88" t="str">
        <f t="shared" si="44"/>
        <v>"%USERPROFILE%\Documents\GitHub\eaglep3\Utilities\RefineRTDCRunTimes.py" --tripid 215-12 --locoid 4014 --swversion DE.1.0.8.0 --startMP 204:464 --initTime 2017-01-12T17:55:56 --startdatetime 2017-01-12T18:00:19 --delay 1 --endMP 204:233305 --enddatetime 2017-01-12T18:36:55 --enforcementcount 0 &gt;&gt;C:\Users\stu\Documents\GitHub\eaglep3-reporting\EC\2017-01-12-refined-times.txt</v>
      </c>
      <c r="AI13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{"issue":{"subject":"","project_id":79,"tracker_id":40,"status_id":1,"priority_id":2,"assigned_to_id":23,"start_date":"2017-01-12","description":"","custom_fields":[{"id":1,"name":"Subdivision","value":"EC"},{"id":4,"name":"Milepost","value":"23.3305"},{"id":17,"name":"Train ID","value":"215-12"},{"id":16,"name":"Locomotive ID","value":"4014"},{"id":130,"name":"Impact","value":""},{"id":150,"name":"Time of Event (Mountain Time)","value":"18:36:55"},{"id":151,"name":"Denver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6"/>
        <v>start /low /b %USERPROFILE%\Documents\GitHub\eaglep3\Utilities\DownloadLogsFromS3.py --loco 4014 --day 2017-01-12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710</v>
      </c>
      <c r="B131" s="7">
        <v>4013</v>
      </c>
      <c r="C131" s="22" t="s">
        <v>201</v>
      </c>
      <c r="D131" s="22" t="s">
        <v>480</v>
      </c>
      <c r="E131" s="13">
        <v>42747.785115740742</v>
      </c>
      <c r="F131" s="13">
        <v>42747.7890625</v>
      </c>
      <c r="G131" s="7">
        <v>1</v>
      </c>
      <c r="H131" s="22" t="s">
        <v>807</v>
      </c>
      <c r="I131" s="13">
        <v>42747.809039351851</v>
      </c>
      <c r="J131" s="7">
        <v>0</v>
      </c>
      <c r="K131" s="105" t="str">
        <f t="shared" si="32"/>
        <v>4013/4014</v>
      </c>
      <c r="L131" s="22" t="str">
        <f>VLOOKUP(A131,'Trips&amp;Operators'!$C$1:$G$99999,5,FALSE)</f>
        <v>SIMMONS SHYHESHA</v>
      </c>
      <c r="M131" s="6">
        <f t="shared" si="33"/>
        <v>1.9976851850515231E-2</v>
      </c>
      <c r="N131" s="7"/>
      <c r="O131" s="7"/>
      <c r="P131" s="7">
        <f>24*60*SUM($M131:$M131)</f>
        <v>28.766666664741933</v>
      </c>
      <c r="Q131" s="23"/>
      <c r="R131" s="23" t="s">
        <v>946</v>
      </c>
      <c r="S131" s="32">
        <f t="shared" si="54"/>
        <v>0.75</v>
      </c>
      <c r="T131" s="47" t="str">
        <f t="shared" si="50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9</v>
      </c>
      <c r="V131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17:50:34-700',mode:absolute,to:'2017-01-12 20:25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31" s="49" t="str">
        <f t="shared" si="36"/>
        <v>Y</v>
      </c>
      <c r="X131" s="173">
        <f t="shared" si="49"/>
        <v>1</v>
      </c>
      <c r="Y131" s="64">
        <f t="shared" si="51"/>
        <v>23.296700000000001</v>
      </c>
      <c r="Z131" s="64">
        <f t="shared" si="52"/>
        <v>3.6781999999999999</v>
      </c>
      <c r="AA131" s="64">
        <f t="shared" si="39"/>
        <v>19.618500000000001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40"/>
        <v>0216-12</v>
      </c>
      <c r="AE131" s="87" t="str">
        <f t="shared" si="41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131" s="84" t="str">
        <f t="shared" si="42"/>
        <v>"C:\Program Files (x86)\AstroGrep\AstroGrep.exe" /spath="%USERPROFILE%\AppData\Local\Temp\OnboardLogs" /stypes="app*4013*20170113*" /stext=" 02:.+((SYSTEM_STATE.+slice.+state.+changed )|(ment ac)|(multiple cpu faults)|(system.+state.+changed )|(\[timeout)|(PRM\|1\|D)|(kpr)|(kdp)|(\|lc)|(penalty))" /e /r /s</v>
      </c>
      <c r="AG131" s="1" t="str">
        <f t="shared" si="53"/>
        <v>EC</v>
      </c>
      <c r="AH131" s="88" t="str">
        <f t="shared" si="44"/>
        <v>"%USERPROFILE%\Documents\GitHub\eaglep3\Utilities\RefineRTDCRunTimes.py" --tripid 216-12 --locoid 4013 --swversion DE.1.0.8.0 --startMP 204:232967 --initTime 2017-01-12T18:50:34 --startdatetime 2017-01-12T18:56:15 --delay 1 --endMP 204:36782 --enddatetime 2017-01-12T19:25:01 --enforcementcount 0 &gt;&gt;C:\Users\stu\Documents\GitHub\eaglep3-reporting\EC\2017-01-12-refined-times.txt</v>
      </c>
      <c r="AI131" s="115" t="str">
        <f t="shared" si="45"/>
        <v>echo {"issue":{"subject":"Banner without braking","project_id":79,"tracker_id":40,"status_id":1,"priority_id":2,"assigned_to_id":23,"start_date":"2017-01-12","description":"","custom_fields":[{"id":1,"name":"Subdivision","value":"EC"},{"id":4,"name":"Milepost","value":"3.6782"},{"id":17,"name":"Train ID","value":"216-12"},{"id":16,"name":"Locomotive ID","value":"4013"},{"id":130,"name":"Impact","value":""},{"id":150,"name":"Time of Event (Mountain Time)","value":"19:25:01"},{"id":151,"name":"Denver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6"/>
        <v>start /low /b %USERPROFILE%\Documents\GitHub\eaglep3\Utilities\DownloadLogsFromS3.py --loco 4013 --day 2017-01-12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703</v>
      </c>
      <c r="B132" s="7">
        <v>4027</v>
      </c>
      <c r="C132" s="22" t="s">
        <v>201</v>
      </c>
      <c r="D132" s="22" t="s">
        <v>238</v>
      </c>
      <c r="E132" s="13">
        <v>42747.76048611111</v>
      </c>
      <c r="F132" s="13">
        <v>42747.762442129628</v>
      </c>
      <c r="G132" s="7">
        <v>1</v>
      </c>
      <c r="H132" s="22" t="s">
        <v>810</v>
      </c>
      <c r="I132" s="13">
        <v>42747.792708333334</v>
      </c>
      <c r="J132" s="7">
        <v>0</v>
      </c>
      <c r="K132" s="105" t="str">
        <f t="shared" si="32"/>
        <v>4027/4028</v>
      </c>
      <c r="L132" s="22" t="str">
        <f>VLOOKUP(A132,'Trips&amp;Operators'!$C$1:$G$99999,5,FALSE)</f>
        <v>HAITHCOX MICHAEL</v>
      </c>
      <c r="M132" s="6">
        <f t="shared" si="33"/>
        <v>3.0266203706560191E-2</v>
      </c>
      <c r="N132" s="7">
        <f>24*60*SUM($M132:$M132)</f>
        <v>43.583333337446675</v>
      </c>
      <c r="O132" s="7"/>
      <c r="P132" s="7"/>
      <c r="Q132" s="23"/>
      <c r="R132" s="23"/>
      <c r="S132" s="32">
        <f t="shared" si="54"/>
        <v>1</v>
      </c>
      <c r="T132" s="47" t="str">
        <f t="shared" si="50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17:15:06-700',mode:absolute,to:'2017-01-12 20:01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32" s="49" t="str">
        <f t="shared" si="36"/>
        <v>N</v>
      </c>
      <c r="X132" s="173">
        <f t="shared" si="49"/>
        <v>1</v>
      </c>
      <c r="Y132" s="64">
        <f t="shared" si="51"/>
        <v>4.6399999999999997E-2</v>
      </c>
      <c r="Z132" s="64">
        <f t="shared" si="52"/>
        <v>23.334599999999998</v>
      </c>
      <c r="AA132" s="64">
        <f t="shared" si="39"/>
        <v>23.2882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40"/>
        <v>0217-12</v>
      </c>
      <c r="AE132" s="87" t="str">
        <f t="shared" si="41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32" s="84" t="str">
        <f t="shared" si="42"/>
        <v>"C:\Program Files (x86)\AstroGrep\AstroGrep.exe" /spath="%USERPROFILE%\AppData\Local\Temp\OnboardLogs" /stypes="app*4027*20170113*" /stext=" 02:.+((SYSTEM_STATE.+slice.+state.+changed )|(ment ac)|(multiple cpu faults)|(system.+state.+changed )|(\[timeout)|(PRM\|1\|D)|(kpr)|(kdp)|(\|lc)|(penalty))" /e /r /s</v>
      </c>
      <c r="AG132" s="1" t="str">
        <f t="shared" si="53"/>
        <v>EC</v>
      </c>
      <c r="AH132" s="88" t="str">
        <f t="shared" si="44"/>
        <v>"%USERPROFILE%\Documents\GitHub\eaglep3\Utilities\RefineRTDCRunTimes.py" --tripid 217-12 --locoid 4027 --swversion DE.1.0.8.0 --startMP 204:464 --initTime 2017-01-12T18:15:06 --startdatetime 2017-01-12T18:17:55 --delay 1 --endMP 204:233346 --enddatetime 2017-01-12T19:01:30 --enforcementcount 0 &gt;&gt;C:\Users\stu\Documents\GitHub\eaglep3-reporting\EC\2017-01-12-refined-times.txt</v>
      </c>
      <c r="AI132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{"issue":{"subject":"","project_id":79,"tracker_id":40,"status_id":1,"priority_id":2,"assigned_to_id":23,"start_date":"2017-01-12","description":"","custom_fields":[{"id":1,"name":"Subdivision","value":"EC"},{"id":4,"name":"Milepost","value":"23.3346"},{"id":17,"name":"Train ID","value":"217-12"},{"id":16,"name":"Locomotive ID","value":"4027"},{"id":130,"name":"Impact","value":""},{"id":150,"name":"Time of Event (Mountain Time)","value":"19:01:30"},{"id":151,"name":"Denver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6"/>
        <v>start /low /b %USERPROFILE%\Documents\GitHub\eaglep3\Utilities\DownloadLogsFromS3.py --loco 4027 --day 2017-01-12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713</v>
      </c>
      <c r="B133" s="7">
        <v>4028</v>
      </c>
      <c r="C133" s="22" t="s">
        <v>201</v>
      </c>
      <c r="D133" s="22" t="s">
        <v>485</v>
      </c>
      <c r="E133" s="13">
        <v>42747.796134259261</v>
      </c>
      <c r="F133" s="13">
        <v>42747.799513888887</v>
      </c>
      <c r="G133" s="7">
        <v>1</v>
      </c>
      <c r="H133" s="22" t="s">
        <v>260</v>
      </c>
      <c r="I133" s="13">
        <v>42747.827430555553</v>
      </c>
      <c r="J133" s="7">
        <v>0</v>
      </c>
      <c r="K133" s="105" t="str">
        <f t="shared" si="32"/>
        <v>4027/4028</v>
      </c>
      <c r="L133" s="22" t="str">
        <f>VLOOKUP(A133,'Trips&amp;Operators'!$C$1:$G$99999,5,FALSE)</f>
        <v>HAITHCOX MICHAEL</v>
      </c>
      <c r="M133" s="6">
        <f t="shared" si="33"/>
        <v>2.7916666665987577E-2</v>
      </c>
      <c r="N133" s="7">
        <f>24*60*SUM($M133:$M133)</f>
        <v>40.199999999022111</v>
      </c>
      <c r="O133" s="7"/>
      <c r="P133" s="7"/>
      <c r="Q133" s="23"/>
      <c r="R133" s="23"/>
      <c r="S133" s="32">
        <f t="shared" si="54"/>
        <v>1</v>
      </c>
      <c r="T133" s="47" t="str">
        <f t="shared" si="50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18:06:26-700',mode:absolute,to:'2017-01-12 20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33" s="49" t="str">
        <f t="shared" si="36"/>
        <v>N</v>
      </c>
      <c r="X133" s="173">
        <f t="shared" si="49"/>
        <v>1</v>
      </c>
      <c r="Y133" s="64">
        <f t="shared" si="51"/>
        <v>23.301100000000002</v>
      </c>
      <c r="Z133" s="64">
        <f t="shared" si="52"/>
        <v>1.41E-2</v>
      </c>
      <c r="AA133" s="64">
        <f t="shared" si="39"/>
        <v>23.287000000000003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40"/>
        <v>0218-12</v>
      </c>
      <c r="AE133" s="87" t="str">
        <f t="shared" si="41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133" s="84" t="str">
        <f t="shared" si="42"/>
        <v>"C:\Program Files (x86)\AstroGrep\AstroGrep.exe" /spath="%USERPROFILE%\AppData\Local\Temp\OnboardLogs" /stypes="app*4028*20170113*" /stext=" 02:.+((SYSTEM_STATE.+slice.+state.+changed )|(ment ac)|(multiple cpu faults)|(system.+state.+changed )|(\[timeout)|(PRM\|1\|D)|(kpr)|(kdp)|(\|lc)|(penalty))" /e /r /s</v>
      </c>
      <c r="AG133" s="1" t="str">
        <f t="shared" si="53"/>
        <v>EC</v>
      </c>
      <c r="AH133" s="88" t="str">
        <f t="shared" si="44"/>
        <v>"%USERPROFILE%\Documents\GitHub\eaglep3\Utilities\RefineRTDCRunTimes.py" --tripid 218-12 --locoid 4028 --swversion DE.1.0.8.0 --startMP 204:233011 --initTime 2017-01-12T19:06:26 --startdatetime 2017-01-12T19:11:18 --delay 1 --endMP 204:141 --enddatetime 2017-01-12T19:51:30 --enforcementcount 0 &gt;&gt;C:\Users\stu\Documents\GitHub\eaglep3-reporting\EC\2017-01-12-refined-times.txt</v>
      </c>
      <c r="AI133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{"issue":{"subject":"","project_id":79,"tracker_id":40,"status_id":1,"priority_id":2,"assigned_to_id":23,"start_date":"2017-01-12","description":"","custom_fields":[{"id":1,"name":"Subdivision","value":"EC"},{"id":4,"name":"Milepost","value":"0.0141"},{"id":17,"name":"Train ID","value":"218-12"},{"id":16,"name":"Locomotive ID","value":"4028"},{"id":130,"name":"Impact","value":""},{"id":150,"name":"Time of Event (Mountain Time)","value":"19:51:30"},{"id":151,"name":"Denver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6"/>
        <v>start /low /b %USERPROFILE%\Documents\GitHub\eaglep3\Utilities\DownloadLogsFromS3.py --loco 4028 --day 2017-01-12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"%USERPROFILE%\AppData\Local\Temp\OnboardLogs"\RTDC4028\*4028*20170113* | grep -SE "(Enforcement Action)|(\[TIMEOUT)|(CHR.+\|PRM\|1\|D.+(SWITCH|SIGNAL).+UNKNOWN)" - &gt;&gt; 2017-01-12-UncaughtWiMAX.txt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706</v>
      </c>
      <c r="B134" s="7">
        <v>4022</v>
      </c>
      <c r="C134" s="22" t="s">
        <v>201</v>
      </c>
      <c r="D134" s="22" t="s">
        <v>793</v>
      </c>
      <c r="E134" s="13">
        <v>42747.767743055556</v>
      </c>
      <c r="F134" s="13">
        <v>42747.771157407406</v>
      </c>
      <c r="G134" s="7">
        <v>1</v>
      </c>
      <c r="H134" s="22" t="s">
        <v>482</v>
      </c>
      <c r="I134" s="13">
        <v>42747.795787037037</v>
      </c>
      <c r="J134" s="7">
        <v>0</v>
      </c>
      <c r="K134" s="105" t="str">
        <f t="shared" si="32"/>
        <v>4021/4022</v>
      </c>
      <c r="L134" s="22" t="str">
        <f>VLOOKUP(A134,'Trips&amp;Operators'!$C$1:$G$99999,5,FALSE)</f>
        <v>HILLS DUSTIN</v>
      </c>
      <c r="M134" s="6">
        <f t="shared" si="33"/>
        <v>2.4629629631817807E-2</v>
      </c>
      <c r="N134" s="7">
        <f>24*60*SUM($M134:$M134)</f>
        <v>35.466666669817641</v>
      </c>
      <c r="O134" s="7"/>
      <c r="P134" s="7"/>
      <c r="Q134" s="23"/>
      <c r="R134" s="23"/>
      <c r="S134" s="32">
        <f t="shared" si="54"/>
        <v>1</v>
      </c>
      <c r="T134" s="47" t="str">
        <f t="shared" si="50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17:25:33-700',mode:absolute,to:'2017-01-12 20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34" s="49" t="str">
        <f t="shared" si="36"/>
        <v>N</v>
      </c>
      <c r="X134" s="173">
        <f t="shared" ref="X134:X159" si="55">VALUE(LEFT(AD134,4))-VALUE(LEFT(AD133,4))</f>
        <v>1</v>
      </c>
      <c r="Y134" s="64">
        <f t="shared" si="51"/>
        <v>4.7300000000000002E-2</v>
      </c>
      <c r="Z134" s="64">
        <f t="shared" si="52"/>
        <v>23.337199999999999</v>
      </c>
      <c r="AA134" s="64">
        <f t="shared" si="39"/>
        <v>23.289899999999999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40"/>
        <v>0219-12</v>
      </c>
      <c r="AE134" s="87" t="str">
        <f t="shared" si="41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34" s="84" t="str">
        <f t="shared" si="42"/>
        <v>"C:\Program Files (x86)\AstroGrep\AstroGrep.exe" /spath="%USERPROFILE%\AppData\Local\Temp\OnboardLogs" /stypes="app*4022*20170113*" /stext=" 02:.+((SYSTEM_STATE.+slice.+state.+changed )|(ment ac)|(multiple cpu faults)|(system.+state.+changed )|(\[timeout)|(PRM\|1\|D)|(kpr)|(kdp)|(\|lc)|(penalty))" /e /r /s</v>
      </c>
      <c r="AG134" s="1" t="str">
        <f t="shared" si="53"/>
        <v>EC</v>
      </c>
      <c r="AH134" s="88" t="str">
        <f t="shared" si="44"/>
        <v>"%USERPROFILE%\Documents\GitHub\eaglep3\Utilities\RefineRTDCRunTimes.py" --tripid 219-12 --locoid 4022 --swversion DE.1.0.8.0 --startMP 204:473 --initTime 2017-01-12T18:25:33 --startdatetime 2017-01-12T18:30:28 --delay 1 --endMP 204:233372 --enddatetime 2017-01-12T19:05:56 --enforcementcount 0 &gt;&gt;C:\Users\stu\Documents\GitHub\eaglep3-reporting\EC\2017-01-12-refined-times.txt</v>
      </c>
      <c r="AI134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{"issue":{"subject":"","project_id":79,"tracker_id":40,"status_id":1,"priority_id":2,"assigned_to_id":23,"start_date":"2017-01-12","description":"","custom_fields":[{"id":1,"name":"Subdivision","value":"EC"},{"id":4,"name":"Milepost","value":"23.3372"},{"id":17,"name":"Train ID","value":"219-12"},{"id":16,"name":"Locomotive ID","value":"4022"},{"id":130,"name":"Impact","value":""},{"id":150,"name":"Time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6"/>
        <v>start /low /b %USERPROFILE%\Documents\GitHub\eaglep3\Utilities\DownloadLogsFromS3.py --loco 4022 --day 2017-01-12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"%USERPROFILE%\AppData\Local\Temp\OnboardLogs"\RTDC4022\*4022*20170113* | grep -SE "(Enforcement Action)|(\[TIMEOUT)|(CHR.+\|PRM\|1\|D.+(SWITCH|SIGNAL).+UNKNOWN)" - &gt;&gt; 2017-01-12-UncaughtWiMAX.txt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531</v>
      </c>
      <c r="B135" s="7">
        <v>4021</v>
      </c>
      <c r="C135" s="22" t="s">
        <v>201</v>
      </c>
      <c r="D135" s="22" t="s">
        <v>483</v>
      </c>
      <c r="E135" s="13">
        <v>42747.798877314817</v>
      </c>
      <c r="F135" s="13">
        <v>42747.809884259259</v>
      </c>
      <c r="G135" s="7">
        <v>2</v>
      </c>
      <c r="H135" s="22" t="s">
        <v>260</v>
      </c>
      <c r="I135" s="13">
        <v>42747.836655092593</v>
      </c>
      <c r="J135" s="7">
        <v>0</v>
      </c>
      <c r="K135" s="105" t="str">
        <f t="shared" si="32"/>
        <v>4021/4022</v>
      </c>
      <c r="L135" s="22" t="str">
        <f>VLOOKUP(A135,'Trips&amp;Operators'!$C$1:$G$99999,5,FALSE)</f>
        <v>HILLS DUSTIN</v>
      </c>
      <c r="M135" s="6">
        <f t="shared" si="33"/>
        <v>2.6770833334012423E-2</v>
      </c>
      <c r="N135" s="7">
        <f>24*60*SUM($M135:$M135)</f>
        <v>38.550000000977889</v>
      </c>
      <c r="O135" s="7"/>
      <c r="P135" s="7"/>
      <c r="Q135" s="23"/>
      <c r="R135" s="23"/>
      <c r="S135" s="32">
        <f t="shared" si="54"/>
        <v>1</v>
      </c>
      <c r="T135" s="47" t="str">
        <f t="shared" si="50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18:10:23-700',mode:absolute,to:'2017-01-12 21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35" s="49" t="str">
        <f t="shared" si="36"/>
        <v>N</v>
      </c>
      <c r="X135" s="173">
        <f t="shared" si="55"/>
        <v>1</v>
      </c>
      <c r="Y135" s="64">
        <f t="shared" si="51"/>
        <v>23.305499999999999</v>
      </c>
      <c r="Z135" s="64">
        <f t="shared" si="52"/>
        <v>1.41E-2</v>
      </c>
      <c r="AA135" s="64">
        <f t="shared" si="39"/>
        <v>23.291399999999999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40"/>
        <v>0220-12</v>
      </c>
      <c r="AE135" s="87" t="str">
        <f t="shared" si="41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135" s="84" t="str">
        <f t="shared" si="42"/>
        <v>"C:\Program Files (x86)\AstroGrep\AstroGrep.exe" /spath="%USERPROFILE%\AppData\Local\Temp\OnboardLogs" /stypes="app*4021*20170113*" /stext=" 03:.+((SYSTEM_STATE.+slice.+state.+changed )|(ment ac)|(multiple cpu faults)|(system.+state.+changed )|(\[timeout)|(PRM\|1\|D)|(kpr)|(kdp)|(\|lc)|(penalty))" /e /r /s</v>
      </c>
      <c r="AG135" s="1" t="str">
        <f t="shared" si="53"/>
        <v>EC</v>
      </c>
      <c r="AH135" s="88" t="str">
        <f t="shared" si="44"/>
        <v>"%USERPROFILE%\Documents\GitHub\eaglep3\Utilities\RefineRTDCRunTimes.py" --tripid 220-12 --locoid 4021 --swversion DE.1.0.8.0 --startMP 204:233055 --initTime 2017-01-12T19:10:23 --startdatetime 2017-01-12T19:26:14 --delay 2 --endMP 204:141 --enddatetime 2017-01-12T20:04:47 --enforcementcount 0 &gt;&gt;C:\Users\stu\Documents\GitHub\eaglep3-reporting\EC\2017-01-12-refined-times.txt</v>
      </c>
      <c r="AI135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{"issue":{"subject":"","project_id":79,"tracker_id":40,"status_id":1,"priority_id":2,"assigned_to_id":23,"start_date":"2017-01-12","description":"","custom_fields":[{"id":1,"name":"Subdivision","value":"EC"},{"id":4,"name":"Milepost","value":"0.0141"},{"id":17,"name":"Train ID","value":"220-12"},{"id":16,"name":"Locomotive ID","value":"4021"},{"id":130,"name":"Impact","value":""},{"id":150,"name":"Time of Event (Mountain Time)","value":"20:04:47"},{"id":151,"name":"Denver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6"/>
        <v>start /low /b %USERPROFILE%\Documents\GitHub\eaglep3\Utilities\DownloadLogsFromS3.py --loco 4021 --day 2017-01-12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529</v>
      </c>
      <c r="B136" s="7">
        <v>4003</v>
      </c>
      <c r="C136" s="22" t="s">
        <v>201</v>
      </c>
      <c r="D136" s="22" t="s">
        <v>811</v>
      </c>
      <c r="E136" s="13">
        <v>42747.795914351853</v>
      </c>
      <c r="F136" s="13">
        <v>42747.796875</v>
      </c>
      <c r="G136" s="7">
        <v>1</v>
      </c>
      <c r="H136" s="22" t="s">
        <v>812</v>
      </c>
      <c r="I136" s="13">
        <v>42747.798576388886</v>
      </c>
      <c r="J136" s="7">
        <v>1</v>
      </c>
      <c r="K136" s="105" t="str">
        <f t="shared" si="32"/>
        <v>4003/4004</v>
      </c>
      <c r="L136" s="22" t="str">
        <f>VLOOKUP(A136,'Trips&amp;Operators'!$C$1:$G$99999,5,FALSE)</f>
        <v>MACDONALD THOMAS</v>
      </c>
      <c r="M136" s="6">
        <f t="shared" si="33"/>
        <v>1.7013888864312321E-3</v>
      </c>
      <c r="N136" s="7"/>
      <c r="O136" s="7"/>
      <c r="P136" s="7">
        <f>24*60*SUM($M136:$M138)</f>
        <v>39.816666670376435</v>
      </c>
      <c r="Q136" s="23"/>
      <c r="R136" s="23" t="s">
        <v>947</v>
      </c>
      <c r="S136" s="32">
        <f>SUM(U136:U138)/IF(AG136="EC",12,1)</f>
        <v>1</v>
      </c>
      <c r="T136" s="47" t="str">
        <f t="shared" si="50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18:06:07-700',mode:absolute,to:'2017-01-12 20:09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36" s="49" t="str">
        <f t="shared" si="36"/>
        <v>Y</v>
      </c>
      <c r="X136" s="173">
        <f t="shared" si="55"/>
        <v>1</v>
      </c>
      <c r="Y136" s="64">
        <f t="shared" si="51"/>
        <v>0.14829999999999999</v>
      </c>
      <c r="Z136" s="64">
        <f t="shared" si="52"/>
        <v>0.19040000000000001</v>
      </c>
      <c r="AA136" s="64">
        <f t="shared" si="39"/>
        <v>4.2100000000000026E-2</v>
      </c>
      <c r="AB136" s="61" t="str">
        <f>VLOOKUP(A136,Enforcements!$C$7:$K$16,8,0)</f>
        <v>Signal based authority (5)</v>
      </c>
      <c r="AC136" s="57" t="str">
        <f>VLOOKUP(A136,Enforcements!$C$7:$E$16,3,0)</f>
        <v>SIGNAL</v>
      </c>
      <c r="AD136" s="58" t="str">
        <f t="shared" si="40"/>
        <v>0221-12</v>
      </c>
      <c r="AE136" s="87" t="str">
        <f t="shared" si="41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136" s="84" t="str">
        <f t="shared" si="42"/>
        <v>"C:\Program Files (x86)\AstroGrep\AstroGrep.exe" /spath="%USERPROFILE%\AppData\Local\Temp\OnboardLogs" /stypes="app*4003*20170113*" /stext=" 02:.+((SYSTEM_STATE.+slice.+state.+changed )|(ment ac)|(multiple cpu faults)|(system.+state.+changed )|(\[timeout)|(PRM\|1\|D)|(kpr)|(kdp)|(\|lc)|(penalty))" /e /r /s</v>
      </c>
      <c r="AG136" s="1" t="str">
        <f t="shared" si="53"/>
        <v>EC</v>
      </c>
      <c r="AH136" s="88" t="str">
        <f t="shared" si="44"/>
        <v>"%USERPROFILE%\Documents\GitHub\eaglep3\Utilities\RefineRTDCRunTimes.py" --tripid 221-12 --locoid 4003 --swversion DE.1.0.8.0 --startMP 204:1483 --initTime 2017-01-12T19:06:07 --startdatetime 2017-01-12T19:07:30 --delay 1 --endMP 204:1904 --enddatetime 2017-01-12T19:09:57 --enforcementcount 1 &gt;&gt;C:\Users\stu\Documents\GitHub\eaglep3-reporting\EC\2017-01-12-refined-times.txt</v>
      </c>
      <c r="AI136" s="115" t="str">
        <f t="shared" si="45"/>
        <v>echo {"issue":{"subject":"Main 3 departure","project_id":79,"tracker_id":40,"status_id":1,"priority_id":2,"assigned_to_id":23,"start_date":"2017-01-12","description":"","custom_fields":[{"id":1,"name":"Subdivision","value":"EC"},{"id":4,"name":"Milepost","value":"0.1904"},{"id":17,"name":"Train ID","value":"221-12"},{"id":16,"name":"Locomotive ID","value":"4003"},{"id":130,"name":"Impact","value":""},{"id":150,"name":"Time of Event (Mountain Time)","value":"19:09:57"},{"id":151,"name":"Denver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6"/>
        <v>start /low /b %USERPROFILE%\Documents\GitHub\eaglep3\Utilities\DownloadLogsFromS3.py --loco 4003 --day 2017-01-12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529</v>
      </c>
      <c r="B137" s="7">
        <v>4003</v>
      </c>
      <c r="C137" s="22" t="s">
        <v>201</v>
      </c>
      <c r="D137" s="22" t="s">
        <v>813</v>
      </c>
      <c r="E137" s="13">
        <v>42747.806400462963</v>
      </c>
      <c r="F137" s="13">
        <v>42747.807083333333</v>
      </c>
      <c r="G137" s="7">
        <v>0</v>
      </c>
      <c r="H137" s="22" t="s">
        <v>814</v>
      </c>
      <c r="I137" s="13">
        <v>42747.829664351855</v>
      </c>
      <c r="J137" s="7">
        <v>1</v>
      </c>
      <c r="K137" s="105" t="str">
        <f t="shared" si="32"/>
        <v>4003/4004</v>
      </c>
      <c r="L137" s="22" t="str">
        <f>VLOOKUP(A137,'Trips&amp;Operators'!$C$1:$G$99999,5,FALSE)</f>
        <v>MACDONALD THOMAS</v>
      </c>
      <c r="M137" s="6">
        <f t="shared" si="33"/>
        <v>2.2581018522032537E-2</v>
      </c>
      <c r="N137" s="7"/>
      <c r="O137" s="7"/>
      <c r="P137" s="7"/>
      <c r="Q137" s="23"/>
      <c r="R137" s="23"/>
      <c r="S137" s="32"/>
      <c r="T137" s="47" t="str">
        <f t="shared" si="50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18:21:13-700',mode:absolute,to:'2017-01-12 20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37" s="49" t="str">
        <f t="shared" si="36"/>
        <v>Y</v>
      </c>
      <c r="X137" s="173">
        <f t="shared" si="55"/>
        <v>0</v>
      </c>
      <c r="Y137" s="64">
        <f t="shared" si="51"/>
        <v>1.9145000000000001</v>
      </c>
      <c r="Z137" s="64">
        <f t="shared" si="52"/>
        <v>23.331099999999999</v>
      </c>
      <c r="AA137" s="64">
        <f t="shared" si="39"/>
        <v>21.416599999999999</v>
      </c>
      <c r="AB137" s="61" t="str">
        <f>VLOOKUP(A137,Enforcements!$C$7:$K$16,8,0)</f>
        <v>Signal based authority (5)</v>
      </c>
      <c r="AC137" s="57" t="str">
        <f>VLOOKUP(A137,Enforcements!$C$7:$E$16,3,0)</f>
        <v>SIGNAL</v>
      </c>
      <c r="AD137" s="58" t="str">
        <f t="shared" si="40"/>
        <v>0221-12</v>
      </c>
      <c r="AE137" s="87" t="str">
        <f t="shared" si="41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137" s="84" t="str">
        <f t="shared" si="42"/>
        <v>"C:\Program Files (x86)\AstroGrep\AstroGrep.exe" /spath="%USERPROFILE%\AppData\Local\Temp\OnboardLogs" /stypes="app*4003*20170113*" /stext=" 02:.+((SYSTEM_STATE.+slice.+state.+changed )|(ment ac)|(multiple cpu faults)|(system.+state.+changed )|(\[timeout)|(PRM\|1\|D)|(kpr)|(kdp)|(\|lc)|(penalty))" /e /r /s</v>
      </c>
      <c r="AG137" s="1" t="str">
        <f t="shared" si="53"/>
        <v>EC</v>
      </c>
      <c r="AH137" s="88" t="str">
        <f t="shared" si="44"/>
        <v>"%USERPROFILE%\Documents\GitHub\eaglep3\Utilities\RefineRTDCRunTimes.py" --tripid 221-12 --locoid 4003 --swversion DE.1.0.8.0 --startMP 204:19145 --initTime 2017-01-12T19:21:13 --startdatetime 2017-01-12T19:22:12 --delay 0 --endMP 204:233311 --enddatetime 2017-01-12T19:54:43 --enforcementcount 1 &gt;&gt;C:\Users\stu\Documents\GitHub\eaglep3-reporting\EC\2017-01-12-refined-times.txt</v>
      </c>
      <c r="AI137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{"issue":{"subject":"","project_id":79,"tracker_id":40,"status_id":1,"priority_id":2,"assigned_to_id":23,"start_date":"2017-01-12","description":"","custom_fields":[{"id":1,"name":"Subdivision","value":"EC"},{"id":4,"name":"Milepost","value":"23.3311"},{"id":17,"name":"Train ID","value":"221-12"},{"id":16,"name":"Locomotive ID","value":"4003"},{"id":130,"name":"Impact","value":""},{"id":150,"name":"Time of Event (Mountain Time)","value":"19:54:43"},{"id":151,"name":"Denver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6"/>
        <v>start /low /b %USERPROFILE%\Documents\GitHub\eaglep3\Utilities\DownloadLogsFromS3.py --loco 4003 --day 2017-01-12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529</v>
      </c>
      <c r="B138" s="7">
        <v>4003</v>
      </c>
      <c r="C138" s="22" t="s">
        <v>201</v>
      </c>
      <c r="D138" s="22" t="s">
        <v>815</v>
      </c>
      <c r="E138" s="13">
        <v>42747.800104166665</v>
      </c>
      <c r="F138" s="13">
        <v>42747.80091435185</v>
      </c>
      <c r="G138" s="7">
        <v>1</v>
      </c>
      <c r="H138" s="22" t="s">
        <v>816</v>
      </c>
      <c r="I138" s="13">
        <v>42747.804282407407</v>
      </c>
      <c r="J138" s="7">
        <v>0</v>
      </c>
      <c r="K138" s="105" t="str">
        <f t="shared" si="32"/>
        <v>4003/4004</v>
      </c>
      <c r="L138" s="22" t="str">
        <f>VLOOKUP(A138,'Trips&amp;Operators'!$C$1:$G$99999,5,FALSE)</f>
        <v>MACDONALD THOMAS</v>
      </c>
      <c r="M138" s="6">
        <f t="shared" si="33"/>
        <v>3.3680555570754223E-3</v>
      </c>
      <c r="N138" s="7"/>
      <c r="O138" s="7"/>
      <c r="P138" s="7"/>
      <c r="Q138" s="23"/>
      <c r="R138" s="23"/>
      <c r="S138" s="32"/>
      <c r="T138" s="47" t="str">
        <f t="shared" si="50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18:12:09-700',mode:absolute,to:'2017-01-12 20:18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38" s="49" t="str">
        <f t="shared" si="36"/>
        <v>Y</v>
      </c>
      <c r="X138" s="173">
        <f t="shared" si="55"/>
        <v>0</v>
      </c>
      <c r="Y138" s="64">
        <f t="shared" si="51"/>
        <v>0.34150000000000003</v>
      </c>
      <c r="Z138" s="64">
        <f t="shared" si="52"/>
        <v>0.69989999999999997</v>
      </c>
      <c r="AA138" s="64">
        <f t="shared" si="39"/>
        <v>0.35839999999999994</v>
      </c>
      <c r="AB138" s="61" t="str">
        <f>VLOOKUP(A138,Enforcements!$C$7:$K$16,8,0)</f>
        <v>Signal based authority (5)</v>
      </c>
      <c r="AC138" s="57" t="str">
        <f>VLOOKUP(A138,Enforcements!$C$7:$E$16,3,0)</f>
        <v>SIGNAL</v>
      </c>
      <c r="AD138" s="58" t="str">
        <f t="shared" si="40"/>
        <v>0221-12</v>
      </c>
      <c r="AE138" s="87" t="str">
        <f t="shared" si="41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138" s="84" t="str">
        <f t="shared" si="42"/>
        <v>"C:\Program Files (x86)\AstroGrep\AstroGrep.exe" /spath="%USERPROFILE%\AppData\Local\Temp\OnboardLogs" /stypes="app*4003*20170113*" /stext=" 02:.+((SYSTEM_STATE.+slice.+state.+changed )|(ment ac)|(multiple cpu faults)|(system.+state.+changed )|(\[timeout)|(PRM\|1\|D)|(kpr)|(kdp)|(\|lc)|(penalty))" /e /r /s</v>
      </c>
      <c r="AG138" s="1" t="str">
        <f t="shared" si="53"/>
        <v>EC</v>
      </c>
      <c r="AH138" s="88" t="str">
        <f t="shared" si="44"/>
        <v>"%USERPROFILE%\Documents\GitHub\eaglep3\Utilities\RefineRTDCRunTimes.py" --tripid 221-12 --locoid 4003 --swversion DE.1.0.8.0 --startMP 204:3415 --initTime 2017-01-12T19:12:09 --startdatetime 2017-01-12T19:13:19 --delay 1 --endMP 204:6999 --enddatetime 2017-01-12T19:18:10 --enforcementcount 0 &gt;&gt;C:\Users\stu\Documents\GitHub\eaglep3-reporting\EC\2017-01-12-refined-times.txt</v>
      </c>
      <c r="AI138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{"issue":{"subject":"","project_id":79,"tracker_id":40,"status_id":1,"priority_id":2,"assigned_to_id":23,"start_date":"2017-01-12","description":"","custom_fields":[{"id":1,"name":"Subdivision","value":"EC"},{"id":4,"name":"Milepost","value":"0.6999"},{"id":17,"name":"Train ID","value":"221-12"},{"id":16,"name":"Locomotive ID","value":"4003"},{"id":130,"name":"Impact","value":""},{"id":150,"name":"Time of Event (Mountain Time)","value":"19:18:10"},{"id":151,"name":"Denver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6"/>
        <v>start /low /b %USERPROFILE%\Documents\GitHub\eaglep3\Utilities\DownloadLogsFromS3.py --loco 4003 --day 2017-01-12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725</v>
      </c>
      <c r="B139" s="7">
        <v>4004</v>
      </c>
      <c r="C139" s="22" t="s">
        <v>201</v>
      </c>
      <c r="D139" s="22" t="s">
        <v>249</v>
      </c>
      <c r="E139" s="13">
        <v>42747.832465277781</v>
      </c>
      <c r="F139" s="13">
        <v>42747.833923611113</v>
      </c>
      <c r="G139" s="7">
        <v>1</v>
      </c>
      <c r="H139" s="22" t="s">
        <v>303</v>
      </c>
      <c r="I139" s="13">
        <v>42747.860219907408</v>
      </c>
      <c r="J139" s="7">
        <v>0</v>
      </c>
      <c r="K139" s="105" t="str">
        <f t="shared" si="32"/>
        <v>4003/4004</v>
      </c>
      <c r="L139" s="22" t="str">
        <f>VLOOKUP(A139,'Trips&amp;Operators'!$C$1:$G$99999,5,FALSE)</f>
        <v>MACDONALD THOMAS</v>
      </c>
      <c r="M139" s="6">
        <f t="shared" si="33"/>
        <v>2.6296296295186039E-2</v>
      </c>
      <c r="N139" s="7">
        <f t="shared" ref="N139:N162" si="56">24*60*SUM($M139:$M139)</f>
        <v>37.866666665067896</v>
      </c>
      <c r="O139" s="7"/>
      <c r="P139" s="7"/>
      <c r="Q139" s="23"/>
      <c r="R139" s="23"/>
      <c r="S139" s="32">
        <f t="shared" ref="S139:S159" si="57">SUM(U139:U139)/IF(AG139="EC",12,1)</f>
        <v>1</v>
      </c>
      <c r="T139" s="47" t="str">
        <f t="shared" si="50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18:58:45-700',mode:absolute,to:'2017-01-12 21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39" s="49" t="str">
        <f t="shared" si="36"/>
        <v>N</v>
      </c>
      <c r="X139" s="173">
        <f t="shared" si="55"/>
        <v>1</v>
      </c>
      <c r="Y139" s="64">
        <f t="shared" si="51"/>
        <v>23.2986</v>
      </c>
      <c r="Z139" s="64">
        <f t="shared" si="52"/>
        <v>1.7000000000000001E-2</v>
      </c>
      <c r="AA139" s="64">
        <f t="shared" si="39"/>
        <v>23.281600000000001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40"/>
        <v>0222-12</v>
      </c>
      <c r="AE139" s="87" t="str">
        <f t="shared" si="41"/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AF139" s="84" t="str">
        <f t="shared" si="42"/>
        <v>"C:\Program Files (x86)\AstroGrep\AstroGrep.exe" /spath="%USERPROFILE%\AppData\Local\Temp\OnboardLogs" /stypes="app*4004*20170113*" /stext=" 03:.+((SYSTEM_STATE.+slice.+state.+changed )|(ment ac)|(multiple cpu faults)|(system.+state.+changed )|(\[timeout)|(PRM\|1\|D)|(kpr)|(kdp)|(\|lc)|(penalty))" /e /r /s</v>
      </c>
      <c r="AG139" s="1" t="str">
        <f t="shared" si="53"/>
        <v>EC</v>
      </c>
      <c r="AH139" s="88" t="str">
        <f t="shared" si="44"/>
        <v>"%USERPROFILE%\Documents\GitHub\eaglep3\Utilities\RefineRTDCRunTimes.py" --tripid 222-12 --locoid 4004 --swversion DE.1.0.8.0 --startMP 204:232986 --initTime 2017-01-12T19:58:45 --startdatetime 2017-01-12T20:00:51 --delay 1 --endMP 204:170 --enddatetime 2017-01-12T20:38:43 --enforcementcount 0 &gt;&gt;C:\Users\stu\Documents\GitHub\eaglep3-reporting\EC\2017-01-12-refined-times.txt</v>
      </c>
      <c r="AI139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{"issue":{"subject":"","project_id":79,"tracker_id":40,"status_id":1,"priority_id":2,"assigned_to_id":23,"start_date":"2017-01-12","description":"","custom_fields":[{"id":1,"name":"Subdivision","value":"EC"},{"id":4,"name":"Milepost","value":"0.017"},{"id":17,"name":"Train ID","value":"222-12"},{"id":16,"name":"Locomotive ID","value":"4004"},{"id":130,"name":"Impact","value":""},{"id":150,"name":"Time of Event (Mountain Time)","value":"20:38:43"},{"id":151,"name":"Denver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6"/>
        <v>start /low /b %USERPROFILE%\Documents\GitHub\eaglep3\Utilities\DownloadLogsFromS3.py --loco 4004 --day 2017-01-12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"%USERPROFILE%\AppData\Local\Temp\OnboardLogs"\RTDC4004\*4004*20170113* | grep -SE "(Enforcement Action)|(\[TIMEOUT)|(CHR.+\|PRM\|1\|D.+(SWITCH|SIGNAL).+UNKNOWN)" - &gt;&gt; 2017-01-12-UncaughtWiMAX.txt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717</v>
      </c>
      <c r="B140" s="7">
        <v>4031</v>
      </c>
      <c r="C140" s="22" t="s">
        <v>201</v>
      </c>
      <c r="D140" s="22" t="s">
        <v>310</v>
      </c>
      <c r="E140" s="13">
        <v>42747.810925925929</v>
      </c>
      <c r="F140" s="13">
        <v>42747.812662037039</v>
      </c>
      <c r="G140" s="7">
        <v>1</v>
      </c>
      <c r="H140" s="22" t="s">
        <v>358</v>
      </c>
      <c r="I140" s="13">
        <v>42747.837951388887</v>
      </c>
      <c r="J140" s="7">
        <v>0</v>
      </c>
      <c r="K140" s="105" t="str">
        <f t="shared" si="32"/>
        <v>4031/4032</v>
      </c>
      <c r="L140" s="22" t="str">
        <f>VLOOKUP(A140,'Trips&amp;Operators'!$C$1:$G$99999,5,FALSE)</f>
        <v>NEWELL JAMES</v>
      </c>
      <c r="M140" s="6">
        <f t="shared" si="33"/>
        <v>2.5289351848186925E-2</v>
      </c>
      <c r="N140" s="7">
        <f t="shared" si="56"/>
        <v>36.416666661389172</v>
      </c>
      <c r="O140" s="7"/>
      <c r="P140" s="7"/>
      <c r="Q140" s="23"/>
      <c r="R140" s="23"/>
      <c r="S140" s="32">
        <f t="shared" si="57"/>
        <v>1</v>
      </c>
      <c r="T140" s="47" t="str">
        <f t="shared" si="50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5"/>
        <v>https://search-rtdc-monitor-bjffxe2xuh6vdkpspy63sjmuny.us-east-1.es.amazonaws.com/_plugin/kibana/#/discover/Steve-Slow-Train-Analysis-(2080s-and-2083s)?_g=(refreshInterval:(display:Off,section:0,value:0),time:(from:'2017-01-12 18:27:44-700',mode:absolute,to:'2017-01-12 21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40" s="49" t="str">
        <f t="shared" si="36"/>
        <v>N</v>
      </c>
      <c r="X140" s="173">
        <f t="shared" si="55"/>
        <v>1</v>
      </c>
      <c r="Y140" s="64">
        <f t="shared" si="51"/>
        <v>4.7699999999999999E-2</v>
      </c>
      <c r="Z140" s="64">
        <f t="shared" si="52"/>
        <v>23.333600000000001</v>
      </c>
      <c r="AA140" s="64">
        <f t="shared" si="39"/>
        <v>23.285900000000002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40"/>
        <v>0223-12</v>
      </c>
      <c r="AE140" s="87" t="str">
        <f t="shared" si="41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40" s="84" t="str">
        <f t="shared" si="42"/>
        <v>"C:\Program Files (x86)\AstroGrep\AstroGrep.exe" /spath="%USERPROFILE%\AppData\Local\Temp\OnboardLogs" /stypes="app*4031*20170113*" /stext=" 03:.+((SYSTEM_STATE.+slice.+state.+changed )|(ment ac)|(multiple cpu faults)|(system.+state.+changed )|(\[timeout)|(PRM\|1\|D)|(kpr)|(kdp)|(\|lc)|(penalty))" /e /r /s</v>
      </c>
      <c r="AG140" s="1" t="str">
        <f t="shared" si="53"/>
        <v>EC</v>
      </c>
      <c r="AH140" s="88" t="str">
        <f t="shared" si="44"/>
        <v>"%USERPROFILE%\Documents\GitHub\eaglep3\Utilities\RefineRTDCRunTimes.py" --tripid 223-12 --locoid 4031 --swversion DE.1.0.8.0 --startMP 204:477 --initTime 2017-01-12T19:27:44 --startdatetime 2017-01-12T19:30:14 --delay 1 --endMP 204:233336 --enddatetime 2017-01-12T20:06:39 --enforcementcount 0 &gt;&gt;C:\Users\stu\Documents\GitHub\eaglep3-reporting\EC\2017-01-12-refined-times.txt</v>
      </c>
      <c r="AI140" s="115" t="str">
        <f t="shared" si="45"/>
        <v>echo {"issue":{"subject":"","project_id":79,"tracker_id":40,"status_id":1,"priority_id":2,"assigned_to_id":23,"start_date":"2017-01-12","description":"","custom_fields":[{"id":1,"name":"Subdivision","value":"EC"},{"id":4,"name":"Milepost","value":"23.3336"},{"id":17,"name":"Train ID","value":"223-12"},{"id":16,"name":"Locomotive ID","value":"4031"},{"id":130,"name":"Impact","value":""},{"id":150,"name":"Time of Event (Mountain Time)","value":"20:06:39"},{"id":151,"name":"Denver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6"/>
        <v>start /low /b %USERPROFILE%\Documents\GitHub\eaglep3\Utilities\DownloadLogsFromS3.py --loco 4031 --day 2017-01-12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727</v>
      </c>
      <c r="B141" s="7">
        <v>4032</v>
      </c>
      <c r="C141" s="22" t="s">
        <v>201</v>
      </c>
      <c r="D141" s="22" t="s">
        <v>335</v>
      </c>
      <c r="E141" s="13">
        <v>42747.84033564815</v>
      </c>
      <c r="F141" s="13">
        <v>42747.851620370369</v>
      </c>
      <c r="G141" s="7">
        <v>1</v>
      </c>
      <c r="H141" s="22" t="s">
        <v>308</v>
      </c>
      <c r="I141" s="13">
        <v>42747.878240740742</v>
      </c>
      <c r="J141" s="7">
        <v>0</v>
      </c>
      <c r="K141" s="105" t="str">
        <f t="shared" ref="K141:K204" si="58">IF(ISEVEN(B141),(B141-1)&amp;"/"&amp;B141,B141&amp;"/"&amp;(B141+1))</f>
        <v>4031/4032</v>
      </c>
      <c r="L141" s="22" t="str">
        <f>VLOOKUP(A141,'Trips&amp;Operators'!$C$1:$G$99999,5,FALSE)</f>
        <v>NEWELL JAMES</v>
      </c>
      <c r="M141" s="6">
        <f t="shared" ref="M141:M204" si="59">I141-F141</f>
        <v>2.662037037225673E-2</v>
      </c>
      <c r="N141" s="7">
        <f t="shared" si="56"/>
        <v>38.333333336049691</v>
      </c>
      <c r="O141" s="7"/>
      <c r="P141" s="7"/>
      <c r="Q141" s="23"/>
      <c r="R141" s="23"/>
      <c r="S141" s="32">
        <f t="shared" si="57"/>
        <v>1</v>
      </c>
      <c r="T141" s="47" t="str">
        <f t="shared" ref="T141:T159" si="60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6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https://search-rtdc-monitor-bjffxe2xuh6vdkpspy63sjmuny.us-east-1.es.amazonaws.com/_plugin/kibana/#/discover/Steve-Slow-Train-Analysis-(2080s-and-2083s)?_g=(refreshInterval:(display:Off,section:0,value:0),time:(from:'2017-01-12 19:10:05-700',mode:absolute,to:'2017-01-12 22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41" s="49" t="str">
        <f t="shared" ref="W141:W204" si="62">IF(AA141&lt;IF(AG141="EC",23,5.65),"Y","N")</f>
        <v>N</v>
      </c>
      <c r="X141" s="173">
        <f t="shared" si="55"/>
        <v>1</v>
      </c>
      <c r="Y141" s="64">
        <f t="shared" ref="Y141:Y162" si="63">RIGHT(D141,LEN(D141)-4)/10000</f>
        <v>23.299099999999999</v>
      </c>
      <c r="Z141" s="64">
        <f t="shared" ref="Z141:Z162" si="64">RIGHT(H141,LEN(H141)-4)/10000</f>
        <v>1.54E-2</v>
      </c>
      <c r="AA141" s="64">
        <f t="shared" ref="AA141:AA204" si="65">ABS(Z141-Y141)</f>
        <v>23.2837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66">IF(LEN(A141)=6,"0"&amp;A141,A141)</f>
        <v>0224-12</v>
      </c>
      <c r="AE141" s="8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141" s="84" t="str">
        <f t="shared" ref="AF141:AF204" si="6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/stypes="app*4032*20170113*" /stext=" 04:.+((SYSTEM_STATE.+slice.+state.+changed )|(ment ac)|(multiple cpu faults)|(system.+state.+changed )|(\[timeout)|(PRM\|1\|D)|(kpr)|(kdp)|(\|lc)|(penalty))" /e /r /s</v>
      </c>
      <c r="AG141" s="1" t="str">
        <f t="shared" ref="AG141:AG159" si="69">IFERROR(IF(VALUE(LEFT(AD141,2))&lt;=2,"EC",IF(OR(VALUE(LEFT(AD141,2))=8,VALUE(LEFT(AD141,2))=18),"NW","Other")),"Other")</f>
        <v>EC</v>
      </c>
      <c r="AH141" s="88" t="str">
        <f t="shared" ref="AH141:AH203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224-12 --locoid 4032 --swversion DE.1.0.8.0 --startMP 204:232991 --initTime 2017-01-12T20:10:05 --startdatetime 2017-01-12T20:26:20 --delay 1 --endMP 204:154 --enddatetime 2017-01-12T21:04:40 --enforcementcount 0 &gt;&gt;C:\Users\stu\Documents\GitHub\eaglep3-reporting\EC\2017-01-12-refined-times.txt</v>
      </c>
      <c r="AI141" s="115" t="str">
        <f t="shared" ref="AI141:AI203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{"issue":{"subject":"","project_id":79,"tracker_id":40,"status_id":1,"priority_id":2,"assigned_to_id":23,"start_date":"2017-01-12","description":"","custom_fields":[{"id":1,"name":"Subdivision","value":"EC"},{"id":4,"name":"Milepost","value":"0.0154"},{"id":17,"name":"Train ID","value":"224-12"},{"id":16,"name":"Locomotive ID","value":"4032"},{"id":130,"name":"Impact","value":""},{"id":150,"name":"Time of Event (Mountain Time)","value":"21:04:40"},{"id":151,"name":"Denver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3" si="72">"start /low /b "&amp;dls3logs&amp;" --loco "&amp;B141&amp;" --day "&amp;TEXT(F141,"YYYY-MM-DD")</f>
        <v>start /low /b %USERPROFILE%\Documents\GitHub\eaglep3\Utilities\DownloadLogsFromS3.py --loco 4032 --day 2017-01-12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723</v>
      </c>
      <c r="B142" s="7">
        <v>4027</v>
      </c>
      <c r="C142" s="22" t="s">
        <v>201</v>
      </c>
      <c r="D142" s="22" t="s">
        <v>237</v>
      </c>
      <c r="E142" s="13">
        <v>42747.829479166663</v>
      </c>
      <c r="F142" s="13">
        <v>42747.833657407406</v>
      </c>
      <c r="G142" s="7">
        <v>2</v>
      </c>
      <c r="H142" s="22" t="s">
        <v>771</v>
      </c>
      <c r="I142" s="13">
        <v>42747.859259259261</v>
      </c>
      <c r="J142" s="7">
        <v>0</v>
      </c>
      <c r="K142" s="105" t="str">
        <f t="shared" si="58"/>
        <v>4027/4028</v>
      </c>
      <c r="L142" s="22" t="str">
        <f>VLOOKUP(A142,'Trips&amp;Operators'!$C$1:$G$99999,5,FALSE)</f>
        <v>WHITED DUSTIN</v>
      </c>
      <c r="M142" s="6">
        <f t="shared" si="59"/>
        <v>2.5601851855753921E-2</v>
      </c>
      <c r="N142" s="7">
        <f t="shared" si="56"/>
        <v>36.866666672285646</v>
      </c>
      <c r="O142" s="7"/>
      <c r="P142" s="7"/>
      <c r="Q142" s="23"/>
      <c r="R142" s="23"/>
      <c r="S142" s="32">
        <f t="shared" si="57"/>
        <v>1</v>
      </c>
      <c r="T142" s="47" t="str">
        <f t="shared" si="60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18:54:27-700',mode:absolute,to:'2017-01-12 21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42" s="49" t="str">
        <f t="shared" si="62"/>
        <v>N</v>
      </c>
      <c r="X142" s="173">
        <f t="shared" si="55"/>
        <v>1</v>
      </c>
      <c r="Y142" s="64">
        <f t="shared" si="63"/>
        <v>4.53E-2</v>
      </c>
      <c r="Z142" s="64">
        <f t="shared" si="64"/>
        <v>23.329499999999999</v>
      </c>
      <c r="AA142" s="64">
        <f t="shared" si="65"/>
        <v>23.284199999999998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66"/>
        <v>0225-12</v>
      </c>
      <c r="AE142" s="87" t="str">
        <f t="shared" si="67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42" s="84" t="str">
        <f t="shared" si="68"/>
        <v>"C:\Program Files (x86)\AstroGrep\AstroGrep.exe" /spath="%USERPROFILE%\AppData\Local\Temp\OnboardLogs" /stypes="app*4027*20170113*" /stext=" 03:.+((SYSTEM_STATE.+slice.+state.+changed )|(ment ac)|(multiple cpu faults)|(system.+state.+changed )|(\[timeout)|(PRM\|1\|D)|(kpr)|(kdp)|(\|lc)|(penalty))" /e /r /s</v>
      </c>
      <c r="AG142" s="1" t="str">
        <f t="shared" si="69"/>
        <v>EC</v>
      </c>
      <c r="AH142" s="88" t="str">
        <f t="shared" si="70"/>
        <v>"%USERPROFILE%\Documents\GitHub\eaglep3\Utilities\RefineRTDCRunTimes.py" --tripid 225-12 --locoid 4027 --swversion DE.1.0.8.0 --startMP 204:453 --initTime 2017-01-12T19:54:27 --startdatetime 2017-01-12T20:00:28 --delay 2 --endMP 204:233295 --enddatetime 2017-01-12T20:37:20 --enforcementcount 0 &gt;&gt;C:\Users\stu\Documents\GitHub\eaglep3-reporting\EC\2017-01-12-refined-times.txt</v>
      </c>
      <c r="AI142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{"issue":{"subject":"","project_id":79,"tracker_id":40,"status_id":1,"priority_id":2,"assigned_to_id":23,"start_date":"2017-01-12","description":"","custom_fields":[{"id":1,"name":"Subdivision","value":"EC"},{"id":4,"name":"Milepost","value":"23.3295"},{"id":17,"name":"Train ID","value":"225-12"},{"id":16,"name":"Locomotive ID","value":"4027"},{"id":130,"name":"Impact","value":""},{"id":150,"name":"Time of Event (Mountain Time)","value":"20:37:20"},{"id":151,"name":"Denver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72"/>
        <v>start /low /b %USERPROFILE%\Documents\GitHub\eaglep3\Utilities\DownloadLogsFromS3.py --loco 4027 --day 2017-01-12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728</v>
      </c>
      <c r="B143" s="7">
        <v>4028</v>
      </c>
      <c r="C143" s="22" t="s">
        <v>201</v>
      </c>
      <c r="D143" s="22" t="s">
        <v>328</v>
      </c>
      <c r="E143" s="13">
        <v>42747.8674537037</v>
      </c>
      <c r="F143" s="13">
        <v>42747.872523148151</v>
      </c>
      <c r="G143" s="7">
        <v>1</v>
      </c>
      <c r="H143" s="22" t="s">
        <v>258</v>
      </c>
      <c r="I143" s="13">
        <v>42747.900289351855</v>
      </c>
      <c r="J143" s="7">
        <v>0</v>
      </c>
      <c r="K143" s="105" t="str">
        <f t="shared" si="58"/>
        <v>4027/4028</v>
      </c>
      <c r="L143" s="22" t="str">
        <f>VLOOKUP(A143,'Trips&amp;Operators'!$C$1:$G$99999,5,FALSE)</f>
        <v>WHITED DUSTIN</v>
      </c>
      <c r="M143" s="6">
        <f t="shared" si="59"/>
        <v>2.7766203704231884E-2</v>
      </c>
      <c r="N143" s="7">
        <f t="shared" si="56"/>
        <v>39.983333334093913</v>
      </c>
      <c r="O143" s="7"/>
      <c r="P143" s="7"/>
      <c r="Q143" s="23"/>
      <c r="R143" s="23"/>
      <c r="S143" s="32">
        <f t="shared" si="57"/>
        <v>1</v>
      </c>
      <c r="T143" s="47" t="str">
        <f t="shared" si="60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19:49:08-700',mode:absolute,to:'2017-01-12 22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43" s="49" t="str">
        <f t="shared" si="62"/>
        <v>N</v>
      </c>
      <c r="X143" s="173">
        <f t="shared" si="55"/>
        <v>1</v>
      </c>
      <c r="Y143" s="64">
        <f t="shared" si="63"/>
        <v>23.297499999999999</v>
      </c>
      <c r="Z143" s="64">
        <f t="shared" si="64"/>
        <v>1.52E-2</v>
      </c>
      <c r="AA143" s="64">
        <f t="shared" si="65"/>
        <v>23.282299999999999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66"/>
        <v>0226-12</v>
      </c>
      <c r="AE143" s="87" t="str">
        <f t="shared" si="67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143" s="84" t="str">
        <f t="shared" si="68"/>
        <v>"C:\Program Files (x86)\AstroGrep\AstroGrep.exe" /spath="%USERPROFILE%\AppData\Local\Temp\OnboardLogs" /stypes="app*4028*20170113*" /stext=" 04:.+((SYSTEM_STATE.+slice.+state.+changed )|(ment ac)|(multiple cpu faults)|(system.+state.+changed )|(\[timeout)|(PRM\|1\|D)|(kpr)|(kdp)|(\|lc)|(penalty))" /e /r /s</v>
      </c>
      <c r="AG143" s="1" t="str">
        <f t="shared" si="69"/>
        <v>EC</v>
      </c>
      <c r="AH143" s="88" t="str">
        <f t="shared" si="70"/>
        <v>"%USERPROFILE%\Documents\GitHub\eaglep3\Utilities\RefineRTDCRunTimes.py" --tripid 226-12 --locoid 4028 --swversion DE.1.0.8.0 --startMP 204:232975 --initTime 2017-01-12T20:49:08 --startdatetime 2017-01-12T20:56:26 --delay 1 --endMP 204:152 --enddatetime 2017-01-12T21:36:25 --enforcementcount 0 &gt;&gt;C:\Users\stu\Documents\GitHub\eaglep3-reporting\EC\2017-01-12-refined-times.txt</v>
      </c>
      <c r="AI143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{"issue":{"subject":"","project_id":79,"tracker_id":40,"status_id":1,"priority_id":2,"assigned_to_id":23,"start_date":"2017-01-12","description":"","custom_fields":[{"id":1,"name":"Subdivision","value":"EC"},{"id":4,"name":"Milepost","value":"0.0152"},{"id":17,"name":"Train ID","value":"226-12"},{"id":16,"name":"Locomotive ID","value":"4028"},{"id":130,"name":"Impact","value":""},{"id":150,"name":"Time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72"/>
        <v>start /low /b %USERPROFILE%\Documents\GitHub\eaglep3\Utilities\DownloadLogsFromS3.py --loco 4028 --day 2017-01-12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"%USERPROFILE%\AppData\Local\Temp\OnboardLogs"\RTDC4028\*4028*20170113* | grep -SE "(Enforcement Action)|(\[TIMEOUT)|(CHR.+\|PRM\|1\|D.+(SWITCH|SIGNAL).+UNKNOWN)" - &gt;&gt; 2017-01-12-UncaughtWiMAX.txt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532</v>
      </c>
      <c r="B144" s="7">
        <v>4022</v>
      </c>
      <c r="C144" s="22" t="s">
        <v>201</v>
      </c>
      <c r="D144" s="22" t="s">
        <v>817</v>
      </c>
      <c r="E144" s="13">
        <v>42747.839548611111</v>
      </c>
      <c r="F144" s="13">
        <v>42747.854375000003</v>
      </c>
      <c r="G144" s="7">
        <v>1</v>
      </c>
      <c r="H144" s="22" t="s">
        <v>329</v>
      </c>
      <c r="I144" s="13">
        <v>42747.880162037036</v>
      </c>
      <c r="J144" s="7">
        <v>0</v>
      </c>
      <c r="K144" s="105" t="str">
        <f t="shared" si="58"/>
        <v>4021/4022</v>
      </c>
      <c r="L144" s="22" t="str">
        <f>VLOOKUP(A144,'Trips&amp;Operators'!$C$1:$G$99999,5,FALSE)</f>
        <v>HILLS DUSTIN</v>
      </c>
      <c r="M144" s="6">
        <f t="shared" si="59"/>
        <v>2.5787037033296656E-2</v>
      </c>
      <c r="N144" s="7">
        <f t="shared" si="56"/>
        <v>37.133333327947184</v>
      </c>
      <c r="O144" s="7"/>
      <c r="P144" s="7"/>
      <c r="Q144" s="23"/>
      <c r="R144" s="23"/>
      <c r="S144" s="32">
        <f t="shared" si="57"/>
        <v>1</v>
      </c>
      <c r="T144" s="47" t="str">
        <f t="shared" si="60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19:08:57-700',mode:absolute,to:'2017-01-12 22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44" s="49" t="str">
        <f t="shared" si="62"/>
        <v>N</v>
      </c>
      <c r="X144" s="173">
        <f t="shared" si="55"/>
        <v>1</v>
      </c>
      <c r="Y144" s="64">
        <f t="shared" si="63"/>
        <v>4.2700000000000002E-2</v>
      </c>
      <c r="Z144" s="64">
        <f t="shared" si="64"/>
        <v>23.3278</v>
      </c>
      <c r="AA144" s="64">
        <f t="shared" si="65"/>
        <v>23.2851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66"/>
        <v>0227-12</v>
      </c>
      <c r="AE144" s="87" t="str">
        <f t="shared" si="67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44" s="84" t="str">
        <f t="shared" si="68"/>
        <v>"C:\Program Files (x86)\AstroGrep\AstroGrep.exe" /spath="%USERPROFILE%\AppData\Local\Temp\OnboardLogs" /stypes="app*4022*20170113*" /stext=" 04:.+((SYSTEM_STATE.+slice.+state.+changed )|(ment ac)|(multiple cpu faults)|(system.+state.+changed )|(\[timeout)|(PRM\|1\|D)|(kpr)|(kdp)|(\|lc)|(penalty))" /e /r /s</v>
      </c>
      <c r="AG144" s="1" t="str">
        <f t="shared" si="69"/>
        <v>EC</v>
      </c>
      <c r="AH144" s="88" t="str">
        <f t="shared" si="70"/>
        <v>"%USERPROFILE%\Documents\GitHub\eaglep3\Utilities\RefineRTDCRunTimes.py" --tripid 227-12 --locoid 4022 --swversion DE.1.0.8.0 --startMP 204:427 --initTime 2017-01-12T20:08:57 --startdatetime 2017-01-12T20:30:18 --delay 1 --endMP 204:233278 --enddatetime 2017-01-12T21:07:26 --enforcementcount 0 &gt;&gt;C:\Users\stu\Documents\GitHub\eaglep3-reporting\EC\2017-01-12-refined-times.txt</v>
      </c>
      <c r="AI144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{"issue":{"subject":"","project_id":79,"tracker_id":40,"status_id":1,"priority_id":2,"assigned_to_id":23,"start_date":"2017-01-12","description":"","custom_fields":[{"id":1,"name":"Subdivision","value":"EC"},{"id":4,"name":"Milepost","value":"23.3278"},{"id":17,"name":"Train ID","value":"227-12"},{"id":16,"name":"Locomotive ID","value":"4022"},{"id":130,"name":"Impact","value":""},{"id":150,"name":"Time of Event (Mountain Time)","value":"21:07:26"},{"id":151,"name":"Denver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72"/>
        <v>start /low /b %USERPROFILE%\Documents\GitHub\eaglep3\Utilities\DownloadLogsFromS3.py --loco 4022 --day 2017-01-12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"%USERPROFILE%\AppData\Local\Temp\OnboardLogs"\RTDC4022\*4022*20170113* | grep -SE "(Enforcement Action)|(\[TIMEOUT)|(CHR.+\|PRM\|1\|D.+(SWITCH|SIGNAL).+UNKNOWN)" - &gt;&gt; 2017-01-12-UncaughtWiMAX.txt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731</v>
      </c>
      <c r="B145" s="7">
        <v>4021</v>
      </c>
      <c r="C145" s="22" t="s">
        <v>201</v>
      </c>
      <c r="D145" s="22" t="s">
        <v>818</v>
      </c>
      <c r="E145" s="13">
        <v>42747.882314814815</v>
      </c>
      <c r="F145" s="13">
        <v>42747.893217592595</v>
      </c>
      <c r="G145" s="7">
        <v>1</v>
      </c>
      <c r="H145" s="22" t="s">
        <v>819</v>
      </c>
      <c r="I145" s="13">
        <v>42747.920208333337</v>
      </c>
      <c r="J145" s="7">
        <v>0</v>
      </c>
      <c r="K145" s="105" t="str">
        <f t="shared" si="58"/>
        <v>4021/4022</v>
      </c>
      <c r="L145" s="22" t="str">
        <f>VLOOKUP(A145,'Trips&amp;Operators'!$C$1:$G$99999,5,FALSE)</f>
        <v>HILLS DUSTIN</v>
      </c>
      <c r="M145" s="6">
        <f t="shared" si="59"/>
        <v>2.6990740741894115E-2</v>
      </c>
      <c r="N145" s="7">
        <f t="shared" si="56"/>
        <v>38.866666668327525</v>
      </c>
      <c r="O145" s="7"/>
      <c r="P145" s="7"/>
      <c r="Q145" s="23"/>
      <c r="R145" s="23"/>
      <c r="S145" s="32">
        <f t="shared" si="57"/>
        <v>1</v>
      </c>
      <c r="T145" s="47" t="str">
        <f t="shared" si="60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20:10:32-700',mode:absolute,to:'2017-01-12 23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45" s="49" t="str">
        <f t="shared" si="62"/>
        <v>N</v>
      </c>
      <c r="X145" s="173">
        <f t="shared" si="55"/>
        <v>1</v>
      </c>
      <c r="Y145" s="64">
        <f t="shared" si="63"/>
        <v>23.295999999999999</v>
      </c>
      <c r="Z145" s="64">
        <f t="shared" si="64"/>
        <v>9.1999999999999998E-3</v>
      </c>
      <c r="AA145" s="64">
        <f t="shared" si="65"/>
        <v>23.286799999999999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66"/>
        <v>0228-12</v>
      </c>
      <c r="AE145" s="87" t="str">
        <f t="shared" si="67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145" s="84" t="str">
        <f t="shared" si="68"/>
        <v>"C:\Program Files (x86)\AstroGrep\AstroGrep.exe" /spath="%USERPROFILE%\AppData\Local\Temp\OnboardLogs" /stypes="app*4021*20170113*" /stext=" 05:.+((SYSTEM_STATE.+slice.+state.+changed )|(ment ac)|(multiple cpu faults)|(system.+state.+changed )|(\[timeout)|(PRM\|1\|D)|(kpr)|(kdp)|(\|lc)|(penalty))" /e /r /s</v>
      </c>
      <c r="AG145" s="1" t="str">
        <f t="shared" si="69"/>
        <v>EC</v>
      </c>
      <c r="AH145" s="88" t="str">
        <f t="shared" si="70"/>
        <v>"%USERPROFILE%\Documents\GitHub\eaglep3\Utilities\RefineRTDCRunTimes.py" --tripid 228-12 --locoid 4021 --swversion DE.1.0.8.0 --startMP 204:232960 --initTime 2017-01-12T21:10:32 --startdatetime 2017-01-12T21:26:14 --delay 1 --endMP 204:92 --enddatetime 2017-01-12T22:05:06 --enforcementcount 0 &gt;&gt;C:\Users\stu\Documents\GitHub\eaglep3-reporting\EC\2017-01-12-refined-times.txt</v>
      </c>
      <c r="AI145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{"issue":{"subject":"","project_id":79,"tracker_id":40,"status_id":1,"priority_id":2,"assigned_to_id":23,"start_date":"2017-01-12","description":"","custom_fields":[{"id":1,"name":"Subdivision","value":"EC"},{"id":4,"name":"Milepost","value":"0.0092"},{"id":17,"name":"Train ID","value":"228-12"},{"id":16,"name":"Locomotive ID","value":"4021"},{"id":130,"name":"Impact","value":""},{"id":150,"name":"Time of Event (Mountain Time)","value":"22:05:06"},{"id":151,"name":"Denver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72"/>
        <v>start /low /b %USERPROFILE%\Documents\GitHub\eaglep3\Utilities\DownloadLogsFromS3.py --loco 4021 --day 2017-01-12</v>
      </c>
      <c r="AN145" s="18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730</v>
      </c>
      <c r="B146" s="7">
        <v>4003</v>
      </c>
      <c r="C146" s="22" t="s">
        <v>201</v>
      </c>
      <c r="D146" s="22" t="s">
        <v>237</v>
      </c>
      <c r="E146" s="13">
        <v>42747.872708333336</v>
      </c>
      <c r="F146" s="13">
        <v>42747.875405092593</v>
      </c>
      <c r="G146" s="7">
        <v>1</v>
      </c>
      <c r="H146" s="22" t="s">
        <v>776</v>
      </c>
      <c r="I146" s="13">
        <v>42747.900856481479</v>
      </c>
      <c r="J146" s="7">
        <v>0</v>
      </c>
      <c r="K146" s="105" t="str">
        <f t="shared" si="58"/>
        <v>4003/4004</v>
      </c>
      <c r="L146" s="22" t="str">
        <f>VLOOKUP(A146,'Trips&amp;Operators'!$C$1:$G$99999,5,FALSE)</f>
        <v>CHANDLER KELVIN</v>
      </c>
      <c r="M146" s="6">
        <f t="shared" si="59"/>
        <v>2.545138888672227E-2</v>
      </c>
      <c r="N146" s="7">
        <f t="shared" si="56"/>
        <v>36.649999996880069</v>
      </c>
      <c r="O146" s="7"/>
      <c r="P146" s="7"/>
      <c r="Q146" s="23"/>
      <c r="R146" s="23"/>
      <c r="S146" s="32">
        <f t="shared" si="57"/>
        <v>1</v>
      </c>
      <c r="T146" s="47" t="str">
        <f t="shared" si="60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19:56:42-700',mode:absolute,to:'2017-01-12 22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46" s="49" t="str">
        <f t="shared" si="62"/>
        <v>N</v>
      </c>
      <c r="X146" s="173">
        <f t="shared" si="55"/>
        <v>1</v>
      </c>
      <c r="Y146" s="64">
        <f t="shared" si="63"/>
        <v>4.53E-2</v>
      </c>
      <c r="Z146" s="64">
        <f t="shared" si="64"/>
        <v>23.328800000000001</v>
      </c>
      <c r="AA146" s="64">
        <f t="shared" si="65"/>
        <v>23.2835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66"/>
        <v>0229-12</v>
      </c>
      <c r="AE146" s="87" t="str">
        <f t="shared" si="67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146" s="84" t="str">
        <f t="shared" si="68"/>
        <v>"C:\Program Files (x86)\AstroGrep\AstroGrep.exe" /spath="%USERPROFILE%\AppData\Local\Temp\OnboardLogs" /stypes="app*4003*20170113*" /stext=" 04:.+((SYSTEM_STATE.+slice.+state.+changed )|(ment ac)|(multiple cpu faults)|(system.+state.+changed )|(\[timeout)|(PRM\|1\|D)|(kpr)|(kdp)|(\|lc)|(penalty))" /e /r /s</v>
      </c>
      <c r="AG146" s="1" t="str">
        <f t="shared" si="69"/>
        <v>EC</v>
      </c>
      <c r="AH146" s="88" t="str">
        <f t="shared" si="70"/>
        <v>"%USERPROFILE%\Documents\GitHub\eaglep3\Utilities\RefineRTDCRunTimes.py" --tripid 229-12 --locoid 4003 --swversion DE.1.0.8.0 --startMP 204:453 --initTime 2017-01-12T20:56:42 --startdatetime 2017-01-12T21:00:35 --delay 1 --endMP 204:233288 --enddatetime 2017-01-12T21:37:14 --enforcementcount 0 &gt;&gt;C:\Users\stu\Documents\GitHub\eaglep3-reporting\EC\2017-01-12-refined-times.txt</v>
      </c>
      <c r="AI146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{"issue":{"subject":"","project_id":79,"tracker_id":40,"status_id":1,"priority_id":2,"assigned_to_id":23,"start_date":"2017-01-12","description":"","custom_fields":[{"id":1,"name":"Subdivision","value":"EC"},{"id":4,"name":"Milepost","value":"23.3288"},{"id":17,"name":"Train ID","value":"229-12"},{"id":16,"name":"Locomotive ID","value":"4003"},{"id":130,"name":"Impact","value":""},{"id":150,"name":"Time of Event (Mountain Time)","value":"21:37:14"},{"id":151,"name":"Denver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72"/>
        <v>start /low /b %USERPROFILE%\Documents\GitHub\eaglep3\Utilities\DownloadLogsFromS3.py --loco 4003 --day 2017-01-12</v>
      </c>
      <c r="AN146" s="18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737</v>
      </c>
      <c r="B147" s="7">
        <v>4004</v>
      </c>
      <c r="C147" s="22" t="s">
        <v>201</v>
      </c>
      <c r="D147" s="22" t="s">
        <v>473</v>
      </c>
      <c r="E147" s="13">
        <v>42747.911678240744</v>
      </c>
      <c r="F147" s="13">
        <v>42747.914236111108</v>
      </c>
      <c r="G147" s="7">
        <v>1</v>
      </c>
      <c r="H147" s="22" t="s">
        <v>798</v>
      </c>
      <c r="I147" s="13">
        <v>42747.942349537036</v>
      </c>
      <c r="J147" s="7">
        <v>0</v>
      </c>
      <c r="K147" s="105" t="str">
        <f t="shared" si="58"/>
        <v>4003/4004</v>
      </c>
      <c r="L147" s="22" t="str">
        <f>VLOOKUP(A147,'Trips&amp;Operators'!$C$1:$G$99999,5,FALSE)</f>
        <v>CHANDLER KELVIN</v>
      </c>
      <c r="M147" s="6">
        <f t="shared" si="59"/>
        <v>2.8113425927585922E-2</v>
      </c>
      <c r="N147" s="7">
        <f t="shared" si="56"/>
        <v>40.483333335723728</v>
      </c>
      <c r="O147" s="7"/>
      <c r="P147" s="7"/>
      <c r="Q147" s="23"/>
      <c r="R147" s="23"/>
      <c r="S147" s="32">
        <f t="shared" si="57"/>
        <v>1</v>
      </c>
      <c r="T147" s="47" t="str">
        <f t="shared" si="60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20:52:49-700',mode:absolute,to:'2017-01-12 23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47" s="49" t="str">
        <f t="shared" si="62"/>
        <v>N</v>
      </c>
      <c r="X147" s="173">
        <f t="shared" si="55"/>
        <v>1</v>
      </c>
      <c r="Y147" s="64">
        <f t="shared" si="63"/>
        <v>23.296500000000002</v>
      </c>
      <c r="Z147" s="64">
        <f t="shared" si="64"/>
        <v>1.6899999999999998E-2</v>
      </c>
      <c r="AA147" s="64">
        <f t="shared" si="65"/>
        <v>23.279600000000002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66"/>
        <v>0230-12</v>
      </c>
      <c r="AE147" s="87" t="str">
        <f t="shared" si="67"/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AF147" s="84" t="str">
        <f t="shared" si="68"/>
        <v>"C:\Program Files (x86)\AstroGrep\AstroGrep.exe" /spath="%USERPROFILE%\AppData\Local\Temp\OnboardLogs" /stypes="app*4004*20170113*" /stext=" 05:.+((SYSTEM_STATE.+slice.+state.+changed )|(ment ac)|(multiple cpu faults)|(system.+state.+changed )|(\[timeout)|(PRM\|1\|D)|(kpr)|(kdp)|(\|lc)|(penalty))" /e /r /s</v>
      </c>
      <c r="AG147" s="1" t="str">
        <f t="shared" si="69"/>
        <v>EC</v>
      </c>
      <c r="AH147" s="88" t="str">
        <f t="shared" si="70"/>
        <v>"%USERPROFILE%\Documents\GitHub\eaglep3\Utilities\RefineRTDCRunTimes.py" --tripid 230-12 --locoid 4004 --swversion DE.1.0.8.0 --startMP 204:232965 --initTime 2017-01-12T21:52:49 --startdatetime 2017-01-12T21:56:30 --delay 1 --endMP 204:169 --enddatetime 2017-01-12T22:36:59 --enforcementcount 0 &gt;&gt;C:\Users\stu\Documents\GitHub\eaglep3-reporting\EC\2017-01-12-refined-times.txt</v>
      </c>
      <c r="AI147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{"issue":{"subject":"","project_id":79,"tracker_id":40,"status_id":1,"priority_id":2,"assigned_to_id":23,"start_date":"2017-01-12","description":"","custom_fields":[{"id":1,"name":"Subdivision","value":"EC"},{"id":4,"name":"Milepost","value":"0.0169"},{"id":17,"name":"Train ID","value":"230-12"},{"id":16,"name":"Locomotive ID","value":"4004"},{"id":130,"name":"Impact","value":""},{"id":150,"name":"Time of Event (Mountain Time)","value":"22:36:59"},{"id":151,"name":"Denver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72"/>
        <v>start /low /b %USERPROFILE%\Documents\GitHub\eaglep3\Utilities\DownloadLogsFromS3.py --loco 4004 --day 2017-01-12</v>
      </c>
      <c r="AN147" s="18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"%USERPROFILE%\AppData\Local\Temp\OnboardLogs"\RTDC4004\*4004*20170113* | grep -SE "(Enforcement Action)|(\[TIMEOUT)|(CHR.+\|PRM\|1\|D.+(SWITCH|SIGNAL).+UNKNOWN)" - &gt;&gt; 2017-01-12-UncaughtWiMAX.txt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733</v>
      </c>
      <c r="B148" s="7">
        <v>4031</v>
      </c>
      <c r="C148" s="22" t="s">
        <v>201</v>
      </c>
      <c r="D148" s="22" t="s">
        <v>244</v>
      </c>
      <c r="E148" s="13">
        <v>42747.884930555556</v>
      </c>
      <c r="F148" s="13">
        <v>42747.89603009259</v>
      </c>
      <c r="G148" s="7">
        <v>1</v>
      </c>
      <c r="H148" s="22" t="s">
        <v>785</v>
      </c>
      <c r="I148" s="13">
        <v>42747.920486111114</v>
      </c>
      <c r="J148" s="7">
        <v>0</v>
      </c>
      <c r="K148" s="105" t="str">
        <f t="shared" si="58"/>
        <v>4031/4032</v>
      </c>
      <c r="L148" s="22" t="str">
        <f>VLOOKUP(A148,'Trips&amp;Operators'!$C$1:$G$99999,5,FALSE)</f>
        <v>NEWELL JAMES</v>
      </c>
      <c r="M148" s="6">
        <f t="shared" si="59"/>
        <v>2.4456018523778766E-2</v>
      </c>
      <c r="N148" s="7">
        <f t="shared" si="56"/>
        <v>35.216666674241424</v>
      </c>
      <c r="O148" s="7"/>
      <c r="P148" s="7"/>
      <c r="Q148" s="23"/>
      <c r="R148" s="23"/>
      <c r="S148" s="32">
        <f t="shared" si="57"/>
        <v>1</v>
      </c>
      <c r="T148" s="47" t="str">
        <f t="shared" si="60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20:14:18-700',mode:absolute,to:'2017-01-12 23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48" s="49" t="str">
        <f t="shared" si="62"/>
        <v>N</v>
      </c>
      <c r="X148" s="173">
        <f t="shared" si="55"/>
        <v>1</v>
      </c>
      <c r="Y148" s="64">
        <f t="shared" si="63"/>
        <v>4.6199999999999998E-2</v>
      </c>
      <c r="Z148" s="64">
        <f t="shared" si="64"/>
        <v>23.331399999999999</v>
      </c>
      <c r="AA148" s="64">
        <f t="shared" si="65"/>
        <v>23.2852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66"/>
        <v>0231-12</v>
      </c>
      <c r="AE148" s="87" t="str">
        <f t="shared" si="67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48" s="84" t="str">
        <f t="shared" si="68"/>
        <v>"C:\Program Files (x86)\AstroGrep\AstroGrep.exe" /spath="%USERPROFILE%\AppData\Local\Temp\OnboardLogs" /stypes="app*4031*20170113*" /stext=" 05:.+((SYSTEM_STATE.+slice.+state.+changed )|(ment ac)|(multiple cpu faults)|(system.+state.+changed )|(\[timeout)|(PRM\|1\|D)|(kpr)|(kdp)|(\|lc)|(penalty))" /e /r /s</v>
      </c>
      <c r="AG148" s="1" t="str">
        <f t="shared" si="69"/>
        <v>EC</v>
      </c>
      <c r="AH148" s="88" t="str">
        <f t="shared" si="70"/>
        <v>"%USERPROFILE%\Documents\GitHub\eaglep3\Utilities\RefineRTDCRunTimes.py" --tripid 231-12 --locoid 4031 --swversion DE.1.0.8.0 --startMP 204:462 --initTime 2017-01-12T21:14:18 --startdatetime 2017-01-12T21:30:17 --delay 1 --endMP 204:233314 --enddatetime 2017-01-12T22:05:30 --enforcementcount 0 &gt;&gt;C:\Users\stu\Documents\GitHub\eaglep3-reporting\EC\2017-01-12-refined-times.txt</v>
      </c>
      <c r="AI148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{"issue":{"subject":"","project_id":79,"tracker_id":40,"status_id":1,"priority_id":2,"assigned_to_id":23,"start_date":"2017-01-12","description":"","custom_fields":[{"id":1,"name":"Subdivision","value":"EC"},{"id":4,"name":"Milepost","value":"23.3314"},{"id":17,"name":"Train ID","value":"231-12"},{"id":16,"name":"Locomotive ID","value":"4031"},{"id":130,"name":"Impact","value":""},{"id":150,"name":"Time of Event (Mountain Time)","value":"22:05:30"},{"id":151,"name":"Denver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72"/>
        <v>start /low /b %USERPROFILE%\Documents\GitHub\eaglep3\Utilities\DownloadLogsFromS3.py --loco 4031 --day 2017-01-12</v>
      </c>
      <c r="AN148" s="18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739</v>
      </c>
      <c r="B149" s="7">
        <v>4032</v>
      </c>
      <c r="C149" s="22" t="s">
        <v>201</v>
      </c>
      <c r="D149" s="22" t="s">
        <v>294</v>
      </c>
      <c r="E149" s="13">
        <v>42747.931319444448</v>
      </c>
      <c r="F149" s="13">
        <v>42747.934907407405</v>
      </c>
      <c r="G149" s="7">
        <v>1</v>
      </c>
      <c r="H149" s="22" t="s">
        <v>300</v>
      </c>
      <c r="I149" s="13">
        <v>42747.962951388887</v>
      </c>
      <c r="J149" s="7">
        <v>0</v>
      </c>
      <c r="K149" s="105" t="str">
        <f t="shared" si="58"/>
        <v>4031/4032</v>
      </c>
      <c r="L149" s="22" t="str">
        <f>VLOOKUP(A149,'Trips&amp;Operators'!$C$1:$G$99999,5,FALSE)</f>
        <v>NEWELL JAMES</v>
      </c>
      <c r="M149" s="6">
        <f t="shared" si="59"/>
        <v>2.8043981481459923E-2</v>
      </c>
      <c r="N149" s="7">
        <f t="shared" si="56"/>
        <v>40.383333333302289</v>
      </c>
      <c r="O149" s="7"/>
      <c r="P149" s="7"/>
      <c r="Q149" s="23"/>
      <c r="R149" s="23"/>
      <c r="S149" s="32">
        <f t="shared" si="57"/>
        <v>1</v>
      </c>
      <c r="T149" s="47" t="str">
        <f t="shared" si="60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21:21:06-700',mode:absolute,to:'2017-01-13 00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49" s="49" t="str">
        <f t="shared" si="62"/>
        <v>N</v>
      </c>
      <c r="X149" s="173">
        <f t="shared" si="55"/>
        <v>1</v>
      </c>
      <c r="Y149" s="64">
        <f t="shared" si="63"/>
        <v>23.299399999999999</v>
      </c>
      <c r="Z149" s="64">
        <f t="shared" si="64"/>
        <v>1.38E-2</v>
      </c>
      <c r="AA149" s="64">
        <f t="shared" si="65"/>
        <v>23.285599999999999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66"/>
        <v>0232-12</v>
      </c>
      <c r="AE149" s="87" t="str">
        <f t="shared" si="67"/>
        <v>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 &amp; 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</v>
      </c>
      <c r="AF149" s="84" t="str">
        <f t="shared" si="68"/>
        <v>"C:\Program Files (x86)\AstroGrep\AstroGrep.exe" /spath="%USERPROFILE%\AppData\Local\Temp\OnboardLogs" /stypes="app*4032*20170113*" /stext=" 06:.+((SYSTEM_STATE.+slice.+state.+changed )|(ment ac)|(multiple cpu faults)|(system.+state.+changed )|(\[timeout)|(PRM\|1\|D)|(kpr)|(kdp)|(\|lc)|(penalty))" /e /r /s</v>
      </c>
      <c r="AG149" s="1" t="str">
        <f t="shared" si="69"/>
        <v>EC</v>
      </c>
      <c r="AH149" s="88" t="str">
        <f t="shared" si="70"/>
        <v>"%USERPROFILE%\Documents\GitHub\eaglep3\Utilities\RefineRTDCRunTimes.py" --tripid 232-12 --locoid 4032 --swversion DE.1.0.8.0 --startMP 204:232994 --initTime 2017-01-12T22:21:06 --startdatetime 2017-01-12T22:26:16 --delay 1 --endMP 204:138 --enddatetime 2017-01-12T23:06:39 --enforcementcount 0 &gt;&gt;C:\Users\stu\Documents\GitHub\eaglep3-reporting\EC\2017-01-12-refined-times.txt</v>
      </c>
      <c r="AI149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{"issue":{"subject":"","project_id":79,"tracker_id":40,"status_id":1,"priority_id":2,"assigned_to_id":23,"start_date":"2017-01-12","description":"","custom_fields":[{"id":1,"name":"Subdivision","value":"EC"},{"id":4,"name":"Milepost","value":"0.0138"},{"id":17,"name":"Train ID","value":"232-12"},{"id":16,"name":"Locomotive ID","value":"4032"},{"id":130,"name":"Impact","value":""},{"id":150,"name":"Time of Event (Mountain Time)","value":"23:06:39"},{"id":151,"name":"Denver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72"/>
        <v>start /low /b %USERPROFILE%\Documents\GitHub\eaglep3\Utilities\DownloadLogsFromS3.py --loco 4032 --day 2017-01-12</v>
      </c>
      <c r="AN149" s="18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736</v>
      </c>
      <c r="B150" s="7">
        <v>4027</v>
      </c>
      <c r="C150" s="22" t="s">
        <v>201</v>
      </c>
      <c r="D150" s="22" t="s">
        <v>769</v>
      </c>
      <c r="E150" s="13">
        <v>42747.911678240744</v>
      </c>
      <c r="F150" s="13">
        <v>42747.916909722226</v>
      </c>
      <c r="G150" s="7">
        <v>1</v>
      </c>
      <c r="H150" s="22" t="s">
        <v>796</v>
      </c>
      <c r="I150" s="13">
        <v>42747.943680555552</v>
      </c>
      <c r="J150" s="7">
        <v>0</v>
      </c>
      <c r="K150" s="105" t="str">
        <f t="shared" si="58"/>
        <v>4027/4028</v>
      </c>
      <c r="L150" s="22" t="str">
        <f>VLOOKUP(A150,'Trips&amp;Operators'!$C$1:$G$99999,5,FALSE)</f>
        <v>WHITED DUSTIN</v>
      </c>
      <c r="M150" s="6">
        <f t="shared" si="59"/>
        <v>2.6770833326736465E-2</v>
      </c>
      <c r="N150" s="7">
        <f t="shared" si="56"/>
        <v>38.54999999050051</v>
      </c>
      <c r="O150" s="7"/>
      <c r="P150" s="7"/>
      <c r="Q150" s="23"/>
      <c r="R150" s="23"/>
      <c r="S150" s="32">
        <f t="shared" si="57"/>
        <v>1</v>
      </c>
      <c r="T150" s="47" t="str">
        <f t="shared" si="60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20:52:49-700',mode:absolute,to:'2017-01-12 23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50" s="49" t="str">
        <f t="shared" si="62"/>
        <v>N</v>
      </c>
      <c r="X150" s="173">
        <f t="shared" si="55"/>
        <v>1</v>
      </c>
      <c r="Y150" s="64">
        <f t="shared" si="63"/>
        <v>4.6600000000000003E-2</v>
      </c>
      <c r="Z150" s="64">
        <f t="shared" si="64"/>
        <v>23.3276</v>
      </c>
      <c r="AA150" s="64">
        <f t="shared" si="65"/>
        <v>23.280999999999999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66"/>
        <v>0233-12</v>
      </c>
      <c r="AE150" s="87" t="str">
        <f t="shared" si="67"/>
        <v>aws s3 cp s3://rtdc.mdm.uploadarchive.raw/RTDC4027/ "%USERPROFILE%\AppData\Local\Temp\OnboardLogs"\RTDC4027\2017-01-12 --exclude "*" --recursive --include "*20170112*" &amp; "%USERPROFILE%\Documents\GitHub\mrs-test-scripts\Headless Mode &amp; Sideloading\WalkAndUnGZ.bat" "%USERPROFILE%\AppData\Local\Temp\OnboardLogs"\RTDC4027\2017-01-12 &amp; 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</v>
      </c>
      <c r="AF150" s="84" t="str">
        <f t="shared" si="68"/>
        <v>"C:\Program Files (x86)\AstroGrep\AstroGrep.exe" /spath="%USERPROFILE%\AppData\Local\Temp\OnboardLogs" /stypes="app*4027*20170113*" /stext=" 05:.+((SYSTEM_STATE.+slice.+state.+changed )|(ment ac)|(multiple cpu faults)|(system.+state.+changed )|(\[timeout)|(PRM\|1\|D)|(kpr)|(kdp)|(\|lc)|(penalty))" /e /r /s</v>
      </c>
      <c r="AG150" s="1" t="str">
        <f t="shared" si="69"/>
        <v>EC</v>
      </c>
      <c r="AH150" s="88" t="str">
        <f t="shared" si="70"/>
        <v>"%USERPROFILE%\Documents\GitHub\eaglep3\Utilities\RefineRTDCRunTimes.py" --tripid 233-12 --locoid 4027 --swversion DE.1.0.8.0 --startMP 204:466 --initTime 2017-01-12T21:52:49 --startdatetime 2017-01-12T22:00:21 --delay 1 --endMP 204:233276 --enddatetime 2017-01-12T22:38:54 --enforcementcount 0 &gt;&gt;C:\Users\stu\Documents\GitHub\eaglep3-reporting\EC\2017-01-12-refined-times.txt</v>
      </c>
      <c r="AI150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{"issue":{"subject":"","project_id":79,"tracker_id":40,"status_id":1,"priority_id":2,"assigned_to_id":23,"start_date":"2017-01-12","description":"","custom_fields":[{"id":1,"name":"Subdivision","value":"EC"},{"id":4,"name":"Milepost","value":"23.3276"},{"id":17,"name":"Train ID","value":"233-12"},{"id":16,"name":"Locomotive ID","value":"4027"},{"id":130,"name":"Impact","value":""},{"id":150,"name":"Time of Event (Mountain Time)","value":"22:38:54"},{"id":151,"name":"Denver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72"/>
        <v>start /low /b %USERPROFILE%\Documents\GitHub\eaglep3\Utilities\DownloadLogsFromS3.py --loco 4027 --day 2017-01-12</v>
      </c>
      <c r="AN150" s="18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741</v>
      </c>
      <c r="B151" s="7">
        <v>4028</v>
      </c>
      <c r="C151" s="22" t="s">
        <v>201</v>
      </c>
      <c r="D151" s="22" t="s">
        <v>261</v>
      </c>
      <c r="E151" s="13">
        <v>42747.949247685188</v>
      </c>
      <c r="F151" s="13">
        <v>42747.955810185187</v>
      </c>
      <c r="G151" s="7">
        <v>1</v>
      </c>
      <c r="H151" s="22" t="s">
        <v>239</v>
      </c>
      <c r="I151" s="13">
        <v>42747.983819444446</v>
      </c>
      <c r="J151" s="7">
        <v>0</v>
      </c>
      <c r="K151" s="105" t="str">
        <f t="shared" si="58"/>
        <v>4027/4028</v>
      </c>
      <c r="L151" s="22" t="str">
        <f>VLOOKUP(A151,'Trips&amp;Operators'!$C$1:$G$99999,5,FALSE)</f>
        <v>WHITED DUSTIN</v>
      </c>
      <c r="M151" s="6">
        <f t="shared" si="59"/>
        <v>2.8009259258396924E-2</v>
      </c>
      <c r="N151" s="7">
        <f t="shared" si="56"/>
        <v>40.33333333209157</v>
      </c>
      <c r="O151" s="7"/>
      <c r="P151" s="7"/>
      <c r="Q151" s="23"/>
      <c r="R151" s="23"/>
      <c r="S151" s="32">
        <f t="shared" si="57"/>
        <v>1</v>
      </c>
      <c r="T151" s="47" t="str">
        <f t="shared" si="60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21:46:55-700',mode:absolute,to:'2017-01-13 00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51" s="49" t="str">
        <f t="shared" si="62"/>
        <v>N</v>
      </c>
      <c r="X151" s="173">
        <f t="shared" si="55"/>
        <v>1</v>
      </c>
      <c r="Y151" s="64">
        <f t="shared" si="63"/>
        <v>23.2971</v>
      </c>
      <c r="Z151" s="64">
        <f t="shared" si="64"/>
        <v>1.47E-2</v>
      </c>
      <c r="AA151" s="64">
        <f t="shared" si="65"/>
        <v>23.282399999999999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66"/>
        <v>0234-12</v>
      </c>
      <c r="AE151" s="87" t="str">
        <f t="shared" si="67"/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AF151" s="84" t="str">
        <f t="shared" si="68"/>
        <v>"C:\Program Files (x86)\AstroGrep\AstroGrep.exe" /spath="%USERPROFILE%\AppData\Local\Temp\OnboardLogs" /stypes="app*4028*20170113*" /stext=" 06:.+((SYSTEM_STATE.+slice.+state.+changed )|(ment ac)|(multiple cpu faults)|(system.+state.+changed )|(\[timeout)|(PRM\|1\|D)|(kpr)|(kdp)|(\|lc)|(penalty))" /e /r /s</v>
      </c>
      <c r="AG151" s="1" t="str">
        <f t="shared" si="69"/>
        <v>EC</v>
      </c>
      <c r="AH151" s="88" t="str">
        <f t="shared" si="70"/>
        <v>"%USERPROFILE%\Documents\GitHub\eaglep3\Utilities\RefineRTDCRunTimes.py" --tripid 234-12 --locoid 4028 --swversion DE.1.0.8.0 --startMP 204:232971 --initTime 2017-01-12T22:46:55 --startdatetime 2017-01-12T22:56:22 --delay 1 --endMP 204:147 --enddatetime 2017-01-12T23:36:42 --enforcementcount 0 &gt;&gt;C:\Users\stu\Documents\GitHub\eaglep3-reporting\EC\2017-01-12-refined-times.txt</v>
      </c>
      <c r="AI151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{"issue":{"subject":"","project_id":79,"tracker_id":40,"status_id":1,"priority_id":2,"assigned_to_id":23,"start_date":"2017-01-12","description":"","custom_fields":[{"id":1,"name":"Subdivision","value":"EC"},{"id":4,"name":"Milepost","value":"0.0147"},{"id":17,"name":"Train ID","value":"234-12"},{"id":16,"name":"Locomotive ID","value":"4028"},{"id":130,"name":"Impact","value":""},{"id":150,"name":"Time of Event (Mountain Time)","value":"23:36:42"},{"id":151,"name":"Denver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72"/>
        <v>start /low /b %USERPROFILE%\Documents\GitHub\eaglep3\Utilities\DownloadLogsFromS3.py --loco 4028 --day 2017-01-12</v>
      </c>
      <c r="AN151" s="18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"%USERPROFILE%\AppData\Local\Temp\OnboardLogs"\RTDC4028\*4028*20170113* | grep -SE "(Enforcement Action)|(\[TIMEOUT)|(CHR.+\|PRM\|1\|D.+(SWITCH|SIGNAL).+UNKNOWN)" - &gt;&gt; 2017-01-12-UncaughtWiMAX.txt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533</v>
      </c>
      <c r="B152" s="7">
        <v>4022</v>
      </c>
      <c r="C152" s="22" t="s">
        <v>201</v>
      </c>
      <c r="D152" s="22" t="s">
        <v>820</v>
      </c>
      <c r="E152" s="13">
        <v>42747.9221412037</v>
      </c>
      <c r="F152" s="13">
        <v>42747.937696759262</v>
      </c>
      <c r="G152" s="7">
        <v>2</v>
      </c>
      <c r="H152" s="22" t="s">
        <v>475</v>
      </c>
      <c r="I152" s="13">
        <v>42747.962719907409</v>
      </c>
      <c r="J152" s="7">
        <v>0</v>
      </c>
      <c r="K152" s="105" t="str">
        <f t="shared" si="58"/>
        <v>4021/4022</v>
      </c>
      <c r="L152" s="22" t="str">
        <f>VLOOKUP(A152,'Trips&amp;Operators'!$C$1:$G$99999,5,FALSE)</f>
        <v>HILLS DUSTIN</v>
      </c>
      <c r="M152" s="6">
        <f t="shared" si="59"/>
        <v>2.5023148147738539E-2</v>
      </c>
      <c r="N152" s="7">
        <f t="shared" si="56"/>
        <v>36.033333332743496</v>
      </c>
      <c r="O152" s="7"/>
      <c r="P152" s="7"/>
      <c r="Q152" s="23"/>
      <c r="R152" s="23"/>
      <c r="S152" s="32">
        <f t="shared" si="57"/>
        <v>1</v>
      </c>
      <c r="T152" s="47" t="str">
        <f t="shared" si="60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21:07:53-700',mode:absolute,to:'2017-01-13 00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52" s="49" t="str">
        <f t="shared" si="62"/>
        <v>N</v>
      </c>
      <c r="X152" s="173">
        <f t="shared" si="55"/>
        <v>1</v>
      </c>
      <c r="Y152" s="64">
        <f t="shared" si="63"/>
        <v>4.1099999999999998E-2</v>
      </c>
      <c r="Z152" s="64">
        <f t="shared" si="64"/>
        <v>23.338000000000001</v>
      </c>
      <c r="AA152" s="64">
        <f t="shared" si="65"/>
        <v>23.296900000000001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66"/>
        <v>0235-12</v>
      </c>
      <c r="AE152" s="87" t="str">
        <f t="shared" si="67"/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AF152" s="84" t="str">
        <f t="shared" si="68"/>
        <v>"C:\Program Files (x86)\AstroGrep\AstroGrep.exe" /spath="%USERPROFILE%\AppData\Local\Temp\OnboardLogs" /stypes="app*4022*20170113*" /stext=" 06:.+((SYSTEM_STATE.+slice.+state.+changed )|(ment ac)|(multiple cpu faults)|(system.+state.+changed )|(\[timeout)|(PRM\|1\|D)|(kpr)|(kdp)|(\|lc)|(penalty))" /e /r /s</v>
      </c>
      <c r="AG152" s="1" t="str">
        <f t="shared" si="69"/>
        <v>EC</v>
      </c>
      <c r="AH152" s="88" t="str">
        <f t="shared" si="70"/>
        <v>"%USERPROFILE%\Documents\GitHub\eaglep3\Utilities\RefineRTDCRunTimes.py" --tripid 235-12 --locoid 4022 --swversion DE.1.0.8.0 --startMP 204:411 --initTime 2017-01-12T22:07:53 --startdatetime 2017-01-12T22:30:17 --delay 2 --endMP 204:233380 --enddatetime 2017-01-12T23:06:19 --enforcementcount 0 &gt;&gt;C:\Users\stu\Documents\GitHub\eaglep3-reporting\EC\2017-01-12-refined-times.txt</v>
      </c>
      <c r="AI152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{"issue":{"subject":"","project_id":79,"tracker_id":40,"status_id":1,"priority_id":2,"assigned_to_id":23,"start_date":"2017-01-12","description":"","custom_fields":[{"id":1,"name":"Subdivision","value":"EC"},{"id":4,"name":"Milepost","value":"23.338"},{"id":17,"name":"Train ID","value":"235-12"},{"id":16,"name":"Locomotive ID","value":"4022"},{"id":130,"name":"Impact","value":""},{"id":150,"name":"Time of Event (Mountain Time)","value":"23:06:19"},{"id":151,"name":"Denver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72"/>
        <v>start /low /b %USERPROFILE%\Documents\GitHub\eaglep3\Utilities\DownloadLogsFromS3.py --loco 4022 --day 2017-01-12</v>
      </c>
      <c r="AN152" s="18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"%USERPROFILE%\AppData\Local\Temp\OnboardLogs"\RTDC4022\*4022*20170113* | grep -SE "(Enforcement Action)|(\[TIMEOUT)|(CHR.+\|PRM\|1\|D.+(SWITCH|SIGNAL).+UNKNOWN)" - &gt;&gt; 2017-01-12-UncaughtWiMAX.txt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534</v>
      </c>
      <c r="B153" s="7">
        <v>4021</v>
      </c>
      <c r="C153" s="22" t="s">
        <v>201</v>
      </c>
      <c r="D153" s="22" t="s">
        <v>821</v>
      </c>
      <c r="E153" s="13">
        <v>42747.964594907404</v>
      </c>
      <c r="F153" s="13">
        <v>42747.97693287037</v>
      </c>
      <c r="G153" s="7">
        <v>1</v>
      </c>
      <c r="H153" s="22" t="s">
        <v>484</v>
      </c>
      <c r="I153" s="13">
        <v>42748.004513888889</v>
      </c>
      <c r="J153" s="7">
        <v>0</v>
      </c>
      <c r="K153" s="105" t="str">
        <f t="shared" si="58"/>
        <v>4021/4022</v>
      </c>
      <c r="L153" s="22" t="str">
        <f>VLOOKUP(A153,'Trips&amp;Operators'!$C$1:$G$99999,5,FALSE)</f>
        <v>HILLS DUSTIN</v>
      </c>
      <c r="M153" s="6">
        <f t="shared" si="59"/>
        <v>2.7581018519413192E-2</v>
      </c>
      <c r="N153" s="7">
        <f t="shared" si="56"/>
        <v>39.716666667954996</v>
      </c>
      <c r="O153" s="7"/>
      <c r="P153" s="7"/>
      <c r="Q153" s="23"/>
      <c r="R153" s="23"/>
      <c r="S153" s="32">
        <f t="shared" si="57"/>
        <v>1</v>
      </c>
      <c r="T153" s="47" t="str">
        <f t="shared" si="60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22:09:01-700',mode:absolute,to:'2017-01-13 01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53" s="49" t="str">
        <f t="shared" si="62"/>
        <v>N</v>
      </c>
      <c r="X153" s="173">
        <f t="shared" si="55"/>
        <v>1</v>
      </c>
      <c r="Y153" s="64">
        <f t="shared" si="63"/>
        <v>23.308299999999999</v>
      </c>
      <c r="Z153" s="64">
        <f t="shared" si="64"/>
        <v>1.34E-2</v>
      </c>
      <c r="AA153" s="64">
        <f t="shared" si="65"/>
        <v>23.294899999999998</v>
      </c>
      <c r="AB153" s="61" t="str">
        <f>VLOOKUP(A153,Enforcements!$C$7:$K$16,8,0)</f>
        <v>Bulletin (2)</v>
      </c>
      <c r="AC153" s="57" t="str">
        <f>VLOOKUP(A153,Enforcements!$C$7:$E$16,3,0)</f>
        <v>GRADE CROSSING</v>
      </c>
      <c r="AD153" s="58" t="str">
        <f t="shared" si="66"/>
        <v>0236-12</v>
      </c>
      <c r="AE153" s="87" t="str">
        <f t="shared" si="67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153" s="84" t="str">
        <f t="shared" si="68"/>
        <v>"C:\Program Files (x86)\AstroGrep\AstroGrep.exe" /spath="%USERPROFILE%\AppData\Local\Temp\OnboardLogs" /stypes="app*4021*20170113*" /stext=" 07:.+((SYSTEM_STATE.+slice.+state.+changed )|(ment ac)|(multiple cpu faults)|(system.+state.+changed )|(\[timeout)|(PRM\|1\|D)|(kpr)|(kdp)|(\|lc)|(penalty))" /e /r /s</v>
      </c>
      <c r="AG153" s="1" t="str">
        <f t="shared" si="69"/>
        <v>EC</v>
      </c>
      <c r="AH153" s="88" t="str">
        <f t="shared" si="70"/>
        <v>"%USERPROFILE%\Documents\GitHub\eaglep3\Utilities\RefineRTDCRunTimes.py" --tripid 236-12 --locoid 4021 --swversion DE.1.0.8.0 --startMP 204:233083 --initTime 2017-01-12T23:09:01 --startdatetime 2017-01-12T23:26:47 --delay 1 --endMP 204:134 --enddatetime 2017-01-13T00:06:30 --enforcementcount 0 &gt;&gt;C:\Users\stu\Documents\GitHub\eaglep3-reporting\EC\2017-01-12-refined-times.txt</v>
      </c>
      <c r="AI153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{"issue":{"subject":"","project_id":79,"tracker_id":40,"status_id":1,"priority_id":2,"assigned_to_id":23,"start_date":"2017-01-13","description":"","custom_fields":[{"id":1,"name":"Subdivision","value":"EC"},{"id":4,"name":"Milepost","value":"0.0134"},{"id":17,"name":"Train ID","value":"236-12"},{"id":16,"name":"Locomotive ID","value":"4021"},{"id":130,"name":"Impact","value":""},{"id":150,"name":"Time of Event (Mountain Time)","value":"00:06:30"},{"id":151,"name":"Denver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72"/>
        <v>start /low /b %USERPROFILE%\Documents\GitHub\eaglep3\Utilities\DownloadLogsFromS3.py --loco 4021 --day 2017-01-12</v>
      </c>
      <c r="AN153" s="18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742</v>
      </c>
      <c r="B154" s="7">
        <v>4003</v>
      </c>
      <c r="C154" s="22" t="s">
        <v>201</v>
      </c>
      <c r="D154" s="22" t="s">
        <v>804</v>
      </c>
      <c r="E154" s="13">
        <v>42747.956342592595</v>
      </c>
      <c r="F154" s="13">
        <v>42747.958668981482</v>
      </c>
      <c r="G154" s="7">
        <v>1</v>
      </c>
      <c r="H154" s="22" t="s">
        <v>822</v>
      </c>
      <c r="I154" s="13">
        <v>42747.983703703707</v>
      </c>
      <c r="J154" s="7">
        <v>0</v>
      </c>
      <c r="K154" s="105" t="str">
        <f t="shared" si="58"/>
        <v>4003/4004</v>
      </c>
      <c r="L154" s="22" t="str">
        <f>VLOOKUP(A154,'Trips&amp;Operators'!$C$1:$G$99999,5,FALSE)</f>
        <v>CHANDLER KELVIN</v>
      </c>
      <c r="M154" s="6">
        <f t="shared" si="59"/>
        <v>2.5034722224518191E-2</v>
      </c>
      <c r="N154" s="7">
        <f t="shared" si="56"/>
        <v>36.050000003306195</v>
      </c>
      <c r="O154" s="7"/>
      <c r="P154" s="7"/>
      <c r="Q154" s="23"/>
      <c r="R154" s="23"/>
      <c r="S154" s="32">
        <f t="shared" si="57"/>
        <v>1</v>
      </c>
      <c r="T154" s="47" t="str">
        <f t="shared" si="60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21:57:08-700',mode:absolute,to:'2017-01-13 00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54" s="49" t="str">
        <f t="shared" si="62"/>
        <v>N</v>
      </c>
      <c r="X154" s="173">
        <f t="shared" si="55"/>
        <v>1</v>
      </c>
      <c r="Y154" s="64">
        <f t="shared" si="63"/>
        <v>4.7100000000000003E-2</v>
      </c>
      <c r="Z154" s="64">
        <f t="shared" si="64"/>
        <v>23.328399999999998</v>
      </c>
      <c r="AA154" s="64">
        <f t="shared" si="65"/>
        <v>23.281299999999998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66"/>
        <v>0237-12</v>
      </c>
      <c r="AE154" s="87" t="str">
        <f t="shared" si="67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154" s="84" t="str">
        <f t="shared" si="68"/>
        <v>"C:\Program Files (x86)\AstroGrep\AstroGrep.exe" /spath="%USERPROFILE%\AppData\Local\Temp\OnboardLogs" /stypes="app*4003*20170113*" /stext=" 06:.+((SYSTEM_STATE.+slice.+state.+changed )|(ment ac)|(multiple cpu faults)|(system.+state.+changed )|(\[timeout)|(PRM\|1\|D)|(kpr)|(kdp)|(\|lc)|(penalty))" /e /r /s</v>
      </c>
      <c r="AG154" s="1" t="str">
        <f t="shared" si="69"/>
        <v>EC</v>
      </c>
      <c r="AH154" s="88" t="str">
        <f t="shared" si="70"/>
        <v>"%USERPROFILE%\Documents\GitHub\eaglep3\Utilities\RefineRTDCRunTimes.py" --tripid 237-12 --locoid 4003 --swversion DE.1.0.8.0 --startMP 204:471 --initTime 2017-01-12T22:57:08 --startdatetime 2017-01-12T23:00:29 --delay 1 --endMP 204:233284 --enddatetime 2017-01-12T23:36:32 --enforcementcount 0 &gt;&gt;C:\Users\stu\Documents\GitHub\eaglep3-reporting\EC\2017-01-12-refined-times.txt</v>
      </c>
      <c r="AI154" s="115" t="str">
        <f t="shared" si="71"/>
        <v>echo {"issue":{"subject":"","project_id":79,"tracker_id":40,"status_id":1,"priority_id":2,"assigned_to_id":23,"start_date":"2017-01-12","description":"","custom_fields":[{"id":1,"name":"Subdivision","value":"EC"},{"id":4,"name":"Milepost","value":"23.3284"},{"id":17,"name":"Train ID","value":"237-12"},{"id":16,"name":"Locomotive ID","value":"4003"},{"id":130,"name":"Impact","value":""},{"id":150,"name":"Time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72"/>
        <v>start /low /b %USERPROFILE%\Documents\GitHub\eaglep3\Utilities\DownloadLogsFromS3.py --loco 4003 --day 2017-01-12</v>
      </c>
      <c r="AN154" s="18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745</v>
      </c>
      <c r="B155" s="7">
        <v>4004</v>
      </c>
      <c r="C155" s="22" t="s">
        <v>201</v>
      </c>
      <c r="D155" s="22" t="s">
        <v>823</v>
      </c>
      <c r="E155" s="13">
        <v>42747.992615740739</v>
      </c>
      <c r="F155" s="13">
        <v>42747.997557870367</v>
      </c>
      <c r="G155" s="7">
        <v>1</v>
      </c>
      <c r="H155" s="22" t="s">
        <v>243</v>
      </c>
      <c r="I155" s="13">
        <v>42748.027233796296</v>
      </c>
      <c r="J155" s="7">
        <v>0</v>
      </c>
      <c r="K155" s="105" t="str">
        <f t="shared" si="58"/>
        <v>4003/4004</v>
      </c>
      <c r="L155" s="22" t="str">
        <f>VLOOKUP(A155,'Trips&amp;Operators'!$C$1:$G$99999,5,FALSE)</f>
        <v>CHANDLER KELVIN</v>
      </c>
      <c r="M155" s="6">
        <f t="shared" si="59"/>
        <v>2.9675925929041114E-2</v>
      </c>
      <c r="N155" s="7">
        <f t="shared" si="56"/>
        <v>42.733333337819204</v>
      </c>
      <c r="O155" s="7"/>
      <c r="P155" s="7"/>
      <c r="Q155" s="23"/>
      <c r="R155" s="23"/>
      <c r="S155" s="32">
        <f t="shared" si="57"/>
        <v>1</v>
      </c>
      <c r="T155" s="47" t="str">
        <f t="shared" si="60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22:49:22-700',mode:absolute,to:'2017-01-13 01:39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55" s="49" t="str">
        <f t="shared" si="62"/>
        <v>N</v>
      </c>
      <c r="X155" s="173">
        <f t="shared" si="55"/>
        <v>1</v>
      </c>
      <c r="Y155" s="64">
        <f t="shared" si="63"/>
        <v>23.295300000000001</v>
      </c>
      <c r="Z155" s="64">
        <f t="shared" si="64"/>
        <v>1.6E-2</v>
      </c>
      <c r="AA155" s="64">
        <f t="shared" si="65"/>
        <v>23.279300000000003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66"/>
        <v>0238-12</v>
      </c>
      <c r="AE155" s="87" t="str">
        <f t="shared" si="67"/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AF155" s="84" t="str">
        <f t="shared" si="68"/>
        <v>"C:\Program Files (x86)\AstroGrep\AstroGrep.exe" /spath="%USERPROFILE%\AppData\Local\Temp\OnboardLogs" /stypes="app*4004*20170113*" /stext=" 07:.+((SYSTEM_STATE.+slice.+state.+changed )|(ment ac)|(multiple cpu faults)|(system.+state.+changed )|(\[timeout)|(PRM\|1\|D)|(kpr)|(kdp)|(\|lc)|(penalty))" /e /r /s</v>
      </c>
      <c r="AG155" s="1" t="str">
        <f t="shared" si="69"/>
        <v>EC</v>
      </c>
      <c r="AH155" s="88" t="str">
        <f t="shared" si="70"/>
        <v>"%USERPROFILE%\Documents\GitHub\eaglep3\Utilities\RefineRTDCRunTimes.py" --tripid 238-12 --locoid 4004 --swversion DE.1.0.8.0 --startMP 204:232953 --initTime 2017-01-12T23:49:22 --startdatetime 2017-01-12T23:56:29 --delay 1 --endMP 204:160 --enddatetime 2017-01-13T00:39:13 --enforcementcount 0 &gt;&gt;C:\Users\stu\Documents\GitHub\eaglep3-reporting\EC\2017-01-12-refined-times.txt</v>
      </c>
      <c r="AI155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{"issue":{"subject":"","project_id":79,"tracker_id":40,"status_id":1,"priority_id":2,"assigned_to_id":23,"start_date":"2017-01-13","description":"","custom_fields":[{"id":1,"name":"Subdivision","value":"EC"},{"id":4,"name":"Milepost","value":"0.016"},{"id":17,"name":"Train ID","value":"238-12"},{"id":16,"name":"Locomotive ID","value":"4004"},{"id":130,"name":"Impact","value":""},{"id":150,"name":"Time of Event (Mountain Time)","value":"00:39:13"},{"id":151,"name":"Denver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72"/>
        <v>start /low /b %USERPROFILE%\Documents\GitHub\eaglep3\Utilities\DownloadLogsFromS3.py --loco 4004 --day 2017-01-12</v>
      </c>
      <c r="AN155" s="18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"%USERPROFILE%\AppData\Local\Temp\OnboardLogs"\RTDC4004\*4004*20170113* | grep -SE "(Enforcement Action)|(\[TIMEOUT)|(CHR.+\|PRM\|1\|D.+(SWITCH|SIGNAL).+UNKNOWN)" - &gt;&gt; 2017-01-12-UncaughtWiMAX.txt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743</v>
      </c>
      <c r="B156" s="7">
        <v>4031</v>
      </c>
      <c r="C156" s="22" t="s">
        <v>201</v>
      </c>
      <c r="D156" s="22" t="s">
        <v>356</v>
      </c>
      <c r="E156" s="13">
        <v>42747.971215277779</v>
      </c>
      <c r="F156" s="13">
        <v>42747.979328703703</v>
      </c>
      <c r="G156" s="7">
        <v>1</v>
      </c>
      <c r="H156" s="22" t="s">
        <v>783</v>
      </c>
      <c r="I156" s="13">
        <v>42748.003750000003</v>
      </c>
      <c r="J156" s="7">
        <v>0</v>
      </c>
      <c r="K156" s="105" t="str">
        <f t="shared" si="58"/>
        <v>4031/4032</v>
      </c>
      <c r="L156" s="22" t="str">
        <f>VLOOKUP(A156,'Trips&amp;Operators'!$C$1:$G$99999,5,FALSE)</f>
        <v>NEWELL JAMES</v>
      </c>
      <c r="M156" s="6">
        <f t="shared" si="59"/>
        <v>2.4421296300715767E-2</v>
      </c>
      <c r="N156" s="7">
        <f t="shared" si="56"/>
        <v>35.166666673030704</v>
      </c>
      <c r="O156" s="7"/>
      <c r="P156" s="7"/>
      <c r="Q156" s="23"/>
      <c r="R156" s="23"/>
      <c r="S156" s="32">
        <f t="shared" si="57"/>
        <v>1</v>
      </c>
      <c r="T156" s="47" t="str">
        <f t="shared" si="60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22:18:33-700',mode:absolute,to:'2017-01-13 01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56" s="49" t="str">
        <f t="shared" si="62"/>
        <v>N</v>
      </c>
      <c r="X156" s="173">
        <f t="shared" si="55"/>
        <v>1</v>
      </c>
      <c r="Y156" s="64">
        <f t="shared" si="63"/>
        <v>4.5999999999999999E-2</v>
      </c>
      <c r="Z156" s="64">
        <f t="shared" si="64"/>
        <v>23.330200000000001</v>
      </c>
      <c r="AA156" s="64">
        <f t="shared" si="65"/>
        <v>23.284200000000002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66"/>
        <v>0239-12</v>
      </c>
      <c r="AE156" s="87" t="str">
        <f t="shared" si="67"/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AF156" s="84" t="str">
        <f t="shared" si="68"/>
        <v>"C:\Program Files (x86)\AstroGrep\AstroGrep.exe" /spath="%USERPROFILE%\AppData\Local\Temp\OnboardLogs" /stypes="app*4031*20170113*" /stext=" 07:.+((SYSTEM_STATE.+slice.+state.+changed )|(ment ac)|(multiple cpu faults)|(system.+state.+changed )|(\[timeout)|(PRM\|1\|D)|(kpr)|(kdp)|(\|lc)|(penalty))" /e /r /s</v>
      </c>
      <c r="AG156" s="1" t="str">
        <f t="shared" si="69"/>
        <v>EC</v>
      </c>
      <c r="AH156" s="88" t="str">
        <f t="shared" si="70"/>
        <v>"%USERPROFILE%\Documents\GitHub\eaglep3\Utilities\RefineRTDCRunTimes.py" --tripid 239-12 --locoid 4031 --swversion DE.1.0.8.0 --startMP 204:460 --initTime 2017-01-12T23:18:33 --startdatetime 2017-01-12T23:30:14 --delay 1 --endMP 204:233302 --enddatetime 2017-01-13T00:05:24 --enforcementcount 0 &gt;&gt;C:\Users\stu\Documents\GitHub\eaglep3-reporting\EC\2017-01-12-refined-times.txt</v>
      </c>
      <c r="AI156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{"issue":{"subject":"","project_id":79,"tracker_id":40,"status_id":1,"priority_id":2,"assigned_to_id":23,"start_date":"2017-01-13","description":"","custom_fields":[{"id":1,"name":"Subdivision","value":"EC"},{"id":4,"name":"Milepost","value":"23.3302"},{"id":17,"name":"Train ID","value":"239-12"},{"id":16,"name":"Locomotive ID","value":"4031"},{"id":130,"name":"Impact","value":""},{"id":150,"name":"Time of Event (Mountain Time)","value":"00:05:24"},{"id":151,"name":"Denver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72"/>
        <v>start /low /b %USERPROFILE%\Documents\GitHub\eaglep3\Utilities\DownloadLogsFromS3.py --loco 4031 --day 2017-01-12</v>
      </c>
      <c r="AN156" s="18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748</v>
      </c>
      <c r="B157" s="7">
        <v>4032</v>
      </c>
      <c r="C157" s="22" t="s">
        <v>201</v>
      </c>
      <c r="D157" s="22" t="s">
        <v>335</v>
      </c>
      <c r="E157" s="13">
        <v>42748.014861111114</v>
      </c>
      <c r="F157" s="13">
        <v>42748.018530092595</v>
      </c>
      <c r="G157" s="7">
        <v>1</v>
      </c>
      <c r="H157" s="22" t="s">
        <v>191</v>
      </c>
      <c r="I157" s="13">
        <v>42748.046180555553</v>
      </c>
      <c r="J157" s="7">
        <v>0</v>
      </c>
      <c r="K157" s="105" t="str">
        <f t="shared" si="58"/>
        <v>4031/4032</v>
      </c>
      <c r="L157" s="22" t="str">
        <f>VLOOKUP(A157,'Trips&amp;Operators'!$C$1:$G$99999,5,FALSE)</f>
        <v>NEWELL JAMES</v>
      </c>
      <c r="M157" s="6">
        <f t="shared" si="59"/>
        <v>2.7650462958263233E-2</v>
      </c>
      <c r="N157" s="7">
        <f t="shared" si="56"/>
        <v>39.816666659899056</v>
      </c>
      <c r="O157" s="7"/>
      <c r="P157" s="7"/>
      <c r="Q157" s="23"/>
      <c r="R157" s="23"/>
      <c r="S157" s="32">
        <f t="shared" si="57"/>
        <v>1</v>
      </c>
      <c r="T157" s="47" t="str">
        <f t="shared" si="60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23:21:24-700',mode:absolute,to:'2017-01-13 02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57" s="49" t="str">
        <f t="shared" si="62"/>
        <v>N</v>
      </c>
      <c r="X157" s="173">
        <f t="shared" si="55"/>
        <v>1</v>
      </c>
      <c r="Y157" s="64">
        <f t="shared" si="63"/>
        <v>23.299099999999999</v>
      </c>
      <c r="Z157" s="64">
        <f t="shared" si="64"/>
        <v>1.49E-2</v>
      </c>
      <c r="AA157" s="64">
        <f t="shared" si="65"/>
        <v>23.284199999999998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66"/>
        <v>0240-12</v>
      </c>
      <c r="AE157" s="87" t="str">
        <f t="shared" si="67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57" s="84" t="str">
        <f t="shared" si="68"/>
        <v>"C:\Program Files (x86)\AstroGrep\AstroGrep.exe" /spath="%USERPROFILE%\AppData\Local\Temp\OnboardLogs" /stypes="app*4032*20170113*" /stext=" 08:.+((SYSTEM_STATE.+slice.+state.+changed )|(ment ac)|(multiple cpu faults)|(system.+state.+changed )|(\[timeout)|(PRM\|1\|D)|(kpr)|(kdp)|(\|lc)|(penalty))" /e /r /s</v>
      </c>
      <c r="AG157" s="1" t="str">
        <f t="shared" si="69"/>
        <v>EC</v>
      </c>
      <c r="AH157" s="88" t="str">
        <f t="shared" si="70"/>
        <v>"%USERPROFILE%\Documents\GitHub\eaglep3\Utilities\RefineRTDCRunTimes.py" --tripid 240-12 --locoid 4032 --swversion DE.1.0.8.0 --startMP 204:232991 --initTime 2017-01-13T00:21:24 --startdatetime 2017-01-13T00:26:41 --delay 1 --endMP 204:149 --enddatetime 2017-01-13T01:06:30 --enforcementcount 0 &gt;&gt;C:\Users\stu\Documents\GitHub\eaglep3-reporting\EC\2017-01-12-refined-times.txt</v>
      </c>
      <c r="AI157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ID","value":"240-12"},{"id":16,"name":"Locomotive ID","value":"4032"},{"id":130,"name":"Impact","value":""},{"id":150,"name":"Time of Event (Mountain Time)","value":"01:06:30"},{"id":151,"name":"Denver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72"/>
        <v>start /low /b %USERPROFILE%\Documents\GitHub\eaglep3\Utilities\DownloadLogsFromS3.py --loco 4032 --day 2017-01-13</v>
      </c>
      <c r="AN157" s="18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744</v>
      </c>
      <c r="B158" s="7">
        <v>4027</v>
      </c>
      <c r="C158" s="22" t="s">
        <v>201</v>
      </c>
      <c r="D158" s="22" t="s">
        <v>356</v>
      </c>
      <c r="E158" s="13">
        <v>42747.990740740737</v>
      </c>
      <c r="F158" s="13">
        <v>42748.000358796293</v>
      </c>
      <c r="G158" s="7">
        <v>2</v>
      </c>
      <c r="H158" s="22" t="s">
        <v>824</v>
      </c>
      <c r="I158" s="13">
        <v>42748.026064814818</v>
      </c>
      <c r="J158" s="7">
        <v>0</v>
      </c>
      <c r="K158" s="105" t="str">
        <f t="shared" si="58"/>
        <v>4027/4028</v>
      </c>
      <c r="L158" s="22" t="str">
        <f>VLOOKUP(A158,'Trips&amp;Operators'!$C$1:$G$99999,5,FALSE)</f>
        <v>WHITED DUSTIN</v>
      </c>
      <c r="M158" s="6">
        <f t="shared" si="59"/>
        <v>2.570601852494292E-2</v>
      </c>
      <c r="N158" s="7">
        <f t="shared" si="56"/>
        <v>37.016666675917804</v>
      </c>
      <c r="O158" s="7"/>
      <c r="P158" s="7"/>
      <c r="Q158" s="23"/>
      <c r="R158" s="23"/>
      <c r="S158" s="32">
        <f t="shared" si="57"/>
        <v>1</v>
      </c>
      <c r="T158" s="47" t="str">
        <f t="shared" si="60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22:46:40-700',mode:absolute,to:'2017-01-13 01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58" s="49" t="str">
        <f t="shared" si="62"/>
        <v>N</v>
      </c>
      <c r="X158" s="173">
        <f t="shared" si="55"/>
        <v>1</v>
      </c>
      <c r="Y158" s="64">
        <f t="shared" si="63"/>
        <v>4.5999999999999999E-2</v>
      </c>
      <c r="Z158" s="64">
        <f t="shared" si="64"/>
        <v>23.327400000000001</v>
      </c>
      <c r="AA158" s="64">
        <f t="shared" si="65"/>
        <v>23.281400000000001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66"/>
        <v>0241-12</v>
      </c>
      <c r="AE158" s="87" t="str">
        <f t="shared" si="67"/>
        <v>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 &amp; 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</v>
      </c>
      <c r="AF158" s="84" t="str">
        <f t="shared" si="68"/>
        <v>"C:\Program Files (x86)\AstroGrep\AstroGrep.exe" /spath="%USERPROFILE%\AppData\Local\Temp\OnboardLogs" /stypes="app*4027*20170113*" /stext=" 07:.+((SYSTEM_STATE.+slice.+state.+changed )|(ment ac)|(multiple cpu faults)|(system.+state.+changed )|(\[timeout)|(PRM\|1\|D)|(kpr)|(kdp)|(\|lc)|(penalty))" /e /r /s</v>
      </c>
      <c r="AG158" s="1" t="str">
        <f t="shared" si="69"/>
        <v>EC</v>
      </c>
      <c r="AH158" s="88" t="str">
        <f t="shared" si="70"/>
        <v>"%USERPROFILE%\Documents\GitHub\eaglep3\Utilities\RefineRTDCRunTimes.py" --tripid 241-12 --locoid 4027 --swversion DE.1.0.8.0 --startMP 204:460 --initTime 2017-01-12T23:46:40 --startdatetime 2017-01-13T00:00:31 --delay 2 --endMP 204:233274 --enddatetime 2017-01-13T00:37:32 --enforcementcount 0 &gt;&gt;C:\Users\stu\Documents\GitHub\eaglep3-reporting\EC\2017-01-12-refined-times.txt</v>
      </c>
      <c r="AI158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{"issue":{"subject":"","project_id":79,"tracker_id":40,"status_id":1,"priority_id":2,"assigned_to_id":23,"start_date":"2017-01-13","description":"","custom_fields":[{"id":1,"name":"Subdivision","value":"EC"},{"id":4,"name":"Milepost","value":"23.3274"},{"id":17,"name":"Train ID","value":"241-12"},{"id":16,"name":"Locomotive ID","value":"4027"},{"id":130,"name":"Impact","value":""},{"id":150,"name":"Time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72"/>
        <v>start /low /b %USERPROFILE%\Documents\GitHub\eaglep3\Utilities\DownloadLogsFromS3.py --loco 4027 --day 2017-01-13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753</v>
      </c>
      <c r="B159" s="7">
        <v>4028</v>
      </c>
      <c r="C159" s="22" t="s">
        <v>201</v>
      </c>
      <c r="D159" s="22" t="s">
        <v>249</v>
      </c>
      <c r="E159" s="13">
        <v>42748.032118055555</v>
      </c>
      <c r="F159" s="13">
        <v>42748.039293981485</v>
      </c>
      <c r="G159" s="7">
        <v>1</v>
      </c>
      <c r="H159" s="22" t="s">
        <v>825</v>
      </c>
      <c r="I159" s="13">
        <v>42748.070173611108</v>
      </c>
      <c r="J159" s="7">
        <v>0</v>
      </c>
      <c r="K159" s="105" t="str">
        <f t="shared" si="58"/>
        <v>4027/4028</v>
      </c>
      <c r="L159" s="22" t="str">
        <f>VLOOKUP(A159,'Trips&amp;Operators'!$C$1:$G$99999,5,FALSE)</f>
        <v>WHITED DUSTIN</v>
      </c>
      <c r="M159" s="6">
        <f t="shared" si="59"/>
        <v>3.0879629623086657E-2</v>
      </c>
      <c r="N159" s="7">
        <f t="shared" si="56"/>
        <v>44.466666657244787</v>
      </c>
      <c r="O159" s="7"/>
      <c r="P159" s="7"/>
      <c r="Q159" s="23"/>
      <c r="R159" s="23"/>
      <c r="S159" s="32">
        <f t="shared" si="57"/>
        <v>1</v>
      </c>
      <c r="T159" s="47" t="str">
        <f t="shared" si="60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23:46:15-700',mode:absolute,to:'2017-01-13 02:41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59" s="49" t="str">
        <f t="shared" si="62"/>
        <v>N</v>
      </c>
      <c r="X159" s="173">
        <f t="shared" si="55"/>
        <v>1</v>
      </c>
      <c r="Y159" s="64">
        <f t="shared" si="63"/>
        <v>23.2986</v>
      </c>
      <c r="Z159" s="64">
        <f t="shared" si="64"/>
        <v>8.9999999999999993E-3</v>
      </c>
      <c r="AA159" s="64">
        <f t="shared" si="65"/>
        <v>23.2896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66"/>
        <v>0242-12</v>
      </c>
      <c r="AE159" s="87" t="str">
        <f t="shared" si="67"/>
        <v>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 &amp; 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</v>
      </c>
      <c r="AF159" s="84" t="str">
        <f t="shared" si="68"/>
        <v>"C:\Program Files (x86)\AstroGrep\AstroGrep.exe" /spath="%USERPROFILE%\AppData\Local\Temp\OnboardLogs" /stypes="app*4028*20170113*" /stext=" 08:.+((SYSTEM_STATE.+slice.+state.+changed )|(ment ac)|(multiple cpu faults)|(system.+state.+changed )|(\[timeout)|(PRM\|1\|D)|(kpr)|(kdp)|(\|lc)|(penalty))" /e /r /s</v>
      </c>
      <c r="AG159" s="1" t="str">
        <f t="shared" si="69"/>
        <v>EC</v>
      </c>
      <c r="AH159" s="88" t="str">
        <f t="shared" si="70"/>
        <v>"%USERPROFILE%\Documents\GitHub\eaglep3\Utilities\RefineRTDCRunTimes.py" --tripid 242-12 --locoid 4028 --swversion DE.1.0.8.0 --startMP 204:232986 --initTime 2017-01-13T00:46:15 --startdatetime 2017-01-13T00:56:35 --delay 1 --endMP 204:90 --enddatetime 2017-01-13T01:41:03 --enforcementcount 0 &gt;&gt;C:\Users\stu\Documents\GitHub\eaglep3-reporting\EC\2017-01-12-refined-times.txt</v>
      </c>
      <c r="AI159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{"issue":{"subject":"","project_id":79,"tracker_id":40,"status_id":1,"priority_id":2,"assigned_to_id":23,"start_date":"2017-01-13","description":"","custom_fields":[{"id":1,"name":"Subdivision","value":"EC"},{"id":4,"name":"Milepost","value":"0.009"},{"id":17,"name":"Train ID","value":"242-12"},{"id":16,"name":"Locomotive ID","value":"4028"},{"id":130,"name":"Impact","value":""},{"id":150,"name":"Time of Event (Mountain Time)","value":"01:41:03"},{"id":151,"name":"Denver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72"/>
        <v>start /low /b %USERPROFILE%\Documents\GitHub\eaglep3\Utilities\DownloadLogsFromS3.py --loco 4028 --day 2017-01-13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"%USERPROFILE%\AppData\Local\Temp\OnboardLogs"\RTDC4028\*4028*20170113* | grep -SE "(Enforcement Action)|(\[TIMEOUT)|(CHR.+\|PRM\|1\|D.+(SWITCH|SIGNAL).+UNKNOWN)" - &gt;&gt; 2017-01-12-UncaughtWiMAX.txt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4" t="s">
        <v>747</v>
      </c>
      <c r="B160" s="7">
        <v>4022</v>
      </c>
      <c r="C160" s="22" t="s">
        <v>201</v>
      </c>
      <c r="D160" s="22" t="s">
        <v>820</v>
      </c>
      <c r="E160" s="13">
        <v>42748.01189814815</v>
      </c>
      <c r="F160" s="13">
        <v>42748.021168981482</v>
      </c>
      <c r="G160" s="7">
        <v>2</v>
      </c>
      <c r="H160" s="22" t="s">
        <v>475</v>
      </c>
      <c r="I160" s="13">
        <v>42748.047650462962</v>
      </c>
      <c r="J160" s="7">
        <v>0</v>
      </c>
      <c r="K160" s="105" t="str">
        <f t="shared" si="58"/>
        <v>4021/4022</v>
      </c>
      <c r="L160" s="22" t="str">
        <f>VLOOKUP(A160,'Trips&amp;Operators'!$C$1:$G$99999,5,FALSE)</f>
        <v>HILLS DUSTIN</v>
      </c>
      <c r="M160" s="6">
        <f t="shared" si="59"/>
        <v>2.6481481480004732E-2</v>
      </c>
      <c r="N160" s="7">
        <f t="shared" si="56"/>
        <v>38.133333331206813</v>
      </c>
      <c r="O160" s="7"/>
      <c r="P160" s="7"/>
      <c r="Q160" s="23"/>
      <c r="R160" s="23" t="s">
        <v>949</v>
      </c>
      <c r="S160" s="32">
        <v>1</v>
      </c>
      <c r="T160" s="47" t="s">
        <v>948</v>
      </c>
      <c r="U160" s="167">
        <v>12</v>
      </c>
      <c r="V16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23:17:08-700',mode:absolute,to:'2017-01-13 02:08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60" s="49" t="str">
        <f t="shared" si="62"/>
        <v>N</v>
      </c>
      <c r="X160" s="173">
        <v>1</v>
      </c>
      <c r="Y160" s="64">
        <f t="shared" si="63"/>
        <v>4.1099999999999998E-2</v>
      </c>
      <c r="Z160" s="64">
        <f t="shared" si="64"/>
        <v>23.338000000000001</v>
      </c>
      <c r="AA160" s="64">
        <f t="shared" si="65"/>
        <v>23.296900000000001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66"/>
        <v>65-12</v>
      </c>
      <c r="AE160" s="87" t="str">
        <f t="shared" si="67"/>
        <v>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 &amp; 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</v>
      </c>
      <c r="AF160" s="84" t="str">
        <f t="shared" si="68"/>
        <v>"C:\Program Files (x86)\AstroGrep\AstroGrep.exe" /spath="%USERPROFILE%\AppData\Local\Temp\OnboardLogs" /stypes="app*4022*20170113*" /stext=" 08:.+((SYSTEM_STATE.+slice.+state.+changed )|(ment ac)|(multiple cpu faults)|(system.+state.+changed )|(\[timeout)|(PRM\|1\|D)|(kpr)|(kdp)|(\|lc)|(penalty))" /e /r /s</v>
      </c>
      <c r="AG160" s="1" t="s">
        <v>105</v>
      </c>
      <c r="AH160" s="88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65-12 --locoid 4022 --swversion DE.1.0.8.0 --startMP 204:411 --initTime 2017-01-13T00:17:08 --startdatetime 2017-01-13T00:30:29 --delay 2 --endMP 204:233380 --enddatetime 2017-01-13T01:08:37 --enforcementcount 0 &gt;&gt;C:\Users\stu\Documents\GitHub\eaglep3-reporting\EC\2017-01-12-refined-times.txt</v>
      </c>
      <c r="AI160" s="115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{"issue":{"subject":"243-12 not found in TMDS, used 65-12 instead","project_id":79,"tracker_id":40,"status_id":1,"priority_id":2,"assigned_to_id":23,"start_date":"2017-01-13","description":"","custom_fields":[{"id":1,"name":"Subdivision","value":"EC"},{"id":4,"name":"Milepost","value":"23.338"},{"id":17,"name":"Train ID","value":"65-12"},{"id":16,"name":"Locomotive ID","value":"4022"},{"id":130,"name":"Impact","value":""},{"id":150,"name":"Time of Event (Mountain Time)","value":"01:08:37"},{"id":151,"name":"Denver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>"start /low /b "&amp;dls3logs&amp;" --loco "&amp;B160&amp;" --day "&amp;TEXT(F160,"YYYY-MM-DD")</f>
        <v>start /low /b %USERPROFILE%\Documents\GitHub\eaglep3\Utilities\DownloadLogsFromS3.py --loco 4022 --day 2017-01-13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"%USERPROFILE%\AppData\Local\Temp\OnboardLogs"\RTDC4022\*4022*20170113* | grep -SE "(Enforcement Action)|(\[TIMEOUT)|(CHR.+\|PRM\|1\|D.+(SWITCH|SIGNAL).+UNKNOWN)" - &gt;&gt; 2017-01-12-UncaughtWiMAX.txt</v>
      </c>
    </row>
    <row r="161" spans="1:91" s="21" customFormat="1" x14ac:dyDescent="0.25">
      <c r="A161" s="34" t="s">
        <v>755</v>
      </c>
      <c r="B161" s="7">
        <v>4021</v>
      </c>
      <c r="C161" s="22" t="s">
        <v>201</v>
      </c>
      <c r="D161" s="22" t="s">
        <v>826</v>
      </c>
      <c r="E161" s="13">
        <v>42748.050798611112</v>
      </c>
      <c r="F161" s="13">
        <v>42748.059942129628</v>
      </c>
      <c r="G161" s="7">
        <v>1</v>
      </c>
      <c r="H161" s="22" t="s">
        <v>827</v>
      </c>
      <c r="I161" s="13">
        <v>42748.08697916667</v>
      </c>
      <c r="J161" s="7">
        <v>0</v>
      </c>
      <c r="K161" s="105" t="str">
        <f t="shared" si="58"/>
        <v>4021/4022</v>
      </c>
      <c r="L161" s="22" t="str">
        <f>VLOOKUP(A161,'Trips&amp;Operators'!$C$1:$G$99999,5,FALSE)</f>
        <v>HILLS DUSTIN</v>
      </c>
      <c r="M161" s="6">
        <f t="shared" si="59"/>
        <v>2.7037037041736767E-2</v>
      </c>
      <c r="N161" s="7">
        <f t="shared" si="56"/>
        <v>38.933333340100944</v>
      </c>
      <c r="O161" s="7"/>
      <c r="P161" s="7"/>
      <c r="Q161" s="23"/>
      <c r="R161" s="23"/>
      <c r="S161" s="32">
        <f t="shared" ref="S161:S192" si="73">SUM(U161:U161)/IF(AG161="EC",12,1)</f>
        <v>1</v>
      </c>
      <c r="T161" s="47" t="str">
        <f t="shared" ref="T161:T192" si="74">IF(ISEVEN(LEFT(AD161,4)),"Southbound","NorthBound")</f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https://search-rtdc-monitor-bjffxe2xuh6vdkpspy63sjmuny.us-east-1.es.amazonaws.com/_plugin/kibana/#/discover/Steve-Slow-Train-Analysis-(2080s-and-2083s)?_g=(refreshInterval:(display:Off,section:0,value:0),time:(from:'2017-01-13 00:13:09-700',mode:absolute,to:'2017-01-13 03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61" s="49" t="str">
        <f t="shared" si="62"/>
        <v>N</v>
      </c>
      <c r="X161" s="190">
        <f>VALUE(LEFT(AD161,4))-VALUE(LEFT(AD159,4))</f>
        <v>2</v>
      </c>
      <c r="Y161" s="64">
        <f t="shared" si="63"/>
        <v>23.310600000000001</v>
      </c>
      <c r="Z161" s="64">
        <f t="shared" si="64"/>
        <v>6.7999999999999996E-3</v>
      </c>
      <c r="AA161" s="64">
        <f t="shared" si="65"/>
        <v>23.303800000000003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66"/>
        <v>0244-12</v>
      </c>
      <c r="AE161" s="87" t="str">
        <f t="shared" si="67"/>
        <v>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 &amp; 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</v>
      </c>
      <c r="AF161" s="84" t="str">
        <f t="shared" si="68"/>
        <v>"C:\Program Files (x86)\AstroGrep\AstroGrep.exe" /spath="%USERPROFILE%\AppData\Local\Temp\OnboardLogs" /stypes="app*4021*20170113*" /stext=" 09:.+((SYSTEM_STATE.+slice.+state.+changed )|(ment ac)|(multiple cpu faults)|(system.+state.+changed )|(\[timeout)|(PRM\|1\|D)|(kpr)|(kdp)|(\|lc)|(penalty))" /e /r /s</v>
      </c>
      <c r="AG161" s="1" t="str">
        <f t="shared" ref="AG161:AG192" si="75">IFERROR(IF(VALUE(LEFT(AD161,2))&lt;=2,"EC",IF(OR(VALUE(LEFT(AD161,2))=8,VALUE(LEFT(AD161,2))=18),"NW","Other")),"Other")</f>
        <v>EC</v>
      </c>
      <c r="AH161" s="88" t="str">
        <f t="shared" si="70"/>
        <v>"%USERPROFILE%\Documents\GitHub\eaglep3\Utilities\RefineRTDCRunTimes.py" --tripid 244-12 --locoid 4021 --swversion DE.1.0.8.0 --startMP 204:233106 --initTime 2017-01-13T01:13:09 --startdatetime 2017-01-13T01:26:19 --delay 1 --endMP 204:68 --enddatetime 2017-01-13T02:05:15 --enforcementcount 0 &gt;&gt;C:\Users\stu\Documents\GitHub\eaglep3-reporting\EC\2017-01-12-refined-times.txt</v>
      </c>
      <c r="AI161" s="115" t="str">
        <f t="shared" si="71"/>
        <v>echo {"issue":{"subject":"","project_id":79,"tracker_id":40,"status_id":1,"priority_id":2,"assigned_to_id":23,"start_date":"2017-01-13","description":"","custom_fields":[{"id":1,"name":"Subdivision","value":"EC"},{"id":4,"name":"Milepost","value":"0.0068"},{"id":17,"name":"Train ID","value":"244-12"},{"id":16,"name":"Locomotive ID","value":"4021"},{"id":130,"name":"Impact","value":""},{"id":150,"name":"Time of Event (Mountain Time)","value":"02:05:15"},{"id":151,"name":"Denver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72"/>
        <v>start /low /b %USERPROFILE%\Documents\GitHub\eaglep3\Utilities\DownloadLogsFromS3.py --loco 4021 --day 2017-01-13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2017-01-12-UncaughtWiMAX.txt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4" t="s">
        <v>551</v>
      </c>
      <c r="B162" s="7">
        <v>4008</v>
      </c>
      <c r="C162" s="22" t="s">
        <v>201</v>
      </c>
      <c r="D162" s="22" t="s">
        <v>869</v>
      </c>
      <c r="E162" s="13">
        <v>42747.211284722223</v>
      </c>
      <c r="F162" s="13">
        <v>42747.215497685182</v>
      </c>
      <c r="G162" s="7">
        <v>1</v>
      </c>
      <c r="H162" s="22" t="s">
        <v>870</v>
      </c>
      <c r="I162" s="13">
        <v>42747.227337962962</v>
      </c>
      <c r="J162" s="7">
        <v>0</v>
      </c>
      <c r="K162" s="105" t="str">
        <f t="shared" si="58"/>
        <v>4007/4008</v>
      </c>
      <c r="L162" s="22" t="str">
        <f>VLOOKUP(A162,'Trips&amp;Operators'!$C$1:$G$99999,5,FALSE)</f>
        <v>SHOOK JOHN</v>
      </c>
      <c r="M162" s="6">
        <f t="shared" si="59"/>
        <v>1.1840277780720498E-2</v>
      </c>
      <c r="N162" s="7">
        <f t="shared" si="56"/>
        <v>17.050000004237518</v>
      </c>
      <c r="O162" s="7"/>
      <c r="P162" s="7"/>
      <c r="Q162" s="23"/>
      <c r="R162" s="23"/>
      <c r="S162" s="32">
        <f t="shared" si="73"/>
        <v>1</v>
      </c>
      <c r="T162" s="47" t="str">
        <f t="shared" si="74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04:04:15-700',mode:absolute,to:'2017-01-12 06:27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62" s="49" t="str">
        <f t="shared" si="62"/>
        <v>N</v>
      </c>
      <c r="X162" s="173">
        <f t="shared" ref="X162:X169" si="76">VALUE(LEFT(AD162,4))-VALUE(LEFT(AD161,4))</f>
        <v>556</v>
      </c>
      <c r="Y162" s="64">
        <f t="shared" si="63"/>
        <v>5.8654999999999999</v>
      </c>
      <c r="Z162" s="64">
        <f t="shared" si="64"/>
        <v>7.3099999999999998E-2</v>
      </c>
      <c r="AA162" s="64">
        <f t="shared" si="65"/>
        <v>5.7923999999999998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66"/>
        <v>0800-12</v>
      </c>
      <c r="AE162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62" s="84" t="str">
        <f t="shared" si="68"/>
        <v>"C:\Program Files (x86)\AstroGrep\AstroGrep.exe" /spath="%USERPROFILE%\AppData\Local\Temp\OnboardLogs" /stypes="app*4008*20170112*" /stext=" 12:.+((SYSTEM_STATE.+slice.+state.+changed )|(ment ac)|(multiple cpu faults)|(system.+state.+changed )|(\[timeout)|(PRM\|1\|D)|(kpr)|(kdp)|(\|lc)|(penalty))" /e /r /s</v>
      </c>
      <c r="AG162" s="1" t="str">
        <f t="shared" si="75"/>
        <v>NW</v>
      </c>
      <c r="AH162" s="88" t="str">
        <f t="shared" si="70"/>
        <v>"%USERPROFILE%\Documents\GitHub\eaglep3\Utilities\RefineRTDCRunTimes.py" --tripid 800-12 --locoid 4008 --swversion DE.1.0.8.0 --startMP 300:58655 --initTime 2017-01-12T05:04:15 --startdatetime 2017-01-12T05:10:19 --delay 1 --endMP 204:731 --enddatetime 2017-01-12T05:27:22 --enforcementcount 0 &gt;&gt;C:\Users\stu\Documents\GitHub\eaglep3-reporting\EC\2017-01-12-refined-times.txt</v>
      </c>
      <c r="AI162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{"issue":{"subject":"","project_id":79,"tracker_id":40,"status_id":1,"priority_id":2,"assigned_to_id":23,"start_date":"2017-01-12","description":"","custom_fields":[{"id":1,"name":"Subdivision","value":"NW"},{"id":4,"name":"Milepost","value":"0.0731"},{"id":17,"name":"Train ID","value":"800-12"},{"id":16,"name":"Locomotive ID","value":"4008"},{"id":130,"name":"Impact","value":""},{"id":150,"name":"Time of Event (Mountain Time)","value":"05:27:22"},{"id":151,"name":"Denver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72"/>
        <v>start /low /b %USERPROFILE%\Documents\GitHub\eaglep3\Utilities\DownloadLogsFromS3.py --loco 4008 --day 2017-01-12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</row>
    <row r="163" spans="1:91" s="21" customFormat="1" x14ac:dyDescent="0.25">
      <c r="A163" s="34" t="s">
        <v>554</v>
      </c>
      <c r="B163" s="7">
        <v>4007</v>
      </c>
      <c r="C163" s="22" t="s">
        <v>201</v>
      </c>
      <c r="D163" s="22" t="s">
        <v>871</v>
      </c>
      <c r="E163" s="13">
        <v>42747.231747685182</v>
      </c>
      <c r="F163" s="13">
        <v>42747.24009259259</v>
      </c>
      <c r="G163" s="7">
        <v>12</v>
      </c>
      <c r="H163" s="22" t="s">
        <v>872</v>
      </c>
      <c r="I163" s="13">
        <v>42747.240787037037</v>
      </c>
      <c r="J163" s="7">
        <v>0</v>
      </c>
      <c r="K163" s="105" t="str">
        <f t="shared" si="58"/>
        <v>4007/4008</v>
      </c>
      <c r="L163" s="22" t="str">
        <f>VLOOKUP(A163,'Trips&amp;Operators'!$C$1:$G$99999,5,FALSE)</f>
        <v>SHOOK JOHN</v>
      </c>
      <c r="M163" s="6">
        <f t="shared" si="59"/>
        <v>6.944444467080757E-4</v>
      </c>
      <c r="N163" s="7"/>
      <c r="O163" s="7"/>
      <c r="P163" s="7">
        <f>24*60*SUM($M163:$M163)</f>
        <v>1.000000003259629</v>
      </c>
      <c r="Q163" s="23"/>
      <c r="R163" s="23" t="s">
        <v>312</v>
      </c>
      <c r="S163" s="32">
        <f t="shared" si="73"/>
        <v>0</v>
      </c>
      <c r="T163" s="47" t="str">
        <f t="shared" si="74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04:33:43-700',mode:absolute,to:'2017-01-12 06:46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63" s="49" t="str">
        <f t="shared" si="62"/>
        <v>Y</v>
      </c>
      <c r="X163" s="173">
        <f t="shared" si="76"/>
        <v>1</v>
      </c>
      <c r="Y163" s="64">
        <v>0</v>
      </c>
      <c r="Z163" s="64">
        <v>0</v>
      </c>
      <c r="AA163" s="64">
        <f t="shared" si="65"/>
        <v>0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66"/>
        <v>0801-12</v>
      </c>
      <c r="AE163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63" s="84" t="str">
        <f t="shared" si="68"/>
        <v>"C:\Program Files (x86)\AstroGrep\AstroGrep.exe" /spath="%USERPROFILE%\AppData\Local\Temp\OnboardLogs" /stypes="app*4007*20170112*" /stext=" 12:.+((SYSTEM_STATE.+slice.+state.+changed )|(ment ac)|(multiple cpu faults)|(system.+state.+changed )|(\[timeout)|(PRM\|1\|D)|(kpr)|(kdp)|(\|lc)|(penalty))" /e /r /s</v>
      </c>
      <c r="AG163" s="1" t="str">
        <f t="shared" si="75"/>
        <v>NW</v>
      </c>
      <c r="AH163" s="88" t="str">
        <f t="shared" si="70"/>
        <v>"%USERPROFILE%\Documents\GitHub\eaglep3\Utilities\RefineRTDCRunTimes.py" --tripid 801-12 --locoid 4007 --swversion DE.1.0.8.0 --startMP 204:1034 --initTime 2017-01-12T05:33:43 --startdatetime 2017-01-12T05:45:44 --delay 12 --endMP 300:58992 --enddatetime 2017-01-12T05:46:44 --enforcementcount 0 &gt;&gt;C:\Users\stu\Documents\GitHub\eaglep3-reporting\EC\2017-01-12-refined-times.txt</v>
      </c>
      <c r="AI163" s="115" t="str">
        <f t="shared" si="71"/>
        <v>echo {"issue":{"subject":"Onboard in-route failure","project_id":79,"tracker_id":40,"status_id":1,"priority_id":2,"assigned_to_id":23,"start_date":"2017-01-12","description":"","custom_fields":[{"id":1,"name":"Subdivision","value":"NW"},{"id":4,"name":"Milepost","value":"0"},{"id":17,"name":"Train ID","value":"801-12"},{"id":16,"name":"Locomotive ID","value":"4007"},{"id":130,"name":"Impact","value":""},{"id":150,"name":"Time of Event (Mountain Time)","value":"05:46:44"},{"id":151,"name":"Denver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72"/>
        <v>start /low /b %USERPROFILE%\Documents\GitHub\eaglep3\Utilities\DownloadLogsFromS3.py --loco 4007 --day 2017-01-12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562</v>
      </c>
      <c r="B164" s="7">
        <v>4008</v>
      </c>
      <c r="C164" s="22" t="s">
        <v>201</v>
      </c>
      <c r="D164" s="22" t="s">
        <v>874</v>
      </c>
      <c r="E164" s="13">
        <v>42747.257094907407</v>
      </c>
      <c r="F164" s="13">
        <v>42747.258993055555</v>
      </c>
      <c r="G164" s="7">
        <v>1</v>
      </c>
      <c r="H164" s="22" t="s">
        <v>875</v>
      </c>
      <c r="I164" s="13">
        <v>42747.270162037035</v>
      </c>
      <c r="J164" s="7">
        <v>0</v>
      </c>
      <c r="K164" s="105" t="str">
        <f t="shared" si="58"/>
        <v>4007/4008</v>
      </c>
      <c r="L164" s="22" t="str">
        <f>VLOOKUP(A164,'Trips&amp;Operators'!$C$1:$G$99999,5,FALSE)</f>
        <v>SHOOK JOHN</v>
      </c>
      <c r="M164" s="6">
        <f t="shared" si="59"/>
        <v>1.116898148029577E-2</v>
      </c>
      <c r="N164" s="7">
        <f t="shared" ref="N164:N189" si="77">24*60*SUM($M164:$M164)</f>
        <v>16.083333331625909</v>
      </c>
      <c r="O164" s="7"/>
      <c r="P164" s="7"/>
      <c r="Q164" s="23"/>
      <c r="R164" s="23"/>
      <c r="S164" s="32">
        <f t="shared" si="73"/>
        <v>1</v>
      </c>
      <c r="T164" s="47" t="str">
        <f t="shared" si="74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05:10:13-700',mode:absolute,to:'2017-01-12 07:29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64" s="49" t="str">
        <f t="shared" si="62"/>
        <v>N</v>
      </c>
      <c r="X164" s="173">
        <f t="shared" si="76"/>
        <v>1</v>
      </c>
      <c r="Y164" s="64">
        <f t="shared" ref="Y164:Y189" si="78">RIGHT(D164,LEN(D164)-4)/10000</f>
        <v>5.8708999999999998</v>
      </c>
      <c r="Z164" s="64">
        <f t="shared" ref="Z164:Z189" si="79">RIGHT(H164,LEN(H164)-4)/10000</f>
        <v>7.2900000000000006E-2</v>
      </c>
      <c r="AA164" s="64">
        <f t="shared" si="65"/>
        <v>5.798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66"/>
        <v>0802-12</v>
      </c>
      <c r="AE164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64" s="84" t="str">
        <f t="shared" si="68"/>
        <v>"C:\Program Files (x86)\AstroGrep\AstroGrep.exe" /spath="%USERPROFILE%\AppData\Local\Temp\OnboardLogs" /stypes="app*4008*20170112*" /stext=" 13:.+((SYSTEM_STATE.+slice.+state.+changed )|(ment ac)|(multiple cpu faults)|(system.+state.+changed )|(\[timeout)|(PRM\|1\|D)|(kpr)|(kdp)|(\|lc)|(penalty))" /e /r /s</v>
      </c>
      <c r="AG164" s="1" t="str">
        <f t="shared" si="75"/>
        <v>NW</v>
      </c>
      <c r="AH164" s="88" t="str">
        <f t="shared" si="70"/>
        <v>"%USERPROFILE%\Documents\GitHub\eaglep3\Utilities\RefineRTDCRunTimes.py" --tripid 802-12 --locoid 4008 --swversion DE.1.0.8.0 --startMP 300:58709 --initTime 2017-01-12T06:10:13 --startdatetime 2017-01-12T06:12:57 --delay 1 --endMP 204:729 --enddatetime 2017-01-12T06:29:02 --enforcementcount 0 &gt;&gt;C:\Users\stu\Documents\GitHub\eaglep3-reporting\EC\2017-01-12-refined-times.txt</v>
      </c>
      <c r="AI164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{"issue":{"subject":"","project_id":79,"tracker_id":40,"status_id":1,"priority_id":2,"assigned_to_id":23,"start_date":"2017-01-12","description":"","custom_fields":[{"id":1,"name":"Subdivision","value":"NW"},{"id":4,"name":"Milepost","value":"0.0729"},{"id":17,"name":"Train ID","value":"802-12"},{"id":16,"name":"Locomotive ID","value":"4008"},{"id":130,"name":"Impact","value":""},{"id":150,"name":"Time of Event (Mountain Time)","value":"06:29:02"},{"id":151,"name":"Denver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72"/>
        <v>start /low /b %USERPROFILE%\Documents\GitHub\eaglep3\Utilities\DownloadLogsFromS3.py --loco 4008 --day 2017-01-12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563</v>
      </c>
      <c r="B165" s="7">
        <v>4046</v>
      </c>
      <c r="C165" s="22" t="s">
        <v>201</v>
      </c>
      <c r="D165" s="22" t="s">
        <v>496</v>
      </c>
      <c r="E165" s="13">
        <v>42747.260659722226</v>
      </c>
      <c r="F165" s="13">
        <v>42747.26489583333</v>
      </c>
      <c r="G165" s="7">
        <v>2</v>
      </c>
      <c r="H165" s="22" t="s">
        <v>490</v>
      </c>
      <c r="I165" s="13">
        <v>42747.274351851855</v>
      </c>
      <c r="J165" s="7">
        <v>0</v>
      </c>
      <c r="K165" s="105" t="str">
        <f t="shared" si="58"/>
        <v>4045/4046</v>
      </c>
      <c r="L165" s="22" t="str">
        <f>VLOOKUP(A165,'Trips&amp;Operators'!$C$1:$G$99999,5,FALSE)</f>
        <v>LOZA FIDEL</v>
      </c>
      <c r="M165" s="6">
        <f t="shared" si="59"/>
        <v>9.456018524360843E-3</v>
      </c>
      <c r="N165" s="7">
        <f t="shared" si="77"/>
        <v>13.616666675079614</v>
      </c>
      <c r="O165" s="7"/>
      <c r="P165" s="7"/>
      <c r="Q165" s="23"/>
      <c r="R165" s="23"/>
      <c r="S165" s="32">
        <f t="shared" si="73"/>
        <v>1</v>
      </c>
      <c r="T165" s="47" t="str">
        <f t="shared" si="74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05:15:21-700',mode:absolute,to:'2017-01-12 07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5" s="49" t="str">
        <f t="shared" si="62"/>
        <v>N</v>
      </c>
      <c r="X165" s="173">
        <f t="shared" si="76"/>
        <v>1</v>
      </c>
      <c r="Y165" s="64">
        <f t="shared" si="78"/>
        <v>9.69E-2</v>
      </c>
      <c r="Z165" s="64">
        <f t="shared" si="79"/>
        <v>5.8943000000000003</v>
      </c>
      <c r="AA165" s="64">
        <f t="shared" si="65"/>
        <v>5.7974000000000006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66"/>
        <v>0803-12</v>
      </c>
      <c r="AE165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65" s="84" t="str">
        <f t="shared" si="68"/>
        <v>"C:\Program Files (x86)\AstroGrep\AstroGrep.exe" /spath="%USERPROFILE%\AppData\Local\Temp\OnboardLogs" /stypes="app*4046*20170112*" /stext=" 13:.+((SYSTEM_STATE.+slice.+state.+changed )|(ment ac)|(multiple cpu faults)|(system.+state.+changed )|(\[timeout)|(PRM\|1\|D)|(kpr)|(kdp)|(\|lc)|(penalty))" /e /r /s</v>
      </c>
      <c r="AG165" s="1" t="str">
        <f t="shared" si="75"/>
        <v>NW</v>
      </c>
      <c r="AH165" s="88" t="str">
        <f t="shared" si="70"/>
        <v>"%USERPROFILE%\Documents\GitHub\eaglep3\Utilities\RefineRTDCRunTimes.py" --tripid 803-12 --locoid 4046 --swversion DE.1.0.8.0 --startMP 204:969 --initTime 2017-01-12T06:15:21 --startdatetime 2017-01-12T06:21:27 --delay 2 --endMP 300:58943 --enddatetime 2017-01-12T06:35:04 --enforcementcount 0 &gt;&gt;C:\Users\stu\Documents\GitHub\eaglep3-reporting\EC\2017-01-12-refined-times.txt</v>
      </c>
      <c r="AI165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{"issue":{"subject":"","project_id":79,"tracker_id":40,"status_id":1,"priority_id":2,"assigned_to_id":23,"start_date":"2017-01-12","description":"","custom_fields":[{"id":1,"name":"Subdivision","value":"NW"},{"id":4,"name":"Milepost","value":"5.8943"},{"id":17,"name":"Train ID","value":"803-12"},{"id":16,"name":"Locomotive ID","value":"4046"},{"id":130,"name":"Impact","value":""},{"id":150,"name":"Time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72"/>
        <v>start /low /b %USERPROFILE%\Documents\GitHub\eaglep3\Utilities\DownloadLogsFromS3.py --loco 4046 --day 2017-01-12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569</v>
      </c>
      <c r="B166" s="7">
        <v>4045</v>
      </c>
      <c r="C166" s="22" t="s">
        <v>201</v>
      </c>
      <c r="D166" s="22" t="s">
        <v>876</v>
      </c>
      <c r="E166" s="13">
        <v>42747.27542824074</v>
      </c>
      <c r="F166" s="13">
        <v>42747.276967592596</v>
      </c>
      <c r="G166" s="7">
        <v>1</v>
      </c>
      <c r="H166" s="22" t="s">
        <v>505</v>
      </c>
      <c r="I166" s="13">
        <v>42747.288946759261</v>
      </c>
      <c r="J166" s="7">
        <v>0</v>
      </c>
      <c r="K166" s="105" t="str">
        <f t="shared" si="58"/>
        <v>4045/4046</v>
      </c>
      <c r="L166" s="22" t="str">
        <f>VLOOKUP(A166,'Trips&amp;Operators'!$C$1:$G$99999,5,FALSE)</f>
        <v>LOZA FIDEL</v>
      </c>
      <c r="M166" s="6">
        <f t="shared" si="59"/>
        <v>1.1979166665696539E-2</v>
      </c>
      <c r="N166" s="7">
        <f t="shared" si="77"/>
        <v>17.249999998603016</v>
      </c>
      <c r="O166" s="7"/>
      <c r="P166" s="7"/>
      <c r="Q166" s="23"/>
      <c r="R166" s="23"/>
      <c r="S166" s="32">
        <f t="shared" si="73"/>
        <v>1</v>
      </c>
      <c r="T166" s="47" t="str">
        <f t="shared" si="74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05:36:37-700',mode:absolute,to:'2017-01-12 07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6" s="49" t="str">
        <f t="shared" si="62"/>
        <v>N</v>
      </c>
      <c r="X166" s="173">
        <f t="shared" si="76"/>
        <v>1</v>
      </c>
      <c r="Y166" s="64">
        <f t="shared" si="78"/>
        <v>5.8611000000000004</v>
      </c>
      <c r="Z166" s="64">
        <f t="shared" si="79"/>
        <v>6.9099999999999995E-2</v>
      </c>
      <c r="AA166" s="64">
        <f t="shared" si="65"/>
        <v>5.7920000000000007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66"/>
        <v>0804-12</v>
      </c>
      <c r="AE166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66" s="84" t="str">
        <f t="shared" si="68"/>
        <v>"C:\Program Files (x86)\AstroGrep\AstroGrep.exe" /spath="%USERPROFILE%\AppData\Local\Temp\OnboardLogs" /stypes="app*4045*20170112*" /stext=" 13:.+((SYSTEM_STATE.+slice.+state.+changed )|(ment ac)|(multiple cpu faults)|(system.+state.+changed )|(\[timeout)|(PRM\|1\|D)|(kpr)|(kdp)|(\|lc)|(penalty))" /e /r /s</v>
      </c>
      <c r="AG166" s="1" t="str">
        <f t="shared" si="75"/>
        <v>NW</v>
      </c>
      <c r="AH166" s="88" t="str">
        <f t="shared" si="70"/>
        <v>"%USERPROFILE%\Documents\GitHub\eaglep3\Utilities\RefineRTDCRunTimes.py" --tripid 804-12 --locoid 4045 --swversion DE.1.0.8.0 --startMP 300:58611 --initTime 2017-01-12T06:36:37 --startdatetime 2017-01-12T06:38:50 --delay 1 --endMP 204:691 --enddatetime 2017-01-12T06:56:05 --enforcementcount 0 &gt;&gt;C:\Users\stu\Documents\GitHub\eaglep3-reporting\EC\2017-01-12-refined-times.txt</v>
      </c>
      <c r="AI166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{"issue":{"subject":"","project_id":79,"tracker_id":40,"status_id":1,"priority_id":2,"assigned_to_id":23,"start_date":"2017-01-12","description":"","custom_fields":[{"id":1,"name":"Subdivision","value":"NW"},{"id":4,"name":"Milepost","value":"0.0691"},{"id":17,"name":"Train ID","value":"804-12"},{"id":16,"name":"Locomotive ID","value":"4045"},{"id":130,"name":"Impact","value":""},{"id":150,"name":"Time of Event (Mountain Time)","value":"06:56:05"},{"id":151,"name":"Denver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72"/>
        <v>start /low /b %USERPROFILE%\Documents\GitHub\eaglep3\Utilities\DownloadLogsFromS3.py --loco 4045 --day 2017-01-12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566</v>
      </c>
      <c r="B167" s="7">
        <v>4007</v>
      </c>
      <c r="C167" s="22" t="s">
        <v>201</v>
      </c>
      <c r="D167" s="22" t="s">
        <v>877</v>
      </c>
      <c r="E167" s="13">
        <v>42747.273333333331</v>
      </c>
      <c r="F167" s="13">
        <v>42747.285671296297</v>
      </c>
      <c r="G167" s="7">
        <v>11</v>
      </c>
      <c r="H167" s="22" t="s">
        <v>872</v>
      </c>
      <c r="I167" s="13">
        <v>42747.296655092592</v>
      </c>
      <c r="J167" s="7">
        <v>0</v>
      </c>
      <c r="K167" s="105" t="str">
        <f t="shared" si="58"/>
        <v>4007/4008</v>
      </c>
      <c r="L167" s="22" t="str">
        <f>VLOOKUP(A167,'Trips&amp;Operators'!$C$1:$G$99999,5,FALSE)</f>
        <v>SHOOK JOHN</v>
      </c>
      <c r="M167" s="6">
        <f t="shared" si="59"/>
        <v>1.0983796295477077E-2</v>
      </c>
      <c r="N167" s="7">
        <f t="shared" si="77"/>
        <v>15.816666665486991</v>
      </c>
      <c r="O167" s="7"/>
      <c r="P167" s="7"/>
      <c r="Q167" s="23"/>
      <c r="R167" s="23"/>
      <c r="S167" s="32">
        <f t="shared" si="73"/>
        <v>1</v>
      </c>
      <c r="T167" s="47" t="str">
        <f t="shared" si="74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05:33:36-700',mode:absolute,to:'2017-01-12 08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67" s="49" t="str">
        <f t="shared" si="62"/>
        <v>N</v>
      </c>
      <c r="X167" s="173">
        <f t="shared" si="76"/>
        <v>1</v>
      </c>
      <c r="Y167" s="64">
        <f t="shared" si="78"/>
        <v>0.1013</v>
      </c>
      <c r="Z167" s="64">
        <f t="shared" si="79"/>
        <v>5.8992000000000004</v>
      </c>
      <c r="AA167" s="64">
        <f t="shared" si="65"/>
        <v>5.7979000000000003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66"/>
        <v>0805-12</v>
      </c>
      <c r="AE167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67" s="84" t="str">
        <f t="shared" si="68"/>
        <v>"C:\Program Files (x86)\AstroGrep\AstroGrep.exe" /spath="%USERPROFILE%\AppData\Local\Temp\OnboardLogs" /stypes="app*4007*20170112*" /stext=" 14:.+((SYSTEM_STATE.+slice.+state.+changed )|(ment ac)|(multiple cpu faults)|(system.+state.+changed )|(\[timeout)|(PRM\|1\|D)|(kpr)|(kdp)|(\|lc)|(penalty))" /e /r /s</v>
      </c>
      <c r="AG167" s="1" t="str">
        <f t="shared" si="75"/>
        <v>NW</v>
      </c>
      <c r="AH167" s="88" t="str">
        <f t="shared" si="70"/>
        <v>"%USERPROFILE%\Documents\GitHub\eaglep3\Utilities\RefineRTDCRunTimes.py" --tripid 805-12 --locoid 4007 --swversion DE.1.0.8.0 --startMP 204:1013 --initTime 2017-01-12T06:33:36 --startdatetime 2017-01-12T06:51:22 --delay 11 --endMP 300:58992 --enddatetime 2017-01-12T07:07:11 --enforcementcount 0 &gt;&gt;C:\Users\stu\Documents\GitHub\eaglep3-reporting\EC\2017-01-12-refined-times.txt</v>
      </c>
      <c r="AI167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{"issue":{"subject":"","project_id":79,"tracker_id":40,"status_id":1,"priority_id":2,"assigned_to_id":23,"start_date":"2017-01-12","description":"","custom_fields":[{"id":1,"name":"Subdivision","value":"NW"},{"id":4,"name":"Milepost","value":"5.8992"},{"id":17,"name":"Train ID","value":"805-12"},{"id":16,"name":"Locomotive ID","value":"4007"},{"id":130,"name":"Impact","value":""},{"id":150,"name":"Time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72"/>
        <v>start /low /b %USERPROFILE%\Documents\GitHub\eaglep3\Utilities\DownloadLogsFromS3.py --loco 4007 --day 2017-01-12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573</v>
      </c>
      <c r="B168" s="7">
        <v>4008</v>
      </c>
      <c r="C168" s="22" t="s">
        <v>201</v>
      </c>
      <c r="D168" s="22" t="s">
        <v>878</v>
      </c>
      <c r="E168" s="13">
        <v>42747.298148148147</v>
      </c>
      <c r="F168" s="13">
        <v>42747.299513888887</v>
      </c>
      <c r="G168" s="7">
        <v>1</v>
      </c>
      <c r="H168" s="22" t="s">
        <v>879</v>
      </c>
      <c r="I168" s="13">
        <v>42747.310254629629</v>
      </c>
      <c r="J168" s="7">
        <v>0</v>
      </c>
      <c r="K168" s="105" t="str">
        <f t="shared" si="58"/>
        <v>4007/4008</v>
      </c>
      <c r="L168" s="22" t="str">
        <f>VLOOKUP(A168,'Trips&amp;Operators'!$C$1:$G$99999,5,FALSE)</f>
        <v>SHOOK JOHN</v>
      </c>
      <c r="M168" s="6">
        <f t="shared" si="59"/>
        <v>1.0740740741312038E-2</v>
      </c>
      <c r="N168" s="7">
        <f t="shared" si="77"/>
        <v>15.466666667489335</v>
      </c>
      <c r="O168" s="7"/>
      <c r="P168" s="7"/>
      <c r="Q168" s="23"/>
      <c r="R168" s="23"/>
      <c r="S168" s="32">
        <f t="shared" si="73"/>
        <v>1</v>
      </c>
      <c r="T168" s="47" t="str">
        <f t="shared" si="74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06:09:20-700',mode:absolute,to:'2017-01-12 08:26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68" s="49" t="str">
        <f t="shared" si="62"/>
        <v>N</v>
      </c>
      <c r="X168" s="173">
        <f t="shared" si="76"/>
        <v>1</v>
      </c>
      <c r="Y168" s="64">
        <f t="shared" si="78"/>
        <v>5.8673000000000002</v>
      </c>
      <c r="Z168" s="64">
        <f t="shared" si="79"/>
        <v>7.1199999999999999E-2</v>
      </c>
      <c r="AA168" s="64">
        <f t="shared" si="65"/>
        <v>5.7961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66"/>
        <v>0806-12</v>
      </c>
      <c r="AE168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68" s="84" t="str">
        <f t="shared" si="68"/>
        <v>"C:\Program Files (x86)\AstroGrep\AstroGrep.exe" /spath="%USERPROFILE%\AppData\Local\Temp\OnboardLogs" /stypes="app*4008*20170112*" /stext=" 14:.+((SYSTEM_STATE.+slice.+state.+changed )|(ment ac)|(multiple cpu faults)|(system.+state.+changed )|(\[timeout)|(PRM\|1\|D)|(kpr)|(kdp)|(\|lc)|(penalty))" /e /r /s</v>
      </c>
      <c r="AG168" s="1" t="str">
        <f t="shared" si="75"/>
        <v>NW</v>
      </c>
      <c r="AH168" s="88" t="str">
        <f t="shared" si="70"/>
        <v>"%USERPROFILE%\Documents\GitHub\eaglep3\Utilities\RefineRTDCRunTimes.py" --tripid 806-12 --locoid 4008 --swversion DE.1.0.8.0 --startMP 300:58673 --initTime 2017-01-12T07:09:20 --startdatetime 2017-01-12T07:11:18 --delay 1 --endMP 204:712 --enddatetime 2017-01-12T07:26:46 --enforcementcount 0 &gt;&gt;C:\Users\stu\Documents\GitHub\eaglep3-reporting\EC\2017-01-12-refined-times.txt</v>
      </c>
      <c r="AI168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{"issue":{"subject":"","project_id":79,"tracker_id":40,"status_id":1,"priority_id":2,"assigned_to_id":23,"start_date":"2017-01-12","description":"","custom_fields":[{"id":1,"name":"Subdivision","value":"NW"},{"id":4,"name":"Milepost","value":"0.0712"},{"id":17,"name":"Train ID","value":"806-12"},{"id":16,"name":"Locomotive ID","value":"4008"},{"id":130,"name":"Impact","value":""},{"id":150,"name":"Time of Event (Mountain Time)","value":"07:26:46"},{"id":151,"name":"Denver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72"/>
        <v>start /low /b %USERPROFILE%\Documents\GitHub\eaglep3\Utilities\DownloadLogsFromS3.py --loco 4008 --day 2017-01-12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575</v>
      </c>
      <c r="B169" s="7">
        <v>4046</v>
      </c>
      <c r="C169" s="22" t="s">
        <v>201</v>
      </c>
      <c r="D169" s="22" t="s">
        <v>880</v>
      </c>
      <c r="E169" s="13">
        <v>42747.304120370369</v>
      </c>
      <c r="F169" s="13">
        <v>42747.30672453704</v>
      </c>
      <c r="G169" s="7">
        <v>1</v>
      </c>
      <c r="H169" s="22" t="s">
        <v>491</v>
      </c>
      <c r="I169" s="13">
        <v>42747.315960648149</v>
      </c>
      <c r="J169" s="7">
        <v>0</v>
      </c>
      <c r="K169" s="105" t="str">
        <f t="shared" si="58"/>
        <v>4045/4046</v>
      </c>
      <c r="L169" s="22" t="str">
        <f>VLOOKUP(A169,'Trips&amp;Operators'!$C$1:$G$99999,5,FALSE)</f>
        <v>LOZA FIDEL</v>
      </c>
      <c r="M169" s="6">
        <f t="shared" si="59"/>
        <v>9.2361111092031933E-3</v>
      </c>
      <c r="N169" s="7">
        <f t="shared" si="77"/>
        <v>13.299999997252598</v>
      </c>
      <c r="O169" s="7"/>
      <c r="P169" s="7"/>
      <c r="Q169" s="23"/>
      <c r="R169" s="23"/>
      <c r="S169" s="32">
        <f t="shared" si="73"/>
        <v>1</v>
      </c>
      <c r="T169" s="47" t="str">
        <f t="shared" si="74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06:17:56-700',mode:absolute,to:'2017-01-12 08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9" s="49" t="str">
        <f t="shared" si="62"/>
        <v>N</v>
      </c>
      <c r="X169" s="173">
        <f t="shared" si="76"/>
        <v>1</v>
      </c>
      <c r="Y169" s="64">
        <f t="shared" si="78"/>
        <v>9.8299999999999998E-2</v>
      </c>
      <c r="Z169" s="64">
        <f t="shared" si="79"/>
        <v>5.8978000000000002</v>
      </c>
      <c r="AA169" s="64">
        <f t="shared" si="65"/>
        <v>5.7995000000000001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66"/>
        <v>0807-12</v>
      </c>
      <c r="AE169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69" s="84" t="str">
        <f t="shared" si="68"/>
        <v>"C:\Program Files (x86)\AstroGrep\AstroGrep.exe" /spath="%USERPROFILE%\AppData\Local\Temp\OnboardLogs" /stypes="app*4046*20170112*" /stext=" 14:.+((SYSTEM_STATE.+slice.+state.+changed )|(ment ac)|(multiple cpu faults)|(system.+state.+changed )|(\[timeout)|(PRM\|1\|D)|(kpr)|(kdp)|(\|lc)|(penalty))" /e /r /s</v>
      </c>
      <c r="AG169" s="1" t="str">
        <f t="shared" si="75"/>
        <v>NW</v>
      </c>
      <c r="AH169" s="88" t="str">
        <f t="shared" si="70"/>
        <v>"%USERPROFILE%\Documents\GitHub\eaglep3\Utilities\RefineRTDCRunTimes.py" --tripid 807-12 --locoid 4046 --swversion DE.1.0.8.0 --startMP 204:983 --initTime 2017-01-12T07:17:56 --startdatetime 2017-01-12T07:21:41 --delay 1 --endMP 300:58978 --enddatetime 2017-01-12T07:34:59 --enforcementcount 0 &gt;&gt;C:\Users\stu\Documents\GitHub\eaglep3-reporting\EC\2017-01-12-refined-times.txt</v>
      </c>
      <c r="AI169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{"issue":{"subject":"","project_id":79,"tracker_id":40,"status_id":1,"priority_id":2,"assigned_to_id":23,"start_date":"2017-01-12","description":"","custom_fields":[{"id":1,"name":"Subdivision","value":"NW"},{"id":4,"name":"Milepost","value":"5.8978"},{"id":17,"name":"Train ID","value":"807-12"},{"id":16,"name":"Locomotive ID","value":"4046"},{"id":130,"name":"Impact","value":""},{"id":150,"name":"Time of Event (Mountain Time)","value":"07:34:59"},{"id":151,"name":"Denver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72"/>
        <v>start /low /b %USERPROFILE%\Documents\GitHub\eaglep3\Utilities\DownloadLogsFromS3.py --loco 4046 --day 2017-01-12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70" spans="1:91" s="21" customFormat="1" x14ac:dyDescent="0.25">
      <c r="A170" s="34" t="s">
        <v>579</v>
      </c>
      <c r="B170" s="7">
        <v>4045</v>
      </c>
      <c r="C170" s="22" t="s">
        <v>201</v>
      </c>
      <c r="D170" s="22" t="s">
        <v>881</v>
      </c>
      <c r="E170" s="13">
        <v>42747.316967592589</v>
      </c>
      <c r="F170" s="13">
        <v>42747.318703703706</v>
      </c>
      <c r="G170" s="7">
        <v>1</v>
      </c>
      <c r="H170" s="22" t="s">
        <v>362</v>
      </c>
      <c r="I170" s="13">
        <v>42747.330254629633</v>
      </c>
      <c r="J170" s="7">
        <v>0</v>
      </c>
      <c r="K170" s="105" t="str">
        <f t="shared" si="58"/>
        <v>4045/4046</v>
      </c>
      <c r="L170" s="22" t="str">
        <f>VLOOKUP(A170,'Trips&amp;Operators'!$C$1:$G$99999,5,FALSE)</f>
        <v>LOZA FIDEL</v>
      </c>
      <c r="M170" s="6">
        <f t="shared" si="59"/>
        <v>1.1550925926712807E-2</v>
      </c>
      <c r="N170" s="7">
        <f t="shared" si="77"/>
        <v>16.633333334466442</v>
      </c>
      <c r="O170" s="7"/>
      <c r="P170" s="7"/>
      <c r="Q170" s="23"/>
      <c r="R170" s="23"/>
      <c r="S170" s="32">
        <f t="shared" si="73"/>
        <v>1</v>
      </c>
      <c r="T170" s="47" t="str">
        <f t="shared" si="74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06:36:26-700',mode:absolute,to:'2017-01-12 08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0" s="49" t="str">
        <f t="shared" si="62"/>
        <v>N</v>
      </c>
      <c r="X170" s="173">
        <f t="shared" ref="X170:X190" si="80">VALUE(LEFT(AD170,4))-VALUE(LEFT(AD169,4))</f>
        <v>1</v>
      </c>
      <c r="Y170" s="64">
        <f t="shared" si="78"/>
        <v>5.8662000000000001</v>
      </c>
      <c r="Z170" s="64">
        <f t="shared" si="79"/>
        <v>6.7799999999999999E-2</v>
      </c>
      <c r="AA170" s="64">
        <f t="shared" si="65"/>
        <v>5.7984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66"/>
        <v>0808-12</v>
      </c>
      <c r="AE170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70" s="84" t="str">
        <f t="shared" si="68"/>
        <v>"C:\Program Files (x86)\AstroGrep\AstroGrep.exe" /spath="%USERPROFILE%\AppData\Local\Temp\OnboardLogs" /stypes="app*4045*20170112*" /stext=" 14:.+((SYSTEM_STATE.+slice.+state.+changed )|(ment ac)|(multiple cpu faults)|(system.+state.+changed )|(\[timeout)|(PRM\|1\|D)|(kpr)|(kdp)|(\|lc)|(penalty))" /e /r /s</v>
      </c>
      <c r="AG170" s="1" t="str">
        <f t="shared" si="75"/>
        <v>NW</v>
      </c>
      <c r="AH170" s="88" t="str">
        <f t="shared" si="70"/>
        <v>"%USERPROFILE%\Documents\GitHub\eaglep3\Utilities\RefineRTDCRunTimes.py" --tripid 808-12 --locoid 4045 --swversion DE.1.0.8.0 --startMP 300:58662 --initTime 2017-01-12T07:36:26 --startdatetime 2017-01-12T07:38:56 --delay 1 --endMP 204:678 --enddatetime 2017-01-12T07:55:34 --enforcementcount 0 &gt;&gt;C:\Users\stu\Documents\GitHub\eaglep3-reporting\EC\2017-01-12-refined-times.txt</v>
      </c>
      <c r="AI170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{"issue":{"subject":"","project_id":79,"tracker_id":40,"status_id":1,"priority_id":2,"assigned_to_id":23,"start_date":"2017-01-12","description":"","custom_fields":[{"id":1,"name":"Subdivision","value":"NW"},{"id":4,"name":"Milepost","value":"0.0678"},{"id":17,"name":"Train ID","value":"808-12"},{"id":16,"name":"Locomotive ID","value":"4045"},{"id":130,"name":"Impact","value":""},{"id":150,"name":"Time of Event (Mountain Time)","value":"07:55:34"},{"id":151,"name":"Denver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72"/>
        <v>start /low /b %USERPROFILE%\Documents\GitHub\eaglep3\Utilities\DownloadLogsFromS3.py --loco 4045 --day 2017-01-12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578</v>
      </c>
      <c r="B171" s="7">
        <v>4007</v>
      </c>
      <c r="C171" s="22" t="s">
        <v>201</v>
      </c>
      <c r="D171" s="22" t="s">
        <v>882</v>
      </c>
      <c r="E171" s="13">
        <v>42747.312719907408</v>
      </c>
      <c r="F171" s="13">
        <v>42747.327303240738</v>
      </c>
      <c r="G171" s="7">
        <v>1</v>
      </c>
      <c r="H171" s="22" t="s">
        <v>883</v>
      </c>
      <c r="I171" s="13">
        <v>42747.337847222225</v>
      </c>
      <c r="J171" s="7">
        <v>0</v>
      </c>
      <c r="K171" s="105" t="str">
        <f t="shared" si="58"/>
        <v>4007/4008</v>
      </c>
      <c r="L171" s="22" t="str">
        <f>VLOOKUP(A171,'Trips&amp;Operators'!$C$1:$G$99999,5,FALSE)</f>
        <v>SHOOK JOHN</v>
      </c>
      <c r="M171" s="6">
        <f t="shared" si="59"/>
        <v>1.0543981486989651E-2</v>
      </c>
      <c r="N171" s="7">
        <f t="shared" si="77"/>
        <v>15.183333341265097</v>
      </c>
      <c r="O171" s="7"/>
      <c r="P171" s="7"/>
      <c r="Q171" s="23"/>
      <c r="R171" s="23"/>
      <c r="S171" s="32">
        <f t="shared" si="73"/>
        <v>1</v>
      </c>
      <c r="T171" s="47" t="str">
        <f t="shared" si="74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06:30:19-700',mode:absolute,to:'2017-01-12 09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71" s="49" t="str">
        <f t="shared" si="62"/>
        <v>N</v>
      </c>
      <c r="X171" s="173">
        <f t="shared" si="80"/>
        <v>1</v>
      </c>
      <c r="Y171" s="64">
        <f t="shared" si="78"/>
        <v>0.1007</v>
      </c>
      <c r="Z171" s="64">
        <f t="shared" si="79"/>
        <v>5.899</v>
      </c>
      <c r="AA171" s="64">
        <f t="shared" si="65"/>
        <v>5.7983000000000002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66"/>
        <v>0809-12</v>
      </c>
      <c r="AE171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71" s="84" t="str">
        <f t="shared" si="68"/>
        <v>"C:\Program Files (x86)\AstroGrep\AstroGrep.exe" /spath="%USERPROFILE%\AppData\Local\Temp\OnboardLogs" /stypes="app*4007*20170112*" /stext=" 15:.+((SYSTEM_STATE.+slice.+state.+changed )|(ment ac)|(multiple cpu faults)|(system.+state.+changed )|(\[timeout)|(PRM\|1\|D)|(kpr)|(kdp)|(\|lc)|(penalty))" /e /r /s</v>
      </c>
      <c r="AG171" s="1" t="str">
        <f t="shared" si="75"/>
        <v>NW</v>
      </c>
      <c r="AH171" s="88" t="str">
        <f t="shared" si="70"/>
        <v>"%USERPROFILE%\Documents\GitHub\eaglep3\Utilities\RefineRTDCRunTimes.py" --tripid 809-12 --locoid 4007 --swversion DE.1.0.8.0 --startMP 204:1007 --initTime 2017-01-12T07:30:19 --startdatetime 2017-01-12T07:51:19 --delay 1 --endMP 300:58990 --enddatetime 2017-01-12T08:06:30 --enforcementcount 0 &gt;&gt;C:\Users\stu\Documents\GitHub\eaglep3-reporting\EC\2017-01-12-refined-times.txt</v>
      </c>
      <c r="AI171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{"issue":{"subject":"","project_id":79,"tracker_id":40,"status_id":1,"priority_id":2,"assigned_to_id":23,"start_date":"2017-01-12","description":"","custom_fields":[{"id":1,"name":"Subdivision","value":"NW"},{"id":4,"name":"Milepost","value":"5.899"},{"id":17,"name":"Train ID","value":"809-12"},{"id":16,"name":"Locomotive ID","value":"4007"},{"id":130,"name":"Impact","value":""},{"id":150,"name":"Time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72"/>
        <v>start /low /b %USERPROFILE%\Documents\GitHub\eaglep3\Utilities\DownloadLogsFromS3.py --loco 4007 --day 2017-01-12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585</v>
      </c>
      <c r="B172" s="7">
        <v>4008</v>
      </c>
      <c r="C172" s="22" t="s">
        <v>201</v>
      </c>
      <c r="D172" s="22" t="s">
        <v>885</v>
      </c>
      <c r="E172" s="13">
        <v>42747.33935185185</v>
      </c>
      <c r="F172" s="13">
        <v>42747.341041666667</v>
      </c>
      <c r="G172" s="7">
        <v>1</v>
      </c>
      <c r="H172" s="22" t="s">
        <v>886</v>
      </c>
      <c r="I172" s="13">
        <v>42747.352071759262</v>
      </c>
      <c r="J172" s="7">
        <v>0</v>
      </c>
      <c r="K172" s="105" t="str">
        <f t="shared" si="58"/>
        <v>4007/4008</v>
      </c>
      <c r="L172" s="22" t="str">
        <f>VLOOKUP(A172,'Trips&amp;Operators'!$C$1:$G$99999,5,FALSE)</f>
        <v>SHOOK JOHN</v>
      </c>
      <c r="M172" s="6">
        <f t="shared" si="59"/>
        <v>1.1030092595319729E-2</v>
      </c>
      <c r="N172" s="7">
        <f t="shared" si="77"/>
        <v>15.88333333726041</v>
      </c>
      <c r="O172" s="7"/>
      <c r="P172" s="7"/>
      <c r="Q172" s="23"/>
      <c r="R172" s="23"/>
      <c r="S172" s="32">
        <f t="shared" si="73"/>
        <v>1</v>
      </c>
      <c r="T172" s="47" t="str">
        <f t="shared" si="74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07:08:40-700',mode:absolute,to:'2017-01-12 09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72" s="49" t="str">
        <f t="shared" si="62"/>
        <v>N</v>
      </c>
      <c r="X172" s="173">
        <f t="shared" si="80"/>
        <v>1</v>
      </c>
      <c r="Y172" s="64">
        <f t="shared" si="78"/>
        <v>5.8674999999999997</v>
      </c>
      <c r="Z172" s="64">
        <f t="shared" si="79"/>
        <v>1.66E-2</v>
      </c>
      <c r="AA172" s="64">
        <f t="shared" si="65"/>
        <v>5.8508999999999993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66"/>
        <v>0810-12</v>
      </c>
      <c r="AE172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72" s="84" t="str">
        <f t="shared" si="68"/>
        <v>"C:\Program Files (x86)\AstroGrep\AstroGrep.exe" /spath="%USERPROFILE%\AppData\Local\Temp\OnboardLogs" /stypes="app*4008*20170112*" /stext=" 15:.+((SYSTEM_STATE.+slice.+state.+changed )|(ment ac)|(multiple cpu faults)|(system.+state.+changed )|(\[timeout)|(PRM\|1\|D)|(kpr)|(kdp)|(\|lc)|(penalty))" /e /r /s</v>
      </c>
      <c r="AG172" s="1" t="str">
        <f t="shared" si="75"/>
        <v>NW</v>
      </c>
      <c r="AH172" s="88" t="str">
        <f t="shared" si="70"/>
        <v>"%USERPROFILE%\Documents\GitHub\eaglep3\Utilities\RefineRTDCRunTimes.py" --tripid 810-12 --locoid 4008 --swversion DE.1.0.8.0 --startMP 300:58675 --initTime 2017-01-12T08:08:40 --startdatetime 2017-01-12T08:11:06 --delay 1 --endMP 204:166 --enddatetime 2017-01-12T08:26:59 --enforcementcount 0 &gt;&gt;C:\Users\stu\Documents\GitHub\eaglep3-reporting\EC\2017-01-12-refined-times.txt</v>
      </c>
      <c r="AI172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{"issue":{"subject":"","project_id":79,"tracker_id":40,"status_id":1,"priority_id":2,"assigned_to_id":23,"start_date":"2017-01-12","description":"","custom_fields":[{"id":1,"name":"Subdivision","value":"NW"},{"id":4,"name":"Milepost","value":"0.0166"},{"id":17,"name":"Train ID","value":"810-12"},{"id":16,"name":"Locomotive ID","value":"4008"},{"id":130,"name":"Impact","value":""},{"id":150,"name":"Time of Event (Mountain Time)","value":"08:26:59"},{"id":151,"name":"Denver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72"/>
        <v>start /low /b %USERPROFILE%\Documents\GitHub\eaglep3\Utilities\DownloadLogsFromS3.py --loco 4008 --day 2017-01-12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586</v>
      </c>
      <c r="B173" s="7">
        <v>4046</v>
      </c>
      <c r="C173" s="22" t="s">
        <v>201</v>
      </c>
      <c r="D173" s="22" t="s">
        <v>489</v>
      </c>
      <c r="E173" s="13">
        <v>42747.342881944445</v>
      </c>
      <c r="F173" s="13">
        <v>42747.348252314812</v>
      </c>
      <c r="G173" s="7">
        <v>1</v>
      </c>
      <c r="H173" s="22" t="s">
        <v>887</v>
      </c>
      <c r="I173" s="13">
        <v>42747.357847222222</v>
      </c>
      <c r="J173" s="7">
        <v>0</v>
      </c>
      <c r="K173" s="105" t="str">
        <f t="shared" si="58"/>
        <v>4045/4046</v>
      </c>
      <c r="L173" s="22" t="str">
        <f>VLOOKUP(A173,'Trips&amp;Operators'!$C$1:$G$99999,5,FALSE)</f>
        <v>LOZA FIDEL</v>
      </c>
      <c r="M173" s="6">
        <f t="shared" si="59"/>
        <v>9.5949074093368836E-3</v>
      </c>
      <c r="N173" s="7">
        <f t="shared" si="77"/>
        <v>13.816666669445112</v>
      </c>
      <c r="O173" s="7"/>
      <c r="P173" s="7"/>
      <c r="Q173" s="23"/>
      <c r="R173" s="23"/>
      <c r="S173" s="32">
        <f t="shared" si="73"/>
        <v>1</v>
      </c>
      <c r="T173" s="47" t="str">
        <f t="shared" si="74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07:13:45-700',mode:absolute,to:'2017-01-12 09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3" s="49" t="str">
        <f t="shared" si="62"/>
        <v>N</v>
      </c>
      <c r="X173" s="173">
        <f t="shared" si="80"/>
        <v>1</v>
      </c>
      <c r="Y173" s="64">
        <f t="shared" si="78"/>
        <v>9.7100000000000006E-2</v>
      </c>
      <c r="Z173" s="64">
        <f t="shared" si="79"/>
        <v>5.8973000000000004</v>
      </c>
      <c r="AA173" s="64">
        <f t="shared" si="65"/>
        <v>5.8002000000000002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66"/>
        <v>0811-12</v>
      </c>
      <c r="AE173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73" s="84" t="str">
        <f t="shared" si="68"/>
        <v>"C:\Program Files (x86)\AstroGrep\AstroGrep.exe" /spath="%USERPROFILE%\AppData\Local\Temp\OnboardLogs" /stypes="app*4046*20170112*" /stext=" 15:.+((SYSTEM_STATE.+slice.+state.+changed )|(ment ac)|(multiple cpu faults)|(system.+state.+changed )|(\[timeout)|(PRM\|1\|D)|(kpr)|(kdp)|(\|lc)|(penalty))" /e /r /s</v>
      </c>
      <c r="AG173" s="1" t="str">
        <f t="shared" si="75"/>
        <v>NW</v>
      </c>
      <c r="AH173" s="88" t="str">
        <f t="shared" si="70"/>
        <v>"%USERPROFILE%\Documents\GitHub\eaglep3\Utilities\RefineRTDCRunTimes.py" --tripid 811-12 --locoid 4046 --swversion DE.1.0.8.0 --startMP 204:971 --initTime 2017-01-12T08:13:45 --startdatetime 2017-01-12T08:21:29 --delay 1 --endMP 300:58973 --enddatetime 2017-01-12T08:35:18 --enforcementcount 0 &gt;&gt;C:\Users\stu\Documents\GitHub\eaglep3-reporting\EC\2017-01-12-refined-times.txt</v>
      </c>
      <c r="AI173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{"issue":{"subject":"","project_id":79,"tracker_id":40,"status_id":1,"priority_id":2,"assigned_to_id":23,"start_date":"2017-01-12","description":"","custom_fields":[{"id":1,"name":"Subdivision","value":"NW"},{"id":4,"name":"Milepost","value":"5.8973"},{"id":17,"name":"Train ID","value":"811-12"},{"id":16,"name":"Locomotive ID","value":"4046"},{"id":130,"name":"Impact","value":""},{"id":150,"name":"Time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72"/>
        <v>start /low /b %USERPROFILE%\Documents\GitHub\eaglep3\Utilities\DownloadLogsFromS3.py --loco 4046 --day 2017-01-12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592</v>
      </c>
      <c r="B174" s="7">
        <v>4045</v>
      </c>
      <c r="C174" s="22" t="s">
        <v>201</v>
      </c>
      <c r="D174" s="22" t="s">
        <v>869</v>
      </c>
      <c r="E174" s="13">
        <v>42747.359259259261</v>
      </c>
      <c r="F174" s="13">
        <v>42747.360763888886</v>
      </c>
      <c r="G174" s="7">
        <v>1</v>
      </c>
      <c r="H174" s="22" t="s">
        <v>888</v>
      </c>
      <c r="I174" s="13">
        <v>42747.373217592591</v>
      </c>
      <c r="J174" s="7">
        <v>0</v>
      </c>
      <c r="K174" s="105" t="str">
        <f t="shared" si="58"/>
        <v>4045/4046</v>
      </c>
      <c r="L174" s="22" t="str">
        <f>VLOOKUP(A174,'Trips&amp;Operators'!$C$1:$G$99999,5,FALSE)</f>
        <v>LOZA FIDEL</v>
      </c>
      <c r="M174" s="6">
        <f t="shared" si="59"/>
        <v>1.2453703704522923E-2</v>
      </c>
      <c r="N174" s="7">
        <f t="shared" si="77"/>
        <v>17.933333334513009</v>
      </c>
      <c r="O174" s="7"/>
      <c r="P174" s="7"/>
      <c r="Q174" s="23"/>
      <c r="R174" s="23"/>
      <c r="S174" s="32">
        <f t="shared" si="73"/>
        <v>1</v>
      </c>
      <c r="T174" s="47" t="str">
        <f t="shared" si="74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07:37:20-700',mode:absolute,to:'2017-01-12 09:57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4" s="49" t="str">
        <f t="shared" si="62"/>
        <v>N</v>
      </c>
      <c r="X174" s="173">
        <f t="shared" si="80"/>
        <v>1</v>
      </c>
      <c r="Y174" s="64">
        <f t="shared" si="78"/>
        <v>5.8654999999999999</v>
      </c>
      <c r="Z174" s="64">
        <f t="shared" si="79"/>
        <v>6.6100000000000006E-2</v>
      </c>
      <c r="AA174" s="64">
        <f t="shared" si="65"/>
        <v>5.7994000000000003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66"/>
        <v>0812-12</v>
      </c>
      <c r="AE174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74" s="84" t="str">
        <f t="shared" si="68"/>
        <v>"C:\Program Files (x86)\AstroGrep\AstroGrep.exe" /spath="%USERPROFILE%\AppData\Local\Temp\OnboardLogs" /stypes="app*4045*20170112*" /stext=" 15:.+((SYSTEM_STATE.+slice.+state.+changed )|(ment ac)|(multiple cpu faults)|(system.+state.+changed )|(\[timeout)|(PRM\|1\|D)|(kpr)|(kdp)|(\|lc)|(penalty))" /e /r /s</v>
      </c>
      <c r="AG174" s="1" t="str">
        <f t="shared" si="75"/>
        <v>NW</v>
      </c>
      <c r="AH174" s="88" t="str">
        <f t="shared" si="70"/>
        <v>"%USERPROFILE%\Documents\GitHub\eaglep3\Utilities\RefineRTDCRunTimes.py" --tripid 812-12 --locoid 4045 --swversion DE.1.0.8.0 --startMP 300:58655 --initTime 2017-01-12T08:37:20 --startdatetime 2017-01-12T08:39:30 --delay 1 --endMP 204:661 --enddatetime 2017-01-12T08:57:26 --enforcementcount 0 &gt;&gt;C:\Users\stu\Documents\GitHub\eaglep3-reporting\EC\2017-01-12-refined-times.txt</v>
      </c>
      <c r="AI174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{"issue":{"subject":"","project_id":79,"tracker_id":40,"status_id":1,"priority_id":2,"assigned_to_id":23,"start_date":"2017-01-12","description":"","custom_fields":[{"id":1,"name":"Subdivision","value":"NW"},{"id":4,"name":"Milepost","value":"0.0661"},{"id":17,"name":"Train ID","value":"812-12"},{"id":16,"name":"Locomotive ID","value":"4045"},{"id":130,"name":"Impact","value":""},{"id":150,"name":"Time of Event (Mountain Time)","value":"08:57:26"},{"id":151,"name":"Denver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72"/>
        <v>start /low /b %USERPROFILE%\Documents\GitHub\eaglep3\Utilities\DownloadLogsFromS3.py --loco 4045 --day 2017-01-12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596</v>
      </c>
      <c r="B175" s="7">
        <v>4046</v>
      </c>
      <c r="C175" s="22" t="s">
        <v>201</v>
      </c>
      <c r="D175" s="22" t="s">
        <v>889</v>
      </c>
      <c r="E175" s="13">
        <v>42747.376111111109</v>
      </c>
      <c r="F175" s="13">
        <v>42747.38989583333</v>
      </c>
      <c r="G175" s="7">
        <v>1</v>
      </c>
      <c r="H175" s="22" t="s">
        <v>360</v>
      </c>
      <c r="I175" s="13">
        <v>42747.399513888886</v>
      </c>
      <c r="J175" s="7">
        <v>0</v>
      </c>
      <c r="K175" s="105" t="str">
        <f t="shared" si="58"/>
        <v>4045/4046</v>
      </c>
      <c r="L175" s="22" t="str">
        <f>VLOOKUP(A175,'Trips&amp;Operators'!$C$1:$G$99999,5,FALSE)</f>
        <v>LOZA FIDEL</v>
      </c>
      <c r="M175" s="6">
        <f t="shared" si="59"/>
        <v>9.6180555556202307E-3</v>
      </c>
      <c r="N175" s="7">
        <f t="shared" si="77"/>
        <v>13.850000000093132</v>
      </c>
      <c r="O175" s="7"/>
      <c r="P175" s="7"/>
      <c r="Q175" s="23"/>
      <c r="R175" s="23"/>
      <c r="S175" s="32">
        <f t="shared" si="73"/>
        <v>1</v>
      </c>
      <c r="T175" s="47" t="str">
        <f t="shared" si="74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08:01:36-700',mode:absolute,to:'2017-01-12 10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5" s="49" t="str">
        <f t="shared" si="62"/>
        <v>N</v>
      </c>
      <c r="X175" s="173">
        <f t="shared" si="80"/>
        <v>1</v>
      </c>
      <c r="Y175" s="64">
        <f t="shared" si="78"/>
        <v>9.74E-2</v>
      </c>
      <c r="Z175" s="64">
        <f t="shared" si="79"/>
        <v>5.8967000000000001</v>
      </c>
      <c r="AA175" s="64">
        <f t="shared" si="65"/>
        <v>5.7992999999999997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66"/>
        <v>0813-12</v>
      </c>
      <c r="AE175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75" s="84" t="str">
        <f t="shared" si="68"/>
        <v>"C:\Program Files (x86)\AstroGrep\AstroGrep.exe" /spath="%USERPROFILE%\AppData\Local\Temp\OnboardLogs" /stypes="app*4046*20170112*" /stext=" 16:.+((SYSTEM_STATE.+slice.+state.+changed )|(ment ac)|(multiple cpu faults)|(system.+state.+changed )|(\[timeout)|(PRM\|1\|D)|(kpr)|(kdp)|(\|lc)|(penalty))" /e /r /s</v>
      </c>
      <c r="AG175" s="1" t="str">
        <f t="shared" si="75"/>
        <v>NW</v>
      </c>
      <c r="AH175" s="88" t="str">
        <f t="shared" si="70"/>
        <v>"%USERPROFILE%\Documents\GitHub\eaglep3\Utilities\RefineRTDCRunTimes.py" --tripid 813-12 --locoid 4046 --swversion DE.1.0.8.0 --startMP 204:974 --initTime 2017-01-12T09:01:36 --startdatetime 2017-01-12T09:21:27 --delay 1 --endMP 300:58967 --enddatetime 2017-01-12T09:35:18 --enforcementcount 0 &gt;&gt;C:\Users\stu\Documents\GitHub\eaglep3-reporting\EC\2017-01-12-refined-times.txt</v>
      </c>
      <c r="AI175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{"issue":{"subject":"","project_id":79,"tracker_id":40,"status_id":1,"priority_id":2,"assigned_to_id":23,"start_date":"2017-01-12","description":"","custom_fields":[{"id":1,"name":"Subdivision","value":"NW"},{"id":4,"name":"Milepost","value":"5.8967"},{"id":17,"name":"Train ID","value":"813-12"},{"id":16,"name":"Locomotive ID","value":"4046"},{"id":130,"name":"Impact","value":""},{"id":150,"name":"Time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72"/>
        <v>start /low /b %USERPROFILE%\Documents\GitHub\eaglep3\Utilities\DownloadLogsFromS3.py --loco 4046 --day 2017-01-12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601</v>
      </c>
      <c r="B176" s="7">
        <v>4045</v>
      </c>
      <c r="C176" s="22" t="s">
        <v>201</v>
      </c>
      <c r="D176" s="22" t="s">
        <v>890</v>
      </c>
      <c r="E176" s="13">
        <v>42747.400659722225</v>
      </c>
      <c r="F176" s="13">
        <v>42747.402094907404</v>
      </c>
      <c r="G176" s="7">
        <v>1</v>
      </c>
      <c r="H176" s="22" t="s">
        <v>504</v>
      </c>
      <c r="I176" s="13">
        <v>42747.413414351853</v>
      </c>
      <c r="J176" s="7">
        <v>0</v>
      </c>
      <c r="K176" s="105" t="str">
        <f t="shared" si="58"/>
        <v>4045/4046</v>
      </c>
      <c r="L176" s="22" t="str">
        <f>VLOOKUP(A176,'Trips&amp;Operators'!$C$1:$G$99999,5,FALSE)</f>
        <v>LOZA FIDEL</v>
      </c>
      <c r="M176" s="6">
        <f t="shared" si="59"/>
        <v>1.131944444932742E-2</v>
      </c>
      <c r="N176" s="7">
        <f t="shared" si="77"/>
        <v>16.300000007031485</v>
      </c>
      <c r="O176" s="7"/>
      <c r="P176" s="7"/>
      <c r="Q176" s="23"/>
      <c r="R176" s="23"/>
      <c r="S176" s="32">
        <f t="shared" si="73"/>
        <v>1</v>
      </c>
      <c r="T176" s="47" t="str">
        <f t="shared" si="74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08:36:57-700',mode:absolute,to:'2017-01-12 10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6" s="49" t="str">
        <f t="shared" si="62"/>
        <v>N</v>
      </c>
      <c r="X176" s="173">
        <f t="shared" si="80"/>
        <v>1</v>
      </c>
      <c r="Y176" s="64">
        <f t="shared" si="78"/>
        <v>5.8640999999999996</v>
      </c>
      <c r="Z176" s="64">
        <f t="shared" si="79"/>
        <v>6.9400000000000003E-2</v>
      </c>
      <c r="AA176" s="64">
        <f t="shared" si="65"/>
        <v>5.7946999999999997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66"/>
        <v>0814-12</v>
      </c>
      <c r="AE176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76" s="84" t="str">
        <f t="shared" si="68"/>
        <v>"C:\Program Files (x86)\AstroGrep\AstroGrep.exe" /spath="%USERPROFILE%\AppData\Local\Temp\OnboardLogs" /stypes="app*4045*20170112*" /stext=" 16:.+((SYSTEM_STATE.+slice.+state.+changed )|(ment ac)|(multiple cpu faults)|(system.+state.+changed )|(\[timeout)|(PRM\|1\|D)|(kpr)|(kdp)|(\|lc)|(penalty))" /e /r /s</v>
      </c>
      <c r="AG176" s="1" t="str">
        <f t="shared" si="75"/>
        <v>NW</v>
      </c>
      <c r="AH176" s="88" t="str">
        <f t="shared" si="70"/>
        <v>"%USERPROFILE%\Documents\GitHub\eaglep3\Utilities\RefineRTDCRunTimes.py" --tripid 814-12 --locoid 4045 --swversion DE.1.0.8.0 --startMP 300:58641 --initTime 2017-01-12T09:36:57 --startdatetime 2017-01-12T09:39:01 --delay 1 --endMP 204:694 --enddatetime 2017-01-12T09:55:19 --enforcementcount 0 &gt;&gt;C:\Users\stu\Documents\GitHub\eaglep3-reporting\EC\2017-01-12-refined-times.txt</v>
      </c>
      <c r="AI176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{"issue":{"subject":"","project_id":79,"tracker_id":40,"status_id":1,"priority_id":2,"assigned_to_id":23,"start_date":"2017-01-12","description":"","custom_fields":[{"id":1,"name":"Subdivision","value":"NW"},{"id":4,"name":"Milepost","value":"0.0694"},{"id":17,"name":"Train ID","value":"814-12"},{"id":16,"name":"Locomotive ID","value":"4045"},{"id":130,"name":"Impact","value":""},{"id":150,"name":"Time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72"/>
        <v>start /low /b %USERPROFILE%\Documents\GitHub\eaglep3\Utilities\DownloadLogsFromS3.py --loco 4045 --day 2017-01-12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606</v>
      </c>
      <c r="B177" s="7">
        <v>4046</v>
      </c>
      <c r="C177" s="22" t="s">
        <v>201</v>
      </c>
      <c r="D177" s="22" t="s">
        <v>889</v>
      </c>
      <c r="E177" s="13">
        <v>42747.426874999997</v>
      </c>
      <c r="F177" s="13">
        <v>42747.431504629632</v>
      </c>
      <c r="G177" s="7">
        <v>1</v>
      </c>
      <c r="H177" s="22" t="s">
        <v>891</v>
      </c>
      <c r="I177" s="13">
        <v>42747.441076388888</v>
      </c>
      <c r="J177" s="7">
        <v>0</v>
      </c>
      <c r="K177" s="105" t="str">
        <f t="shared" si="58"/>
        <v>4045/4046</v>
      </c>
      <c r="L177" s="22" t="str">
        <f>VLOOKUP(A177,'Trips&amp;Operators'!$C$1:$G$99999,5,FALSE)</f>
        <v>LOZA FIDEL</v>
      </c>
      <c r="M177" s="6">
        <f t="shared" si="59"/>
        <v>9.5717592557775788E-3</v>
      </c>
      <c r="N177" s="7">
        <f t="shared" si="77"/>
        <v>13.783333328319713</v>
      </c>
      <c r="O177" s="7"/>
      <c r="P177" s="7"/>
      <c r="Q177" s="23"/>
      <c r="R177" s="23"/>
      <c r="S177" s="32">
        <f t="shared" si="73"/>
        <v>1</v>
      </c>
      <c r="T177" s="47" t="str">
        <f t="shared" si="74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09:14:42-700',mode:absolute,to:'2017-01-12 11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7" s="49" t="str">
        <f t="shared" si="62"/>
        <v>N</v>
      </c>
      <c r="X177" s="173">
        <f t="shared" si="80"/>
        <v>1</v>
      </c>
      <c r="Y177" s="64">
        <f t="shared" si="78"/>
        <v>9.74E-2</v>
      </c>
      <c r="Z177" s="64">
        <f t="shared" si="79"/>
        <v>5.8986000000000001</v>
      </c>
      <c r="AA177" s="64">
        <f t="shared" si="65"/>
        <v>5.8011999999999997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66"/>
        <v>0815-12</v>
      </c>
      <c r="AE177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77" s="84" t="str">
        <f t="shared" si="68"/>
        <v>"C:\Program Files (x86)\AstroGrep\AstroGrep.exe" /spath="%USERPROFILE%\AppData\Local\Temp\OnboardLogs" /stypes="app*4046*20170112*" /stext=" 17:.+((SYSTEM_STATE.+slice.+state.+changed )|(ment ac)|(multiple cpu faults)|(system.+state.+changed )|(\[timeout)|(PRM\|1\|D)|(kpr)|(kdp)|(\|lc)|(penalty))" /e /r /s</v>
      </c>
      <c r="AG177" s="1" t="str">
        <f t="shared" si="75"/>
        <v>NW</v>
      </c>
      <c r="AH177" s="88" t="str">
        <f t="shared" si="70"/>
        <v>"%USERPROFILE%\Documents\GitHub\eaglep3\Utilities\RefineRTDCRunTimes.py" --tripid 815-12 --locoid 4046 --swversion DE.1.0.8.0 --startMP 204:974 --initTime 2017-01-12T10:14:42 --startdatetime 2017-01-12T10:21:22 --delay 1 --endMP 300:58986 --enddatetime 2017-01-12T10:35:09 --enforcementcount 0 &gt;&gt;C:\Users\stu\Documents\GitHub\eaglep3-reporting\EC\2017-01-12-refined-times.txt</v>
      </c>
      <c r="AI177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{"issue":{"subject":"","project_id":79,"tracker_id":40,"status_id":1,"priority_id":2,"assigned_to_id":23,"start_date":"2017-01-12","description":"","custom_fields":[{"id":1,"name":"Subdivision","value":"NW"},{"id":4,"name":"Milepost","value":"5.8986"},{"id":17,"name":"Train ID","value":"815-12"},{"id":16,"name":"Locomotive ID","value":"4046"},{"id":130,"name":"Impact","value":""},{"id":150,"name":"Time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72"/>
        <v>start /low /b %USERPROFILE%\Documents\GitHub\eaglep3\Utilities\DownloadLogsFromS3.py --loco 4046 --day 2017-01-12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609</v>
      </c>
      <c r="B178" s="7">
        <v>4045</v>
      </c>
      <c r="C178" s="22" t="s">
        <v>201</v>
      </c>
      <c r="D178" s="22" t="s">
        <v>892</v>
      </c>
      <c r="E178" s="13">
        <v>42747.442372685182</v>
      </c>
      <c r="F178" s="13">
        <v>42747.44394675926</v>
      </c>
      <c r="G178" s="7">
        <v>1</v>
      </c>
      <c r="H178" s="22" t="s">
        <v>504</v>
      </c>
      <c r="I178" s="13">
        <v>42747.454930555556</v>
      </c>
      <c r="J178" s="7">
        <v>0</v>
      </c>
      <c r="K178" s="105" t="str">
        <f t="shared" si="58"/>
        <v>4045/4046</v>
      </c>
      <c r="L178" s="22" t="str">
        <f>VLOOKUP(A178,'Trips&amp;Operators'!$C$1:$G$99999,5,FALSE)</f>
        <v>LOZA FIDEL</v>
      </c>
      <c r="M178" s="6">
        <f t="shared" si="59"/>
        <v>1.0983796295477077E-2</v>
      </c>
      <c r="N178" s="7">
        <f t="shared" si="77"/>
        <v>15.816666665486991</v>
      </c>
      <c r="O178" s="7"/>
      <c r="P178" s="7"/>
      <c r="Q178" s="23"/>
      <c r="R178" s="23"/>
      <c r="S178" s="32">
        <f t="shared" si="73"/>
        <v>1</v>
      </c>
      <c r="T178" s="47" t="str">
        <f t="shared" si="74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09:37:01-700',mode:absolute,to:'2017-01-12 11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8" s="49" t="str">
        <f t="shared" si="62"/>
        <v>N</v>
      </c>
      <c r="X178" s="173">
        <f t="shared" si="80"/>
        <v>1</v>
      </c>
      <c r="Y178" s="64">
        <f t="shared" si="78"/>
        <v>5.867</v>
      </c>
      <c r="Z178" s="64">
        <f t="shared" si="79"/>
        <v>6.9400000000000003E-2</v>
      </c>
      <c r="AA178" s="64">
        <f t="shared" si="65"/>
        <v>5.7976000000000001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66"/>
        <v>0816-12</v>
      </c>
      <c r="AE178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78" s="84" t="str">
        <f t="shared" si="68"/>
        <v>"C:\Program Files (x86)\AstroGrep\AstroGrep.exe" /spath="%USERPROFILE%\AppData\Local\Temp\OnboardLogs" /stypes="app*4045*20170112*" /stext=" 17:.+((SYSTEM_STATE.+slice.+state.+changed )|(ment ac)|(multiple cpu faults)|(system.+state.+changed )|(\[timeout)|(PRM\|1\|D)|(kpr)|(kdp)|(\|lc)|(penalty))" /e /r /s</v>
      </c>
      <c r="AG178" s="1" t="str">
        <f t="shared" si="75"/>
        <v>NW</v>
      </c>
      <c r="AH178" s="88" t="str">
        <f t="shared" si="70"/>
        <v>"%USERPROFILE%\Documents\GitHub\eaglep3\Utilities\RefineRTDCRunTimes.py" --tripid 816-12 --locoid 4045 --swversion DE.1.0.8.0 --startMP 300:58670 --initTime 2017-01-12T10:37:01 --startdatetime 2017-01-12T10:39:17 --delay 1 --endMP 204:694 --enddatetime 2017-01-12T10:55:06 --enforcementcount 0 &gt;&gt;C:\Users\stu\Documents\GitHub\eaglep3-reporting\EC\2017-01-12-refined-times.txt</v>
      </c>
      <c r="AI178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{"issue":{"subject":"","project_id":79,"tracker_id":40,"status_id":1,"priority_id":2,"assigned_to_id":23,"start_date":"2017-01-12","description":"","custom_fields":[{"id":1,"name":"Subdivision","value":"NW"},{"id":4,"name":"Milepost","value":"0.0694"},{"id":17,"name":"Train ID","value":"816-12"},{"id":16,"name":"Locomotive ID","value":"4045"},{"id":130,"name":"Impact","value":""},{"id":150,"name":"Time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72"/>
        <v>start /low /b %USERPROFILE%\Documents\GitHub\eaglep3\Utilities\DownloadLogsFromS3.py --loco 4045 --day 2017-01-12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179" spans="1:91" x14ac:dyDescent="0.25">
      <c r="A179" s="34" t="s">
        <v>615</v>
      </c>
      <c r="B179" s="7">
        <v>4046</v>
      </c>
      <c r="C179" s="22" t="s">
        <v>201</v>
      </c>
      <c r="D179" s="22" t="s">
        <v>496</v>
      </c>
      <c r="E179" s="13">
        <v>42747.462939814817</v>
      </c>
      <c r="F179" s="13">
        <v>42747.47320601852</v>
      </c>
      <c r="G179" s="7">
        <v>1</v>
      </c>
      <c r="H179" s="22" t="s">
        <v>336</v>
      </c>
      <c r="I179" s="13">
        <v>42747.482824074075</v>
      </c>
      <c r="J179" s="7">
        <v>0</v>
      </c>
      <c r="K179" s="105" t="str">
        <f t="shared" si="58"/>
        <v>4045/4046</v>
      </c>
      <c r="L179" s="22" t="str">
        <f>VLOOKUP(A179,'Trips&amp;Operators'!$C$1:$G$99999,5,FALSE)</f>
        <v>LOZA FIDEL</v>
      </c>
      <c r="M179" s="6">
        <f t="shared" si="59"/>
        <v>9.6180555556202307E-3</v>
      </c>
      <c r="N179" s="7">
        <f t="shared" si="77"/>
        <v>13.850000000093132</v>
      </c>
      <c r="O179" s="7"/>
      <c r="P179" s="7"/>
      <c r="Q179" s="23"/>
      <c r="R179" s="23"/>
      <c r="S179" s="32">
        <f t="shared" si="73"/>
        <v>1</v>
      </c>
      <c r="T179" s="47" t="str">
        <f t="shared" si="74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10:06:38-700',mode:absolute,to:'2017-01-12 12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9" s="49" t="str">
        <f t="shared" si="62"/>
        <v>N</v>
      </c>
      <c r="X179" s="173">
        <f t="shared" si="80"/>
        <v>1</v>
      </c>
      <c r="Y179" s="64">
        <f t="shared" si="78"/>
        <v>9.69E-2</v>
      </c>
      <c r="Z179" s="64">
        <f t="shared" si="79"/>
        <v>5.8956</v>
      </c>
      <c r="AA179" s="64">
        <f t="shared" si="65"/>
        <v>5.7987000000000002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66"/>
        <v>0817-12</v>
      </c>
      <c r="AE179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79" s="84" t="str">
        <f t="shared" si="68"/>
        <v>"C:\Program Files (x86)\AstroGrep\AstroGrep.exe" /spath="%USERPROFILE%\AppData\Local\Temp\OnboardLogs" /stypes="app*4046*20170112*" /stext=" 18:.+((SYSTEM_STATE.+slice.+state.+changed )|(ment ac)|(multiple cpu faults)|(system.+state.+changed )|(\[timeout)|(PRM\|1\|D)|(kpr)|(kdp)|(\|lc)|(penalty))" /e /r /s</v>
      </c>
      <c r="AG179" s="1" t="str">
        <f t="shared" si="75"/>
        <v>NW</v>
      </c>
      <c r="AH179" s="88" t="str">
        <f t="shared" si="70"/>
        <v>"%USERPROFILE%\Documents\GitHub\eaglep3\Utilities\RefineRTDCRunTimes.py" --tripid 817-12 --locoid 4046 --swversion DE.1.0.8.0 --startMP 204:969 --initTime 2017-01-12T11:06:38 --startdatetime 2017-01-12T11:21:25 --delay 1 --endMP 300:58956 --enddatetime 2017-01-12T11:35:16 --enforcementcount 0 &gt;&gt;C:\Users\stu\Documents\GitHub\eaglep3-reporting\EC\2017-01-12-refined-times.txt</v>
      </c>
      <c r="AI179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{"issue":{"subject":"","project_id":79,"tracker_id":40,"status_id":1,"priority_id":2,"assigned_to_id":23,"start_date":"2017-01-12","description":"","custom_fields":[{"id":1,"name":"Subdivision","value":"NW"},{"id":4,"name":"Milepost","value":"5.8956"},{"id":17,"name":"Train ID","value":"817-12"},{"id":16,"name":"Locomotive ID","value":"4046"},{"id":130,"name":"Impact","value":""},{"id":150,"name":"Time of Event (Mountain Time)","value":"11:35:16"},{"id":151,"name":"Denver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72"/>
        <v>start /low /b %USERPROFILE%\Documents\GitHub\eaglep3\Utilities\DownloadLogsFromS3.py --loco 4046 --day 2017-01-12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80" spans="1:91" x14ac:dyDescent="0.25">
      <c r="A180" s="34" t="s">
        <v>624</v>
      </c>
      <c r="B180" s="7">
        <v>4045</v>
      </c>
      <c r="C180" s="22" t="s">
        <v>201</v>
      </c>
      <c r="D180" s="22" t="s">
        <v>893</v>
      </c>
      <c r="E180" s="13">
        <v>42747.484131944446</v>
      </c>
      <c r="F180" s="13">
        <v>42747.48578703704</v>
      </c>
      <c r="G180" s="7">
        <v>1</v>
      </c>
      <c r="H180" s="22" t="s">
        <v>894</v>
      </c>
      <c r="I180" s="13">
        <v>42747.500787037039</v>
      </c>
      <c r="J180" s="7">
        <v>0</v>
      </c>
      <c r="K180" s="105" t="str">
        <f t="shared" si="58"/>
        <v>4045/4046</v>
      </c>
      <c r="L180" s="22" t="str">
        <f>VLOOKUP(A180,'Trips&amp;Operators'!$C$1:$G$99999,5,FALSE)</f>
        <v>LOZA FIDEL</v>
      </c>
      <c r="M180" s="6">
        <f t="shared" si="59"/>
        <v>1.4999999999417923E-2</v>
      </c>
      <c r="N180" s="7">
        <f t="shared" si="77"/>
        <v>21.59999999916181</v>
      </c>
      <c r="O180" s="7"/>
      <c r="P180" s="7"/>
      <c r="Q180" s="23"/>
      <c r="R180" s="23"/>
      <c r="S180" s="32">
        <f t="shared" si="73"/>
        <v>1</v>
      </c>
      <c r="T180" s="47" t="str">
        <f t="shared" si="74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10:37:09-700',mode:absolute,to:'2017-01-12 13:01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0" s="49" t="str">
        <f t="shared" si="62"/>
        <v>N</v>
      </c>
      <c r="X180" s="173">
        <f t="shared" si="80"/>
        <v>1</v>
      </c>
      <c r="Y180" s="64">
        <f t="shared" si="78"/>
        <v>5.8647</v>
      </c>
      <c r="Z180" s="64">
        <f t="shared" si="79"/>
        <v>6.7500000000000004E-2</v>
      </c>
      <c r="AA180" s="64">
        <f t="shared" si="65"/>
        <v>5.7972000000000001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66"/>
        <v>0818-12</v>
      </c>
      <c r="AE180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80" s="84" t="str">
        <f t="shared" si="68"/>
        <v>"C:\Program Files (x86)\AstroGrep\AstroGrep.exe" /spath="%USERPROFILE%\AppData\Local\Temp\OnboardLogs" /stypes="app*4045*20170112*" /stext=" 19:.+((SYSTEM_STATE.+slice.+state.+changed )|(ment ac)|(multiple cpu faults)|(system.+state.+changed )|(\[timeout)|(PRM\|1\|D)|(kpr)|(kdp)|(\|lc)|(penalty))" /e /r /s</v>
      </c>
      <c r="AG180" s="1" t="str">
        <f t="shared" si="75"/>
        <v>NW</v>
      </c>
      <c r="AH180" s="88" t="str">
        <f t="shared" si="70"/>
        <v>"%USERPROFILE%\Documents\GitHub\eaglep3\Utilities\RefineRTDCRunTimes.py" --tripid 818-12 --locoid 4045 --swversion DE.1.0.8.0 --startMP 300:58647 --initTime 2017-01-12T11:37:09 --startdatetime 2017-01-12T11:39:32 --delay 1 --endMP 204:675 --enddatetime 2017-01-12T12:01:08 --enforcementcount 0 &gt;&gt;C:\Users\stu\Documents\GitHub\eaglep3-reporting\EC\2017-01-12-refined-times.txt</v>
      </c>
      <c r="AI180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{"issue":{"subject":"","project_id":79,"tracker_id":40,"status_id":1,"priority_id":2,"assigned_to_id":23,"start_date":"2017-01-12","description":"","custom_fields":[{"id":1,"name":"Subdivision","value":"NW"},{"id":4,"name":"Milepost","value":"0.0675"},{"id":17,"name":"Train ID","value":"818-12"},{"id":16,"name":"Locomotive ID","value":"4045"},{"id":130,"name":"Impact","value":""},{"id":150,"name":"Time of Event (Mountain Time)","value":"12:01:08"},{"id":151,"name":"Denver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72"/>
        <v>start /low /b %USERPROFILE%\Documents\GitHub\eaglep3\Utilities\DownloadLogsFromS3.py --loco 4045 --day 2017-01-12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181" spans="1:91" x14ac:dyDescent="0.25">
      <c r="A181" s="34" t="s">
        <v>633</v>
      </c>
      <c r="B181" s="7">
        <v>4046</v>
      </c>
      <c r="C181" s="22" t="s">
        <v>201</v>
      </c>
      <c r="D181" s="22" t="s">
        <v>895</v>
      </c>
      <c r="E181" s="13">
        <v>42747.510578703703</v>
      </c>
      <c r="F181" s="13">
        <v>42747.514872685184</v>
      </c>
      <c r="G181" s="7">
        <v>1</v>
      </c>
      <c r="H181" s="22" t="s">
        <v>896</v>
      </c>
      <c r="I181" s="13">
        <v>42747.524363425924</v>
      </c>
      <c r="J181" s="7">
        <v>0</v>
      </c>
      <c r="K181" s="105" t="str">
        <f t="shared" si="58"/>
        <v>4045/4046</v>
      </c>
      <c r="L181" s="22" t="str">
        <f>VLOOKUP(A181,'Trips&amp;Operators'!$C$1:$G$99999,5,FALSE)</f>
        <v>LOZA FIDEL</v>
      </c>
      <c r="M181" s="6">
        <f t="shared" si="59"/>
        <v>9.4907407401478849E-3</v>
      </c>
      <c r="N181" s="7">
        <f t="shared" si="77"/>
        <v>13.666666665812954</v>
      </c>
      <c r="O181" s="7"/>
      <c r="P181" s="7"/>
      <c r="Q181" s="23"/>
      <c r="R181" s="23"/>
      <c r="S181" s="32">
        <f t="shared" si="73"/>
        <v>1</v>
      </c>
      <c r="T181" s="47" t="str">
        <f t="shared" si="74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11:15:14-700',mode:absolute,to:'2017-01-12 13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1" s="49" t="str">
        <f t="shared" si="62"/>
        <v>N</v>
      </c>
      <c r="X181" s="173">
        <f t="shared" si="80"/>
        <v>1</v>
      </c>
      <c r="Y181" s="64">
        <f t="shared" si="78"/>
        <v>9.8100000000000007E-2</v>
      </c>
      <c r="Z181" s="64">
        <f t="shared" si="79"/>
        <v>5.8983999999999996</v>
      </c>
      <c r="AA181" s="64">
        <f t="shared" si="65"/>
        <v>5.8003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66"/>
        <v>0819-12</v>
      </c>
      <c r="AE181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81" s="84" t="str">
        <f t="shared" si="68"/>
        <v>"C:\Program Files (x86)\AstroGrep\AstroGrep.exe" /spath="%USERPROFILE%\AppData\Local\Temp\OnboardLogs" /stypes="app*4046*20170112*" /stext=" 19:.+((SYSTEM_STATE.+slice.+state.+changed )|(ment ac)|(multiple cpu faults)|(system.+state.+changed )|(\[timeout)|(PRM\|1\|D)|(kpr)|(kdp)|(\|lc)|(penalty))" /e /r /s</v>
      </c>
      <c r="AG181" s="1" t="str">
        <f t="shared" si="75"/>
        <v>NW</v>
      </c>
      <c r="AH181" s="88" t="str">
        <f t="shared" si="70"/>
        <v>"%USERPROFILE%\Documents\GitHub\eaglep3\Utilities\RefineRTDCRunTimes.py" --tripid 819-12 --locoid 4046 --swversion DE.1.0.8.0 --startMP 204:981 --initTime 2017-01-12T12:15:14 --startdatetime 2017-01-12T12:21:25 --delay 1 --endMP 300:58984 --enddatetime 2017-01-12T12:35:05 --enforcementcount 0 &gt;&gt;C:\Users\stu\Documents\GitHub\eaglep3-reporting\EC\2017-01-12-refined-times.txt</v>
      </c>
      <c r="AI181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{"issue":{"subject":"","project_id":79,"tracker_id":40,"status_id":1,"priority_id":2,"assigned_to_id":23,"start_date":"2017-01-12","description":"","custom_fields":[{"id":1,"name":"Subdivision","value":"NW"},{"id":4,"name":"Milepost","value":"5.8984"},{"id":17,"name":"Train ID","value":"819-12"},{"id":16,"name":"Locomotive ID","value":"4046"},{"id":130,"name":"Impact","value":""},{"id":150,"name":"Time of Event (Mountain Time)","value":"12:35:05"},{"id":151,"name":"Denver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72"/>
        <v>start /low /b %USERPROFILE%\Documents\GitHub\eaglep3\Utilities\DownloadLogsFromS3.py --loco 4046 --day 2017-01-12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82" spans="1:91" s="21" customFormat="1" x14ac:dyDescent="0.25">
      <c r="A182" s="34" t="s">
        <v>637</v>
      </c>
      <c r="B182" s="7">
        <v>4045</v>
      </c>
      <c r="C182" s="22" t="s">
        <v>201</v>
      </c>
      <c r="D182" s="22" t="s">
        <v>878</v>
      </c>
      <c r="E182" s="13">
        <v>42747.52579861111</v>
      </c>
      <c r="F182" s="13">
        <v>42747.527430555558</v>
      </c>
      <c r="G182" s="7">
        <v>1</v>
      </c>
      <c r="H182" s="22" t="s">
        <v>897</v>
      </c>
      <c r="I182" s="13">
        <v>42747.538182870368</v>
      </c>
      <c r="J182" s="7">
        <v>0</v>
      </c>
      <c r="K182" s="105" t="str">
        <f t="shared" si="58"/>
        <v>4045/4046</v>
      </c>
      <c r="L182" s="22" t="str">
        <f>VLOOKUP(A182,'Trips&amp;Operators'!$C$1:$G$99999,5,FALSE)</f>
        <v>LOZA FIDEL</v>
      </c>
      <c r="M182" s="6">
        <f t="shared" si="59"/>
        <v>1.0752314810815733E-2</v>
      </c>
      <c r="N182" s="7">
        <f t="shared" si="77"/>
        <v>15.483333327574655</v>
      </c>
      <c r="O182" s="7"/>
      <c r="P182" s="7"/>
      <c r="Q182" s="23"/>
      <c r="R182" s="23"/>
      <c r="S182" s="32">
        <f t="shared" si="73"/>
        <v>1</v>
      </c>
      <c r="T182" s="47" t="str">
        <f t="shared" si="74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11:37:09-700',mode:absolute,to:'2017-01-12 13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2" s="49" t="str">
        <f t="shared" si="62"/>
        <v>N</v>
      </c>
      <c r="X182" s="173">
        <f t="shared" si="80"/>
        <v>1</v>
      </c>
      <c r="Y182" s="64">
        <f t="shared" si="78"/>
        <v>5.8673000000000002</v>
      </c>
      <c r="Z182" s="64">
        <f t="shared" si="79"/>
        <v>6.8900000000000003E-2</v>
      </c>
      <c r="AA182" s="64">
        <f t="shared" si="65"/>
        <v>5.7984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66"/>
        <v>0820-12</v>
      </c>
      <c r="AE182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82" s="84" t="str">
        <f t="shared" si="68"/>
        <v>"C:\Program Files (x86)\AstroGrep\AstroGrep.exe" /spath="%USERPROFILE%\AppData\Local\Temp\OnboardLogs" /stypes="app*4045*20170112*" /stext=" 19:.+((SYSTEM_STATE.+slice.+state.+changed )|(ment ac)|(multiple cpu faults)|(system.+state.+changed )|(\[timeout)|(PRM\|1\|D)|(kpr)|(kdp)|(\|lc)|(penalty))" /e /r /s</v>
      </c>
      <c r="AG182" s="1" t="str">
        <f t="shared" si="75"/>
        <v>NW</v>
      </c>
      <c r="AH182" s="88" t="str">
        <f t="shared" si="70"/>
        <v>"%USERPROFILE%\Documents\GitHub\eaglep3\Utilities\RefineRTDCRunTimes.py" --tripid 820-12 --locoid 4045 --swversion DE.1.0.8.0 --startMP 300:58673 --initTime 2017-01-12T12:37:09 --startdatetime 2017-01-12T12:39:30 --delay 1 --endMP 204:689 --enddatetime 2017-01-12T12:54:59 --enforcementcount 0 &gt;&gt;C:\Users\stu\Documents\GitHub\eaglep3-reporting\EC\2017-01-12-refined-times.txt</v>
      </c>
      <c r="AI182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{"issue":{"subject":"","project_id":79,"tracker_id":40,"status_id":1,"priority_id":2,"assigned_to_id":23,"start_date":"2017-01-12","description":"","custom_fields":[{"id":1,"name":"Subdivision","value":"NW"},{"id":4,"name":"Milepost","value":"0.0689"},{"id":17,"name":"Train ID","value":"820-12"},{"id":16,"name":"Locomotive ID","value":"4045"},{"id":130,"name":"Impact","value":""},{"id":150,"name":"Time of Event (Mountain Time)","value":"12:54:59"},{"id":151,"name":"Denver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72"/>
        <v>start /low /b %USERPROFILE%\Documents\GitHub\eaglep3\Utilities\DownloadLogsFromS3.py --loco 4045 --day 2017-01-12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642</v>
      </c>
      <c r="B183" s="7">
        <v>4046</v>
      </c>
      <c r="C183" s="22" t="s">
        <v>201</v>
      </c>
      <c r="D183" s="22" t="s">
        <v>501</v>
      </c>
      <c r="E183" s="13">
        <v>42747.543449074074</v>
      </c>
      <c r="F183" s="13">
        <v>42747.556458333333</v>
      </c>
      <c r="G183" s="7">
        <v>2</v>
      </c>
      <c r="H183" s="22" t="s">
        <v>503</v>
      </c>
      <c r="I183" s="13">
        <v>42747.566736111112</v>
      </c>
      <c r="J183" s="7">
        <v>0</v>
      </c>
      <c r="K183" s="105" t="str">
        <f t="shared" si="58"/>
        <v>4045/4046</v>
      </c>
      <c r="L183" s="22" t="str">
        <f>VLOOKUP(A183,'Trips&amp;Operators'!$C$1:$G$99999,5,FALSE)</f>
        <v>COMELLA JUSTIN</v>
      </c>
      <c r="M183" s="6">
        <f t="shared" si="59"/>
        <v>1.0277777779265307E-2</v>
      </c>
      <c r="N183" s="7">
        <f t="shared" si="77"/>
        <v>14.800000002142042</v>
      </c>
      <c r="O183" s="7"/>
      <c r="P183" s="7"/>
      <c r="Q183" s="23"/>
      <c r="R183" s="23"/>
      <c r="S183" s="32">
        <f t="shared" si="73"/>
        <v>1</v>
      </c>
      <c r="T183" s="47" t="str">
        <f t="shared" si="74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12:02:34-700',mode:absolute,to:'2017-01-12 14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3" s="49" t="str">
        <f t="shared" si="62"/>
        <v>N</v>
      </c>
      <c r="X183" s="173">
        <f t="shared" si="80"/>
        <v>1</v>
      </c>
      <c r="Y183" s="64">
        <f t="shared" si="78"/>
        <v>9.7199999999999995E-2</v>
      </c>
      <c r="Z183" s="64">
        <f t="shared" si="79"/>
        <v>5.8929</v>
      </c>
      <c r="AA183" s="64">
        <f t="shared" si="65"/>
        <v>5.7957000000000001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66"/>
        <v>0821-12</v>
      </c>
      <c r="AE183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83" s="84" t="str">
        <f t="shared" si="68"/>
        <v>"C:\Program Files (x86)\AstroGrep\AstroGrep.exe" /spath="%USERPROFILE%\AppData\Local\Temp\OnboardLogs" /stypes="app*4046*20170112*" /stext=" 20:.+((SYSTEM_STATE.+slice.+state.+changed )|(ment ac)|(multiple cpu faults)|(system.+state.+changed )|(\[timeout)|(PRM\|1\|D)|(kpr)|(kdp)|(\|lc)|(penalty))" /e /r /s</v>
      </c>
      <c r="AG183" s="1" t="str">
        <f t="shared" si="75"/>
        <v>NW</v>
      </c>
      <c r="AH183" s="88" t="str">
        <f t="shared" si="70"/>
        <v>"%USERPROFILE%\Documents\GitHub\eaglep3\Utilities\RefineRTDCRunTimes.py" --tripid 821-12 --locoid 4046 --swversion DE.1.0.8.0 --startMP 204:972 --initTime 2017-01-12T13:02:34 --startdatetime 2017-01-12T13:21:18 --delay 2 --endMP 300:58929 --enddatetime 2017-01-12T13:36:06 --enforcementcount 0 &gt;&gt;C:\Users\stu\Documents\GitHub\eaglep3-reporting\EC\2017-01-12-refined-times.txt</v>
      </c>
      <c r="AI183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{"issue":{"subject":"","project_id":79,"tracker_id":40,"status_id":1,"priority_id":2,"assigned_to_id":23,"start_date":"2017-01-12","description":"","custom_fields":[{"id":1,"name":"Subdivision","value":"NW"},{"id":4,"name":"Milepost","value":"5.8929"},{"id":17,"name":"Train ID","value":"821-12"},{"id":16,"name":"Locomotive ID","value":"4046"},{"id":130,"name":"Impact","value":""},{"id":150,"name":"Time of Event (Mountain Time)","value":"13:36:06"},{"id":151,"name":"Denver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72"/>
        <v>start /low /b %USERPROFILE%\Documents\GitHub\eaglep3\Utilities\DownloadLogsFromS3.py --loco 4046 --day 2017-01-12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84" spans="1:91" x14ac:dyDescent="0.25">
      <c r="A184" s="34" t="s">
        <v>647</v>
      </c>
      <c r="B184" s="7">
        <v>4045</v>
      </c>
      <c r="C184" s="22" t="s">
        <v>201</v>
      </c>
      <c r="D184" s="22" t="s">
        <v>898</v>
      </c>
      <c r="E184" s="13">
        <v>42747.567546296297</v>
      </c>
      <c r="F184" s="13">
        <v>42747.569363425922</v>
      </c>
      <c r="G184" s="7">
        <v>1</v>
      </c>
      <c r="H184" s="22" t="s">
        <v>899</v>
      </c>
      <c r="I184" s="13">
        <v>42747.580625000002</v>
      </c>
      <c r="J184" s="7">
        <v>0</v>
      </c>
      <c r="K184" s="105" t="str">
        <f t="shared" si="58"/>
        <v>4045/4046</v>
      </c>
      <c r="L184" s="22" t="str">
        <f>VLOOKUP(A184,'Trips&amp;Operators'!$C$1:$G$99999,5,FALSE)</f>
        <v>COMELLA JUSTIN</v>
      </c>
      <c r="M184" s="6">
        <f t="shared" si="59"/>
        <v>1.1261574079981074E-2</v>
      </c>
      <c r="N184" s="7">
        <f t="shared" si="77"/>
        <v>16.216666675172746</v>
      </c>
      <c r="O184" s="7"/>
      <c r="P184" s="7"/>
      <c r="Q184" s="23"/>
      <c r="R184" s="23"/>
      <c r="S184" s="32">
        <f t="shared" si="73"/>
        <v>1</v>
      </c>
      <c r="T184" s="47" t="str">
        <f t="shared" si="74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12:37:16-700',mode:absolute,to:'2017-01-12 14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4" s="49" t="str">
        <f t="shared" si="62"/>
        <v>N</v>
      </c>
      <c r="X184" s="173">
        <f t="shared" si="80"/>
        <v>1</v>
      </c>
      <c r="Y184" s="64">
        <f t="shared" si="78"/>
        <v>5.8608000000000002</v>
      </c>
      <c r="Z184" s="64">
        <f t="shared" si="79"/>
        <v>7.22E-2</v>
      </c>
      <c r="AA184" s="64">
        <f t="shared" si="65"/>
        <v>5.7886000000000006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66"/>
        <v>0822-12</v>
      </c>
      <c r="AE184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84" s="84" t="str">
        <f t="shared" si="68"/>
        <v>"C:\Program Files (x86)\AstroGrep\AstroGrep.exe" /spath="%USERPROFILE%\AppData\Local\Temp\OnboardLogs" /stypes="app*4045*20170112*" /stext=" 20:.+((SYSTEM_STATE.+slice.+state.+changed )|(ment ac)|(multiple cpu faults)|(system.+state.+changed )|(\[timeout)|(PRM\|1\|D)|(kpr)|(kdp)|(\|lc)|(penalty))" /e /r /s</v>
      </c>
      <c r="AG184" s="1" t="str">
        <f t="shared" si="75"/>
        <v>NW</v>
      </c>
      <c r="AH184" s="88" t="str">
        <f t="shared" si="70"/>
        <v>"%USERPROFILE%\Documents\GitHub\eaglep3\Utilities\RefineRTDCRunTimes.py" --tripid 822-12 --locoid 4045 --swversion DE.1.0.8.0 --startMP 300:58608 --initTime 2017-01-12T13:37:16 --startdatetime 2017-01-12T13:39:53 --delay 1 --endMP 204:722 --enddatetime 2017-01-12T13:56:06 --enforcementcount 0 &gt;&gt;C:\Users\stu\Documents\GitHub\eaglep3-reporting\EC\2017-01-12-refined-times.txt</v>
      </c>
      <c r="AI184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{"issue":{"subject":"","project_id":79,"tracker_id":40,"status_id":1,"priority_id":2,"assigned_to_id":23,"start_date":"2017-01-12","description":"","custom_fields":[{"id":1,"name":"Subdivision","value":"NW"},{"id":4,"name":"Milepost","value":"0.0722"},{"id":17,"name":"Train ID","value":"822-12"},{"id":16,"name":"Locomotive ID","value":"4045"},{"id":130,"name":"Impact","value":""},{"id":150,"name":"Time of Event (Mountain Time)","value":"13:56:06"},{"id":151,"name":"Denver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72"/>
        <v>start /low /b %USERPROFILE%\Documents\GitHub\eaglep3\Utilities\DownloadLogsFromS3.py --loco 4045 --day 2017-01-12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185" spans="1:91" x14ac:dyDescent="0.25">
      <c r="A185" s="34" t="s">
        <v>653</v>
      </c>
      <c r="B185" s="7">
        <v>4046</v>
      </c>
      <c r="C185" s="22" t="s">
        <v>201</v>
      </c>
      <c r="D185" s="22" t="s">
        <v>900</v>
      </c>
      <c r="E185" s="13">
        <v>42747.588969907411</v>
      </c>
      <c r="F185" s="13">
        <v>42747.598090277781</v>
      </c>
      <c r="G185" s="7">
        <v>1</v>
      </c>
      <c r="H185" s="22" t="s">
        <v>361</v>
      </c>
      <c r="I185" s="13">
        <v>42747.608171296299</v>
      </c>
      <c r="J185" s="7">
        <v>0</v>
      </c>
      <c r="K185" s="105" t="str">
        <f t="shared" si="58"/>
        <v>4045/4046</v>
      </c>
      <c r="L185" s="22" t="str">
        <f>VLOOKUP(A185,'Trips&amp;Operators'!$C$1:$G$99999,5,FALSE)</f>
        <v>COMELLA JUSTIN</v>
      </c>
      <c r="M185" s="6">
        <f t="shared" si="59"/>
        <v>1.0081018517666962E-2</v>
      </c>
      <c r="N185" s="7">
        <f t="shared" si="77"/>
        <v>14.516666665440425</v>
      </c>
      <c r="O185" s="7"/>
      <c r="P185" s="7"/>
      <c r="Q185" s="23"/>
      <c r="R185" s="23"/>
      <c r="S185" s="32">
        <f t="shared" si="73"/>
        <v>1</v>
      </c>
      <c r="T185" s="47" t="str">
        <f t="shared" si="74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13:08:07-700',mode:absolute,to:'2017-01-12 15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5" s="49" t="str">
        <f t="shared" si="62"/>
        <v>N</v>
      </c>
      <c r="X185" s="173">
        <f t="shared" si="80"/>
        <v>1</v>
      </c>
      <c r="Y185" s="64">
        <f t="shared" si="78"/>
        <v>9.8500000000000004E-2</v>
      </c>
      <c r="Z185" s="64">
        <f t="shared" si="79"/>
        <v>5.8933</v>
      </c>
      <c r="AA185" s="64">
        <f t="shared" si="65"/>
        <v>5.7948000000000004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66"/>
        <v>0823-12</v>
      </c>
      <c r="AE185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85" s="84" t="str">
        <f t="shared" si="68"/>
        <v>"C:\Program Files (x86)\AstroGrep\AstroGrep.exe" /spath="%USERPROFILE%\AppData\Local\Temp\OnboardLogs" /stypes="app*4046*20170112*" /stext=" 21:.+((SYSTEM_STATE.+slice.+state.+changed )|(ment ac)|(multiple cpu faults)|(system.+state.+changed )|(\[timeout)|(PRM\|1\|D)|(kpr)|(kdp)|(\|lc)|(penalty))" /e /r /s</v>
      </c>
      <c r="AG185" s="1" t="str">
        <f t="shared" si="75"/>
        <v>NW</v>
      </c>
      <c r="AH185" s="88" t="str">
        <f t="shared" si="70"/>
        <v>"%USERPROFILE%\Documents\GitHub\eaglep3\Utilities\RefineRTDCRunTimes.py" --tripid 823-12 --locoid 4046 --swversion DE.1.0.8.0 --startMP 204:985 --initTime 2017-01-12T14:08:07 --startdatetime 2017-01-12T14:21:15 --delay 1 --endMP 300:58933 --enddatetime 2017-01-12T14:35:46 --enforcementcount 0 &gt;&gt;C:\Users\stu\Documents\GitHub\eaglep3-reporting\EC\2017-01-12-refined-times.txt</v>
      </c>
      <c r="AI185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{"issue":{"subject":"","project_id":79,"tracker_id":40,"status_id":1,"priority_id":2,"assigned_to_id":23,"start_date":"2017-01-12","description":"","custom_fields":[{"id":1,"name":"Subdivision","value":"NW"},{"id":4,"name":"Milepost","value":"5.8933"},{"id":17,"name":"Train ID","value":"823-12"},{"id":16,"name":"Locomotive ID","value":"4046"},{"id":130,"name":"Impact","value":""},{"id":150,"name":"Time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72"/>
        <v>start /low /b %USERPROFILE%\Documents\GitHub\eaglep3\Utilities\DownloadLogsFromS3.py --loco 4046 --day 2017-01-12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86" spans="1:91" x14ac:dyDescent="0.25">
      <c r="A186" s="34" t="s">
        <v>656</v>
      </c>
      <c r="B186" s="7">
        <v>4045</v>
      </c>
      <c r="C186" s="22" t="s">
        <v>201</v>
      </c>
      <c r="D186" s="22" t="s">
        <v>901</v>
      </c>
      <c r="E186" s="13">
        <v>42747.608888888892</v>
      </c>
      <c r="F186" s="13">
        <v>42747.610300925924</v>
      </c>
      <c r="G186" s="7">
        <v>1</v>
      </c>
      <c r="H186" s="22" t="s">
        <v>902</v>
      </c>
      <c r="I186" s="13">
        <v>42747.622291666667</v>
      </c>
      <c r="J186" s="7">
        <v>0</v>
      </c>
      <c r="K186" s="105" t="str">
        <f t="shared" si="58"/>
        <v>4045/4046</v>
      </c>
      <c r="L186" s="22" t="str">
        <f>VLOOKUP(A186,'Trips&amp;Operators'!$C$1:$G$99999,5,FALSE)</f>
        <v>COMELLA JUSTIN</v>
      </c>
      <c r="M186" s="6">
        <f t="shared" si="59"/>
        <v>1.1990740742476191E-2</v>
      </c>
      <c r="N186" s="7">
        <f t="shared" si="77"/>
        <v>17.266666669165716</v>
      </c>
      <c r="O186" s="7"/>
      <c r="P186" s="7"/>
      <c r="Q186" s="23"/>
      <c r="R186" s="23"/>
      <c r="S186" s="32">
        <f t="shared" si="73"/>
        <v>1</v>
      </c>
      <c r="T186" s="47" t="str">
        <f t="shared" si="74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13:36:48-700',mode:absolute,to:'2017-01-12 15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6" s="49" t="str">
        <f t="shared" si="62"/>
        <v>N</v>
      </c>
      <c r="X186" s="173">
        <f t="shared" si="80"/>
        <v>1</v>
      </c>
      <c r="Y186" s="64">
        <f t="shared" si="78"/>
        <v>5.8619000000000003</v>
      </c>
      <c r="Z186" s="64">
        <f t="shared" si="79"/>
        <v>6.7100000000000007E-2</v>
      </c>
      <c r="AA186" s="64">
        <f t="shared" si="65"/>
        <v>5.7948000000000004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66"/>
        <v>0824-12</v>
      </c>
      <c r="AE186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86" s="84" t="str">
        <f t="shared" si="68"/>
        <v>"C:\Program Files (x86)\AstroGrep\AstroGrep.exe" /spath="%USERPROFILE%\AppData\Local\Temp\OnboardLogs" /stypes="app*4045*20170112*" /stext=" 21:.+((SYSTEM_STATE.+slice.+state.+changed )|(ment ac)|(multiple cpu faults)|(system.+state.+changed )|(\[timeout)|(PRM\|1\|D)|(kpr)|(kdp)|(\|lc)|(penalty))" /e /r /s</v>
      </c>
      <c r="AG186" s="1" t="str">
        <f t="shared" si="75"/>
        <v>NW</v>
      </c>
      <c r="AH186" s="88" t="str">
        <f t="shared" si="70"/>
        <v>"%USERPROFILE%\Documents\GitHub\eaglep3\Utilities\RefineRTDCRunTimes.py" --tripid 824-12 --locoid 4045 --swversion DE.1.0.8.0 --startMP 300:58619 --initTime 2017-01-12T14:36:48 --startdatetime 2017-01-12T14:38:50 --delay 1 --endMP 204:671 --enddatetime 2017-01-12T14:56:06 --enforcementcount 0 &gt;&gt;C:\Users\stu\Documents\GitHub\eaglep3-reporting\EC\2017-01-12-refined-times.txt</v>
      </c>
      <c r="AI186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{"issue":{"subject":"","project_id":79,"tracker_id":40,"status_id":1,"priority_id":2,"assigned_to_id":23,"start_date":"2017-01-12","description":"","custom_fields":[{"id":1,"name":"Subdivision","value":"NW"},{"id":4,"name":"Milepost","value":"0.0671"},{"id":17,"name":"Train ID","value":"824-12"},{"id":16,"name":"Locomotive ID","value":"4045"},{"id":130,"name":"Impact","value":""},{"id":150,"name":"Time of Event (Mountain Time)","value":"14:56:06"},{"id":151,"name":"Denver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72"/>
        <v>start /low /b %USERPROFILE%\Documents\GitHub\eaglep3\Utilities\DownloadLogsFromS3.py --loco 4045 --day 2017-01-12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187" spans="1:91" x14ac:dyDescent="0.25">
      <c r="A187" s="34" t="s">
        <v>660</v>
      </c>
      <c r="B187" s="7">
        <v>4046</v>
      </c>
      <c r="C187" s="22" t="s">
        <v>201</v>
      </c>
      <c r="D187" s="22" t="s">
        <v>903</v>
      </c>
      <c r="E187" s="13">
        <v>42747.624861111108</v>
      </c>
      <c r="F187" s="13">
        <v>42747.639768518522</v>
      </c>
      <c r="G187" s="7">
        <v>1</v>
      </c>
      <c r="H187" s="22" t="s">
        <v>336</v>
      </c>
      <c r="I187" s="13">
        <v>42747.650046296294</v>
      </c>
      <c r="J187" s="7">
        <v>0</v>
      </c>
      <c r="K187" s="105" t="str">
        <f t="shared" si="58"/>
        <v>4045/4046</v>
      </c>
      <c r="L187" s="22" t="str">
        <f>VLOOKUP(A187,'Trips&amp;Operators'!$C$1:$G$99999,5,FALSE)</f>
        <v>COMELLA JUSTIN</v>
      </c>
      <c r="M187" s="6">
        <f t="shared" si="59"/>
        <v>1.0277777771989349E-2</v>
      </c>
      <c r="N187" s="7">
        <f t="shared" si="77"/>
        <v>14.799999991664663</v>
      </c>
      <c r="O187" s="7"/>
      <c r="P187" s="7"/>
      <c r="Q187" s="23"/>
      <c r="R187" s="23"/>
      <c r="S187" s="32">
        <f t="shared" si="73"/>
        <v>1</v>
      </c>
      <c r="T187" s="47" t="str">
        <f t="shared" si="74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13:59:48-700',mode:absolute,to:'2017-01-12 16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7" s="49" t="str">
        <f t="shared" si="62"/>
        <v>N</v>
      </c>
      <c r="X187" s="173">
        <f t="shared" si="80"/>
        <v>1</v>
      </c>
      <c r="Y187" s="64">
        <f t="shared" si="78"/>
        <v>9.7900000000000001E-2</v>
      </c>
      <c r="Z187" s="64">
        <f t="shared" si="79"/>
        <v>5.8956</v>
      </c>
      <c r="AA187" s="64">
        <f t="shared" si="65"/>
        <v>5.7976999999999999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66"/>
        <v>0825-12</v>
      </c>
      <c r="AE187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87" s="84" t="str">
        <f t="shared" si="68"/>
        <v>"C:\Program Files (x86)\AstroGrep\AstroGrep.exe" /spath="%USERPROFILE%\AppData\Local\Temp\OnboardLogs" /stypes="app*4046*20170112*" /stext=" 22:.+((SYSTEM_STATE.+slice.+state.+changed )|(ment ac)|(multiple cpu faults)|(system.+state.+changed )|(\[timeout)|(PRM\|1\|D)|(kpr)|(kdp)|(\|lc)|(penalty))" /e /r /s</v>
      </c>
      <c r="AG187" s="1" t="str">
        <f t="shared" si="75"/>
        <v>NW</v>
      </c>
      <c r="AH187" s="88" t="str">
        <f t="shared" si="70"/>
        <v>"%USERPROFILE%\Documents\GitHub\eaglep3\Utilities\RefineRTDCRunTimes.py" --tripid 825-12 --locoid 4046 --swversion DE.1.0.8.0 --startMP 204:979 --initTime 2017-01-12T14:59:48 --startdatetime 2017-01-12T15:21:16 --delay 1 --endMP 300:58956 --enddatetime 2017-01-12T15:36:04 --enforcementcount 0 &gt;&gt;C:\Users\stu\Documents\GitHub\eaglep3-reporting\EC\2017-01-12-refined-times.txt</v>
      </c>
      <c r="AI187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{"issue":{"subject":"","project_id":79,"tracker_id":40,"status_id":1,"priority_id":2,"assigned_to_id":23,"start_date":"2017-01-12","description":"","custom_fields":[{"id":1,"name":"Subdivision","value":"NW"},{"id":4,"name":"Milepost","value":"5.8956"},{"id":17,"name":"Train ID","value":"825-12"},{"id":16,"name":"Locomotive ID","value":"4046"},{"id":130,"name":"Impact","value":""},{"id":150,"name":"Time of Event (Mountain Time)","value":"15:36:04"},{"id":151,"name":"Denver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72"/>
        <v>start /low /b %USERPROFILE%\Documents\GitHub\eaglep3\Utilities\DownloadLogsFromS3.py --loco 4046 --day 2017-01-12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88" spans="1:91" s="21" customFormat="1" x14ac:dyDescent="0.25">
      <c r="A188" s="34" t="s">
        <v>525</v>
      </c>
      <c r="B188" s="7">
        <v>4045</v>
      </c>
      <c r="C188" s="22" t="s">
        <v>201</v>
      </c>
      <c r="D188" s="22" t="s">
        <v>904</v>
      </c>
      <c r="E188" s="13">
        <v>42747.650949074072</v>
      </c>
      <c r="F188" s="13">
        <v>42747.652268518519</v>
      </c>
      <c r="G188" s="7">
        <v>1</v>
      </c>
      <c r="H188" s="22" t="s">
        <v>905</v>
      </c>
      <c r="I188" s="13">
        <v>42747.664467592593</v>
      </c>
      <c r="J188" s="7">
        <v>0</v>
      </c>
      <c r="K188" s="105" t="str">
        <f t="shared" si="58"/>
        <v>4045/4046</v>
      </c>
      <c r="L188" s="22" t="str">
        <f>VLOOKUP(A188,'Trips&amp;Operators'!$C$1:$G$99999,5,FALSE)</f>
        <v>COMELLA JUSTIN</v>
      </c>
      <c r="M188" s="6">
        <f t="shared" si="59"/>
        <v>1.2199074073578231E-2</v>
      </c>
      <c r="N188" s="7">
        <f t="shared" si="77"/>
        <v>17.566666665952653</v>
      </c>
      <c r="O188" s="7"/>
      <c r="P188" s="7"/>
      <c r="Q188" s="23"/>
      <c r="R188" s="23"/>
      <c r="S188" s="32">
        <f t="shared" si="73"/>
        <v>1</v>
      </c>
      <c r="T188" s="47" t="str">
        <f t="shared" si="74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14:37:22-700',mode:absolute,to:'2017-01-12 16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8" s="49" t="str">
        <f t="shared" si="62"/>
        <v>N</v>
      </c>
      <c r="X188" s="173">
        <f t="shared" si="80"/>
        <v>1</v>
      </c>
      <c r="Y188" s="64">
        <f t="shared" si="78"/>
        <v>5.8644999999999996</v>
      </c>
      <c r="Z188" s="64">
        <f t="shared" si="79"/>
        <v>7.0999999999999994E-2</v>
      </c>
      <c r="AA188" s="64">
        <f t="shared" si="65"/>
        <v>5.7934999999999999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66"/>
        <v>0826-12</v>
      </c>
      <c r="AE188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88" s="84" t="str">
        <f t="shared" si="68"/>
        <v>"C:\Program Files (x86)\AstroGrep\AstroGrep.exe" /spath="%USERPROFILE%\AppData\Local\Temp\OnboardLogs" /stypes="app*4045*20170112*" /stext=" 22:.+((SYSTEM_STATE.+slice.+state.+changed )|(ment ac)|(multiple cpu faults)|(system.+state.+changed )|(\[timeout)|(PRM\|1\|D)|(kpr)|(kdp)|(\|lc)|(penalty))" /e /r /s</v>
      </c>
      <c r="AG188" s="1" t="str">
        <f t="shared" si="75"/>
        <v>NW</v>
      </c>
      <c r="AH188" s="88" t="str">
        <f t="shared" si="70"/>
        <v>"%USERPROFILE%\Documents\GitHub\eaglep3\Utilities\RefineRTDCRunTimes.py" --tripid 826-12 --locoid 4045 --swversion DE.1.0.8.0 --startMP 300:58645 --initTime 2017-01-12T15:37:22 --startdatetime 2017-01-12T15:39:16 --delay 1 --endMP 204:710 --enddatetime 2017-01-12T15:56:50 --enforcementcount 0 &gt;&gt;C:\Users\stu\Documents\GitHub\eaglep3-reporting\EC\2017-01-12-refined-times.txt</v>
      </c>
      <c r="AI188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{"issue":{"subject":"","project_id":79,"tracker_id":40,"status_id":1,"priority_id":2,"assigned_to_id":23,"start_date":"2017-01-12","description":"","custom_fields":[{"id":1,"name":"Subdivision","value":"NW"},{"id":4,"name":"Milepost","value":"0.071"},{"id":17,"name":"Train ID","value":"826-12"},{"id":16,"name":"Locomotive ID","value":"4045"},{"id":130,"name":"Impact","value":""},{"id":150,"name":"Time of Event (Mountain Time)","value":"15:56:50"},{"id":151,"name":"Denver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72"/>
        <v>start /low /b %USERPROFILE%\Documents\GitHub\eaglep3\Utilities\DownloadLogsFromS3.py --loco 4045 --day 2017-01-12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526</v>
      </c>
      <c r="B189" s="7">
        <v>4007</v>
      </c>
      <c r="C189" s="22" t="s">
        <v>201</v>
      </c>
      <c r="D189" s="22" t="s">
        <v>906</v>
      </c>
      <c r="E189" s="13">
        <v>42747.645821759259</v>
      </c>
      <c r="F189" s="13">
        <v>42747.660601851851</v>
      </c>
      <c r="G189" s="7">
        <v>2</v>
      </c>
      <c r="H189" s="22" t="s">
        <v>907</v>
      </c>
      <c r="I189" s="13">
        <v>42747.671736111108</v>
      </c>
      <c r="J189" s="7">
        <v>0</v>
      </c>
      <c r="K189" s="105" t="str">
        <f t="shared" si="58"/>
        <v>4007/4008</v>
      </c>
      <c r="L189" s="22" t="str">
        <f>VLOOKUP(A189,'Trips&amp;Operators'!$C$1:$G$99999,5,FALSE)</f>
        <v>LOPES KIMBERLY</v>
      </c>
      <c r="M189" s="6">
        <f t="shared" si="59"/>
        <v>1.113425925723277E-2</v>
      </c>
      <c r="N189" s="7">
        <f t="shared" si="77"/>
        <v>16.033333330415189</v>
      </c>
      <c r="O189" s="7"/>
      <c r="P189" s="7"/>
      <c r="Q189" s="23"/>
      <c r="R189" s="23"/>
      <c r="S189" s="32">
        <f t="shared" si="73"/>
        <v>1</v>
      </c>
      <c r="T189" s="47" t="str">
        <f t="shared" si="74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14:29:59-700',mode:absolute,to:'2017-01-12 17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89" s="49" t="str">
        <f t="shared" si="62"/>
        <v>N</v>
      </c>
      <c r="X189" s="173">
        <f t="shared" si="80"/>
        <v>1</v>
      </c>
      <c r="Y189" s="64">
        <f t="shared" si="78"/>
        <v>0.1037</v>
      </c>
      <c r="Z189" s="64">
        <f t="shared" si="79"/>
        <v>5.8936999999999999</v>
      </c>
      <c r="AA189" s="64">
        <f t="shared" si="65"/>
        <v>5.79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66"/>
        <v>0827-12</v>
      </c>
      <c r="AE189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89" s="84" t="str">
        <f t="shared" si="68"/>
        <v>"C:\Program Files (x86)\AstroGrep\AstroGrep.exe" /spath="%USERPROFILE%\AppData\Local\Temp\OnboardLogs" /stypes="app*4007*20170112*" /stext=" 23:.+((SYSTEM_STATE.+slice.+state.+changed )|(ment ac)|(multiple cpu faults)|(system.+state.+changed )|(\[timeout)|(PRM\|1\|D)|(kpr)|(kdp)|(\|lc)|(penalty))" /e /r /s</v>
      </c>
      <c r="AG189" s="1" t="str">
        <f t="shared" si="75"/>
        <v>NW</v>
      </c>
      <c r="AH189" s="88" t="str">
        <f t="shared" si="70"/>
        <v>"%USERPROFILE%\Documents\GitHub\eaglep3\Utilities\RefineRTDCRunTimes.py" --tripid 827-12 --locoid 4007 --swversion DE.1.0.8.0 --startMP 204:1037 --initTime 2017-01-12T15:29:59 --startdatetime 2017-01-12T15:51:16 --delay 2 --endMP 300:58937 --enddatetime 2017-01-12T16:07:18 --enforcementcount 0 &gt;&gt;C:\Users\stu\Documents\GitHub\eaglep3-reporting\EC\2017-01-12-refined-times.txt</v>
      </c>
      <c r="AI189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{"issue":{"subject":"","project_id":79,"tracker_id":40,"status_id":1,"priority_id":2,"assigned_to_id":23,"start_date":"2017-01-12","description":"","custom_fields":[{"id":1,"name":"Subdivision","value":"NW"},{"id":4,"name":"Milepost","value":"5.8937"},{"id":17,"name":"Train ID","value":"827-12"},{"id":16,"name":"Locomotive ID","value":"4007"},{"id":130,"name":"Impact","value":""},{"id":150,"name":"Time of Event (Mountain Time)","value":"16:07:18"},{"id":151,"name":"Denver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72"/>
        <v>start /low /b %USERPROFILE%\Documents\GitHub\eaglep3\Utilities\DownloadLogsFromS3.py --loco 4007 --day 2017-01-12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673</v>
      </c>
      <c r="B190" s="7">
        <v>4008</v>
      </c>
      <c r="C190" s="22" t="s">
        <v>201</v>
      </c>
      <c r="D190" s="22" t="s">
        <v>901</v>
      </c>
      <c r="E190" s="13">
        <v>42747.67260416667</v>
      </c>
      <c r="F190" s="13">
        <v>42747.674513888887</v>
      </c>
      <c r="G190" s="7">
        <v>0</v>
      </c>
      <c r="H190" s="22" t="s">
        <v>362</v>
      </c>
      <c r="I190" s="13">
        <v>42747.686932870369</v>
      </c>
      <c r="J190" s="7">
        <v>0</v>
      </c>
      <c r="K190" s="105" t="str">
        <f t="shared" si="58"/>
        <v>4007/4008</v>
      </c>
      <c r="L190" s="22" t="str">
        <f>VLOOKUP(A190,'Trips&amp;Operators'!$C$1:$G$99999,5,FALSE)</f>
        <v>LOPES KIMBERLY</v>
      </c>
      <c r="M190" s="6">
        <f t="shared" si="59"/>
        <v>1.2418981481459923E-2</v>
      </c>
      <c r="N190" s="7"/>
      <c r="O190" s="7"/>
      <c r="P190" s="7">
        <f>24*60*SUM($M190:$M190)</f>
        <v>17.883333333302289</v>
      </c>
      <c r="Q190" s="23"/>
      <c r="R190" s="23" t="s">
        <v>312</v>
      </c>
      <c r="S190" s="32">
        <f t="shared" si="73"/>
        <v>0</v>
      </c>
      <c r="T190" s="47" t="str">
        <f t="shared" si="74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15:08:33-700',mode:absolute,to:'2017-01-12 17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90" s="49" t="str">
        <f t="shared" si="62"/>
        <v>Y</v>
      </c>
      <c r="X190" s="173">
        <f t="shared" si="80"/>
        <v>1</v>
      </c>
      <c r="Y190" s="64">
        <v>0</v>
      </c>
      <c r="Z190" s="64">
        <v>0</v>
      </c>
      <c r="AA190" s="64">
        <f t="shared" si="65"/>
        <v>0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66"/>
        <v>0828-12</v>
      </c>
      <c r="AE190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90" s="84" t="str">
        <f t="shared" si="68"/>
        <v>"C:\Program Files (x86)\AstroGrep\AstroGrep.exe" /spath="%USERPROFILE%\AppData\Local\Temp\OnboardLogs" /stypes="app*4008*20170112*" /stext=" 23:.+((SYSTEM_STATE.+slice.+state.+changed )|(ment ac)|(multiple cpu faults)|(system.+state.+changed )|(\[timeout)|(PRM\|1\|D)|(kpr)|(kdp)|(\|lc)|(penalty))" /e /r /s</v>
      </c>
      <c r="AG190" s="1" t="str">
        <f t="shared" si="75"/>
        <v>NW</v>
      </c>
      <c r="AH190" s="88" t="str">
        <f t="shared" si="70"/>
        <v>"%USERPROFILE%\Documents\GitHub\eaglep3\Utilities\RefineRTDCRunTimes.py" --tripid 828-12 --locoid 4008 --swversion DE.1.0.8.0 --startMP 300:58619 --initTime 2017-01-12T16:08:33 --startdatetime 2017-01-12T16:11:18 --delay 0 --endMP 204:678 --enddatetime 2017-01-12T16:29:11 --enforcementcount 0 &gt;&gt;C:\Users\stu\Documents\GitHub\eaglep3-reporting\EC\2017-01-12-refined-times.txt</v>
      </c>
      <c r="AI190" s="115" t="str">
        <f t="shared" si="71"/>
        <v>echo {"issue":{"subject":"Onboard in-route failure","project_id":79,"tracker_id":40,"status_id":1,"priority_id":2,"assigned_to_id":23,"start_date":"2017-01-12","description":"","custom_fields":[{"id":1,"name":"Subdivision","value":"NW"},{"id":4,"name":"Milepost","value":"0"},{"id":17,"name":"Train ID","value":"828-12"},{"id":16,"name":"Locomotive ID","value":"4008"},{"id":130,"name":"Impact","value":""},{"id":150,"name":"Time of Event (Mountain Time)","value":"16:29:11"},{"id":151,"name":"Denver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72"/>
        <v>start /low /b %USERPROFILE%\Documents\GitHub\eaglep3\Utilities\DownloadLogsFromS3.py --loco 4008 --day 2017-01-12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675</v>
      </c>
      <c r="B191" s="7">
        <v>4046</v>
      </c>
      <c r="C191" s="22" t="s">
        <v>201</v>
      </c>
      <c r="D191" s="22" t="s">
        <v>908</v>
      </c>
      <c r="E191" s="13">
        <v>42747.675949074073</v>
      </c>
      <c r="F191" s="13">
        <v>42747.681469907409</v>
      </c>
      <c r="G191" s="7">
        <v>1</v>
      </c>
      <c r="H191" s="22" t="s">
        <v>909</v>
      </c>
      <c r="I191" s="13">
        <v>42747.691863425927</v>
      </c>
      <c r="J191" s="7">
        <v>0</v>
      </c>
      <c r="K191" s="105" t="str">
        <f t="shared" si="58"/>
        <v>4045/4046</v>
      </c>
      <c r="L191" s="22" t="str">
        <f>VLOOKUP(A191,'Trips&amp;Operators'!$C$1:$G$99999,5,FALSE)</f>
        <v>COMELLA JUSTIN</v>
      </c>
      <c r="M191" s="6">
        <f t="shared" si="59"/>
        <v>1.0393518517958E-2</v>
      </c>
      <c r="N191" s="7">
        <f>24*60*SUM($M191:$M191)</f>
        <v>14.96666666585952</v>
      </c>
      <c r="O191" s="7"/>
      <c r="P191" s="7"/>
      <c r="Q191" s="23"/>
      <c r="R191" s="23"/>
      <c r="S191" s="32">
        <f t="shared" si="73"/>
        <v>1</v>
      </c>
      <c r="T191" s="47" t="str">
        <f t="shared" si="74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15:13:22-700',mode:absolute,to:'2017-01-12 17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1" s="49" t="str">
        <f t="shared" si="62"/>
        <v>N</v>
      </c>
      <c r="X191" s="173">
        <f t="shared" ref="X191:X193" si="81">VALUE(LEFT(AD191,4))-VALUE(LEFT(AD190,4))</f>
        <v>1</v>
      </c>
      <c r="Y191" s="64">
        <f t="shared" ref="Y191:Y222" si="82">RIGHT(D191,LEN(D191)-4)/10000</f>
        <v>9.9299999999999999E-2</v>
      </c>
      <c r="Z191" s="64">
        <f t="shared" ref="Z191:Z222" si="83">RIGHT(H191,LEN(H191)-4)/10000</f>
        <v>5.8959999999999999</v>
      </c>
      <c r="AA191" s="64">
        <f t="shared" si="65"/>
        <v>5.7966999999999995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66"/>
        <v>0829-12</v>
      </c>
      <c r="AE191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91" s="84" t="str">
        <f t="shared" si="68"/>
        <v>"C:\Program Files (x86)\AstroGrep\AstroGrep.exe" /spath="%USERPROFILE%\AppData\Local\Temp\OnboardLogs" /stypes="app*4046*20170112*" /stext=" 23:.+((SYSTEM_STATE.+slice.+state.+changed )|(ment ac)|(multiple cpu faults)|(system.+state.+changed )|(\[timeout)|(PRM\|1\|D)|(kpr)|(kdp)|(\|lc)|(penalty))" /e /r /s</v>
      </c>
      <c r="AG191" s="1" t="str">
        <f t="shared" si="75"/>
        <v>NW</v>
      </c>
      <c r="AH191" s="88" t="str">
        <f t="shared" si="70"/>
        <v>"%USERPROFILE%\Documents\GitHub\eaglep3\Utilities\RefineRTDCRunTimes.py" --tripid 829-12 --locoid 4046 --swversion DE.1.0.8.0 --startMP 204:993 --initTime 2017-01-12T16:13:22 --startdatetime 2017-01-12T16:21:19 --delay 1 --endMP 300:58960 --enddatetime 2017-01-12T16:36:17 --enforcementcount 0 &gt;&gt;C:\Users\stu\Documents\GitHub\eaglep3-reporting\EC\2017-01-12-refined-times.txt</v>
      </c>
      <c r="AI191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{"issue":{"subject":"","project_id":79,"tracker_id":40,"status_id":1,"priority_id":2,"assigned_to_id":23,"start_date":"2017-01-12","description":"","custom_fields":[{"id":1,"name":"Subdivision","value":"NW"},{"id":4,"name":"Milepost","value":"5.896"},{"id":17,"name":"Train ID","value":"829-12"},{"id":16,"name":"Locomotive ID","value":"4046"},{"id":130,"name":"Impact","value":""},{"id":150,"name":"Time of Event (Mountain Time)","value":"16:36:17"},{"id":151,"name":"Denver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72"/>
        <v>start /low /b %USERPROFILE%\Documents\GitHub\eaglep3\Utilities\DownloadLogsFromS3.py --loco 4046 --day 2017-01-12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2017-01-12-UncaughtWiMAX.txt</v>
      </c>
    </row>
    <row r="192" spans="1:91" x14ac:dyDescent="0.25">
      <c r="A192" s="34" t="s">
        <v>679</v>
      </c>
      <c r="B192" s="7">
        <v>4045</v>
      </c>
      <c r="C192" s="22" t="s">
        <v>201</v>
      </c>
      <c r="D192" s="22" t="s">
        <v>904</v>
      </c>
      <c r="E192" s="13">
        <v>42747.692997685182</v>
      </c>
      <c r="F192" s="13">
        <v>42747.694537037038</v>
      </c>
      <c r="G192" s="7">
        <v>1</v>
      </c>
      <c r="H192" s="22" t="s">
        <v>499</v>
      </c>
      <c r="I192" s="13">
        <v>42747.706400462965</v>
      </c>
      <c r="J192" s="7">
        <v>0</v>
      </c>
      <c r="K192" s="105" t="str">
        <f t="shared" si="58"/>
        <v>4045/4046</v>
      </c>
      <c r="L192" s="22" t="str">
        <f>VLOOKUP(A192,'Trips&amp;Operators'!$C$1:$G$99999,5,FALSE)</f>
        <v>COMELLA JUSTIN</v>
      </c>
      <c r="M192" s="6">
        <f t="shared" si="59"/>
        <v>1.1863425927003846E-2</v>
      </c>
      <c r="N192" s="7">
        <f>24*60*SUM($M192:$M192)</f>
        <v>17.083333334885538</v>
      </c>
      <c r="O192" s="7"/>
      <c r="P192" s="7"/>
      <c r="Q192" s="23"/>
      <c r="R192" s="23"/>
      <c r="S192" s="32">
        <f t="shared" si="73"/>
        <v>1</v>
      </c>
      <c r="T192" s="47" t="str">
        <f t="shared" si="74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15:37:55-700',mode:absolute,to:'2017-01-12 17:57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2" s="49" t="str">
        <f t="shared" si="62"/>
        <v>N</v>
      </c>
      <c r="X192" s="173">
        <f t="shared" si="81"/>
        <v>1</v>
      </c>
      <c r="Y192" s="64">
        <f t="shared" si="82"/>
        <v>5.8644999999999996</v>
      </c>
      <c r="Z192" s="64">
        <f t="shared" si="83"/>
        <v>6.6799999999999998E-2</v>
      </c>
      <c r="AA192" s="64">
        <f t="shared" si="65"/>
        <v>5.7976999999999999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66"/>
        <v>0830-12</v>
      </c>
      <c r="AE192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92" s="84" t="str">
        <f t="shared" si="68"/>
        <v>"C:\Program Files (x86)\AstroGrep\AstroGrep.exe" /spath="%USERPROFILE%\AppData\Local\Temp\OnboardLogs" /stypes="app*4045*20170112*" /stext=" 23:.+((SYSTEM_STATE.+slice.+state.+changed )|(ment ac)|(multiple cpu faults)|(system.+state.+changed )|(\[timeout)|(PRM\|1\|D)|(kpr)|(kdp)|(\|lc)|(penalty))" /e /r /s</v>
      </c>
      <c r="AG192" s="1" t="str">
        <f t="shared" si="75"/>
        <v>NW</v>
      </c>
      <c r="AH192" s="88" t="str">
        <f t="shared" si="70"/>
        <v>"%USERPROFILE%\Documents\GitHub\eaglep3\Utilities\RefineRTDCRunTimes.py" --tripid 830-12 --locoid 4045 --swversion DE.1.0.8.0 --startMP 300:58645 --initTime 2017-01-12T16:37:55 --startdatetime 2017-01-12T16:40:08 --delay 1 --endMP 204:668 --enddatetime 2017-01-12T16:57:13 --enforcementcount 0 &gt;&gt;C:\Users\stu\Documents\GitHub\eaglep3-reporting\EC\2017-01-12-refined-times.txt</v>
      </c>
      <c r="AI192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{"issue":{"subject":"","project_id":79,"tracker_id":40,"status_id":1,"priority_id":2,"assigned_to_id":23,"start_date":"2017-01-12","description":"","custom_fields":[{"id":1,"name":"Subdivision","value":"NW"},{"id":4,"name":"Milepost","value":"0.0668"},{"id":17,"name":"Train ID","value":"830-12"},{"id":16,"name":"Locomotive ID","value":"4045"},{"id":130,"name":"Impact","value":""},{"id":150,"name":"Time of Event (Mountain Time)","value":"16:57:13"},{"id":151,"name":"Denver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72"/>
        <v>start /low /b %USERPROFILE%\Documents\GitHub\eaglep3\Utilities\DownloadLogsFromS3.py --loco 4045 --day 2017-01-12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193" spans="1:91" x14ac:dyDescent="0.25">
      <c r="A193" s="34" t="s">
        <v>681</v>
      </c>
      <c r="B193" s="7">
        <v>4007</v>
      </c>
      <c r="C193" s="22" t="s">
        <v>201</v>
      </c>
      <c r="D193" s="22" t="s">
        <v>873</v>
      </c>
      <c r="E193" s="13">
        <v>42747.699444444443</v>
      </c>
      <c r="F193" s="13">
        <v>42747.702256944445</v>
      </c>
      <c r="G193" s="7">
        <v>1</v>
      </c>
      <c r="H193" s="22" t="s">
        <v>493</v>
      </c>
      <c r="I193" s="13">
        <v>42747.712523148148</v>
      </c>
      <c r="J193" s="7">
        <v>0</v>
      </c>
      <c r="K193" s="105" t="str">
        <f t="shared" si="58"/>
        <v>4007/4008</v>
      </c>
      <c r="L193" s="22" t="str">
        <f>VLOOKUP(A193,'Trips&amp;Operators'!$C$1:$G$99999,5,FALSE)</f>
        <v>LOPES KIMBERLY</v>
      </c>
      <c r="M193" s="6">
        <f t="shared" si="59"/>
        <v>1.0266203702485655E-2</v>
      </c>
      <c r="N193" s="7">
        <f>24*60*SUM($M193:$M193)</f>
        <v>14.783333331579342</v>
      </c>
      <c r="O193" s="7"/>
      <c r="P193" s="7"/>
      <c r="Q193" s="23"/>
      <c r="R193" s="23"/>
      <c r="S193" s="32">
        <f t="shared" ref="S193:S224" si="84">SUM(U193:U193)/IF(AG193="EC",12,1)</f>
        <v>1</v>
      </c>
      <c r="T193" s="47" t="str">
        <f t="shared" ref="T193:T224" si="85">IF(ISEVEN(LEFT(AD193,4)),"Southbound","NorthBound")</f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15:47:12-700',mode:absolute,to:'2017-01-12 18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93" s="49" t="str">
        <f t="shared" si="62"/>
        <v>N</v>
      </c>
      <c r="X193" s="173">
        <f t="shared" si="81"/>
        <v>1</v>
      </c>
      <c r="Y193" s="64">
        <f t="shared" si="82"/>
        <v>0.10349999999999999</v>
      </c>
      <c r="Z193" s="64">
        <f t="shared" si="83"/>
        <v>5.8952</v>
      </c>
      <c r="AA193" s="64">
        <f t="shared" si="65"/>
        <v>5.7916999999999996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66"/>
        <v>0831-12</v>
      </c>
      <c r="AE193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93" s="84" t="str">
        <f t="shared" si="68"/>
        <v>"C:\Program Files (x86)\AstroGrep\AstroGrep.exe" /spath="%USERPROFILE%\AppData\Local\Temp\OnboardLogs" /stypes="app*4007*20170113*" /stext=" 00:.+((SYSTEM_STATE.+slice.+state.+changed )|(ment ac)|(multiple cpu faults)|(system.+state.+changed )|(\[timeout)|(PRM\|1\|D)|(kpr)|(kdp)|(\|lc)|(penalty))" /e /r /s</v>
      </c>
      <c r="AG193" s="1" t="str">
        <f t="shared" ref="AG193:AG224" si="86">IFERROR(IF(VALUE(LEFT(AD193,2))&lt;=2,"EC",IF(OR(VALUE(LEFT(AD193,2))=8,VALUE(LEFT(AD193,2))=18),"NW","Other")),"Other")</f>
        <v>NW</v>
      </c>
      <c r="AH193" s="88" t="str">
        <f t="shared" si="70"/>
        <v>"%USERPROFILE%\Documents\GitHub\eaglep3\Utilities\RefineRTDCRunTimes.py" --tripid 831-12 --locoid 4007 --swversion DE.1.0.8.0 --startMP 204:1035 --initTime 2017-01-12T16:47:12 --startdatetime 2017-01-12T16:51:15 --delay 1 --endMP 300:58952 --enddatetime 2017-01-12T17:06:02 --enforcementcount 0 &gt;&gt;C:\Users\stu\Documents\GitHub\eaglep3-reporting\EC\2017-01-12-refined-times.txt</v>
      </c>
      <c r="AI193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{"issue":{"subject":"","project_id":79,"tracker_id":40,"status_id":1,"priority_id":2,"assigned_to_id":23,"start_date":"2017-01-12","description":"","custom_fields":[{"id":1,"name":"Subdivision","value":"NW"},{"id":4,"name":"Milepost","value":"5.8952"},{"id":17,"name":"Train ID","value":"831-12"},{"id":16,"name":"Locomotive ID","value":"4007"},{"id":130,"name":"Impact","value":""},{"id":150,"name":"Time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72"/>
        <v>start /low /b %USERPROFILE%\Documents\GitHub\eaglep3\Utilities\DownloadLogsFromS3.py --loco 4007 --day 2017-01-12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</row>
    <row r="194" spans="1:91" x14ac:dyDescent="0.25">
      <c r="A194" s="34" t="s">
        <v>684</v>
      </c>
      <c r="B194" s="7">
        <v>4008</v>
      </c>
      <c r="C194" s="22" t="s">
        <v>201</v>
      </c>
      <c r="D194" s="22" t="s">
        <v>488</v>
      </c>
      <c r="E194" s="13">
        <v>42747.713391203702</v>
      </c>
      <c r="F194" s="13">
        <v>42747.715254629627</v>
      </c>
      <c r="G194" s="7">
        <v>1</v>
      </c>
      <c r="H194" s="22" t="s">
        <v>362</v>
      </c>
      <c r="I194" s="13">
        <v>42747.728715277779</v>
      </c>
      <c r="J194" s="7">
        <v>0</v>
      </c>
      <c r="K194" s="105" t="str">
        <f t="shared" si="58"/>
        <v>4007/4008</v>
      </c>
      <c r="L194" s="22" t="str">
        <f>VLOOKUP(A194,'Trips&amp;Operators'!$C$1:$G$99999,5,FALSE)</f>
        <v>LOPES KIMBERLY</v>
      </c>
      <c r="M194" s="6">
        <f t="shared" si="59"/>
        <v>1.3460648151522037E-2</v>
      </c>
      <c r="N194" s="7">
        <f>24*60*SUM($M194:$M194)</f>
        <v>19.383333338191733</v>
      </c>
      <c r="O194" s="7"/>
      <c r="P194" s="7"/>
      <c r="Q194" s="23"/>
      <c r="R194" s="23"/>
      <c r="S194" s="32">
        <f t="shared" si="84"/>
        <v>1</v>
      </c>
      <c r="T194" s="47" t="str">
        <f t="shared" si="85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16:07:17-700',mode:absolute,to:'2017-01-12 18:29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94" s="49" t="str">
        <f t="shared" si="62"/>
        <v>N</v>
      </c>
      <c r="X194" s="173">
        <f t="shared" ref="X194:X234" si="87">VALUE(LEFT(AD194,4))-VALUE(LEFT(AD193,4))</f>
        <v>1</v>
      </c>
      <c r="Y194" s="64">
        <f t="shared" si="82"/>
        <v>5.8635999999999999</v>
      </c>
      <c r="Z194" s="64">
        <f t="shared" si="83"/>
        <v>6.7799999999999999E-2</v>
      </c>
      <c r="AA194" s="64">
        <f t="shared" si="65"/>
        <v>5.7957999999999998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66"/>
        <v>0832-12</v>
      </c>
      <c r="AE194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94" s="84" t="str">
        <f t="shared" si="68"/>
        <v>"C:\Program Files (x86)\AstroGrep\AstroGrep.exe" /spath="%USERPROFILE%\AppData\Local\Temp\OnboardLogs" /stypes="app*4008*20170113*" /stext=" 00:.+((SYSTEM_STATE.+slice.+state.+changed )|(ment ac)|(multiple cpu faults)|(system.+state.+changed )|(\[timeout)|(PRM\|1\|D)|(kpr)|(kdp)|(\|lc)|(penalty))" /e /r /s</v>
      </c>
      <c r="AG194" s="1" t="str">
        <f t="shared" si="86"/>
        <v>NW</v>
      </c>
      <c r="AH194" s="88" t="str">
        <f t="shared" si="70"/>
        <v>"%USERPROFILE%\Documents\GitHub\eaglep3\Utilities\RefineRTDCRunTimes.py" --tripid 832-12 --locoid 4008 --swversion DE.1.0.8.0 --startMP 300:58636 --initTime 2017-01-12T17:07:17 --startdatetime 2017-01-12T17:09:58 --delay 1 --endMP 204:678 --enddatetime 2017-01-12T17:29:21 --enforcementcount 0 &gt;&gt;C:\Users\stu\Documents\GitHub\eaglep3-reporting\EC\2017-01-12-refined-times.txt</v>
      </c>
      <c r="AI194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{"issue":{"subject":"","project_id":79,"tracker_id":40,"status_id":1,"priority_id":2,"assigned_to_id":23,"start_date":"2017-01-12","description":"","custom_fields":[{"id":1,"name":"Subdivision","value":"NW"},{"id":4,"name":"Milepost","value":"0.0678"},{"id":17,"name":"Train ID","value":"832-12"},{"id":16,"name":"Locomotive ID","value":"4008"},{"id":130,"name":"Impact","value":""},{"id":150,"name":"Time of Event (Mountain Time)","value":"17:29:21"},{"id":151,"name":"Denver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72"/>
        <v>start /low /b %USERPROFILE%\Documents\GitHub\eaglep3\Utilities\DownloadLogsFromS3.py --loco 4008 --day 2017-01-12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2017-01-12-UncaughtWiMAX.txt</v>
      </c>
    </row>
    <row r="195" spans="1:91" x14ac:dyDescent="0.25">
      <c r="A195" s="34" t="s">
        <v>685</v>
      </c>
      <c r="B195" s="7">
        <v>4046</v>
      </c>
      <c r="C195" s="22" t="s">
        <v>201</v>
      </c>
      <c r="D195" s="22" t="s">
        <v>910</v>
      </c>
      <c r="E195" s="13">
        <v>42747.714004629626</v>
      </c>
      <c r="F195" s="13">
        <v>42747.723101851851</v>
      </c>
      <c r="G195" s="7">
        <v>1</v>
      </c>
      <c r="H195" s="22" t="s">
        <v>493</v>
      </c>
      <c r="I195" s="13">
        <v>42747.733657407407</v>
      </c>
      <c r="J195" s="7">
        <v>0</v>
      </c>
      <c r="K195" s="105" t="str">
        <f t="shared" si="58"/>
        <v>4045/4046</v>
      </c>
      <c r="L195" s="22" t="str">
        <f>VLOOKUP(A195,'Trips&amp;Operators'!$C$1:$G$99999,5,FALSE)</f>
        <v>COMELLA JUSTIN</v>
      </c>
      <c r="M195" s="6">
        <f t="shared" si="59"/>
        <v>1.0555555556493346E-2</v>
      </c>
      <c r="N195" s="7">
        <f>24*60*SUM($M195:$M195)</f>
        <v>15.200000001350418</v>
      </c>
      <c r="O195" s="7"/>
      <c r="P195" s="7"/>
      <c r="Q195" s="23"/>
      <c r="R195" s="23"/>
      <c r="S195" s="32">
        <f t="shared" si="84"/>
        <v>1</v>
      </c>
      <c r="T195" s="47" t="str">
        <f t="shared" si="85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16:08:10-700',mode:absolute,to:'2017-01-12 18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5" s="49" t="str">
        <f t="shared" si="62"/>
        <v>N</v>
      </c>
      <c r="X195" s="173">
        <f t="shared" si="87"/>
        <v>1</v>
      </c>
      <c r="Y195" s="64">
        <f t="shared" si="82"/>
        <v>9.64E-2</v>
      </c>
      <c r="Z195" s="64">
        <f t="shared" si="83"/>
        <v>5.8952</v>
      </c>
      <c r="AA195" s="64">
        <f t="shared" si="65"/>
        <v>5.7988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66"/>
        <v>0833-12</v>
      </c>
      <c r="AE195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95" s="84" t="str">
        <f t="shared" si="68"/>
        <v>"C:\Program Files (x86)\AstroGrep\AstroGrep.exe" /spath="%USERPROFILE%\AppData\Local\Temp\OnboardLogs" /stypes="app*4046*20170113*" /stext=" 00:.+((SYSTEM_STATE.+slice.+state.+changed )|(ment ac)|(multiple cpu faults)|(system.+state.+changed )|(\[timeout)|(PRM\|1\|D)|(kpr)|(kdp)|(\|lc)|(penalty))" /e /r /s</v>
      </c>
      <c r="AG195" s="1" t="str">
        <f t="shared" si="86"/>
        <v>NW</v>
      </c>
      <c r="AH195" s="88" t="str">
        <f t="shared" si="70"/>
        <v>"%USERPROFILE%\Documents\GitHub\eaglep3\Utilities\RefineRTDCRunTimes.py" --tripid 833-12 --locoid 4046 --swversion DE.1.0.8.0 --startMP 204:964 --initTime 2017-01-12T17:08:10 --startdatetime 2017-01-12T17:21:16 --delay 1 --endMP 300:58952 --enddatetime 2017-01-12T17:36:28 --enforcementcount 0 &gt;&gt;C:\Users\stu\Documents\GitHub\eaglep3-reporting\EC\2017-01-12-refined-times.txt</v>
      </c>
      <c r="AI195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{"issue":{"subject":"","project_id":79,"tracker_id":40,"status_id":1,"priority_id":2,"assigned_to_id":23,"start_date":"2017-01-12","description":"","custom_fields":[{"id":1,"name":"Subdivision","value":"NW"},{"id":4,"name":"Milepost","value":"5.8952"},{"id":17,"name":"Train ID","value":"833-12"},{"id":16,"name":"Locomotive ID","value":"4046"},{"id":130,"name":"Impact","value":""},{"id":150,"name":"Time of Event (Mountain Time)","value":"17:36:28"},{"id":151,"name":"Denver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72"/>
        <v>start /low /b %USERPROFILE%\Documents\GitHub\eaglep3\Utilities\DownloadLogsFromS3.py --loco 4046 --day 2017-01-12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196" spans="1:91" x14ac:dyDescent="0.25">
      <c r="A196" s="34" t="s">
        <v>692</v>
      </c>
      <c r="B196" s="7">
        <v>4045</v>
      </c>
      <c r="C196" s="22" t="s">
        <v>201</v>
      </c>
      <c r="D196" s="22" t="s">
        <v>359</v>
      </c>
      <c r="E196" s="13">
        <v>42747.734537037039</v>
      </c>
      <c r="F196" s="13">
        <v>42747.736076388886</v>
      </c>
      <c r="G196" s="7">
        <v>1</v>
      </c>
      <c r="H196" s="22" t="s">
        <v>911</v>
      </c>
      <c r="I196" s="13">
        <v>42747.744085648148</v>
      </c>
      <c r="J196" s="7">
        <v>0</v>
      </c>
      <c r="K196" s="105" t="str">
        <f t="shared" si="58"/>
        <v>4045/4046</v>
      </c>
      <c r="L196" s="22" t="str">
        <f>VLOOKUP(A196,'Trips&amp;Operators'!$C$1:$G$99999,5,FALSE)</f>
        <v>COMELLA JUSTIN</v>
      </c>
      <c r="M196" s="6">
        <f t="shared" si="59"/>
        <v>8.0092592615983449E-3</v>
      </c>
      <c r="N196" s="7"/>
      <c r="O196" s="7"/>
      <c r="P196" s="7">
        <f>24*60*SUM($M196:$M196)</f>
        <v>11.533333336701617</v>
      </c>
      <c r="Q196" s="23"/>
      <c r="R196" s="23" t="s">
        <v>953</v>
      </c>
      <c r="S196" s="32">
        <f t="shared" si="84"/>
        <v>0</v>
      </c>
      <c r="T196" s="47" t="str">
        <f t="shared" si="85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16:37:44-700',mode:absolute,to:'2017-01-12 18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6" s="49" t="str">
        <f t="shared" si="62"/>
        <v>Y</v>
      </c>
      <c r="X196" s="173">
        <f t="shared" si="87"/>
        <v>1</v>
      </c>
      <c r="Y196" s="64">
        <f t="shared" si="82"/>
        <v>5.8625999999999996</v>
      </c>
      <c r="Z196" s="64">
        <f t="shared" si="83"/>
        <v>2.8148</v>
      </c>
      <c r="AA196" s="64">
        <f t="shared" si="65"/>
        <v>3.0477999999999996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66"/>
        <v>0834-12</v>
      </c>
      <c r="AE196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196" s="84" t="str">
        <f t="shared" si="68"/>
        <v>"C:\Program Files (x86)\AstroGrep\AstroGrep.exe" /spath="%USERPROFILE%\AppData\Local\Temp\OnboardLogs" /stypes="app*4045*20170113*" /stext=" 00:.+((SYSTEM_STATE.+slice.+state.+changed )|(ment ac)|(multiple cpu faults)|(system.+state.+changed )|(\[timeout)|(PRM\|1\|D)|(kpr)|(kdp)|(\|lc)|(penalty))" /e /r /s</v>
      </c>
      <c r="AG196" s="1" t="str">
        <f t="shared" si="86"/>
        <v>NW</v>
      </c>
      <c r="AH196" s="88" t="str">
        <f t="shared" si="70"/>
        <v>"%USERPROFILE%\Documents\GitHub\eaglep3\Utilities\RefineRTDCRunTimes.py" --tripid 834-12 --locoid 4045 --swversion DE.1.0.8.0 --startMP 300:58626 --initTime 2017-01-12T17:37:44 --startdatetime 2017-01-12T17:39:57 --delay 1 --endMP 300:28148 --enddatetime 2017-01-12T17:51:29 --enforcementcount 0 &gt;&gt;C:\Users\stu\Documents\GitHub\eaglep3-reporting\EC\2017-01-12-refined-times.txt</v>
      </c>
      <c r="AI196" s="115" t="str">
        <f t="shared" si="71"/>
        <v>echo {"issue":{"subject":"Trip 76 mangled switch, impacted this trip","project_id":79,"tracker_id":40,"status_id":1,"priority_id":2,"assigned_to_id":23,"start_date":"2017-01-12","description":"","custom_fields":[{"id":1,"name":"Subdivision","value":"NW"},{"id":4,"name":"Milepost","value":"2.8148"},{"id":17,"name":"Train ID","value":"834-12"},{"id":16,"name":"Locomotive ID","value":"4045"},{"id":130,"name":"Impact","value":""},{"id":150,"name":"Time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72"/>
        <v>start /low /b %USERPROFILE%\Documents\GitHub\eaglep3\Utilities\DownloadLogsFromS3.py --loco 4045 --day 2017-01-12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"%USERPROFILE%\AppData\Local\Temp\OnboardLogs"\RTDC4045\*4045*20170113* | grep -SE "(Enforcement Action)|(\[TIMEOUT)|(CHR.+\|PRM\|1\|D.+(SWITCH|SIGNAL).+UNKNOWN)" - &gt;&gt; 2017-01-12-UncaughtWiMAX.txt</v>
      </c>
    </row>
    <row r="197" spans="1:91" x14ac:dyDescent="0.25">
      <c r="A197" s="34" t="s">
        <v>691</v>
      </c>
      <c r="B197" s="7">
        <v>4007</v>
      </c>
      <c r="C197" s="22" t="s">
        <v>201</v>
      </c>
      <c r="D197" s="22" t="s">
        <v>912</v>
      </c>
      <c r="E197" s="13">
        <v>42747.732187499998</v>
      </c>
      <c r="F197" s="13">
        <v>42747.743935185186</v>
      </c>
      <c r="G197" s="7">
        <v>1</v>
      </c>
      <c r="H197" s="22" t="s">
        <v>491</v>
      </c>
      <c r="I197" s="13">
        <v>42747.754664351851</v>
      </c>
      <c r="J197" s="7">
        <v>0</v>
      </c>
      <c r="K197" s="105" t="str">
        <f t="shared" si="58"/>
        <v>4007/4008</v>
      </c>
      <c r="L197" s="22" t="str">
        <f>VLOOKUP(A197,'Trips&amp;Operators'!$C$1:$G$99999,5,FALSE)</f>
        <v>LOPES KIMBERLY</v>
      </c>
      <c r="M197" s="6">
        <f t="shared" si="59"/>
        <v>1.0729166664532386E-2</v>
      </c>
      <c r="N197" s="7">
        <f t="shared" ref="N197:N240" si="88">24*60*SUM($M197:$M197)</f>
        <v>15.449999996926636</v>
      </c>
      <c r="O197" s="7"/>
      <c r="P197" s="7"/>
      <c r="Q197" s="23"/>
      <c r="R197" s="23"/>
      <c r="S197" s="32">
        <f t="shared" si="84"/>
        <v>1</v>
      </c>
      <c r="T197" s="47" t="str">
        <f t="shared" si="85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16:34:21-700',mode:absolute,to:'2017-01-12 19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97" s="49" t="str">
        <f t="shared" si="62"/>
        <v>N</v>
      </c>
      <c r="X197" s="173">
        <f t="shared" si="87"/>
        <v>1</v>
      </c>
      <c r="Y197" s="64">
        <f t="shared" si="82"/>
        <v>9.8799999999999999E-2</v>
      </c>
      <c r="Z197" s="64">
        <f t="shared" si="83"/>
        <v>5.8978000000000002</v>
      </c>
      <c r="AA197" s="64">
        <f t="shared" si="65"/>
        <v>5.7990000000000004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66"/>
        <v>0835-12</v>
      </c>
      <c r="AE197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197" s="84" t="str">
        <f t="shared" si="68"/>
        <v>"C:\Program Files (x86)\AstroGrep\AstroGrep.exe" /spath="%USERPROFILE%\AppData\Local\Temp\OnboardLogs" /stypes="app*4007*20170113*" /stext=" 01:.+((SYSTEM_STATE.+slice.+state.+changed )|(ment ac)|(multiple cpu faults)|(system.+state.+changed )|(\[timeout)|(PRM\|1\|D)|(kpr)|(kdp)|(\|lc)|(penalty))" /e /r /s</v>
      </c>
      <c r="AG197" s="1" t="str">
        <f t="shared" si="86"/>
        <v>NW</v>
      </c>
      <c r="AH197" s="88" t="str">
        <f t="shared" si="70"/>
        <v>"%USERPROFILE%\Documents\GitHub\eaglep3\Utilities\RefineRTDCRunTimes.py" --tripid 835-12 --locoid 4007 --swversion DE.1.0.8.0 --startMP 204:988 --initTime 2017-01-12T17:34:21 --startdatetime 2017-01-12T17:51:16 --delay 1 --endMP 300:58978 --enddatetime 2017-01-12T18:06:43 --enforcementcount 0 &gt;&gt;C:\Users\stu\Documents\GitHub\eaglep3-reporting\EC\2017-01-12-refined-times.txt</v>
      </c>
      <c r="AI197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{"issue":{"subject":"","project_id":79,"tracker_id":40,"status_id":1,"priority_id":2,"assigned_to_id":23,"start_date":"2017-01-12","description":"","custom_fields":[{"id":1,"name":"Subdivision","value":"NW"},{"id":4,"name":"Milepost","value":"5.8978"},{"id":17,"name":"Train ID","value":"835-12"},{"id":16,"name":"Locomotive ID","value":"4007"},{"id":130,"name":"Impact","value":""},{"id":150,"name":"Time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72"/>
        <v>start /low /b %USERPROFILE%\Documents\GitHub\eaglep3\Utilities\DownloadLogsFromS3.py --loco 4007 --day 2017-01-12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2017-01-12-UncaughtWiMAX.txt</v>
      </c>
    </row>
    <row r="198" spans="1:91" s="21" customFormat="1" x14ac:dyDescent="0.25">
      <c r="A198" s="34" t="s">
        <v>702</v>
      </c>
      <c r="B198" s="7">
        <v>4008</v>
      </c>
      <c r="C198" s="22" t="s">
        <v>201</v>
      </c>
      <c r="D198" s="22" t="s">
        <v>913</v>
      </c>
      <c r="E198" s="13">
        <v>42747.757673611108</v>
      </c>
      <c r="F198" s="13">
        <v>42747.759131944447</v>
      </c>
      <c r="G198" s="7">
        <v>1</v>
      </c>
      <c r="H198" s="22" t="s">
        <v>497</v>
      </c>
      <c r="I198" s="13">
        <v>42747.770891203705</v>
      </c>
      <c r="J198" s="7">
        <v>0</v>
      </c>
      <c r="K198" s="105" t="str">
        <f t="shared" si="58"/>
        <v>4007/4008</v>
      </c>
      <c r="L198" s="22" t="str">
        <f>VLOOKUP(A198,'Trips&amp;Operators'!$C$1:$G$99999,5,FALSE)</f>
        <v>LOPES KIMBERLY</v>
      </c>
      <c r="M198" s="6">
        <f t="shared" si="59"/>
        <v>1.1759259257814847E-2</v>
      </c>
      <c r="N198" s="7">
        <f t="shared" si="88"/>
        <v>16.93333333125338</v>
      </c>
      <c r="O198" s="7"/>
      <c r="P198" s="7"/>
      <c r="Q198" s="23"/>
      <c r="R198" s="23"/>
      <c r="S198" s="32">
        <f t="shared" si="84"/>
        <v>1</v>
      </c>
      <c r="T198" s="47" t="str">
        <f t="shared" si="85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17:11:03-700',mode:absolute,to:'2017-01-12 19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98" s="49" t="str">
        <f t="shared" si="62"/>
        <v>N</v>
      </c>
      <c r="X198" s="173">
        <f t="shared" si="87"/>
        <v>1</v>
      </c>
      <c r="Y198" s="64">
        <f t="shared" si="82"/>
        <v>5.8648999999999996</v>
      </c>
      <c r="Z198" s="64">
        <f t="shared" si="83"/>
        <v>6.9199999999999998E-2</v>
      </c>
      <c r="AA198" s="64">
        <f t="shared" si="65"/>
        <v>5.7956999999999992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66"/>
        <v>0836-12</v>
      </c>
      <c r="AE198" s="87" t="str">
        <f t="shared" si="67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198" s="84" t="str">
        <f t="shared" si="68"/>
        <v>"C:\Program Files (x86)\AstroGrep\AstroGrep.exe" /spath="%USERPROFILE%\AppData\Local\Temp\OnboardLogs" /stypes="app*4008*20170113*" /stext=" 01:.+((SYSTEM_STATE.+slice.+state.+changed )|(ment ac)|(multiple cpu faults)|(system.+state.+changed )|(\[timeout)|(PRM\|1\|D)|(kpr)|(kdp)|(\|lc)|(penalty))" /e /r /s</v>
      </c>
      <c r="AG198" s="1" t="str">
        <f t="shared" si="86"/>
        <v>NW</v>
      </c>
      <c r="AH198" s="88" t="str">
        <f t="shared" si="70"/>
        <v>"%USERPROFILE%\Documents\GitHub\eaglep3\Utilities\RefineRTDCRunTimes.py" --tripid 836-12 --locoid 4008 --swversion DE.1.0.8.0 --startMP 300:58649 --initTime 2017-01-12T18:11:03 --startdatetime 2017-01-12T18:13:09 --delay 1 --endMP 204:692 --enddatetime 2017-01-12T18:30:05 --enforcementcount 0 &gt;&gt;C:\Users\stu\Documents\GitHub\eaglep3-reporting\EC\2017-01-12-refined-times.txt</v>
      </c>
      <c r="AI198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{"issue":{"subject":"","project_id":79,"tracker_id":40,"status_id":1,"priority_id":2,"assigned_to_id":23,"start_date":"2017-01-12","description":"","custom_fields":[{"id":1,"name":"Subdivision","value":"NW"},{"id":4,"name":"Milepost","value":"0.0692"},{"id":17,"name":"Train ID","value":"836-12"},{"id":16,"name":"Locomotive ID","value":"4008"},{"id":130,"name":"Impact","value":""},{"id":150,"name":"Time of Event (Mountain Time)","value":"18:30:05"},{"id":151,"name":"Denver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72"/>
        <v>start /low /b %USERPROFILE%\Documents\GitHub\eaglep3\Utilities\DownloadLogsFromS3.py --loco 4008 --day 2017-01-12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2017-01-12-UncaughtWiMAX.txt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705</v>
      </c>
      <c r="B199" s="7">
        <v>4046</v>
      </c>
      <c r="C199" s="22" t="s">
        <v>201</v>
      </c>
      <c r="D199" s="22" t="s">
        <v>914</v>
      </c>
      <c r="E199" s="13">
        <v>42747.761504629627</v>
      </c>
      <c r="F199" s="13">
        <v>42747.764999999999</v>
      </c>
      <c r="G199" s="7">
        <v>1</v>
      </c>
      <c r="H199" s="22" t="s">
        <v>907</v>
      </c>
      <c r="I199" s="13">
        <v>42747.777685185189</v>
      </c>
      <c r="J199" s="7">
        <v>0</v>
      </c>
      <c r="K199" s="105" t="str">
        <f t="shared" si="58"/>
        <v>4045/4046</v>
      </c>
      <c r="L199" s="22" t="str">
        <f>VLOOKUP(A199,'Trips&amp;Operators'!$C$1:$G$99999,5,FALSE)</f>
        <v>COMELLA JUSTIN</v>
      </c>
      <c r="M199" s="6">
        <f t="shared" si="59"/>
        <v>1.2685185189184267E-2</v>
      </c>
      <c r="N199" s="7">
        <f t="shared" si="88"/>
        <v>18.266666672425345</v>
      </c>
      <c r="O199" s="7"/>
      <c r="P199" s="7"/>
      <c r="Q199" s="23"/>
      <c r="R199" s="23"/>
      <c r="S199" s="32">
        <f t="shared" si="84"/>
        <v>1</v>
      </c>
      <c r="T199" s="47" t="str">
        <f t="shared" si="85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17:16:34-700',mode:absolute,to:'2017-01-12 19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9" s="49" t="str">
        <f t="shared" si="62"/>
        <v>N</v>
      </c>
      <c r="X199" s="173">
        <f t="shared" si="87"/>
        <v>1</v>
      </c>
      <c r="Y199" s="64">
        <f t="shared" si="82"/>
        <v>9.9000000000000005E-2</v>
      </c>
      <c r="Z199" s="64">
        <f t="shared" si="83"/>
        <v>5.8936999999999999</v>
      </c>
      <c r="AA199" s="64">
        <f t="shared" si="65"/>
        <v>5.7946999999999997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66"/>
        <v>0837-12</v>
      </c>
      <c r="AE199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199" s="84" t="str">
        <f t="shared" si="68"/>
        <v>"C:\Program Files (x86)\AstroGrep\AstroGrep.exe" /spath="%USERPROFILE%\AppData\Local\Temp\OnboardLogs" /stypes="app*4046*20170113*" /stext=" 01:.+((SYSTEM_STATE.+slice.+state.+changed )|(ment ac)|(multiple cpu faults)|(system.+state.+changed )|(\[timeout)|(PRM\|1\|D)|(kpr)|(kdp)|(\|lc)|(penalty))" /e /r /s</v>
      </c>
      <c r="AG199" s="1" t="str">
        <f t="shared" si="86"/>
        <v>NW</v>
      </c>
      <c r="AH199" s="88" t="str">
        <f t="shared" si="70"/>
        <v>"%USERPROFILE%\Documents\GitHub\eaglep3\Utilities\RefineRTDCRunTimes.py" --tripid 837-12 --locoid 4046 --swversion DE.1.0.8.0 --startMP 204:990 --initTime 2017-01-12T18:16:34 --startdatetime 2017-01-12T18:21:36 --delay 1 --endMP 300:58937 --enddatetime 2017-01-12T18:39:52 --enforcementcount 0 &gt;&gt;C:\Users\stu\Documents\GitHub\eaglep3-reporting\EC\2017-01-12-refined-times.txt</v>
      </c>
      <c r="AI199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{"issue":{"subject":"","project_id":79,"tracker_id":40,"status_id":1,"priority_id":2,"assigned_to_id":23,"start_date":"2017-01-12","description":"","custom_fields":[{"id":1,"name":"Subdivision","value":"NW"},{"id":4,"name":"Milepost","value":"5.8937"},{"id":17,"name":"Train ID","value":"837-12"},{"id":16,"name":"Locomotive ID","value":"4046"},{"id":130,"name":"Impact","value":""},{"id":150,"name":"Time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72"/>
        <v>start /low /b %USERPROFILE%\Documents\GitHub\eaglep3\Utilities\DownloadLogsFromS3.py --loco 4046 --day 2017-01-12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200" spans="1:91" s="21" customFormat="1" x14ac:dyDescent="0.25">
      <c r="A200" s="34" t="s">
        <v>708</v>
      </c>
      <c r="B200" s="7">
        <v>4045</v>
      </c>
      <c r="C200" s="22" t="s">
        <v>201</v>
      </c>
      <c r="D200" s="22" t="s">
        <v>276</v>
      </c>
      <c r="E200" s="13">
        <v>42747.778356481482</v>
      </c>
      <c r="F200" s="13">
        <v>42747.779756944445</v>
      </c>
      <c r="G200" s="7">
        <v>1</v>
      </c>
      <c r="H200" s="22" t="s">
        <v>498</v>
      </c>
      <c r="I200" s="13">
        <v>42747.792013888888</v>
      </c>
      <c r="J200" s="7">
        <v>0</v>
      </c>
      <c r="K200" s="105" t="str">
        <f t="shared" si="58"/>
        <v>4045/4046</v>
      </c>
      <c r="L200" s="22" t="str">
        <f>VLOOKUP(A200,'Trips&amp;Operators'!$C$1:$G$99999,5,FALSE)</f>
        <v>COMELLA JUSTIN</v>
      </c>
      <c r="M200" s="6">
        <f t="shared" si="59"/>
        <v>1.2256944442924578E-2</v>
      </c>
      <c r="N200" s="7">
        <f t="shared" si="88"/>
        <v>17.649999997811392</v>
      </c>
      <c r="O200" s="7"/>
      <c r="P200" s="7"/>
      <c r="Q200" s="23"/>
      <c r="R200" s="23"/>
      <c r="S200" s="32">
        <f t="shared" si="84"/>
        <v>1</v>
      </c>
      <c r="T200" s="47" t="str">
        <f t="shared" si="85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17:40:50-700',mode:absolute,to:'2017-01-12 20:00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0" s="49" t="str">
        <f t="shared" si="62"/>
        <v>N</v>
      </c>
      <c r="X200" s="173">
        <f t="shared" si="87"/>
        <v>1</v>
      </c>
      <c r="Y200" s="64">
        <f t="shared" si="82"/>
        <v>5.8613</v>
      </c>
      <c r="Z200" s="64">
        <f t="shared" si="83"/>
        <v>6.8699999999999997E-2</v>
      </c>
      <c r="AA200" s="64">
        <f t="shared" si="65"/>
        <v>5.7926000000000002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66"/>
        <v>0838-12</v>
      </c>
      <c r="AE200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200" s="84" t="str">
        <f t="shared" si="68"/>
        <v>"C:\Program Files (x86)\AstroGrep\AstroGrep.exe" /spath="%USERPROFILE%\AppData\Local\Temp\OnboardLogs" /stypes="app*4045*20170113*" /stext=" 02:.+((SYSTEM_STATE.+slice.+state.+changed )|(ment ac)|(multiple cpu faults)|(system.+state.+changed )|(\[timeout)|(PRM\|1\|D)|(kpr)|(kdp)|(\|lc)|(penalty))" /e /r /s</v>
      </c>
      <c r="AG200" s="1" t="str">
        <f t="shared" si="86"/>
        <v>NW</v>
      </c>
      <c r="AH200" s="88" t="str">
        <f t="shared" si="70"/>
        <v>"%USERPROFILE%\Documents\GitHub\eaglep3\Utilities\RefineRTDCRunTimes.py" --tripid 838-12 --locoid 4045 --swversion DE.1.0.8.0 --startMP 300:58613 --initTime 2017-01-12T18:40:50 --startdatetime 2017-01-12T18:42:51 --delay 1 --endMP 204:687 --enddatetime 2017-01-12T19:00:30 --enforcementcount 0 &gt;&gt;C:\Users\stu\Documents\GitHub\eaglep3-reporting\EC\2017-01-12-refined-times.txt</v>
      </c>
      <c r="AI200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{"issue":{"subject":"","project_id":79,"tracker_id":40,"status_id":1,"priority_id":2,"assigned_to_id":23,"start_date":"2017-01-12","description":"","custom_fields":[{"id":1,"name":"Subdivision","value":"NW"},{"id":4,"name":"Milepost","value":"0.0687"},{"id":17,"name":"Train ID","value":"838-12"},{"id":16,"name":"Locomotive ID","value":"4045"},{"id":130,"name":"Impact","value":""},{"id":150,"name":"Time of Event (Mountain Time)","value":"19:00:30"},{"id":151,"name":"Denver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72"/>
        <v>start /low /b %USERPROFILE%\Documents\GitHub\eaglep3\Utilities\DownloadLogsFromS3.py --loco 4045 --day 2017-01-12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"%USERPROFILE%\AppData\Local\Temp\OnboardLogs"\RTDC4045\*4045*20170113* | grep -SE "(Enforcement Action)|(\[TIMEOUT)|(CHR.+\|PRM\|1\|D.+(SWITCH|SIGNAL).+UNKNOWN)" - &gt;&gt; 2017-01-12-UncaughtWiMAX.txt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701</v>
      </c>
      <c r="B201" s="7">
        <v>4007</v>
      </c>
      <c r="C201" s="22" t="s">
        <v>201</v>
      </c>
      <c r="D201" s="22" t="s">
        <v>489</v>
      </c>
      <c r="E201" s="13">
        <v>42747.776921296296</v>
      </c>
      <c r="F201" s="13">
        <v>42747.785671296297</v>
      </c>
      <c r="G201" s="7">
        <v>1</v>
      </c>
      <c r="H201" s="22" t="s">
        <v>915</v>
      </c>
      <c r="I201" s="13">
        <v>42747.796284722222</v>
      </c>
      <c r="J201" s="7">
        <v>0</v>
      </c>
      <c r="K201" s="105" t="str">
        <f t="shared" si="58"/>
        <v>4007/4008</v>
      </c>
      <c r="L201" s="22" t="str">
        <f>VLOOKUP(A201,'Trips&amp;Operators'!$C$1:$G$99999,5,FALSE)</f>
        <v>LOPES KIMBERLY</v>
      </c>
      <c r="M201" s="6">
        <f t="shared" si="59"/>
        <v>1.0613425925839692E-2</v>
      </c>
      <c r="N201" s="7">
        <f t="shared" si="88"/>
        <v>15.283333333209157</v>
      </c>
      <c r="O201" s="7"/>
      <c r="P201" s="7"/>
      <c r="Q201" s="23"/>
      <c r="R201" s="23"/>
      <c r="S201" s="32">
        <f t="shared" si="84"/>
        <v>1</v>
      </c>
      <c r="T201" s="47" t="str">
        <f t="shared" si="85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17:38:46-700',mode:absolute,to:'2017-01-12 20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01" s="49" t="str">
        <f t="shared" si="62"/>
        <v>N</v>
      </c>
      <c r="X201" s="173">
        <f t="shared" si="87"/>
        <v>1</v>
      </c>
      <c r="Y201" s="64">
        <f t="shared" si="82"/>
        <v>9.7100000000000006E-2</v>
      </c>
      <c r="Z201" s="64">
        <f t="shared" si="83"/>
        <v>5.8971</v>
      </c>
      <c r="AA201" s="64">
        <f t="shared" si="65"/>
        <v>5.8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66"/>
        <v>0839-12</v>
      </c>
      <c r="AE201" s="87" t="str">
        <f t="shared" si="67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201" s="84" t="str">
        <f t="shared" si="68"/>
        <v>"C:\Program Files (x86)\AstroGrep\AstroGrep.exe" /spath="%USERPROFILE%\AppData\Local\Temp\OnboardLogs" /stypes="app*4007*20170113*" /stext=" 02:.+((SYSTEM_STATE.+slice.+state.+changed )|(ment ac)|(multiple cpu faults)|(system.+state.+changed )|(\[timeout)|(PRM\|1\|D)|(kpr)|(kdp)|(\|lc)|(penalty))" /e /r /s</v>
      </c>
      <c r="AG201" s="1" t="str">
        <f t="shared" si="86"/>
        <v>NW</v>
      </c>
      <c r="AH201" s="88" t="str">
        <f t="shared" si="70"/>
        <v>"%USERPROFILE%\Documents\GitHub\eaglep3\Utilities\RefineRTDCRunTimes.py" --tripid 839-12 --locoid 4007 --swversion DE.1.0.8.0 --startMP 204:971 --initTime 2017-01-12T18:38:46 --startdatetime 2017-01-12T18:51:22 --delay 1 --endMP 300:58971 --enddatetime 2017-01-12T19:06:39 --enforcementcount 0 &gt;&gt;C:\Users\stu\Documents\GitHub\eaglep3-reporting\EC\2017-01-12-refined-times.txt</v>
      </c>
      <c r="AI201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{"issue":{"subject":"","project_id":79,"tracker_id":40,"status_id":1,"priority_id":2,"assigned_to_id":23,"start_date":"2017-01-12","description":"","custom_fields":[{"id":1,"name":"Subdivision","value":"NW"},{"id":4,"name":"Milepost","value":"5.8971"},{"id":17,"name":"Train ID","value":"839-12"},{"id":16,"name":"Locomotive ID","value":"4007"},{"id":130,"name":"Impact","value":""},{"id":150,"name":"Time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72"/>
        <v>start /low /b %USERPROFILE%\Documents\GitHub\eaglep3\Utilities\DownloadLogsFromS3.py --loco 4007 --day 2017-01-12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2017-01-12-UncaughtWiMAX.txt</v>
      </c>
    </row>
    <row r="202" spans="1:91" x14ac:dyDescent="0.25">
      <c r="A202" s="34" t="s">
        <v>718</v>
      </c>
      <c r="B202" s="7">
        <v>4045</v>
      </c>
      <c r="C202" s="22" t="s">
        <v>201</v>
      </c>
      <c r="D202" s="22" t="s">
        <v>494</v>
      </c>
      <c r="E202" s="13">
        <v>42747.818530092591</v>
      </c>
      <c r="F202" s="13">
        <v>42747.820324074077</v>
      </c>
      <c r="G202" s="7">
        <v>1</v>
      </c>
      <c r="H202" s="22" t="s">
        <v>916</v>
      </c>
      <c r="I202" s="13">
        <v>42747.833310185182</v>
      </c>
      <c r="J202" s="7">
        <v>0</v>
      </c>
      <c r="K202" s="105" t="str">
        <f t="shared" si="58"/>
        <v>4045/4046</v>
      </c>
      <c r="L202" s="22" t="str">
        <f>VLOOKUP(A202,'Trips&amp;Operators'!$C$1:$G$99999,5,FALSE)</f>
        <v>COMELLA JUSTIN</v>
      </c>
      <c r="M202" s="6">
        <f t="shared" si="59"/>
        <v>1.2986111105419695E-2</v>
      </c>
      <c r="N202" s="7">
        <f t="shared" si="88"/>
        <v>18.699999991804361</v>
      </c>
      <c r="O202" s="7"/>
      <c r="P202" s="7"/>
      <c r="Q202" s="23"/>
      <c r="R202" s="23"/>
      <c r="S202" s="32">
        <f t="shared" si="84"/>
        <v>1</v>
      </c>
      <c r="T202" s="47" t="str">
        <f t="shared" si="85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18:38:41-700',mode:absolute,to:'2017-01-12 20:59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2" s="49" t="str">
        <f t="shared" si="62"/>
        <v>N</v>
      </c>
      <c r="X202" s="173">
        <f t="shared" si="87"/>
        <v>1</v>
      </c>
      <c r="Y202" s="64">
        <f t="shared" si="82"/>
        <v>5.8638000000000003</v>
      </c>
      <c r="Z202" s="64">
        <f t="shared" si="83"/>
        <v>6.9599999999999995E-2</v>
      </c>
      <c r="AA202" s="64">
        <f t="shared" si="65"/>
        <v>5.7942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66"/>
        <v>0840-12</v>
      </c>
      <c r="AE202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202" s="84" t="str">
        <f t="shared" si="68"/>
        <v>"C:\Program Files (x86)\AstroGrep\AstroGrep.exe" /spath="%USERPROFILE%\AppData\Local\Temp\OnboardLogs" /stypes="app*4045*20170113*" /stext=" 02:.+((SYSTEM_STATE.+slice.+state.+changed )|(ment ac)|(multiple cpu faults)|(system.+state.+changed )|(\[timeout)|(PRM\|1\|D)|(kpr)|(kdp)|(\|lc)|(penalty))" /e /r /s</v>
      </c>
      <c r="AG202" s="1" t="str">
        <f t="shared" si="86"/>
        <v>NW</v>
      </c>
      <c r="AH202" s="88" t="str">
        <f t="shared" si="70"/>
        <v>"%USERPROFILE%\Documents\GitHub\eaglep3\Utilities\RefineRTDCRunTimes.py" --tripid 840-12 --locoid 4045 --swversion DE.1.0.8.0 --startMP 300:58638 --initTime 2017-01-12T19:38:41 --startdatetime 2017-01-12T19:41:16 --delay 1 --endMP 204:696 --enddatetime 2017-01-12T19:59:58 --enforcementcount 0 &gt;&gt;C:\Users\stu\Documents\GitHub\eaglep3-reporting\EC\2017-01-12-refined-times.txt</v>
      </c>
      <c r="AI202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{"issue":{"subject":"","project_id":79,"tracker_id":40,"status_id":1,"priority_id":2,"assigned_to_id":23,"start_date":"2017-01-12","description":"","custom_fields":[{"id":1,"name":"Subdivision","value":"NW"},{"id":4,"name":"Milepost","value":"0.0696"},{"id":17,"name":"Train ID","value":"840-12"},{"id":16,"name":"Locomotive ID","value":"4045"},{"id":130,"name":"Impact","value":""},{"id":150,"name":"Time of Event (Mountain Time)","value":"19:59:58"},{"id":151,"name":"Denver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72"/>
        <v>start /low /b %USERPROFILE%\Documents\GitHub\eaglep3\Utilities\DownloadLogsFromS3.py --loco 4045 --day 2017-01-12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"%USERPROFILE%\AppData\Local\Temp\OnboardLogs"\RTDC4045\*4045*20170113* | grep -SE "(Enforcement Action)|(\[TIMEOUT)|(CHR.+\|PRM\|1\|D.+(SWITCH|SIGNAL).+UNKNOWN)" - &gt;&gt; 2017-01-12-UncaughtWiMAX.txt</v>
      </c>
    </row>
    <row r="203" spans="1:91" x14ac:dyDescent="0.25">
      <c r="A203" s="34" t="s">
        <v>715</v>
      </c>
      <c r="B203" s="7">
        <v>4046</v>
      </c>
      <c r="C203" s="22" t="s">
        <v>201</v>
      </c>
      <c r="D203" s="22" t="s">
        <v>889</v>
      </c>
      <c r="E203" s="13">
        <v>42747.798298611109</v>
      </c>
      <c r="F203" s="13">
        <v>42747.806446759256</v>
      </c>
      <c r="G203" s="7">
        <v>1</v>
      </c>
      <c r="H203" s="22" t="s">
        <v>909</v>
      </c>
      <c r="I203" s="13">
        <v>42747.81758101852</v>
      </c>
      <c r="J203" s="7">
        <v>0</v>
      </c>
      <c r="K203" s="105" t="str">
        <f t="shared" si="58"/>
        <v>4045/4046</v>
      </c>
      <c r="L203" s="22" t="str">
        <f>VLOOKUP(A203,'Trips&amp;Operators'!$C$1:$G$99999,5,FALSE)</f>
        <v>COMELLA JUSTIN</v>
      </c>
      <c r="M203" s="6">
        <f t="shared" si="59"/>
        <v>1.1134259264508728E-2</v>
      </c>
      <c r="N203" s="7">
        <f t="shared" si="88"/>
        <v>16.033333340892568</v>
      </c>
      <c r="O203" s="7"/>
      <c r="P203" s="7"/>
      <c r="Q203" s="23"/>
      <c r="R203" s="23"/>
      <c r="S203" s="32">
        <f t="shared" si="84"/>
        <v>1</v>
      </c>
      <c r="T203" s="47" t="str">
        <f t="shared" si="85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18:09:33-700',mode:absolute,to:'2017-01-12 20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3" s="49" t="str">
        <f t="shared" si="62"/>
        <v>N</v>
      </c>
      <c r="X203" s="173">
        <f t="shared" si="87"/>
        <v>1</v>
      </c>
      <c r="Y203" s="64">
        <f t="shared" si="82"/>
        <v>9.74E-2</v>
      </c>
      <c r="Z203" s="64">
        <f t="shared" si="83"/>
        <v>5.8959999999999999</v>
      </c>
      <c r="AA203" s="64">
        <f t="shared" si="65"/>
        <v>5.7985999999999995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66"/>
        <v>0841-12</v>
      </c>
      <c r="AE203" s="87" t="str">
        <f t="shared" si="67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203" s="84" t="str">
        <f t="shared" si="68"/>
        <v>"C:\Program Files (x86)\AstroGrep\AstroGrep.exe" /spath="%USERPROFILE%\AppData\Local\Temp\OnboardLogs" /stypes="app*4046*20170113*" /stext=" 02:.+((SYSTEM_STATE.+slice.+state.+changed )|(ment ac)|(multiple cpu faults)|(system.+state.+changed )|(\[timeout)|(PRM\|1\|D)|(kpr)|(kdp)|(\|lc)|(penalty))" /e /r /s</v>
      </c>
      <c r="AG203" s="1" t="str">
        <f t="shared" si="86"/>
        <v>NW</v>
      </c>
      <c r="AH203" s="88" t="str">
        <f t="shared" si="70"/>
        <v>"%USERPROFILE%\Documents\GitHub\eaglep3\Utilities\RefineRTDCRunTimes.py" --tripid 841-12 --locoid 4046 --swversion DE.1.0.8.0 --startMP 204:974 --initTime 2017-01-12T19:09:33 --startdatetime 2017-01-12T19:21:17 --delay 1 --endMP 300:58960 --enddatetime 2017-01-12T19:37:19 --enforcementcount 0 &gt;&gt;C:\Users\stu\Documents\GitHub\eaglep3-reporting\EC\2017-01-12-refined-times.txt</v>
      </c>
      <c r="AI203" s="115" t="str">
        <f t="shared" si="71"/>
        <v>echo {"issue":{"subject":"","project_id":79,"tracker_id":40,"status_id":1,"priority_id":2,"assigned_to_id":23,"start_date":"2017-01-12","description":"","custom_fields":[{"id":1,"name":"Subdivision","value":"NW"},{"id":4,"name":"Milepost","value":"5.896"},{"id":17,"name":"Train ID","value":"841-12"},{"id":16,"name":"Locomotive ID","value":"4046"},{"id":130,"name":"Impact","value":""},{"id":150,"name":"Time of Event (Mountain Time)","value":"19:37:19"},{"id":151,"name":"Denver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72"/>
        <v>start /low /b %USERPROFILE%\Documents\GitHub\eaglep3\Utilities\DownloadLogsFromS3.py --loco 4046 --day 2017-01-12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204" spans="1:91" s="21" customFormat="1" x14ac:dyDescent="0.25">
      <c r="A204" s="34" t="s">
        <v>729</v>
      </c>
      <c r="B204" s="7">
        <v>4045</v>
      </c>
      <c r="C204" s="22" t="s">
        <v>201</v>
      </c>
      <c r="D204" s="22" t="s">
        <v>359</v>
      </c>
      <c r="E204" s="13">
        <v>42747.869803240741</v>
      </c>
      <c r="F204" s="13">
        <v>42747.871134259258</v>
      </c>
      <c r="G204" s="7">
        <v>1</v>
      </c>
      <c r="H204" s="22" t="s">
        <v>917</v>
      </c>
      <c r="I204" s="13">
        <v>42747.882881944446</v>
      </c>
      <c r="J204" s="7">
        <v>0</v>
      </c>
      <c r="K204" s="105" t="str">
        <f t="shared" si="58"/>
        <v>4045/4046</v>
      </c>
      <c r="L204" s="22" t="str">
        <f>VLOOKUP(A204,'Trips&amp;Operators'!$C$1:$G$99999,5,FALSE)</f>
        <v>COMELLA JUSTIN</v>
      </c>
      <c r="M204" s="6">
        <f t="shared" si="59"/>
        <v>1.1747685188311152E-2</v>
      </c>
      <c r="N204" s="7">
        <f t="shared" si="88"/>
        <v>16.916666671168059</v>
      </c>
      <c r="O204" s="7"/>
      <c r="P204" s="7"/>
      <c r="Q204" s="23"/>
      <c r="R204" s="23"/>
      <c r="S204" s="32">
        <f t="shared" si="84"/>
        <v>1</v>
      </c>
      <c r="T204" s="47" t="str">
        <f t="shared" si="85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https://search-rtdc-monitor-bjffxe2xuh6vdkpspy63sjmuny.us-east-1.es.amazonaws.com/_plugin/kibana/#/discover/Steve-Slow-Train-Analysis-(2080s-and-2083s)?_g=(refreshInterval:(display:Off,section:0,value:0),time:(from:'2017-01-12 19:52:31-700',mode:absolute,to:'2017-01-12 22:11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4" s="49" t="str">
        <f t="shared" si="62"/>
        <v>N</v>
      </c>
      <c r="X204" s="173">
        <f t="shared" si="87"/>
        <v>1</v>
      </c>
      <c r="Y204" s="64">
        <f t="shared" si="82"/>
        <v>5.8625999999999996</v>
      </c>
      <c r="Z204" s="64">
        <f t="shared" si="83"/>
        <v>7.0599999999999996E-2</v>
      </c>
      <c r="AA204" s="64">
        <f t="shared" si="65"/>
        <v>5.7919999999999998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66"/>
        <v>0842-12</v>
      </c>
      <c r="AE204" s="87" t="str">
        <f t="shared" si="67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204" s="84" t="str">
        <f t="shared" si="68"/>
        <v>"C:\Program Files (x86)\AstroGrep\AstroGrep.exe" /spath="%USERPROFILE%\AppData\Local\Temp\OnboardLogs" /stypes="app*4045*20170113*" /stext=" 04:.+((SYSTEM_STATE.+slice.+state.+changed )|(ment ac)|(multiple cpu faults)|(system.+state.+changed )|(\[timeout)|(PRM\|1\|D)|(kpr)|(kdp)|(\|lc)|(penalty))" /e /r /s</v>
      </c>
      <c r="AG204" s="1" t="str">
        <f t="shared" si="86"/>
        <v>NW</v>
      </c>
      <c r="AH204" s="88" t="str">
        <f t="shared" ref="AH204:AH240" si="8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842-12 --locoid 4045 --swversion DE.1.0.8.0 --startMP 300:58626 --initTime 2017-01-12T20:52:31 --startdatetime 2017-01-12T20:54:26 --delay 1 --endMP 204:706 --enddatetime 2017-01-12T21:11:21 --enforcementcount 0 &gt;&gt;C:\Users\stu\Documents\GitHub\eaglep3-reporting\EC\2017-01-12-refined-times.txt</v>
      </c>
      <c r="AI204" s="115" t="str">
        <f t="shared" ref="AI204:AI240" si="9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{"issue":{"subject":"","project_id":79,"tracker_id":40,"status_id":1,"priority_id":2,"assigned_to_id":23,"start_date":"2017-01-12","description":"","custom_fields":[{"id":1,"name":"Subdivision","value":"NW"},{"id":4,"name":"Milepost","value":"0.0706"},{"id":17,"name":"Train ID","value":"842-12"},{"id":16,"name":"Locomotive ID","value":"4045"},{"id":130,"name":"Impact","value":""},{"id":150,"name":"Time of Event (Mountain Time)","value":"21:11:21"},{"id":151,"name":"Denver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ref="AM204:AM240" si="91">"start /low /b "&amp;dls3logs&amp;" --loco "&amp;B204&amp;" --day "&amp;TEXT(F204,"YYYY-MM-DD")</f>
        <v>start /low /b %USERPROFILE%\Documents\GitHub\eaglep3\Utilities\DownloadLogsFromS3.py --loco 4045 --day 2017-01-12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"%USERPROFILE%\AppData\Local\Temp\OnboardLogs"\RTDC4045\*4045*20170113* | grep -SE "(Enforcement Action)|(\[TIMEOUT)|(CHR.+\|PRM\|1\|D.+(SWITCH|SIGNAL).+UNKNOWN)" - &gt;&gt; 2017-01-12-UncaughtWiMAX.txt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726</v>
      </c>
      <c r="B205" s="7">
        <v>4046</v>
      </c>
      <c r="C205" s="22" t="s">
        <v>201</v>
      </c>
      <c r="D205" s="22" t="s">
        <v>880</v>
      </c>
      <c r="E205" s="13">
        <v>42747.838703703703</v>
      </c>
      <c r="F205" s="13">
        <v>42747.84820601852</v>
      </c>
      <c r="G205" s="7">
        <v>1</v>
      </c>
      <c r="H205" s="22" t="s">
        <v>502</v>
      </c>
      <c r="I205" s="13">
        <v>42747.868437500001</v>
      </c>
      <c r="J205" s="7">
        <v>0</v>
      </c>
      <c r="K205" s="105" t="str">
        <f t="shared" ref="K205:K240" si="92">IF(ISEVEN(B205),(B205-1)&amp;"/"&amp;B205,B205&amp;"/"&amp;(B205+1))</f>
        <v>4045/4046</v>
      </c>
      <c r="L205" s="22" t="str">
        <f>VLOOKUP(A205,'Trips&amp;Operators'!$C$1:$G$99999,5,FALSE)</f>
        <v>COMELLA JUSTIN</v>
      </c>
      <c r="M205" s="6">
        <f t="shared" ref="M205:M240" si="93">I205-F205</f>
        <v>2.0231481481459923E-2</v>
      </c>
      <c r="N205" s="7">
        <f t="shared" si="88"/>
        <v>29.133333333302289</v>
      </c>
      <c r="O205" s="7"/>
      <c r="P205" s="7"/>
      <c r="Q205" s="23"/>
      <c r="R205" s="23"/>
      <c r="S205" s="32">
        <f t="shared" si="84"/>
        <v>1</v>
      </c>
      <c r="T205" s="47" t="str">
        <f t="shared" si="85"/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40" si="94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https://search-rtdc-monitor-bjffxe2xuh6vdkpspy63sjmuny.us-east-1.es.amazonaws.com/_plugin/kibana/#/discover/Steve-Slow-Train-Analysis-(2080s-and-2083s)?_g=(refreshInterval:(display:Off,section:0,value:0),time:(from:'2017-01-12 19:07:44-700',mode:absolute,to:'2017-01-12 21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5" s="49" t="str">
        <f t="shared" ref="W205:W240" si="95">IF(AA205&lt;IF(AG205="EC",23,5.65),"Y","N")</f>
        <v>N</v>
      </c>
      <c r="X205" s="173">
        <f t="shared" si="87"/>
        <v>1</v>
      </c>
      <c r="Y205" s="64">
        <f t="shared" si="82"/>
        <v>9.8299999999999998E-2</v>
      </c>
      <c r="Z205" s="64">
        <f t="shared" si="83"/>
        <v>5.8944000000000001</v>
      </c>
      <c r="AA205" s="64">
        <f t="shared" ref="AA205:AA268" si="96">ABS(Z205-Y205)</f>
        <v>5.7961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40" si="97">IF(LEN(A205)=6,"0"&amp;A205,A205)</f>
        <v>0843-12</v>
      </c>
      <c r="AE205" s="87" t="str">
        <f t="shared" ref="AE205:AE240" si="9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205" s="84" t="str">
        <f t="shared" ref="AF205:AF240" si="9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/stypes="app*4046*20170113*" /stext=" 03:.+((SYSTEM_STATE.+slice.+state.+changed )|(ment ac)|(multiple cpu faults)|(system.+state.+changed )|(\[timeout)|(PRM\|1\|D)|(kpr)|(kdp)|(\|lc)|(penalty))" /e /r /s</v>
      </c>
      <c r="AG205" s="1" t="str">
        <f t="shared" si="86"/>
        <v>NW</v>
      </c>
      <c r="AH205" s="88" t="str">
        <f t="shared" si="89"/>
        <v>"%USERPROFILE%\Documents\GitHub\eaglep3\Utilities\RefineRTDCRunTimes.py" --tripid 843-12 --locoid 4046 --swversion DE.1.0.8.0 --startMP 204:983 --initTime 2017-01-12T20:07:44 --startdatetime 2017-01-12T20:21:25 --delay 1 --endMP 300:58944 --enddatetime 2017-01-12T20:50:33 --enforcementcount 0 &gt;&gt;C:\Users\stu\Documents\GitHub\eaglep3-reporting\EC\2017-01-12-refined-times.txt</v>
      </c>
      <c r="AI205" s="115" t="str">
        <f t="shared" si="90"/>
        <v>echo {"issue":{"subject":"","project_id":79,"tracker_id":40,"status_id":1,"priority_id":2,"assigned_to_id":23,"start_date":"2017-01-12","description":"","custom_fields":[{"id":1,"name":"Subdivision","value":"NW"},{"id":4,"name":"Milepost","value":"5.8944"},{"id":17,"name":"Train ID","value":"843-12"},{"id":16,"name":"Locomotive ID","value":"4046"},{"id":130,"name":"Impact","value":""},{"id":150,"name":"Time of Event (Mountain Time)","value":"20:50:33"},{"id":151,"name":"Denver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91"/>
        <v>start /low /b %USERPROFILE%\Documents\GitHub\eaglep3\Utilities\DownloadLogsFromS3.py --loco 4046 --day 2017-01-12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206" spans="1:91" s="21" customFormat="1" x14ac:dyDescent="0.25">
      <c r="A206" s="34" t="s">
        <v>735</v>
      </c>
      <c r="B206" s="7">
        <v>4045</v>
      </c>
      <c r="C206" s="22" t="s">
        <v>201</v>
      </c>
      <c r="D206" s="22" t="s">
        <v>904</v>
      </c>
      <c r="E206" s="13">
        <v>42747.901365740741</v>
      </c>
      <c r="F206" s="13">
        <v>42747.902800925927</v>
      </c>
      <c r="G206" s="7">
        <v>1</v>
      </c>
      <c r="H206" s="22" t="s">
        <v>918</v>
      </c>
      <c r="I206" s="13">
        <v>42747.915798611109</v>
      </c>
      <c r="J206" s="7">
        <v>0</v>
      </c>
      <c r="K206" s="105" t="str">
        <f t="shared" si="92"/>
        <v>4045/4046</v>
      </c>
      <c r="L206" s="22" t="str">
        <f>VLOOKUP(A206,'Trips&amp;Operators'!$C$1:$G$99999,5,FALSE)</f>
        <v>LOPES KIMBERLY</v>
      </c>
      <c r="M206" s="6">
        <f t="shared" si="93"/>
        <v>1.2997685182199348E-2</v>
      </c>
      <c r="N206" s="7">
        <f t="shared" si="88"/>
        <v>18.716666662367061</v>
      </c>
      <c r="O206" s="7"/>
      <c r="P206" s="7"/>
      <c r="Q206" s="23"/>
      <c r="R206" s="23"/>
      <c r="S206" s="32">
        <f t="shared" si="84"/>
        <v>1</v>
      </c>
      <c r="T206" s="47" t="str">
        <f t="shared" si="85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20:37:58-700',mode:absolute,to:'2017-01-12 22:58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6" s="49" t="str">
        <f t="shared" si="95"/>
        <v>N</v>
      </c>
      <c r="X206" s="173">
        <f t="shared" si="87"/>
        <v>1</v>
      </c>
      <c r="Y206" s="64">
        <f t="shared" si="82"/>
        <v>5.8644999999999996</v>
      </c>
      <c r="Z206" s="64">
        <f t="shared" si="83"/>
        <v>6.6400000000000001E-2</v>
      </c>
      <c r="AA206" s="64">
        <f t="shared" si="96"/>
        <v>5.7980999999999998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97"/>
        <v>0844-12</v>
      </c>
      <c r="AE206" s="87" t="str">
        <f t="shared" si="98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206" s="84" t="str">
        <f t="shared" si="99"/>
        <v>"C:\Program Files (x86)\AstroGrep\AstroGrep.exe" /spath="%USERPROFILE%\AppData\Local\Temp\OnboardLogs" /stypes="app*4045*20170113*" /stext=" 04:.+((SYSTEM_STATE.+slice.+state.+changed )|(ment ac)|(multiple cpu faults)|(system.+state.+changed )|(\[timeout)|(PRM\|1\|D)|(kpr)|(kdp)|(\|lc)|(penalty))" /e /r /s</v>
      </c>
      <c r="AG206" s="1" t="str">
        <f t="shared" si="86"/>
        <v>NW</v>
      </c>
      <c r="AH206" s="88" t="str">
        <f t="shared" si="89"/>
        <v>"%USERPROFILE%\Documents\GitHub\eaglep3\Utilities\RefineRTDCRunTimes.py" --tripid 844-12 --locoid 4045 --swversion DE.1.0.8.0 --startMP 300:58645 --initTime 2017-01-12T21:37:58 --startdatetime 2017-01-12T21:40:02 --delay 1 --endMP 204:664 --enddatetime 2017-01-12T21:58:45 --enforcementcount 0 &gt;&gt;C:\Users\stu\Documents\GitHub\eaglep3-reporting\EC\2017-01-12-refined-times.txt</v>
      </c>
      <c r="AI206" s="115" t="str">
        <f t="shared" si="90"/>
        <v>echo {"issue":{"subject":"","project_id":79,"tracker_id":40,"status_id":1,"priority_id":2,"assigned_to_id":23,"start_date":"2017-01-12","description":"","custom_fields":[{"id":1,"name":"Subdivision","value":"NW"},{"id":4,"name":"Milepost","value":"0.0664"},{"id":17,"name":"Train ID","value":"844-12"},{"id":16,"name":"Locomotive ID","value":"4045"},{"id":130,"name":"Impact","value":""},{"id":150,"name":"Time of Event (Mountain Time)","value":"21:58:45"},{"id":151,"name":"Denver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1"/>
        <v>start /low /b %USERPROFILE%\Documents\GitHub\eaglep3\Utilities\DownloadLogsFromS3.py --loco 4045 --day 2017-01-12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"%USERPROFILE%\AppData\Local\Temp\OnboardLogs"\RTDC4045\*4045*20170113* | grep -SE "(Enforcement Action)|(\[TIMEOUT)|(CHR.+\|PRM\|1\|D.+(SWITCH|SIGNAL).+UNKNOWN)" - &gt;&gt; 2017-01-12-UncaughtWiMAX.txt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734</v>
      </c>
      <c r="B207" s="7">
        <v>4046</v>
      </c>
      <c r="C207" s="22" t="s">
        <v>201</v>
      </c>
      <c r="D207" s="22" t="s">
        <v>914</v>
      </c>
      <c r="E207" s="13">
        <v>42747.885868055557</v>
      </c>
      <c r="F207" s="13">
        <v>42747.889861111114</v>
      </c>
      <c r="G207" s="7">
        <v>1</v>
      </c>
      <c r="H207" s="22" t="s">
        <v>919</v>
      </c>
      <c r="I207" s="13">
        <v>42747.900347222225</v>
      </c>
      <c r="J207" s="7">
        <v>0</v>
      </c>
      <c r="K207" s="105" t="str">
        <f t="shared" si="92"/>
        <v>4045/4046</v>
      </c>
      <c r="L207" s="22" t="str">
        <f>VLOOKUP(A207,'Trips&amp;Operators'!$C$1:$G$99999,5,FALSE)</f>
        <v>LOPES KIMBERLY</v>
      </c>
      <c r="M207" s="6">
        <f t="shared" si="93"/>
        <v>1.0486111110367347E-2</v>
      </c>
      <c r="N207" s="7">
        <f t="shared" si="88"/>
        <v>15.099999998928979</v>
      </c>
      <c r="O207" s="7"/>
      <c r="P207" s="7"/>
      <c r="Q207" s="23"/>
      <c r="R207" s="23"/>
      <c r="S207" s="32">
        <f t="shared" si="84"/>
        <v>1</v>
      </c>
      <c r="T207" s="47" t="str">
        <f t="shared" si="85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20:15:39-700',mode:absolute,to:'2017-01-12 22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7" s="49" t="str">
        <f t="shared" si="95"/>
        <v>N</v>
      </c>
      <c r="X207" s="173">
        <f t="shared" si="87"/>
        <v>1</v>
      </c>
      <c r="Y207" s="64">
        <f t="shared" si="82"/>
        <v>9.9000000000000005E-2</v>
      </c>
      <c r="Z207" s="64">
        <f t="shared" si="83"/>
        <v>5.8963000000000001</v>
      </c>
      <c r="AA207" s="64">
        <f t="shared" si="96"/>
        <v>5.7972999999999999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97"/>
        <v>0845-12</v>
      </c>
      <c r="AE207" s="87" t="str">
        <f t="shared" si="98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207" s="84" t="str">
        <f t="shared" si="99"/>
        <v>"C:\Program Files (x86)\AstroGrep\AstroGrep.exe" /spath="%USERPROFILE%\AppData\Local\Temp\OnboardLogs" /stypes="app*4046*20170113*" /stext=" 04:.+((SYSTEM_STATE.+slice.+state.+changed )|(ment ac)|(multiple cpu faults)|(system.+state.+changed )|(\[timeout)|(PRM\|1\|D)|(kpr)|(kdp)|(\|lc)|(penalty))" /e /r /s</v>
      </c>
      <c r="AG207" s="1" t="str">
        <f t="shared" si="86"/>
        <v>NW</v>
      </c>
      <c r="AH207" s="88" t="str">
        <f t="shared" si="89"/>
        <v>"%USERPROFILE%\Documents\GitHub\eaglep3\Utilities\RefineRTDCRunTimes.py" --tripid 845-12 --locoid 4046 --swversion DE.1.0.8.0 --startMP 204:990 --initTime 2017-01-12T21:15:39 --startdatetime 2017-01-12T21:21:24 --delay 1 --endMP 300:58963 --enddatetime 2017-01-12T21:36:30 --enforcementcount 0 &gt;&gt;C:\Users\stu\Documents\GitHub\eaglep3-reporting\EC\2017-01-12-refined-times.txt</v>
      </c>
      <c r="AI207" s="115" t="str">
        <f t="shared" si="90"/>
        <v>echo {"issue":{"subject":"","project_id":79,"tracker_id":40,"status_id":1,"priority_id":2,"assigned_to_id":23,"start_date":"2017-01-12","description":"","custom_fields":[{"id":1,"name":"Subdivision","value":"NW"},{"id":4,"name":"Milepost","value":"5.8963"},{"id":17,"name":"Train ID","value":"845-12"},{"id":16,"name":"Locomotive ID","value":"4046"},{"id":130,"name":"Impact","value":""},{"id":150,"name":"Time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1"/>
        <v>start /low /b %USERPROFILE%\Documents\GitHub\eaglep3\Utilities\DownloadLogsFromS3.py --loco 4046 --day 2017-01-12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208" spans="1:91" x14ac:dyDescent="0.25">
      <c r="A208" s="34" t="s">
        <v>738</v>
      </c>
      <c r="B208" s="7">
        <v>4046</v>
      </c>
      <c r="C208" s="22" t="s">
        <v>201</v>
      </c>
      <c r="D208" s="22" t="s">
        <v>920</v>
      </c>
      <c r="E208" s="13">
        <v>42747.917754629627</v>
      </c>
      <c r="F208" s="13">
        <v>42747.931435185186</v>
      </c>
      <c r="G208" s="7">
        <v>1</v>
      </c>
      <c r="H208" s="22" t="s">
        <v>919</v>
      </c>
      <c r="I208" s="13">
        <v>42747.941712962966</v>
      </c>
      <c r="J208" s="7">
        <v>0</v>
      </c>
      <c r="K208" s="105" t="str">
        <f t="shared" si="92"/>
        <v>4045/4046</v>
      </c>
      <c r="L208" s="22" t="str">
        <f>VLOOKUP(A208,'Trips&amp;Operators'!$C$1:$G$99999,5,FALSE)</f>
        <v>LOPES KIMBERLY</v>
      </c>
      <c r="M208" s="6">
        <f t="shared" si="93"/>
        <v>1.0277777779265307E-2</v>
      </c>
      <c r="N208" s="7">
        <f t="shared" si="88"/>
        <v>14.800000002142042</v>
      </c>
      <c r="O208" s="7"/>
      <c r="P208" s="7"/>
      <c r="Q208" s="23"/>
      <c r="R208" s="23"/>
      <c r="S208" s="32">
        <f t="shared" si="84"/>
        <v>1</v>
      </c>
      <c r="T208" s="47" t="str">
        <f t="shared" si="85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21:01:34-700',mode:absolute,to:'2017-01-12 23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8" s="49" t="str">
        <f t="shared" si="95"/>
        <v>N</v>
      </c>
      <c r="X208" s="173">
        <f t="shared" si="87"/>
        <v>2</v>
      </c>
      <c r="Y208" s="64">
        <f t="shared" si="82"/>
        <v>9.5500000000000002E-2</v>
      </c>
      <c r="Z208" s="64">
        <f t="shared" si="83"/>
        <v>5.8963000000000001</v>
      </c>
      <c r="AA208" s="64">
        <f t="shared" si="96"/>
        <v>5.8007999999999997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97"/>
        <v>0847-12</v>
      </c>
      <c r="AE208" s="87" t="str">
        <f t="shared" si="98"/>
        <v>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 &amp; aws s3 cp s3://rtdc.mdm.uploadarchive.raw/RTDC4046/ "%USERPROFILE%\AppData\Local\Temp\OnboardLogs"\RTDC4046\2017-01-13 --exclude "*" --recursive --include "*20170113*" &amp; "%USERPROFILE%\Documents\GitHub\mrs-test-scripts\Headless Mode &amp; Sideloading\WalkAndUnGZ.bat" "%USERPROFILE%\AppData\Local\Temp\OnboardLogs"\RTDC4046\2017-01-13</v>
      </c>
      <c r="AF208" s="84" t="str">
        <f t="shared" si="99"/>
        <v>"C:\Program Files (x86)\AstroGrep\AstroGrep.exe" /spath="%USERPROFILE%\AppData\Local\Temp\OnboardLogs" /stypes="app*4046*20170113*" /stext=" 05:.+((SYSTEM_STATE.+slice.+state.+changed )|(ment ac)|(multiple cpu faults)|(system.+state.+changed )|(\[timeout)|(PRM\|1\|D)|(kpr)|(kdp)|(\|lc)|(penalty))" /e /r /s</v>
      </c>
      <c r="AG208" s="1" t="str">
        <f t="shared" si="86"/>
        <v>NW</v>
      </c>
      <c r="AH208" s="88" t="str">
        <f t="shared" si="89"/>
        <v>"%USERPROFILE%\Documents\GitHub\eaglep3\Utilities\RefineRTDCRunTimes.py" --tripid 847-12 --locoid 4046 --swversion DE.1.0.8.0 --startMP 204:955 --initTime 2017-01-12T22:01:34 --startdatetime 2017-01-12T22:21:16 --delay 1 --endMP 300:58963 --enddatetime 2017-01-12T22:36:04 --enforcementcount 0 &gt;&gt;C:\Users\stu\Documents\GitHub\eaglep3-reporting\EC\2017-01-12-refined-times.txt</v>
      </c>
      <c r="AI208" s="115" t="str">
        <f t="shared" si="90"/>
        <v>echo {"issue":{"subject":"","project_id":79,"tracker_id":40,"status_id":1,"priority_id":2,"assigned_to_id":23,"start_date":"2017-01-12","description":"","custom_fields":[{"id":1,"name":"Subdivision","value":"NW"},{"id":4,"name":"Milepost","value":"5.8963"},{"id":17,"name":"Train ID","value":"847-12"},{"id":16,"name":"Locomotive ID","value":"4046"},{"id":130,"name":"Impact","value":""},{"id":150,"name":"Time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1"/>
        <v>start /low /b %USERPROFILE%\Documents\GitHub\eaglep3\Utilities\DownloadLogsFromS3.py --loco 4046 --day 2017-01-12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"%USERPROFILE%\AppData\Local\Temp\OnboardLogs"\RTDC4046\*4046*20170113* | grep -SE "(Enforcement Action)|(\[TIMEOUT)|(CHR.+\|PRM\|1\|D.+(SWITCH|SIGNAL).+UNKNOWN)" - &gt;&gt; 2017-01-12-UncaughtWiMAX.txt</v>
      </c>
    </row>
    <row r="209" spans="1:91" x14ac:dyDescent="0.25">
      <c r="A209" s="34" t="s">
        <v>463</v>
      </c>
      <c r="B209" s="7">
        <v>4012</v>
      </c>
      <c r="C209" s="22" t="s">
        <v>201</v>
      </c>
      <c r="D209" s="22" t="s">
        <v>828</v>
      </c>
      <c r="E209" s="13">
        <v>42747.111157407409</v>
      </c>
      <c r="F209" s="13">
        <v>42747.112453703703</v>
      </c>
      <c r="G209" s="7">
        <v>1</v>
      </c>
      <c r="H209" s="22" t="s">
        <v>262</v>
      </c>
      <c r="I209" s="13">
        <v>42747.119664351849</v>
      </c>
      <c r="J209" s="7">
        <v>0</v>
      </c>
      <c r="K209" s="105" t="str">
        <f t="shared" si="92"/>
        <v>4011/4012</v>
      </c>
      <c r="L209" s="22" t="str">
        <f>VLOOKUP(A209,'Trips&amp;Operators'!$C$1:$G$99999,5,FALSE)</f>
        <v>ISHMAEL JOSEPH</v>
      </c>
      <c r="M209" s="6">
        <f t="shared" si="93"/>
        <v>7.2106481457012706E-3</v>
      </c>
      <c r="N209" s="7">
        <f t="shared" si="88"/>
        <v>10.38333332980983</v>
      </c>
      <c r="O209" s="7"/>
      <c r="P209" s="7"/>
      <c r="Q209" s="23"/>
      <c r="R209" s="23"/>
      <c r="S209" s="32">
        <f t="shared" si="84"/>
        <v>1</v>
      </c>
      <c r="T209" s="47" t="str">
        <f t="shared" si="85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01:40:04-700',mode:absolute,to:'2017-01-12 03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209" s="49" t="str">
        <f t="shared" si="95"/>
        <v>Y</v>
      </c>
      <c r="X209" s="173">
        <f t="shared" si="87"/>
        <v>-545</v>
      </c>
      <c r="Y209" s="64">
        <f t="shared" si="82"/>
        <v>2.3018999999999998</v>
      </c>
      <c r="Z209" s="64">
        <f t="shared" si="83"/>
        <v>1.5599999999999999E-2</v>
      </c>
      <c r="AA209" s="64">
        <f t="shared" si="96"/>
        <v>2.2862999999999998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97"/>
        <v>0302-12</v>
      </c>
      <c r="AE209" s="87" t="str">
        <f t="shared" si="98"/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AF209" s="84" t="str">
        <f t="shared" si="99"/>
        <v>"C:\Program Files (x86)\AstroGrep\AstroGrep.exe" /spath="%USERPROFILE%\AppData\Local\Temp\OnboardLogs" /stypes="app*4012*20170112*" /stext=" 09:.+((SYSTEM_STATE.+slice.+state.+changed )|(ment ac)|(multiple cpu faults)|(system.+state.+changed )|(\[timeout)|(PRM\|1\|D)|(kpr)|(kdp)|(\|lc)|(penalty))" /e /r /s</v>
      </c>
      <c r="AG209" s="1" t="str">
        <f t="shared" si="86"/>
        <v>Other</v>
      </c>
      <c r="AH209" s="88" t="str">
        <f t="shared" si="89"/>
        <v>"%USERPROFILE%\Documents\GitHub\eaglep3\Utilities\RefineRTDCRunTimes.py" --tripid 302-12 --locoid 4012 --swversion DE.1.0.8.0 --startMP 300:23019 --initTime 2017-01-12T02:40:04 --startdatetime 2017-01-12T02:41:56 --delay 1 --endMP 204:156 --enddatetime 2017-01-12T02:52:19 --enforcementcount 0 &gt;&gt;C:\Users\stu\Documents\GitHub\eaglep3-reporting\EC\2017-01-12-refined-times.txt</v>
      </c>
      <c r="AI209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{"issue":{"subject":"","project_id":79,"tracker_id":40,"status_id":1,"priority_id":2,"assigned_to_id":23,"start_date":"2017-01-12","description":"","custom_fields":[{"id":1,"name":"Subdivision","value":"Other"},{"id":4,"name":"Milepost","value":"0.0156"},{"id":17,"name":"Train ID","value":"302-12"},{"id":16,"name":"Locomotive ID","value":"4012"},{"id":130,"name":"Impact","value":""},{"id":150,"name":"Time of Event (Mountain Time)","value":"02:52:19"},{"id":151,"name":"Denver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1"/>
        <v>start /low /b %USERPROFILE%\Documents\GitHub\eaglep3\Utilities\DownloadLogsFromS3.py --loco 4012 --day 2017-01-12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"%USERPROFILE%\AppData\Local\Temp\OnboardLogs"\RTDC4012\*4012*20170112* | grep -SE "(Enforcement Action)|(\[TIMEOUT)|(CHR.+\|PRM\|1\|D.+(SWITCH|SIGNAL).+UNKNOWN)" - &gt;&gt; 2017-01-12-UncaughtWiMAX.txt</v>
      </c>
    </row>
    <row r="210" spans="1:91" s="21" customFormat="1" x14ac:dyDescent="0.25">
      <c r="A210" s="34" t="s">
        <v>709</v>
      </c>
      <c r="B210" s="7">
        <v>4002</v>
      </c>
      <c r="C210" s="22" t="s">
        <v>201</v>
      </c>
      <c r="D210" s="22" t="s">
        <v>829</v>
      </c>
      <c r="E210" s="13">
        <v>42747.77920138889</v>
      </c>
      <c r="F210" s="13">
        <v>25568.708333333332</v>
      </c>
      <c r="G210" s="7">
        <v>1</v>
      </c>
      <c r="H210" s="22" t="s">
        <v>830</v>
      </c>
      <c r="I210" s="13">
        <v>25568.708333333332</v>
      </c>
      <c r="J210" s="7">
        <v>0</v>
      </c>
      <c r="K210" s="105" t="str">
        <f t="shared" si="92"/>
        <v>4001/4002</v>
      </c>
      <c r="L210" s="22" t="str">
        <f>VLOOKUP(A210,'Trips&amp;Operators'!$C$1:$G$99999,5,FALSE)</f>
        <v>SMITH MICHAEL</v>
      </c>
      <c r="M210" s="6">
        <f t="shared" si="93"/>
        <v>0</v>
      </c>
      <c r="N210" s="7">
        <f t="shared" si="88"/>
        <v>0</v>
      </c>
      <c r="O210" s="7"/>
      <c r="P210" s="7"/>
      <c r="Q210" s="23"/>
      <c r="R210" s="23"/>
      <c r="S210" s="32">
        <f t="shared" si="84"/>
        <v>1</v>
      </c>
      <c r="T210" s="47" t="str">
        <f t="shared" si="85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17:42:03-700',mode:absolute,to:'1969-12-31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0" s="49" t="str">
        <f t="shared" si="95"/>
        <v>Y</v>
      </c>
      <c r="X210" s="173">
        <f t="shared" si="87"/>
        <v>1</v>
      </c>
      <c r="Y210" s="64">
        <f t="shared" si="82"/>
        <v>0.1203</v>
      </c>
      <c r="Z210" s="64">
        <f t="shared" si="83"/>
        <v>2.3300999999999998</v>
      </c>
      <c r="AA210" s="64">
        <f t="shared" si="96"/>
        <v>2.2098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97"/>
        <v>0303-12</v>
      </c>
      <c r="AE210" s="87" t="str">
        <f t="shared" si="9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0" s="84" t="str">
        <f t="shared" si="99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0" s="1" t="str">
        <f t="shared" si="86"/>
        <v>Other</v>
      </c>
      <c r="AH210" s="88" t="str">
        <f t="shared" si="89"/>
        <v>"%USERPROFILE%\Documents\GitHub\eaglep3\Utilities\RefineRTDCRunTimes.py" --tripid 303-12 --locoid 4002 --swversion DE.1.0.8.0 --startMP 204:1203 --initTime 2017-01-12T18:42:03 --startdatetime 1969-12-31T17:00:00 --delay 1 --endMP 300:23301 --enddatetime 1969-12-31T17:00:00 --enforcementcount 0 &gt;&gt;C:\Users\stu\Documents\GitHub\eaglep3-reporting\EC\2017-01-12-refined-times.txt</v>
      </c>
      <c r="AI210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ID","value":"303-12"},{"id":16,"name":"Locomotive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1"/>
        <v>start /low /b %USERPROFILE%\Documents\GitHub\eaglep3\Utilities\DownloadLogsFromS3.py --loco 4002 --day 1969-12-31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2017-01-12-UncaughtWiMAX.txt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511</v>
      </c>
      <c r="B211" s="7">
        <v>4013</v>
      </c>
      <c r="C211" s="22" t="s">
        <v>201</v>
      </c>
      <c r="D211" s="22" t="s">
        <v>831</v>
      </c>
      <c r="E211" s="13">
        <v>42747.137789351851</v>
      </c>
      <c r="F211" s="13">
        <v>42747.13958333333</v>
      </c>
      <c r="G211" s="7">
        <v>1</v>
      </c>
      <c r="H211" s="22" t="s">
        <v>333</v>
      </c>
      <c r="I211" s="13">
        <v>42747.145868055559</v>
      </c>
      <c r="J211" s="7">
        <v>0</v>
      </c>
      <c r="K211" s="105" t="str">
        <f t="shared" si="92"/>
        <v>4013/4014</v>
      </c>
      <c r="L211" s="22" t="str">
        <f>VLOOKUP(A211,'Trips&amp;Operators'!$C$1:$G$99999,5,FALSE)</f>
        <v>BONDS REYNALDO</v>
      </c>
      <c r="M211" s="6">
        <f t="shared" si="93"/>
        <v>6.2847222288837656E-3</v>
      </c>
      <c r="N211" s="7">
        <f t="shared" si="88"/>
        <v>9.0500000095926225</v>
      </c>
      <c r="O211" s="7"/>
      <c r="P211" s="7"/>
      <c r="Q211" s="23"/>
      <c r="R211" s="23"/>
      <c r="S211" s="32">
        <f t="shared" si="84"/>
        <v>1</v>
      </c>
      <c r="T211" s="47" t="str">
        <f t="shared" si="85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02:18:25-700',mode:absolute,to:'2017-01-12 04:30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211" s="49" t="str">
        <f t="shared" si="95"/>
        <v>Y</v>
      </c>
      <c r="X211" s="173">
        <f t="shared" si="87"/>
        <v>1</v>
      </c>
      <c r="Y211" s="64">
        <f t="shared" si="82"/>
        <v>2.1941000000000002</v>
      </c>
      <c r="Z211" s="64">
        <f t="shared" si="83"/>
        <v>1.67E-2</v>
      </c>
      <c r="AA211" s="64">
        <f t="shared" si="96"/>
        <v>2.1774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97"/>
        <v>0304-12</v>
      </c>
      <c r="AE211" s="87" t="str">
        <f t="shared" si="98"/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AF211" s="84" t="str">
        <f t="shared" si="99"/>
        <v>"C:\Program Files (x86)\AstroGrep\AstroGrep.exe" /spath="%USERPROFILE%\AppData\Local\Temp\OnboardLogs" /stypes="app*4013*20170112*" /stext=" 10:.+((SYSTEM_STATE.+slice.+state.+changed )|(ment ac)|(multiple cpu faults)|(system.+state.+changed )|(\[timeout)|(PRM\|1\|D)|(kpr)|(kdp)|(\|lc)|(penalty))" /e /r /s</v>
      </c>
      <c r="AG211" s="1" t="str">
        <f t="shared" si="86"/>
        <v>Other</v>
      </c>
      <c r="AH211" s="88" t="str">
        <f t="shared" si="89"/>
        <v>"%USERPROFILE%\Documents\GitHub\eaglep3\Utilities\RefineRTDCRunTimes.py" --tripid 304-12 --locoid 4013 --swversion DE.1.0.8.0 --startMP 300:21941 --initTime 2017-01-12T03:18:25 --startdatetime 2017-01-12T03:21:00 --delay 1 --endMP 204:167 --enddatetime 2017-01-12T03:30:03 --enforcementcount 0 &gt;&gt;C:\Users\stu\Documents\GitHub\eaglep3-reporting\EC\2017-01-12-refined-times.txt</v>
      </c>
      <c r="AI211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{"issue":{"subject":"","project_id":79,"tracker_id":40,"status_id":1,"priority_id":2,"assigned_to_id":23,"start_date":"2017-01-12","description":"","custom_fields":[{"id":1,"name":"Subdivision","value":"Other"},{"id":4,"name":"Milepost","value":"0.0167"},{"id":17,"name":"Train ID","value":"304-12"},{"id":16,"name":"Locomotive ID","value":"4013"},{"id":130,"name":"Impact","value":""},{"id":150,"name":"Time of Event (Mountain Time)","value":"03:30:03"},{"id":151,"name":"Denver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1"/>
        <v>start /low /b %USERPROFILE%\Documents\GitHub\eaglep3\Utilities\DownloadLogsFromS3.py --loco 4013 --day 2017-01-12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"%USERPROFILE%\AppData\Local\Temp\OnboardLogs"\RTDC4013\*4013*20170112* | grep -SE "(Enforcement Action)|(\[TIMEOUT)|(CHR.+\|PRM\|1\|D.+(SWITCH|SIGNAL).+UNKNOWN)" - &gt;&gt; 2017-01-12-UncaughtWiMAX.txt</v>
      </c>
    </row>
    <row r="212" spans="1:91" s="21" customFormat="1" x14ac:dyDescent="0.25">
      <c r="A212" s="34" t="s">
        <v>716</v>
      </c>
      <c r="B212" s="7">
        <v>4011</v>
      </c>
      <c r="C212" s="22" t="s">
        <v>201</v>
      </c>
      <c r="D212" s="22" t="s">
        <v>832</v>
      </c>
      <c r="E212" s="13">
        <v>42747.810636574075</v>
      </c>
      <c r="F212" s="13">
        <v>25568.708333333332</v>
      </c>
      <c r="G212" s="7">
        <v>1</v>
      </c>
      <c r="H212" s="22" t="s">
        <v>833</v>
      </c>
      <c r="I212" s="13">
        <v>25568.708333333332</v>
      </c>
      <c r="J212" s="7">
        <v>0</v>
      </c>
      <c r="K212" s="105" t="str">
        <f t="shared" si="92"/>
        <v>4011/4012</v>
      </c>
      <c r="L212" s="22" t="str">
        <f>VLOOKUP(A212,'Trips&amp;Operators'!$C$1:$G$99999,5,FALSE)</f>
        <v>ARVIDSON DANIEL</v>
      </c>
      <c r="M212" s="6">
        <f t="shared" si="93"/>
        <v>0</v>
      </c>
      <c r="N212" s="7">
        <f t="shared" si="88"/>
        <v>0</v>
      </c>
      <c r="O212" s="7"/>
      <c r="P212" s="7"/>
      <c r="Q212" s="23"/>
      <c r="R212" s="23"/>
      <c r="S212" s="32">
        <f t="shared" si="84"/>
        <v>1</v>
      </c>
      <c r="T212" s="47" t="str">
        <f t="shared" si="85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18:27:19-700',mode:absolute,to:'1969-12-31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212" s="49" t="str">
        <f t="shared" si="95"/>
        <v>Y</v>
      </c>
      <c r="X212" s="173">
        <f t="shared" si="87"/>
        <v>1</v>
      </c>
      <c r="Y212" s="64">
        <f t="shared" si="82"/>
        <v>0.12570000000000001</v>
      </c>
      <c r="Z212" s="64">
        <f t="shared" si="83"/>
        <v>2.3306</v>
      </c>
      <c r="AA212" s="64">
        <f t="shared" si="96"/>
        <v>2.2048999999999999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97"/>
        <v>0305-12</v>
      </c>
      <c r="AE212" s="87" t="str">
        <f t="shared" si="98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2" s="84" t="str">
        <f t="shared" si="99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2" s="1" t="str">
        <f t="shared" si="86"/>
        <v>Other</v>
      </c>
      <c r="AH212" s="88" t="str">
        <f t="shared" si="89"/>
        <v>"%USERPROFILE%\Documents\GitHub\eaglep3\Utilities\RefineRTDCRunTimes.py" --tripid 305-12 --locoid 4011 --swversion DE.1.0.8.0 --startMP 204:1257 --initTime 2017-01-12T19:27:19 --startdatetime 1969-12-31T17:00:00 --delay 1 --endMP 300:23306 --enddatetime 1969-12-31T17:00:00 --enforcementcount 0 &gt;&gt;C:\Users\stu\Documents\GitHub\eaglep3-reporting\EC\2017-01-12-refined-times.txt</v>
      </c>
      <c r="AI212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1"/>
        <v>start /low /b %USERPROFILE%\Documents\GitHub\eaglep3\Utilities\DownloadLogsFromS3.py --loco 4011 --day 1969-12-31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2017-01-12-UncaughtWiMAX.txt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516</v>
      </c>
      <c r="B213" s="7">
        <v>4004</v>
      </c>
      <c r="C213" s="22" t="s">
        <v>201</v>
      </c>
      <c r="D213" s="22" t="s">
        <v>834</v>
      </c>
      <c r="E213" s="13">
        <v>42747.159594907411</v>
      </c>
      <c r="F213" s="13">
        <v>42747.160891203705</v>
      </c>
      <c r="G213" s="7">
        <v>1</v>
      </c>
      <c r="H213" s="22" t="s">
        <v>835</v>
      </c>
      <c r="I213" s="13">
        <v>42747.167581018519</v>
      </c>
      <c r="J213" s="7">
        <v>0</v>
      </c>
      <c r="K213" s="105" t="str">
        <f t="shared" si="92"/>
        <v>4003/4004</v>
      </c>
      <c r="L213" s="22" t="str">
        <f>VLOOKUP(A213,'Trips&amp;Operators'!$C$1:$G$99999,5,FALSE)</f>
        <v>ROBINSON KADDIBA</v>
      </c>
      <c r="M213" s="6">
        <f t="shared" si="93"/>
        <v>6.6898148143081926E-3</v>
      </c>
      <c r="N213" s="7">
        <f t="shared" si="88"/>
        <v>9.6333333326037973</v>
      </c>
      <c r="O213" s="7"/>
      <c r="P213" s="7"/>
      <c r="Q213" s="23"/>
      <c r="R213" s="23"/>
      <c r="S213" s="32">
        <f t="shared" si="84"/>
        <v>1</v>
      </c>
      <c r="T213" s="47" t="str">
        <f t="shared" si="85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02:49:49-700',mode:absolute,to:'2017-01-12 05:01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213" s="49" t="str">
        <f t="shared" si="95"/>
        <v>Y</v>
      </c>
      <c r="X213" s="173">
        <f t="shared" si="87"/>
        <v>1</v>
      </c>
      <c r="Y213" s="64">
        <f t="shared" si="82"/>
        <v>2.2050999999999998</v>
      </c>
      <c r="Z213" s="64">
        <f t="shared" si="83"/>
        <v>1.72E-2</v>
      </c>
      <c r="AA213" s="64">
        <f t="shared" si="96"/>
        <v>2.1879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97"/>
        <v>0306-12</v>
      </c>
      <c r="AE213" s="87" t="str">
        <f t="shared" si="98"/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AF213" s="84" t="str">
        <f t="shared" si="99"/>
        <v>"C:\Program Files (x86)\AstroGrep\AstroGrep.exe" /spath="%USERPROFILE%\AppData\Local\Temp\OnboardLogs" /stypes="app*4004*20170112*" /stext=" 11:.+((SYSTEM_STATE.+slice.+state.+changed )|(ment ac)|(multiple cpu faults)|(system.+state.+changed )|(\[timeout)|(PRM\|1\|D)|(kpr)|(kdp)|(\|lc)|(penalty))" /e /r /s</v>
      </c>
      <c r="AG213" s="1" t="str">
        <f t="shared" si="86"/>
        <v>Other</v>
      </c>
      <c r="AH213" s="88" t="str">
        <f t="shared" si="89"/>
        <v>"%USERPROFILE%\Documents\GitHub\eaglep3\Utilities\RefineRTDCRunTimes.py" --tripid 306-12 --locoid 4004 --swversion DE.1.0.8.0 --startMP 300:22051 --initTime 2017-01-12T03:49:49 --startdatetime 2017-01-12T03:51:41 --delay 1 --endMP 204:172 --enddatetime 2017-01-12T04:01:19 --enforcementcount 0 &gt;&gt;C:\Users\stu\Documents\GitHub\eaglep3-reporting\EC\2017-01-12-refined-times.txt</v>
      </c>
      <c r="AI213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{"issue":{"subject":"","project_id":79,"tracker_id":40,"status_id":1,"priority_id":2,"assigned_to_id":23,"start_date":"2017-01-12","description":"","custom_fields":[{"id":1,"name":"Subdivision","value":"Other"},{"id":4,"name":"Milepost","value":"0.0172"},{"id":17,"name":"Train ID","value":"306-12"},{"id":16,"name":"Locomotive ID","value":"4004"},{"id":130,"name":"Impact","value":""},{"id":150,"name":"Time of Event (Mountain Time)","value":"04:01:19"},{"id":151,"name":"Denver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1"/>
        <v>start /low /b %USERPROFILE%\Documents\GitHub\eaglep3\Utilities\DownloadLogsFromS3.py --loco 4004 --day 2017-01-12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"%USERPROFILE%\AppData\Local\Temp\OnboardLogs"\RTDC4004\*4004*20170112* | grep -SE "(Enforcement Action)|(\[TIMEOUT)|(CHR.+\|PRM\|1\|D.+(SWITCH|SIGNAL).+UNKNOWN)" - &gt;&gt; 2017-01-12-UncaughtWiMAX.txt</v>
      </c>
    </row>
    <row r="214" spans="1:91" x14ac:dyDescent="0.25">
      <c r="A214" s="34" t="s">
        <v>719</v>
      </c>
      <c r="B214" s="7">
        <v>4014</v>
      </c>
      <c r="C214" s="22" t="s">
        <v>201</v>
      </c>
      <c r="D214" s="22" t="s">
        <v>836</v>
      </c>
      <c r="E214" s="13">
        <v>42747.821087962962</v>
      </c>
      <c r="F214" s="13">
        <v>25568.708333333332</v>
      </c>
      <c r="G214" s="7">
        <v>1</v>
      </c>
      <c r="H214" s="22" t="s">
        <v>837</v>
      </c>
      <c r="I214" s="13">
        <v>25568.708333333332</v>
      </c>
      <c r="J214" s="7">
        <v>0</v>
      </c>
      <c r="K214" s="105" t="str">
        <f t="shared" si="92"/>
        <v>4013/4014</v>
      </c>
      <c r="L214" s="22" t="str">
        <f>VLOOKUP(A214,'Trips&amp;Operators'!$C$1:$G$99999,5,FALSE)</f>
        <v>SIMMONS SHYHESHA</v>
      </c>
      <c r="M214" s="6">
        <f t="shared" si="93"/>
        <v>0</v>
      </c>
      <c r="N214" s="7">
        <f t="shared" si="88"/>
        <v>0</v>
      </c>
      <c r="O214" s="7"/>
      <c r="P214" s="7"/>
      <c r="Q214" s="23"/>
      <c r="R214" s="23"/>
      <c r="S214" s="32">
        <f t="shared" si="84"/>
        <v>1</v>
      </c>
      <c r="T214" s="47" t="str">
        <f t="shared" si="85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18:42:22-700',mode:absolute,to:'1969-12-31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214" s="49" t="str">
        <f t="shared" si="95"/>
        <v>Y</v>
      </c>
      <c r="X214" s="173">
        <f t="shared" si="87"/>
        <v>1</v>
      </c>
      <c r="Y214" s="64">
        <f t="shared" si="82"/>
        <v>3.3599999999999998E-2</v>
      </c>
      <c r="Z214" s="64">
        <f t="shared" si="83"/>
        <v>2.3308</v>
      </c>
      <c r="AA214" s="64">
        <f t="shared" si="96"/>
        <v>2.2972000000000001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97"/>
        <v>0307-12</v>
      </c>
      <c r="AE214" s="87" t="str">
        <f t="shared" si="98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4" s="84" t="str">
        <f t="shared" si="99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4" s="1" t="str">
        <f t="shared" si="86"/>
        <v>Other</v>
      </c>
      <c r="AH214" s="88" t="str">
        <f t="shared" si="89"/>
        <v>"%USERPROFILE%\Documents\GitHub\eaglep3\Utilities\RefineRTDCRunTimes.py" --tripid 307-12 --locoid 4014 --swversion DE.1.0.8.0 --startMP 204:336 --initTime 2017-01-12T19:42:22 --startdatetime 1969-12-31T17:00:00 --delay 1 --endMP 300:23308 --enddatetime 1969-12-31T17:00:00 --enforcementcount 0 &gt;&gt;C:\Users\stu\Documents\GitHub\eaglep3-reporting\EC\2017-01-12-refined-times.txt</v>
      </c>
      <c r="AI214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ID","value":"307-12"},{"id":16,"name":"Locomotive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1"/>
        <v>start /low /b %USERPROFILE%\Documents\GitHub\eaglep3\Utilities\DownloadLogsFromS3.py --loco 4014 --day 1969-12-31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2017-01-12-UncaughtWiMAX.txt</v>
      </c>
    </row>
    <row r="215" spans="1:91" x14ac:dyDescent="0.25">
      <c r="A215" s="34" t="s">
        <v>517</v>
      </c>
      <c r="B215" s="7">
        <v>4021</v>
      </c>
      <c r="C215" s="22" t="s">
        <v>201</v>
      </c>
      <c r="D215" s="22" t="s">
        <v>838</v>
      </c>
      <c r="E215" s="13">
        <v>42747.168912037036</v>
      </c>
      <c r="F215" s="13">
        <v>42747.170381944445</v>
      </c>
      <c r="G215" s="7">
        <v>1</v>
      </c>
      <c r="H215" s="22" t="s">
        <v>259</v>
      </c>
      <c r="I215" s="13">
        <v>42747.180393518516</v>
      </c>
      <c r="J215" s="7">
        <v>0</v>
      </c>
      <c r="K215" s="105" t="str">
        <f t="shared" si="92"/>
        <v>4021/4022</v>
      </c>
      <c r="L215" s="22" t="str">
        <f>VLOOKUP(A215,'Trips&amp;Operators'!$C$1:$G$99999,5,FALSE)</f>
        <v>GEBRETEKLE DAGNEW</v>
      </c>
      <c r="M215" s="6">
        <f t="shared" si="93"/>
        <v>1.0011574071540963E-2</v>
      </c>
      <c r="N215" s="7">
        <f t="shared" si="88"/>
        <v>14.416666663018987</v>
      </c>
      <c r="O215" s="7"/>
      <c r="P215" s="7"/>
      <c r="Q215" s="23"/>
      <c r="R215" s="23"/>
      <c r="S215" s="32">
        <f t="shared" si="84"/>
        <v>1</v>
      </c>
      <c r="T215" s="47" t="str">
        <f t="shared" si="85"/>
        <v>Southbound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03:03:14-700',mode:absolute,to:'2017-01-12 05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15" s="49" t="str">
        <f t="shared" si="95"/>
        <v>Y</v>
      </c>
      <c r="X215" s="173">
        <f t="shared" si="87"/>
        <v>1</v>
      </c>
      <c r="Y215" s="64">
        <f t="shared" si="82"/>
        <v>2.3473999999999999</v>
      </c>
      <c r="Z215" s="64">
        <f t="shared" si="83"/>
        <v>1.5800000000000002E-2</v>
      </c>
      <c r="AA215" s="64">
        <f t="shared" si="96"/>
        <v>2.3315999999999999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97"/>
        <v>0308-12</v>
      </c>
      <c r="AE215" s="87" t="str">
        <f t="shared" si="98"/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AF215" s="84" t="str">
        <f t="shared" si="99"/>
        <v>"C:\Program Files (x86)\AstroGrep\AstroGrep.exe" /spath="%USERPROFILE%\AppData\Local\Temp\OnboardLogs" /stypes="app*4021*20170112*" /stext=" 11:.+((SYSTEM_STATE.+slice.+state.+changed )|(ment ac)|(multiple cpu faults)|(system.+state.+changed )|(\[timeout)|(PRM\|1\|D)|(kpr)|(kdp)|(\|lc)|(penalty))" /e /r /s</v>
      </c>
      <c r="AG215" s="1" t="str">
        <f t="shared" si="86"/>
        <v>Other</v>
      </c>
      <c r="AH215" s="88" t="str">
        <f t="shared" si="89"/>
        <v>"%USERPROFILE%\Documents\GitHub\eaglep3\Utilities\RefineRTDCRunTimes.py" --tripid 308-12 --locoid 4021 --swversion DE.1.0.8.0 --startMP 300:23474 --initTime 2017-01-12T04:03:14 --startdatetime 2017-01-12T04:05:21 --delay 1 --endMP 204:158 --enddatetime 2017-01-12T04:19:46 --enforcementcount 0 &gt;&gt;C:\Users\stu\Documents\GitHub\eaglep3-reporting\EC\2017-01-12-refined-times.txt</v>
      </c>
      <c r="AI215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{"issue":{"subject":"","project_id":79,"tracker_id":40,"status_id":1,"priority_id":2,"assigned_to_id":23,"start_date":"2017-01-12","description":"","custom_fields":[{"id":1,"name":"Subdivision","value":"Other"},{"id":4,"name":"Milepost","value":"0.0158"},{"id":17,"name":"Train ID","value":"308-12"},{"id":16,"name":"Locomotive ID","value":"4021"},{"id":130,"name":"Impact","value":""},{"id":150,"name":"Time of Event (Mountain Time)","value":"04:19:46"},{"id":151,"name":"Denver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1"/>
        <v>start /low /b %USERPROFILE%\Documents\GitHub\eaglep3\Utilities\DownloadLogsFromS3.py --loco 4021 --day 2017-01-12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2017-01-12-UncaughtWiMAX.txt</v>
      </c>
    </row>
    <row r="216" spans="1:91" x14ac:dyDescent="0.25">
      <c r="A216" s="34" t="s">
        <v>752</v>
      </c>
      <c r="B216" s="7">
        <v>4003</v>
      </c>
      <c r="C216" s="22" t="s">
        <v>201</v>
      </c>
      <c r="D216" s="22" t="s">
        <v>238</v>
      </c>
      <c r="E216" s="13">
        <v>42748.030787037038</v>
      </c>
      <c r="F216" s="13">
        <v>42748.035624999997</v>
      </c>
      <c r="G216" s="7">
        <v>1</v>
      </c>
      <c r="H216" s="22" t="s">
        <v>839</v>
      </c>
      <c r="I216" s="13">
        <v>42748.043680555558</v>
      </c>
      <c r="J216" s="7">
        <v>0</v>
      </c>
      <c r="K216" s="105" t="str">
        <f t="shared" si="92"/>
        <v>4003/4004</v>
      </c>
      <c r="L216" s="22" t="str">
        <f>VLOOKUP(A216,'Trips&amp;Operators'!$C$1:$G$99999,5,FALSE)</f>
        <v>CHANDLER KELVIN</v>
      </c>
      <c r="M216" s="6">
        <f t="shared" si="93"/>
        <v>8.0555555614409968E-3</v>
      </c>
      <c r="N216" s="7">
        <f t="shared" si="88"/>
        <v>11.600000008475035</v>
      </c>
      <c r="O216" s="7"/>
      <c r="P216" s="7"/>
      <c r="Q216" s="23"/>
      <c r="R216" s="23"/>
      <c r="S216" s="32">
        <f t="shared" si="84"/>
        <v>1</v>
      </c>
      <c r="T216" s="47" t="str">
        <f t="shared" si="85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23:44:20-700',mode:absolute,to:'2017-01-13 02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216" s="49" t="str">
        <f t="shared" si="95"/>
        <v>Y</v>
      </c>
      <c r="X216" s="173">
        <f t="shared" si="87"/>
        <v>1</v>
      </c>
      <c r="Y216" s="64">
        <f t="shared" si="82"/>
        <v>4.6399999999999997E-2</v>
      </c>
      <c r="Z216" s="64">
        <f t="shared" si="83"/>
        <v>3.2121</v>
      </c>
      <c r="AA216" s="64">
        <f t="shared" si="96"/>
        <v>3.1657000000000002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97"/>
        <v>0309-12</v>
      </c>
      <c r="AE216" s="87" t="str">
        <f t="shared" si="98"/>
        <v>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 &amp; 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</v>
      </c>
      <c r="AF216" s="84" t="str">
        <f t="shared" si="99"/>
        <v>"C:\Program Files (x86)\AstroGrep\AstroGrep.exe" /spath="%USERPROFILE%\AppData\Local\Temp\OnboardLogs" /stypes="app*4003*20170113*" /stext=" 08:.+((SYSTEM_STATE.+slice.+state.+changed )|(ment ac)|(multiple cpu faults)|(system.+state.+changed )|(\[timeout)|(PRM\|1\|D)|(kpr)|(kdp)|(\|lc)|(penalty))" /e /r /s</v>
      </c>
      <c r="AG216" s="1" t="str">
        <f t="shared" si="86"/>
        <v>Other</v>
      </c>
      <c r="AH216" s="88" t="str">
        <f t="shared" si="89"/>
        <v>"%USERPROFILE%\Documents\GitHub\eaglep3\Utilities\RefineRTDCRunTimes.py" --tripid 309-12 --locoid 4003 --swversion DE.1.0.8.0 --startMP 204:464 --initTime 2017-01-13T00:44:20 --startdatetime 2017-01-13T00:51:18 --delay 1 --endMP 300:32121 --enddatetime 2017-01-13T01:02:54 --enforcementcount 0 &gt;&gt;C:\Users\stu\Documents\GitHub\eaglep3-reporting\EC\2017-01-12-refined-times.txt</v>
      </c>
      <c r="AI216" s="115" t="str">
        <f t="shared" si="90"/>
        <v>echo {"issue":{"subject":"","project_id":79,"tracker_id":40,"status_id":1,"priority_id":2,"assigned_to_id":23,"start_date":"2017-01-13","description":"","custom_fields":[{"id":1,"name":"Subdivision","value":"Other"},{"id":4,"name":"Milepost","value":"3.2121"},{"id":17,"name":"Train ID","value":"309-12"},{"id":16,"name":"Locomotive ID","value":"4003"},{"id":130,"name":"Impact","value":""},{"id":150,"name":"Time of Event (Mountain Time)","value":"01:02:54"},{"id":151,"name":"Denver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1"/>
        <v>start /low /b %USERPROFILE%\Documents\GitHub\eaglep3\Utilities\DownloadLogsFromS3.py --loco 4003 --day 2017-01-13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</row>
    <row r="217" spans="1:91" x14ac:dyDescent="0.25">
      <c r="A217" s="34" t="s">
        <v>542</v>
      </c>
      <c r="B217" s="7">
        <v>4001</v>
      </c>
      <c r="C217" s="22" t="s">
        <v>201</v>
      </c>
      <c r="D217" s="22" t="s">
        <v>840</v>
      </c>
      <c r="E217" s="13">
        <v>42747.183819444443</v>
      </c>
      <c r="F217" s="13">
        <v>42747.185231481482</v>
      </c>
      <c r="G217" s="7">
        <v>1</v>
      </c>
      <c r="H217" s="22" t="s">
        <v>306</v>
      </c>
      <c r="I217" s="13">
        <v>42747.191643518519</v>
      </c>
      <c r="J217" s="7">
        <v>0</v>
      </c>
      <c r="K217" s="105" t="str">
        <f t="shared" si="92"/>
        <v>4001/4002</v>
      </c>
      <c r="L217" s="22" t="str">
        <f>VLOOKUP(A217,'Trips&amp;Operators'!$C$1:$G$99999,5,FALSE)</f>
        <v>DUNCAN SHEILA</v>
      </c>
      <c r="M217" s="6">
        <f t="shared" si="93"/>
        <v>6.4120370370801538E-3</v>
      </c>
      <c r="N217" s="7">
        <f t="shared" si="88"/>
        <v>9.2333333333954215</v>
      </c>
      <c r="O217" s="7"/>
      <c r="P217" s="7"/>
      <c r="Q217" s="23"/>
      <c r="R217" s="23"/>
      <c r="S217" s="32">
        <f t="shared" si="84"/>
        <v>1</v>
      </c>
      <c r="T217" s="47" t="str">
        <f t="shared" si="85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03:24:42-700',mode:absolute,to:'2017-01-12 05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7" s="49" t="str">
        <f t="shared" si="95"/>
        <v>Y</v>
      </c>
      <c r="X217" s="173">
        <f t="shared" si="87"/>
        <v>1</v>
      </c>
      <c r="Y217" s="64">
        <f t="shared" si="82"/>
        <v>2.0019</v>
      </c>
      <c r="Z217" s="64">
        <f t="shared" si="83"/>
        <v>1.6299999999999999E-2</v>
      </c>
      <c r="AA217" s="64">
        <f t="shared" si="96"/>
        <v>1.9856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97"/>
        <v>0310-12</v>
      </c>
      <c r="AE217" s="87" t="str">
        <f t="shared" si="98"/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AF217" s="84" t="str">
        <f t="shared" si="99"/>
        <v>"C:\Program Files (x86)\AstroGrep\AstroGrep.exe" /spath="%USERPROFILE%\AppData\Local\Temp\OnboardLogs" /stypes="app*4001*20170112*" /stext=" 11:.+((SYSTEM_STATE.+slice.+state.+changed )|(ment ac)|(multiple cpu faults)|(system.+state.+changed )|(\[timeout)|(PRM\|1\|D)|(kpr)|(kdp)|(\|lc)|(penalty))" /e /r /s</v>
      </c>
      <c r="AG217" s="1" t="str">
        <f t="shared" si="86"/>
        <v>Other</v>
      </c>
      <c r="AH217" s="88" t="str">
        <f t="shared" si="89"/>
        <v>"%USERPROFILE%\Documents\GitHub\eaglep3\Utilities\RefineRTDCRunTimes.py" --tripid 310-12 --locoid 4001 --swversion DE.1.0.8.0 --startMP 300:20019 --initTime 2017-01-12T04:24:42 --startdatetime 2017-01-12T04:26:44 --delay 1 --endMP 204:163 --enddatetime 2017-01-12T04:35:58 --enforcementcount 0 &gt;&gt;C:\Users\stu\Documents\GitHub\eaglep3-reporting\EC\2017-01-12-refined-times.txt</v>
      </c>
      <c r="AI217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{"issue":{"subject":"","project_id":79,"tracker_id":40,"status_id":1,"priority_id":2,"assigned_to_id":23,"start_date":"2017-01-12","description":"","custom_fields":[{"id":1,"name":"Subdivision","value":"Other"},{"id":4,"name":"Milepost","value":"0.0163"},{"id":17,"name":"Train ID","value":"310-12"},{"id":16,"name":"Locomotive ID","value":"4001"},{"id":130,"name":"Impact","value":""},{"id":150,"name":"Time of Event (Mountain Time)","value":"04:35:58"},{"id":151,"name":"Denver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1"/>
        <v>start /low /b %USERPROFILE%\Documents\GitHub\eaglep3\Utilities\DownloadLogsFromS3.py --loco 4001 --day 2017-01-12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2017-01-12-UncaughtWiMAX.txt</v>
      </c>
    </row>
    <row r="218" spans="1:91" x14ac:dyDescent="0.25">
      <c r="A218" s="34" t="s">
        <v>754</v>
      </c>
      <c r="B218" s="7">
        <v>4031</v>
      </c>
      <c r="C218" s="22" t="s">
        <v>201</v>
      </c>
      <c r="D218" s="22" t="s">
        <v>804</v>
      </c>
      <c r="E218" s="13">
        <v>42748.049293981479</v>
      </c>
      <c r="F218" s="13">
        <v>42748.050729166665</v>
      </c>
      <c r="G218" s="7">
        <v>1</v>
      </c>
      <c r="H218" s="22" t="s">
        <v>841</v>
      </c>
      <c r="I218" s="13">
        <v>42748.056319444448</v>
      </c>
      <c r="J218" s="7">
        <v>0</v>
      </c>
      <c r="K218" s="105" t="str">
        <f t="shared" si="92"/>
        <v>4031/4032</v>
      </c>
      <c r="L218" s="22" t="str">
        <f>VLOOKUP(A218,'Trips&amp;Operators'!$C$1:$G$99999,5,FALSE)</f>
        <v>NEWELL JAMES</v>
      </c>
      <c r="M218" s="6">
        <f t="shared" si="93"/>
        <v>5.5902777821756899E-3</v>
      </c>
      <c r="N218" s="7">
        <f t="shared" si="88"/>
        <v>8.0500000063329935</v>
      </c>
      <c r="O218" s="7"/>
      <c r="P218" s="7"/>
      <c r="Q218" s="23"/>
      <c r="R218" s="23"/>
      <c r="S218" s="32">
        <f t="shared" si="84"/>
        <v>1</v>
      </c>
      <c r="T218" s="47" t="str">
        <f t="shared" si="85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https://search-rtdc-monitor-bjffxe2xuh6vdkpspy63sjmuny.us-east-1.es.amazonaws.com/_plugin/kibana/#/discover/Steve-Slow-Train-Analysis-(2080s-and-2083s)?_g=(refreshInterval:(display:Off,section:0,value:0),time:(from:'2017-01-13 00:10:59-700',mode:absolute,to:'2017-01-13 02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8" s="49" t="str">
        <f t="shared" si="95"/>
        <v>Y</v>
      </c>
      <c r="X218" s="173">
        <f t="shared" si="87"/>
        <v>1</v>
      </c>
      <c r="Y218" s="64">
        <f t="shared" si="82"/>
        <v>4.7100000000000003E-2</v>
      </c>
      <c r="Z218" s="64">
        <f t="shared" si="83"/>
        <v>3.1322000000000001</v>
      </c>
      <c r="AA218" s="64">
        <f t="shared" si="96"/>
        <v>3.0851000000000002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97"/>
        <v>0311-12</v>
      </c>
      <c r="AE218" s="87" t="str">
        <f t="shared" si="98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218" s="84" t="str">
        <f t="shared" si="99"/>
        <v>"C:\Program Files (x86)\AstroGrep\AstroGrep.exe" /spath="%USERPROFILE%\AppData\Local\Temp\OnboardLogs" /stypes="app*4031*20170113*" /stext=" 08:.+((SYSTEM_STATE.+slice.+state.+changed )|(ment ac)|(multiple cpu faults)|(system.+state.+changed )|(\[timeout)|(PRM\|1\|D)|(kpr)|(kdp)|(\|lc)|(penalty))" /e /r /s</v>
      </c>
      <c r="AG218" s="1" t="str">
        <f t="shared" si="86"/>
        <v>Other</v>
      </c>
      <c r="AH218" s="88" t="str">
        <f t="shared" si="89"/>
        <v>"%USERPROFILE%\Documents\GitHub\eaglep3\Utilities\RefineRTDCRunTimes.py" --tripid 311-12 --locoid 4031 --swversion DE.1.0.8.0 --startMP 204:471 --initTime 2017-01-13T01:10:59 --startdatetime 2017-01-13T01:13:03 --delay 1 --endMP 300:31322 --enddatetime 2017-01-13T01:21:06 --enforcementcount 0 &gt;&gt;C:\Users\stu\Documents\GitHub\eaglep3-reporting\EC\2017-01-12-refined-times.txt</v>
      </c>
      <c r="AI218" s="115" t="str">
        <f t="shared" si="90"/>
        <v>echo {"issue":{"subject":"","project_id":79,"tracker_id":40,"status_id":1,"priority_id":2,"assigned_to_id":23,"start_date":"2017-01-13","description":"","custom_fields":[{"id":1,"name":"Subdivision","value":"Other"},{"id":4,"name":"Milepost","value":"3.1322"},{"id":17,"name":"Train ID","value":"311-12"},{"id":16,"name":"Locomotive ID","value":"4031"},{"id":130,"name":"Impact","value":""},{"id":150,"name":"Time of Event (Mountain Time)","value":"01:21:06"},{"id":151,"name":"Denver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1"/>
        <v>start /low /b %USERPROFILE%\Documents\GitHub\eaglep3\Utilities\DownloadLogsFromS3.py --loco 4031 --day 2017-01-13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2017-01-12-UncaughtWiMAX.txt</v>
      </c>
    </row>
    <row r="219" spans="1:91" x14ac:dyDescent="0.25">
      <c r="A219" s="34" t="s">
        <v>512</v>
      </c>
      <c r="B219" s="7">
        <v>4026</v>
      </c>
      <c r="C219" s="22" t="s">
        <v>201</v>
      </c>
      <c r="D219" s="22" t="s">
        <v>842</v>
      </c>
      <c r="E219" s="13">
        <v>42747.134409722225</v>
      </c>
      <c r="F219" s="13">
        <v>42747.136458333334</v>
      </c>
      <c r="G219" s="7">
        <v>1</v>
      </c>
      <c r="H219" s="22">
        <v>8.5284722222222218</v>
      </c>
      <c r="I219" s="13">
        <v>42747.159745370373</v>
      </c>
      <c r="J219" s="7">
        <v>0</v>
      </c>
      <c r="K219" s="105" t="str">
        <f t="shared" si="92"/>
        <v>4025/4026</v>
      </c>
      <c r="L219" s="22" t="str">
        <f>VLOOKUP(A219,'Trips&amp;Operators'!$C$1:$G$99999,5,FALSE)</f>
        <v>LALONDE GREGORY</v>
      </c>
      <c r="M219" s="6">
        <f t="shared" si="93"/>
        <v>2.3287037038244307E-2</v>
      </c>
      <c r="N219" s="7">
        <f t="shared" si="88"/>
        <v>33.533333335071802</v>
      </c>
      <c r="O219" s="7"/>
      <c r="P219" s="7"/>
      <c r="Q219" s="23"/>
      <c r="R219" s="23"/>
      <c r="S219" s="32">
        <f t="shared" si="84"/>
        <v>0</v>
      </c>
      <c r="T219" s="47" t="str">
        <f t="shared" si="85"/>
        <v>NorthBound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02:13:33-700',mode:absolute,to:'2017-01-12 04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219" s="49" t="str">
        <f t="shared" si="95"/>
        <v>N</v>
      </c>
      <c r="X219" s="173">
        <f t="shared" si="87"/>
        <v>2</v>
      </c>
      <c r="Y219" s="64">
        <f t="shared" si="82"/>
        <v>12.8186</v>
      </c>
      <c r="Z219" s="64">
        <f t="shared" si="83"/>
        <v>84722222.222200006</v>
      </c>
      <c r="AA219" s="64">
        <f t="shared" si="96"/>
        <v>84722209.403600007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97"/>
        <v>0313-11</v>
      </c>
      <c r="AE219" s="87" t="str">
        <f t="shared" si="98"/>
        <v>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 &amp; 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</v>
      </c>
      <c r="AF219" s="84" t="str">
        <f t="shared" si="99"/>
        <v>"C:\Program Files (x86)\AstroGrep\AstroGrep.exe" /spath="%USERPROFILE%\AppData\Local\Temp\OnboardLogs" /stypes="app*4026*20170112*" /stext=" 10:.+((SYSTEM_STATE.+slice.+state.+changed )|(ment ac)|(multiple cpu faults)|(system.+state.+changed )|(\[timeout)|(PRM\|1\|D)|(kpr)|(kdp)|(\|lc)|(penalty))" /e /r /s</v>
      </c>
      <c r="AG219" s="1" t="str">
        <f t="shared" si="86"/>
        <v>Other</v>
      </c>
      <c r="AH219" s="88" t="str">
        <f t="shared" si="89"/>
        <v>"%USERPROFILE%\Documents\GitHub\eaglep3\Utilities\RefineRTDCRunTimes.py" --tripid 313-11 --locoid 4026 --swversion DE.1.0.8.0 --startMP 204:128186 --initTime 2017-01-12T03:13:33 --startdatetime 2017-01-12T03:16:30 --delay 1 --endMP 8.52847222222222 --enddatetime 2017-01-12T03:50:02 --enforcementcount 0 &gt;&gt;C:\Users\stu\Documents\GitHub\eaglep3-reporting\EC\2017-01-12-refined-times.txt</v>
      </c>
      <c r="AI219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84722222.2222"},{"id":17,"name":"Train ID","value":"313-11"},{"id":16,"name":"Locomotive ID","value":"4026"},{"id":130,"name":"Impact","value":""},{"id":150,"name":"Time of Event (Mountain Time)","value":"03:50:02"},{"id":151,"name":"Denver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1"/>
        <v>start /low /b %USERPROFILE%\Documents\GitHub\eaglep3\Utilities\DownloadLogsFromS3.py --loco 4026 --day 2017-01-12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"%USERPROFILE%\AppData\Local\Temp\OnboardLogs"\RTDC4026\*4026*20170112* | grep -SE "(Enforcement Action)|(\[TIMEOUT)|(CHR.+\|PRM\|1\|D.+(SWITCH|SIGNAL).+UNKNOWN)" - &gt;&gt; 2017-01-12-UncaughtWiMAX.txt</v>
      </c>
    </row>
    <row r="220" spans="1:91" x14ac:dyDescent="0.25">
      <c r="A220" s="34" t="s">
        <v>756</v>
      </c>
      <c r="B220" s="7">
        <v>4027</v>
      </c>
      <c r="C220" s="22" t="s">
        <v>201</v>
      </c>
      <c r="D220" s="22" t="s">
        <v>843</v>
      </c>
      <c r="E220" s="13">
        <v>42748.072824074072</v>
      </c>
      <c r="F220" s="13">
        <v>42748.07539351852</v>
      </c>
      <c r="G220" s="7">
        <v>1</v>
      </c>
      <c r="H220" s="22" t="s">
        <v>844</v>
      </c>
      <c r="I220" s="13">
        <v>42748.081377314818</v>
      </c>
      <c r="J220" s="7">
        <v>0</v>
      </c>
      <c r="K220" s="105" t="str">
        <f t="shared" si="92"/>
        <v>4027/4028</v>
      </c>
      <c r="L220" s="22" t="str">
        <f>VLOOKUP(A220,'Trips&amp;Operators'!$C$1:$G$99999,5,FALSE)</f>
        <v>WHITED DUSTIN</v>
      </c>
      <c r="M220" s="6">
        <f t="shared" si="93"/>
        <v>5.9837962980964221E-3</v>
      </c>
      <c r="N220" s="7">
        <f t="shared" si="88"/>
        <v>8.6166666692588478</v>
      </c>
      <c r="O220" s="7"/>
      <c r="P220" s="7"/>
      <c r="Q220" s="23"/>
      <c r="R220" s="23"/>
      <c r="S220" s="32">
        <f t="shared" si="84"/>
        <v>1</v>
      </c>
      <c r="T220" s="47" t="str">
        <f t="shared" si="85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https://search-rtdc-monitor-bjffxe2xuh6vdkpspy63sjmuny.us-east-1.es.amazonaws.com/_plugin/kibana/#/discover/Steve-Slow-Train-Analysis-(2080s-and-2083s)?_g=(refreshInterval:(display:Off,section:0,value:0),time:(from:'2017-01-13 00:44:52-700',mode:absolute,to:'2017-01-13 02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220" s="49" t="str">
        <f t="shared" si="95"/>
        <v>Y</v>
      </c>
      <c r="X220" s="173">
        <f t="shared" si="87"/>
        <v>0</v>
      </c>
      <c r="Y220" s="64">
        <f t="shared" si="82"/>
        <v>3.9199999999999999E-2</v>
      </c>
      <c r="Z220" s="64">
        <f t="shared" si="83"/>
        <v>3.1095000000000002</v>
      </c>
      <c r="AA220" s="64">
        <f t="shared" si="96"/>
        <v>3.0703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97"/>
        <v>0313-12</v>
      </c>
      <c r="AE220" s="87" t="str">
        <f t="shared" si="98"/>
        <v>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 &amp; 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</v>
      </c>
      <c r="AF220" s="84" t="str">
        <f t="shared" si="99"/>
        <v>"C:\Program Files (x86)\AstroGrep\AstroGrep.exe" /spath="%USERPROFILE%\AppData\Local\Temp\OnboardLogs" /stypes="app*4027*20170113*" /stext=" 08:.+((SYSTEM_STATE.+slice.+state.+changed )|(ment ac)|(multiple cpu faults)|(system.+state.+changed )|(\[timeout)|(PRM\|1\|D)|(kpr)|(kdp)|(\|lc)|(penalty))" /e /r /s</v>
      </c>
      <c r="AG220" s="1" t="str">
        <f t="shared" si="86"/>
        <v>Other</v>
      </c>
      <c r="AH220" s="88" t="str">
        <f t="shared" si="89"/>
        <v>"%USERPROFILE%\Documents\GitHub\eaglep3\Utilities\RefineRTDCRunTimes.py" --tripid 313-12 --locoid 4027 --swversion DE.1.0.8.0 --startMP 204:392 --initTime 2017-01-13T01:44:52 --startdatetime 2017-01-13T01:48:34 --delay 1 --endMP 300:31095 --enddatetime 2017-01-13T01:57:11 --enforcementcount 0 &gt;&gt;C:\Users\stu\Documents\GitHub\eaglep3-reporting\EC\2017-01-12-refined-times.txt</v>
      </c>
      <c r="AI220" s="115" t="str">
        <f t="shared" si="90"/>
        <v>echo {"issue":{"subject":"","project_id":79,"tracker_id":40,"status_id":1,"priority_id":2,"assigned_to_id":23,"start_date":"2017-01-13","description":"","custom_fields":[{"id":1,"name":"Subdivision","value":"Other"},{"id":4,"name":"Milepost","value":"3.1095"},{"id":17,"name":"Train ID","value":"313-12"},{"id":16,"name":"Locomotive ID","value":"4027"},{"id":130,"name":"Impact","value":""},{"id":150,"name":"Time of Event (Mountain Time)","value":"01:57:11"},{"id":151,"name":"Denver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1"/>
        <v>start /low /b %USERPROFILE%\Documents\GitHub\eaglep3\Utilities\DownloadLogsFromS3.py --loco 4027 --day 2017-01-13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2017-01-12-UncaughtWiMAX.txt</v>
      </c>
    </row>
    <row r="221" spans="1:91" x14ac:dyDescent="0.25">
      <c r="A221" s="34" t="s">
        <v>539</v>
      </c>
      <c r="B221" s="7">
        <v>4044</v>
      </c>
      <c r="C221" s="22" t="s">
        <v>201</v>
      </c>
      <c r="D221" s="22" t="s">
        <v>845</v>
      </c>
      <c r="E221" s="13">
        <v>42747.170092592591</v>
      </c>
      <c r="F221" s="13">
        <v>42747.180289351854</v>
      </c>
      <c r="G221" s="7">
        <v>1</v>
      </c>
      <c r="H221" s="22" t="s">
        <v>846</v>
      </c>
      <c r="I221" s="13">
        <v>42747.186608796299</v>
      </c>
      <c r="J221" s="7">
        <v>0</v>
      </c>
      <c r="K221" s="105" t="str">
        <f t="shared" si="92"/>
        <v>4043/4044</v>
      </c>
      <c r="L221" s="22" t="str">
        <f>VLOOKUP(A221,'Trips&amp;Operators'!$C$1:$G$99999,5,FALSE)</f>
        <v>LALONDE GREGORY</v>
      </c>
      <c r="M221" s="6">
        <f t="shared" si="93"/>
        <v>6.3194444446708076E-3</v>
      </c>
      <c r="N221" s="7">
        <f t="shared" si="88"/>
        <v>9.1000000003259629</v>
      </c>
      <c r="O221" s="7"/>
      <c r="P221" s="7"/>
      <c r="Q221" s="23"/>
      <c r="R221" s="23"/>
      <c r="S221" s="32">
        <f t="shared" si="84"/>
        <v>1</v>
      </c>
      <c r="T221" s="47" t="str">
        <f t="shared" si="85"/>
        <v>NorthBound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03:04:56-700',mode:absolute,to:'2017-01-12 05:28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221" s="49" t="str">
        <f t="shared" si="95"/>
        <v>Y</v>
      </c>
      <c r="X221" s="173">
        <f t="shared" si="87"/>
        <v>2</v>
      </c>
      <c r="Y221" s="64">
        <f t="shared" si="82"/>
        <v>0.12670000000000001</v>
      </c>
      <c r="Z221" s="64">
        <f t="shared" si="83"/>
        <v>1.8379000000000001</v>
      </c>
      <c r="AA221" s="64">
        <f t="shared" si="96"/>
        <v>1.7112000000000001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97"/>
        <v>0315-11</v>
      </c>
      <c r="AE221" s="87" t="str">
        <f t="shared" si="98"/>
        <v>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 &amp; 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</v>
      </c>
      <c r="AF221" s="84" t="str">
        <f t="shared" si="99"/>
        <v>"C:\Program Files (x86)\AstroGrep\AstroGrep.exe" /spath="%USERPROFILE%\AppData\Local\Temp\OnboardLogs" /stypes="app*4044*20170112*" /stext=" 11:.+((SYSTEM_STATE.+slice.+state.+changed )|(ment ac)|(multiple cpu faults)|(system.+state.+changed )|(\[timeout)|(PRM\|1\|D)|(kpr)|(kdp)|(\|lc)|(penalty))" /e /r /s</v>
      </c>
      <c r="AG221" s="1" t="str">
        <f t="shared" si="86"/>
        <v>Other</v>
      </c>
      <c r="AH221" s="88" t="str">
        <f t="shared" si="89"/>
        <v>"%USERPROFILE%\Documents\GitHub\eaglep3\Utilities\RefineRTDCRunTimes.py" --tripid 315-11 --locoid 4044 --swversion DE.1.0.8.0 --startMP 204:1267 --initTime 2017-01-12T04:04:56 --startdatetime 2017-01-12T04:19:37 --delay 1 --endMP 300:18379 --enddatetime 2017-01-12T04:28:43 --enforcementcount 0 &gt;&gt;C:\Users\stu\Documents\GitHub\eaglep3-reporting\EC\2017-01-12-refined-times.txt</v>
      </c>
      <c r="AI221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{"issue":{"subject":"","project_id":79,"tracker_id":40,"status_id":1,"priority_id":2,"assigned_to_id":23,"start_date":"2017-01-12","description":"","custom_fields":[{"id":1,"name":"Subdivision","value":"Other"},{"id":4,"name":"Milepost","value":"1.8379"},{"id":17,"name":"Train ID","value":"315-11"},{"id":16,"name":"Locomotive ID","value":"4044"},{"id":130,"name":"Impact","value":""},{"id":150,"name":"Time of Event (Mountain Time)","value":"04:28:43"},{"id":151,"name":"Denver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1"/>
        <v>start /low /b %USERPROFILE%\Documents\GitHub\eaglep3\Utilities\DownloadLogsFromS3.py --loco 4044 --day 2017-01-12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"%USERPROFILE%\AppData\Local\Temp\OnboardLogs"\RTDC4044\*4044*20170112* | grep -SE "(Enforcement Action)|(\[TIMEOUT)|(CHR.+\|PRM\|1\|D.+(SWITCH|SIGNAL).+UNKNOWN)" - &gt;&gt; 2017-01-12-UncaughtWiMAX.txt</v>
      </c>
    </row>
    <row r="222" spans="1:91" x14ac:dyDescent="0.25">
      <c r="A222" s="34" t="s">
        <v>757</v>
      </c>
      <c r="B222" s="7">
        <v>4022</v>
      </c>
      <c r="C222" s="22" t="s">
        <v>201</v>
      </c>
      <c r="D222" s="22" t="s">
        <v>847</v>
      </c>
      <c r="E222" s="13">
        <v>42748.091435185182</v>
      </c>
      <c r="F222" s="13">
        <v>25568.708333333332</v>
      </c>
      <c r="G222" s="7">
        <v>1</v>
      </c>
      <c r="H222" s="22" t="s">
        <v>848</v>
      </c>
      <c r="I222" s="13">
        <v>25568.708333333332</v>
      </c>
      <c r="J222" s="7">
        <v>0</v>
      </c>
      <c r="K222" s="105" t="str">
        <f t="shared" si="92"/>
        <v>4021/4022</v>
      </c>
      <c r="L222" s="22" t="str">
        <f>VLOOKUP(A222,'Trips&amp;Operators'!$C$1:$G$99999,5,FALSE)</f>
        <v>HILLS DUSTIN</v>
      </c>
      <c r="M222" s="6">
        <f t="shared" si="93"/>
        <v>0</v>
      </c>
      <c r="N222" s="7">
        <f t="shared" si="88"/>
        <v>0</v>
      </c>
      <c r="O222" s="7"/>
      <c r="P222" s="7"/>
      <c r="Q222" s="23"/>
      <c r="R222" s="23"/>
      <c r="S222" s="32">
        <f t="shared" si="84"/>
        <v>1</v>
      </c>
      <c r="T222" s="47" t="str">
        <f t="shared" si="85"/>
        <v>NorthBound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https://search-rtdc-monitor-bjffxe2xuh6vdkpspy63sjmuny.us-east-1.es.amazonaws.com/_plugin/kibana/#/discover/Steve-Slow-Train-Analysis-(2080s-and-2083s)?_g=(refreshInterval:(display:Off,section:0,value:0),time:(from:'2017-01-13 01:11:40-700',mode:absolute,to:'1969-12-31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22" s="49" t="str">
        <f t="shared" si="95"/>
        <v>Y</v>
      </c>
      <c r="X222" s="173">
        <f t="shared" si="87"/>
        <v>0</v>
      </c>
      <c r="Y222" s="64">
        <f t="shared" si="82"/>
        <v>3.7199999999999997E-2</v>
      </c>
      <c r="Z222" s="64">
        <f t="shared" si="83"/>
        <v>3.1848999999999998</v>
      </c>
      <c r="AA222" s="64">
        <f t="shared" si="96"/>
        <v>3.1476999999999999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97"/>
        <v>0315-12</v>
      </c>
      <c r="AE222" s="87" t="str">
        <f t="shared" si="9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2" s="84" t="str">
        <f t="shared" si="99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22" s="1" t="str">
        <f t="shared" si="86"/>
        <v>Other</v>
      </c>
      <c r="AH222" s="88" t="str">
        <f t="shared" si="89"/>
        <v>"%USERPROFILE%\Documents\GitHub\eaglep3\Utilities\RefineRTDCRunTimes.py" --tripid 315-12 --locoid 4022 --swversion DE.1.0.8.0 --startMP 204:372 --initTime 2017-01-13T02:11:40 --startdatetime 1969-12-31T17:00:00 --delay 1 --endMP 300:31849 --enddatetime 1969-12-31T17:00:00 --enforcementcount 0 &gt;&gt;C:\Users\stu\Documents\GitHub\eaglep3-reporting\EC\2017-01-12-refined-times.txt</v>
      </c>
      <c r="AI222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{"issue":{"subject":"","project_id":79,"tracker_id":40,"status_id":1,"priority_id":2,"assigned_to_id":23,"start_date":"1969-12-31","description":"","custom_fields":[{"id":1,"name":"Subdivision","value":"Other"},{"id":4,"name":"Milepost","value":"3.1849"},{"id":17,"name":"Train ID","value":"315-12"},{"id":16,"name":"Locomotive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1"/>
        <v>start /low /b %USERPROFILE%\Documents\GitHub\eaglep3\Utilities\DownloadLogsFromS3.py --loco 4022 --day 1969-12-31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2017-01-12-UncaughtWiMAX.txt</v>
      </c>
    </row>
    <row r="223" spans="1:91" x14ac:dyDescent="0.25">
      <c r="A223" s="34" t="s">
        <v>545</v>
      </c>
      <c r="B223" s="7">
        <v>4007</v>
      </c>
      <c r="C223" s="22" t="s">
        <v>201</v>
      </c>
      <c r="D223" s="22" t="s">
        <v>922</v>
      </c>
      <c r="E223" s="13">
        <v>42747.201203703706</v>
      </c>
      <c r="F223" s="13">
        <v>42747.203182870369</v>
      </c>
      <c r="G223" s="7">
        <v>2</v>
      </c>
      <c r="H223" s="22" t="s">
        <v>887</v>
      </c>
      <c r="I223" s="13">
        <v>42747.209270833337</v>
      </c>
      <c r="J223" s="7">
        <v>0</v>
      </c>
      <c r="K223" s="105" t="str">
        <f t="shared" si="92"/>
        <v>4007/4008</v>
      </c>
      <c r="L223" s="22" t="str">
        <f>VLOOKUP(A223,'Trips&amp;Operators'!$C$1:$G$99999,5,FALSE)</f>
        <v>SHOOK JOHN</v>
      </c>
      <c r="M223" s="6">
        <f t="shared" si="93"/>
        <v>6.0879629672854207E-3</v>
      </c>
      <c r="N223" s="7">
        <f t="shared" si="88"/>
        <v>8.7666666728910059</v>
      </c>
      <c r="O223" s="7"/>
      <c r="P223" s="7"/>
      <c r="Q223" s="23"/>
      <c r="R223" s="23"/>
      <c r="S223" s="32">
        <f t="shared" si="84"/>
        <v>0</v>
      </c>
      <c r="T223" s="47" t="str">
        <f t="shared" si="85"/>
        <v>NorthBound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03:49:44-700',mode:absolute,to:'2017-01-12 06:01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23" s="49" t="str">
        <f t="shared" si="95"/>
        <v>Y</v>
      </c>
      <c r="X223" s="173">
        <f t="shared" si="87"/>
        <v>586</v>
      </c>
      <c r="Y223" s="64">
        <f t="shared" ref="Y223:Y240" si="100">RIGHT(D223,LEN(D223)-4)/10000</f>
        <v>3.0238999999999998</v>
      </c>
      <c r="Z223" s="64">
        <f t="shared" ref="Z223:Z240" si="101">RIGHT(H223,LEN(H223)-4)/10000</f>
        <v>5.8973000000000004</v>
      </c>
      <c r="AA223" s="64">
        <f t="shared" si="96"/>
        <v>2.8734000000000006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97"/>
        <v>0901-12</v>
      </c>
      <c r="AE223" s="87" t="str">
        <f t="shared" si="98"/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AF223" s="84" t="str">
        <f t="shared" si="99"/>
        <v>"C:\Program Files (x86)\AstroGrep\AstroGrep.exe" /spath="%USERPROFILE%\AppData\Local\Temp\OnboardLogs" /stypes="app*4007*20170112*" /stext=" 12:.+((SYSTEM_STATE.+slice.+state.+changed )|(ment ac)|(multiple cpu faults)|(system.+state.+changed )|(\[timeout)|(PRM\|1\|D)|(kpr)|(kdp)|(\|lc)|(penalty))" /e /r /s</v>
      </c>
      <c r="AG223" s="1" t="str">
        <f t="shared" si="86"/>
        <v>Other</v>
      </c>
      <c r="AH223" s="88" t="str">
        <f t="shared" si="89"/>
        <v>"%USERPROFILE%\Documents\GitHub\eaglep3\Utilities\RefineRTDCRunTimes.py" --tripid 901-12 --locoid 4007 --swversion DE.1.0.8.0 --startMP 300:30239 --initTime 2017-01-12T04:49:44 --startdatetime 2017-01-12T04:52:35 --delay 2 --endMP 300:58973 --enddatetime 2017-01-12T05:01:21 --enforcementcount 0 &gt;&gt;C:\Users\stu\Documents\GitHub\eaglep3-reporting\EC\2017-01-12-refined-times.txt</v>
      </c>
      <c r="AI223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{"issue":{"subject":"","project_id":79,"tracker_id":40,"status_id":1,"priority_id":2,"assigned_to_id":23,"start_date":"2017-01-12","description":"","custom_fields":[{"id":1,"name":"Subdivision","value":"Other"},{"id":4,"name":"Milepost","value":"5.8973"},{"id":17,"name":"Train ID","value":"901-12"},{"id":16,"name":"Locomotive ID","value":"4007"},{"id":130,"name":"Impact","value":""},{"id":150,"name":"Time of Event (Mountain Time)","value":"05:01:21"},{"id":151,"name":"Denver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1"/>
        <v>start /low /b %USERPROFILE%\Documents\GitHub\eaglep3\Utilities\DownloadLogsFromS3.py --loco 4007 --day 2017-01-12</v>
      </c>
      <c r="AN223" s="18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2017-01-12-UncaughtWiMAX.txt</v>
      </c>
    </row>
    <row r="224" spans="1:91" x14ac:dyDescent="0.25">
      <c r="A224" s="34" t="s">
        <v>560</v>
      </c>
      <c r="B224" s="7">
        <v>4045</v>
      </c>
      <c r="C224" s="22" t="s">
        <v>201</v>
      </c>
      <c r="D224" s="22" t="s">
        <v>923</v>
      </c>
      <c r="E224" s="13">
        <v>42747.249085648145</v>
      </c>
      <c r="F224" s="13">
        <v>42747.251319444447</v>
      </c>
      <c r="G224" s="7">
        <v>2</v>
      </c>
      <c r="H224" s="22" t="s">
        <v>495</v>
      </c>
      <c r="I224" s="13">
        <v>42747.25712962963</v>
      </c>
      <c r="J224" s="7">
        <v>0</v>
      </c>
      <c r="K224" s="105" t="str">
        <f t="shared" si="92"/>
        <v>4045/4046</v>
      </c>
      <c r="L224" s="22" t="str">
        <f>VLOOKUP(A224,'Trips&amp;Operators'!$C$1:$G$99999,5,FALSE)</f>
        <v>LOZA FIDEL</v>
      </c>
      <c r="M224" s="6">
        <f t="shared" si="93"/>
        <v>5.8101851827814244E-3</v>
      </c>
      <c r="N224" s="7">
        <f t="shared" si="88"/>
        <v>8.3666666632052511</v>
      </c>
      <c r="O224" s="7"/>
      <c r="P224" s="7"/>
      <c r="Q224" s="23"/>
      <c r="R224" s="23"/>
      <c r="S224" s="32">
        <f t="shared" si="84"/>
        <v>1</v>
      </c>
      <c r="T224" s="47" t="str">
        <f t="shared" si="85"/>
        <v>Southbound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04:58:41-700',mode:absolute,to:'2017-01-12 07:10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24" s="49" t="str">
        <f t="shared" si="95"/>
        <v>Y</v>
      </c>
      <c r="X224" s="173">
        <f t="shared" si="87"/>
        <v>1</v>
      </c>
      <c r="Y224" s="64">
        <f t="shared" si="100"/>
        <v>2.3355000000000001</v>
      </c>
      <c r="Z224" s="64">
        <f t="shared" si="101"/>
        <v>6.8500000000000005E-2</v>
      </c>
      <c r="AA224" s="64">
        <f t="shared" si="96"/>
        <v>2.2670000000000003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97"/>
        <v>0902-12</v>
      </c>
      <c r="AE224" s="87" t="str">
        <f t="shared" si="98"/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AF224" s="84" t="str">
        <f t="shared" si="99"/>
        <v>"C:\Program Files (x86)\AstroGrep\AstroGrep.exe" /spath="%USERPROFILE%\AppData\Local\Temp\OnboardLogs" /stypes="app*4045*20170112*" /stext=" 13:.+((SYSTEM_STATE.+slice.+state.+changed )|(ment ac)|(multiple cpu faults)|(system.+state.+changed )|(\[timeout)|(PRM\|1\|D)|(kpr)|(kdp)|(\|lc)|(penalty))" /e /r /s</v>
      </c>
      <c r="AG224" s="1" t="str">
        <f t="shared" si="86"/>
        <v>Other</v>
      </c>
      <c r="AH224" s="88" t="str">
        <f t="shared" si="89"/>
        <v>"%USERPROFILE%\Documents\GitHub\eaglep3\Utilities\RefineRTDCRunTimes.py" --tripid 902-12 --locoid 4045 --swversion DE.1.0.8.0 --startMP 300:23355 --initTime 2017-01-12T05:58:41 --startdatetime 2017-01-12T06:01:54 --delay 2 --endMP 204:685 --enddatetime 2017-01-12T06:10:16 --enforcementcount 0 &gt;&gt;C:\Users\stu\Documents\GitHub\eaglep3-reporting\EC\2017-01-12-refined-times.txt</v>
      </c>
      <c r="AI224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{"issue":{"subject":"","project_id":79,"tracker_id":40,"status_id":1,"priority_id":2,"assigned_to_id":23,"start_date":"2017-01-12","description":"","custom_fields":[{"id":1,"name":"Subdivision","value":"Other"},{"id":4,"name":"Milepost","value":"0.0685"},{"id":17,"name":"Train ID","value":"902-12"},{"id":16,"name":"Locomotive ID","value":"4045"},{"id":130,"name":"Impact","value":""},{"id":150,"name":"Time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1"/>
        <v>start /low /b %USERPROFILE%\Documents\GitHub\eaglep3\Utilities\DownloadLogsFromS3.py --loco 4045 --day 2017-01-12</v>
      </c>
      <c r="AN224" s="18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2017-01-12-UncaughtWiMAX.txt</v>
      </c>
    </row>
    <row r="225" spans="1:40" x14ac:dyDescent="0.25">
      <c r="A225" s="34" t="s">
        <v>589</v>
      </c>
      <c r="B225" s="7">
        <v>4007</v>
      </c>
      <c r="C225" s="22" t="s">
        <v>201</v>
      </c>
      <c r="D225" s="22" t="s">
        <v>782</v>
      </c>
      <c r="E225" s="13">
        <v>42747.353935185187</v>
      </c>
      <c r="F225" s="13">
        <v>25568.708333333332</v>
      </c>
      <c r="G225" s="7">
        <v>1</v>
      </c>
      <c r="H225" s="22" t="s">
        <v>924</v>
      </c>
      <c r="I225" s="13">
        <v>25568.708333333332</v>
      </c>
      <c r="J225" s="7">
        <v>0</v>
      </c>
      <c r="K225" s="105" t="str">
        <f t="shared" si="92"/>
        <v>4007/4008</v>
      </c>
      <c r="L225" s="22" t="str">
        <f>VLOOKUP(A225,'Trips&amp;Operators'!$C$1:$G$99999,5,FALSE)</f>
        <v>SHOOK JOHN</v>
      </c>
      <c r="M225" s="6">
        <f t="shared" si="93"/>
        <v>0</v>
      </c>
      <c r="N225" s="7">
        <f t="shared" si="88"/>
        <v>0</v>
      </c>
      <c r="O225" s="7"/>
      <c r="P225" s="7"/>
      <c r="Q225" s="23"/>
      <c r="R225" s="23"/>
      <c r="S225" s="32">
        <f t="shared" ref="S225:S240" si="102">SUM(U225:U225)/IF(AG225="EC",12,1)</f>
        <v>1</v>
      </c>
      <c r="T225" s="47" t="str">
        <f t="shared" ref="T225:T240" si="103">IF(ISEVEN(LEFT(AD225,4)),"Southbound","NorthBound")</f>
        <v>NorthBound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07:29:40-700',mode:absolute,to:'1969-12-31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25" s="49" t="str">
        <f t="shared" si="95"/>
        <v>Y</v>
      </c>
      <c r="X225" s="173">
        <f t="shared" si="87"/>
        <v>1</v>
      </c>
      <c r="Y225" s="64">
        <f t="shared" si="100"/>
        <v>4.4400000000000002E-2</v>
      </c>
      <c r="Z225" s="64">
        <f t="shared" si="101"/>
        <v>2.5430999999999999</v>
      </c>
      <c r="AA225" s="64">
        <f t="shared" si="96"/>
        <v>2.4986999999999999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97"/>
        <v>0903-12</v>
      </c>
      <c r="AE225" s="87" t="str">
        <f t="shared" si="98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5" s="84" t="str">
        <f t="shared" si="99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5" s="1" t="str">
        <f t="shared" ref="AG225:AG240" si="104">IFERROR(IF(VALUE(LEFT(AD225,2))&lt;=2,"EC",IF(OR(VALUE(LEFT(AD225,2))=8,VALUE(LEFT(AD225,2))=18),"NW","Other")),"Other")</f>
        <v>Other</v>
      </c>
      <c r="AH225" s="88" t="str">
        <f t="shared" si="89"/>
        <v>"%USERPROFILE%\Documents\GitHub\eaglep3\Utilities\RefineRTDCRunTimes.py" --tripid 903-12 --locoid 4007 --swversion DE.1.0.8.0 --startMP 204:444 --initTime 2017-01-12T08:29:40 --startdatetime 1969-12-31T17:00:00 --delay 1 --endMP 300:25431 --enddatetime 1969-12-31T17:00:00 --enforcementcount 0 &gt;&gt;C:\Users\stu\Documents\GitHub\eaglep3-reporting\EC\2017-01-12-refined-times.txt</v>
      </c>
      <c r="AI225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{"issue":{"subject":"","project_id":79,"tracker_id":40,"status_id":1,"priority_id":2,"assigned_to_id":23,"start_date":"1969-12-31","description":"","custom_fields":[{"id":1,"name":"Subdivision","value":"Other"},{"id":4,"name":"Milepost","value":"2.5431"},{"id":17,"name":"Train ID","value":"903-12"},{"id":16,"name":"Locomotive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1"/>
        <v>start /low /b %USERPROFILE%\Documents\GitHub\eaglep3\Utilities\DownloadLogsFromS3.py --loco 4007 --day 1969-12-31</v>
      </c>
      <c r="AN225" s="18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2017-01-12-UncaughtWiMAX.txt</v>
      </c>
    </row>
    <row r="226" spans="1:40" x14ac:dyDescent="0.25">
      <c r="A226" s="34" t="s">
        <v>663</v>
      </c>
      <c r="B226" s="7">
        <v>4008</v>
      </c>
      <c r="C226" s="22" t="s">
        <v>201</v>
      </c>
      <c r="D226" s="22" t="s">
        <v>925</v>
      </c>
      <c r="E226" s="13">
        <v>42747.633981481478</v>
      </c>
      <c r="F226" s="13">
        <v>42747.636284722219</v>
      </c>
      <c r="G226" s="7">
        <v>2</v>
      </c>
      <c r="H226" s="22" t="s">
        <v>467</v>
      </c>
      <c r="I226" s="13">
        <v>42747.644074074073</v>
      </c>
      <c r="J226" s="7">
        <v>0</v>
      </c>
      <c r="K226" s="105" t="str">
        <f t="shared" si="92"/>
        <v>4007/4008</v>
      </c>
      <c r="L226" s="22" t="str">
        <f>VLOOKUP(A226,'Trips&amp;Operators'!$C$1:$G$99999,5,FALSE)</f>
        <v>LOPES KIMBERLY</v>
      </c>
      <c r="M226" s="6">
        <f t="shared" si="93"/>
        <v>7.7893518537166528E-3</v>
      </c>
      <c r="N226" s="7">
        <f t="shared" si="88"/>
        <v>11.21666666935198</v>
      </c>
      <c r="O226" s="7"/>
      <c r="P226" s="7"/>
      <c r="Q226" s="23"/>
      <c r="R226" s="23"/>
      <c r="S226" s="32">
        <f t="shared" si="102"/>
        <v>1</v>
      </c>
      <c r="T226" s="47" t="str">
        <f t="shared" si="103"/>
        <v>Southbound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14:12:56-700',mode:absolute,to:'2017-01-12 16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26" s="49" t="str">
        <f t="shared" si="95"/>
        <v>Y</v>
      </c>
      <c r="X226" s="173">
        <f t="shared" si="87"/>
        <v>1</v>
      </c>
      <c r="Y226" s="64">
        <f t="shared" si="100"/>
        <v>2.3365999999999998</v>
      </c>
      <c r="Z226" s="64">
        <f t="shared" si="101"/>
        <v>7.4999999999999997E-2</v>
      </c>
      <c r="AA226" s="64">
        <f t="shared" si="96"/>
        <v>2.2615999999999996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97"/>
        <v>0904-12</v>
      </c>
      <c r="AE226" s="87" t="str">
        <f t="shared" si="98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226" s="84" t="str">
        <f t="shared" si="99"/>
        <v>"C:\Program Files (x86)\AstroGrep\AstroGrep.exe" /spath="%USERPROFILE%\AppData\Local\Temp\OnboardLogs" /stypes="app*4008*20170112*" /stext=" 22:.+((SYSTEM_STATE.+slice.+state.+changed )|(ment ac)|(multiple cpu faults)|(system.+state.+changed )|(\[timeout)|(PRM\|1\|D)|(kpr)|(kdp)|(\|lc)|(penalty))" /e /r /s</v>
      </c>
      <c r="AG226" s="1" t="str">
        <f t="shared" si="104"/>
        <v>Other</v>
      </c>
      <c r="AH226" s="88" t="str">
        <f t="shared" si="89"/>
        <v>"%USERPROFILE%\Documents\GitHub\eaglep3\Utilities\RefineRTDCRunTimes.py" --tripid 904-12 --locoid 4008 --swversion DE.1.0.8.0 --startMP 300:23366 --initTime 2017-01-12T15:12:56 --startdatetime 2017-01-12T15:16:15 --delay 2 --endMP 204:750 --enddatetime 2017-01-12T15:27:28 --enforcementcount 0 &gt;&gt;C:\Users\stu\Documents\GitHub\eaglep3-reporting\EC\2017-01-12-refined-times.txt</v>
      </c>
      <c r="AI226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{"issue":{"subject":"","project_id":79,"tracker_id":40,"status_id":1,"priority_id":2,"assigned_to_id":23,"start_date":"2017-01-12","description":"","custom_fields":[{"id":1,"name":"Subdivision","value":"Other"},{"id":4,"name":"Milepost","value":"0.075"},{"id":17,"name":"Train ID","value":"904-12"},{"id":16,"name":"Locomotive ID","value":"4008"},{"id":130,"name":"Impact","value":""},{"id":150,"name":"Time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1"/>
        <v>start /low /b %USERPROFILE%\Documents\GitHub\eaglep3\Utilities\DownloadLogsFromS3.py --loco 4008 --day 2017-01-12</v>
      </c>
      <c r="AN226" s="18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2017-01-12-UncaughtWiMAX.txt</v>
      </c>
    </row>
    <row r="227" spans="1:40" x14ac:dyDescent="0.25">
      <c r="A227" s="34" t="s">
        <v>714</v>
      </c>
      <c r="B227" s="7">
        <v>4008</v>
      </c>
      <c r="C227" s="22" t="s">
        <v>201</v>
      </c>
      <c r="D227" s="22" t="s">
        <v>881</v>
      </c>
      <c r="E227" s="13">
        <v>42747.797280092593</v>
      </c>
      <c r="F227" s="13">
        <v>42747.798668981479</v>
      </c>
      <c r="G227" s="7">
        <v>1</v>
      </c>
      <c r="H227" s="22" t="s">
        <v>926</v>
      </c>
      <c r="I227" s="13">
        <v>42747.806608796294</v>
      </c>
      <c r="J227" s="7">
        <v>0</v>
      </c>
      <c r="K227" s="105" t="str">
        <f t="shared" si="92"/>
        <v>4007/4008</v>
      </c>
      <c r="L227" s="22" t="str">
        <f>VLOOKUP(A227,'Trips&amp;Operators'!$C$1:$G$99999,5,FALSE)</f>
        <v>LOPES KIMBERLY</v>
      </c>
      <c r="M227" s="6">
        <f t="shared" si="93"/>
        <v>7.9398148154723458E-3</v>
      </c>
      <c r="N227" s="7">
        <f t="shared" si="88"/>
        <v>11.433333334280178</v>
      </c>
      <c r="O227" s="7"/>
      <c r="P227" s="7"/>
      <c r="Q227" s="23"/>
      <c r="R227" s="23"/>
      <c r="S227" s="32">
        <f t="shared" si="102"/>
        <v>0</v>
      </c>
      <c r="T227" s="47" t="str">
        <f t="shared" si="103"/>
        <v>Southbound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18:08:05-700',mode:absolute,to:'2017-01-12 20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27" s="49" t="str">
        <f t="shared" si="95"/>
        <v>Y</v>
      </c>
      <c r="X227" s="173">
        <f t="shared" si="87"/>
        <v>2</v>
      </c>
      <c r="Y227" s="64">
        <f t="shared" si="100"/>
        <v>5.8662000000000001</v>
      </c>
      <c r="Z227" s="64">
        <f t="shared" si="101"/>
        <v>1.2501</v>
      </c>
      <c r="AA227" s="64">
        <f t="shared" si="96"/>
        <v>4.6161000000000003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97"/>
        <v>0906-12</v>
      </c>
      <c r="AE227" s="87" t="str">
        <f t="shared" si="98"/>
        <v>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 &amp; 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</v>
      </c>
      <c r="AF227" s="84" t="str">
        <f t="shared" si="99"/>
        <v>"C:\Program Files (x86)\AstroGrep\AstroGrep.exe" /spath="%USERPROFILE%\AppData\Local\Temp\OnboardLogs" /stypes="app*4008*20170113*" /stext=" 02:.+((SYSTEM_STATE.+slice.+state.+changed )|(ment ac)|(multiple cpu faults)|(system.+state.+changed )|(\[timeout)|(PRM\|1\|D)|(kpr)|(kdp)|(\|lc)|(penalty))" /e /r /s</v>
      </c>
      <c r="AG227" s="1" t="str">
        <f t="shared" si="104"/>
        <v>Other</v>
      </c>
      <c r="AH227" s="88" t="str">
        <f t="shared" si="89"/>
        <v>"%USERPROFILE%\Documents\GitHub\eaglep3\Utilities\RefineRTDCRunTimes.py" --tripid 906-12 --locoid 4008 --swversion DE.1.0.8.0 --startMP 300:58662 --initTime 2017-01-12T19:08:05 --startdatetime 2017-01-12T19:10:05 --delay 1 --endMP 300:12501 --enddatetime 2017-01-12T19:21:31 --enforcementcount 0 &gt;&gt;C:\Users\stu\Documents\GitHub\eaglep3-reporting\EC\2017-01-12-refined-times.txt</v>
      </c>
      <c r="AI227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{"issue":{"subject":"","project_id":79,"tracker_id":40,"status_id":1,"priority_id":2,"assigned_to_id":23,"start_date":"2017-01-12","description":"","custom_fields":[{"id":1,"name":"Subdivision","value":"Other"},{"id":4,"name":"Milepost","value":"1.2501"},{"id":17,"name":"Train ID","value":"906-12"},{"id":16,"name":"Locomotive ID","value":"4008"},{"id":130,"name":"Impact","value":""},{"id":150,"name":"Time of Event (Mountain Time)","value":"19:21:31"},{"id":151,"name":"Denver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1"/>
        <v>start /low /b %USERPROFILE%\Documents\GitHub\eaglep3\Utilities\DownloadLogsFromS3.py --loco 4008 --day 2017-01-12</v>
      </c>
      <c r="AN227" s="18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2017-01-12-UncaughtWiMAX.txt</v>
      </c>
    </row>
    <row r="228" spans="1:40" x14ac:dyDescent="0.25">
      <c r="A228" s="34" t="s">
        <v>613</v>
      </c>
      <c r="B228" s="7">
        <v>4037</v>
      </c>
      <c r="C228" s="22" t="s">
        <v>201</v>
      </c>
      <c r="D228" s="22" t="s">
        <v>849</v>
      </c>
      <c r="E228" s="13">
        <v>42747.454444444447</v>
      </c>
      <c r="F228" s="13">
        <v>42747.455821759257</v>
      </c>
      <c r="G228" s="7">
        <v>1</v>
      </c>
      <c r="H228" s="22" t="s">
        <v>486</v>
      </c>
      <c r="I228" s="13">
        <v>42747.461793981478</v>
      </c>
      <c r="J228" s="7">
        <v>0</v>
      </c>
      <c r="K228" s="105" t="str">
        <f t="shared" si="92"/>
        <v>4037/4038</v>
      </c>
      <c r="L228" s="22" t="str">
        <f>VLOOKUP(A228,'Trips&amp;Operators'!$C$1:$G$99999,5,FALSE)</f>
        <v>SMITH MICHAEL</v>
      </c>
      <c r="M228" s="6">
        <f t="shared" si="93"/>
        <v>5.9722222213167697E-3</v>
      </c>
      <c r="N228" s="7">
        <f t="shared" si="88"/>
        <v>8.5999999986961484</v>
      </c>
      <c r="O228" s="7"/>
      <c r="P228" s="7"/>
      <c r="Q228" s="23"/>
      <c r="R228" s="23"/>
      <c r="S228" s="32">
        <f t="shared" si="102"/>
        <v>0</v>
      </c>
      <c r="T228" s="47" t="e">
        <f t="shared" si="103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09:54:24-700',mode:absolute,to:'2017-01-12 12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228" s="49" t="str">
        <f t="shared" si="95"/>
        <v>Y</v>
      </c>
      <c r="X228" s="173" t="e">
        <f t="shared" si="87"/>
        <v>#VALUE!</v>
      </c>
      <c r="Y228" s="64">
        <f t="shared" si="100"/>
        <v>2.1755</v>
      </c>
      <c r="Z228" s="64">
        <f t="shared" si="101"/>
        <v>1.5299999999999999E-2</v>
      </c>
      <c r="AA228" s="64">
        <f t="shared" si="96"/>
        <v>2.1602000000000001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97"/>
        <v>50-12</v>
      </c>
      <c r="AE228" s="87" t="str">
        <f t="shared" si="98"/>
        <v>aws s3 cp s3://rtdc.mdm.uploadarchive.raw/RTDC4037/ "%USERPROFILE%\AppData\Local\Temp\OnboardLogs"\RTDC4037\2017-01-12 --exclude "*" --recursive --include "*20170112*" &amp; "%USERPROFILE%\Documents\GitHub\mrs-test-scripts\Headless Mode &amp; Sideloading\WalkAndUnGZ.bat" "%USERPROFILE%\AppData\Local\Temp\OnboardLogs"\RTDC4037\2017-01-12 &amp; 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</v>
      </c>
      <c r="AF228" s="84" t="str">
        <f t="shared" si="99"/>
        <v>"C:\Program Files (x86)\AstroGrep\AstroGrep.exe" /spath="%USERPROFILE%\AppData\Local\Temp\OnboardLogs" /stypes="app*4037*20170112*" /stext=" 18:.+((SYSTEM_STATE.+slice.+state.+changed )|(ment ac)|(multiple cpu faults)|(system.+state.+changed )|(\[timeout)|(PRM\|1\|D)|(kpr)|(kdp)|(\|lc)|(penalty))" /e /r /s</v>
      </c>
      <c r="AG228" s="1" t="str">
        <f t="shared" si="104"/>
        <v>Other</v>
      </c>
      <c r="AH228" s="88" t="str">
        <f t="shared" si="89"/>
        <v>"%USERPROFILE%\Documents\GitHub\eaglep3\Utilities\RefineRTDCRunTimes.py" --tripid 50-12 --locoid 4037 --swversion DE.1.0.8.0 --startMP 300:21755 --initTime 2017-01-12T10:54:24 --startdatetime 2017-01-12T10:56:23 --delay 1 --endMP 204:153 --enddatetime 2017-01-12T11:04:59 --enforcementcount 0 &gt;&gt;C:\Users\stu\Documents\GitHub\eaglep3-reporting\EC\2017-01-12-refined-times.txt</v>
      </c>
      <c r="AI228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{"issue":{"subject":"","project_id":79,"tracker_id":40,"status_id":1,"priority_id":2,"assigned_to_id":23,"start_date":"2017-01-12","description":"","custom_fields":[{"id":1,"name":"Subdivision","value":"Other"},{"id":4,"name":"Milepost","value":"0.0153"},{"id":17,"name":"Train ID","value":"50-12"},{"id":16,"name":"Locomotive ID","value":"4037"},{"id":130,"name":"Impact","value":""},{"id":150,"name":"Time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1"/>
        <v>start /low /b %USERPROFILE%\Documents\GitHub\eaglep3\Utilities\DownloadLogsFromS3.py --loco 4037 --day 2017-01-12</v>
      </c>
      <c r="AN228" s="18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"%USERPROFILE%\AppData\Local\Temp\OnboardLogs"\RTDC4037\*4037*20170112* | grep -SE "(Enforcement Action)|(\[TIMEOUT)|(CHR.+\|PRM\|1\|D.+(SWITCH|SIGNAL).+UNKNOWN)" - &gt;&gt; 2017-01-12-UncaughtWiMAX.txt</v>
      </c>
    </row>
    <row r="229" spans="1:40" x14ac:dyDescent="0.25">
      <c r="A229" s="34" t="s">
        <v>622</v>
      </c>
      <c r="B229" s="7">
        <v>4052</v>
      </c>
      <c r="C229" s="22" t="s">
        <v>201</v>
      </c>
      <c r="D229" s="22" t="s">
        <v>850</v>
      </c>
      <c r="E229" s="13">
        <v>42747.485231481478</v>
      </c>
      <c r="F229" s="13">
        <v>42747.486817129633</v>
      </c>
      <c r="G229" s="7">
        <v>1</v>
      </c>
      <c r="H229" s="22" t="s">
        <v>851</v>
      </c>
      <c r="I229" s="13">
        <v>42747.492812500001</v>
      </c>
      <c r="J229" s="7">
        <v>0</v>
      </c>
      <c r="K229" s="105" t="str">
        <f t="shared" si="92"/>
        <v>4051/4052</v>
      </c>
      <c r="L229" s="22" t="str">
        <f>VLOOKUP(A229,'Trips&amp;Operators'!$C$1:$G$99999,5,FALSE)</f>
        <v>YANG JAN</v>
      </c>
      <c r="M229" s="6">
        <f t="shared" si="93"/>
        <v>5.9953703676001169E-3</v>
      </c>
      <c r="N229" s="7">
        <f t="shared" si="88"/>
        <v>8.6333333293441683</v>
      </c>
      <c r="O229" s="7"/>
      <c r="P229" s="7"/>
      <c r="Q229" s="23"/>
      <c r="R229" s="23"/>
      <c r="S229" s="32">
        <f t="shared" si="102"/>
        <v>0</v>
      </c>
      <c r="T229" s="47" t="e">
        <f t="shared" si="103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10:38:44-700',mode:absolute,to:'2017-01-12 12:49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29" s="49" t="str">
        <f t="shared" si="95"/>
        <v>Y</v>
      </c>
      <c r="X229" s="173" t="e">
        <f t="shared" si="87"/>
        <v>#VALUE!</v>
      </c>
      <c r="Y229" s="64">
        <f t="shared" si="100"/>
        <v>2.1852</v>
      </c>
      <c r="Z229" s="64">
        <f t="shared" si="101"/>
        <v>9.7500000000000003E-2</v>
      </c>
      <c r="AA229" s="64">
        <f t="shared" si="96"/>
        <v>2.0876999999999999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97"/>
        <v>52-12</v>
      </c>
      <c r="AE229" s="87" t="str">
        <f t="shared" si="98"/>
        <v>aws s3 cp s3://rtdc.mdm.uploadarchive.raw/RTDC4052/ "%USERPROFILE%\AppData\Local\Temp\OnboardLogs"\RTDC4052\2017-01-12 --exclude "*" --recursive --include "*20170112*" &amp; "%USERPROFILE%\Documents\GitHub\mrs-test-scripts\Headless Mode &amp; Sideloading\WalkAndUnGZ.bat" "%USERPROFILE%\AppData\Local\Temp\OnboardLogs"\RTDC4052\2017-01-12 &amp; aws s3 cp s3://rtdc.mdm.uploadarchive.raw/RTDC4052/ "%USERPROFILE%\AppData\Local\Temp\OnboardLogs"\RTDC4052\2017-01-13 --exclude "*" --recursive --include "*20170113*" &amp; "%USERPROFILE%\Documents\GitHub\mrs-test-scripts\Headless Mode &amp; Sideloading\WalkAndUnGZ.bat" "%USERPROFILE%\AppData\Local\Temp\OnboardLogs"\RTDC4052\2017-01-13</v>
      </c>
      <c r="AF229" s="84" t="str">
        <f t="shared" si="99"/>
        <v>"C:\Program Files (x86)\AstroGrep\AstroGrep.exe" /spath="%USERPROFILE%\AppData\Local\Temp\OnboardLogs" /stypes="app*4052*20170112*" /stext=" 18:.+((SYSTEM_STATE.+slice.+state.+changed )|(ment ac)|(multiple cpu faults)|(system.+state.+changed )|(\[timeout)|(PRM\|1\|D)|(kpr)|(kdp)|(\|lc)|(penalty))" /e /r /s</v>
      </c>
      <c r="AG229" s="1" t="str">
        <f t="shared" si="104"/>
        <v>Other</v>
      </c>
      <c r="AH229" s="88" t="str">
        <f t="shared" si="89"/>
        <v>"%USERPROFILE%\Documents\GitHub\eaglep3\Utilities\RefineRTDCRunTimes.py" --tripid 52-12 --locoid 4052 --swversion DE.1.0.8.0 --startMP 300:21852 --initTime 2017-01-12T11:38:44 --startdatetime 2017-01-12T11:41:01 --delay 1 --endMP 204:975 --enddatetime 2017-01-12T11:49:39 --enforcementcount 0 &gt;&gt;C:\Users\stu\Documents\GitHub\eaglep3-reporting\EC\2017-01-12-refined-times.txt</v>
      </c>
      <c r="AI229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{"issue":{"subject":"","project_id":79,"tracker_id":40,"status_id":1,"priority_id":2,"assigned_to_id":23,"start_date":"2017-01-12","description":"","custom_fields":[{"id":1,"name":"Subdivision","value":"Other"},{"id":4,"name":"Milepost","value":"0.0975"},{"id":17,"name":"Train ID","value":"52-12"},{"id":16,"name":"Locomotive ID","value":"4052"},{"id":130,"name":"Impact","value":""},{"id":150,"name":"Time of Event (Mountain Time)","value":"11:49:39"},{"id":151,"name":"Denver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1"/>
        <v>start /low /b %USERPROFILE%\Documents\GitHub\eaglep3\Utilities\DownloadLogsFromS3.py --loco 4052 --day 2017-01-12</v>
      </c>
      <c r="AN229" s="18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"%USERPROFILE%\AppData\Local\Temp\OnboardLogs"\RTDC4052\*4052*20170112* | grep -SE "(Enforcement Action)|(\[TIMEOUT)|(CHR.+\|PRM\|1\|D.+(SWITCH|SIGNAL).+UNKNOWN)" - &gt;&gt; 2017-01-12-UncaughtWiMAX.txt</v>
      </c>
    </row>
    <row r="230" spans="1:40" x14ac:dyDescent="0.25">
      <c r="A230" s="34" t="s">
        <v>631</v>
      </c>
      <c r="B230" s="7">
        <v>4051</v>
      </c>
      <c r="C230" s="22" t="s">
        <v>201</v>
      </c>
      <c r="D230" s="22" t="s">
        <v>852</v>
      </c>
      <c r="E230" s="13">
        <v>42747.50340277778</v>
      </c>
      <c r="F230" s="13">
        <v>25568.708333333332</v>
      </c>
      <c r="G230" s="7">
        <v>1</v>
      </c>
      <c r="H230" s="22" t="s">
        <v>853</v>
      </c>
      <c r="I230" s="13">
        <v>25568.708333333332</v>
      </c>
      <c r="J230" s="7">
        <v>0</v>
      </c>
      <c r="K230" s="105" t="str">
        <f t="shared" si="92"/>
        <v>4051/4052</v>
      </c>
      <c r="L230" s="22" t="str">
        <f>VLOOKUP(A230,'Trips&amp;Operators'!$C$1:$G$99999,5,FALSE)</f>
        <v>YORK EDGAR</v>
      </c>
      <c r="M230" s="6">
        <f t="shared" si="93"/>
        <v>0</v>
      </c>
      <c r="N230" s="7">
        <f t="shared" si="88"/>
        <v>0</v>
      </c>
      <c r="O230" s="7"/>
      <c r="P230" s="7"/>
      <c r="Q230" s="23"/>
      <c r="R230" s="23"/>
      <c r="S230" s="32">
        <f t="shared" si="102"/>
        <v>0</v>
      </c>
      <c r="T230" s="47" t="e">
        <f t="shared" si="103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11:04:54-700',mode:absolute,to:'1969-12-31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30" s="49" t="str">
        <f t="shared" si="95"/>
        <v>Y</v>
      </c>
      <c r="X230" s="173" t="e">
        <f t="shared" si="87"/>
        <v>#VALUE!</v>
      </c>
      <c r="Y230" s="64">
        <f t="shared" si="100"/>
        <v>0.1283</v>
      </c>
      <c r="Z230" s="64">
        <f t="shared" si="101"/>
        <v>2.4243999999999999</v>
      </c>
      <c r="AA230" s="64">
        <f t="shared" si="96"/>
        <v>2.2961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97"/>
        <v>53-12</v>
      </c>
      <c r="AE230" s="87" t="str">
        <f t="shared" si="98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30" s="84" t="str">
        <f t="shared" si="99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30" s="1" t="str">
        <f t="shared" si="104"/>
        <v>Other</v>
      </c>
      <c r="AH230" s="88" t="str">
        <f t="shared" si="89"/>
        <v>"%USERPROFILE%\Documents\GitHub\eaglep3\Utilities\RefineRTDCRunTimes.py" --tripid 53-12 --locoid 4051 --swversion DE.1.0.8.0 --startMP 204:1283 --initTime 2017-01-12T12:04:54 --startdatetime 1969-12-31T17:00:00 --delay 1 --endMP 300:24244 --enddatetime 1969-12-31T17:00:00 --enforcementcount 0 &gt;&gt;C:\Users\stu\Documents\GitHub\eaglep3-reporting\EC\2017-01-12-refined-times.txt</v>
      </c>
      <c r="AI230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{"issue":{"subject":"","project_id":79,"tracker_id":40,"status_id":1,"priority_id":2,"assigned_to_id":23,"start_date":"1969-12-31","description":"","custom_fields":[{"id":1,"name":"Subdivision","value":"Other"},{"id":4,"name":"Milepost","value":"2.4244"},{"id":17,"name":"Train ID","value":"53-12"},{"id":16,"name":"Locomotive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1"/>
        <v>start /low /b %USERPROFILE%\Documents\GitHub\eaglep3\Utilities\DownloadLogsFromS3.py --loco 4051 --day 1969-12-31</v>
      </c>
      <c r="AN230" s="18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2017-01-12-UncaughtWiMAX.txt</v>
      </c>
    </row>
    <row r="231" spans="1:40" x14ac:dyDescent="0.25">
      <c r="A231" s="34" t="s">
        <v>686</v>
      </c>
      <c r="B231" s="7">
        <v>4052</v>
      </c>
      <c r="C231" s="22" t="s">
        <v>201</v>
      </c>
      <c r="D231" s="22" t="s">
        <v>854</v>
      </c>
      <c r="E231" s="13">
        <v>42747.717291666668</v>
      </c>
      <c r="F231" s="13">
        <v>42747.719444444447</v>
      </c>
      <c r="G231" s="7">
        <v>2</v>
      </c>
      <c r="H231" s="22" t="s">
        <v>855</v>
      </c>
      <c r="I231" s="13">
        <v>42747.725868055553</v>
      </c>
      <c r="J231" s="7">
        <v>0</v>
      </c>
      <c r="K231" s="105" t="str">
        <f t="shared" si="92"/>
        <v>4051/4052</v>
      </c>
      <c r="L231" s="22" t="str">
        <f>VLOOKUP(A231,'Trips&amp;Operators'!$C$1:$G$99999,5,FALSE)</f>
        <v>NEWELL JAMES</v>
      </c>
      <c r="M231" s="6">
        <f t="shared" si="93"/>
        <v>6.4236111065838486E-3</v>
      </c>
      <c r="N231" s="7">
        <f t="shared" si="88"/>
        <v>9.249999993480742</v>
      </c>
      <c r="O231" s="7"/>
      <c r="P231" s="7"/>
      <c r="Q231" s="23"/>
      <c r="R231" s="23"/>
      <c r="S231" s="32">
        <f t="shared" si="102"/>
        <v>0</v>
      </c>
      <c r="T231" s="47" t="e">
        <f t="shared" si="103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16:12:54-700',mode:absolute,to:'2017-01-12 18:25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31" s="49" t="str">
        <f t="shared" si="95"/>
        <v>Y</v>
      </c>
      <c r="X231" s="173" t="e">
        <f t="shared" si="87"/>
        <v>#VALUE!</v>
      </c>
      <c r="Y231" s="64">
        <f t="shared" si="100"/>
        <v>2.3067000000000002</v>
      </c>
      <c r="Z231" s="64">
        <f t="shared" si="101"/>
        <v>8.72E-2</v>
      </c>
      <c r="AA231" s="64">
        <f t="shared" si="96"/>
        <v>2.2195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97"/>
        <v>54-12</v>
      </c>
      <c r="AE231" s="87" t="str">
        <f t="shared" si="98"/>
        <v>aws s3 cp s3://rtdc.mdm.uploadarchive.raw/RTDC4052/ "%USERPROFILE%\AppData\Local\Temp\OnboardLogs"\RTDC4052\2017-01-12 --exclude "*" --recursive --include "*20170112*" &amp; "%USERPROFILE%\Documents\GitHub\mrs-test-scripts\Headless Mode &amp; Sideloading\WalkAndUnGZ.bat" "%USERPROFILE%\AppData\Local\Temp\OnboardLogs"\RTDC4052\2017-01-12 &amp; aws s3 cp s3://rtdc.mdm.uploadarchive.raw/RTDC4052/ "%USERPROFILE%\AppData\Local\Temp\OnboardLogs"\RTDC4052\2017-01-13 --exclude "*" --recursive --include "*20170113*" &amp; "%USERPROFILE%\Documents\GitHub\mrs-test-scripts\Headless Mode &amp; Sideloading\WalkAndUnGZ.bat" "%USERPROFILE%\AppData\Local\Temp\OnboardLogs"\RTDC4052\2017-01-13</v>
      </c>
      <c r="AF231" s="84" t="str">
        <f t="shared" si="99"/>
        <v>"C:\Program Files (x86)\AstroGrep\AstroGrep.exe" /spath="%USERPROFILE%\AppData\Local\Temp\OnboardLogs" /stypes="app*4052*20170113*" /stext=" 00:.+((SYSTEM_STATE.+slice.+state.+changed )|(ment ac)|(multiple cpu faults)|(system.+state.+changed )|(\[timeout)|(PRM\|1\|D)|(kpr)|(kdp)|(\|lc)|(penalty))" /e /r /s</v>
      </c>
      <c r="AG231" s="1" t="str">
        <f t="shared" si="104"/>
        <v>Other</v>
      </c>
      <c r="AH231" s="88" t="str">
        <f t="shared" si="89"/>
        <v>"%USERPROFILE%\Documents\GitHub\eaglep3\Utilities\RefineRTDCRunTimes.py" --tripid 54-12 --locoid 4052 --swversion DE.1.0.8.0 --startMP 300:23067 --initTime 2017-01-12T17:12:54 --startdatetime 2017-01-12T17:16:00 --delay 2 --endMP 204:872 --enddatetime 2017-01-12T17:25:15 --enforcementcount 0 &gt;&gt;C:\Users\stu\Documents\GitHub\eaglep3-reporting\EC\2017-01-12-refined-times.txt</v>
      </c>
      <c r="AI231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{"issue":{"subject":"","project_id":79,"tracker_id":40,"status_id":1,"priority_id":2,"assigned_to_id":23,"start_date":"2017-01-12","description":"","custom_fields":[{"id":1,"name":"Subdivision","value":"Other"},{"id":4,"name":"Milepost","value":"0.0872"},{"id":17,"name":"Train ID","value":"54-12"},{"id":16,"name":"Locomotive ID","value":"4052"},{"id":130,"name":"Impact","value":""},{"id":150,"name":"Time of Event (Mountain Time)","value":"17:25:15"},{"id":151,"name":"Denver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91"/>
        <v>start /low /b %USERPROFILE%\Documents\GitHub\eaglep3\Utilities\DownloadLogsFromS3.py --loco 4052 --day 2017-01-12</v>
      </c>
      <c r="AN231" s="18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"%USERPROFILE%\AppData\Local\Temp\OnboardLogs"\RTDC4052\*4052*20170113* | grep -SE "(Enforcement Action)|(\[TIMEOUT)|(CHR.+\|PRM\|1\|D.+(SWITCH|SIGNAL).+UNKNOWN)" - &gt;&gt; 2017-01-12-UncaughtWiMAX.txt</v>
      </c>
    </row>
    <row r="232" spans="1:40" x14ac:dyDescent="0.25">
      <c r="A232" s="34" t="s">
        <v>700</v>
      </c>
      <c r="B232" s="7">
        <v>4051</v>
      </c>
      <c r="C232" s="22" t="s">
        <v>201</v>
      </c>
      <c r="D232" s="22" t="s">
        <v>856</v>
      </c>
      <c r="E232" s="13">
        <v>42747.753506944442</v>
      </c>
      <c r="F232" s="13">
        <v>42747.760740740741</v>
      </c>
      <c r="G232" s="7">
        <v>1</v>
      </c>
      <c r="H232" s="22" t="s">
        <v>857</v>
      </c>
      <c r="I232" s="13">
        <v>42747.772731481484</v>
      </c>
      <c r="J232" s="7">
        <v>0</v>
      </c>
      <c r="K232" s="105" t="str">
        <f t="shared" si="92"/>
        <v>4051/4052</v>
      </c>
      <c r="L232" s="22" t="str">
        <f>VLOOKUP(A232,'Trips&amp;Operators'!$C$1:$G$99999,5,FALSE)</f>
        <v>CLARK KATHLEEN</v>
      </c>
      <c r="M232" s="6">
        <f t="shared" si="93"/>
        <v>1.1990740742476191E-2</v>
      </c>
      <c r="N232" s="7">
        <f t="shared" si="88"/>
        <v>17.266666669165716</v>
      </c>
      <c r="O232" s="7"/>
      <c r="P232" s="7"/>
      <c r="Q232" s="23"/>
      <c r="R232" s="23"/>
      <c r="S232" s="32">
        <f t="shared" si="102"/>
        <v>0</v>
      </c>
      <c r="T232" s="47" t="e">
        <f t="shared" si="103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17:05:03-700',mode:absolute,to:'2017-01-12 19:32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32" s="49" t="str">
        <f t="shared" si="95"/>
        <v>Y</v>
      </c>
      <c r="X232" s="173" t="e">
        <f t="shared" si="87"/>
        <v>#VALUE!</v>
      </c>
      <c r="Y232" s="64">
        <f t="shared" si="100"/>
        <v>0.1188</v>
      </c>
      <c r="Z232" s="64">
        <f t="shared" si="101"/>
        <v>3.1722000000000001</v>
      </c>
      <c r="AA232" s="64">
        <f t="shared" si="96"/>
        <v>3.0534000000000003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97"/>
        <v>55-12</v>
      </c>
      <c r="AE232" s="87" t="str">
        <f t="shared" si="98"/>
        <v>aws s3 cp s3://rtdc.mdm.uploadarchive.raw/RTDC4051/ "%USERPROFILE%\AppData\Local\Temp\OnboardLogs"\RTDC4051\2017-01-12 --exclude "*" --recursive --include "*20170112*" &amp; "%USERPROFILE%\Documents\GitHub\mrs-test-scripts\Headless Mode &amp; Sideloading\WalkAndUnGZ.bat" "%USERPROFILE%\AppData\Local\Temp\OnboardLogs"\RTDC4051\2017-01-12 &amp; aws s3 cp s3://rtdc.mdm.uploadarchive.raw/RTDC4051/ "%USERPROFILE%\AppData\Local\Temp\OnboardLogs"\RTDC4051\2017-01-13 --exclude "*" --recursive --include "*20170113*" &amp; "%USERPROFILE%\Documents\GitHub\mrs-test-scripts\Headless Mode &amp; Sideloading\WalkAndUnGZ.bat" "%USERPROFILE%\AppData\Local\Temp\OnboardLogs"\RTDC4051\2017-01-13</v>
      </c>
      <c r="AF232" s="84" t="str">
        <f t="shared" si="99"/>
        <v>"C:\Program Files (x86)\AstroGrep\AstroGrep.exe" /spath="%USERPROFILE%\AppData\Local\Temp\OnboardLogs" /stypes="app*4051*20170113*" /stext=" 01:.+((SYSTEM_STATE.+slice.+state.+changed )|(ment ac)|(multiple cpu faults)|(system.+state.+changed )|(\[timeout)|(PRM\|1\|D)|(kpr)|(kdp)|(\|lc)|(penalty))" /e /r /s</v>
      </c>
      <c r="AG232" s="1" t="str">
        <f t="shared" si="104"/>
        <v>Other</v>
      </c>
      <c r="AH232" s="88" t="str">
        <f t="shared" si="89"/>
        <v>"%USERPROFILE%\Documents\GitHub\eaglep3\Utilities\RefineRTDCRunTimes.py" --tripid 55-12 --locoid 4051 --swversion DE.1.0.8.0 --startMP 204:1188 --initTime 2017-01-12T18:05:03 --startdatetime 2017-01-12T18:15:28 --delay 1 --endMP 300:31722 --enddatetime 2017-01-12T18:32:44 --enforcementcount 0 &gt;&gt;C:\Users\stu\Documents\GitHub\eaglep3-reporting\EC\2017-01-12-refined-times.txt</v>
      </c>
      <c r="AI232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{"issue":{"subject":"","project_id":79,"tracker_id":40,"status_id":1,"priority_id":2,"assigned_to_id":23,"start_date":"2017-01-12","description":"","custom_fields":[{"id":1,"name":"Subdivision","value":"Other"},{"id":4,"name":"Milepost","value":"3.1722"},{"id":17,"name":"Train ID","value":"55-12"},{"id":16,"name":"Locomotive ID","value":"4051"},{"id":130,"name":"Impact","value":""},{"id":150,"name":"Time of Event (Mountain Time)","value":"18:32:44"},{"id":151,"name":"Denver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91"/>
        <v>start /low /b %USERPROFILE%\Documents\GitHub\eaglep3\Utilities\DownloadLogsFromS3.py --loco 4051 --day 2017-01-12</v>
      </c>
      <c r="AN232" s="189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"%USERPROFILE%\AppData\Local\Temp\OnboardLogs"\RTDC4051\*4051*20170113* | grep -SE "(Enforcement Action)|(\[TIMEOUT)|(CHR.+\|PRM\|1\|D.+(SWITCH|SIGNAL).+UNKNOWN)" - &gt;&gt; 2017-01-12-UncaughtWiMAX.txt</v>
      </c>
    </row>
    <row r="233" spans="1:40" x14ac:dyDescent="0.25">
      <c r="A233" s="34" t="s">
        <v>459</v>
      </c>
      <c r="B233" s="7">
        <v>4025</v>
      </c>
      <c r="C233" s="22" t="s">
        <v>201</v>
      </c>
      <c r="D233" s="22" t="s">
        <v>858</v>
      </c>
      <c r="E233" s="13">
        <v>42747.080868055556</v>
      </c>
      <c r="F233" s="13">
        <v>42747.113275462965</v>
      </c>
      <c r="G233" s="7">
        <v>1</v>
      </c>
      <c r="H233" s="22" t="s">
        <v>859</v>
      </c>
      <c r="I233" s="13">
        <v>42747.128854166665</v>
      </c>
      <c r="J233" s="7">
        <v>0</v>
      </c>
      <c r="K233" s="105" t="str">
        <f t="shared" si="92"/>
        <v>4025/4026</v>
      </c>
      <c r="L233" s="22" t="str">
        <f>VLOOKUP(A233,'Trips&amp;Operators'!$C$1:$G$99999,5,FALSE)</f>
        <v>LALONDE GREGORY</v>
      </c>
      <c r="M233" s="6">
        <f t="shared" si="93"/>
        <v>1.5578703700157348E-2</v>
      </c>
      <c r="N233" s="7">
        <f t="shared" si="88"/>
        <v>22.433333328226581</v>
      </c>
      <c r="O233" s="7"/>
      <c r="P233" s="7"/>
      <c r="Q233" s="23"/>
      <c r="R233" s="23"/>
      <c r="S233" s="32">
        <f t="shared" si="102"/>
        <v>0</v>
      </c>
      <c r="T233" s="47" t="e">
        <f t="shared" si="103"/>
        <v>#VALUE!</v>
      </c>
      <c r="U233" s="16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00:56:27-700',mode:absolute,to:'2017-01-12 04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233" s="49" t="str">
        <f t="shared" si="95"/>
        <v>N</v>
      </c>
      <c r="X233" s="173" t="e">
        <f t="shared" si="87"/>
        <v>#VALUE!</v>
      </c>
      <c r="Y233" s="64">
        <f t="shared" si="100"/>
        <v>1.0146999999999999</v>
      </c>
      <c r="Z233" s="64">
        <f t="shared" si="101"/>
        <v>12.844200000000001</v>
      </c>
      <c r="AA233" s="64">
        <f t="shared" si="96"/>
        <v>11.829500000000001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97"/>
        <v>57-11</v>
      </c>
      <c r="AE233" s="87" t="str">
        <f t="shared" si="98"/>
        <v>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 &amp; 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</v>
      </c>
      <c r="AF233" s="84" t="str">
        <f t="shared" si="99"/>
        <v>"C:\Program Files (x86)\AstroGrep\AstroGrep.exe" /spath="%USERPROFILE%\AppData\Local\Temp\OnboardLogs" /stypes="app*4025*20170112*" /stext=" 10:.+((SYSTEM_STATE.+slice.+state.+changed )|(ment ac)|(multiple cpu faults)|(system.+state.+changed )|(\[timeout)|(PRM\|1\|D)|(kpr)|(kdp)|(\|lc)|(penalty))" /e /r /s</v>
      </c>
      <c r="AG233" s="1" t="str">
        <f t="shared" si="104"/>
        <v>Other</v>
      </c>
      <c r="AH233" s="88" t="str">
        <f t="shared" si="89"/>
        <v>"%USERPROFILE%\Documents\GitHub\eaglep3\Utilities\RefineRTDCRunTimes.py" --tripid 57-11 --locoid 4025 --swversion DE.1.0.8.0 --startMP 204:10147 --initTime 2017-01-12T01:56:27 --startdatetime 2017-01-12T02:43:07 --delay 1 --endMP 204:128442 --enddatetime 2017-01-12T03:05:33 --enforcementcount 0 &gt;&gt;C:\Users\stu\Documents\GitHub\eaglep3-reporting\EC\2017-01-12-refined-times.txt</v>
      </c>
      <c r="AI233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{"issue":{"subject":"","project_id":79,"tracker_id":40,"status_id":1,"priority_id":2,"assigned_to_id":23,"start_date":"2017-01-12","description":"","custom_fields":[{"id":1,"name":"Subdivision","value":"Other"},{"id":4,"name":"Milepost","value":"12.8442"},{"id":17,"name":"Train ID","value":"57-11"},{"id":16,"name":"Locomotive ID","value":"4025"},{"id":130,"name":"Impact","value":""},{"id":150,"name":"Time of Event (Mountain Time)","value":"03:05:33"},{"id":151,"name":"Denver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80" t="str">
        <f t="shared" si="91"/>
        <v>start /low /b %USERPROFILE%\Documents\GitHub\eaglep3\Utilities\DownloadLogsFromS3.py --loco 4025 --day 2017-01-12</v>
      </c>
      <c r="AN233" s="189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"%USERPROFILE%\AppData\Local\Temp\OnboardLogs"\RTDC4025\*4025*20170112* | grep -SE "(Enforcement Action)|(\[TIMEOUT)|(CHR.+\|PRM\|1\|D.+(SWITCH|SIGNAL).+UNKNOWN)" - &gt;&gt; 2017-01-12-UncaughtWiMAX.txt</v>
      </c>
    </row>
    <row r="234" spans="1:40" x14ac:dyDescent="0.25">
      <c r="A234" s="34" t="s">
        <v>461</v>
      </c>
      <c r="B234" s="7">
        <v>4017</v>
      </c>
      <c r="C234" s="22" t="s">
        <v>201</v>
      </c>
      <c r="D234" s="22" t="s">
        <v>860</v>
      </c>
      <c r="E234" s="13">
        <v>42747.080740740741</v>
      </c>
      <c r="F234" s="13">
        <v>42747.095648148148</v>
      </c>
      <c r="G234" s="7">
        <v>1</v>
      </c>
      <c r="H234" s="22" t="s">
        <v>492</v>
      </c>
      <c r="I234" s="13">
        <v>42747.11042824074</v>
      </c>
      <c r="J234" s="7">
        <v>0</v>
      </c>
      <c r="K234" s="105" t="str">
        <f t="shared" si="92"/>
        <v>4017/4018</v>
      </c>
      <c r="L234" s="22" t="str">
        <f>VLOOKUP(A234,'Trips&amp;Operators'!$C$1:$G$99999,5,FALSE)</f>
        <v>NELSON ARIANE</v>
      </c>
      <c r="M234" s="6">
        <f t="shared" si="93"/>
        <v>1.4780092591536231E-2</v>
      </c>
      <c r="N234" s="7">
        <f t="shared" si="88"/>
        <v>21.283333331812173</v>
      </c>
      <c r="O234" s="7"/>
      <c r="P234" s="7"/>
      <c r="Q234" s="23"/>
      <c r="R234" s="23"/>
      <c r="S234" s="32">
        <f t="shared" si="102"/>
        <v>0</v>
      </c>
      <c r="T234" s="47" t="e">
        <f t="shared" si="103"/>
        <v>#VALUE!</v>
      </c>
      <c r="U234" s="16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00:56:16-700',mode:absolute,to:'2017-01-12 03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234" s="49" t="str">
        <f t="shared" si="95"/>
        <v>N</v>
      </c>
      <c r="X234" s="173" t="e">
        <f t="shared" si="87"/>
        <v>#VALUE!</v>
      </c>
      <c r="Y234" s="64">
        <f t="shared" si="100"/>
        <v>7.0217000000000001</v>
      </c>
      <c r="Z234" s="64">
        <f t="shared" si="101"/>
        <v>9.5799999999999996E-2</v>
      </c>
      <c r="AA234" s="64">
        <f t="shared" si="96"/>
        <v>6.9259000000000004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97"/>
        <v>62-11</v>
      </c>
      <c r="AE234" s="87" t="str">
        <f t="shared" si="98"/>
        <v>aws s3 cp s3://rtdc.mdm.uploadarchive.raw/RTDC4017/ "%USERPROFILE%\AppData\Local\Temp\OnboardLogs"\RTDC4017\2017-01-12 --exclude "*" --recursive --include "*20170112*" &amp; "%USERPROFILE%\Documents\GitHub\mrs-test-scripts\Headless Mode &amp; Sideloading\WalkAndUnGZ.bat" "%USERPROFILE%\AppData\Local\Temp\OnboardLogs"\RTDC4017\2017-01-12 &amp; aws s3 cp s3://rtdc.mdm.uploadarchive.raw/RTDC4017/ "%USERPROFILE%\AppData\Local\Temp\OnboardLogs"\RTDC4017\2017-01-13 --exclude "*" --recursive --include "*20170113*" &amp; "%USERPROFILE%\Documents\GitHub\mrs-test-scripts\Headless Mode &amp; Sideloading\WalkAndUnGZ.bat" "%USERPROFILE%\AppData\Local\Temp\OnboardLogs"\RTDC4017\2017-01-13</v>
      </c>
      <c r="AF234" s="84" t="str">
        <f t="shared" si="99"/>
        <v>"C:\Program Files (x86)\AstroGrep\AstroGrep.exe" /spath="%USERPROFILE%\AppData\Local\Temp\OnboardLogs" /stypes="app*4017*20170112*" /stext=" 09:.+((SYSTEM_STATE.+slice.+state.+changed )|(ment ac)|(multiple cpu faults)|(system.+state.+changed )|(\[timeout)|(PRM\|1\|D)|(kpr)|(kdp)|(\|lc)|(penalty))" /e /r /s</v>
      </c>
      <c r="AG234" s="1" t="str">
        <f t="shared" si="104"/>
        <v>Other</v>
      </c>
      <c r="AH234" s="88" t="str">
        <f t="shared" si="89"/>
        <v>"%USERPROFILE%\Documents\GitHub\eaglep3\Utilities\RefineRTDCRunTimes.py" --tripid 62-11 --locoid 4017 --swversion DE.1.0.8.0 --startMP 204:70217 --initTime 2017-01-12T01:56:16 --startdatetime 2017-01-12T02:17:44 --delay 1 --endMP 204:958 --enddatetime 2017-01-12T02:39:01 --enforcementcount 0 &gt;&gt;C:\Users\stu\Documents\GitHub\eaglep3-reporting\EC\2017-01-12-refined-times.txt</v>
      </c>
      <c r="AI234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{"issue":{"subject":"","project_id":79,"tracker_id":40,"status_id":1,"priority_id":2,"assigned_to_id":23,"start_date":"2017-01-12","description":"","custom_fields":[{"id":1,"name":"Subdivision","value":"Other"},{"id":4,"name":"Milepost","value":"0.0958"},{"id":17,"name":"Train ID","value":"62-11"},{"id":16,"name":"Locomotive ID","value":"4017"},{"id":130,"name":"Impact","value":""},{"id":150,"name":"Time of Event (Mountain Time)","value":"02:39:01"},{"id":151,"name":"Denver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80" t="str">
        <f t="shared" si="91"/>
        <v>start /low /b %USERPROFILE%\Documents\GitHub\eaglep3\Utilities\DownloadLogsFromS3.py --loco 4017 --day 2017-01-12</v>
      </c>
      <c r="AN234" s="189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"%USERPROFILE%\AppData\Local\Temp\OnboardLogs"\RTDC4017\*4017*20170112* | grep -SE "(Enforcement Action)|(\[TIMEOUT)|(CHR.+\|PRM\|1\|D.+(SWITCH|SIGNAL).+UNKNOWN)" - &gt;&gt; 2017-01-12-UncaughtWiMAX.txt</v>
      </c>
    </row>
    <row r="235" spans="1:40" x14ac:dyDescent="0.25">
      <c r="A235" s="34" t="s">
        <v>720</v>
      </c>
      <c r="B235" s="7">
        <v>4030</v>
      </c>
      <c r="C235" s="22" t="s">
        <v>201</v>
      </c>
      <c r="D235" s="22" t="s">
        <v>861</v>
      </c>
      <c r="E235" s="13">
        <v>42747.82640046296</v>
      </c>
      <c r="F235" s="13">
        <v>42747.835752314815</v>
      </c>
      <c r="G235" s="7">
        <v>1</v>
      </c>
      <c r="H235" s="22" t="s">
        <v>862</v>
      </c>
      <c r="I235" s="13">
        <v>42747.840844907405</v>
      </c>
      <c r="J235" s="7">
        <v>0</v>
      </c>
      <c r="K235" s="105" t="str">
        <f t="shared" si="92"/>
        <v>4029/4030</v>
      </c>
      <c r="L235" s="22" t="str">
        <f>VLOOKUP(A235,'Trips&amp;Operators'!$C$1:$G$99999,5,FALSE)</f>
        <v>PERKINS DARREN</v>
      </c>
      <c r="M235" s="6">
        <f t="shared" si="93"/>
        <v>5.0925925897900015E-3</v>
      </c>
      <c r="N235" s="7">
        <f t="shared" si="88"/>
        <v>7.3333333292976022</v>
      </c>
      <c r="O235" s="7"/>
      <c r="P235" s="7"/>
      <c r="Q235" s="23"/>
      <c r="R235" s="23"/>
      <c r="S235" s="32">
        <f t="shared" si="102"/>
        <v>0</v>
      </c>
      <c r="T235" s="47" t="e">
        <f t="shared" si="103"/>
        <v>#VALUE!</v>
      </c>
      <c r="U235" s="16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18:50:01-700',mode:absolute,to:'2017-01-12 21:10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235" s="49" t="str">
        <f t="shared" si="95"/>
        <v>Y</v>
      </c>
      <c r="X235" s="173" t="e">
        <f>VALUE(LEFT(AD235,4))-VALUE(LEFT(AD160,4))</f>
        <v>#VALUE!</v>
      </c>
      <c r="Y235" s="64">
        <f t="shared" si="100"/>
        <v>3.0493999999999999</v>
      </c>
      <c r="Z235" s="64">
        <f t="shared" si="101"/>
        <v>2.8778000000000001</v>
      </c>
      <c r="AA235" s="64">
        <f t="shared" si="96"/>
        <v>0.17159999999999975</v>
      </c>
      <c r="AB235" s="61" t="e">
        <f>VLOOKUP(A235,Enforcements!$C$7:$K$16,8,0)</f>
        <v>#N/A</v>
      </c>
      <c r="AC235" s="57" t="e">
        <f>VLOOKUP(A235,Enforcements!$C$7:$E$16,3,0)</f>
        <v>#N/A</v>
      </c>
      <c r="AD235" s="58" t="str">
        <f t="shared" si="97"/>
        <v>74-12</v>
      </c>
      <c r="AE235" s="87" t="str">
        <f t="shared" si="98"/>
        <v>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 &amp; aws s3 cp s3://rtdc.mdm.uploadarchive.raw/RTDC4030/ "%USERPROFILE%\AppData\Local\Temp\OnboardLogs"\RTDC4030\2017-01-13 --exclude "*" --recursive --include "*20170113*" &amp; "%USERPROFILE%\Documents\GitHub\mrs-test-scripts\Headless Mode &amp; Sideloading\WalkAndUnGZ.bat" "%USERPROFILE%\AppData\Local\Temp\OnboardLogs"\RTDC4030\2017-01-13</v>
      </c>
      <c r="AF235" s="84" t="str">
        <f t="shared" si="99"/>
        <v>"C:\Program Files (x86)\AstroGrep\AstroGrep.exe" /spath="%USERPROFILE%\AppData\Local\Temp\OnboardLogs" /stypes="app*4030*20170113*" /stext=" 03:.+((SYSTEM_STATE.+slice.+state.+changed )|(ment ac)|(multiple cpu faults)|(system.+state.+changed )|(\[timeout)|(PRM\|1\|D)|(kpr)|(kdp)|(\|lc)|(penalty))" /e /r /s</v>
      </c>
      <c r="AG235" s="1" t="str">
        <f t="shared" si="104"/>
        <v>Other</v>
      </c>
      <c r="AH235" s="88" t="str">
        <f t="shared" si="89"/>
        <v>"%USERPROFILE%\Documents\GitHub\eaglep3\Utilities\RefineRTDCRunTimes.py" --tripid 74-12 --locoid 4030 --swversion DE.1.0.8.0 --startMP 300:30494 --initTime 2017-01-12T19:50:01 --startdatetime 2017-01-12T20:03:29 --delay 1 --endMP 300:28778 --enddatetime 2017-01-12T20:10:49 --enforcementcount 0 &gt;&gt;C:\Users\stu\Documents\GitHub\eaglep3-reporting\EC\2017-01-12-refined-times.txt</v>
      </c>
      <c r="AI235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{"issue":{"subject":"","project_id":79,"tracker_id":40,"status_id":1,"priority_id":2,"assigned_to_id":23,"start_date":"2017-01-12","description":"","custom_fields":[{"id":1,"name":"Subdivision","value":"Other"},{"id":4,"name":"Milepost","value":"2.8778"},{"id":17,"name":"Train ID","value":"74-12"},{"id":16,"name":"Locomotive ID","value":"4030"},{"id":130,"name":"Impact","value":""},{"id":150,"name":"Time of Event (Mountain Time)","value":"20:10:49"},{"id":151,"name":"Denver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80" t="str">
        <f t="shared" si="91"/>
        <v>start /low /b %USERPROFILE%\Documents\GitHub\eaglep3\Utilities\DownloadLogsFromS3.py --loco 4030 --day 2017-01-12</v>
      </c>
      <c r="AN235" s="189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"%USERPROFILE%\AppData\Local\Temp\OnboardLogs"\RTDC4030\*4030*20170113* | grep -SE "(Enforcement Action)|(\[TIMEOUT)|(CHR.+\|PRM\|1\|D.+(SWITCH|SIGNAL).+UNKNOWN)" - &gt;&gt; 2017-01-12-UncaughtWiMAX.txt</v>
      </c>
    </row>
    <row r="236" spans="1:40" x14ac:dyDescent="0.25">
      <c r="A236" s="34" t="s">
        <v>720</v>
      </c>
      <c r="B236" s="7">
        <v>4030</v>
      </c>
      <c r="C236" s="22" t="s">
        <v>201</v>
      </c>
      <c r="D236" s="22" t="s">
        <v>863</v>
      </c>
      <c r="E236" s="13">
        <v>42747.834664351853</v>
      </c>
      <c r="F236" s="13">
        <v>42747.835752314815</v>
      </c>
      <c r="G236" s="7">
        <v>1</v>
      </c>
      <c r="H236" s="22" t="s">
        <v>864</v>
      </c>
      <c r="I236" s="13">
        <v>42747.840844907405</v>
      </c>
      <c r="J236" s="7">
        <v>0</v>
      </c>
      <c r="K236" s="105" t="str">
        <f t="shared" si="92"/>
        <v>4029/4030</v>
      </c>
      <c r="L236" s="22" t="str">
        <f>VLOOKUP(A236,'Trips&amp;Operators'!$C$1:$G$99999,5,FALSE)</f>
        <v>PERKINS DARREN</v>
      </c>
      <c r="M236" s="6">
        <f t="shared" si="93"/>
        <v>5.0925925897900015E-3</v>
      </c>
      <c r="N236" s="7">
        <f t="shared" si="88"/>
        <v>7.3333333292976022</v>
      </c>
      <c r="O236" s="7"/>
      <c r="P236" s="7"/>
      <c r="Q236" s="23"/>
      <c r="R236" s="23"/>
      <c r="S236" s="32">
        <f t="shared" si="102"/>
        <v>0</v>
      </c>
      <c r="T236" s="47" t="e">
        <f t="shared" si="103"/>
        <v>#VALUE!</v>
      </c>
      <c r="U236" s="16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19:01:55-700',mode:absolute,to:'2017-01-12 21:10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236" s="49" t="str">
        <f t="shared" si="95"/>
        <v>Y</v>
      </c>
      <c r="X236" s="173" t="e">
        <f>VALUE(LEFT(AD236,4))-VALUE(LEFT(AD235,4))</f>
        <v>#VALUE!</v>
      </c>
      <c r="Y236" s="64">
        <f t="shared" si="100"/>
        <v>3.0598999999999998</v>
      </c>
      <c r="Z236" s="64">
        <f t="shared" si="101"/>
        <v>2.0537999999999998</v>
      </c>
      <c r="AA236" s="64">
        <f t="shared" si="96"/>
        <v>1.0061</v>
      </c>
      <c r="AB236" s="61" t="e">
        <f>VLOOKUP(A236,Enforcements!$C$7:$K$16,8,0)</f>
        <v>#N/A</v>
      </c>
      <c r="AC236" s="57" t="e">
        <f>VLOOKUP(A236,Enforcements!$C$7:$E$16,3,0)</f>
        <v>#N/A</v>
      </c>
      <c r="AD236" s="58" t="str">
        <f t="shared" si="97"/>
        <v>74-12</v>
      </c>
      <c r="AE236" s="87" t="str">
        <f t="shared" si="98"/>
        <v>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 &amp; aws s3 cp s3://rtdc.mdm.uploadarchive.raw/RTDC4030/ "%USERPROFILE%\AppData\Local\Temp\OnboardLogs"\RTDC4030\2017-01-13 --exclude "*" --recursive --include "*20170113*" &amp; "%USERPROFILE%\Documents\GitHub\mrs-test-scripts\Headless Mode &amp; Sideloading\WalkAndUnGZ.bat" "%USERPROFILE%\AppData\Local\Temp\OnboardLogs"\RTDC4030\2017-01-13</v>
      </c>
      <c r="AF236" s="84" t="str">
        <f t="shared" si="99"/>
        <v>"C:\Program Files (x86)\AstroGrep\AstroGrep.exe" /spath="%USERPROFILE%\AppData\Local\Temp\OnboardLogs" /stypes="app*4030*20170113*" /stext=" 03:.+((SYSTEM_STATE.+slice.+state.+changed )|(ment ac)|(multiple cpu faults)|(system.+state.+changed )|(\[timeout)|(PRM\|1\|D)|(kpr)|(kdp)|(\|lc)|(penalty))" /e /r /s</v>
      </c>
      <c r="AG236" s="1" t="str">
        <f t="shared" si="104"/>
        <v>Other</v>
      </c>
      <c r="AH236" s="88" t="str">
        <f t="shared" si="89"/>
        <v>"%USERPROFILE%\Documents\GitHub\eaglep3\Utilities\RefineRTDCRunTimes.py" --tripid 74-12 --locoid 4030 --swversion DE.1.0.8.0 --startMP 300:30599 --initTime 2017-01-12T20:01:55 --startdatetime 2017-01-12T20:03:29 --delay 1 --endMP 300:20538 --enddatetime 2017-01-12T20:10:49 --enforcementcount 0 &gt;&gt;C:\Users\stu\Documents\GitHub\eaglep3-reporting\EC\2017-01-12-refined-times.txt</v>
      </c>
      <c r="AI236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{"issue":{"subject":"","project_id":79,"tracker_id":40,"status_id":1,"priority_id":2,"assigned_to_id":23,"start_date":"2017-01-12","description":"","custom_fields":[{"id":1,"name":"Subdivision","value":"Other"},{"id":4,"name":"Milepost","value":"2.0538"},{"id":17,"name":"Train ID","value":"74-12"},{"id":16,"name":"Locomotive ID","value":"4030"},{"id":130,"name":"Impact","value":""},{"id":150,"name":"Time of Event (Mountain Time)","value":"20:10:49"},{"id":151,"name":"Denver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80" t="str">
        <f t="shared" si="91"/>
        <v>start /low /b %USERPROFILE%\Documents\GitHub\eaglep3\Utilities\DownloadLogsFromS3.py --loco 4030 --day 2017-01-12</v>
      </c>
      <c r="AN236" s="189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"%USERPROFILE%\AppData\Local\Temp\OnboardLogs"\RTDC4030\*4030*20170113* | grep -SE "(Enforcement Action)|(\[TIMEOUT)|(CHR.+\|PRM\|1\|D.+(SWITCH|SIGNAL).+UNKNOWN)" - &gt;&gt; 2017-01-12-UncaughtWiMAX.txt</v>
      </c>
    </row>
    <row r="237" spans="1:40" x14ac:dyDescent="0.25">
      <c r="A237" s="34" t="s">
        <v>689</v>
      </c>
      <c r="B237" s="7">
        <v>4003</v>
      </c>
      <c r="C237" s="22" t="s">
        <v>201</v>
      </c>
      <c r="D237" s="22" t="s">
        <v>865</v>
      </c>
      <c r="E237" s="13">
        <v>42747.71607638889</v>
      </c>
      <c r="F237" s="13">
        <v>42747.797789351855</v>
      </c>
      <c r="G237" s="7">
        <v>8</v>
      </c>
      <c r="H237" s="22" t="s">
        <v>866</v>
      </c>
      <c r="I237" s="13">
        <v>42747.797951388886</v>
      </c>
      <c r="J237" s="7">
        <v>0</v>
      </c>
      <c r="K237" s="105" t="str">
        <f t="shared" si="92"/>
        <v>4003/4004</v>
      </c>
      <c r="L237" s="22" t="str">
        <f>VLOOKUP(A237,'Trips&amp;Operators'!$C$1:$G$99999,5,FALSE)</f>
        <v>DE LA ROSA ALEX</v>
      </c>
      <c r="M237" s="6">
        <f t="shared" si="93"/>
        <v>1.6203703125938773E-4</v>
      </c>
      <c r="N237" s="7">
        <f t="shared" si="88"/>
        <v>0.23333332501351833</v>
      </c>
      <c r="O237" s="7"/>
      <c r="P237" s="7"/>
      <c r="Q237" s="23"/>
      <c r="R237" s="23"/>
      <c r="S237" s="32">
        <f t="shared" si="102"/>
        <v>0</v>
      </c>
      <c r="T237" s="47" t="e">
        <f t="shared" si="103"/>
        <v>#VALUE!</v>
      </c>
      <c r="U237" s="16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16:11:09-700',mode:absolute,to:'2017-01-12 20:09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237" s="49" t="str">
        <f t="shared" si="95"/>
        <v>Y</v>
      </c>
      <c r="X237" s="173" t="e">
        <f>VALUE(LEFT(AD237,4))-VALUE(LEFT(AD236,4))</f>
        <v>#VALUE!</v>
      </c>
      <c r="Y237" s="64">
        <f t="shared" si="100"/>
        <v>0.1477</v>
      </c>
      <c r="Z237" s="64">
        <f t="shared" si="101"/>
        <v>0.14879999999999999</v>
      </c>
      <c r="AA237" s="64">
        <f t="shared" si="96"/>
        <v>1.0999999999999899E-3</v>
      </c>
      <c r="AB237" s="61" t="e">
        <f>VLOOKUP(A237,Enforcements!$C$7:$K$16,8,0)</f>
        <v>#N/A</v>
      </c>
      <c r="AC237" s="57" t="e">
        <f>VLOOKUP(A237,Enforcements!$C$7:$E$16,3,0)</f>
        <v>#N/A</v>
      </c>
      <c r="AD237" s="58" t="str">
        <f t="shared" si="97"/>
        <v>75-12</v>
      </c>
      <c r="AE237" s="87" t="str">
        <f t="shared" si="98"/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AF237" s="84" t="str">
        <f t="shared" si="99"/>
        <v>"C:\Program Files (x86)\AstroGrep\AstroGrep.exe" /spath="%USERPROFILE%\AppData\Local\Temp\OnboardLogs" /stypes="app*4003*20170113*" /stext=" 02:.+((SYSTEM_STATE.+slice.+state.+changed )|(ment ac)|(multiple cpu faults)|(system.+state.+changed )|(\[timeout)|(PRM\|1\|D)|(kpr)|(kdp)|(\|lc)|(penalty))" /e /r /s</v>
      </c>
      <c r="AG237" s="1" t="str">
        <f t="shared" si="104"/>
        <v>Other</v>
      </c>
      <c r="AH237" s="88" t="str">
        <f t="shared" si="89"/>
        <v>"%USERPROFILE%\Documents\GitHub\eaglep3\Utilities\RefineRTDCRunTimes.py" --tripid 75-12 --locoid 4003 --swversion DE.1.0.8.0 --startMP 204:1477 --initTime 2017-01-12T17:11:09 --startdatetime 2017-01-12T19:08:49 --delay 8 --endMP 204:1488 --enddatetime 2017-01-12T19:09:03 --enforcementcount 0 &gt;&gt;C:\Users\stu\Documents\GitHub\eaglep3-reporting\EC\2017-01-12-refined-times.txt</v>
      </c>
      <c r="AI237" s="115" t="str">
        <f t="shared" si="90"/>
        <v>echo {"issue":{"subject":"","project_id":79,"tracker_id":40,"status_id":1,"priority_id":2,"assigned_to_id":23,"start_date":"2017-01-12","description":"","custom_fields":[{"id":1,"name":"Subdivision","value":"Other"},{"id":4,"name":"Milepost","value":"0.1488"},{"id":17,"name":"Train ID","value":"75-12"},{"id":16,"name":"Locomotive ID","value":"4003"},{"id":130,"name":"Impact","value":""},{"id":150,"name":"Time of Event (Mountain Time)","value":"19:09:03"},{"id":151,"name":"Denver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80" t="str">
        <f t="shared" si="91"/>
        <v>start /low /b %USERPROFILE%\Documents\GitHub\eaglep3\Utilities\DownloadLogsFromS3.py --loco 4003 --day 2017-01-12</v>
      </c>
      <c r="AN237" s="189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"%USERPROFILE%\AppData\Local\Temp\OnboardLogs"\RTDC4003\*4003*20170113* | grep -SE "(Enforcement Action)|(\[TIMEOUT)|(CHR.+\|PRM\|1\|D.+(SWITCH|SIGNAL).+UNKNOWN)" - &gt;&gt; 2017-01-12-UncaughtWiMAX.txt</v>
      </c>
    </row>
    <row r="238" spans="1:40" x14ac:dyDescent="0.25">
      <c r="A238" s="34" t="s">
        <v>695</v>
      </c>
      <c r="B238" s="7">
        <v>4037</v>
      </c>
      <c r="C238" s="22" t="s">
        <v>201</v>
      </c>
      <c r="D238" s="22" t="s">
        <v>867</v>
      </c>
      <c r="E238" s="13">
        <v>42747.741493055553</v>
      </c>
      <c r="F238" s="13">
        <v>25568.708333333332</v>
      </c>
      <c r="G238" s="7">
        <v>1</v>
      </c>
      <c r="H238" s="22" t="s">
        <v>868</v>
      </c>
      <c r="I238" s="13">
        <v>25568.708333333332</v>
      </c>
      <c r="J238" s="7">
        <v>0</v>
      </c>
      <c r="K238" s="105" t="str">
        <f t="shared" si="92"/>
        <v>4037/4038</v>
      </c>
      <c r="L238" s="22" t="str">
        <f>VLOOKUP(A238,'Trips&amp;Operators'!$C$1:$G$99999,5,FALSE)</f>
        <v>CRAYTON QUNTRELL</v>
      </c>
      <c r="M238" s="6">
        <f t="shared" si="93"/>
        <v>0</v>
      </c>
      <c r="N238" s="7">
        <f t="shared" si="88"/>
        <v>0</v>
      </c>
      <c r="O238" s="7"/>
      <c r="P238" s="7"/>
      <c r="Q238" s="23"/>
      <c r="R238" s="23"/>
      <c r="S238" s="32">
        <f t="shared" si="102"/>
        <v>0</v>
      </c>
      <c r="T238" s="47" t="e">
        <f t="shared" si="103"/>
        <v>#VALUE!</v>
      </c>
      <c r="U238" s="16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16:47:45-700',mode:absolute,to:'1969-12-31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238" s="49" t="str">
        <f t="shared" si="95"/>
        <v>Y</v>
      </c>
      <c r="X238" s="173" t="e">
        <f>VALUE(LEFT(AD238,4))-VALUE(LEFT(AD237,4))</f>
        <v>#VALUE!</v>
      </c>
      <c r="Y238" s="64">
        <f t="shared" si="100"/>
        <v>2.2063999999999999</v>
      </c>
      <c r="Z238" s="64">
        <f t="shared" si="101"/>
        <v>2.2058</v>
      </c>
      <c r="AA238" s="64">
        <f t="shared" si="96"/>
        <v>5.9999999999993392E-4</v>
      </c>
      <c r="AB238" s="61" t="e">
        <f>VLOOKUP(A238,Enforcements!$C$7:$K$16,8,0)</f>
        <v>#N/A</v>
      </c>
      <c r="AC238" s="57" t="e">
        <f>VLOOKUP(A238,Enforcements!$C$7:$E$16,3,0)</f>
        <v>#N/A</v>
      </c>
      <c r="AD238" s="58" t="str">
        <f t="shared" si="97"/>
        <v>76-12</v>
      </c>
      <c r="AE238" s="87" t="str">
        <f t="shared" si="98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238" s="84" t="str">
        <f t="shared" si="99"/>
        <v>"C:\Program Files (x86)\AstroGrep\AstroGrep.exe" /spath="%USERPROFILE%\AppData\Local\Temp\OnboardLogs" /stypes="app*4037*19700101*" /stext=" 00:.+((SYSTEM_STATE.+slice.+state.+changed )|(ment ac)|(multiple cpu faults)|(system.+state.+changed )|(\[timeout)|(PRM\|1\|D)|(kpr)|(kdp)|(\|lc)|(penalty))" /e /r /s</v>
      </c>
      <c r="AG238" s="1" t="str">
        <f t="shared" si="104"/>
        <v>Other</v>
      </c>
      <c r="AH238" s="88" t="str">
        <f t="shared" si="89"/>
        <v>"%USERPROFILE%\Documents\GitHub\eaglep3\Utilities\RefineRTDCRunTimes.py" --tripid 76-12 --locoid 4037 --swversion DE.1.0.8.0 --startMP 300:22064 --initTime 2017-01-12T17:47:45 --startdatetime 1969-12-31T17:00:00 --delay 1 --endMP 300:22058 --enddatetime 1969-12-31T17:00:00 --enforcementcount 0 &gt;&gt;C:\Users\stu\Documents\GitHub\eaglep3-reporting\EC\2017-01-12-refined-times.txt</v>
      </c>
      <c r="AI238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{"issue":{"subject":"","project_id":79,"tracker_id":40,"status_id":1,"priority_id":2,"assigned_to_id":23,"start_date":"1969-12-31","description":"","custom_fields":[{"id":1,"name":"Subdivision","value":"Other"},{"id":4,"name":"Milepost","value":"2.2058"},{"id":17,"name":"Train ID","value":"76-12"},{"id":16,"name":"Locomotive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80" t="str">
        <f t="shared" si="91"/>
        <v>start /low /b %USERPROFILE%\Documents\GitHub\eaglep3\Utilities\DownloadLogsFromS3.py --loco 4037 --day 1969-12-31</v>
      </c>
      <c r="AN238" s="189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"%USERPROFILE%\AppData\Local\Temp\OnboardLogs"\RTDC4037\*4037*19700101* | grep -SE "(Enforcement Action)|(\[TIMEOUT)|(CHR.+\|PRM\|1\|D.+(SWITCH|SIGNAL).+UNKNOWN)" - &gt;&gt; 2017-01-12-UncaughtWiMAX.txt</v>
      </c>
    </row>
    <row r="239" spans="1:40" x14ac:dyDescent="0.25">
      <c r="A239" s="34" t="s">
        <v>732</v>
      </c>
      <c r="B239" s="7">
        <v>4020</v>
      </c>
      <c r="C239" s="22" t="s">
        <v>201</v>
      </c>
      <c r="D239" s="22" t="s">
        <v>884</v>
      </c>
      <c r="E239" s="13">
        <v>42747.883576388886</v>
      </c>
      <c r="F239" s="13">
        <v>25568.708333333332</v>
      </c>
      <c r="G239" s="7">
        <v>1</v>
      </c>
      <c r="H239" s="22" t="s">
        <v>833</v>
      </c>
      <c r="I239" s="13">
        <v>25568.708333333332</v>
      </c>
      <c r="J239" s="7">
        <v>0</v>
      </c>
      <c r="K239" s="105" t="str">
        <f t="shared" si="92"/>
        <v>4019/4020</v>
      </c>
      <c r="L239" s="22" t="str">
        <f>VLOOKUP(A239,'Trips&amp;Operators'!$C$1:$G$99999,5,FALSE)</f>
        <v>MACDONALD THOMAS</v>
      </c>
      <c r="M239" s="6">
        <f t="shared" si="93"/>
        <v>0</v>
      </c>
      <c r="N239" s="7">
        <f t="shared" si="88"/>
        <v>0</v>
      </c>
      <c r="O239" s="7"/>
      <c r="P239" s="7"/>
      <c r="Q239" s="23"/>
      <c r="R239" s="23"/>
      <c r="S239" s="32">
        <f t="shared" si="102"/>
        <v>0</v>
      </c>
      <c r="T239" s="47" t="e">
        <f t="shared" si="103"/>
        <v>#VALUE!</v>
      </c>
      <c r="U239" s="16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20:12:21-700',mode:absolute,to:'1969-12-31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39" s="49" t="str">
        <f t="shared" si="95"/>
        <v>Y</v>
      </c>
      <c r="X239" s="173" t="e">
        <f>VALUE(LEFT(AD239,4))-VALUE(LEFT(AD238,4))</f>
        <v>#VALUE!</v>
      </c>
      <c r="Y239" s="64">
        <f t="shared" si="100"/>
        <v>0.14810000000000001</v>
      </c>
      <c r="Z239" s="64">
        <f t="shared" si="101"/>
        <v>2.3306</v>
      </c>
      <c r="AA239" s="64">
        <f t="shared" si="96"/>
        <v>2.1825000000000001</v>
      </c>
      <c r="AB239" s="61" t="e">
        <f>VLOOKUP(A239,Enforcements!$C$7:$K$16,8,0)</f>
        <v>#N/A</v>
      </c>
      <c r="AC239" s="57" t="e">
        <f>VLOOKUP(A239,Enforcements!$C$7:$E$16,3,0)</f>
        <v>#N/A</v>
      </c>
      <c r="AD239" s="58" t="str">
        <f t="shared" si="97"/>
        <v>81-12</v>
      </c>
      <c r="AE239" s="87" t="str">
        <f t="shared" si="9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39" s="84" t="str">
        <f t="shared" si="99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39" s="1" t="str">
        <f t="shared" si="104"/>
        <v>Other</v>
      </c>
      <c r="AH239" s="88" t="str">
        <f t="shared" si="89"/>
        <v>"%USERPROFILE%\Documents\GitHub\eaglep3\Utilities\RefineRTDCRunTimes.py" --tripid 81-12 --locoid 4020 --swversion DE.1.0.8.0 --startMP 204:1481 --initTime 2017-01-12T21:12:21 --startdatetime 1969-12-31T17:00:00 --delay 1 --endMP 300:23306 --enddatetime 1969-12-31T17:00:00 --enforcementcount 0 &gt;&gt;C:\Users\stu\Documents\GitHub\eaglep3-reporting\EC\2017-01-12-refined-times.txt</v>
      </c>
      <c r="AI239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ID","value":"81-12"},{"id":16,"name":"Locomotive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0"/>
      <c r="AK239" s="50"/>
      <c r="AL239" s="50"/>
      <c r="AM239" s="180" t="str">
        <f t="shared" si="91"/>
        <v>start /low /b %USERPROFILE%\Documents\GitHub\eaglep3\Utilities\DownloadLogsFromS3.py --loco 4020 --day 1969-12-31</v>
      </c>
      <c r="AN239" s="189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2017-01-12-UncaughtWiMAX.txt</v>
      </c>
    </row>
    <row r="240" spans="1:40" x14ac:dyDescent="0.25">
      <c r="A240" s="34" t="s">
        <v>749</v>
      </c>
      <c r="B240" s="7">
        <v>4008</v>
      </c>
      <c r="C240" s="22" t="s">
        <v>201</v>
      </c>
      <c r="D240" s="22" t="s">
        <v>921</v>
      </c>
      <c r="E240" s="13">
        <v>42748.016898148147</v>
      </c>
      <c r="F240" s="13">
        <v>42748.019375000003</v>
      </c>
      <c r="G240" s="7">
        <v>2</v>
      </c>
      <c r="H240" s="22" t="s">
        <v>354</v>
      </c>
      <c r="I240" s="13">
        <v>42748.04173611111</v>
      </c>
      <c r="J240" s="7">
        <v>0</v>
      </c>
      <c r="K240" s="105" t="str">
        <f t="shared" si="92"/>
        <v>4007/4008</v>
      </c>
      <c r="L240" s="22" t="str">
        <f>VLOOKUP(A240,'Trips&amp;Operators'!$C$1:$G$99999,5,FALSE)</f>
        <v>MCREYNOLDS KYLE</v>
      </c>
      <c r="M240" s="6">
        <f t="shared" si="93"/>
        <v>2.2361111106874887E-2</v>
      </c>
      <c r="N240" s="7">
        <f t="shared" si="88"/>
        <v>32.199999993899837</v>
      </c>
      <c r="O240" s="7"/>
      <c r="P240" s="7"/>
      <c r="Q240" s="23"/>
      <c r="R240" s="23"/>
      <c r="S240" s="32">
        <f t="shared" si="102"/>
        <v>0</v>
      </c>
      <c r="T240" s="47" t="e">
        <f t="shared" si="103"/>
        <v>#VALUE!</v>
      </c>
      <c r="U240" s="16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4" t="str">
        <f t="shared" si="94"/>
        <v>https://search-rtdc-monitor-bjffxe2xuh6vdkpspy63sjmuny.us-east-1.es.amazonaws.com/_plugin/kibana/#/discover/Steve-Slow-Train-Analysis-(2080s-and-2083s)?_g=(refreshInterval:(display:Off,section:0,value:0),time:(from:'2017-01-12 23:24:20-700',mode:absolute,to:'2017-01-13 02:00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40" s="49" t="str">
        <f t="shared" si="95"/>
        <v>Y</v>
      </c>
      <c r="X240" s="173" t="e">
        <f>VALUE(LEFT(AD240,4))-VALUE(LEFT(AD239,4))</f>
        <v>#VALUE!</v>
      </c>
      <c r="Y240" s="64">
        <f t="shared" si="100"/>
        <v>3.0869</v>
      </c>
      <c r="Z240" s="64">
        <f t="shared" si="101"/>
        <v>1.29E-2</v>
      </c>
      <c r="AA240" s="64">
        <f t="shared" si="96"/>
        <v>3.0739999999999998</v>
      </c>
      <c r="AB240" s="61" t="e">
        <f>VLOOKUP(A240,Enforcements!$C$7:$K$16,8,0)</f>
        <v>#N/A</v>
      </c>
      <c r="AC240" s="57" t="e">
        <f>VLOOKUP(A240,Enforcements!$C$7:$E$16,3,0)</f>
        <v>#N/A</v>
      </c>
      <c r="AD240" s="58" t="str">
        <f t="shared" si="97"/>
        <v>88-12</v>
      </c>
      <c r="AE240" s="87" t="str">
        <f t="shared" si="98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240" s="84" t="str">
        <f t="shared" si="99"/>
        <v>"C:\Program Files (x86)\AstroGrep\AstroGrep.exe" /spath="%USERPROFILE%\AppData\Local\Temp\OnboardLogs" /stypes="app*4008*20170113*" /stext=" 08:.+((SYSTEM_STATE.+slice.+state.+changed )|(ment ac)|(multiple cpu faults)|(system.+state.+changed )|(\[timeout)|(PRM\|1\|D)|(kpr)|(kdp)|(\|lc)|(penalty))" /e /r /s</v>
      </c>
      <c r="AG240" s="1" t="str">
        <f t="shared" si="104"/>
        <v>Other</v>
      </c>
      <c r="AH240" s="88" t="str">
        <f t="shared" si="89"/>
        <v>"%USERPROFILE%\Documents\GitHub\eaglep3\Utilities\RefineRTDCRunTimes.py" --tripid 88-12 --locoid 4008 --swversion DE.1.0.8.0 --startMP 300:30869 --initTime 2017-01-13T00:24:20 --startdatetime 2017-01-13T00:27:54 --delay 2 --endMP 204:129 --enddatetime 2017-01-13T01:00:06 --enforcementcount 0 &gt;&gt;C:\Users\stu\Documents\GitHub\eaglep3-reporting\EC\2017-01-12-refined-times.txt</v>
      </c>
      <c r="AI240" s="115" t="str">
        <f t="shared" si="90"/>
        <v>echo {"issue":{"subject":"","project_id":79,"tracker_id":40,"status_id":1,"priority_id":2,"assigned_to_id":23,"start_date":"2017-01-13","description":"","custom_fields":[{"id":1,"name":"Subdivision","value":"Other"},{"id":4,"name":"Milepost","value":"0.0129"},{"id":17,"name":"Train ID","value":"88-12"},{"id":16,"name":"Locomotive ID","value":"4008"},{"id":130,"name":"Impact","value":""},{"id":150,"name":"Time of Event (Mountain Time)","value":"01:00:06"},{"id":151,"name":"Denver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0"/>
      <c r="AK240" s="50"/>
      <c r="AL240" s="50"/>
      <c r="AM240" s="180" t="str">
        <f t="shared" si="91"/>
        <v>start /low /b %USERPROFILE%\Documents\GitHub\eaglep3\Utilities\DownloadLogsFromS3.py --loco 4008 --day 2017-01-13</v>
      </c>
      <c r="AN240" s="189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2017-01-12-UncaughtWiMAX.txt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</sheetData>
  <autoFilter ref="A12:AG240"/>
  <sortState ref="A13:AH200">
    <sortCondition ref="AG13:AG200"/>
    <sortCondition ref="AD13:AD200"/>
  </sortState>
  <mergeCells count="1">
    <mergeCell ref="A11:P11"/>
  </mergeCells>
  <conditionalFormatting sqref="W11:W12 W255:X1048576 W13:X240">
    <cfRule type="cellIs" dxfId="10" priority="352" operator="equal">
      <formula>"Y"</formula>
    </cfRule>
  </conditionalFormatting>
  <conditionalFormatting sqref="X255:X1048576 X13:X240">
    <cfRule type="cellIs" dxfId="9" priority="335" operator="greaterThan">
      <formula>1</formula>
    </cfRule>
  </conditionalFormatting>
  <conditionalFormatting sqref="X255:X1048576 X12:X240">
    <cfRule type="cellIs" dxfId="8" priority="332" operator="equal">
      <formula>0</formula>
    </cfRule>
  </conditionalFormatting>
  <conditionalFormatting sqref="A13:S240">
    <cfRule type="expression" dxfId="7" priority="326" stopIfTrue="1">
      <formula>$P13&gt;0</formula>
    </cfRule>
    <cfRule type="expression" dxfId="6" priority="327" stopIfTrue="1">
      <formula>$O13&gt;0</formula>
    </cfRule>
  </conditionalFormatting>
  <hyperlinks>
    <hyperlink ref="AJ4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COUNTIF($O$7:$O$326,"=Y")</f>
        <v>1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COUNTA($O$7:$O$326)-O2</f>
        <v>22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2" t="str">
        <f>"Eagle P3 Braking Events - "&amp;TEXT(Variables!$A$2,"YYYY-mm-dd")</f>
        <v>Eagle P3 Braking Events - 2017-01-12</v>
      </c>
      <c r="B5" s="192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220</v>
      </c>
      <c r="AE6" s="181" t="s">
        <v>266</v>
      </c>
    </row>
    <row r="7" spans="1:31" s="1" customFormat="1" x14ac:dyDescent="0.25">
      <c r="A7" s="33">
        <v>42747.431481481479</v>
      </c>
      <c r="B7" s="31" t="s">
        <v>291</v>
      </c>
      <c r="C7" s="31" t="s">
        <v>521</v>
      </c>
      <c r="D7" s="31" t="s">
        <v>49</v>
      </c>
      <c r="E7" s="31" t="s">
        <v>231</v>
      </c>
      <c r="F7" s="44">
        <v>0</v>
      </c>
      <c r="G7" s="44">
        <v>238</v>
      </c>
      <c r="H7" s="44">
        <v>26876</v>
      </c>
      <c r="I7" s="44">
        <v>27204</v>
      </c>
      <c r="J7" s="31" t="s">
        <v>232</v>
      </c>
      <c r="K7" s="44">
        <v>27053</v>
      </c>
      <c r="L7" s="150" t="s">
        <v>50</v>
      </c>
      <c r="M7" s="151">
        <f t="shared" ref="M7:M29" si="0">CONVERT((I7-K7)/10000,"mi","ft")*IF(L7="Increasing Mileposts (1)",-1,1)</f>
        <v>-79.727999999999994</v>
      </c>
      <c r="N7" s="152" t="str">
        <f>VLOOKUP(C7,'Trips&amp;Operators'!$C$1:$G$99999,5,FALSE)</f>
        <v>YORK EDGAR</v>
      </c>
      <c r="O7" s="179" t="s">
        <v>193</v>
      </c>
      <c r="P7" s="153" t="s">
        <v>313</v>
      </c>
      <c r="Q7" s="31"/>
      <c r="R7" s="96" t="str">
        <f>VLOOKUP(C7,'Train Runs'!$A$13:$AE$9978,31,0)</f>
        <v>aws s3 cp s3://rtdc.mdm.uploadarchive.raw/RTDC4020/ "%USERPROFILE%\AppData\Local\Temp\OnboardLogs"\RTDC4020\2017-01-12 --exclude "*" --recursive --include "*20170112*" &amp; "%USERPROFILE%\Documents\GitHub\mrs-test-scripts\Headless Mode &amp; Sideloading\WalkAndUnGZ.bat" "%USERPROFILE%\AppData\Local\Temp\OnboardLogs"\RTDC4020\2017-01-12 &amp; 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</v>
      </c>
      <c r="S7" s="99" t="str">
        <f>VLOOKUP(C7,'Train Runs'!$A$13:$AE$9978,22,0)</f>
        <v>https://search-rtdc-monitor-bjffxe2xuh6vdkpspy63sjmuny.us-east-1.es.amazonaws.com/_plugin/kibana/#/discover/Steve-Slow-Train-Analysis-(2080s-and-2083s)?_g=(refreshInterval:(display:Off,section:0,value:0),time:(from:'2017-01-12 09:04:36-700',mode:absolute,to:'2017-01-12 11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T7" s="101" t="str">
        <f t="shared" ref="T7:T2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/stypes="*4020*201701121*" /stext=" 17:.+((SYSTEM_STATE.+slice.+state.+changed )|(ment ac)|(multiple cpu faults)|(system.+state.+changed )|(\[timeout)|(PRM\|1\|D)|(kpr)|(kdp)|(\|lc)|(penalty))" /e /r /s</v>
      </c>
      <c r="U7" s="9" t="str">
        <f t="shared" ref="U7:U29" si="2">MID(B7,13,4)</f>
        <v>4020</v>
      </c>
      <c r="V7" s="33">
        <f t="shared" ref="V7:V29" si="3">A7-utc_offset/24</f>
        <v>42747.723148148143</v>
      </c>
      <c r="W7" s="47" t="str">
        <f t="shared" ref="W7:W29" si="4">IF(VALUE(LEFT(IF(LEN(C7)=6,"0"&amp;C7,C7),2))&lt;=2,"EC",IF(OR(VALUE(LEFT(IF(LEN(C7)=6,"0"&amp;C7,C7),2))=8,VALUE(LEFT(IF(LEN(C7)=6,"0"&amp;C7,C7),2))=18),"NW","Other"))</f>
        <v>EC</v>
      </c>
      <c r="X7" s="47" t="str">
        <f t="shared" ref="X7:X29" si="5">IF(AND(E7="TRACK WARRANT AUTHORITY",G7&lt;10),"OMIT","KEEP")</f>
        <v>KEEP</v>
      </c>
      <c r="Y7" s="115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arrival","project_id":79,"tracker_id":40,"status_id":1,"priority_id":2,"assigned_to_id":23,"start_date":"2017-01-12","description":"","custom_fields":[{"id":1,"name":"Subdivision","value":"EC"},{"id":4,"name":"Milepost","value":"2.7053"},{"id":17,"name":"Train ID","value":"153-12"},{"id":16,"name":"Locomotive ID","value":"4020"},{"id":130,"name":"Impact","value":""},{"id":150,"name":"Time of Event (Mountain Time)","value":"10:21:20"},{"id":151,"name":"Denver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"%USERPROFILE%\AppData\Local\Temp\OnboardLogs"\RTDC4020\*4020*201701121*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"%USERPROFILE%\AppData\Local\Temp\OnboardLogs"\RTDC4020\*4020*201701121* &gt;&gt; 2017-01-12-SliceDisagreementCheck.txt</v>
      </c>
      <c r="AE7" s="183" t="str">
        <f t="shared" ref="AE7:AE29" si="8">"start /low /b "&amp;dls3logs&amp;" --loco "&amp;U7&amp;" --day "&amp;TEXT(V7,"YYYY-MM-DD")</f>
        <v>start /low /b %USERPROFILE%\Documents\GitHub\eaglep3\Utilities\DownloadLogsFromS3.py --loco 4020 --day 2017-01-12</v>
      </c>
    </row>
    <row r="8" spans="1:31" s="1" customFormat="1" x14ac:dyDescent="0.25">
      <c r="A8" s="33">
        <v>42747.331388888888</v>
      </c>
      <c r="B8" s="31" t="s">
        <v>284</v>
      </c>
      <c r="C8" s="31" t="s">
        <v>520</v>
      </c>
      <c r="D8" s="31" t="s">
        <v>98</v>
      </c>
      <c r="E8" s="31" t="s">
        <v>231</v>
      </c>
      <c r="F8" s="44">
        <v>140</v>
      </c>
      <c r="G8" s="44">
        <v>196</v>
      </c>
      <c r="H8" s="44">
        <v>27078</v>
      </c>
      <c r="I8" s="44">
        <v>26691</v>
      </c>
      <c r="J8" s="31" t="s">
        <v>232</v>
      </c>
      <c r="K8" s="44">
        <v>27350</v>
      </c>
      <c r="L8" s="150" t="s">
        <v>51</v>
      </c>
      <c r="M8" s="151">
        <f t="shared" si="0"/>
        <v>-347.952</v>
      </c>
      <c r="N8" s="152" t="str">
        <f>VLOOKUP(C8,'Trips&amp;Operators'!$C$1:$G$99999,5,FALSE)</f>
        <v>DUNCAN SHEILA</v>
      </c>
      <c r="O8" s="179" t="s">
        <v>193</v>
      </c>
      <c r="P8" s="153" t="s">
        <v>313</v>
      </c>
      <c r="Q8" s="31"/>
      <c r="R8" s="96" t="str">
        <f>VLOOKUP(C8,'Train Runs'!$A$13:$AE$9978,31,0)</f>
        <v>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 &amp; 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</v>
      </c>
      <c r="S8" s="99" t="str">
        <f>VLOOKUP(C8,'Train Runs'!$A$13:$AE$9978,22,0)</f>
        <v>https://search-rtdc-monitor-bjffxe2xuh6vdkpspy63sjmuny.us-east-1.es.amazonaws.com/_plugin/kibana/#/discover/Steve-Slow-Train-Analysis-(2080s-and-2083s)?_g=(refreshInterval:(display:Off,section:0,value:0),time:(from:'2017-01-12 06:14:46-700',mode:absolute,to:'2017-01-12 09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T8" s="101" t="str">
        <f t="shared" si="1"/>
        <v>"C:\Program Files (x86)\AstroGrep\AstroGrep.exe" /spath="%USERPROFILE%\AppData\Local\Temp\OnboardLogs" /stypes="*4001*201701121*" /stext=" 14:.+((SYSTEM_STATE.+slice.+state.+changed )|(ment ac)|(multiple cpu faults)|(system.+state.+changed )|(\[timeout)|(PRM\|1\|D)|(kpr)|(kdp)|(\|lc)|(penalty))" /e /r /s</v>
      </c>
      <c r="U8" s="9" t="str">
        <f t="shared" si="2"/>
        <v>4001</v>
      </c>
      <c r="V8" s="33">
        <f t="shared" si="3"/>
        <v>42747.623055555552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arrival","project_id":79,"tracker_id":40,"status_id":1,"priority_id":2,"assigned_to_id":23,"start_date":"2017-01-12","description":"","custom_fields":[{"id":1,"name":"Subdivision","value":"EC"},{"id":4,"name":"Milepost","value":"2.735"},{"id":17,"name":"Train ID","value":"124-12"},{"id":16,"name":"Locomotive ID","value":"4001"},{"id":130,"name":"Impact","value":""},{"id":150,"name":"Time of Event (Mountain Time)","value":"07:57:12"},{"id":151,"name":"Denver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"%USERPROFILE%\AppData\Local\Temp\OnboardLogs"\RTDC4001\*4001*201701121*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"%USERPROFILE%\AppData\Local\Temp\OnboardLogs"\RTDC4001\*4001*201701121* &gt;&gt; 2017-01-12-SliceDisagreementCheck.txt</v>
      </c>
      <c r="AE8" s="183" t="str">
        <f t="shared" si="8"/>
        <v>start /low /b %USERPROFILE%\Documents\GitHub\eaglep3\Utilities\DownloadLogsFromS3.py --loco 4001 --day 2017-01-12</v>
      </c>
    </row>
    <row r="9" spans="1:31" s="1" customFormat="1" x14ac:dyDescent="0.25">
      <c r="A9" s="33">
        <v>42747.703657407408</v>
      </c>
      <c r="B9" s="31" t="s">
        <v>209</v>
      </c>
      <c r="C9" s="31" t="s">
        <v>527</v>
      </c>
      <c r="D9" s="31" t="s">
        <v>98</v>
      </c>
      <c r="E9" s="31" t="s">
        <v>231</v>
      </c>
      <c r="F9" s="44">
        <v>150</v>
      </c>
      <c r="G9" s="44">
        <v>205</v>
      </c>
      <c r="H9" s="44">
        <v>30964</v>
      </c>
      <c r="I9" s="44">
        <v>31473</v>
      </c>
      <c r="J9" s="31" t="s">
        <v>232</v>
      </c>
      <c r="K9" s="44">
        <v>30830</v>
      </c>
      <c r="L9" s="150" t="s">
        <v>50</v>
      </c>
      <c r="M9" s="151">
        <f t="shared" si="0"/>
        <v>-339.50399999999996</v>
      </c>
      <c r="N9" s="152" t="str">
        <f>VLOOKUP(C9,'Trips&amp;Operators'!$C$1:$G$99999,5,FALSE)</f>
        <v>BRUDER RICHARD</v>
      </c>
      <c r="O9" s="179" t="s">
        <v>193</v>
      </c>
      <c r="P9" s="153" t="s">
        <v>313</v>
      </c>
      <c r="Q9" s="31"/>
      <c r="R9" s="96" t="str">
        <f>VLOOKUP(C9,'Train Runs'!$A$13:$AE$9978,31,0)</f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S9" s="99" t="str">
        <f>VLOOKUP(C9,'Train Runs'!$A$13:$AE$9978,22,0)</f>
        <v>https://search-rtdc-monitor-bjffxe2xuh6vdkpspy63sjmuny.us-east-1.es.amazonaws.com/_plugin/kibana/#/discover/Steve-Slow-Train-Analysis-(2080s-and-2083s)?_g=(refreshInterval:(display:Off,section:0,value:0),time:(from:'2017-01-12 15:36:56-700',mode:absolute,to:'2017-01-12 18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9" s="101" t="str">
        <f t="shared" si="1"/>
        <v>"C:\Program Files (x86)\AstroGrep\AstroGrep.exe" /spath="%USERPROFILE%\AppData\Local\Temp\OnboardLogs" /stypes="*4022*201701122*" /stext=" 23:.+((SYSTEM_STATE.+slice.+state.+changed )|(ment ac)|(multiple cpu faults)|(system.+state.+changed )|(\[timeout)|(PRM\|1\|D)|(kpr)|(kdp)|(\|lc)|(penalty))" /e /r /s</v>
      </c>
      <c r="U9" s="9" t="str">
        <f t="shared" si="2"/>
        <v>4022</v>
      </c>
      <c r="V9" s="33">
        <f t="shared" si="3"/>
        <v>42747.995324074072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arrival","project_id":79,"tracker_id":40,"status_id":1,"priority_id":2,"assigned_to_id":23,"start_date":"2017-01-12","description":"","custom_fields":[{"id":1,"name":"Subdivision","value":"EC"},{"id":4,"name":"Milepost","value":"3.083"},{"id":17,"name":"Train ID","value":"205-12"},{"id":16,"name":"Locomotive ID","value":"4022"},{"id":130,"name":"Impact","value":""},{"id":150,"name":"Time of Event (Mountain Time)","value":"16:53:16"},{"id":151,"name":"Denver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"%USERPROFILE%\AppData\Local\Temp\OnboardLogs"\RTDC4022\*4022*201701122*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"%USERPROFILE%\AppData\Local\Temp\OnboardLogs"\RTDC4022\*4022*201701122* &gt;&gt; 2017-01-12-SliceDisagreementCheck.txt</v>
      </c>
      <c r="AE9" s="183" t="str">
        <f t="shared" si="8"/>
        <v>start /low /b %USERPROFILE%\Documents\GitHub\eaglep3\Utilities\DownloadLogsFromS3.py --loco 4022 --day 2017-01-12</v>
      </c>
    </row>
    <row r="10" spans="1:31" s="1" customFormat="1" x14ac:dyDescent="0.25">
      <c r="A10" s="33">
        <v>42747.99428240741</v>
      </c>
      <c r="B10" s="31" t="s">
        <v>509</v>
      </c>
      <c r="C10" s="31" t="s">
        <v>534</v>
      </c>
      <c r="D10" s="31" t="s">
        <v>98</v>
      </c>
      <c r="E10" s="31" t="s">
        <v>231</v>
      </c>
      <c r="F10" s="44">
        <v>450</v>
      </c>
      <c r="G10" s="44">
        <v>504</v>
      </c>
      <c r="H10" s="44">
        <v>53272</v>
      </c>
      <c r="I10" s="44">
        <v>51637</v>
      </c>
      <c r="J10" s="31" t="s">
        <v>232</v>
      </c>
      <c r="K10" s="44">
        <v>53277</v>
      </c>
      <c r="L10" s="150" t="s">
        <v>51</v>
      </c>
      <c r="M10" s="151">
        <f t="shared" si="0"/>
        <v>-865.92</v>
      </c>
      <c r="N10" s="152" t="str">
        <f>VLOOKUP(C10,'Trips&amp;Operators'!$C$1:$G$99999,5,FALSE)</f>
        <v>HILLS DUSTIN</v>
      </c>
      <c r="O10" s="179" t="s">
        <v>193</v>
      </c>
      <c r="P10" s="153" t="s">
        <v>313</v>
      </c>
      <c r="Q10" s="31"/>
      <c r="R10" s="96" t="str">
        <f>VLOOKUP(C10,'Train Runs'!$A$13:$AE$9978,31,0)</f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S10" s="99" t="str">
        <f>VLOOKUP(C10,'Train Runs'!$A$13:$AE$9978,22,0)</f>
        <v>https://search-rtdc-monitor-bjffxe2xuh6vdkpspy63sjmuny.us-east-1.es.amazonaws.com/_plugin/kibana/#/discover/Steve-Slow-Train-Analysis-(2080s-and-2083s)?_g=(refreshInterval:(display:Off,section:0,value:0),time:(from:'2017-01-12 22:09:01-700',mode:absolute,to:'2017-01-13 01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10" s="101" t="str">
        <f t="shared" si="1"/>
        <v>"C:\Program Files (x86)\AstroGrep\AstroGrep.exe" /spath="%USERPROFILE%\AppData\Local\Temp\OnboardLogs" /stypes="*4021*201701130*" /stext=" 06:.+((SYSTEM_STATE.+slice.+state.+changed )|(ment ac)|(multiple cpu faults)|(system.+state.+changed )|(\[timeout)|(PRM\|1\|D)|(kpr)|(kdp)|(\|lc)|(penalty))" /e /r /s</v>
      </c>
      <c r="U10" s="9" t="str">
        <f t="shared" si="2"/>
        <v>4021</v>
      </c>
      <c r="V10" s="33">
        <f t="shared" si="3"/>
        <v>42748.285949074074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arrival","project_id":79,"tracker_id":40,"status_id":1,"priority_id":2,"assigned_to_id":23,"start_date":"2017-01-12","description":"","custom_fields":[{"id":1,"name":"Subdivision","value":"EC"},{"id":4,"name":"Milepost","value":"5.3277"},{"id":17,"name":"Train ID","value":"236-12"},{"id":16,"name":"Locomotive ID","value":"4021"},{"id":130,"name":"Impact","value":""},{"id":150,"name":"Time of Event (Mountain Time)","value":"23:51:46"},{"id":151,"name":"Denver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"%USERPROFILE%\AppData\Local\Temp\OnboardLogs"\RTDC4021\*4021*201701130*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"%USERPROFILE%\AppData\Local\Temp\OnboardLogs"\RTDC4021\*4021*201701130* &gt;&gt; 2017-01-12-SliceDisagreementCheck.txt</v>
      </c>
      <c r="AE10" s="183" t="str">
        <f t="shared" si="8"/>
        <v>start /low /b %USERPROFILE%\Documents\GitHub\eaglep3\Utilities\DownloadLogsFromS3.py --loco 4021 --day 2017-01-13</v>
      </c>
    </row>
    <row r="11" spans="1:31" s="1" customFormat="1" x14ac:dyDescent="0.25">
      <c r="A11" s="33">
        <v>42747.452025462961</v>
      </c>
      <c r="B11" s="31" t="s">
        <v>522</v>
      </c>
      <c r="C11" s="31" t="s">
        <v>523</v>
      </c>
      <c r="D11" s="31" t="s">
        <v>49</v>
      </c>
      <c r="E11" s="31" t="s">
        <v>231</v>
      </c>
      <c r="F11" s="44">
        <v>0</v>
      </c>
      <c r="G11" s="44">
        <v>331</v>
      </c>
      <c r="H11" s="44">
        <v>58985</v>
      </c>
      <c r="I11" s="44">
        <v>58578</v>
      </c>
      <c r="J11" s="31" t="s">
        <v>232</v>
      </c>
      <c r="K11" s="44">
        <v>58904</v>
      </c>
      <c r="L11" s="150" t="s">
        <v>51</v>
      </c>
      <c r="M11" s="151">
        <f t="shared" si="0"/>
        <v>-172.12799999999999</v>
      </c>
      <c r="N11" s="152" t="str">
        <f>VLOOKUP(C11,'Trips&amp;Operators'!$C$1:$G$99999,5,FALSE)</f>
        <v>ROBINSON KADDIBA</v>
      </c>
      <c r="O11" s="179" t="s">
        <v>193</v>
      </c>
      <c r="P11" s="153" t="s">
        <v>313</v>
      </c>
      <c r="Q11" s="31"/>
      <c r="R11" s="96" t="str">
        <f>VLOOKUP(C11,'Train Runs'!$A$13:$AE$9978,31,0)</f>
        <v>aws s3 cp s3://rtdc.mdm.uploadarchive.raw/RTDC4028/ "%USERPROFILE%\AppData\Local\Temp\OnboardLogs"\RTDC4028\2017-01-12 --exclude "*" --recursive --include "*20170112*" &amp; "%USERPROFILE%\Documents\GitHub\mrs-test-scripts\Headless Mode &amp; Sideloading\WalkAndUnGZ.bat" "%USERPROFILE%\AppData\Local\Temp\OnboardLogs"\RTDC4028\2017-01-12 &amp; 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</v>
      </c>
      <c r="S11" s="99" t="str">
        <f>VLOOKUP(C11,'Train Runs'!$A$13:$AE$9978,22,0)</f>
        <v>https://search-rtdc-monitor-bjffxe2xuh6vdkpspy63sjmuny.us-east-1.es.amazonaws.com/_plugin/kibana/#/discover/Steve-Slow-Train-Analysis-(2080s-and-2083s)?_g=(refreshInterval:(display:Off,section:0,value:0),time:(from:'2017-01-12 09:15:42-700',mode:absolute,to:'2017-01-12 11:55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T11" s="101" t="str">
        <f t="shared" si="1"/>
        <v>"C:\Program Files (x86)\AstroGrep\AstroGrep.exe" /spath="%USERPROFILE%\AppData\Local\Temp\OnboardLogs" /stypes="*4028*201701121*" /stext=" 17:.+((SYSTEM_STATE.+slice.+state.+changed )|(ment ac)|(multiple cpu faults)|(system.+state.+changed )|(\[timeout)|(PRM\|1\|D)|(kpr)|(kdp)|(\|lc)|(penalty))" /e /r /s</v>
      </c>
      <c r="U11" s="9" t="str">
        <f t="shared" si="2"/>
        <v>4028</v>
      </c>
      <c r="V11" s="33">
        <f t="shared" si="3"/>
        <v>42747.743692129625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arrival","project_id":79,"tracker_id":40,"status_id":1,"priority_id":2,"assigned_to_id":23,"start_date":"2017-01-12","description":"","custom_fields":[{"id":1,"name":"Subdivision","value":"EC"},{"id":4,"name":"Milepost","value":"5.8904"},{"id":17,"name":"Train ID","value":"148-12"},{"id":16,"name":"Locomotive ID","value":"4028"},{"id":130,"name":"Impact","value":""},{"id":150,"name":"Time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"%USERPROFILE%\AppData\Local\Temp\OnboardLogs"\RTDC4028\*4028*201701121*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"%USERPROFILE%\AppData\Local\Temp\OnboardLogs"\RTDC4028\*4028*201701121* &gt;&gt; 2017-01-12-SliceDisagreementCheck.txt</v>
      </c>
      <c r="AE11" s="183" t="str">
        <f t="shared" si="8"/>
        <v>start /low /b %USERPROFILE%\Documents\GitHub\eaglep3\Utilities\DownloadLogsFromS3.py --loco 4028 --day 2017-01-12</v>
      </c>
    </row>
    <row r="12" spans="1:31" s="1" customFormat="1" x14ac:dyDescent="0.25">
      <c r="A12" s="33">
        <v>42747.798645833333</v>
      </c>
      <c r="B12" s="31" t="s">
        <v>205</v>
      </c>
      <c r="C12" s="31" t="s">
        <v>530</v>
      </c>
      <c r="D12" s="31" t="s">
        <v>49</v>
      </c>
      <c r="E12" s="31" t="s">
        <v>277</v>
      </c>
      <c r="F12" s="44">
        <v>300</v>
      </c>
      <c r="G12" s="44">
        <v>355</v>
      </c>
      <c r="H12" s="44">
        <v>22655</v>
      </c>
      <c r="I12" s="44">
        <v>21955</v>
      </c>
      <c r="J12" s="31" t="s">
        <v>278</v>
      </c>
      <c r="K12" s="44">
        <v>21871</v>
      </c>
      <c r="L12" s="150" t="s">
        <v>51</v>
      </c>
      <c r="M12" s="151">
        <f t="shared" si="0"/>
        <v>44.351999999999997</v>
      </c>
      <c r="N12" s="152" t="str">
        <f>VLOOKUP(C12,'Trips&amp;Operators'!$C$1:$G$99999,5,FALSE)</f>
        <v>ARVIDSON DANIEL</v>
      </c>
      <c r="O12" s="179" t="s">
        <v>193</v>
      </c>
      <c r="P12" s="153"/>
      <c r="Q12" s="31"/>
      <c r="R12" s="96" t="str">
        <f>VLOOKUP(C12,'Train Runs'!$A$13:$AE$9978,31,0)</f>
        <v>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 &amp; aws s3 cp s3://rtdc.mdm.uploadarchive.raw/RTDC4012/ "%USERPROFILE%\AppData\Local\Temp\OnboardLogs"\RTDC4012\2017-01-13 --exclude "*" --recursive --include "*20170113*" &amp; "%USERPROFILE%\Documents\GitHub\mrs-test-scripts\Headless Mode &amp; Sideloading\WalkAndUnGZ.bat" "%USERPROFILE%\AppData\Local\Temp\OnboardLogs"\RTDC4012\2017-01-13</v>
      </c>
      <c r="S12" s="99" t="str">
        <f>VLOOKUP(C12,'Train Runs'!$A$13:$AE$9978,22,0)</f>
        <v>https://search-rtdc-monitor-bjffxe2xuh6vdkpspy63sjmuny.us-east-1.es.amazonaws.com/_plugin/kibana/#/discover/Steve-Slow-Train-Analysis-(2080s-and-2083s)?_g=(refreshInterval:(display:Off,section:0,value:0),time:(from:'2017-01-12 17:22:34-700',mode:absolute,to:'2017-01-12 20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T12" s="101" t="str">
        <f t="shared" si="1"/>
        <v>"C:\Program Files (x86)\AstroGrep\AstroGrep.exe" /spath="%USERPROFILE%\AppData\Local\Temp\OnboardLogs" /stypes="*4012*201701130*" /stext=" 02:.+((SYSTEM_STATE.+slice.+state.+changed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3">
        <f t="shared" si="3"/>
        <v>42748.090312499997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{"issue":{"subject":"","project_id":79,"tracker_id":40,"status_id":1,"priority_id":2,"assigned_to_id":23,"start_date":"2017-01-12","description":"","custom_fields":[{"id":1,"name":"Subdivision","value":"EC"},{"id":4,"name":"Milepost","value":"2.1871"},{"id":17,"name":"Train ID","value":"212-12"},{"id":16,"name":"Locomotive ID","value":"4012"},{"id":130,"name":"Impact","value":""},{"id":150,"name":"Time of Event (Mountain Time)","value":"19:10:03"},{"id":151,"name":"Denver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"%USERPROFILE%\AppData\Local\Temp\OnboardLogs"\RTDC4012\*4012*201701130*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"%USERPROFILE%\AppData\Local\Temp\OnboardLogs"\RTDC4012\*4012*201701130* &gt;&gt; 2017-01-12-SliceDisagreementCheck.txt</v>
      </c>
      <c r="AE12" s="183" t="str">
        <f t="shared" si="8"/>
        <v>start /low /b %USERPROFILE%\Documents\GitHub\eaglep3\Utilities\DownloadLogsFromS3.py --loco 4012 --day 2017-01-13</v>
      </c>
    </row>
    <row r="13" spans="1:31" s="1" customFormat="1" x14ac:dyDescent="0.25">
      <c r="A13" s="33">
        <v>42747.797951388886</v>
      </c>
      <c r="B13" s="31" t="s">
        <v>247</v>
      </c>
      <c r="C13" s="31" t="s">
        <v>529</v>
      </c>
      <c r="D13" s="31" t="s">
        <v>98</v>
      </c>
      <c r="E13" s="31" t="s">
        <v>194</v>
      </c>
      <c r="F13" s="44">
        <v>0</v>
      </c>
      <c r="G13" s="44">
        <v>83</v>
      </c>
      <c r="H13" s="44">
        <v>1812</v>
      </c>
      <c r="I13" s="44">
        <v>1934</v>
      </c>
      <c r="J13" s="31" t="s">
        <v>195</v>
      </c>
      <c r="K13" s="44">
        <v>1692</v>
      </c>
      <c r="L13" s="150" t="s">
        <v>50</v>
      </c>
      <c r="M13" s="151">
        <f t="shared" si="0"/>
        <v>-127.776</v>
      </c>
      <c r="N13" s="152" t="str">
        <f>VLOOKUP(C13,'Trips&amp;Operators'!$C$1:$G$99999,5,FALSE)</f>
        <v>MACDONALD THOMAS</v>
      </c>
      <c r="O13" s="179" t="s">
        <v>193</v>
      </c>
      <c r="P13" s="153" t="s">
        <v>947</v>
      </c>
      <c r="Q13" s="31"/>
      <c r="R13" s="96" t="str">
        <f>VLOOKUP(C13,'Train Runs'!$A$13:$AE$9978,31,0)</f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S13" s="99" t="str">
        <f>VLOOKUP(C13,'Train Runs'!$A$13:$AE$9978,22,0)</f>
        <v>https://search-rtdc-monitor-bjffxe2xuh6vdkpspy63sjmuny.us-east-1.es.amazonaws.com/_plugin/kibana/#/discover/Steve-Slow-Train-Analysis-(2080s-and-2083s)?_g=(refreshInterval:(display:Off,section:0,value:0),time:(from:'2017-01-12 18:06:07-700',mode:absolute,to:'2017-01-12 20:09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T13" s="101" t="str">
        <f t="shared" si="1"/>
        <v>"C:\Program Files (x86)\AstroGrep\AstroGrep.exe" /spath="%USERPROFILE%\AppData\Local\Temp\OnboardLogs" /stypes="*4003*201701130*" /stext=" 02:.+((SYSTEM_STATE.+slice.+state.+changed )|(ment ac)|(multiple cpu faults)|(system.+state.+changed )|(\[timeout)|(PRM\|1\|D)|(kpr)|(kdp)|(\|lc)|(penalty))" /e /r /s</v>
      </c>
      <c r="U13" s="9" t="str">
        <f t="shared" si="2"/>
        <v>4003</v>
      </c>
      <c r="V13" s="33">
        <f t="shared" si="3"/>
        <v>42748.08961805555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{"issue":{"subject":"Main 3 departure","project_id":79,"tracker_id":40,"status_id":1,"priority_id":2,"assigned_to_id":23,"start_date":"2017-01-12","description":"","custom_fields":[{"id":1,"name":"Subdivision","value":"EC"},{"id":4,"name":"Milepost","value":"0.1692"},{"id":17,"name":"Train ID","value":"221-12"},{"id":16,"name":"Locomotive ID","value":"4003"},{"id":130,"name":"Impact","value":""},{"id":150,"name":"Time of Event (Mountain Time)","value":"19:09:03"},{"id":151,"name":"Denver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"%USERPROFILE%\AppData\Local\Temp\OnboardLogs"\RTDC4003\*4003*201701130*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"%USERPROFILE%\AppData\Local\Temp\OnboardLogs"\RTDC4003\*4003*201701130* &gt;&gt; 2017-01-12-SliceDisagreementCheck.txt</v>
      </c>
      <c r="AE13" s="183" t="str">
        <f t="shared" si="8"/>
        <v>start /low /b %USERPROFILE%\Documents\GitHub\eaglep3\Utilities\DownloadLogsFromS3.py --loco 4003 --day 2017-01-13</v>
      </c>
    </row>
    <row r="14" spans="1:31" s="1" customFormat="1" x14ac:dyDescent="0.25">
      <c r="A14" s="33">
        <v>42747.807384259257</v>
      </c>
      <c r="B14" s="31" t="s">
        <v>247</v>
      </c>
      <c r="C14" s="31" t="s">
        <v>529</v>
      </c>
      <c r="D14" s="31" t="s">
        <v>98</v>
      </c>
      <c r="E14" s="31" t="s">
        <v>194</v>
      </c>
      <c r="F14" s="44">
        <v>200</v>
      </c>
      <c r="G14" s="44">
        <v>263</v>
      </c>
      <c r="H14" s="44">
        <v>19850</v>
      </c>
      <c r="I14" s="44">
        <v>20515</v>
      </c>
      <c r="J14" s="31" t="s">
        <v>195</v>
      </c>
      <c r="K14" s="44">
        <v>10800</v>
      </c>
      <c r="L14" s="150" t="s">
        <v>50</v>
      </c>
      <c r="M14" s="151">
        <f t="shared" si="0"/>
        <v>-5129.5200000000004</v>
      </c>
      <c r="N14" s="152" t="str">
        <f>VLOOKUP(C14,'Trips&amp;Operators'!$C$1:$G$99999,5,FALSE)</f>
        <v>MACDONALD THOMAS</v>
      </c>
      <c r="O14" s="179" t="s">
        <v>193</v>
      </c>
      <c r="P14" s="153" t="s">
        <v>947</v>
      </c>
      <c r="Q14" s="31"/>
      <c r="R14" s="96" t="str">
        <f>VLOOKUP(C14,'Train Runs'!$A$13:$AE$9978,31,0)</f>
        <v>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 &amp; aws s3 cp s3://rtdc.mdm.uploadarchive.raw/RTDC4003/ "%USERPROFILE%\AppData\Local\Temp\OnboardLogs"\RTDC4003\2017-01-13 --exclude "*" --recursive --include "*20170113*" &amp; "%USERPROFILE%\Documents\GitHub\mrs-test-scripts\Headless Mode &amp; Sideloading\WalkAndUnGZ.bat" "%USERPROFILE%\AppData\Local\Temp\OnboardLogs"\RTDC4003\2017-01-13</v>
      </c>
      <c r="S14" s="99" t="str">
        <f>VLOOKUP(C14,'Train Runs'!$A$13:$AE$9978,22,0)</f>
        <v>https://search-rtdc-monitor-bjffxe2xuh6vdkpspy63sjmuny.us-east-1.es.amazonaws.com/_plugin/kibana/#/discover/Steve-Slow-Train-Analysis-(2080s-and-2083s)?_g=(refreshInterval:(display:Off,section:0,value:0),time:(from:'2017-01-12 18:06:07-700',mode:absolute,to:'2017-01-12 20:09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T14" s="101" t="str">
        <f t="shared" si="1"/>
        <v>"C:\Program Files (x86)\AstroGrep\AstroGrep.exe" /spath="%USERPROFILE%\AppData\Local\Temp\OnboardLogs" /stypes="*4003*201701130*" /stext=" 02:.+((SYSTEM_STATE.+slice.+state.+changed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3">
        <f t="shared" si="3"/>
        <v>42748.099050925921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{"issue":{"subject":"Main 3 departure","project_id":79,"tracker_id":40,"status_id":1,"priority_id":2,"assigned_to_id":23,"start_date":"2017-01-12","description":"","custom_fields":[{"id":1,"name":"Subdivision","value":"EC"},{"id":4,"name":"Milepost","value":"1.08"},{"id":17,"name":"Train ID","value":"221-12"},{"id":16,"name":"Locomotive ID","value":"4003"},{"id":130,"name":"Impact","value":""},{"id":150,"name":"Time of Event (Mountain Time)","value":"19:22:38"},{"id":151,"name":"Denver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"%USERPROFILE%\AppData\Local\Temp\OnboardLogs"\RTDC4003\*4003*201701130*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"%USERPROFILE%\AppData\Local\Temp\OnboardLogs"\RTDC4003\*4003*201701130* &gt;&gt; 2017-01-12-SliceDisagreementCheck.txt</v>
      </c>
      <c r="AE14" s="183" t="str">
        <f t="shared" si="8"/>
        <v>start /low /b %USERPROFILE%\Documents\GitHub\eaglep3\Utilities\DownloadLogsFromS3.py --loco 4003 --day 2017-01-13</v>
      </c>
    </row>
    <row r="15" spans="1:31" s="1" customFormat="1" x14ac:dyDescent="0.25">
      <c r="A15" s="33">
        <v>42747.225034722222</v>
      </c>
      <c r="B15" s="31" t="s">
        <v>200</v>
      </c>
      <c r="C15" s="31" t="s">
        <v>519</v>
      </c>
      <c r="D15" s="31" t="s">
        <v>49</v>
      </c>
      <c r="E15" s="31" t="s">
        <v>194</v>
      </c>
      <c r="F15" s="44">
        <v>0</v>
      </c>
      <c r="G15" s="44">
        <v>348</v>
      </c>
      <c r="H15" s="44">
        <v>36476</v>
      </c>
      <c r="I15" s="44">
        <v>37011</v>
      </c>
      <c r="J15" s="31" t="s">
        <v>195</v>
      </c>
      <c r="K15" s="44">
        <v>36645</v>
      </c>
      <c r="L15" s="150" t="s">
        <v>50</v>
      </c>
      <c r="M15" s="151">
        <f t="shared" si="0"/>
        <v>-193.24799999999999</v>
      </c>
      <c r="N15" s="152" t="str">
        <f>VLOOKUP(C15,'Trips&amp;Operators'!$C$1:$G$99999,5,FALSE)</f>
        <v>ISHMAEL JOSEPH</v>
      </c>
      <c r="O15" s="179" t="s">
        <v>279</v>
      </c>
      <c r="P15" s="153" t="s">
        <v>943</v>
      </c>
      <c r="Q15" s="31"/>
      <c r="R15" s="96" t="str">
        <f>VLOOKUP(C15,'Train Runs'!$A$13:$AE$9978,31,0)</f>
        <v>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 &amp; aws s3 cp s3://rtdc.mdm.uploadarchive.raw/RTDC4011/ "%USERPROFILE%\AppData\Local\Temp\OnboardLogs"\RTDC4011\2017-01-13 --exclude "*" --recursive --include "*20170113*" &amp; "%USERPROFILE%\Documents\GitHub\mrs-test-scripts\Headless Mode &amp; Sideloading\WalkAndUnGZ.bat" "%USERPROFILE%\AppData\Local\Temp\OnboardLogs"\RTDC4011\2017-01-13</v>
      </c>
      <c r="S15" s="99" t="str">
        <f>VLOOKUP(C15,'Train Runs'!$A$13:$AE$9978,22,0)</f>
        <v>https://search-rtdc-monitor-bjffxe2xuh6vdkpspy63sjmuny.us-east-1.es.amazonaws.com/_plugin/kibana/#/discover/Steve-Slow-Train-Analysis-(2080s-and-2083s)?_g=(refreshInterval:(display:Off,section:0,value:0),time:(from:'2017-01-12 04:05:02-700',mode:absolute,to:'2017-01-12 06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T15" s="101" t="str">
        <f t="shared" si="1"/>
        <v>"C:\Program Files (x86)\AstroGrep\AstroGrep.exe" /spath="%USERPROFILE%\AppData\Local\Temp\OnboardLogs" /stypes="*4011*201701121*" /stext=" 12:.+((SYSTEM_STATE.+slice.+state.+changed )|(ment ac)|(multiple cpu faults)|(system.+state.+changed )|(\[timeout)|(PRM\|1\|D)|(kpr)|(kdp)|(\|lc)|(penalty))" /e /r /s</v>
      </c>
      <c r="U15" s="9" t="str">
        <f t="shared" si="2"/>
        <v>4011</v>
      </c>
      <c r="V15" s="33">
        <f t="shared" si="3"/>
        <v>42747.516701388886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{"issue":{"subject":"EC0365RH 27-1T 1N premature downgrade","project_id":79,"tracker_id":40,"status_id":1,"priority_id":2,"assigned_to_id":23,"start_date":"2017-01-12","description":"At 05:23:46, EC0365RH 27-1T 1N dropped from 270 to STOP &amp; PROCEED while the train was still approaching. Do logs tell of anything unusual at this time?","custom_fields":[{"id":1,"name":"Subdivision","value":"EC"},{"id":4,"name":"Milepost","value":"3.6645"},{"id":17,"name":"Train ID","value":"113-12"},{"id":16,"name":"Locomotive ID","value":"4011"},{"id":130,"name":"Impact","value":"Enforcement"},{"id":150,"name":"Time of Event (Mountain Time)","value":"05:24:03"},{"id":151,"name":"Denver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50" t="s">
        <v>942</v>
      </c>
      <c r="AA15" s="50" t="s">
        <v>125</v>
      </c>
      <c r="AB15" s="50" t="s">
        <v>130</v>
      </c>
      <c r="AC15" s="134" t="str">
        <f t="shared" si="7"/>
        <v>grep -hSE -A400 "Enforcement Action" "%USERPROFILE%\AppData\Local\Temp\OnboardLogs"\RTDC4011\*4011*201701121*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"%USERPROFILE%\AppData\Local\Temp\OnboardLogs"\RTDC4011\*4011*201701121* &gt;&gt; 2017-01-12-SliceDisagreementCheck.txt</v>
      </c>
      <c r="AE15" s="183" t="str">
        <f t="shared" si="8"/>
        <v>start /low /b %USERPROFILE%\Documents\GitHub\eaglep3\Utilities\DownloadLogsFromS3.py --loco 4011 --day 2017-01-12</v>
      </c>
    </row>
    <row r="16" spans="1:31" s="1" customFormat="1" x14ac:dyDescent="0.25">
      <c r="A16" s="33">
        <v>42747.223425925928</v>
      </c>
      <c r="B16" s="31" t="s">
        <v>245</v>
      </c>
      <c r="C16" s="31" t="s">
        <v>518</v>
      </c>
      <c r="D16" s="31" t="s">
        <v>49</v>
      </c>
      <c r="E16" s="31" t="s">
        <v>196</v>
      </c>
      <c r="F16" s="44">
        <v>0</v>
      </c>
      <c r="G16" s="44">
        <v>56</v>
      </c>
      <c r="H16" s="44">
        <v>232</v>
      </c>
      <c r="I16" s="44">
        <v>174</v>
      </c>
      <c r="J16" s="31" t="s">
        <v>197</v>
      </c>
      <c r="K16" s="44">
        <v>1</v>
      </c>
      <c r="L16" s="150" t="s">
        <v>51</v>
      </c>
      <c r="M16" s="151">
        <f t="shared" si="0"/>
        <v>91.343999999999994</v>
      </c>
      <c r="N16" s="152" t="str">
        <f>VLOOKUP(C16,'Trips&amp;Operators'!$C$1:$G$99999,5,FALSE)</f>
        <v>BONDS REYNALDO</v>
      </c>
      <c r="O16" s="179" t="s">
        <v>193</v>
      </c>
      <c r="P16" s="153"/>
      <c r="Q16" s="31"/>
      <c r="R16" s="96" t="str">
        <f>VLOOKUP(C16,'Train Runs'!$A$13:$AE$9978,31,0)</f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S16" s="99" t="str">
        <f>VLOOKUP(C16,'Train Runs'!$A$13:$AE$9978,22,0)</f>
        <v>https://search-rtdc-monitor-bjffxe2xuh6vdkpspy63sjmuny.us-east-1.es.amazonaws.com/_plugin/kibana/#/discover/Steve-Slow-Train-Analysis-(2080s-and-2083s)?_g=(refreshInterval:(display:Off,section:0,value:0),time:(from:'2017-01-12 03:36:45-700',mode:absolute,to:'2017-01-12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16" s="101" t="str">
        <f t="shared" si="1"/>
        <v>"C:\Program Files (x86)\AstroGrep\AstroGrep.exe" /spath="%USERPROFILE%\AppData\Local\Temp\OnboardLogs" /stypes="*4013*201701121*" /stext=" 12:.+((SYSTEM_STATE.+slice.+state.+changed )|(ment ac)|(multiple cpu faults)|(system.+state.+changed )|(\[timeout)|(PRM\|1\|D)|(kpr)|(kdp)|(\|lc)|(penalty))" /e /r /s</v>
      </c>
      <c r="U16" s="9" t="str">
        <f t="shared" si="2"/>
        <v>4013</v>
      </c>
      <c r="V16" s="33">
        <f t="shared" si="3"/>
        <v>42747.515092592592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{"issue":{"subject":"","project_id":79,"tracker_id":40,"status_id":1,"priority_id":2,"assigned_to_id":23,"start_date":"2017-01-12","description":"","custom_fields":[{"id":1,"name":"Subdivision","value":"EC"},{"id":4,"name":"Milepost","value":"0.0001"},{"id":17,"name":"Train ID","value":"104-12"},{"id":16,"name":"Locomotive ID","value":"4013"},{"id":130,"name":"Impact","value":""},{"id":150,"name":"Time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"%USERPROFILE%\AppData\Local\Temp\OnboardLogs"\RTDC4013\*4013*201701121*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"%USERPROFILE%\AppData\Local\Temp\OnboardLogs"\RTDC4013\*4013*201701121* &gt;&gt; 2017-01-12-SliceDisagreementCheck.txt</v>
      </c>
      <c r="AE16" s="183" t="str">
        <f t="shared" si="8"/>
        <v>start /low /b %USERPROFILE%\Documents\GitHub\eaglep3\Utilities\DownloadLogsFromS3.py --loco 4013 --day 2017-01-12</v>
      </c>
    </row>
    <row r="17" spans="1:32" x14ac:dyDescent="0.25">
      <c r="A17" s="33">
        <v>42747.639421296299</v>
      </c>
      <c r="B17" s="31" t="s">
        <v>290</v>
      </c>
      <c r="C17" s="31" t="s">
        <v>524</v>
      </c>
      <c r="D17" s="31" t="s">
        <v>49</v>
      </c>
      <c r="E17" s="31" t="s">
        <v>196</v>
      </c>
      <c r="F17" s="44">
        <v>0</v>
      </c>
      <c r="G17" s="44">
        <v>33</v>
      </c>
      <c r="H17" s="44">
        <v>107</v>
      </c>
      <c r="I17" s="44">
        <v>88</v>
      </c>
      <c r="J17" s="31" t="s">
        <v>197</v>
      </c>
      <c r="K17" s="44">
        <v>1</v>
      </c>
      <c r="L17" s="150" t="s">
        <v>51</v>
      </c>
      <c r="M17" s="151">
        <f t="shared" si="0"/>
        <v>45.936</v>
      </c>
      <c r="N17" s="152" t="str">
        <f>VLOOKUP(C17,'Trips&amp;Operators'!$C$1:$G$99999,5,FALSE)</f>
        <v>ARVIDSON DANIEL</v>
      </c>
      <c r="O17" s="179" t="s">
        <v>193</v>
      </c>
      <c r="P17" s="153"/>
      <c r="Q17" s="31"/>
      <c r="R17" s="96" t="str">
        <f>VLOOKUP(C17,'Train Runs'!$A$13:$AE$9978,31,0)</f>
        <v>aws s3 cp s3://rtdc.mdm.uploadarchive.raw/RTDC4019/ "%USERPROFILE%\AppData\Local\Temp\OnboardLogs"\RTDC4019\2017-01-12 --exclude "*" --recursive --include "*20170112*" &amp; "%USERPROFILE%\Documents\GitHub\mrs-test-scripts\Headless Mode &amp; Sideloading\WalkAndUnGZ.bat" "%USERPROFILE%\AppData\Local\Temp\OnboardLogs"\RTDC4019\2017-01-12 &amp; 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</v>
      </c>
      <c r="S17" s="99" t="str">
        <f>VLOOKUP(C17,'Train Runs'!$A$13:$AE$9978,22,0)</f>
        <v>https://search-rtdc-monitor-bjffxe2xuh6vdkpspy63sjmuny.us-east-1.es.amazonaws.com/_plugin/kibana/#/discover/Steve-Slow-Train-Analysis-(2080s-and-2083s)?_g=(refreshInterval:(display:Off,section:0,value:0),time:(from:'2017-01-12 13:36:11-700',mode:absolute,to:'2017-01-12 16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T17" s="101" t="str">
        <f t="shared" si="1"/>
        <v>"C:\Program Files (x86)\AstroGrep\AstroGrep.exe" /spath="%USERPROFILE%\AppData\Local\Temp\OnboardLogs" /stypes="*4019*201701122*" /stext=" 22:.+((SYSTEM_STATE.+slice.+state.+changed )|(ment ac)|(multiple cpu faults)|(system.+state.+changed )|(\[timeout)|(PRM\|1\|D)|(kpr)|(kdp)|(\|lc)|(penalty))" /e /r /s</v>
      </c>
      <c r="U17" s="9" t="str">
        <f t="shared" si="2"/>
        <v>4019</v>
      </c>
      <c r="V17" s="33">
        <f t="shared" si="3"/>
        <v>42747.931087962963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{"issue":{"subject":"","project_id":79,"tracker_id":40,"status_id":1,"priority_id":2,"assigned_to_id":23,"start_date":"2017-01-12","description":"","custom_fields":[{"id":1,"name":"Subdivision","value":"EC"},{"id":4,"name":"Milepost","value":"0.0001"},{"id":17,"name":"Train ID","value":"182-12"},{"id":16,"name":"Locomotive ID","value":"4019"},{"id":130,"name":"Impact","value":""},{"id":150,"name":"Time of Event (Mountain Time)","value":"15:20:46"},{"id":151,"name":"Denver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"%USERPROFILE%\AppData\Local\Temp\OnboardLogs"\RTDC4019\*4019*201701122*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"%USERPROFILE%\AppData\Local\Temp\OnboardLogs"\RTDC4019\*4019*201701122* &gt;&gt; 2017-01-12-SliceDisagreementCheck.txt</v>
      </c>
      <c r="AE17" s="183" t="str">
        <f t="shared" si="8"/>
        <v>start /low /b %USERPROFILE%\Documents\GitHub\eaglep3\Utilities\DownloadLogsFromS3.py --loco 4019 --day 2017-01-12</v>
      </c>
      <c r="AF17" s="1"/>
    </row>
    <row r="18" spans="1:32" ht="15" customHeight="1" x14ac:dyDescent="0.25">
      <c r="A18" s="33">
        <v>42747.764386574076</v>
      </c>
      <c r="B18" s="31" t="s">
        <v>509</v>
      </c>
      <c r="C18" s="31" t="s">
        <v>528</v>
      </c>
      <c r="D18" s="31" t="s">
        <v>49</v>
      </c>
      <c r="E18" s="31" t="s">
        <v>196</v>
      </c>
      <c r="F18" s="44">
        <v>0</v>
      </c>
      <c r="G18" s="44">
        <v>45</v>
      </c>
      <c r="H18" s="44">
        <v>169</v>
      </c>
      <c r="I18" s="44">
        <v>130</v>
      </c>
      <c r="J18" s="31" t="s">
        <v>197</v>
      </c>
      <c r="K18" s="44">
        <v>1</v>
      </c>
      <c r="L18" s="150" t="s">
        <v>51</v>
      </c>
      <c r="M18" s="151">
        <f t="shared" si="0"/>
        <v>68.111999999999995</v>
      </c>
      <c r="N18" s="152" t="str">
        <f>VLOOKUP(C18,'Trips&amp;Operators'!$C$1:$G$99999,5,FALSE)</f>
        <v>BRUDER RICHARD</v>
      </c>
      <c r="O18" s="179" t="s">
        <v>193</v>
      </c>
      <c r="P18" s="153"/>
      <c r="Q18" s="31"/>
      <c r="R18" s="96" t="str">
        <f>VLOOKUP(C18,'Train Runs'!$A$13:$AE$9978,31,0)</f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S18" s="99" t="str">
        <f>VLOOKUP(C18,'Train Runs'!$A$13:$AE$9978,22,0)</f>
        <v>https://search-rtdc-monitor-bjffxe2xuh6vdkpspy63sjmuny.us-east-1.es.amazonaws.com/_plugin/kibana/#/discover/Steve-Slow-Train-Analysis-(2080s-and-2083s)?_g=(refreshInterval:(display:Off,section:0,value:0),time:(from:'2017-01-12 16:29:54-700',mode:absolute,to:'2017-01-12 19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18" s="101" t="str">
        <f t="shared" si="1"/>
        <v>"C:\Program Files (x86)\AstroGrep\AstroGrep.exe" /spath="%USERPROFILE%\AppData\Local\Temp\OnboardLogs" /stypes="*4021*201701130*" /stext=" 01:.+((SYSTEM_STATE.+slice.+state.+changed )|(ment ac)|(multiple cpu faults)|(system.+state.+changed )|(\[timeout)|(PRM\|1\|D)|(kpr)|(kdp)|(\|lc)|(penalty))" /e /r /s</v>
      </c>
      <c r="U18" s="9" t="str">
        <f t="shared" si="2"/>
        <v>4021</v>
      </c>
      <c r="V18" s="33">
        <f t="shared" si="3"/>
        <v>42748.05605324074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{"issue":{"subject":"","project_id":79,"tracker_id":40,"status_id":1,"priority_id":2,"assigned_to_id":23,"start_date":"2017-01-12","description":"","custom_fields":[{"id":1,"name":"Subdivision","value":"EC"},{"id":4,"name":"Milepost","value":"0.0001"},{"id":17,"name":"Train ID","value":"206-12"},{"id":16,"name":"Locomotive ID","value":"4021"},{"id":130,"name":"Impact","value":""},{"id":150,"name":"Time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"%USERPROFILE%\AppData\Local\Temp\OnboardLogs"\RTDC4021\*4021*201701130*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"%USERPROFILE%\AppData\Local\Temp\OnboardLogs"\RTDC4021\*4021*201701130* &gt;&gt; 2017-01-12-SliceDisagreementCheck.txt</v>
      </c>
      <c r="AE18" s="183" t="str">
        <f t="shared" si="8"/>
        <v>start /low /b %USERPROFILE%\Documents\GitHub\eaglep3\Utilities\DownloadLogsFromS3.py --loco 4021 --day 2017-01-13</v>
      </c>
      <c r="AF18" s="1"/>
    </row>
    <row r="19" spans="1:32" x14ac:dyDescent="0.25">
      <c r="A19" s="33">
        <v>42747.836655092593</v>
      </c>
      <c r="B19" s="31" t="s">
        <v>509</v>
      </c>
      <c r="C19" s="31" t="s">
        <v>531</v>
      </c>
      <c r="D19" s="31" t="s">
        <v>49</v>
      </c>
      <c r="E19" s="31" t="s">
        <v>196</v>
      </c>
      <c r="F19" s="44">
        <v>0</v>
      </c>
      <c r="G19" s="44">
        <v>51</v>
      </c>
      <c r="H19" s="44">
        <v>172</v>
      </c>
      <c r="I19" s="44">
        <v>110</v>
      </c>
      <c r="J19" s="31" t="s">
        <v>197</v>
      </c>
      <c r="K19" s="44">
        <v>1</v>
      </c>
      <c r="L19" s="150" t="s">
        <v>51</v>
      </c>
      <c r="M19" s="151">
        <f t="shared" si="0"/>
        <v>57.552</v>
      </c>
      <c r="N19" s="152" t="str">
        <f>VLOOKUP(C19,'Trips&amp;Operators'!$C$1:$G$99999,5,FALSE)</f>
        <v>HILLS DUSTIN</v>
      </c>
      <c r="O19" s="179" t="s">
        <v>193</v>
      </c>
      <c r="P19" s="153"/>
      <c r="Q19" s="31"/>
      <c r="R19" s="96" t="str">
        <f>VLOOKUP(C19,'Train Runs'!$A$13:$AE$9978,31,0)</f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S19" s="99" t="str">
        <f>VLOOKUP(C19,'Train Runs'!$A$13:$AE$9978,22,0)</f>
        <v>https://search-rtdc-monitor-bjffxe2xuh6vdkpspy63sjmuny.us-east-1.es.amazonaws.com/_plugin/kibana/#/discover/Steve-Slow-Train-Analysis-(2080s-and-2083s)?_g=(refreshInterval:(display:Off,section:0,value:0),time:(from:'2017-01-12 18:10:23-700',mode:absolute,to:'2017-01-12 21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19" s="101" t="str">
        <f t="shared" si="1"/>
        <v>"C:\Program Files (x86)\AstroGrep\AstroGrep.exe" /spath="%USERPROFILE%\AppData\Local\Temp\OnboardLogs" /stypes="*4021*201701130*" /stext=" 03:.+((SYSTEM_STATE.+slice.+state.+changed )|(ment ac)|(multiple cpu faults)|(system.+state.+changed )|(\[timeout)|(PRM\|1\|D)|(kpr)|(kdp)|(\|lc)|(penalty))" /e /r /s</v>
      </c>
      <c r="U19" s="9" t="str">
        <f t="shared" si="2"/>
        <v>4021</v>
      </c>
      <c r="V19" s="33">
        <f t="shared" si="3"/>
        <v>42748.128321759257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{"issue":{"subject":"","project_id":79,"tracker_id":40,"status_id":1,"priority_id":2,"assigned_to_id":23,"start_date":"2017-01-12","description":"","custom_fields":[{"id":1,"name":"Subdivision","value":"EC"},{"id":4,"name":"Milepost","value":"0.0001"},{"id":17,"name":"Train ID","value":"220-12"},{"id":16,"name":"Locomotive ID","value":"4021"},{"id":130,"name":"Impact","value":""},{"id":150,"name":"Time of Event (Mountain Time)","value":"20:04:47"},{"id":151,"name":"Denver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"%USERPROFILE%\AppData\Local\Temp\OnboardLogs"\RTDC4021\*4021*201701130*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"%USERPROFILE%\AppData\Local\Temp\OnboardLogs"\RTDC4021\*4021*201701130* &gt;&gt; 2017-01-12-SliceDisagreementCheck.txt</v>
      </c>
      <c r="AE19" s="183" t="str">
        <f t="shared" si="8"/>
        <v>start /low /b %USERPROFILE%\Documents\GitHub\eaglep3\Utilities\DownloadLogsFromS3.py --loco 4021 --day 2017-01-13</v>
      </c>
      <c r="AF19" s="1"/>
    </row>
    <row r="20" spans="1:32" x14ac:dyDescent="0.25">
      <c r="A20" s="33">
        <v>42748.004513888889</v>
      </c>
      <c r="B20" s="31" t="s">
        <v>509</v>
      </c>
      <c r="C20" s="31" t="s">
        <v>534</v>
      </c>
      <c r="D20" s="31" t="s">
        <v>49</v>
      </c>
      <c r="E20" s="31" t="s">
        <v>196</v>
      </c>
      <c r="F20" s="44">
        <v>0</v>
      </c>
      <c r="G20" s="44">
        <v>34</v>
      </c>
      <c r="H20" s="44">
        <v>92</v>
      </c>
      <c r="I20" s="44">
        <v>76</v>
      </c>
      <c r="J20" s="31" t="s">
        <v>197</v>
      </c>
      <c r="K20" s="44">
        <v>1</v>
      </c>
      <c r="L20" s="150" t="s">
        <v>51</v>
      </c>
      <c r="M20" s="151">
        <f t="shared" si="0"/>
        <v>39.6</v>
      </c>
      <c r="N20" s="152" t="str">
        <f>VLOOKUP(C20,'Trips&amp;Operators'!$C$1:$G$99999,5,FALSE)</f>
        <v>HILLS DUSTIN</v>
      </c>
      <c r="O20" s="179" t="s">
        <v>193</v>
      </c>
      <c r="P20" s="153"/>
      <c r="Q20" s="31"/>
      <c r="R20" s="96" t="str">
        <f>VLOOKUP(C20,'Train Runs'!$A$13:$AE$9978,31,0)</f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S20" s="99" t="str">
        <f>VLOOKUP(C20,'Train Runs'!$A$13:$AE$9978,22,0)</f>
        <v>https://search-rtdc-monitor-bjffxe2xuh6vdkpspy63sjmuny.us-east-1.es.amazonaws.com/_plugin/kibana/#/discover/Steve-Slow-Train-Analysis-(2080s-and-2083s)?_g=(refreshInterval:(display:Off,section:0,value:0),time:(from:'2017-01-12 22:09:01-700',mode:absolute,to:'2017-01-13 01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20" s="101" t="str">
        <f t="shared" si="1"/>
        <v>"C:\Program Files (x86)\AstroGrep\AstroGrep.exe" /spath="%USERPROFILE%\AppData\Local\Temp\OnboardLogs" /stypes="*4021*201701130*" /stext=" 07:.+((SYSTEM_STATE.+slice.+state.+changed )|(ment ac)|(multiple cpu faults)|(system.+state.+changed )|(\[timeout)|(PRM\|1\|D)|(kpr)|(kdp)|(\|lc)|(penalty))" /e /r /s</v>
      </c>
      <c r="U20" s="9" t="str">
        <f t="shared" si="2"/>
        <v>4021</v>
      </c>
      <c r="V20" s="33">
        <f t="shared" si="3"/>
        <v>42748.296180555553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ID","value":"236-12"},{"id":16,"name":"Locomotive ID","value":"4021"},{"id":130,"name":"Impact","value":""},{"id":150,"name":"Time of Event (Mountain Time)","value":"00:06:30"},{"id":151,"name":"Denver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"%USERPROFILE%\AppData\Local\Temp\OnboardLogs"\RTDC4021\*4021*201701130*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"%USERPROFILE%\AppData\Local\Temp\OnboardLogs"\RTDC4021\*4021*201701130* &gt;&gt; 2017-01-12-SliceDisagreementCheck.txt</v>
      </c>
      <c r="AE20" s="183" t="str">
        <f t="shared" si="8"/>
        <v>start /low /b %USERPROFILE%\Documents\GitHub\eaglep3\Utilities\DownloadLogsFromS3.py --loco 4021 --day 2017-01-13</v>
      </c>
      <c r="AF20" s="1"/>
    </row>
    <row r="21" spans="1:32" x14ac:dyDescent="0.25">
      <c r="A21" s="33">
        <v>42747.880173611113</v>
      </c>
      <c r="B21" s="31" t="s">
        <v>209</v>
      </c>
      <c r="C21" s="31" t="s">
        <v>532</v>
      </c>
      <c r="D21" s="31" t="s">
        <v>49</v>
      </c>
      <c r="E21" s="31" t="s">
        <v>196</v>
      </c>
      <c r="F21" s="44">
        <v>0</v>
      </c>
      <c r="G21" s="44">
        <v>54</v>
      </c>
      <c r="H21" s="44">
        <v>233264</v>
      </c>
      <c r="I21" s="44">
        <v>233304</v>
      </c>
      <c r="J21" s="31" t="s">
        <v>197</v>
      </c>
      <c r="K21" s="44">
        <v>233491</v>
      </c>
      <c r="L21" s="150" t="s">
        <v>50</v>
      </c>
      <c r="M21" s="151">
        <f t="shared" si="0"/>
        <v>98.736000000000004</v>
      </c>
      <c r="N21" s="152" t="str">
        <f>VLOOKUP(C21,'Trips&amp;Operators'!$C$1:$G$99999,5,FALSE)</f>
        <v>HILLS DUSTIN</v>
      </c>
      <c r="O21" s="179" t="s">
        <v>193</v>
      </c>
      <c r="P21" s="153"/>
      <c r="Q21" s="31"/>
      <c r="R21" s="96" t="str">
        <f>VLOOKUP(C21,'Train Runs'!$A$13:$AE$9978,31,0)</f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S21" s="99" t="str">
        <f>VLOOKUP(C21,'Train Runs'!$A$13:$AE$9978,22,0)</f>
        <v>https://search-rtdc-monitor-bjffxe2xuh6vdkpspy63sjmuny.us-east-1.es.amazonaws.com/_plugin/kibana/#/discover/Steve-Slow-Train-Analysis-(2080s-and-2083s)?_g=(refreshInterval:(display:Off,section:0,value:0),time:(from:'2017-01-12 19:08:57-700',mode:absolute,to:'2017-01-12 22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21" s="101" t="str">
        <f t="shared" si="1"/>
        <v>"C:\Program Files (x86)\AstroGrep\AstroGrep.exe" /spath="%USERPROFILE%\AppData\Local\Temp\OnboardLogs" /stypes="*4022*201701130*" /stext=" 04:.+((SYSTEM_STATE.+slice.+state.+changed )|(ment ac)|(multiple cpu faults)|(system.+state.+changed )|(\[timeout)|(PRM\|1\|D)|(kpr)|(kdp)|(\|lc)|(penalty))" /e /r /s</v>
      </c>
      <c r="U21" s="9" t="str">
        <f t="shared" si="2"/>
        <v>4022</v>
      </c>
      <c r="V21" s="33">
        <f t="shared" si="3"/>
        <v>42748.171840277777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{"issue":{"subject":"","project_id":79,"tracker_id":40,"status_id":1,"priority_id":2,"assigned_to_id":23,"start_date":"2017-01-12","description":"","custom_fields":[{"id":1,"name":"Subdivision","value":"EC"},{"id":4,"name":"Milepost","value":"23.3491"},{"id":17,"name":"Train ID","value":"227-12"},{"id":16,"name":"Locomotive ID","value":"4022"},{"id":130,"name":"Impact","value":""},{"id":150,"name":"Time of Event (Mountain Time)","value":"21:07:27"},{"id":151,"name":"Denver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"%USERPROFILE%\AppData\Local\Temp\OnboardLogs"\RTDC4022\*4022*201701130*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"%USERPROFILE%\AppData\Local\Temp\OnboardLogs"\RTDC4022\*4022*201701130* &gt;&gt; 2017-01-12-SliceDisagreementCheck.txt</v>
      </c>
      <c r="AE21" s="183" t="str">
        <f t="shared" si="8"/>
        <v>start /low /b %USERPROFILE%\Documents\GitHub\eaglep3\Utilities\DownloadLogsFromS3.py --loco 4022 --day 2017-01-13</v>
      </c>
      <c r="AF21" s="1"/>
    </row>
    <row r="22" spans="1:32" ht="15" customHeight="1" x14ac:dyDescent="0.25">
      <c r="A22" s="33">
        <v>42747.962731481479</v>
      </c>
      <c r="B22" s="31" t="s">
        <v>209</v>
      </c>
      <c r="C22" s="31" t="s">
        <v>533</v>
      </c>
      <c r="D22" s="31" t="s">
        <v>49</v>
      </c>
      <c r="E22" s="31" t="s">
        <v>196</v>
      </c>
      <c r="F22" s="44">
        <v>0</v>
      </c>
      <c r="G22" s="44">
        <v>30</v>
      </c>
      <c r="H22" s="44">
        <v>233425</v>
      </c>
      <c r="I22" s="44">
        <v>233410</v>
      </c>
      <c r="J22" s="31" t="s">
        <v>197</v>
      </c>
      <c r="K22" s="44">
        <v>233491</v>
      </c>
      <c r="L22" s="150" t="s">
        <v>50</v>
      </c>
      <c r="M22" s="151">
        <f t="shared" si="0"/>
        <v>42.768000000000001</v>
      </c>
      <c r="N22" s="152" t="str">
        <f>VLOOKUP(C22,'Trips&amp;Operators'!$C$1:$G$99999,5,FALSE)</f>
        <v>HILLS DUSTIN</v>
      </c>
      <c r="O22" s="179" t="s">
        <v>193</v>
      </c>
      <c r="P22" s="153"/>
      <c r="Q22" s="31"/>
      <c r="R22" s="96" t="str">
        <f>VLOOKUP(C22,'Train Runs'!$A$13:$AE$9978,31,0)</f>
        <v>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 &amp; aws s3 cp s3://rtdc.mdm.uploadarchive.raw/RTDC4022/ "%USERPROFILE%\AppData\Local\Temp\OnboardLogs"\RTDC4022\2017-01-13 --exclude "*" --recursive --include "*20170113*" &amp; "%USERPROFILE%\Documents\GitHub\mrs-test-scripts\Headless Mode &amp; Sideloading\WalkAndUnGZ.bat" "%USERPROFILE%\AppData\Local\Temp\OnboardLogs"\RTDC4022\2017-01-13</v>
      </c>
      <c r="S22" s="99" t="str">
        <f>VLOOKUP(C22,'Train Runs'!$A$13:$AE$9978,22,0)</f>
        <v>https://search-rtdc-monitor-bjffxe2xuh6vdkpspy63sjmuny.us-east-1.es.amazonaws.com/_plugin/kibana/#/discover/Steve-Slow-Train-Analysis-(2080s-and-2083s)?_g=(refreshInterval:(display:Off,section:0,value:0),time:(from:'2017-01-12 21:07:53-700',mode:absolute,to:'2017-01-13 00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22" s="101" t="str">
        <f t="shared" si="1"/>
        <v>"C:\Program Files (x86)\AstroGrep\AstroGrep.exe" /spath="%USERPROFILE%\AppData\Local\Temp\OnboardLogs" /stypes="*4022*201701130*" /stext=" 06:.+((SYSTEM_STATE.+slice.+state.+changed )|(ment ac)|(multiple cpu faults)|(system.+state.+changed )|(\[timeout)|(PRM\|1\|D)|(kpr)|(kdp)|(\|lc)|(penalty))" /e /r /s</v>
      </c>
      <c r="U22" s="9" t="str">
        <f t="shared" si="2"/>
        <v>4022</v>
      </c>
      <c r="V22" s="33">
        <f t="shared" si="3"/>
        <v>42748.254398148143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{"issue":{"subject":"","project_id":79,"tracker_id":40,"status_id":1,"priority_id":2,"assigned_to_id":23,"start_date":"2017-01-12","description":"","custom_fields":[{"id":1,"name":"Subdivision","value":"EC"},{"id":4,"name":"Milepost","value":"23.3491"},{"id":17,"name":"Train ID","value":"235-12"},{"id":16,"name":"Locomotive ID","value":"4022"},{"id":130,"name":"Impact","value":""},{"id":150,"name":"Time of Event (Mountain Time)","value":"23:06:20"},{"id":151,"name":"Denver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"%USERPROFILE%\AppData\Local\Temp\OnboardLogs"\RTDC4022\*4022*201701130*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"%USERPROFILE%\AppData\Local\Temp\OnboardLogs"\RTDC4022\*4022*201701130* &gt;&gt; 2017-01-12-SliceDisagreementCheck.txt</v>
      </c>
      <c r="AE22" s="183" t="str">
        <f t="shared" si="8"/>
        <v>start /low /b %USERPROFILE%\Documents\GitHub\eaglep3\Utilities\DownloadLogsFromS3.py --loco 4022 --day 2017-01-13</v>
      </c>
      <c r="AF22" s="1"/>
    </row>
    <row r="23" spans="1:32" ht="15" customHeight="1" x14ac:dyDescent="0.25">
      <c r="A23" s="33">
        <v>42747.162152777775</v>
      </c>
      <c r="B23" s="31" t="s">
        <v>271</v>
      </c>
      <c r="C23" s="31" t="s">
        <v>513</v>
      </c>
      <c r="D23" s="31" t="s">
        <v>49</v>
      </c>
      <c r="E23" s="31" t="s">
        <v>514</v>
      </c>
      <c r="F23" s="44">
        <v>360</v>
      </c>
      <c r="G23" s="44">
        <v>411</v>
      </c>
      <c r="H23" s="44">
        <v>32968</v>
      </c>
      <c r="I23" s="44">
        <v>34111</v>
      </c>
      <c r="J23" s="31" t="s">
        <v>515</v>
      </c>
      <c r="K23" s="44">
        <v>33137</v>
      </c>
      <c r="L23" s="150" t="s">
        <v>50</v>
      </c>
      <c r="M23" s="151">
        <f t="shared" si="0"/>
        <v>-514.27200000000005</v>
      </c>
      <c r="N23" s="152" t="str">
        <f>VLOOKUP(C23,'Trips&amp;Operators'!$C$1:$G$99999,5,FALSE)</f>
        <v>BONDS REYNALDO</v>
      </c>
      <c r="O23" s="179" t="s">
        <v>193</v>
      </c>
      <c r="P23" s="153"/>
      <c r="Q23" s="31"/>
      <c r="R23" s="96" t="str">
        <f>VLOOKUP(C23,'Train Runs'!$A$13:$AE$9978,31,0)</f>
        <v>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 &amp; 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</v>
      </c>
      <c r="S23" s="99" t="str">
        <f>VLOOKUP(C23,'Train Runs'!$A$13:$AE$9978,22,0)</f>
        <v>https://search-rtdc-monitor-bjffxe2xuh6vdkpspy63sjmuny.us-east-1.es.amazonaws.com/_plugin/kibana/#/discover/Steve-Slow-Train-Analysis-(2080s-and-2083s)?_g=(refreshInterval:(display:Off,section:0,value:0),time:(from:'2017-01-12 02:34:27-700',mode:absolute,to:'2017-01-12 05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T23" s="101" t="str">
        <f t="shared" si="1"/>
        <v>"C:\Program Files (x86)\AstroGrep\AstroGrep.exe" /spath="%USERPROFILE%\AppData\Local\Temp\OnboardLogs" /stypes="*4031*201701121*" /stext=" 10:.+((SYSTEM_STATE.+slice.+state.+changed )|(ment ac)|(multiple cpu faults)|(system.+state.+changed )|(\[timeout)|(PRM\|1\|D)|(kpr)|(kdp)|(\|lc)|(penalty))" /e /r /s</v>
      </c>
      <c r="U23" s="9" t="str">
        <f t="shared" si="2"/>
        <v>4031</v>
      </c>
      <c r="V23" s="33">
        <f t="shared" si="3"/>
        <v>42747.453819444439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{"issue":{"subject":"","project_id":79,"tracker_id":40,"status_id":1,"priority_id":2,"assigned_to_id":23,"start_date":"2017-01-12","description":"","custom_fields":[{"id":1,"name":"Subdivision","value":"EC"},{"id":4,"name":"Milepost","value":"3.3137"},{"id":17,"name":"Train ID","value":"103-12"},{"id":16,"name":"Locomotive ID","value":"4031"},{"id":130,"name":"Impact","value":""},{"id":150,"name":"Time of Event (Mountain Time)","value":"03:53:30"},{"id":151,"name":"Denver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"%USERPROFILE%\AppData\Local\Temp\OnboardLogs"\RTDC4031\*4031*201701121*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"%USERPROFILE%\AppData\Local\Temp\OnboardLogs"\RTDC4031\*4031*201701121* &gt;&gt; 2017-01-12-SliceDisagreementCheck.txt</v>
      </c>
      <c r="AE23" s="183" t="str">
        <f t="shared" si="8"/>
        <v>start /low /b %USERPROFILE%\Documents\GitHub\eaglep3\Utilities\DownloadLogsFromS3.py --loco 4031 --day 2017-01-12</v>
      </c>
      <c r="AF23" s="1"/>
    </row>
    <row r="24" spans="1:32" x14ac:dyDescent="0.25">
      <c r="A24" s="33">
        <v>42747.664884259262</v>
      </c>
      <c r="B24" s="31" t="s">
        <v>270</v>
      </c>
      <c r="C24" s="31" t="s">
        <v>526</v>
      </c>
      <c r="D24" s="31" t="s">
        <v>49</v>
      </c>
      <c r="E24" s="31" t="s">
        <v>277</v>
      </c>
      <c r="F24" s="44">
        <v>300</v>
      </c>
      <c r="G24" s="44">
        <v>355</v>
      </c>
      <c r="H24" s="44">
        <v>20793</v>
      </c>
      <c r="I24" s="44">
        <v>21602</v>
      </c>
      <c r="J24" s="31" t="s">
        <v>278</v>
      </c>
      <c r="K24" s="44">
        <v>21299</v>
      </c>
      <c r="L24" s="150" t="s">
        <v>50</v>
      </c>
      <c r="M24" s="151">
        <f t="shared" si="0"/>
        <v>-159.98400000000001</v>
      </c>
      <c r="N24" s="152" t="str">
        <f>VLOOKUP(C24,'Trips&amp;Operators'!$C$1:$G$99999,5,FALSE)</f>
        <v>LOPES KIMBERLY</v>
      </c>
      <c r="O24" s="179" t="s">
        <v>193</v>
      </c>
      <c r="P24" s="153"/>
      <c r="Q24" s="31"/>
      <c r="R24" s="96" t="str">
        <f>VLOOKUP(C24,'Train Runs'!$A$13:$AE$9978,31,0)</f>
        <v>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 &amp; 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</v>
      </c>
      <c r="S24" s="99" t="str">
        <f>VLOOKUP(C24,'Train Runs'!$A$13:$AE$9978,22,0)</f>
        <v>https://search-rtdc-monitor-bjffxe2xuh6vdkpspy63sjmuny.us-east-1.es.amazonaws.com/_plugin/kibana/#/discover/Steve-Slow-Train-Analysis-(2080s-and-2083s)?_g=(refreshInterval:(display:Off,section:0,value:0),time:(from:'2017-01-12 14:29:59-700',mode:absolute,to:'2017-01-12 17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T24" s="101" t="str">
        <f t="shared" si="1"/>
        <v>"C:\Program Files (x86)\AstroGrep\AstroGrep.exe" /spath="%USERPROFILE%\AppData\Local\Temp\OnboardLogs" /stypes="*4007*201701122*" /stext=" 22:.+((SYSTEM_STATE.+slice.+state.+changed )|(ment ac)|(multiple cpu faults)|(system.+state.+changed )|(\[timeout)|(PRM\|1\|D)|(kpr)|(kdp)|(\|lc)|(penalty))" /e /r /s</v>
      </c>
      <c r="U24" s="9" t="str">
        <f t="shared" si="2"/>
        <v>4007</v>
      </c>
      <c r="V24" s="33">
        <f t="shared" si="3"/>
        <v>42747.956550925926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{"issue":{"subject":"","project_id":79,"tracker_id":40,"status_id":1,"priority_id":2,"assigned_to_id":23,"start_date":"2017-01-12","description":"","custom_fields":[{"id":1,"name":"Subdivision","value":"NW"},{"id":4,"name":"Milepost","value":"2.1299"},{"id":17,"name":"Train ID","value":"827-12"},{"id":16,"name":"Locomotive ID","value":"4007"},{"id":130,"name":"Impact","value":""},{"id":150,"name":"Time of Event (Mountain Time)","value":"15:57:26"},{"id":151,"name":"Denver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"%USERPROFILE%\AppData\Local\Temp\OnboardLogs"\RTDC4007\*4007*201701122*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"%USERPROFILE%\AppData\Local\Temp\OnboardLogs"\RTDC4007\*4007*201701122* &gt;&gt; 2017-01-12-SliceDisagreementCheck.txt</v>
      </c>
      <c r="AE24" s="183" t="str">
        <f t="shared" si="8"/>
        <v>start /low /b %USERPROFILE%\Documents\GitHub\eaglep3\Utilities\DownloadLogsFromS3.py --loco 4007 --day 2017-01-12</v>
      </c>
      <c r="AF24" s="1"/>
    </row>
    <row r="25" spans="1:32" x14ac:dyDescent="0.25">
      <c r="A25" s="33">
        <v>42747.664479166669</v>
      </c>
      <c r="B25" s="31" t="s">
        <v>457</v>
      </c>
      <c r="C25" s="31" t="s">
        <v>525</v>
      </c>
      <c r="D25" s="31" t="s">
        <v>49</v>
      </c>
      <c r="E25" s="31" t="s">
        <v>196</v>
      </c>
      <c r="F25" s="44">
        <v>0</v>
      </c>
      <c r="G25" s="44">
        <v>37</v>
      </c>
      <c r="H25" s="44">
        <v>717</v>
      </c>
      <c r="I25" s="44">
        <v>689</v>
      </c>
      <c r="J25" s="31" t="s">
        <v>197</v>
      </c>
      <c r="K25" s="44">
        <v>575</v>
      </c>
      <c r="L25" s="150" t="s">
        <v>51</v>
      </c>
      <c r="M25" s="151">
        <f t="shared" si="0"/>
        <v>60.192</v>
      </c>
      <c r="N25" s="152" t="str">
        <f>VLOOKUP(C25,'Trips&amp;Operators'!$C$1:$G$99999,5,FALSE)</f>
        <v>COMELLA JUSTIN</v>
      </c>
      <c r="O25" s="179" t="s">
        <v>193</v>
      </c>
      <c r="P25" s="153"/>
      <c r="Q25" s="31"/>
      <c r="R25" s="96" t="str">
        <f>VLOOKUP(C25,'Train Runs'!$A$13:$AE$9978,31,0)</f>
        <v>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 &amp; aws s3 cp s3://rtdc.mdm.uploadarchive.raw/RTDC4045/ "%USERPROFILE%\AppData\Local\Temp\OnboardLogs"\RTDC4045\2017-01-13 --exclude "*" --recursive --include "*20170113*" &amp; "%USERPROFILE%\Documents\GitHub\mrs-test-scripts\Headless Mode &amp; Sideloading\WalkAndUnGZ.bat" "%USERPROFILE%\AppData\Local\Temp\OnboardLogs"\RTDC4045\2017-01-13</v>
      </c>
      <c r="S25" s="99" t="str">
        <f>VLOOKUP(C25,'Train Runs'!$A$13:$AE$9978,22,0)</f>
        <v>https://search-rtdc-monitor-bjffxe2xuh6vdkpspy63sjmuny.us-east-1.es.amazonaws.com/_plugin/kibana/#/discover/Steve-Slow-Train-Analysis-(2080s-and-2083s)?_g=(refreshInterval:(display:Off,section:0,value:0),time:(from:'2017-01-12 14:37:22-700',mode:absolute,to:'2017-01-12 16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T25" s="101" t="str">
        <f t="shared" si="1"/>
        <v>"C:\Program Files (x86)\AstroGrep\AstroGrep.exe" /spath="%USERPROFILE%\AppData\Local\Temp\OnboardLogs" /stypes="*4045*201701122*" /stext=" 22:.+((SYSTEM_STATE.+slice.+state.+changed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3">
        <f t="shared" si="3"/>
        <v>42747.956145833334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{"issue":{"subject":"","project_id":79,"tracker_id":40,"status_id":1,"priority_id":2,"assigned_to_id":23,"start_date":"2017-01-12","description":"","custom_fields":[{"id":1,"name":"Subdivision","value":"NW"},{"id":4,"name":"Milepost","value":"0.0575"},{"id":17,"name":"Train ID","value":"826-12"},{"id":16,"name":"Locomotive ID","value":"4045"},{"id":130,"name":"Impact","value":""},{"id":150,"name":"Time of Event (Mountain Time)","value":"15:56:51"},{"id":151,"name":"Denver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"%USERPROFILE%\AppData\Local\Temp\OnboardLogs"\RTDC4045\*4045*201701122*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"%USERPROFILE%\AppData\Local\Temp\OnboardLogs"\RTDC4045\*4045*201701122* &gt;&gt; 2017-01-12-SliceDisagreementCheck.txt</v>
      </c>
      <c r="AE25" s="183" t="str">
        <f t="shared" si="8"/>
        <v>start /low /b %USERPROFILE%\Documents\GitHub\eaglep3\Utilities\DownloadLogsFromS3.py --loco 4045 --day 2017-01-12</v>
      </c>
      <c r="AF25" s="1"/>
    </row>
    <row r="26" spans="1:32" x14ac:dyDescent="0.25">
      <c r="A26" s="33">
        <v>42747.173125000001</v>
      </c>
      <c r="B26" s="31" t="s">
        <v>509</v>
      </c>
      <c r="C26" s="31" t="s">
        <v>517</v>
      </c>
      <c r="D26" s="31" t="s">
        <v>98</v>
      </c>
      <c r="E26" s="31" t="s">
        <v>194</v>
      </c>
      <c r="F26" s="44">
        <v>0</v>
      </c>
      <c r="G26" s="44">
        <v>94</v>
      </c>
      <c r="H26" s="44">
        <v>11006</v>
      </c>
      <c r="I26" s="44">
        <v>10903</v>
      </c>
      <c r="J26" s="31" t="s">
        <v>195</v>
      </c>
      <c r="K26" s="44">
        <v>11016</v>
      </c>
      <c r="L26" s="150" t="s">
        <v>51</v>
      </c>
      <c r="M26" s="151">
        <f t="shared" si="0"/>
        <v>-59.664000000000001</v>
      </c>
      <c r="N26" s="152" t="str">
        <f>VLOOKUP(C26,'Trips&amp;Operators'!$C$1:$G$99999,5,FALSE)</f>
        <v>GEBRETEKLE DAGNEW</v>
      </c>
      <c r="O26" s="179" t="s">
        <v>193</v>
      </c>
      <c r="P26" s="153"/>
      <c r="Q26" s="31"/>
      <c r="R26" s="96" t="str">
        <f>VLOOKUP(C26,'Train Runs'!$A$13:$AE$9978,31,0)</f>
        <v>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 &amp; 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</v>
      </c>
      <c r="S26" s="99" t="str">
        <f>VLOOKUP(C26,'Train Runs'!$A$13:$AE$9978,22,0)</f>
        <v>https://search-rtdc-monitor-bjffxe2xuh6vdkpspy63sjmuny.us-east-1.es.amazonaws.com/_plugin/kibana/#/discover/Steve-Slow-Train-Analysis-(2080s-and-2083s)?_g=(refreshInterval:(display:Off,section:0,value:0),time:(from:'2017-01-12 03:03:14-700',mode:absolute,to:'2017-01-12 05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26" s="101" t="str">
        <f t="shared" si="1"/>
        <v>"C:\Program Files (x86)\AstroGrep\AstroGrep.exe" /spath="%USERPROFILE%\AppData\Local\Temp\OnboardLogs" /stypes="*4021*201701121*" /stext=" 11:.+((SYSTEM_STATE.+slice.+state.+changed )|(ment ac)|(multiple cpu faults)|(system.+state.+changed )|(\[timeout)|(PRM\|1\|D)|(kpr)|(kdp)|(\|lc)|(penalty))" /e /r /s</v>
      </c>
      <c r="U26" s="9" t="str">
        <f t="shared" si="2"/>
        <v>4021</v>
      </c>
      <c r="V26" s="33">
        <f t="shared" si="3"/>
        <v>42747.464791666665</v>
      </c>
      <c r="W26" s="47" t="str">
        <f t="shared" si="4"/>
        <v>Other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{"issue":{"subject":"","project_id":79,"tracker_id":40,"status_id":1,"priority_id":2,"assigned_to_id":23,"start_date":"2017-01-12","description":"","custom_fields":[{"id":1,"name":"Subdivision","value":"Other"},{"id":4,"name":"Milepost","value":"1.1016"},{"id":17,"name":"Train ID","value":"308-12"},{"id":16,"name":"Locomotive ID","value":"4021"},{"id":130,"name":"Impact","value":""},{"id":150,"name":"Time of Event (Mountain Time)","value":"04:09:18"},{"id":151,"name":"Denver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"%USERPROFILE%\AppData\Local\Temp\OnboardLogs"\RTDC4021\*4021*201701121*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"%USERPROFILE%\AppData\Local\Temp\OnboardLogs"\RTDC4021\*4021*201701121* &gt;&gt; 2017-01-12-SliceDisagreementCheck.txt</v>
      </c>
      <c r="AE26" s="183" t="str">
        <f t="shared" si="8"/>
        <v>start /low /b %USERPROFILE%\Documents\GitHub\eaglep3\Utilities\DownloadLogsFromS3.py --loco 4021 --day 2017-01-12</v>
      </c>
      <c r="AF26" s="1"/>
    </row>
    <row r="27" spans="1:32" x14ac:dyDescent="0.25">
      <c r="A27" s="33">
        <v>42747.145868055559</v>
      </c>
      <c r="B27" s="31" t="s">
        <v>245</v>
      </c>
      <c r="C27" s="31" t="s">
        <v>511</v>
      </c>
      <c r="D27" s="31" t="s">
        <v>49</v>
      </c>
      <c r="E27" s="31" t="s">
        <v>196</v>
      </c>
      <c r="F27" s="44">
        <v>0</v>
      </c>
      <c r="G27" s="44">
        <v>50</v>
      </c>
      <c r="H27" s="44">
        <v>178</v>
      </c>
      <c r="I27" s="44">
        <v>132</v>
      </c>
      <c r="J27" s="31" t="s">
        <v>197</v>
      </c>
      <c r="K27" s="44">
        <v>1</v>
      </c>
      <c r="L27" s="150" t="s">
        <v>51</v>
      </c>
      <c r="M27" s="151">
        <f t="shared" si="0"/>
        <v>69.168000000000006</v>
      </c>
      <c r="N27" s="152" t="str">
        <f>VLOOKUP(C27,'Trips&amp;Operators'!$C$1:$G$99999,5,FALSE)</f>
        <v>BONDS REYNALDO</v>
      </c>
      <c r="O27" s="179" t="s">
        <v>193</v>
      </c>
      <c r="P27" s="153"/>
      <c r="Q27" s="31"/>
      <c r="R27" s="96" t="str">
        <f>VLOOKUP(C27,'Train Runs'!$A$13:$AE$9978,31,0)</f>
        <v>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 &amp; 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</v>
      </c>
      <c r="S27" s="99" t="str">
        <f>VLOOKUP(C27,'Train Runs'!$A$13:$AE$9978,22,0)</f>
        <v>https://search-rtdc-monitor-bjffxe2xuh6vdkpspy63sjmuny.us-east-1.es.amazonaws.com/_plugin/kibana/#/discover/Steve-Slow-Train-Analysis-(2080s-and-2083s)?_g=(refreshInterval:(display:Off,section:0,value:0),time:(from:'2017-01-12 02:18:25-700',mode:absolute,to:'2017-01-12 04:30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27" s="101" t="str">
        <f t="shared" si="1"/>
        <v>"C:\Program Files (x86)\AstroGrep\AstroGrep.exe" /spath="%USERPROFILE%\AppData\Local\Temp\OnboardLogs" /stypes="*4013*201701121*" /stext=" 10:.+((SYSTEM_STATE.+slice.+state.+changed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3">
        <f t="shared" si="3"/>
        <v>42747.437534722223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{"issue":{"subject":"","project_id":79,"tracker_id":40,"status_id":1,"priority_id":2,"assigned_to_id":23,"start_date":"2017-01-12","description":"","custom_fields":[{"id":1,"name":"Subdivision","value":"Other"},{"id":4,"name":"Milepost","value":"0.0001"},{"id":17,"name":"Train ID","value":"304-12"},{"id":16,"name":"Locomotive ID","value":"4013"},{"id":130,"name":"Impact","value":""},{"id":150,"name":"Time of Event (Mountain Time)","value":"03:30:03"},{"id":151,"name":"Denver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"%USERPROFILE%\AppData\Local\Temp\OnboardLogs"\RTDC4013\*4013*201701121*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"%USERPROFILE%\AppData\Local\Temp\OnboardLogs"\RTDC4013\*4013*201701121* &gt;&gt; 2017-01-12-SliceDisagreementCheck.txt</v>
      </c>
      <c r="AE27" s="183" t="str">
        <f t="shared" si="8"/>
        <v>start /low /b %USERPROFILE%\Documents\GitHub\eaglep3\Utilities\DownloadLogsFromS3.py --loco 4013 --day 2017-01-12</v>
      </c>
      <c r="AF27" s="1"/>
    </row>
    <row r="28" spans="1:32" x14ac:dyDescent="0.25">
      <c r="A28" s="33">
        <v>42747.167581018519</v>
      </c>
      <c r="B28" s="31" t="s">
        <v>246</v>
      </c>
      <c r="C28" s="31" t="s">
        <v>516</v>
      </c>
      <c r="D28" s="31" t="s">
        <v>49</v>
      </c>
      <c r="E28" s="31" t="s">
        <v>196</v>
      </c>
      <c r="F28" s="44">
        <v>0</v>
      </c>
      <c r="G28" s="44">
        <v>37</v>
      </c>
      <c r="H28" s="44">
        <v>170</v>
      </c>
      <c r="I28" s="44">
        <v>147</v>
      </c>
      <c r="J28" s="31" t="s">
        <v>197</v>
      </c>
      <c r="K28" s="44">
        <v>1</v>
      </c>
      <c r="L28" s="150" t="s">
        <v>51</v>
      </c>
      <c r="M28" s="151">
        <f t="shared" si="0"/>
        <v>77.087999999999994</v>
      </c>
      <c r="N28" s="152" t="str">
        <f>VLOOKUP(C28,'Trips&amp;Operators'!$C$1:$G$99999,5,FALSE)</f>
        <v>ROBINSON KADDIBA</v>
      </c>
      <c r="O28" s="179" t="s">
        <v>193</v>
      </c>
      <c r="P28" s="153"/>
      <c r="Q28" s="31"/>
      <c r="R28" s="96" t="str">
        <f>VLOOKUP(C28,'Train Runs'!$A$13:$AE$9978,31,0)</f>
        <v>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 &amp; 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</v>
      </c>
      <c r="S28" s="99" t="str">
        <f>VLOOKUP(C28,'Train Runs'!$A$13:$AE$9978,22,0)</f>
        <v>https://search-rtdc-monitor-bjffxe2xuh6vdkpspy63sjmuny.us-east-1.es.amazonaws.com/_plugin/kibana/#/discover/Steve-Slow-Train-Analysis-(2080s-and-2083s)?_g=(refreshInterval:(display:Off,section:0,value:0),time:(from:'2017-01-12 02:49:49-700',mode:absolute,to:'2017-01-12 05:01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T28" s="101" t="str">
        <f t="shared" si="1"/>
        <v>"C:\Program Files (x86)\AstroGrep\AstroGrep.exe" /spath="%USERPROFILE%\AppData\Local\Temp\OnboardLogs" /stypes="*4004*201701121*" /stext=" 11:.+((SYSTEM_STATE.+slice.+state.+changed )|(ment ac)|(multiple cpu faults)|(system.+state.+changed )|(\[timeout)|(PRM\|1\|D)|(kpr)|(kdp)|(\|lc)|(penalty))" /e /r /s</v>
      </c>
      <c r="U28" s="9" t="str">
        <f t="shared" si="2"/>
        <v>4004</v>
      </c>
      <c r="V28" s="33">
        <f t="shared" si="3"/>
        <v>42747.459247685183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{"issue":{"subject":"","project_id":79,"tracker_id":40,"status_id":1,"priority_id":2,"assigned_to_id":23,"start_date":"2017-01-12","description":"","custom_fields":[{"id":1,"name":"Subdivision","value":"Other"},{"id":4,"name":"Milepost","value":"0.0001"},{"id":17,"name":"Train ID","value":"306-12"},{"id":16,"name":"Locomotive ID","value":"4004"},{"id":130,"name":"Impact","value":""},{"id":150,"name":"Time of Event (Mountain Time)","value":"04:01:19"},{"id":151,"name":"Denver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"%USERPROFILE%\AppData\Local\Temp\OnboardLogs"\RTDC4004\*4004*201701121*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"%USERPROFILE%\AppData\Local\Temp\OnboardLogs"\RTDC4004\*4004*201701121* &gt;&gt; 2017-01-12-SliceDisagreementCheck.txt</v>
      </c>
      <c r="AE28" s="183" t="str">
        <f t="shared" si="8"/>
        <v>start /low /b %USERPROFILE%\Documents\GitHub\eaglep3\Utilities\DownloadLogsFromS3.py --loco 4004 --day 2017-01-12</v>
      </c>
      <c r="AF28" s="1"/>
    </row>
    <row r="29" spans="1:32" x14ac:dyDescent="0.25">
      <c r="A29" s="33">
        <v>42747.159756944442</v>
      </c>
      <c r="B29" s="31" t="s">
        <v>297</v>
      </c>
      <c r="C29" s="31" t="s">
        <v>512</v>
      </c>
      <c r="D29" s="31" t="s">
        <v>49</v>
      </c>
      <c r="E29" s="31" t="s">
        <v>196</v>
      </c>
      <c r="F29" s="44">
        <v>0</v>
      </c>
      <c r="G29" s="44">
        <v>7</v>
      </c>
      <c r="H29" s="44">
        <v>17</v>
      </c>
      <c r="I29" s="44">
        <v>10</v>
      </c>
      <c r="J29" s="31" t="s">
        <v>197</v>
      </c>
      <c r="K29" s="44">
        <v>1</v>
      </c>
      <c r="L29" s="150" t="s">
        <v>51</v>
      </c>
      <c r="M29" s="151">
        <f t="shared" si="0"/>
        <v>4.7519999999999998</v>
      </c>
      <c r="N29" s="152" t="str">
        <f>VLOOKUP(C29,'Trips&amp;Operators'!$C$1:$G$99999,5,FALSE)</f>
        <v>LALONDE GREGORY</v>
      </c>
      <c r="O29" s="179" t="s">
        <v>193</v>
      </c>
      <c r="P29" s="153"/>
      <c r="Q29" s="31"/>
      <c r="R29" s="96" t="str">
        <f>VLOOKUP(C29,'Train Runs'!$A$13:$AE$9978,31,0)</f>
        <v>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 &amp; 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</v>
      </c>
      <c r="S29" s="99" t="str">
        <f>VLOOKUP(C29,'Train Runs'!$A$13:$AE$9978,22,0)</f>
        <v>https://search-rtdc-monitor-bjffxe2xuh6vdkpspy63sjmuny.us-east-1.es.amazonaws.com/_plugin/kibana/#/discover/Steve-Slow-Train-Analysis-(2080s-and-2083s)?_g=(refreshInterval:(display:Off,section:0,value:0),time:(from:'2017-01-12 02:13:33-700',mode:absolute,to:'2017-01-12 04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29" s="101" t="str">
        <f t="shared" si="1"/>
        <v>"C:\Program Files (x86)\AstroGrep\AstroGrep.exe" /spath="%USERPROFILE%\AppData\Local\Temp\OnboardLogs" /stypes="*4026*201701121*" /stext=" 10:.+((SYSTEM_STATE.+slice.+state.+changed )|(ment ac)|(multiple cpu faults)|(system.+state.+changed )|(\[timeout)|(PRM\|1\|D)|(kpr)|(kdp)|(\|lc)|(penalty))" /e /r /s</v>
      </c>
      <c r="U29" s="9" t="str">
        <f t="shared" si="2"/>
        <v>4026</v>
      </c>
      <c r="V29" s="33">
        <f t="shared" si="3"/>
        <v>42747.451423611106</v>
      </c>
      <c r="W29" s="47" t="str">
        <f t="shared" si="4"/>
        <v>Other</v>
      </c>
      <c r="X29" s="47" t="str">
        <f t="shared" si="5"/>
        <v>OMIT</v>
      </c>
      <c r="Y29" s="115" t="str">
        <f t="shared" si="6"/>
        <v>echo {"issue":{"subject":"","project_id":79,"tracker_id":40,"status_id":1,"priority_id":2,"assigned_to_id":23,"start_date":"2017-01-12","description":"","custom_fields":[{"id":1,"name":"Subdivision","value":"Other"},{"id":4,"name":"Milepost","value":"0.0001"},{"id":17,"name":"Train ID","value":"313-11"},{"id":16,"name":"Locomotive ID","value":"4026"},{"id":130,"name":"Impact","value":""},{"id":150,"name":"Time of Event (Mountain Time)","value":"03:50:03"},{"id":151,"name":"Denver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"%USERPROFILE%\AppData\Local\Temp\OnboardLogs"\RTDC4026\*4026*201701121*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"%USERPROFILE%\AppData\Local\Temp\OnboardLogs"\RTDC4026\*4026*201701121* &gt;&gt; 2017-01-12-SliceDisagreementCheck.txt</v>
      </c>
      <c r="AE29" s="183" t="str">
        <f t="shared" si="8"/>
        <v>start /low /b %USERPROFILE%\Documents\GitHub\eaglep3\Utilities\DownloadLogsFromS3.py --loco 4026 --day 2017-01-12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38">
    <sortState ref="A7:AC38">
      <sortCondition ref="V6:V38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68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3" t="str">
        <f>"Trips that did not appear in PTC Data "&amp;TEXT(Variables!$A$2,"YYYY-mm-dd")</f>
        <v>Trips that did not appear in PTC Data 2017-01-12</v>
      </c>
      <c r="C1" s="193"/>
      <c r="D1" s="193"/>
      <c r="E1" s="193"/>
      <c r="F1" s="193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-12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" s="31" t="e">
        <f>VLOOKUP(B3,'Train Runs'!$A$13:$A$99975,1,FALSE)</f>
        <v>#N/A</v>
      </c>
      <c r="K3" s="21"/>
    </row>
    <row r="4" spans="1:11" x14ac:dyDescent="0.25">
      <c r="A4" s="167"/>
      <c r="B4" s="44" t="str">
        <f>A4&amp;"-"&amp;IF(DAY(Variables!$A$2)&lt;10,0,"")&amp;DAY(Variables!$A$2)</f>
        <v>-12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6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" s="31" t="e">
        <f>VLOOKUP(B4,'Train Runs'!$A$13:$A$99975,1,FALSE)</f>
        <v>#N/A</v>
      </c>
    </row>
    <row r="5" spans="1:11" x14ac:dyDescent="0.25">
      <c r="A5" s="167"/>
      <c r="B5" s="44" t="str">
        <f>A5&amp;"-"&amp;IF(DAY(Variables!$A$2)&lt;10,0,"")&amp;DAY(Variables!$A$2)</f>
        <v>-12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" s="31" t="e">
        <f>VLOOKUP(B5,'Train Runs'!$A$13:$A$99975,1,FALSE)</f>
        <v>#N/A</v>
      </c>
    </row>
    <row r="6" spans="1:11" x14ac:dyDescent="0.25">
      <c r="A6" s="167"/>
      <c r="B6" s="44" t="str">
        <f>A6&amp;"-"&amp;IF(DAY(Variables!$A$2)&lt;10,0,"")&amp;DAY(Variables!$A$2)</f>
        <v>-12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" s="31" t="e">
        <f>VLOOKUP(B6,'Train Runs'!$A$13:$A$99975,1,FALSE)</f>
        <v>#N/A</v>
      </c>
    </row>
    <row r="7" spans="1:11" x14ac:dyDescent="0.25">
      <c r="A7" s="167"/>
      <c r="B7" s="44" t="str">
        <f>A7&amp;"-"&amp;IF(DAY(Variables!$A$2)&lt;10,0,"")&amp;DAY(Variables!$A$2)</f>
        <v>-12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" s="31" t="e">
        <f>VLOOKUP(B7,'Train Runs'!$A$13:$A$99975,1,FALSE)</f>
        <v>#N/A</v>
      </c>
    </row>
    <row r="8" spans="1:11" x14ac:dyDescent="0.25">
      <c r="A8" s="167"/>
      <c r="B8" s="44" t="str">
        <f>A8&amp;"-"&amp;IF(DAY(Variables!$A$2)&lt;10,0,"")&amp;DAY(Variables!$A$2)</f>
        <v>-12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" s="31" t="e">
        <f>VLOOKUP(B8,'Train Runs'!$A$13:$A$99975,1,FALSE)</f>
        <v>#N/A</v>
      </c>
    </row>
    <row r="9" spans="1:11" x14ac:dyDescent="0.25">
      <c r="A9" s="167"/>
      <c r="B9" s="44" t="str">
        <f>A9&amp;"-"&amp;IF(DAY(Variables!$A$2)&lt;10,0,"")&amp;DAY(Variables!$A$2)</f>
        <v>-12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" s="31" t="e">
        <f>VLOOKUP(B9,'Train Runs'!$A$13:$A$99975,1,FALSE)</f>
        <v>#N/A</v>
      </c>
    </row>
    <row r="10" spans="1:11" x14ac:dyDescent="0.25">
      <c r="A10" s="167"/>
      <c r="B10" s="44" t="str">
        <f>A10&amp;"-"&amp;IF(DAY(Variables!$A$2)&lt;10,0,"")&amp;DAY(Variables!$A$2)</f>
        <v>-12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" s="31" t="e">
        <f>VLOOKUP(B10,'Train Runs'!$A$13:$A$99975,1,FALSE)</f>
        <v>#N/A</v>
      </c>
    </row>
    <row r="11" spans="1:11" x14ac:dyDescent="0.25">
      <c r="A11" s="167"/>
      <c r="B11" s="44" t="str">
        <f>A11&amp;"-"&amp;IF(DAY(Variables!$A$2)&lt;10,0,"")&amp;DAY(Variables!$A$2)</f>
        <v>-12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" s="31" t="e">
        <f>VLOOKUP(B11,'Train Runs'!$A$13:$A$99975,1,FALSE)</f>
        <v>#N/A</v>
      </c>
    </row>
    <row r="12" spans="1:11" x14ac:dyDescent="0.25">
      <c r="A12" s="167"/>
      <c r="B12" s="44" t="str">
        <f>A12&amp;"-"&amp;IF(DAY(Variables!$A$2)&lt;10,0,"")&amp;DAY(Variables!$A$2)</f>
        <v>-12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" s="31" t="e">
        <f>VLOOKUP(B12,'Train Runs'!$A$13:$A$99975,1,FALSE)</f>
        <v>#N/A</v>
      </c>
    </row>
    <row r="13" spans="1:11" x14ac:dyDescent="0.25">
      <c r="A13" s="167"/>
      <c r="B13" s="44" t="str">
        <f>A13&amp;"-"&amp;IF(DAY(Variables!$A$2)&lt;10,0,"")&amp;DAY(Variables!$A$2)</f>
        <v>-12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" s="31" t="e">
        <f>VLOOKUP(B13,'Train Runs'!$A$13:$A$99975,1,FALSE)</f>
        <v>#N/A</v>
      </c>
    </row>
    <row r="14" spans="1:11" x14ac:dyDescent="0.25">
      <c r="A14" s="167"/>
      <c r="B14" s="44" t="str">
        <f>A14&amp;"-"&amp;IF(DAY(Variables!$A$2)&lt;10,0,"")&amp;DAY(Variables!$A$2)</f>
        <v>-12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4" s="31" t="e">
        <f>VLOOKUP(B14,'Train Runs'!$A$13:$A$99975,1,FALSE)</f>
        <v>#N/A</v>
      </c>
    </row>
    <row r="15" spans="1:11" x14ac:dyDescent="0.25">
      <c r="A15" s="167"/>
      <c r="B15" s="44" t="str">
        <f>A15&amp;"-"&amp;IF(DAY(Variables!$A$2)&lt;10,0,"")&amp;DAY(Variables!$A$2)</f>
        <v>-12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5" s="31" t="e">
        <f>VLOOKUP(B15,'Train Runs'!$A$13:$A$99975,1,FALSE)</f>
        <v>#N/A</v>
      </c>
    </row>
    <row r="16" spans="1:11" x14ac:dyDescent="0.25">
      <c r="A16" s="167"/>
      <c r="B16" s="44" t="str">
        <f>A16&amp;"-"&amp;IF(DAY(Variables!$A$2)&lt;10,0,"")&amp;DAY(Variables!$A$2)</f>
        <v>-12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6" s="31" t="e">
        <f>VLOOKUP(B16,'Train Runs'!$A$13:$A$99975,1,FALSE)</f>
        <v>#N/A</v>
      </c>
    </row>
    <row r="17" spans="1:10" x14ac:dyDescent="0.25">
      <c r="A17" s="167"/>
      <c r="B17" s="44" t="str">
        <f>A17&amp;"-"&amp;IF(DAY(Variables!$A$2)&lt;10,0,"")&amp;DAY(Variables!$A$2)</f>
        <v>-12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7" s="31" t="e">
        <f>VLOOKUP(B17,'Train Runs'!$A$13:$A$99975,1,FALSE)</f>
        <v>#N/A</v>
      </c>
    </row>
    <row r="18" spans="1:10" x14ac:dyDescent="0.25">
      <c r="A18" s="167"/>
      <c r="B18" s="44" t="str">
        <f>A18&amp;"-"&amp;IF(DAY(Variables!$A$2)&lt;10,0,"")&amp;DAY(Variables!$A$2)</f>
        <v>-12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8" s="31" t="e">
        <f>VLOOKUP(B18,'Train Runs'!$A$13:$A$99975,1,FALSE)</f>
        <v>#N/A</v>
      </c>
    </row>
    <row r="19" spans="1:10" x14ac:dyDescent="0.25">
      <c r="A19" s="167"/>
      <c r="B19" s="44" t="str">
        <f>A19&amp;"-"&amp;IF(DAY(Variables!$A$2)&lt;10,0,"")&amp;DAY(Variables!$A$2)</f>
        <v>-12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9" s="31" t="e">
        <f>VLOOKUP(B19,'Train Runs'!$A$13:$A$99975,1,FALSE)</f>
        <v>#N/A</v>
      </c>
    </row>
    <row r="20" spans="1:10" x14ac:dyDescent="0.25">
      <c r="A20" s="167"/>
      <c r="B20" s="44" t="str">
        <f>A20&amp;"-"&amp;IF(DAY(Variables!$A$2)&lt;10,0,"")&amp;DAY(Variables!$A$2)</f>
        <v>-12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0" s="31" t="e">
        <f>VLOOKUP(B20,'Train Runs'!$A$13:$A$99975,1,FALSE)</f>
        <v>#N/A</v>
      </c>
    </row>
    <row r="21" spans="1:10" x14ac:dyDescent="0.25">
      <c r="A21" s="167"/>
      <c r="B21" s="44" t="str">
        <f>A21&amp;"-"&amp;IF(DAY(Variables!$A$2)&lt;10,0,"")&amp;DAY(Variables!$A$2)</f>
        <v>-12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1" s="31" t="e">
        <f>VLOOKUP(B21,'Train Runs'!$A$13:$A$99975,1,FALSE)</f>
        <v>#N/A</v>
      </c>
    </row>
    <row r="22" spans="1:10" x14ac:dyDescent="0.25">
      <c r="A22" s="167"/>
      <c r="B22" s="44" t="str">
        <f>A22&amp;"-"&amp;IF(DAY(Variables!$A$2)&lt;10,0,"")&amp;DAY(Variables!$A$2)</f>
        <v>-12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2" s="31" t="e">
        <f>VLOOKUP(B22,'Train Runs'!$A$13:$A$99975,1,FALSE)</f>
        <v>#N/A</v>
      </c>
    </row>
    <row r="23" spans="1:10" x14ac:dyDescent="0.25">
      <c r="A23" s="167"/>
      <c r="B23" s="44" t="str">
        <f>A23&amp;"-"&amp;IF(DAY(Variables!$A$2)&lt;10,0,"")&amp;DAY(Variables!$A$2)</f>
        <v>-12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3" s="31" t="e">
        <f>VLOOKUP(B23,'Train Runs'!$A$13:$A$99975,1,FALSE)</f>
        <v>#N/A</v>
      </c>
    </row>
    <row r="24" spans="1:10" x14ac:dyDescent="0.25">
      <c r="A24" s="167"/>
      <c r="B24" s="44" t="str">
        <f>A24&amp;"-"&amp;IF(DAY(Variables!$A$2)&lt;10,0,"")&amp;DAY(Variables!$A$2)</f>
        <v>-12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4" s="31" t="e">
        <f>VLOOKUP(B24,'Train Runs'!$A$13:$A$99975,1,FALSE)</f>
        <v>#N/A</v>
      </c>
    </row>
    <row r="25" spans="1:10" x14ac:dyDescent="0.25">
      <c r="A25" s="167"/>
      <c r="B25" s="44" t="str">
        <f>A25&amp;"-"&amp;IF(DAY(Variables!$A$2)&lt;10,0,"")&amp;DAY(Variables!$A$2)</f>
        <v>-12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5" s="31" t="e">
        <f>VLOOKUP(B25,'Train Runs'!$A$13:$A$99975,1,FALSE)</f>
        <v>#N/A</v>
      </c>
    </row>
    <row r="26" spans="1:10" x14ac:dyDescent="0.25">
      <c r="A26" s="167"/>
      <c r="B26" s="44" t="str">
        <f>A26&amp;"-"&amp;IF(DAY(Variables!$A$2)&lt;10,0,"")&amp;DAY(Variables!$A$2)</f>
        <v>-12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6" s="31" t="e">
        <f>VLOOKUP(B26,'Train Runs'!$A$13:$A$99975,1,FALSE)</f>
        <v>#N/A</v>
      </c>
    </row>
    <row r="27" spans="1:10" x14ac:dyDescent="0.25">
      <c r="A27" s="167"/>
      <c r="B27" s="44" t="str">
        <f>A27&amp;"-"&amp;IF(DAY(Variables!$A$2)&lt;10,0,"")&amp;DAY(Variables!$A$2)</f>
        <v>-12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7" s="31" t="e">
        <f>VLOOKUP(B27,'Train Runs'!$A$13:$A$99975,1,FALSE)</f>
        <v>#N/A</v>
      </c>
    </row>
    <row r="28" spans="1:10" x14ac:dyDescent="0.25">
      <c r="A28" s="167"/>
      <c r="B28" s="44" t="str">
        <f>A28&amp;"-"&amp;IF(DAY(Variables!$A$2)&lt;10,0,"")&amp;DAY(Variables!$A$2)</f>
        <v>-12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8" s="31" t="e">
        <f>VLOOKUP(B28,'Train Runs'!$A$13:$A$99975,1,FALSE)</f>
        <v>#N/A</v>
      </c>
    </row>
    <row r="29" spans="1:10" x14ac:dyDescent="0.25">
      <c r="A29" s="167"/>
      <c r="B29" s="44" t="str">
        <f>A29&amp;"-"&amp;IF(DAY(Variables!$A$2)&lt;10,0,"")&amp;DAY(Variables!$A$2)</f>
        <v>-12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29" s="31" t="e">
        <f>VLOOKUP(B29,'Train Runs'!$A$13:$A$99975,1,FALSE)</f>
        <v>#N/A</v>
      </c>
    </row>
    <row r="30" spans="1:10" x14ac:dyDescent="0.25">
      <c r="A30" s="167"/>
      <c r="B30" s="44" t="str">
        <f>A30&amp;"-"&amp;IF(DAY(Variables!$A$2)&lt;10,0,"")&amp;DAY(Variables!$A$2)</f>
        <v>-12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0" s="31" t="e">
        <f>VLOOKUP(B30,'Train Runs'!$A$13:$A$99975,1,FALSE)</f>
        <v>#N/A</v>
      </c>
    </row>
    <row r="31" spans="1:10" x14ac:dyDescent="0.25">
      <c r="A31" s="167"/>
      <c r="B31" s="44" t="str">
        <f>A31&amp;"-"&amp;IF(DAY(Variables!$A$2)&lt;10,0,"")&amp;DAY(Variables!$A$2)</f>
        <v>-12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1" s="31" t="e">
        <f>VLOOKUP(B31,'Train Runs'!$A$13:$A$99975,1,FALSE)</f>
        <v>#N/A</v>
      </c>
    </row>
    <row r="32" spans="1:10" x14ac:dyDescent="0.25">
      <c r="A32" s="167"/>
      <c r="B32" s="44" t="str">
        <f>A32&amp;"-"&amp;IF(DAY(Variables!$A$2)&lt;10,0,"")&amp;DAY(Variables!$A$2)</f>
        <v>-12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2" s="31" t="e">
        <f>VLOOKUP(B32,'Train Runs'!$A$13:$A$99975,1,FALSE)</f>
        <v>#N/A</v>
      </c>
    </row>
    <row r="33" spans="1:10" x14ac:dyDescent="0.25">
      <c r="A33" s="167"/>
      <c r="B33" s="44" t="str">
        <f>A33&amp;"-"&amp;IF(DAY(Variables!$A$2)&lt;10,0,"")&amp;DAY(Variables!$A$2)</f>
        <v>-12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3" s="31" t="e">
        <f>VLOOKUP(B33,'Train Runs'!$A$13:$A$99975,1,FALSE)</f>
        <v>#N/A</v>
      </c>
    </row>
    <row r="34" spans="1:10" x14ac:dyDescent="0.25">
      <c r="A34" s="167"/>
      <c r="B34" s="44" t="str">
        <f>A34&amp;"-"&amp;IF(DAY(Variables!$A$2)&lt;10,0,"")&amp;DAY(Variables!$A$2)</f>
        <v>-12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4" s="31" t="e">
        <f>VLOOKUP(B34,'Train Runs'!$A$13:$A$99975,1,FALSE)</f>
        <v>#N/A</v>
      </c>
    </row>
    <row r="35" spans="1:10" x14ac:dyDescent="0.25">
      <c r="A35" s="167"/>
      <c r="B35" s="44" t="str">
        <f>A35&amp;"-"&amp;IF(DAY(Variables!$A$2)&lt;10,0,"")&amp;DAY(Variables!$A$2)</f>
        <v>-12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5" s="31" t="e">
        <f>VLOOKUP(B35,'Train Runs'!$A$13:$A$99975,1,FALSE)</f>
        <v>#N/A</v>
      </c>
    </row>
    <row r="36" spans="1:10" x14ac:dyDescent="0.25">
      <c r="A36" s="167"/>
      <c r="B36" s="44" t="str">
        <f>A36&amp;"-"&amp;IF(DAY(Variables!$A$2)&lt;10,0,"")&amp;DAY(Variables!$A$2)</f>
        <v>-12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6" s="31" t="e">
        <f>VLOOKUP(B36,'Train Runs'!$A$13:$A$99975,1,FALSE)</f>
        <v>#N/A</v>
      </c>
    </row>
    <row r="37" spans="1:10" x14ac:dyDescent="0.25">
      <c r="A37" s="167"/>
      <c r="B37" s="44" t="str">
        <f>A37&amp;"-"&amp;IF(DAY(Variables!$A$2)&lt;10,0,"")&amp;DAY(Variables!$A$2)</f>
        <v>-12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7" s="31" t="e">
        <f>VLOOKUP(B37,'Train Runs'!$A$13:$A$99975,1,FALSE)</f>
        <v>#N/A</v>
      </c>
    </row>
    <row r="38" spans="1:10" x14ac:dyDescent="0.25">
      <c r="A38" s="167"/>
      <c r="B38" s="44" t="str">
        <f>A38&amp;"-"&amp;IF(DAY(Variables!$A$2)&lt;10,0,"")&amp;DAY(Variables!$A$2)</f>
        <v>-12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8" s="31" t="e">
        <f>VLOOKUP(B38,'Train Runs'!$A$13:$A$99975,1,FALSE)</f>
        <v>#N/A</v>
      </c>
    </row>
    <row r="39" spans="1:10" x14ac:dyDescent="0.25">
      <c r="A39" s="167"/>
      <c r="B39" s="44" t="str">
        <f>A39&amp;"-"&amp;IF(DAY(Variables!$A$2)&lt;10,0,"")&amp;DAY(Variables!$A$2)</f>
        <v>-12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39" s="31" t="e">
        <f>VLOOKUP(B39,'Train Runs'!$A$13:$A$99975,1,FALSE)</f>
        <v>#N/A</v>
      </c>
    </row>
    <row r="40" spans="1:10" x14ac:dyDescent="0.25">
      <c r="A40" s="167"/>
      <c r="B40" s="44" t="str">
        <f>A40&amp;"-"&amp;IF(DAY(Variables!$A$2)&lt;10,0,"")&amp;DAY(Variables!$A$2)</f>
        <v>-12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0" s="31" t="e">
        <f>VLOOKUP(B40,'Train Runs'!$A$13:$A$99975,1,FALSE)</f>
        <v>#N/A</v>
      </c>
    </row>
    <row r="41" spans="1:10" x14ac:dyDescent="0.25">
      <c r="A41" s="167"/>
      <c r="B41" s="44" t="str">
        <f>A41&amp;"-"&amp;IF(DAY(Variables!$A$2)&lt;10,0,"")&amp;DAY(Variables!$A$2)</f>
        <v>-12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1" s="31" t="e">
        <f>VLOOKUP(B41,'Train Runs'!$A$13:$A$99975,1,FALSE)</f>
        <v>#N/A</v>
      </c>
    </row>
    <row r="42" spans="1:10" x14ac:dyDescent="0.25">
      <c r="A42" s="167"/>
      <c r="B42" s="44" t="str">
        <f>A42&amp;"-"&amp;IF(DAY(Variables!$A$2)&lt;10,0,"")&amp;DAY(Variables!$A$2)</f>
        <v>-12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2" s="31" t="e">
        <f>VLOOKUP(B42,'Train Runs'!$A$13:$A$99975,1,FALSE)</f>
        <v>#N/A</v>
      </c>
    </row>
    <row r="43" spans="1:10" x14ac:dyDescent="0.25">
      <c r="A43" s="167"/>
      <c r="B43" s="44" t="str">
        <f>A43&amp;"-"&amp;IF(DAY(Variables!$A$2)&lt;10,0,"")&amp;DAY(Variables!$A$2)</f>
        <v>-12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3" s="31" t="e">
        <f>VLOOKUP(B43,'Train Runs'!$A$13:$A$99975,1,FALSE)</f>
        <v>#N/A</v>
      </c>
    </row>
    <row r="44" spans="1:10" x14ac:dyDescent="0.25">
      <c r="A44" s="167"/>
      <c r="B44" s="44" t="str">
        <f>A44&amp;"-"&amp;IF(DAY(Variables!$A$2)&lt;10,0,"")&amp;DAY(Variables!$A$2)</f>
        <v>-12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4" s="31" t="e">
        <f>VLOOKUP(B44,'Train Runs'!$A$13:$A$99975,1,FALSE)</f>
        <v>#N/A</v>
      </c>
    </row>
    <row r="45" spans="1:10" x14ac:dyDescent="0.25">
      <c r="A45" s="167"/>
      <c r="B45" s="44" t="str">
        <f>A45&amp;"-"&amp;IF(DAY(Variables!$A$2)&lt;10,0,"")&amp;DAY(Variables!$A$2)</f>
        <v>-12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5" s="31" t="e">
        <f>VLOOKUP(B45,'Train Runs'!$A$13:$A$99975,1,FALSE)</f>
        <v>#N/A</v>
      </c>
    </row>
    <row r="46" spans="1:10" x14ac:dyDescent="0.25">
      <c r="A46" s="167"/>
      <c r="B46" s="44" t="str">
        <f>A46&amp;"-"&amp;IF(DAY(Variables!$A$2)&lt;10,0,"")&amp;DAY(Variables!$A$2)</f>
        <v>-12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6" s="31" t="e">
        <f>VLOOKUP(B46,'Train Runs'!$A$13:$A$99975,1,FALSE)</f>
        <v>#N/A</v>
      </c>
    </row>
    <row r="47" spans="1:10" x14ac:dyDescent="0.25">
      <c r="A47" s="167"/>
      <c r="B47" s="44" t="str">
        <f>A47&amp;"-"&amp;IF(DAY(Variables!$A$2)&lt;10,0,"")&amp;DAY(Variables!$A$2)</f>
        <v>-12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7" s="31" t="e">
        <f>VLOOKUP(B47,'Train Runs'!$A$13:$A$99975,1,FALSE)</f>
        <v>#N/A</v>
      </c>
    </row>
    <row r="48" spans="1:10" x14ac:dyDescent="0.25">
      <c r="A48" s="167"/>
      <c r="B48" s="44" t="str">
        <f>A48&amp;"-"&amp;IF(DAY(Variables!$A$2)&lt;10,0,"")&amp;DAY(Variables!$A$2)</f>
        <v>-12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8" s="31" t="e">
        <f>VLOOKUP(B48,'Train Runs'!$A$13:$A$99975,1,FALSE)</f>
        <v>#N/A</v>
      </c>
    </row>
    <row r="49" spans="1:10" x14ac:dyDescent="0.25">
      <c r="A49" s="167"/>
      <c r="B49" s="44" t="str">
        <f>A49&amp;"-"&amp;IF(DAY(Variables!$A$2)&lt;10,0,"")&amp;DAY(Variables!$A$2)</f>
        <v>-12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49" s="31" t="e">
        <f>VLOOKUP(B49,'Train Runs'!$A$13:$A$99975,1,FALSE)</f>
        <v>#N/A</v>
      </c>
    </row>
    <row r="50" spans="1:10" x14ac:dyDescent="0.25">
      <c r="A50" s="167"/>
      <c r="B50" s="44" t="str">
        <f>A50&amp;"-"&amp;IF(DAY(Variables!$A$2)&lt;10,0,"")&amp;DAY(Variables!$A$2)</f>
        <v>-12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0" s="31" t="e">
        <f>VLOOKUP(B50,'Train Runs'!$A$13:$A$99975,1,FALSE)</f>
        <v>#N/A</v>
      </c>
    </row>
    <row r="51" spans="1:10" x14ac:dyDescent="0.25">
      <c r="A51" s="167"/>
      <c r="B51" s="44" t="str">
        <f>A51&amp;"-"&amp;IF(DAY(Variables!$A$2)&lt;10,0,"")&amp;DAY(Variables!$A$2)</f>
        <v>-12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1" s="31" t="e">
        <f>VLOOKUP(B51,'Train Runs'!$A$13:$A$99975,1,FALSE)</f>
        <v>#N/A</v>
      </c>
    </row>
    <row r="52" spans="1:10" x14ac:dyDescent="0.25">
      <c r="A52" s="167"/>
      <c r="B52" s="44" t="str">
        <f>A52&amp;"-"&amp;IF(DAY(Variables!$A$2)&lt;10,0,"")&amp;DAY(Variables!$A$2)</f>
        <v>-12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2" s="31" t="e">
        <f>VLOOKUP(B52,'Train Runs'!$A$13:$A$99975,1,FALSE)</f>
        <v>#N/A</v>
      </c>
    </row>
    <row r="53" spans="1:10" x14ac:dyDescent="0.25">
      <c r="A53" s="167"/>
      <c r="B53" s="44" t="str">
        <f>A53&amp;"-"&amp;IF(DAY(Variables!$A$2)&lt;10,0,"")&amp;DAY(Variables!$A$2)</f>
        <v>-12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3" s="31" t="e">
        <f>VLOOKUP(B53,'Train Runs'!$A$13:$A$99975,1,FALSE)</f>
        <v>#N/A</v>
      </c>
    </row>
    <row r="54" spans="1:10" x14ac:dyDescent="0.25">
      <c r="A54" s="167"/>
      <c r="B54" s="44" t="str">
        <f>A54&amp;"-"&amp;IF(DAY(Variables!$A$2)&lt;10,0,"")&amp;DAY(Variables!$A$2)</f>
        <v>-12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4" s="31" t="e">
        <f>VLOOKUP(B54,'Train Runs'!$A$13:$A$99975,1,FALSE)</f>
        <v>#N/A</v>
      </c>
    </row>
    <row r="55" spans="1:10" x14ac:dyDescent="0.25">
      <c r="A55" s="167"/>
      <c r="B55" s="44" t="str">
        <f>A55&amp;"-"&amp;IF(DAY(Variables!$A$2)&lt;10,0,"")&amp;DAY(Variables!$A$2)</f>
        <v>-12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5" s="31" t="e">
        <f>VLOOKUP(B55,'Train Runs'!$A$13:$A$99975,1,FALSE)</f>
        <v>#N/A</v>
      </c>
    </row>
    <row r="56" spans="1:10" x14ac:dyDescent="0.25">
      <c r="A56" s="167"/>
      <c r="B56" s="44" t="str">
        <f>A56&amp;"-"&amp;IF(DAY(Variables!$A$2)&lt;10,0,"")&amp;DAY(Variables!$A$2)</f>
        <v>-12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6" s="31" t="e">
        <f>VLOOKUP(B56,'Train Runs'!$A$13:$A$99975,1,FALSE)</f>
        <v>#N/A</v>
      </c>
    </row>
    <row r="57" spans="1:10" x14ac:dyDescent="0.25">
      <c r="A57" s="167"/>
      <c r="B57" s="44" t="str">
        <f>A57&amp;"-"&amp;IF(DAY(Variables!$A$2)&lt;10,0,"")&amp;DAY(Variables!$A$2)</f>
        <v>-12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7" s="31" t="e">
        <f>VLOOKUP(B57,'Train Runs'!$A$13:$A$99975,1,FALSE)</f>
        <v>#N/A</v>
      </c>
    </row>
    <row r="58" spans="1:10" x14ac:dyDescent="0.25">
      <c r="A58" s="167"/>
      <c r="B58" s="44" t="str">
        <f>A58&amp;"-"&amp;IF(DAY(Variables!$A$2)&lt;10,0,"")&amp;DAY(Variables!$A$2)</f>
        <v>-12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8" s="31" t="e">
        <f>VLOOKUP(B58,'Train Runs'!$A$13:$A$99975,1,FALSE)</f>
        <v>#N/A</v>
      </c>
    </row>
    <row r="59" spans="1:10" x14ac:dyDescent="0.25">
      <c r="A59" s="167"/>
      <c r="B59" s="44" t="str">
        <f>A59&amp;"-"&amp;IF(DAY(Variables!$A$2)&lt;10,0,"")&amp;DAY(Variables!$A$2)</f>
        <v>-12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59" s="31" t="e">
        <f>VLOOKUP(B59,'Train Runs'!$A$13:$A$99975,1,FALSE)</f>
        <v>#N/A</v>
      </c>
    </row>
    <row r="60" spans="1:10" x14ac:dyDescent="0.25">
      <c r="A60" s="167"/>
      <c r="B60" s="44" t="str">
        <f>A60&amp;"-"&amp;IF(DAY(Variables!$A$2)&lt;10,0,"")&amp;DAY(Variables!$A$2)</f>
        <v>-12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0" s="31" t="e">
        <f>VLOOKUP(B60,'Train Runs'!$A$13:$A$99975,1,FALSE)</f>
        <v>#N/A</v>
      </c>
    </row>
    <row r="61" spans="1:10" x14ac:dyDescent="0.25">
      <c r="A61" s="167"/>
      <c r="B61" s="44" t="str">
        <f>A61&amp;"-"&amp;IF(DAY(Variables!$A$2)&lt;10,0,"")&amp;DAY(Variables!$A$2)</f>
        <v>-12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1" s="31" t="e">
        <f>VLOOKUP(B61,'Train Runs'!$A$13:$A$99975,1,FALSE)</f>
        <v>#N/A</v>
      </c>
    </row>
    <row r="62" spans="1:10" x14ac:dyDescent="0.25">
      <c r="A62" s="167"/>
      <c r="B62" s="44" t="str">
        <f>A62&amp;"-"&amp;IF(DAY(Variables!$A$2)&lt;10,0,"")&amp;DAY(Variables!$A$2)</f>
        <v>-12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2" s="31" t="e">
        <f>VLOOKUP(B62,'Train Runs'!$A$13:$A$99975,1,FALSE)</f>
        <v>#N/A</v>
      </c>
    </row>
    <row r="63" spans="1:10" x14ac:dyDescent="0.25">
      <c r="A63" s="167"/>
      <c r="B63" s="44" t="str">
        <f>A63&amp;"-"&amp;IF(DAY(Variables!$A$2)&lt;10,0,"")&amp;DAY(Variables!$A$2)</f>
        <v>-12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3" s="31" t="e">
        <f>VLOOKUP(B63,'Train Runs'!$A$13:$A$99975,1,FALSE)</f>
        <v>#N/A</v>
      </c>
    </row>
    <row r="64" spans="1:10" x14ac:dyDescent="0.25">
      <c r="A64" s="167"/>
      <c r="B64" s="44" t="str">
        <f>A64&amp;"-"&amp;IF(DAY(Variables!$A$2)&lt;10,0,"")&amp;DAY(Variables!$A$2)</f>
        <v>-12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4" s="31" t="e">
        <f>VLOOKUP(B64,'Train Runs'!$A$13:$A$99975,1,FALSE)</f>
        <v>#N/A</v>
      </c>
    </row>
    <row r="65" spans="1:10" x14ac:dyDescent="0.25">
      <c r="A65" s="167"/>
      <c r="B65" s="44" t="str">
        <f>A65&amp;"-"&amp;IF(DAY(Variables!$A$2)&lt;10,0,"")&amp;DAY(Variables!$A$2)</f>
        <v>-12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5" s="31" t="e">
        <f>VLOOKUP(B65,'Train Runs'!$A$13:$A$99975,1,FALSE)</f>
        <v>#N/A</v>
      </c>
    </row>
    <row r="66" spans="1:10" x14ac:dyDescent="0.25">
      <c r="A66" s="167"/>
      <c r="B66" s="44" t="str">
        <f>A66&amp;"-"&amp;IF(DAY(Variables!$A$2)&lt;10,0,"")&amp;DAY(Variables!$A$2)</f>
        <v>-12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6" s="31" t="e">
        <f>VLOOKUP(B66,'Train Runs'!$A$13:$A$99975,1,FALSE)</f>
        <v>#N/A</v>
      </c>
    </row>
    <row r="67" spans="1:10" x14ac:dyDescent="0.25">
      <c r="A67" s="167"/>
      <c r="B67" s="44" t="str">
        <f>A67&amp;"-"&amp;IF(DAY(Variables!$A$2)&lt;10,0,"")&amp;DAY(Variables!$A$2)</f>
        <v>-12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7" s="31" t="e">
        <f>VLOOKUP(B67,'Train Runs'!$A$13:$A$99975,1,FALSE)</f>
        <v>#N/A</v>
      </c>
    </row>
    <row r="68" spans="1:10" x14ac:dyDescent="0.25">
      <c r="A68" s="167"/>
      <c r="B68" s="44" t="str">
        <f>A68&amp;"-"&amp;IF(DAY(Variables!$A$2)&lt;10,0,"")&amp;DAY(Variables!$A$2)</f>
        <v>-12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ref="I68:I131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68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8" s="31" t="e">
        <f>VLOOKUP(B68,'Train Runs'!$A$13:$A$99975,1,FALSE)</f>
        <v>#N/A</v>
      </c>
    </row>
    <row r="69" spans="1:10" x14ac:dyDescent="0.25">
      <c r="A69" s="167"/>
      <c r="B69" s="44" t="str">
        <f>A69&amp;"-"&amp;IF(DAY(Variables!$A$2)&lt;10,0,"")&amp;DAY(Variables!$A$2)</f>
        <v>-12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69" s="31" t="e">
        <f>VLOOKUP(B69,'Train Runs'!$A$13:$A$99975,1,FALSE)</f>
        <v>#N/A</v>
      </c>
    </row>
    <row r="70" spans="1:10" x14ac:dyDescent="0.25">
      <c r="A70" s="167"/>
      <c r="B70" s="44" t="str">
        <f>A70&amp;"-"&amp;IF(DAY(Variables!$A$2)&lt;10,0,"")&amp;DAY(Variables!$A$2)</f>
        <v>-12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0" s="31" t="e">
        <f>VLOOKUP(B70,'Train Runs'!$A$13:$A$99975,1,FALSE)</f>
        <v>#N/A</v>
      </c>
    </row>
    <row r="71" spans="1:10" x14ac:dyDescent="0.25">
      <c r="A71" s="167"/>
      <c r="B71" s="44" t="str">
        <f>A71&amp;"-"&amp;IF(DAY(Variables!$A$2)&lt;10,0,"")&amp;DAY(Variables!$A$2)</f>
        <v>-12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1" s="31" t="e">
        <f>VLOOKUP(B71,'Train Runs'!$A$13:$A$99975,1,FALSE)</f>
        <v>#N/A</v>
      </c>
    </row>
    <row r="72" spans="1:10" x14ac:dyDescent="0.25">
      <c r="A72" s="167"/>
      <c r="B72" s="44" t="str">
        <f>A72&amp;"-"&amp;IF(DAY(Variables!$A$2)&lt;10,0,"")&amp;DAY(Variables!$A$2)</f>
        <v>-12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2" s="31" t="e">
        <f>VLOOKUP(B72,'Train Runs'!$A$13:$A$99975,1,FALSE)</f>
        <v>#N/A</v>
      </c>
    </row>
    <row r="73" spans="1:10" x14ac:dyDescent="0.25">
      <c r="A73" s="167"/>
      <c r="B73" s="44" t="str">
        <f>A73&amp;"-"&amp;IF(DAY(Variables!$A$2)&lt;10,0,"")&amp;DAY(Variables!$A$2)</f>
        <v>-12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3" s="31" t="e">
        <f>VLOOKUP(B73,'Train Runs'!$A$13:$A$99975,1,FALSE)</f>
        <v>#N/A</v>
      </c>
    </row>
    <row r="74" spans="1:10" x14ac:dyDescent="0.25">
      <c r="A74" s="167"/>
      <c r="B74" s="44" t="str">
        <f>A74&amp;"-"&amp;IF(DAY(Variables!$A$2)&lt;10,0,"")&amp;DAY(Variables!$A$2)</f>
        <v>-12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4" s="31" t="e">
        <f>VLOOKUP(B74,'Train Runs'!$A$13:$A$99975,1,FALSE)</f>
        <v>#N/A</v>
      </c>
    </row>
    <row r="75" spans="1:10" x14ac:dyDescent="0.25">
      <c r="A75" s="167"/>
      <c r="B75" s="44" t="str">
        <f>A75&amp;"-"&amp;IF(DAY(Variables!$A$2)&lt;10,0,"")&amp;DAY(Variables!$A$2)</f>
        <v>-12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5" s="31" t="e">
        <f>VLOOKUP(B75,'Train Runs'!$A$13:$A$99975,1,FALSE)</f>
        <v>#N/A</v>
      </c>
    </row>
    <row r="76" spans="1:10" x14ac:dyDescent="0.25">
      <c r="A76" s="167"/>
      <c r="B76" s="44" t="str">
        <f>A76&amp;"-"&amp;IF(DAY(Variables!$A$2)&lt;10,0,"")&amp;DAY(Variables!$A$2)</f>
        <v>-12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6" s="31" t="e">
        <f>VLOOKUP(B76,'Train Runs'!$A$13:$A$99975,1,FALSE)</f>
        <v>#N/A</v>
      </c>
    </row>
    <row r="77" spans="1:10" x14ac:dyDescent="0.25">
      <c r="A77" s="167"/>
      <c r="B77" s="44" t="str">
        <f>A77&amp;"-"&amp;IF(DAY(Variables!$A$2)&lt;10,0,"")&amp;DAY(Variables!$A$2)</f>
        <v>-12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7" s="31" t="e">
        <f>VLOOKUP(B77,'Train Runs'!$A$13:$A$99975,1,FALSE)</f>
        <v>#N/A</v>
      </c>
    </row>
    <row r="78" spans="1:10" x14ac:dyDescent="0.25">
      <c r="A78" s="167"/>
      <c r="B78" s="44" t="str">
        <f>A78&amp;"-"&amp;IF(DAY(Variables!$A$2)&lt;10,0,"")&amp;DAY(Variables!$A$2)</f>
        <v>-12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8" s="31" t="e">
        <f>VLOOKUP(B78,'Train Runs'!$A$13:$A$99975,1,FALSE)</f>
        <v>#N/A</v>
      </c>
    </row>
    <row r="79" spans="1:10" x14ac:dyDescent="0.25">
      <c r="A79" s="167"/>
      <c r="B79" s="44" t="str">
        <f>A79&amp;"-"&amp;IF(DAY(Variables!$A$2)&lt;10,0,"")&amp;DAY(Variables!$A$2)</f>
        <v>-12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79" s="31" t="e">
        <f>VLOOKUP(B79,'Train Runs'!$A$13:$A$99975,1,FALSE)</f>
        <v>#N/A</v>
      </c>
    </row>
    <row r="80" spans="1:10" x14ac:dyDescent="0.25">
      <c r="A80" s="167"/>
      <c r="B80" s="44" t="str">
        <f>A80&amp;"-"&amp;IF(DAY(Variables!$A$2)&lt;10,0,"")&amp;DAY(Variables!$A$2)</f>
        <v>-12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0" s="31" t="e">
        <f>VLOOKUP(B80,'Train Runs'!$A$13:$A$99975,1,FALSE)</f>
        <v>#N/A</v>
      </c>
    </row>
    <row r="81" spans="1:10" x14ac:dyDescent="0.25">
      <c r="A81" s="167"/>
      <c r="B81" s="44" t="str">
        <f>A81&amp;"-"&amp;IF(DAY(Variables!$A$2)&lt;10,0,"")&amp;DAY(Variables!$A$2)</f>
        <v>-12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1" s="31" t="e">
        <f>VLOOKUP(B81,'Train Runs'!$A$13:$A$99975,1,FALSE)</f>
        <v>#N/A</v>
      </c>
    </row>
    <row r="82" spans="1:10" x14ac:dyDescent="0.25">
      <c r="A82" s="167"/>
      <c r="B82" s="44" t="str">
        <f>A82&amp;"-"&amp;IF(DAY(Variables!$A$2)&lt;10,0,"")&amp;DAY(Variables!$A$2)</f>
        <v>-12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2" s="31" t="e">
        <f>VLOOKUP(B82,'Train Runs'!$A$13:$A$99975,1,FALSE)</f>
        <v>#N/A</v>
      </c>
    </row>
    <row r="83" spans="1:10" x14ac:dyDescent="0.25">
      <c r="A83" s="167"/>
      <c r="B83" s="44" t="str">
        <f>A83&amp;"-"&amp;IF(DAY(Variables!$A$2)&lt;10,0,"")&amp;DAY(Variables!$A$2)</f>
        <v>-12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3" s="31" t="e">
        <f>VLOOKUP(B83,'Train Runs'!$A$13:$A$99975,1,FALSE)</f>
        <v>#N/A</v>
      </c>
    </row>
    <row r="84" spans="1:10" x14ac:dyDescent="0.25">
      <c r="A84" s="167"/>
      <c r="B84" s="44" t="str">
        <f>A84&amp;"-"&amp;IF(DAY(Variables!$A$2)&lt;10,0,"")&amp;DAY(Variables!$A$2)</f>
        <v>-12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4" s="31" t="e">
        <f>VLOOKUP(B84,'Train Runs'!$A$13:$A$99975,1,FALSE)</f>
        <v>#N/A</v>
      </c>
    </row>
    <row r="85" spans="1:10" x14ac:dyDescent="0.25">
      <c r="A85" s="167"/>
      <c r="B85" s="44" t="str">
        <f>A85&amp;"-"&amp;IF(DAY(Variables!$A$2)&lt;10,0,"")&amp;DAY(Variables!$A$2)</f>
        <v>-12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5" s="31" t="e">
        <f>VLOOKUP(B85,'Train Runs'!$A$13:$A$99975,1,FALSE)</f>
        <v>#N/A</v>
      </c>
    </row>
    <row r="86" spans="1:10" x14ac:dyDescent="0.25">
      <c r="A86" s="167"/>
      <c r="B86" s="44" t="str">
        <f>A86&amp;"-"&amp;IF(DAY(Variables!$A$2)&lt;10,0,"")&amp;DAY(Variables!$A$2)</f>
        <v>-12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6" s="31" t="e">
        <f>VLOOKUP(B86,'Train Runs'!$A$13:$A$99975,1,FALSE)</f>
        <v>#N/A</v>
      </c>
    </row>
    <row r="87" spans="1:10" x14ac:dyDescent="0.25">
      <c r="A87" s="167"/>
      <c r="B87" s="44" t="str">
        <f>A87&amp;"-"&amp;IF(DAY(Variables!$A$2)&lt;10,0,"")&amp;DAY(Variables!$A$2)</f>
        <v>-12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7" s="31" t="e">
        <f>VLOOKUP(B87,'Train Runs'!$A$13:$A$99975,1,FALSE)</f>
        <v>#N/A</v>
      </c>
    </row>
    <row r="88" spans="1:10" x14ac:dyDescent="0.25">
      <c r="A88" s="167"/>
      <c r="B88" s="44" t="str">
        <f>A88&amp;"-"&amp;IF(DAY(Variables!$A$2)&lt;10,0,"")&amp;DAY(Variables!$A$2)</f>
        <v>-12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8" s="31" t="e">
        <f>VLOOKUP(B88,'Train Runs'!$A$13:$A$99975,1,FALSE)</f>
        <v>#N/A</v>
      </c>
    </row>
    <row r="89" spans="1:10" x14ac:dyDescent="0.25">
      <c r="A89" s="167"/>
      <c r="B89" s="44" t="str">
        <f>A89&amp;"-"&amp;IF(DAY(Variables!$A$2)&lt;10,0,"")&amp;DAY(Variables!$A$2)</f>
        <v>-12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89" s="31" t="e">
        <f>VLOOKUP(B89,'Train Runs'!$A$13:$A$99975,1,FALSE)</f>
        <v>#N/A</v>
      </c>
    </row>
    <row r="90" spans="1:10" x14ac:dyDescent="0.25">
      <c r="A90" s="167"/>
      <c r="B90" s="44" t="str">
        <f>A90&amp;"-"&amp;IF(DAY(Variables!$A$2)&lt;10,0,"")&amp;DAY(Variables!$A$2)</f>
        <v>-12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0" s="31" t="e">
        <f>VLOOKUP(B90,'Train Runs'!$A$13:$A$99975,1,FALSE)</f>
        <v>#N/A</v>
      </c>
    </row>
    <row r="91" spans="1:10" x14ac:dyDescent="0.25">
      <c r="A91" s="167"/>
      <c r="B91" s="44" t="str">
        <f>A91&amp;"-"&amp;IF(DAY(Variables!$A$2)&lt;10,0,"")&amp;DAY(Variables!$A$2)</f>
        <v>-12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1" s="31" t="e">
        <f>VLOOKUP(B91,'Train Runs'!$A$13:$A$99975,1,FALSE)</f>
        <v>#N/A</v>
      </c>
    </row>
    <row r="92" spans="1:10" x14ac:dyDescent="0.25">
      <c r="A92" s="167"/>
      <c r="B92" s="44" t="str">
        <f>A92&amp;"-"&amp;IF(DAY(Variables!$A$2)&lt;10,0,"")&amp;DAY(Variables!$A$2)</f>
        <v>-12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2" s="31" t="e">
        <f>VLOOKUP(B92,'Train Runs'!$A$13:$A$99975,1,FALSE)</f>
        <v>#N/A</v>
      </c>
    </row>
    <row r="93" spans="1:10" x14ac:dyDescent="0.25">
      <c r="A93" s="167"/>
      <c r="B93" s="44" t="str">
        <f>A93&amp;"-"&amp;IF(DAY(Variables!$A$2)&lt;10,0,"")&amp;DAY(Variables!$A$2)</f>
        <v>-12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3" s="31" t="e">
        <f>VLOOKUP(B93,'Train Runs'!$A$13:$A$99975,1,FALSE)</f>
        <v>#N/A</v>
      </c>
    </row>
    <row r="94" spans="1:10" x14ac:dyDescent="0.25">
      <c r="A94" s="167"/>
      <c r="B94" s="44" t="str">
        <f>A94&amp;"-"&amp;IF(DAY(Variables!$A$2)&lt;10,0,"")&amp;DAY(Variables!$A$2)</f>
        <v>-12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4" s="31" t="e">
        <f>VLOOKUP(B94,'Train Runs'!$A$13:$A$99975,1,FALSE)</f>
        <v>#N/A</v>
      </c>
    </row>
    <row r="95" spans="1:10" x14ac:dyDescent="0.25">
      <c r="A95" s="167"/>
      <c r="B95" s="44" t="str">
        <f>A95&amp;"-"&amp;IF(DAY(Variables!$A$2)&lt;10,0,"")&amp;DAY(Variables!$A$2)</f>
        <v>-12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5" s="31" t="e">
        <f>VLOOKUP(B95,'Train Runs'!$A$13:$A$99975,1,FALSE)</f>
        <v>#N/A</v>
      </c>
    </row>
    <row r="96" spans="1:10" x14ac:dyDescent="0.25">
      <c r="A96" s="167"/>
      <c r="B96" s="44" t="str">
        <f>A96&amp;"-"&amp;IF(DAY(Variables!$A$2)&lt;10,0,"")&amp;DAY(Variables!$A$2)</f>
        <v>-12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6" s="31" t="e">
        <f>VLOOKUP(B96,'Train Runs'!$A$13:$A$99975,1,FALSE)</f>
        <v>#N/A</v>
      </c>
    </row>
    <row r="97" spans="1:10" x14ac:dyDescent="0.25">
      <c r="A97" s="167"/>
      <c r="B97" s="44" t="str">
        <f>A97&amp;"-"&amp;IF(DAY(Variables!$A$2)&lt;10,0,"")&amp;DAY(Variables!$A$2)</f>
        <v>-12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7" s="31" t="e">
        <f>VLOOKUP(B97,'Train Runs'!$A$13:$A$99975,1,FALSE)</f>
        <v>#N/A</v>
      </c>
    </row>
    <row r="98" spans="1:10" x14ac:dyDescent="0.25">
      <c r="A98" s="167"/>
      <c r="B98" s="44" t="str">
        <f>A98&amp;"-"&amp;IF(DAY(Variables!$A$2)&lt;10,0,"")&amp;DAY(Variables!$A$2)</f>
        <v>-12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8" s="31" t="e">
        <f>VLOOKUP(B98,'Train Runs'!$A$13:$A$99975,1,FALSE)</f>
        <v>#N/A</v>
      </c>
    </row>
    <row r="99" spans="1:10" x14ac:dyDescent="0.25">
      <c r="A99" s="167"/>
      <c r="B99" s="44" t="str">
        <f>A99&amp;"-"&amp;IF(DAY(Variables!$A$2)&lt;10,0,"")&amp;DAY(Variables!$A$2)</f>
        <v>-12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99" s="31" t="e">
        <f>VLOOKUP(B99,'Train Runs'!$A$13:$A$99975,1,FALSE)</f>
        <v>#N/A</v>
      </c>
    </row>
    <row r="100" spans="1:10" x14ac:dyDescent="0.25">
      <c r="A100" s="167"/>
      <c r="B100" s="44" t="str">
        <f>A100&amp;"-"&amp;IF(DAY(Variables!$A$2)&lt;10,0,"")&amp;DAY(Variables!$A$2)</f>
        <v>-12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0" s="31" t="e">
        <f>VLOOKUP(B100,'Train Runs'!$A$13:$A$99975,1,FALSE)</f>
        <v>#N/A</v>
      </c>
    </row>
    <row r="101" spans="1:10" x14ac:dyDescent="0.25">
      <c r="A101" s="167"/>
      <c r="B101" s="44" t="str">
        <f>A101&amp;"-"&amp;IF(DAY(Variables!$A$2)&lt;10,0,"")&amp;DAY(Variables!$A$2)</f>
        <v>-12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1" s="31" t="e">
        <f>VLOOKUP(B101,'Train Runs'!$A$13:$A$99975,1,FALSE)</f>
        <v>#N/A</v>
      </c>
    </row>
    <row r="102" spans="1:10" x14ac:dyDescent="0.25">
      <c r="A102" s="167"/>
      <c r="B102" s="44" t="str">
        <f>A102&amp;"-"&amp;IF(DAY(Variables!$A$2)&lt;10,0,"")&amp;DAY(Variables!$A$2)</f>
        <v>-12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2" s="31" t="e">
        <f>VLOOKUP(B102,'Train Runs'!$A$13:$A$99975,1,FALSE)</f>
        <v>#N/A</v>
      </c>
    </row>
    <row r="103" spans="1:10" x14ac:dyDescent="0.25">
      <c r="A103" s="167"/>
      <c r="B103" s="44" t="str">
        <f>A103&amp;"-"&amp;IF(DAY(Variables!$A$2)&lt;10,0,"")&amp;DAY(Variables!$A$2)</f>
        <v>-12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3" s="31" t="e">
        <f>VLOOKUP(B103,'Train Runs'!$A$13:$A$99975,1,FALSE)</f>
        <v>#N/A</v>
      </c>
    </row>
    <row r="104" spans="1:10" x14ac:dyDescent="0.25">
      <c r="A104" s="167"/>
      <c r="B104" s="44" t="str">
        <f>A104&amp;"-"&amp;IF(DAY(Variables!$A$2)&lt;10,0,"")&amp;DAY(Variables!$A$2)</f>
        <v>-12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4" s="31" t="e">
        <f>VLOOKUP(B104,'Train Runs'!$A$13:$A$99975,1,FALSE)</f>
        <v>#N/A</v>
      </c>
    </row>
    <row r="105" spans="1:10" x14ac:dyDescent="0.25">
      <c r="A105" s="167"/>
      <c r="B105" s="44" t="str">
        <f>A105&amp;"-"&amp;IF(DAY(Variables!$A$2)&lt;10,0,"")&amp;DAY(Variables!$A$2)</f>
        <v>-12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5" s="31" t="e">
        <f>VLOOKUP(B105,'Train Runs'!$A$13:$A$99975,1,FALSE)</f>
        <v>#N/A</v>
      </c>
    </row>
    <row r="106" spans="1:10" x14ac:dyDescent="0.25">
      <c r="A106" s="167"/>
      <c r="B106" s="44" t="str">
        <f>A106&amp;"-"&amp;IF(DAY(Variables!$A$2)&lt;10,0,"")&amp;DAY(Variables!$A$2)</f>
        <v>-12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6" s="31" t="e">
        <f>VLOOKUP(B106,'Train Runs'!$A$13:$A$99975,1,FALSE)</f>
        <v>#N/A</v>
      </c>
    </row>
    <row r="107" spans="1:10" x14ac:dyDescent="0.25">
      <c r="A107" s="167"/>
      <c r="B107" s="44" t="str">
        <f>A107&amp;"-"&amp;IF(DAY(Variables!$A$2)&lt;10,0,"")&amp;DAY(Variables!$A$2)</f>
        <v>-12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7" s="31" t="e">
        <f>VLOOKUP(B107,'Train Runs'!$A$13:$A$99975,1,FALSE)</f>
        <v>#N/A</v>
      </c>
    </row>
    <row r="108" spans="1:10" x14ac:dyDescent="0.25">
      <c r="A108" s="167"/>
      <c r="B108" s="44" t="str">
        <f>A108&amp;"-"&amp;IF(DAY(Variables!$A$2)&lt;10,0,"")&amp;DAY(Variables!$A$2)</f>
        <v>-12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8" s="31" t="e">
        <f>VLOOKUP(B108,'Train Runs'!$A$13:$A$99975,1,FALSE)</f>
        <v>#N/A</v>
      </c>
    </row>
    <row r="109" spans="1:10" x14ac:dyDescent="0.25">
      <c r="A109" s="167"/>
      <c r="B109" s="44" t="str">
        <f>A109&amp;"-"&amp;IF(DAY(Variables!$A$2)&lt;10,0,"")&amp;DAY(Variables!$A$2)</f>
        <v>-12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09" s="31" t="e">
        <f>VLOOKUP(B109,'Train Runs'!$A$13:$A$99975,1,FALSE)</f>
        <v>#N/A</v>
      </c>
    </row>
    <row r="110" spans="1:10" x14ac:dyDescent="0.25">
      <c r="A110" s="167"/>
      <c r="B110" s="44" t="str">
        <f>A110&amp;"-"&amp;IF(DAY(Variables!$A$2)&lt;10,0,"")&amp;DAY(Variables!$A$2)</f>
        <v>-12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0" s="31" t="e">
        <f>VLOOKUP(B110,'Train Runs'!$A$13:$A$99975,1,FALSE)</f>
        <v>#N/A</v>
      </c>
    </row>
    <row r="111" spans="1:10" x14ac:dyDescent="0.25">
      <c r="A111" s="167"/>
      <c r="B111" s="44" t="str">
        <f>A111&amp;"-"&amp;IF(DAY(Variables!$A$2)&lt;10,0,"")&amp;DAY(Variables!$A$2)</f>
        <v>-12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1" s="31" t="e">
        <f>VLOOKUP(B111,'Train Runs'!$A$13:$A$99975,1,FALSE)</f>
        <v>#N/A</v>
      </c>
    </row>
    <row r="112" spans="1:10" x14ac:dyDescent="0.25">
      <c r="A112" s="167"/>
      <c r="B112" s="44" t="str">
        <f>A112&amp;"-"&amp;IF(DAY(Variables!$A$2)&lt;10,0,"")&amp;DAY(Variables!$A$2)</f>
        <v>-12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2" s="31" t="e">
        <f>VLOOKUP(B112,'Train Runs'!$A$13:$A$99975,1,FALSE)</f>
        <v>#N/A</v>
      </c>
    </row>
    <row r="113" spans="1:10" x14ac:dyDescent="0.25">
      <c r="A113" s="167"/>
      <c r="B113" s="44" t="str">
        <f>A113&amp;"-"&amp;IF(DAY(Variables!$A$2)&lt;10,0,"")&amp;DAY(Variables!$A$2)</f>
        <v>-12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3" s="31" t="e">
        <f>VLOOKUP(B113,'Train Runs'!$A$13:$A$99975,1,FALSE)</f>
        <v>#N/A</v>
      </c>
    </row>
    <row r="114" spans="1:10" x14ac:dyDescent="0.25">
      <c r="A114" s="167"/>
      <c r="B114" s="44" t="str">
        <f>A114&amp;"-"&amp;IF(DAY(Variables!$A$2)&lt;10,0,"")&amp;DAY(Variables!$A$2)</f>
        <v>-12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4" s="31" t="e">
        <f>VLOOKUP(B114,'Train Runs'!$A$13:$A$99975,1,FALSE)</f>
        <v>#N/A</v>
      </c>
    </row>
    <row r="115" spans="1:10" x14ac:dyDescent="0.25">
      <c r="A115" s="167"/>
      <c r="B115" s="44" t="str">
        <f>A115&amp;"-"&amp;IF(DAY(Variables!$A$2)&lt;10,0,"")&amp;DAY(Variables!$A$2)</f>
        <v>-12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5" s="31" t="e">
        <f>VLOOKUP(B115,'Train Runs'!$A$13:$A$99975,1,FALSE)</f>
        <v>#N/A</v>
      </c>
    </row>
    <row r="116" spans="1:10" x14ac:dyDescent="0.25">
      <c r="A116" s="167"/>
      <c r="B116" s="44" t="str">
        <f>A116&amp;"-"&amp;IF(DAY(Variables!$A$2)&lt;10,0,"")&amp;DAY(Variables!$A$2)</f>
        <v>-12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6" s="31" t="e">
        <f>VLOOKUP(B116,'Train Runs'!$A$13:$A$99975,1,FALSE)</f>
        <v>#N/A</v>
      </c>
    </row>
    <row r="117" spans="1:10" x14ac:dyDescent="0.25">
      <c r="A117" s="167"/>
      <c r="B117" s="44" t="str">
        <f>A117&amp;"-"&amp;IF(DAY(Variables!$A$2)&lt;10,0,"")&amp;DAY(Variables!$A$2)</f>
        <v>-12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7" s="31" t="e">
        <f>VLOOKUP(B117,'Train Runs'!$A$13:$A$99975,1,FALSE)</f>
        <v>#N/A</v>
      </c>
    </row>
    <row r="118" spans="1:10" x14ac:dyDescent="0.25">
      <c r="A118" s="167"/>
      <c r="B118" s="44" t="str">
        <f>A118&amp;"-"&amp;IF(DAY(Variables!$A$2)&lt;10,0,"")&amp;DAY(Variables!$A$2)</f>
        <v>-12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8" s="31" t="e">
        <f>VLOOKUP(B118,'Train Runs'!$A$13:$A$99975,1,FALSE)</f>
        <v>#N/A</v>
      </c>
    </row>
    <row r="119" spans="1:10" x14ac:dyDescent="0.25">
      <c r="A119" s="167"/>
      <c r="B119" s="44" t="str">
        <f>A119&amp;"-"&amp;IF(DAY(Variables!$A$2)&lt;10,0,"")&amp;DAY(Variables!$A$2)</f>
        <v>-12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19" s="31" t="e">
        <f>VLOOKUP(B119,'Train Runs'!$A$13:$A$99975,1,FALSE)</f>
        <v>#N/A</v>
      </c>
    </row>
    <row r="120" spans="1:10" x14ac:dyDescent="0.25">
      <c r="A120" s="167"/>
      <c r="B120" s="44" t="str">
        <f>A120&amp;"-"&amp;IF(DAY(Variables!$A$2)&lt;10,0,"")&amp;DAY(Variables!$A$2)</f>
        <v>-12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0" s="31" t="e">
        <f>VLOOKUP(B120,'Train Runs'!$A$13:$A$99975,1,FALSE)</f>
        <v>#N/A</v>
      </c>
    </row>
    <row r="121" spans="1:10" x14ac:dyDescent="0.25">
      <c r="A121" s="167"/>
      <c r="B121" s="44" t="str">
        <f>A121&amp;"-"&amp;IF(DAY(Variables!$A$2)&lt;10,0,"")&amp;DAY(Variables!$A$2)</f>
        <v>-12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1" s="31" t="e">
        <f>VLOOKUP(B121,'Train Runs'!$A$13:$A$99975,1,FALSE)</f>
        <v>#N/A</v>
      </c>
    </row>
    <row r="122" spans="1:10" x14ac:dyDescent="0.25">
      <c r="A122" s="167"/>
      <c r="B122" s="44" t="str">
        <f>A122&amp;"-"&amp;IF(DAY(Variables!$A$2)&lt;10,0,"")&amp;DAY(Variables!$A$2)</f>
        <v>-12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2" s="31" t="e">
        <f>VLOOKUP(B122,'Train Runs'!$A$13:$A$99975,1,FALSE)</f>
        <v>#N/A</v>
      </c>
    </row>
    <row r="123" spans="1:10" x14ac:dyDescent="0.25">
      <c r="A123" s="167"/>
      <c r="B123" s="44" t="str">
        <f>A123&amp;"-"&amp;IF(DAY(Variables!$A$2)&lt;10,0,"")&amp;DAY(Variables!$A$2)</f>
        <v>-12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3" s="31" t="e">
        <f>VLOOKUP(B123,'Train Runs'!$A$13:$A$99975,1,FALSE)</f>
        <v>#N/A</v>
      </c>
    </row>
    <row r="124" spans="1:10" x14ac:dyDescent="0.25">
      <c r="A124" s="167"/>
      <c r="B124" s="44" t="str">
        <f>A124&amp;"-"&amp;IF(DAY(Variables!$A$2)&lt;10,0,"")&amp;DAY(Variables!$A$2)</f>
        <v>-12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4" s="31" t="e">
        <f>VLOOKUP(B124,'Train Runs'!$A$13:$A$99975,1,FALSE)</f>
        <v>#N/A</v>
      </c>
    </row>
    <row r="125" spans="1:10" x14ac:dyDescent="0.25">
      <c r="A125" s="167"/>
      <c r="B125" s="44" t="str">
        <f>A125&amp;"-"&amp;IF(DAY(Variables!$A$2)&lt;10,0,"")&amp;DAY(Variables!$A$2)</f>
        <v>-12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5" s="31" t="e">
        <f>VLOOKUP(B125,'Train Runs'!$A$13:$A$99975,1,FALSE)</f>
        <v>#N/A</v>
      </c>
    </row>
    <row r="126" spans="1:10" x14ac:dyDescent="0.25">
      <c r="A126" s="167"/>
      <c r="B126" s="44" t="str">
        <f>A126&amp;"-"&amp;IF(DAY(Variables!$A$2)&lt;10,0,"")&amp;DAY(Variables!$A$2)</f>
        <v>-12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6" s="31" t="e">
        <f>VLOOKUP(B126,'Train Runs'!$A$13:$A$99975,1,FALSE)</f>
        <v>#N/A</v>
      </c>
    </row>
    <row r="127" spans="1:10" x14ac:dyDescent="0.25">
      <c r="A127" s="167"/>
      <c r="B127" s="44" t="str">
        <f>A127&amp;"-"&amp;IF(DAY(Variables!$A$2)&lt;10,0,"")&amp;DAY(Variables!$A$2)</f>
        <v>-12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7" s="31" t="e">
        <f>VLOOKUP(B127,'Train Runs'!$A$13:$A$99975,1,FALSE)</f>
        <v>#N/A</v>
      </c>
    </row>
    <row r="128" spans="1:10" x14ac:dyDescent="0.25">
      <c r="A128" s="167"/>
      <c r="B128" s="44" t="str">
        <f>A128&amp;"-"&amp;IF(DAY(Variables!$A$2)&lt;10,0,"")&amp;DAY(Variables!$A$2)</f>
        <v>-12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8" s="31" t="e">
        <f>VLOOKUP(B128,'Train Runs'!$A$13:$A$99975,1,FALSE)</f>
        <v>#N/A</v>
      </c>
    </row>
    <row r="129" spans="1:10" x14ac:dyDescent="0.25">
      <c r="A129" s="167"/>
      <c r="B129" s="44" t="str">
        <f>A129&amp;"-"&amp;IF(DAY(Variables!$A$2)&lt;10,0,"")&amp;DAY(Variables!$A$2)</f>
        <v>-12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29" s="31" t="e">
        <f>VLOOKUP(B129,'Train Runs'!$A$13:$A$99975,1,FALSE)</f>
        <v>#N/A</v>
      </c>
    </row>
    <row r="130" spans="1:10" x14ac:dyDescent="0.25">
      <c r="A130" s="167"/>
      <c r="B130" s="44" t="str">
        <f>A130&amp;"-"&amp;IF(DAY(Variables!$A$2)&lt;10,0,"")&amp;DAY(Variables!$A$2)</f>
        <v>-12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0" s="31" t="e">
        <f>VLOOKUP(B130,'Train Runs'!$A$13:$A$99975,1,FALSE)</f>
        <v>#N/A</v>
      </c>
    </row>
    <row r="131" spans="1:10" x14ac:dyDescent="0.25">
      <c r="A131" s="167"/>
      <c r="B131" s="44" t="str">
        <f>A131&amp;"-"&amp;IF(DAY(Variables!$A$2)&lt;10,0,"")&amp;DAY(Variables!$A$2)</f>
        <v>-12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1" s="31" t="e">
        <f>VLOOKUP(B131,'Train Runs'!$A$13:$A$99975,1,FALSE)</f>
        <v>#N/A</v>
      </c>
    </row>
    <row r="132" spans="1:10" x14ac:dyDescent="0.25">
      <c r="A132" s="167"/>
      <c r="B132" s="44" t="str">
        <f>A132&amp;"-"&amp;IF(DAY(Variables!$A$2)&lt;10,0,"")&amp;DAY(Variables!$A$2)</f>
        <v>-12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ref="I132:I143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132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2" s="31" t="e">
        <f>VLOOKUP(B132,'Train Runs'!$A$13:$A$99975,1,FALSE)</f>
        <v>#N/A</v>
      </c>
    </row>
    <row r="133" spans="1:10" x14ac:dyDescent="0.25">
      <c r="A133" s="167"/>
      <c r="B133" s="44" t="str">
        <f>A133&amp;"-"&amp;IF(DAY(Variables!$A$2)&lt;10,0,"")&amp;DAY(Variables!$A$2)</f>
        <v>-12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3" s="31" t="e">
        <f>VLOOKUP(B133,'Train Runs'!$A$13:$A$99975,1,FALSE)</f>
        <v>#N/A</v>
      </c>
    </row>
    <row r="134" spans="1:10" x14ac:dyDescent="0.25">
      <c r="A134" s="167"/>
      <c r="B134" s="44" t="str">
        <f>A134&amp;"-"&amp;IF(DAY(Variables!$A$2)&lt;10,0,"")&amp;DAY(Variables!$A$2)</f>
        <v>-12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4" s="31" t="e">
        <f>VLOOKUP(B134,'Train Runs'!$A$13:$A$99975,1,FALSE)</f>
        <v>#N/A</v>
      </c>
    </row>
    <row r="135" spans="1:10" x14ac:dyDescent="0.25">
      <c r="A135" s="167"/>
      <c r="B135" s="44" t="str">
        <f>A135&amp;"-"&amp;IF(DAY(Variables!$A$2)&lt;10,0,"")&amp;DAY(Variables!$A$2)</f>
        <v>-12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5" s="31" t="e">
        <f>VLOOKUP(B135,'Train Runs'!$A$13:$A$99975,1,FALSE)</f>
        <v>#N/A</v>
      </c>
    </row>
    <row r="136" spans="1:10" x14ac:dyDescent="0.25">
      <c r="A136" s="167"/>
      <c r="B136" s="44" t="str">
        <f>A136&amp;"-"&amp;IF(DAY(Variables!$A$2)&lt;10,0,"")&amp;DAY(Variables!$A$2)</f>
        <v>-12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6" s="31" t="e">
        <f>VLOOKUP(B136,'Train Runs'!$A$13:$A$99975,1,FALSE)</f>
        <v>#N/A</v>
      </c>
    </row>
    <row r="137" spans="1:10" x14ac:dyDescent="0.25">
      <c r="A137" s="167"/>
      <c r="B137" s="44" t="str">
        <f>A137&amp;"-"&amp;IF(DAY(Variables!$A$2)&lt;10,0,"")&amp;DAY(Variables!$A$2)</f>
        <v>-12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7" s="31" t="e">
        <f>VLOOKUP(B137,'Train Runs'!$A$13:$A$99975,1,FALSE)</f>
        <v>#N/A</v>
      </c>
    </row>
    <row r="138" spans="1:10" x14ac:dyDescent="0.25">
      <c r="A138" s="167"/>
      <c r="B138" s="44" t="str">
        <f>A138&amp;"-"&amp;IF(DAY(Variables!$A$2)&lt;10,0,"")&amp;DAY(Variables!$A$2)</f>
        <v>-12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8" s="31" t="e">
        <f>VLOOKUP(B138,'Train Runs'!$A$13:$A$99975,1,FALSE)</f>
        <v>#N/A</v>
      </c>
    </row>
    <row r="139" spans="1:10" x14ac:dyDescent="0.25">
      <c r="A139" s="167"/>
      <c r="B139" s="44" t="str">
        <f>A139&amp;"-"&amp;IF(DAY(Variables!$A$2)&lt;10,0,"")&amp;DAY(Variables!$A$2)</f>
        <v>-12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39" s="31" t="e">
        <f>VLOOKUP(B139,'Train Runs'!$A$13:$A$99975,1,FALSE)</f>
        <v>#N/A</v>
      </c>
    </row>
    <row r="140" spans="1:10" x14ac:dyDescent="0.25">
      <c r="A140" s="167"/>
      <c r="B140" s="44" t="str">
        <f>A140&amp;"-"&amp;IF(DAY(Variables!$A$2)&lt;10,0,"")&amp;DAY(Variables!$A$2)</f>
        <v>-12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40" s="31" t="e">
        <f>VLOOKUP(B140,'Train Runs'!$A$13:$A$99975,1,FALSE)</f>
        <v>#N/A</v>
      </c>
    </row>
    <row r="141" spans="1:10" x14ac:dyDescent="0.25">
      <c r="A141" s="167"/>
      <c r="B141" s="44" t="str">
        <f>A141&amp;"-"&amp;IF(DAY(Variables!$A$2)&lt;10,0,"")&amp;DAY(Variables!$A$2)</f>
        <v>-12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41" s="31" t="e">
        <f>VLOOKUP(B141,'Train Runs'!$A$13:$A$99975,1,FALSE)</f>
        <v>#N/A</v>
      </c>
    </row>
    <row r="142" spans="1:10" x14ac:dyDescent="0.25">
      <c r="A142" s="167"/>
      <c r="B142" s="44" t="str">
        <f>A142&amp;"-"&amp;IF(DAY(Variables!$A$2)&lt;10,0,"")&amp;DAY(Variables!$A$2)</f>
        <v>-12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42" s="31" t="e">
        <f>VLOOKUP(B142,'Train Runs'!$A$13:$A$99975,1,FALSE)</f>
        <v>#N/A</v>
      </c>
    </row>
    <row r="143" spans="1:10" x14ac:dyDescent="0.25">
      <c r="A143" s="167"/>
      <c r="B143" s="44" t="str">
        <f>A143&amp;"-"&amp;IF(DAY(Variables!$A$2)&lt;10,0,"")&amp;DAY(Variables!$A$2)</f>
        <v>-12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-12%22)),sort:!(Time,asc))</v>
      </c>
      <c r="J143" s="31" t="e">
        <f>VLOOKUP(B143,'Train Runs'!$A$13:$A$99975,1,FALSE)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235</v>
      </c>
      <c r="G1" s="8" t="s">
        <v>234</v>
      </c>
    </row>
    <row r="2" spans="1:7" x14ac:dyDescent="0.25">
      <c r="A2" s="8">
        <v>42747.043298611112</v>
      </c>
      <c r="B2" s="21" t="s">
        <v>297</v>
      </c>
      <c r="C2" s="21" t="s">
        <v>462</v>
      </c>
      <c r="D2" s="160">
        <v>2530000</v>
      </c>
      <c r="E2" s="21" t="s">
        <v>226</v>
      </c>
      <c r="F2" s="21" t="s">
        <v>460</v>
      </c>
      <c r="G2" s="8" t="str">
        <f>E2&amp;" "&amp;F2</f>
        <v>LALONDE GREGORY</v>
      </c>
    </row>
    <row r="3" spans="1:7" x14ac:dyDescent="0.25">
      <c r="A3" s="8">
        <v>42747.056898148148</v>
      </c>
      <c r="B3" s="21" t="s">
        <v>342</v>
      </c>
      <c r="C3" s="21" t="s">
        <v>459</v>
      </c>
      <c r="D3" s="160">
        <v>2530000</v>
      </c>
      <c r="E3" s="21" t="s">
        <v>226</v>
      </c>
      <c r="F3" s="21" t="s">
        <v>460</v>
      </c>
      <c r="G3" s="8" t="str">
        <f t="shared" ref="G3:G66" si="0">E3&amp;" "&amp;F3</f>
        <v>LALONDE GREGORY</v>
      </c>
    </row>
    <row r="4" spans="1:7" x14ac:dyDescent="0.25">
      <c r="A4" s="8">
        <v>42747.065972222219</v>
      </c>
      <c r="B4" s="21" t="s">
        <v>337</v>
      </c>
      <c r="C4" s="21" t="s">
        <v>458</v>
      </c>
      <c r="D4" s="160">
        <v>2450000</v>
      </c>
      <c r="E4" s="21" t="s">
        <v>347</v>
      </c>
      <c r="F4" s="21" t="s">
        <v>348</v>
      </c>
      <c r="G4" s="8" t="str">
        <f t="shared" si="0"/>
        <v>NELSON ARIANE</v>
      </c>
    </row>
    <row r="5" spans="1:7" x14ac:dyDescent="0.25">
      <c r="A5" s="8">
        <v>42747.081134259257</v>
      </c>
      <c r="B5" s="21" t="s">
        <v>338</v>
      </c>
      <c r="C5" s="21" t="s">
        <v>461</v>
      </c>
      <c r="D5" s="160">
        <v>2450000</v>
      </c>
      <c r="E5" s="21" t="s">
        <v>347</v>
      </c>
      <c r="F5" s="21" t="s">
        <v>348</v>
      </c>
      <c r="G5" s="8" t="str">
        <f t="shared" si="0"/>
        <v>NELSON ARIANE</v>
      </c>
    </row>
    <row r="6" spans="1:7" x14ac:dyDescent="0.25">
      <c r="A6" s="8">
        <v>42747.08121527778</v>
      </c>
      <c r="B6" s="21" t="s">
        <v>342</v>
      </c>
      <c r="C6" s="21" t="s">
        <v>459</v>
      </c>
      <c r="D6" s="160">
        <v>2530000</v>
      </c>
      <c r="E6" s="21" t="s">
        <v>226</v>
      </c>
      <c r="F6" s="21" t="s">
        <v>460</v>
      </c>
      <c r="G6" s="8" t="str">
        <f t="shared" si="0"/>
        <v>LALONDE GREGORY</v>
      </c>
    </row>
    <row r="7" spans="1:7" x14ac:dyDescent="0.25">
      <c r="A7" s="8">
        <v>42747.111550925925</v>
      </c>
      <c r="B7" s="21" t="s">
        <v>205</v>
      </c>
      <c r="C7" s="21" t="s">
        <v>463</v>
      </c>
      <c r="D7" s="160">
        <v>2100000</v>
      </c>
      <c r="E7" s="21" t="s">
        <v>349</v>
      </c>
      <c r="F7" s="21" t="s">
        <v>350</v>
      </c>
      <c r="G7" s="8" t="str">
        <f t="shared" si="0"/>
        <v>ISHMAEL JOSEPH</v>
      </c>
    </row>
    <row r="8" spans="1:7" x14ac:dyDescent="0.25">
      <c r="A8" s="8">
        <v>42747.12290509259</v>
      </c>
      <c r="B8" s="21" t="s">
        <v>291</v>
      </c>
      <c r="C8" s="21" t="s">
        <v>535</v>
      </c>
      <c r="D8" s="160">
        <v>2100000</v>
      </c>
      <c r="E8" s="21" t="s">
        <v>349</v>
      </c>
      <c r="F8" s="21" t="s">
        <v>350</v>
      </c>
      <c r="G8" s="8" t="str">
        <f t="shared" si="0"/>
        <v>ISHMAEL JOSEPH</v>
      </c>
    </row>
    <row r="9" spans="1:7" ht="15.75" thickBot="1" x14ac:dyDescent="0.3">
      <c r="A9" s="25">
        <v>42747.134826388887</v>
      </c>
      <c r="B9" s="21" t="s">
        <v>297</v>
      </c>
      <c r="C9" s="21" t="s">
        <v>512</v>
      </c>
      <c r="D9" s="160">
        <v>2530000</v>
      </c>
      <c r="E9" s="21" t="s">
        <v>226</v>
      </c>
      <c r="F9" s="21" t="s">
        <v>460</v>
      </c>
      <c r="G9" s="8" t="str">
        <f t="shared" si="0"/>
        <v>LALONDE GREGORY</v>
      </c>
    </row>
    <row r="10" spans="1:7" x14ac:dyDescent="0.25">
      <c r="A10" s="8">
        <v>42747.13826388889</v>
      </c>
      <c r="B10" s="21" t="s">
        <v>245</v>
      </c>
      <c r="C10" s="21" t="s">
        <v>511</v>
      </c>
      <c r="D10" s="160">
        <v>940000</v>
      </c>
      <c r="E10" s="21" t="s">
        <v>316</v>
      </c>
      <c r="F10" s="21" t="s">
        <v>317</v>
      </c>
      <c r="G10" s="8" t="str">
        <f t="shared" si="0"/>
        <v>BONDS REYNALDO</v>
      </c>
    </row>
    <row r="11" spans="1:7" x14ac:dyDescent="0.25">
      <c r="A11" s="8">
        <v>42747.149421296293</v>
      </c>
      <c r="B11" s="21" t="s">
        <v>271</v>
      </c>
      <c r="C11" s="21" t="s">
        <v>513</v>
      </c>
      <c r="D11" s="160">
        <v>940000</v>
      </c>
      <c r="E11" s="21" t="s">
        <v>316</v>
      </c>
      <c r="F11" s="21" t="s">
        <v>317</v>
      </c>
      <c r="G11" s="8" t="str">
        <f t="shared" si="0"/>
        <v>BONDS REYNALDO</v>
      </c>
    </row>
    <row r="12" spans="1:7" x14ac:dyDescent="0.25">
      <c r="A12" s="8">
        <v>42747.160115740742</v>
      </c>
      <c r="B12" s="21" t="s">
        <v>246</v>
      </c>
      <c r="C12" s="21" t="s">
        <v>516</v>
      </c>
      <c r="D12" s="160">
        <v>2140000</v>
      </c>
      <c r="E12" s="21" t="s">
        <v>536</v>
      </c>
      <c r="F12" s="21" t="s">
        <v>537</v>
      </c>
      <c r="G12" s="8" t="str">
        <f t="shared" si="0"/>
        <v>ROBINSON KADDIBA</v>
      </c>
    </row>
    <row r="13" spans="1:7" x14ac:dyDescent="0.25">
      <c r="A13" s="8">
        <v>42747.168032407404</v>
      </c>
      <c r="B13" s="21" t="s">
        <v>205</v>
      </c>
      <c r="C13" s="21" t="s">
        <v>538</v>
      </c>
      <c r="D13" s="160">
        <v>2100000</v>
      </c>
      <c r="E13" s="21" t="s">
        <v>349</v>
      </c>
      <c r="F13" s="21" t="s">
        <v>350</v>
      </c>
      <c r="G13" s="8" t="str">
        <f t="shared" si="0"/>
        <v>ISHMAEL JOSEPH</v>
      </c>
    </row>
    <row r="14" spans="1:7" x14ac:dyDescent="0.25">
      <c r="A14" s="8">
        <v>42747.169432870367</v>
      </c>
      <c r="B14" s="21" t="s">
        <v>509</v>
      </c>
      <c r="C14" s="21" t="s">
        <v>517</v>
      </c>
      <c r="D14" s="160">
        <v>1100000</v>
      </c>
      <c r="E14" s="21" t="s">
        <v>506</v>
      </c>
      <c r="F14" s="21" t="s">
        <v>507</v>
      </c>
      <c r="G14" s="8" t="str">
        <f t="shared" si="0"/>
        <v>GEBRETEKLE DAGNEW</v>
      </c>
    </row>
    <row r="15" spans="1:7" x14ac:dyDescent="0.25">
      <c r="A15" s="8">
        <v>42747.170868055553</v>
      </c>
      <c r="B15" s="21" t="s">
        <v>254</v>
      </c>
      <c r="C15" s="21" t="s">
        <v>539</v>
      </c>
      <c r="D15" s="160">
        <v>2530000</v>
      </c>
      <c r="E15" s="21" t="s">
        <v>226</v>
      </c>
      <c r="F15" s="21" t="s">
        <v>460</v>
      </c>
      <c r="G15" s="8" t="str">
        <f t="shared" si="0"/>
        <v>LALONDE GREGORY</v>
      </c>
    </row>
    <row r="16" spans="1:7" x14ac:dyDescent="0.25">
      <c r="A16" s="8">
        <v>42747.171631944446</v>
      </c>
      <c r="B16" s="21" t="s">
        <v>540</v>
      </c>
      <c r="C16" s="21" t="s">
        <v>541</v>
      </c>
      <c r="D16" s="160">
        <v>2140000</v>
      </c>
      <c r="E16" s="21" t="s">
        <v>536</v>
      </c>
      <c r="F16" s="21" t="s">
        <v>537</v>
      </c>
      <c r="G16" s="8" t="str">
        <f t="shared" si="0"/>
        <v>ROBINSON KADDIBA</v>
      </c>
    </row>
    <row r="17" spans="1:7" x14ac:dyDescent="0.25">
      <c r="A17" s="8">
        <v>42747.179884259262</v>
      </c>
      <c r="B17" s="21" t="s">
        <v>284</v>
      </c>
      <c r="C17" s="21" t="s">
        <v>542</v>
      </c>
      <c r="D17" s="160">
        <v>2680000</v>
      </c>
      <c r="E17" s="21" t="s">
        <v>280</v>
      </c>
      <c r="F17" s="21" t="s">
        <v>281</v>
      </c>
      <c r="G17" s="8" t="str">
        <f t="shared" si="0"/>
        <v>DUNCAN SHEILA</v>
      </c>
    </row>
    <row r="18" spans="1:7" x14ac:dyDescent="0.25">
      <c r="A18" s="8">
        <v>42747.183136574073</v>
      </c>
      <c r="B18" s="21" t="s">
        <v>284</v>
      </c>
      <c r="C18" s="21" t="s">
        <v>542</v>
      </c>
      <c r="D18" s="160">
        <v>2680000</v>
      </c>
      <c r="E18" s="21" t="s">
        <v>280</v>
      </c>
      <c r="F18" s="21" t="s">
        <v>281</v>
      </c>
      <c r="G18" s="8" t="str">
        <f t="shared" si="0"/>
        <v>DUNCAN SHEILA</v>
      </c>
    </row>
    <row r="19" spans="1:7" x14ac:dyDescent="0.25">
      <c r="A19" s="8">
        <v>42747.183622685188</v>
      </c>
      <c r="B19" s="21" t="s">
        <v>209</v>
      </c>
      <c r="C19" s="21" t="s">
        <v>543</v>
      </c>
      <c r="D19" s="160">
        <v>1100000</v>
      </c>
      <c r="E19" s="21" t="s">
        <v>506</v>
      </c>
      <c r="F19" s="21" t="s">
        <v>507</v>
      </c>
      <c r="G19" s="8" t="str">
        <f t="shared" si="0"/>
        <v>GEBRETEKLE DAGNEW</v>
      </c>
    </row>
    <row r="20" spans="1:7" x14ac:dyDescent="0.25">
      <c r="A20" s="8">
        <v>42747.18414351852</v>
      </c>
      <c r="B20" s="21" t="s">
        <v>284</v>
      </c>
      <c r="C20" s="21" t="s">
        <v>542</v>
      </c>
      <c r="D20" s="160">
        <v>2680000</v>
      </c>
      <c r="E20" s="21" t="s">
        <v>280</v>
      </c>
      <c r="F20" s="21" t="s">
        <v>281</v>
      </c>
      <c r="G20" s="8" t="str">
        <f t="shared" si="0"/>
        <v>DUNCAN SHEILA</v>
      </c>
    </row>
    <row r="21" spans="1:7" x14ac:dyDescent="0.25">
      <c r="A21" s="8">
        <v>42747.19259259259</v>
      </c>
      <c r="B21" s="21" t="s">
        <v>245</v>
      </c>
      <c r="C21" s="21" t="s">
        <v>518</v>
      </c>
      <c r="D21" s="160">
        <v>940000</v>
      </c>
      <c r="E21" s="21" t="s">
        <v>316</v>
      </c>
      <c r="F21" s="21" t="s">
        <v>317</v>
      </c>
      <c r="G21" s="8" t="str">
        <f t="shared" si="0"/>
        <v>BONDS REYNALDO</v>
      </c>
    </row>
    <row r="22" spans="1:7" x14ac:dyDescent="0.25">
      <c r="A22" s="27">
        <v>42747.194108796299</v>
      </c>
      <c r="B22" s="21" t="s">
        <v>207</v>
      </c>
      <c r="C22" s="21" t="s">
        <v>544</v>
      </c>
      <c r="D22" s="160">
        <v>2680000</v>
      </c>
      <c r="E22" s="21" t="s">
        <v>280</v>
      </c>
      <c r="F22" s="21" t="s">
        <v>281</v>
      </c>
      <c r="G22" s="8" t="str">
        <f t="shared" si="0"/>
        <v>DUNCAN SHEILA</v>
      </c>
    </row>
    <row r="23" spans="1:7" x14ac:dyDescent="0.25">
      <c r="A23" s="8">
        <v>42747.195254629631</v>
      </c>
      <c r="B23" s="21" t="s">
        <v>207</v>
      </c>
      <c r="C23" s="21" t="s">
        <v>544</v>
      </c>
      <c r="D23" s="160">
        <v>2680000</v>
      </c>
      <c r="E23" s="21" t="s">
        <v>280</v>
      </c>
      <c r="F23" s="21" t="s">
        <v>281</v>
      </c>
      <c r="G23" s="8" t="str">
        <f t="shared" si="0"/>
        <v>DUNCAN SHEILA</v>
      </c>
    </row>
    <row r="24" spans="1:7" x14ac:dyDescent="0.25">
      <c r="A24" s="8">
        <v>42747.196527777778</v>
      </c>
      <c r="B24" s="21" t="s">
        <v>207</v>
      </c>
      <c r="C24" s="21" t="s">
        <v>544</v>
      </c>
      <c r="D24" s="160">
        <v>2680000</v>
      </c>
      <c r="E24" s="21" t="s">
        <v>280</v>
      </c>
      <c r="F24" s="21" t="s">
        <v>281</v>
      </c>
      <c r="G24" s="8" t="str">
        <f t="shared" si="0"/>
        <v>DUNCAN SHEILA</v>
      </c>
    </row>
    <row r="25" spans="1:7" x14ac:dyDescent="0.25">
      <c r="A25" s="8">
        <v>42747.202245370368</v>
      </c>
      <c r="B25" s="21" t="s">
        <v>270</v>
      </c>
      <c r="C25" s="21" t="s">
        <v>545</v>
      </c>
      <c r="D25" s="160">
        <v>2020000</v>
      </c>
      <c r="E25" s="21" t="s">
        <v>546</v>
      </c>
      <c r="F25" s="21" t="s">
        <v>508</v>
      </c>
      <c r="G25" s="8" t="str">
        <f t="shared" si="0"/>
        <v>SHOOK JOHN</v>
      </c>
    </row>
    <row r="26" spans="1:7" x14ac:dyDescent="0.25">
      <c r="A26" s="8">
        <v>42747.207303240742</v>
      </c>
      <c r="B26" s="21" t="s">
        <v>291</v>
      </c>
      <c r="C26" s="21" t="s">
        <v>547</v>
      </c>
      <c r="D26" s="160">
        <v>1830000</v>
      </c>
      <c r="E26" s="21" t="s">
        <v>548</v>
      </c>
      <c r="F26" s="21" t="s">
        <v>549</v>
      </c>
      <c r="G26" s="8" t="str">
        <f t="shared" si="0"/>
        <v>YORK EDGAR</v>
      </c>
    </row>
    <row r="27" spans="1:7" x14ac:dyDescent="0.25">
      <c r="A27" s="8">
        <v>42747.208148148151</v>
      </c>
      <c r="B27" s="21" t="s">
        <v>291</v>
      </c>
      <c r="C27" s="21" t="s">
        <v>547</v>
      </c>
      <c r="D27" s="160">
        <v>1830000</v>
      </c>
      <c r="E27" s="21" t="s">
        <v>548</v>
      </c>
      <c r="F27" s="21" t="s">
        <v>549</v>
      </c>
      <c r="G27" s="8" t="str">
        <f t="shared" si="0"/>
        <v>YORK EDGAR</v>
      </c>
    </row>
    <row r="28" spans="1:7" x14ac:dyDescent="0.25">
      <c r="A28" s="8">
        <v>42747.209733796299</v>
      </c>
      <c r="B28" s="21" t="s">
        <v>246</v>
      </c>
      <c r="C28" s="21" t="s">
        <v>550</v>
      </c>
      <c r="D28" s="160">
        <v>2140000</v>
      </c>
      <c r="E28" s="21" t="s">
        <v>536</v>
      </c>
      <c r="F28" s="21" t="s">
        <v>537</v>
      </c>
      <c r="G28" s="8" t="str">
        <f t="shared" si="0"/>
        <v>ROBINSON KADDIBA</v>
      </c>
    </row>
    <row r="29" spans="1:7" x14ac:dyDescent="0.25">
      <c r="A29" s="8">
        <v>42747.210601851853</v>
      </c>
      <c r="B29" s="21" t="s">
        <v>246</v>
      </c>
      <c r="C29" s="21" t="s">
        <v>550</v>
      </c>
      <c r="D29" s="160">
        <v>2140000</v>
      </c>
      <c r="E29" s="21" t="s">
        <v>536</v>
      </c>
      <c r="F29" s="21" t="s">
        <v>537</v>
      </c>
      <c r="G29" s="8" t="str">
        <f t="shared" si="0"/>
        <v>ROBINSON KADDIBA</v>
      </c>
    </row>
    <row r="30" spans="1:7" x14ac:dyDescent="0.25">
      <c r="A30" s="8">
        <v>42747.211678240739</v>
      </c>
      <c r="B30" s="21" t="s">
        <v>246</v>
      </c>
      <c r="C30" s="21" t="s">
        <v>550</v>
      </c>
      <c r="D30" s="160">
        <v>2140000</v>
      </c>
      <c r="E30" s="21" t="s">
        <v>536</v>
      </c>
      <c r="F30" s="21" t="s">
        <v>537</v>
      </c>
      <c r="G30" s="8" t="str">
        <f t="shared" si="0"/>
        <v>ROBINSON KADDIBA</v>
      </c>
    </row>
    <row r="31" spans="1:7" x14ac:dyDescent="0.25">
      <c r="A31" s="8">
        <v>42747.21197916667</v>
      </c>
      <c r="B31" s="21" t="s">
        <v>339</v>
      </c>
      <c r="C31" s="21" t="s">
        <v>551</v>
      </c>
      <c r="D31" s="160">
        <v>2020000</v>
      </c>
      <c r="E31" s="21" t="s">
        <v>546</v>
      </c>
      <c r="F31" s="21" t="s">
        <v>508</v>
      </c>
      <c r="G31" s="8" t="str">
        <f t="shared" si="0"/>
        <v>SHOOK JOHN</v>
      </c>
    </row>
    <row r="32" spans="1:7" x14ac:dyDescent="0.25">
      <c r="A32" s="8">
        <v>42747.212256944447</v>
      </c>
      <c r="B32" s="21" t="s">
        <v>200</v>
      </c>
      <c r="C32" s="21" t="s">
        <v>519</v>
      </c>
      <c r="D32" s="160">
        <v>2100000</v>
      </c>
      <c r="E32" s="21" t="s">
        <v>349</v>
      </c>
      <c r="F32" s="21" t="s">
        <v>350</v>
      </c>
      <c r="G32" s="8" t="str">
        <f t="shared" si="0"/>
        <v>ISHMAEL JOSEPH</v>
      </c>
    </row>
    <row r="33" spans="1:7" x14ac:dyDescent="0.25">
      <c r="A33" s="8">
        <v>42747.224421296298</v>
      </c>
      <c r="B33" s="21" t="s">
        <v>509</v>
      </c>
      <c r="C33" s="21" t="s">
        <v>552</v>
      </c>
      <c r="D33" s="160">
        <v>1100000</v>
      </c>
      <c r="E33" s="21" t="s">
        <v>506</v>
      </c>
      <c r="F33" s="21" t="s">
        <v>507</v>
      </c>
      <c r="G33" s="8" t="str">
        <f t="shared" si="0"/>
        <v>GEBRETEKLE DAGNEW</v>
      </c>
    </row>
    <row r="34" spans="1:7" x14ac:dyDescent="0.25">
      <c r="A34" s="8">
        <v>42747.227800925924</v>
      </c>
      <c r="B34" s="21" t="s">
        <v>271</v>
      </c>
      <c r="C34" s="21" t="s">
        <v>553</v>
      </c>
      <c r="D34" s="160">
        <v>1110000</v>
      </c>
      <c r="E34" s="21" t="s">
        <v>314</v>
      </c>
      <c r="F34" s="21" t="s">
        <v>315</v>
      </c>
      <c r="G34" s="8" t="str">
        <f t="shared" si="0"/>
        <v>STARKS ANGELINA</v>
      </c>
    </row>
    <row r="35" spans="1:7" x14ac:dyDescent="0.25">
      <c r="A35" s="8">
        <v>42747.22991898148</v>
      </c>
      <c r="B35" s="21" t="s">
        <v>200</v>
      </c>
      <c r="C35" s="21" t="s">
        <v>519</v>
      </c>
      <c r="D35" s="160">
        <v>2100000</v>
      </c>
      <c r="E35" s="21" t="s">
        <v>349</v>
      </c>
      <c r="F35" s="21" t="s">
        <v>350</v>
      </c>
      <c r="G35" s="8" t="str">
        <f t="shared" si="0"/>
        <v>ISHMAEL JOSEPH</v>
      </c>
    </row>
    <row r="36" spans="1:7" x14ac:dyDescent="0.25">
      <c r="A36" s="8">
        <v>42747.232106481482</v>
      </c>
      <c r="B36" s="21" t="s">
        <v>270</v>
      </c>
      <c r="C36" s="21" t="s">
        <v>554</v>
      </c>
      <c r="D36" s="160">
        <v>2020000</v>
      </c>
      <c r="E36" s="21" t="s">
        <v>546</v>
      </c>
      <c r="F36" s="21" t="s">
        <v>508</v>
      </c>
      <c r="G36" s="8" t="str">
        <f t="shared" si="0"/>
        <v>SHOOK JOHN</v>
      </c>
    </row>
    <row r="37" spans="1:7" x14ac:dyDescent="0.25">
      <c r="A37" s="8">
        <v>42747.232557870368</v>
      </c>
      <c r="B37" s="21" t="s">
        <v>219</v>
      </c>
      <c r="C37" s="21" t="s">
        <v>555</v>
      </c>
      <c r="D37" s="160">
        <v>940000</v>
      </c>
      <c r="E37" s="21" t="s">
        <v>316</v>
      </c>
      <c r="F37" s="21" t="s">
        <v>317</v>
      </c>
      <c r="G37" s="8" t="str">
        <f t="shared" si="0"/>
        <v>BONDS REYNALDO</v>
      </c>
    </row>
    <row r="38" spans="1:7" x14ac:dyDescent="0.25">
      <c r="A38" s="8">
        <v>42747.233831018515</v>
      </c>
      <c r="B38" s="21" t="s">
        <v>284</v>
      </c>
      <c r="C38" s="21" t="s">
        <v>556</v>
      </c>
      <c r="D38" s="160">
        <v>2680000</v>
      </c>
      <c r="E38" s="21" t="s">
        <v>280</v>
      </c>
      <c r="F38" s="21" t="s">
        <v>281</v>
      </c>
      <c r="G38" s="8" t="str">
        <f t="shared" si="0"/>
        <v>DUNCAN SHEILA</v>
      </c>
    </row>
    <row r="39" spans="1:7" x14ac:dyDescent="0.25">
      <c r="A39" s="8">
        <v>42747.234548611108</v>
      </c>
      <c r="B39" s="21" t="s">
        <v>290</v>
      </c>
      <c r="C39" s="21" t="s">
        <v>557</v>
      </c>
      <c r="D39" s="160">
        <v>1830000</v>
      </c>
      <c r="E39" s="21" t="s">
        <v>548</v>
      </c>
      <c r="F39" s="21" t="s">
        <v>549</v>
      </c>
      <c r="G39" s="8" t="str">
        <f t="shared" si="0"/>
        <v>YORK EDGAR</v>
      </c>
    </row>
    <row r="40" spans="1:7" x14ac:dyDescent="0.25">
      <c r="A40" s="8">
        <v>42747.248483796298</v>
      </c>
      <c r="B40" s="26" t="s">
        <v>540</v>
      </c>
      <c r="C40" s="21" t="s">
        <v>558</v>
      </c>
      <c r="D40" s="160">
        <v>2140000</v>
      </c>
      <c r="E40" s="21" t="s">
        <v>536</v>
      </c>
      <c r="F40" s="21" t="s">
        <v>537</v>
      </c>
      <c r="G40" s="8" t="str">
        <f t="shared" si="0"/>
        <v>ROBINSON KADDIBA</v>
      </c>
    </row>
    <row r="41" spans="1:7" x14ac:dyDescent="0.25">
      <c r="A41" s="8">
        <v>42747.250104166669</v>
      </c>
      <c r="B41" s="21" t="s">
        <v>205</v>
      </c>
      <c r="C41" s="21" t="s">
        <v>559</v>
      </c>
      <c r="D41" s="160">
        <v>2100000</v>
      </c>
      <c r="E41" s="21" t="s">
        <v>349</v>
      </c>
      <c r="F41" s="21" t="s">
        <v>350</v>
      </c>
      <c r="G41" s="8" t="str">
        <f t="shared" si="0"/>
        <v>ISHMAEL JOSEPH</v>
      </c>
    </row>
    <row r="42" spans="1:7" x14ac:dyDescent="0.25">
      <c r="A42" s="8">
        <v>42747.250543981485</v>
      </c>
      <c r="B42" s="21" t="s">
        <v>457</v>
      </c>
      <c r="C42" s="21" t="s">
        <v>560</v>
      </c>
      <c r="D42" s="160">
        <v>890000</v>
      </c>
      <c r="E42" s="21" t="s">
        <v>340</v>
      </c>
      <c r="F42" s="21" t="s">
        <v>341</v>
      </c>
      <c r="G42" s="8" t="str">
        <f t="shared" si="0"/>
        <v>LOZA FIDEL</v>
      </c>
    </row>
    <row r="43" spans="1:7" x14ac:dyDescent="0.25">
      <c r="A43" s="8">
        <v>42747.257337962961</v>
      </c>
      <c r="B43" s="21" t="s">
        <v>209</v>
      </c>
      <c r="C43" s="21" t="s">
        <v>561</v>
      </c>
      <c r="D43" s="160">
        <v>1100000</v>
      </c>
      <c r="E43" s="21" t="s">
        <v>506</v>
      </c>
      <c r="F43" s="21" t="s">
        <v>507</v>
      </c>
      <c r="G43" s="8" t="str">
        <f t="shared" si="0"/>
        <v>GEBRETEKLE DAGNEW</v>
      </c>
    </row>
    <row r="44" spans="1:7" x14ac:dyDescent="0.25">
      <c r="A44" s="8">
        <v>42747.257627314815</v>
      </c>
      <c r="B44" s="21" t="s">
        <v>339</v>
      </c>
      <c r="C44" s="21" t="s">
        <v>562</v>
      </c>
      <c r="D44" s="160">
        <v>2020000</v>
      </c>
      <c r="E44" s="21" t="s">
        <v>546</v>
      </c>
      <c r="F44" s="21" t="s">
        <v>508</v>
      </c>
      <c r="G44" s="8" t="str">
        <f t="shared" si="0"/>
        <v>SHOOK JOHN</v>
      </c>
    </row>
    <row r="45" spans="1:7" x14ac:dyDescent="0.25">
      <c r="A45" s="8">
        <v>42747.261550925927</v>
      </c>
      <c r="B45" s="21" t="s">
        <v>454</v>
      </c>
      <c r="C45" s="21" t="s">
        <v>563</v>
      </c>
      <c r="D45" s="160">
        <v>890000</v>
      </c>
      <c r="E45" s="21" t="s">
        <v>340</v>
      </c>
      <c r="F45" s="21" t="s">
        <v>341</v>
      </c>
      <c r="G45" s="8" t="str">
        <f t="shared" si="0"/>
        <v>LOZA FIDEL</v>
      </c>
    </row>
    <row r="46" spans="1:7" x14ac:dyDescent="0.25">
      <c r="A46" s="8">
        <v>42747.266562500001</v>
      </c>
      <c r="B46" s="21" t="s">
        <v>275</v>
      </c>
      <c r="C46" s="21" t="s">
        <v>564</v>
      </c>
      <c r="D46" s="160">
        <v>1110000</v>
      </c>
      <c r="E46" s="21" t="s">
        <v>314</v>
      </c>
      <c r="F46" s="21" t="s">
        <v>315</v>
      </c>
      <c r="G46" s="8" t="str">
        <f t="shared" si="0"/>
        <v>STARKS ANGELINA</v>
      </c>
    </row>
    <row r="47" spans="1:7" x14ac:dyDescent="0.25">
      <c r="A47" s="8">
        <v>42747.267905092594</v>
      </c>
      <c r="B47" s="21" t="s">
        <v>207</v>
      </c>
      <c r="C47" s="21" t="s">
        <v>565</v>
      </c>
      <c r="D47" s="160">
        <v>2680000</v>
      </c>
      <c r="E47" s="21" t="s">
        <v>280</v>
      </c>
      <c r="F47" s="21" t="s">
        <v>281</v>
      </c>
      <c r="G47" s="8" t="str">
        <f t="shared" si="0"/>
        <v>DUNCAN SHEILA</v>
      </c>
    </row>
    <row r="48" spans="1:7" x14ac:dyDescent="0.25">
      <c r="A48" s="8">
        <v>42747.273842592593</v>
      </c>
      <c r="B48" s="21" t="s">
        <v>270</v>
      </c>
      <c r="C48" s="21" t="s">
        <v>566</v>
      </c>
      <c r="D48" s="160">
        <v>2020000</v>
      </c>
      <c r="E48" s="21" t="s">
        <v>546</v>
      </c>
      <c r="F48" s="21" t="s">
        <v>508</v>
      </c>
      <c r="G48" s="8" t="str">
        <f t="shared" si="0"/>
        <v>SHOOK JOHN</v>
      </c>
    </row>
    <row r="49" spans="1:7" x14ac:dyDescent="0.25">
      <c r="A49" s="8">
        <v>42747.275289351855</v>
      </c>
      <c r="B49" s="21" t="s">
        <v>291</v>
      </c>
      <c r="C49" s="21" t="s">
        <v>567</v>
      </c>
      <c r="D49" s="160">
        <v>1830000</v>
      </c>
      <c r="E49" s="21" t="s">
        <v>548</v>
      </c>
      <c r="F49" s="21" t="s">
        <v>549</v>
      </c>
      <c r="G49" s="8" t="str">
        <f t="shared" si="0"/>
        <v>YORK EDGAR</v>
      </c>
    </row>
    <row r="50" spans="1:7" x14ac:dyDescent="0.25">
      <c r="A50" s="8">
        <v>42747.275671296295</v>
      </c>
      <c r="B50" s="21" t="s">
        <v>245</v>
      </c>
      <c r="C50" s="21" t="s">
        <v>568</v>
      </c>
      <c r="D50" s="160">
        <v>940000</v>
      </c>
      <c r="E50" s="21" t="s">
        <v>316</v>
      </c>
      <c r="F50" s="21" t="s">
        <v>317</v>
      </c>
      <c r="G50" s="8" t="str">
        <f t="shared" si="0"/>
        <v>BONDS REYNALDO</v>
      </c>
    </row>
    <row r="51" spans="1:7" x14ac:dyDescent="0.25">
      <c r="A51" s="8">
        <v>42747.275821759256</v>
      </c>
      <c r="B51" s="21" t="s">
        <v>457</v>
      </c>
      <c r="C51" s="21" t="s">
        <v>569</v>
      </c>
      <c r="D51" s="160">
        <v>890000</v>
      </c>
      <c r="E51" s="21" t="s">
        <v>340</v>
      </c>
      <c r="F51" s="21" t="s">
        <v>341</v>
      </c>
      <c r="G51" s="8" t="str">
        <f t="shared" si="0"/>
        <v>LOZA FIDEL</v>
      </c>
    </row>
    <row r="52" spans="1:7" x14ac:dyDescent="0.25">
      <c r="A52" s="8">
        <v>42747.283784722225</v>
      </c>
      <c r="B52" s="21" t="s">
        <v>522</v>
      </c>
      <c r="C52" s="21" t="s">
        <v>570</v>
      </c>
      <c r="D52" s="160">
        <v>2140000</v>
      </c>
      <c r="E52" s="21" t="s">
        <v>536</v>
      </c>
      <c r="F52" s="21" t="s">
        <v>537</v>
      </c>
      <c r="G52" s="8" t="str">
        <f t="shared" si="0"/>
        <v>ROBINSON KADDIBA</v>
      </c>
    </row>
    <row r="53" spans="1:7" x14ac:dyDescent="0.25">
      <c r="A53" s="8">
        <v>42747.287048611113</v>
      </c>
      <c r="B53" s="21" t="s">
        <v>200</v>
      </c>
      <c r="C53" s="21" t="s">
        <v>571</v>
      </c>
      <c r="D53" s="160">
        <v>2100000</v>
      </c>
      <c r="E53" s="21" t="s">
        <v>349</v>
      </c>
      <c r="F53" s="21" t="s">
        <v>350</v>
      </c>
      <c r="G53" s="8" t="str">
        <f t="shared" si="0"/>
        <v>ISHMAEL JOSEPH</v>
      </c>
    </row>
    <row r="54" spans="1:7" x14ac:dyDescent="0.25">
      <c r="A54" s="8">
        <v>42747.296180555553</v>
      </c>
      <c r="B54" s="21" t="s">
        <v>509</v>
      </c>
      <c r="C54" s="21" t="s">
        <v>572</v>
      </c>
      <c r="D54" s="160">
        <v>1100000</v>
      </c>
      <c r="E54" s="21" t="s">
        <v>506</v>
      </c>
      <c r="F54" s="21" t="s">
        <v>507</v>
      </c>
      <c r="G54" s="8" t="str">
        <f t="shared" si="0"/>
        <v>GEBRETEKLE DAGNEW</v>
      </c>
    </row>
    <row r="55" spans="1:7" x14ac:dyDescent="0.25">
      <c r="A55" s="8">
        <v>42747.298506944448</v>
      </c>
      <c r="B55" s="21" t="s">
        <v>339</v>
      </c>
      <c r="C55" s="21" t="s">
        <v>573</v>
      </c>
      <c r="D55" s="160">
        <v>2020000</v>
      </c>
      <c r="E55" s="21" t="s">
        <v>546</v>
      </c>
      <c r="F55" s="21" t="s">
        <v>508</v>
      </c>
      <c r="G55" s="8" t="str">
        <f t="shared" si="0"/>
        <v>SHOOK JOHN</v>
      </c>
    </row>
    <row r="56" spans="1:7" x14ac:dyDescent="0.25">
      <c r="A56" s="8">
        <v>42747.298784722225</v>
      </c>
      <c r="B56" s="21" t="s">
        <v>271</v>
      </c>
      <c r="C56" s="21" t="s">
        <v>574</v>
      </c>
      <c r="D56" s="160">
        <v>1110000</v>
      </c>
      <c r="E56" s="21" t="s">
        <v>314</v>
      </c>
      <c r="F56" s="21" t="s">
        <v>315</v>
      </c>
      <c r="G56" s="8" t="str">
        <f t="shared" si="0"/>
        <v>STARKS ANGELINA</v>
      </c>
    </row>
    <row r="57" spans="1:7" x14ac:dyDescent="0.25">
      <c r="A57" s="8">
        <v>42747.302499999998</v>
      </c>
      <c r="B57" s="21" t="s">
        <v>284</v>
      </c>
      <c r="C57" s="21" t="s">
        <v>520</v>
      </c>
      <c r="D57" s="160">
        <v>2680000</v>
      </c>
      <c r="E57" s="21" t="s">
        <v>280</v>
      </c>
      <c r="F57" s="21" t="s">
        <v>281</v>
      </c>
      <c r="G57" s="8" t="str">
        <f t="shared" si="0"/>
        <v>DUNCAN SHEILA</v>
      </c>
    </row>
    <row r="58" spans="1:7" x14ac:dyDescent="0.25">
      <c r="A58" s="8">
        <v>42747.304629629631</v>
      </c>
      <c r="B58" s="21" t="s">
        <v>454</v>
      </c>
      <c r="C58" s="21" t="s">
        <v>575</v>
      </c>
      <c r="D58" s="160">
        <v>890000</v>
      </c>
      <c r="E58" s="21" t="s">
        <v>340</v>
      </c>
      <c r="F58" s="21" t="s">
        <v>341</v>
      </c>
      <c r="G58" s="8" t="str">
        <f t="shared" si="0"/>
        <v>LOZA FIDEL</v>
      </c>
    </row>
    <row r="59" spans="1:7" x14ac:dyDescent="0.25">
      <c r="A59" s="8">
        <v>42747.307800925926</v>
      </c>
      <c r="B59" s="21" t="s">
        <v>290</v>
      </c>
      <c r="C59" s="21" t="s">
        <v>567</v>
      </c>
      <c r="D59" s="160">
        <v>1830000</v>
      </c>
      <c r="E59" s="21" t="s">
        <v>548</v>
      </c>
      <c r="F59" s="21" t="s">
        <v>549</v>
      </c>
      <c r="G59" s="8" t="str">
        <f t="shared" si="0"/>
        <v>YORK EDGAR</v>
      </c>
    </row>
    <row r="60" spans="1:7" x14ac:dyDescent="0.25">
      <c r="A60" s="8">
        <v>42747.307939814818</v>
      </c>
      <c r="B60" s="21" t="s">
        <v>219</v>
      </c>
      <c r="C60" s="21" t="s">
        <v>576</v>
      </c>
      <c r="D60" s="160">
        <v>940000</v>
      </c>
      <c r="E60" s="21" t="s">
        <v>316</v>
      </c>
      <c r="F60" s="21" t="s">
        <v>317</v>
      </c>
      <c r="G60" s="8" t="str">
        <f t="shared" si="0"/>
        <v>BONDS REYNALDO</v>
      </c>
    </row>
    <row r="61" spans="1:7" x14ac:dyDescent="0.25">
      <c r="A61" s="8">
        <v>42747.308298611111</v>
      </c>
      <c r="B61" s="21" t="s">
        <v>290</v>
      </c>
      <c r="C61" s="21" t="s">
        <v>577</v>
      </c>
      <c r="D61" s="160">
        <v>1830000</v>
      </c>
      <c r="E61" s="21" t="s">
        <v>548</v>
      </c>
      <c r="F61" s="21" t="s">
        <v>549</v>
      </c>
      <c r="G61" s="8" t="str">
        <f t="shared" si="0"/>
        <v>YORK EDGAR</v>
      </c>
    </row>
    <row r="62" spans="1:7" x14ac:dyDescent="0.25">
      <c r="A62" s="8">
        <v>42747.31318287037</v>
      </c>
      <c r="B62" s="21" t="s">
        <v>270</v>
      </c>
      <c r="C62" s="21" t="s">
        <v>578</v>
      </c>
      <c r="D62" s="160">
        <v>2020000</v>
      </c>
      <c r="E62" s="21" t="s">
        <v>546</v>
      </c>
      <c r="F62" s="21" t="s">
        <v>508</v>
      </c>
      <c r="G62" s="8" t="str">
        <f t="shared" si="0"/>
        <v>SHOOK JOHN</v>
      </c>
    </row>
    <row r="63" spans="1:7" x14ac:dyDescent="0.25">
      <c r="A63" s="8">
        <v>42747.317407407405</v>
      </c>
      <c r="B63" s="21" t="s">
        <v>457</v>
      </c>
      <c r="C63" s="21" t="s">
        <v>579</v>
      </c>
      <c r="D63" s="160">
        <v>890000</v>
      </c>
      <c r="E63" s="21" t="s">
        <v>340</v>
      </c>
      <c r="F63" s="21" t="s">
        <v>341</v>
      </c>
      <c r="G63" s="8" t="str">
        <f t="shared" si="0"/>
        <v>LOZA FIDEL</v>
      </c>
    </row>
    <row r="64" spans="1:7" x14ac:dyDescent="0.25">
      <c r="A64" s="27">
        <v>42747.31826388889</v>
      </c>
      <c r="B64" s="21" t="s">
        <v>540</v>
      </c>
      <c r="C64" s="21" t="s">
        <v>580</v>
      </c>
      <c r="D64" s="160">
        <v>2140000</v>
      </c>
      <c r="E64" s="21" t="s">
        <v>536</v>
      </c>
      <c r="F64" s="21" t="s">
        <v>537</v>
      </c>
      <c r="G64" s="8" t="str">
        <f t="shared" si="0"/>
        <v>ROBINSON KADDIBA</v>
      </c>
    </row>
    <row r="65" spans="1:7" x14ac:dyDescent="0.25">
      <c r="A65" s="8">
        <v>42747.323425925926</v>
      </c>
      <c r="B65" s="21" t="s">
        <v>205</v>
      </c>
      <c r="C65" s="21" t="s">
        <v>581</v>
      </c>
      <c r="D65" s="160">
        <v>2100000</v>
      </c>
      <c r="E65" s="21" t="s">
        <v>349</v>
      </c>
      <c r="F65" s="21" t="s">
        <v>350</v>
      </c>
      <c r="G65" s="8" t="str">
        <f t="shared" si="0"/>
        <v>ISHMAEL JOSEPH</v>
      </c>
    </row>
    <row r="66" spans="1:7" x14ac:dyDescent="0.25">
      <c r="A66" s="8">
        <v>42747.329606481479</v>
      </c>
      <c r="B66" s="21" t="s">
        <v>209</v>
      </c>
      <c r="C66" s="21" t="s">
        <v>582</v>
      </c>
      <c r="D66" s="160">
        <v>1100000</v>
      </c>
      <c r="E66" s="21" t="s">
        <v>506</v>
      </c>
      <c r="F66" s="21" t="s">
        <v>507</v>
      </c>
      <c r="G66" s="8" t="str">
        <f t="shared" si="0"/>
        <v>GEBRETEKLE DAGNEW</v>
      </c>
    </row>
    <row r="67" spans="1:7" x14ac:dyDescent="0.25">
      <c r="A67" s="8">
        <v>42747.338622685187</v>
      </c>
      <c r="B67" s="21" t="s">
        <v>275</v>
      </c>
      <c r="C67" s="21" t="s">
        <v>583</v>
      </c>
      <c r="D67" s="160">
        <v>1110000</v>
      </c>
      <c r="E67" s="21" t="s">
        <v>314</v>
      </c>
      <c r="F67" s="21" t="s">
        <v>315</v>
      </c>
      <c r="G67" s="8" t="str">
        <f t="shared" ref="G67:G130" si="1">E67&amp;" "&amp;F67</f>
        <v>STARKS ANGELINA</v>
      </c>
    </row>
    <row r="68" spans="1:7" x14ac:dyDescent="0.25">
      <c r="A68" s="8">
        <v>42747.338761574072</v>
      </c>
      <c r="B68" s="21" t="s">
        <v>207</v>
      </c>
      <c r="C68" s="21" t="s">
        <v>584</v>
      </c>
      <c r="D68" s="160">
        <v>2680000</v>
      </c>
      <c r="E68" s="21" t="s">
        <v>280</v>
      </c>
      <c r="F68" s="21" t="s">
        <v>281</v>
      </c>
      <c r="G68" s="8" t="str">
        <f t="shared" si="1"/>
        <v>DUNCAN SHEILA</v>
      </c>
    </row>
    <row r="69" spans="1:7" x14ac:dyDescent="0.25">
      <c r="A69" s="8">
        <v>42747.339837962965</v>
      </c>
      <c r="B69" s="21" t="s">
        <v>339</v>
      </c>
      <c r="C69" s="21" t="s">
        <v>585</v>
      </c>
      <c r="D69" s="160">
        <v>2020000</v>
      </c>
      <c r="E69" s="21" t="s">
        <v>546</v>
      </c>
      <c r="F69" s="21" t="s">
        <v>508</v>
      </c>
      <c r="G69" s="8" t="str">
        <f t="shared" si="1"/>
        <v>SHOOK JOHN</v>
      </c>
    </row>
    <row r="70" spans="1:7" x14ac:dyDescent="0.25">
      <c r="A70" s="8">
        <v>42747.343807870369</v>
      </c>
      <c r="B70" s="21" t="s">
        <v>454</v>
      </c>
      <c r="C70" s="21" t="s">
        <v>586</v>
      </c>
      <c r="D70" s="160">
        <v>890000</v>
      </c>
      <c r="E70" s="21" t="s">
        <v>340</v>
      </c>
      <c r="F70" s="21" t="s">
        <v>341</v>
      </c>
      <c r="G70" s="8" t="str">
        <f t="shared" si="1"/>
        <v>LOZA FIDEL</v>
      </c>
    </row>
    <row r="71" spans="1:7" x14ac:dyDescent="0.25">
      <c r="A71" s="8">
        <v>42747.347766203704</v>
      </c>
      <c r="B71" s="21" t="s">
        <v>245</v>
      </c>
      <c r="C71" s="21" t="s">
        <v>587</v>
      </c>
      <c r="D71" s="160">
        <v>940000</v>
      </c>
      <c r="E71" s="21" t="s">
        <v>316</v>
      </c>
      <c r="F71" s="21" t="s">
        <v>317</v>
      </c>
      <c r="G71" s="8" t="str">
        <f t="shared" si="1"/>
        <v>BONDS REYNALDO</v>
      </c>
    </row>
    <row r="72" spans="1:7" x14ac:dyDescent="0.25">
      <c r="A72" s="8">
        <v>42747.34883101852</v>
      </c>
      <c r="B72" s="21" t="s">
        <v>291</v>
      </c>
      <c r="C72" s="21" t="s">
        <v>588</v>
      </c>
      <c r="D72" s="160">
        <v>1830000</v>
      </c>
      <c r="E72" s="21" t="s">
        <v>548</v>
      </c>
      <c r="F72" s="21" t="s">
        <v>549</v>
      </c>
      <c r="G72" s="8" t="str">
        <f t="shared" si="1"/>
        <v>YORK EDGAR</v>
      </c>
    </row>
    <row r="73" spans="1:7" x14ac:dyDescent="0.25">
      <c r="A73" s="8">
        <v>42747.354444444441</v>
      </c>
      <c r="B73" s="21" t="s">
        <v>270</v>
      </c>
      <c r="C73" s="21" t="s">
        <v>589</v>
      </c>
      <c r="D73" s="160">
        <v>2020000</v>
      </c>
      <c r="E73" s="21" t="s">
        <v>546</v>
      </c>
      <c r="F73" s="21" t="s">
        <v>508</v>
      </c>
      <c r="G73" s="8" t="str">
        <f t="shared" si="1"/>
        <v>SHOOK JOHN</v>
      </c>
    </row>
    <row r="74" spans="1:7" x14ac:dyDescent="0.25">
      <c r="A74" s="8">
        <v>42747.355636574073</v>
      </c>
      <c r="B74" s="21" t="s">
        <v>522</v>
      </c>
      <c r="C74" s="21" t="s">
        <v>590</v>
      </c>
      <c r="D74" s="160">
        <v>2140000</v>
      </c>
      <c r="E74" s="21" t="s">
        <v>536</v>
      </c>
      <c r="F74" s="21" t="s">
        <v>537</v>
      </c>
      <c r="G74" s="8" t="str">
        <f t="shared" si="1"/>
        <v>ROBINSON KADDIBA</v>
      </c>
    </row>
    <row r="75" spans="1:7" x14ac:dyDescent="0.25">
      <c r="A75" s="8">
        <v>42747.358761574076</v>
      </c>
      <c r="B75" s="21" t="s">
        <v>200</v>
      </c>
      <c r="C75" s="21" t="s">
        <v>591</v>
      </c>
      <c r="D75" s="160">
        <v>2100000</v>
      </c>
      <c r="E75" s="21" t="s">
        <v>349</v>
      </c>
      <c r="F75" s="21" t="s">
        <v>350</v>
      </c>
      <c r="G75" s="8" t="str">
        <f t="shared" si="1"/>
        <v>ISHMAEL JOSEPH</v>
      </c>
    </row>
    <row r="76" spans="1:7" x14ac:dyDescent="0.25">
      <c r="A76" s="8">
        <v>42747.359618055554</v>
      </c>
      <c r="B76" s="21" t="s">
        <v>457</v>
      </c>
      <c r="C76" s="21" t="s">
        <v>592</v>
      </c>
      <c r="D76" s="160">
        <v>890000</v>
      </c>
      <c r="E76" s="21" t="s">
        <v>340</v>
      </c>
      <c r="F76" s="21" t="s">
        <v>341</v>
      </c>
      <c r="G76" s="8" t="str">
        <f t="shared" si="1"/>
        <v>LOZA FIDEL</v>
      </c>
    </row>
    <row r="77" spans="1:7" x14ac:dyDescent="0.25">
      <c r="A77" s="8">
        <v>42747.369780092595</v>
      </c>
      <c r="B77" s="21" t="s">
        <v>509</v>
      </c>
      <c r="C77" s="21" t="s">
        <v>593</v>
      </c>
      <c r="D77" s="160">
        <v>1100000</v>
      </c>
      <c r="E77" s="21" t="s">
        <v>506</v>
      </c>
      <c r="F77" s="21" t="s">
        <v>507</v>
      </c>
      <c r="G77" s="8" t="str">
        <f t="shared" si="1"/>
        <v>GEBRETEKLE DAGNEW</v>
      </c>
    </row>
    <row r="78" spans="1:7" x14ac:dyDescent="0.25">
      <c r="A78" s="8">
        <v>42747.37164351852</v>
      </c>
      <c r="B78" s="21" t="s">
        <v>271</v>
      </c>
      <c r="C78" s="21" t="s">
        <v>594</v>
      </c>
      <c r="D78" s="160">
        <v>1110000</v>
      </c>
      <c r="E78" s="21" t="s">
        <v>314</v>
      </c>
      <c r="F78" s="21" t="s">
        <v>315</v>
      </c>
      <c r="G78" s="8" t="str">
        <f t="shared" si="1"/>
        <v>STARKS ANGELINA</v>
      </c>
    </row>
    <row r="79" spans="1:7" x14ac:dyDescent="0.25">
      <c r="A79" s="8">
        <v>42747.376446759263</v>
      </c>
      <c r="B79" s="21" t="s">
        <v>284</v>
      </c>
      <c r="C79" s="21" t="s">
        <v>595</v>
      </c>
      <c r="D79" s="160">
        <v>2680000</v>
      </c>
      <c r="E79" s="21" t="s">
        <v>280</v>
      </c>
      <c r="F79" s="21" t="s">
        <v>281</v>
      </c>
      <c r="G79" s="8" t="str">
        <f t="shared" si="1"/>
        <v>DUNCAN SHEILA</v>
      </c>
    </row>
    <row r="80" spans="1:7" x14ac:dyDescent="0.25">
      <c r="A80" s="8">
        <v>42747.376458333332</v>
      </c>
      <c r="B80" s="21" t="s">
        <v>454</v>
      </c>
      <c r="C80" s="21" t="s">
        <v>596</v>
      </c>
      <c r="D80" s="160">
        <v>890000</v>
      </c>
      <c r="E80" s="21" t="s">
        <v>340</v>
      </c>
      <c r="F80" s="21" t="s">
        <v>341</v>
      </c>
      <c r="G80" s="8" t="str">
        <f t="shared" si="1"/>
        <v>LOZA FIDEL</v>
      </c>
    </row>
    <row r="81" spans="1:7" x14ac:dyDescent="0.25">
      <c r="A81" s="8">
        <v>42747.381435185183</v>
      </c>
      <c r="B81" s="21" t="s">
        <v>219</v>
      </c>
      <c r="C81" s="21" t="s">
        <v>597</v>
      </c>
      <c r="D81" s="160">
        <v>940000</v>
      </c>
      <c r="E81" s="21" t="s">
        <v>316</v>
      </c>
      <c r="F81" s="21" t="s">
        <v>317</v>
      </c>
      <c r="G81" s="8" t="str">
        <f t="shared" si="1"/>
        <v>BONDS REYNALDO</v>
      </c>
    </row>
    <row r="82" spans="1:7" x14ac:dyDescent="0.25">
      <c r="A82" s="8">
        <v>42747.38890046296</v>
      </c>
      <c r="B82" s="21" t="s">
        <v>290</v>
      </c>
      <c r="C82" s="21" t="s">
        <v>598</v>
      </c>
      <c r="D82" s="160">
        <v>1830000</v>
      </c>
      <c r="E82" s="21" t="s">
        <v>548</v>
      </c>
      <c r="F82" s="21" t="s">
        <v>549</v>
      </c>
      <c r="G82" s="8" t="str">
        <f t="shared" si="1"/>
        <v>YORK EDGAR</v>
      </c>
    </row>
    <row r="83" spans="1:7" x14ac:dyDescent="0.25">
      <c r="A83" s="8">
        <v>42747.390486111108</v>
      </c>
      <c r="B83" s="21" t="s">
        <v>540</v>
      </c>
      <c r="C83" s="21" t="s">
        <v>599</v>
      </c>
      <c r="D83" s="160">
        <v>2140000</v>
      </c>
      <c r="E83" s="21" t="s">
        <v>536</v>
      </c>
      <c r="F83" s="21" t="s">
        <v>537</v>
      </c>
      <c r="G83" s="8" t="str">
        <f t="shared" si="1"/>
        <v>ROBINSON KADDIBA</v>
      </c>
    </row>
    <row r="84" spans="1:7" x14ac:dyDescent="0.25">
      <c r="A84" s="8">
        <v>42747.396909722222</v>
      </c>
      <c r="B84" s="21" t="s">
        <v>205</v>
      </c>
      <c r="C84" s="21" t="s">
        <v>600</v>
      </c>
      <c r="D84" s="160">
        <v>2100000</v>
      </c>
      <c r="E84" s="21" t="s">
        <v>349</v>
      </c>
      <c r="F84" s="21" t="s">
        <v>350</v>
      </c>
      <c r="G84" s="8" t="str">
        <f t="shared" si="1"/>
        <v>ISHMAEL JOSEPH</v>
      </c>
    </row>
    <row r="85" spans="1:7" x14ac:dyDescent="0.25">
      <c r="A85" s="8">
        <v>42747.401030092595</v>
      </c>
      <c r="B85" s="21" t="s">
        <v>457</v>
      </c>
      <c r="C85" s="21" t="s">
        <v>601</v>
      </c>
      <c r="D85" s="160">
        <v>890000</v>
      </c>
      <c r="E85" s="21" t="s">
        <v>340</v>
      </c>
      <c r="F85" s="21" t="s">
        <v>341</v>
      </c>
      <c r="G85" s="8" t="str">
        <f t="shared" si="1"/>
        <v>LOZA FIDEL</v>
      </c>
    </row>
    <row r="86" spans="1:7" x14ac:dyDescent="0.25">
      <c r="A86" s="8">
        <v>42747.401516203703</v>
      </c>
      <c r="B86" s="21" t="s">
        <v>209</v>
      </c>
      <c r="C86" s="21" t="s">
        <v>602</v>
      </c>
      <c r="D86" s="160">
        <v>1100000</v>
      </c>
      <c r="E86" s="21" t="s">
        <v>506</v>
      </c>
      <c r="F86" s="21" t="s">
        <v>507</v>
      </c>
      <c r="G86" s="8" t="str">
        <f t="shared" si="1"/>
        <v>GEBRETEKLE DAGNEW</v>
      </c>
    </row>
    <row r="87" spans="1:7" x14ac:dyDescent="0.25">
      <c r="A87" s="8">
        <v>42747.410196759258</v>
      </c>
      <c r="B87" s="21" t="s">
        <v>275</v>
      </c>
      <c r="C87" s="21" t="s">
        <v>603</v>
      </c>
      <c r="D87" s="160">
        <v>1110000</v>
      </c>
      <c r="E87" s="21" t="s">
        <v>314</v>
      </c>
      <c r="F87" s="21" t="s">
        <v>315</v>
      </c>
      <c r="G87" s="8" t="str">
        <f t="shared" si="1"/>
        <v>STARKS ANGELINA</v>
      </c>
    </row>
    <row r="88" spans="1:7" x14ac:dyDescent="0.25">
      <c r="A88" s="8">
        <v>42747.412048611113</v>
      </c>
      <c r="B88" s="21" t="s">
        <v>207</v>
      </c>
      <c r="C88" s="21" t="s">
        <v>604</v>
      </c>
      <c r="D88" s="160">
        <v>2680000</v>
      </c>
      <c r="E88" s="21" t="s">
        <v>280</v>
      </c>
      <c r="F88" s="21" t="s">
        <v>281</v>
      </c>
      <c r="G88" s="8" t="str">
        <f t="shared" si="1"/>
        <v>DUNCAN SHEILA</v>
      </c>
    </row>
    <row r="89" spans="1:7" x14ac:dyDescent="0.25">
      <c r="A89" s="8">
        <v>42747.420115740744</v>
      </c>
      <c r="B89" s="21" t="s">
        <v>291</v>
      </c>
      <c r="C89" s="21" t="s">
        <v>521</v>
      </c>
      <c r="D89" s="160">
        <v>1830000</v>
      </c>
      <c r="E89" s="21" t="s">
        <v>548</v>
      </c>
      <c r="F89" s="21" t="s">
        <v>549</v>
      </c>
      <c r="G89" s="8" t="str">
        <f t="shared" si="1"/>
        <v>YORK EDGAR</v>
      </c>
    </row>
    <row r="90" spans="1:7" x14ac:dyDescent="0.25">
      <c r="A90" s="8">
        <v>42747.422013888892</v>
      </c>
      <c r="B90" s="21" t="s">
        <v>245</v>
      </c>
      <c r="C90" s="21" t="s">
        <v>605</v>
      </c>
      <c r="D90" s="160">
        <v>940000</v>
      </c>
      <c r="E90" s="21" t="s">
        <v>316</v>
      </c>
      <c r="F90" s="21" t="s">
        <v>317</v>
      </c>
      <c r="G90" s="8" t="str">
        <f t="shared" si="1"/>
        <v>BONDS REYNALDO</v>
      </c>
    </row>
    <row r="91" spans="1:7" x14ac:dyDescent="0.25">
      <c r="A91" s="8">
        <v>42747.427337962959</v>
      </c>
      <c r="B91" s="21" t="s">
        <v>454</v>
      </c>
      <c r="C91" s="21" t="s">
        <v>606</v>
      </c>
      <c r="D91" s="160">
        <v>890000</v>
      </c>
      <c r="E91" s="21" t="s">
        <v>340</v>
      </c>
      <c r="F91" s="21" t="s">
        <v>341</v>
      </c>
      <c r="G91" s="8" t="str">
        <f t="shared" si="1"/>
        <v>LOZA FIDEL</v>
      </c>
    </row>
    <row r="92" spans="1:7" x14ac:dyDescent="0.25">
      <c r="A92" s="8">
        <v>42747.427986111114</v>
      </c>
      <c r="B92" s="21" t="s">
        <v>522</v>
      </c>
      <c r="C92" s="21" t="s">
        <v>523</v>
      </c>
      <c r="D92" s="160">
        <v>2140000</v>
      </c>
      <c r="E92" s="21" t="s">
        <v>536</v>
      </c>
      <c r="F92" s="21" t="s">
        <v>537</v>
      </c>
      <c r="G92" s="8" t="str">
        <f t="shared" si="1"/>
        <v>ROBINSON KADDIBA</v>
      </c>
    </row>
    <row r="93" spans="1:7" x14ac:dyDescent="0.25">
      <c r="A93" s="8">
        <v>42747.433541666665</v>
      </c>
      <c r="B93" s="21" t="s">
        <v>200</v>
      </c>
      <c r="C93" s="21" t="s">
        <v>607</v>
      </c>
      <c r="D93" s="160">
        <v>2020000</v>
      </c>
      <c r="E93" s="21" t="s">
        <v>546</v>
      </c>
      <c r="F93" s="21" t="s">
        <v>508</v>
      </c>
      <c r="G93" s="8" t="str">
        <f t="shared" si="1"/>
        <v>SHOOK JOHN</v>
      </c>
    </row>
    <row r="94" spans="1:7" x14ac:dyDescent="0.25">
      <c r="A94" s="8">
        <v>42747.442604166667</v>
      </c>
      <c r="B94" s="21" t="s">
        <v>509</v>
      </c>
      <c r="C94" s="21" t="s">
        <v>608</v>
      </c>
      <c r="D94" s="160">
        <v>1100000</v>
      </c>
      <c r="E94" s="21" t="s">
        <v>506</v>
      </c>
      <c r="F94" s="21" t="s">
        <v>507</v>
      </c>
      <c r="G94" s="8" t="str">
        <f t="shared" si="1"/>
        <v>GEBRETEKLE DAGNEW</v>
      </c>
    </row>
    <row r="95" spans="1:7" x14ac:dyDescent="0.25">
      <c r="A95" s="8">
        <v>42747.442777777775</v>
      </c>
      <c r="B95" s="21" t="s">
        <v>457</v>
      </c>
      <c r="C95" s="21" t="s">
        <v>609</v>
      </c>
      <c r="D95" s="160">
        <v>890000</v>
      </c>
      <c r="E95" s="21" t="s">
        <v>340</v>
      </c>
      <c r="F95" s="21" t="s">
        <v>341</v>
      </c>
      <c r="G95" s="8" t="str">
        <f t="shared" si="1"/>
        <v>LOZA FIDEL</v>
      </c>
    </row>
    <row r="96" spans="1:7" x14ac:dyDescent="0.25">
      <c r="A96" s="8">
        <v>42747.444236111114</v>
      </c>
      <c r="B96" s="21" t="s">
        <v>271</v>
      </c>
      <c r="C96" s="21" t="s">
        <v>610</v>
      </c>
      <c r="D96" s="160">
        <v>1110000</v>
      </c>
      <c r="E96" s="21" t="s">
        <v>314</v>
      </c>
      <c r="F96" s="21" t="s">
        <v>315</v>
      </c>
      <c r="G96" s="8" t="str">
        <f t="shared" si="1"/>
        <v>STARKS ANGELINA</v>
      </c>
    </row>
    <row r="97" spans="1:7" x14ac:dyDescent="0.25">
      <c r="A97" s="8">
        <v>42747.448530092595</v>
      </c>
      <c r="B97" s="21" t="s">
        <v>284</v>
      </c>
      <c r="C97" s="21" t="s">
        <v>611</v>
      </c>
      <c r="D97" s="160">
        <v>2680000</v>
      </c>
      <c r="E97" s="21" t="s">
        <v>280</v>
      </c>
      <c r="F97" s="21" t="s">
        <v>281</v>
      </c>
      <c r="G97" s="8" t="str">
        <f t="shared" si="1"/>
        <v>DUNCAN SHEILA</v>
      </c>
    </row>
    <row r="98" spans="1:7" x14ac:dyDescent="0.25">
      <c r="A98" s="8">
        <v>42747.453206018516</v>
      </c>
      <c r="B98" s="21" t="s">
        <v>290</v>
      </c>
      <c r="C98" s="21" t="s">
        <v>612</v>
      </c>
      <c r="D98" s="160">
        <v>1830000</v>
      </c>
      <c r="E98" s="21" t="s">
        <v>548</v>
      </c>
      <c r="F98" s="21" t="s">
        <v>549</v>
      </c>
      <c r="G98" s="8" t="str">
        <f t="shared" si="1"/>
        <v>YORK EDGAR</v>
      </c>
    </row>
    <row r="99" spans="1:7" x14ac:dyDescent="0.25">
      <c r="A99" s="8">
        <v>42747.454976851855</v>
      </c>
      <c r="B99" s="21" t="s">
        <v>212</v>
      </c>
      <c r="C99" s="21" t="s">
        <v>613</v>
      </c>
      <c r="D99" s="160">
        <v>2230000</v>
      </c>
      <c r="E99" s="21" t="s">
        <v>250</v>
      </c>
      <c r="F99" s="21" t="s">
        <v>241</v>
      </c>
      <c r="G99" s="8" t="str">
        <f t="shared" si="1"/>
        <v>SMITH MICHAEL</v>
      </c>
    </row>
    <row r="100" spans="1:7" x14ac:dyDescent="0.25">
      <c r="A100" s="8">
        <v>42747.456180555557</v>
      </c>
      <c r="B100" s="21" t="s">
        <v>219</v>
      </c>
      <c r="C100" s="21" t="s">
        <v>614</v>
      </c>
      <c r="D100" s="160">
        <v>930000</v>
      </c>
      <c r="E100" s="21" t="s">
        <v>320</v>
      </c>
      <c r="F100" s="21" t="s">
        <v>321</v>
      </c>
      <c r="G100" s="8" t="str">
        <f t="shared" si="1"/>
        <v>CLARK KATHLEEN</v>
      </c>
    </row>
    <row r="101" spans="1:7" x14ac:dyDescent="0.25">
      <c r="A101" s="8">
        <v>42747.456863425927</v>
      </c>
      <c r="B101" s="21" t="s">
        <v>522</v>
      </c>
      <c r="C101" s="21" t="s">
        <v>523</v>
      </c>
      <c r="D101" s="160">
        <v>2140000</v>
      </c>
      <c r="E101" s="21" t="s">
        <v>536</v>
      </c>
      <c r="F101" s="21" t="s">
        <v>537</v>
      </c>
      <c r="G101" s="8" t="str">
        <f t="shared" si="1"/>
        <v>ROBINSON KADDIBA</v>
      </c>
    </row>
    <row r="102" spans="1:7" x14ac:dyDescent="0.25">
      <c r="A102" s="8">
        <v>42747.463414351849</v>
      </c>
      <c r="B102" s="21" t="s">
        <v>454</v>
      </c>
      <c r="C102" s="21" t="s">
        <v>615</v>
      </c>
      <c r="D102" s="160">
        <v>890000</v>
      </c>
      <c r="E102" s="21" t="s">
        <v>340</v>
      </c>
      <c r="F102" s="21" t="s">
        <v>341</v>
      </c>
      <c r="G102" s="8" t="str">
        <f t="shared" si="1"/>
        <v>LOZA FIDEL</v>
      </c>
    </row>
    <row r="103" spans="1:7" x14ac:dyDescent="0.25">
      <c r="A103" s="8">
        <v>42747.46597222222</v>
      </c>
      <c r="B103" s="21" t="s">
        <v>205</v>
      </c>
      <c r="C103" s="21" t="s">
        <v>616</v>
      </c>
      <c r="D103" s="160">
        <v>2020000</v>
      </c>
      <c r="E103" s="21" t="s">
        <v>546</v>
      </c>
      <c r="F103" s="21" t="s">
        <v>508</v>
      </c>
      <c r="G103" s="8" t="str">
        <f t="shared" si="1"/>
        <v>SHOOK JOHN</v>
      </c>
    </row>
    <row r="104" spans="1:7" x14ac:dyDescent="0.25">
      <c r="A104" s="8">
        <v>42747.467106481483</v>
      </c>
      <c r="B104" s="21" t="s">
        <v>540</v>
      </c>
      <c r="C104" s="21" t="s">
        <v>617</v>
      </c>
      <c r="D104" s="160">
        <v>2030000</v>
      </c>
      <c r="E104" s="21" t="s">
        <v>618</v>
      </c>
      <c r="F104" s="21" t="s">
        <v>619</v>
      </c>
      <c r="G104" s="8" t="str">
        <f t="shared" si="1"/>
        <v>KILLION DAVID</v>
      </c>
    </row>
    <row r="105" spans="1:7" x14ac:dyDescent="0.25">
      <c r="A105" s="8">
        <v>42747.475624999999</v>
      </c>
      <c r="B105" s="21" t="s">
        <v>209</v>
      </c>
      <c r="C105" s="21" t="s">
        <v>620</v>
      </c>
      <c r="D105" s="160">
        <v>1770000</v>
      </c>
      <c r="E105" s="21" t="s">
        <v>452</v>
      </c>
      <c r="F105" s="21" t="s">
        <v>453</v>
      </c>
      <c r="G105" s="8" t="str">
        <f t="shared" si="1"/>
        <v>BRUDER RICHARD</v>
      </c>
    </row>
    <row r="106" spans="1:7" x14ac:dyDescent="0.25">
      <c r="A106" s="8">
        <v>42747.484201388892</v>
      </c>
      <c r="B106" s="21" t="s">
        <v>207</v>
      </c>
      <c r="C106" s="21" t="s">
        <v>621</v>
      </c>
      <c r="D106" s="160">
        <v>2230000</v>
      </c>
      <c r="E106" s="21" t="s">
        <v>250</v>
      </c>
      <c r="F106" s="21" t="s">
        <v>241</v>
      </c>
      <c r="G106" s="8" t="str">
        <f t="shared" si="1"/>
        <v>SMITH MICHAEL</v>
      </c>
    </row>
    <row r="107" spans="1:7" x14ac:dyDescent="0.25">
      <c r="A107" s="8">
        <v>42747.484282407408</v>
      </c>
      <c r="B107" s="21" t="s">
        <v>155</v>
      </c>
      <c r="C107" s="21" t="s">
        <v>622</v>
      </c>
      <c r="D107" s="160">
        <v>2730000</v>
      </c>
      <c r="E107" s="21" t="s">
        <v>318</v>
      </c>
      <c r="F107" s="21" t="s">
        <v>319</v>
      </c>
      <c r="G107" s="8" t="str">
        <f t="shared" si="1"/>
        <v>YANG JAN</v>
      </c>
    </row>
    <row r="108" spans="1:7" x14ac:dyDescent="0.25">
      <c r="A108" s="8">
        <v>42747.484409722223</v>
      </c>
      <c r="B108" s="21" t="s">
        <v>211</v>
      </c>
      <c r="C108" s="21" t="s">
        <v>623</v>
      </c>
      <c r="D108" s="160">
        <v>1100000</v>
      </c>
      <c r="E108" s="21" t="s">
        <v>506</v>
      </c>
      <c r="F108" s="21" t="s">
        <v>507</v>
      </c>
      <c r="G108" s="8" t="str">
        <f t="shared" si="1"/>
        <v>GEBRETEKLE DAGNEW</v>
      </c>
    </row>
    <row r="109" spans="1:7" x14ac:dyDescent="0.25">
      <c r="A109" s="8">
        <v>42747.484548611108</v>
      </c>
      <c r="B109" s="21" t="s">
        <v>457</v>
      </c>
      <c r="C109" s="21" t="s">
        <v>624</v>
      </c>
      <c r="D109" s="160">
        <v>890000</v>
      </c>
      <c r="E109" s="21" t="s">
        <v>340</v>
      </c>
      <c r="F109" s="21" t="s">
        <v>341</v>
      </c>
      <c r="G109" s="8" t="str">
        <f t="shared" si="1"/>
        <v>LOZA FIDEL</v>
      </c>
    </row>
    <row r="110" spans="1:7" x14ac:dyDescent="0.25">
      <c r="A110" s="8">
        <v>42747.485509259262</v>
      </c>
      <c r="B110" s="21" t="s">
        <v>275</v>
      </c>
      <c r="C110" s="21" t="s">
        <v>625</v>
      </c>
      <c r="D110" s="160">
        <v>1110000</v>
      </c>
      <c r="E110" s="21" t="s">
        <v>314</v>
      </c>
      <c r="F110" s="21" t="s">
        <v>315</v>
      </c>
      <c r="G110" s="8" t="str">
        <f t="shared" si="1"/>
        <v>STARKS ANGELINA</v>
      </c>
    </row>
    <row r="111" spans="1:7" x14ac:dyDescent="0.25">
      <c r="A111" s="8">
        <v>42747.485648148147</v>
      </c>
      <c r="B111" s="21" t="s">
        <v>155</v>
      </c>
      <c r="C111" s="21" t="s">
        <v>622</v>
      </c>
      <c r="D111" s="160">
        <v>2730000</v>
      </c>
      <c r="E111" s="21" t="s">
        <v>318</v>
      </c>
      <c r="F111" s="21" t="s">
        <v>319</v>
      </c>
      <c r="G111" s="8" t="str">
        <f t="shared" si="1"/>
        <v>YANG JAN</v>
      </c>
    </row>
    <row r="112" spans="1:7" x14ac:dyDescent="0.25">
      <c r="A112" s="8">
        <v>42747.491898148146</v>
      </c>
      <c r="B112" s="21" t="s">
        <v>245</v>
      </c>
      <c r="C112" s="21" t="s">
        <v>626</v>
      </c>
      <c r="D112" s="160">
        <v>930000</v>
      </c>
      <c r="E112" s="21" t="s">
        <v>320</v>
      </c>
      <c r="F112" s="21" t="s">
        <v>321</v>
      </c>
      <c r="G112" s="8" t="str">
        <f t="shared" si="1"/>
        <v>CLARK KATHLEEN</v>
      </c>
    </row>
    <row r="113" spans="1:7" x14ac:dyDescent="0.25">
      <c r="A113" s="8">
        <v>42747.497523148151</v>
      </c>
      <c r="B113" s="21" t="s">
        <v>291</v>
      </c>
      <c r="C113" s="21" t="s">
        <v>627</v>
      </c>
      <c r="D113" s="160">
        <v>2260000</v>
      </c>
      <c r="E113" s="21" t="s">
        <v>628</v>
      </c>
      <c r="F113" s="21" t="s">
        <v>629</v>
      </c>
      <c r="G113" s="8" t="str">
        <f t="shared" si="1"/>
        <v>ARVIDSON DANIEL</v>
      </c>
    </row>
    <row r="114" spans="1:7" x14ac:dyDescent="0.25">
      <c r="A114" s="8">
        <v>42747.500428240739</v>
      </c>
      <c r="B114" s="21" t="s">
        <v>522</v>
      </c>
      <c r="C114" s="21" t="s">
        <v>630</v>
      </c>
      <c r="D114" s="160">
        <v>2030000</v>
      </c>
      <c r="E114" s="21" t="s">
        <v>618</v>
      </c>
      <c r="F114" s="21" t="s">
        <v>619</v>
      </c>
      <c r="G114" s="8" t="str">
        <f t="shared" si="1"/>
        <v>KILLION DAVID</v>
      </c>
    </row>
    <row r="115" spans="1:7" x14ac:dyDescent="0.25">
      <c r="A115" s="8">
        <v>42747.503842592596</v>
      </c>
      <c r="B115" s="21" t="s">
        <v>154</v>
      </c>
      <c r="C115" s="21" t="s">
        <v>631</v>
      </c>
      <c r="D115" s="160">
        <v>1830000</v>
      </c>
      <c r="E115" s="21" t="s">
        <v>548</v>
      </c>
      <c r="F115" s="21" t="s">
        <v>549</v>
      </c>
      <c r="G115" s="8" t="str">
        <f t="shared" si="1"/>
        <v>YORK EDGAR</v>
      </c>
    </row>
    <row r="116" spans="1:7" x14ac:dyDescent="0.25">
      <c r="A116" s="8">
        <v>42747.507337962961</v>
      </c>
      <c r="B116" s="21" t="s">
        <v>200</v>
      </c>
      <c r="C116" s="21" t="s">
        <v>632</v>
      </c>
      <c r="D116" s="160">
        <v>2730000</v>
      </c>
      <c r="E116" s="21" t="s">
        <v>318</v>
      </c>
      <c r="F116" s="21" t="s">
        <v>319</v>
      </c>
      <c r="G116" s="8" t="str">
        <f t="shared" si="1"/>
        <v>YANG JAN</v>
      </c>
    </row>
    <row r="117" spans="1:7" x14ac:dyDescent="0.25">
      <c r="A117" s="8">
        <v>42747.510949074072</v>
      </c>
      <c r="B117" s="21" t="s">
        <v>454</v>
      </c>
      <c r="C117" s="21" t="s">
        <v>633</v>
      </c>
      <c r="D117" s="160">
        <v>890000</v>
      </c>
      <c r="E117" s="21" t="s">
        <v>340</v>
      </c>
      <c r="F117" s="21" t="s">
        <v>341</v>
      </c>
      <c r="G117" s="8" t="str">
        <f t="shared" si="1"/>
        <v>LOZA FIDEL</v>
      </c>
    </row>
    <row r="118" spans="1:7" x14ac:dyDescent="0.25">
      <c r="A118" s="8">
        <v>42747.514386574076</v>
      </c>
      <c r="B118" s="21" t="s">
        <v>509</v>
      </c>
      <c r="C118" s="21" t="s">
        <v>634</v>
      </c>
      <c r="D118" s="160">
        <v>1770000</v>
      </c>
      <c r="E118" s="21" t="s">
        <v>452</v>
      </c>
      <c r="F118" s="21" t="s">
        <v>453</v>
      </c>
      <c r="G118" s="8" t="str">
        <f t="shared" si="1"/>
        <v>BRUDER RICHARD</v>
      </c>
    </row>
    <row r="119" spans="1:7" x14ac:dyDescent="0.25">
      <c r="A119" s="8">
        <v>42747.51771990741</v>
      </c>
      <c r="B119" s="21" t="s">
        <v>271</v>
      </c>
      <c r="C119" s="21" t="s">
        <v>635</v>
      </c>
      <c r="D119" s="160">
        <v>2710000</v>
      </c>
      <c r="E119" s="21" t="s">
        <v>455</v>
      </c>
      <c r="F119" s="21" t="s">
        <v>456</v>
      </c>
      <c r="G119" s="8" t="str">
        <f t="shared" si="1"/>
        <v>SIMMONS SHYHESHA</v>
      </c>
    </row>
    <row r="120" spans="1:7" x14ac:dyDescent="0.25">
      <c r="A120" s="8">
        <v>42747.518912037034</v>
      </c>
      <c r="B120" s="21" t="s">
        <v>284</v>
      </c>
      <c r="C120" s="21" t="s">
        <v>636</v>
      </c>
      <c r="D120" s="160">
        <v>2230000</v>
      </c>
      <c r="E120" s="21" t="s">
        <v>250</v>
      </c>
      <c r="F120" s="21" t="s">
        <v>241</v>
      </c>
      <c r="G120" s="8" t="str">
        <f t="shared" si="1"/>
        <v>SMITH MICHAEL</v>
      </c>
    </row>
    <row r="121" spans="1:7" x14ac:dyDescent="0.25">
      <c r="A121" s="8">
        <v>42747.526192129626</v>
      </c>
      <c r="B121" s="21" t="s">
        <v>457</v>
      </c>
      <c r="C121" s="21" t="s">
        <v>637</v>
      </c>
      <c r="D121" s="160">
        <v>890000</v>
      </c>
      <c r="E121" s="21" t="s">
        <v>340</v>
      </c>
      <c r="F121" s="21" t="s">
        <v>341</v>
      </c>
      <c r="G121" s="8" t="str">
        <f t="shared" si="1"/>
        <v>LOZA FIDEL</v>
      </c>
    </row>
    <row r="122" spans="1:7" x14ac:dyDescent="0.25">
      <c r="A122" s="8">
        <v>42747.528182870374</v>
      </c>
      <c r="B122" s="26" t="s">
        <v>219</v>
      </c>
      <c r="C122" s="21" t="s">
        <v>638</v>
      </c>
      <c r="D122" s="160">
        <v>930000</v>
      </c>
      <c r="E122" s="21" t="s">
        <v>320</v>
      </c>
      <c r="F122" s="21" t="s">
        <v>321</v>
      </c>
      <c r="G122" s="8" t="str">
        <f t="shared" si="1"/>
        <v>CLARK KATHLEEN</v>
      </c>
    </row>
    <row r="123" spans="1:7" x14ac:dyDescent="0.25">
      <c r="A123" s="8">
        <v>42747.535682870373</v>
      </c>
      <c r="B123" s="21" t="s">
        <v>290</v>
      </c>
      <c r="C123" s="21" t="s">
        <v>639</v>
      </c>
      <c r="D123" s="160">
        <v>2260000</v>
      </c>
      <c r="E123" s="21" t="s">
        <v>628</v>
      </c>
      <c r="F123" s="21" t="s">
        <v>629</v>
      </c>
      <c r="G123" s="8" t="str">
        <f t="shared" si="1"/>
        <v>ARVIDSON DANIEL</v>
      </c>
    </row>
    <row r="124" spans="1:7" x14ac:dyDescent="0.25">
      <c r="A124" s="8">
        <v>42747.537233796298</v>
      </c>
      <c r="B124" s="21" t="s">
        <v>540</v>
      </c>
      <c r="C124" s="21" t="s">
        <v>640</v>
      </c>
      <c r="D124" s="160">
        <v>2030000</v>
      </c>
      <c r="E124" s="21" t="s">
        <v>618</v>
      </c>
      <c r="F124" s="21" t="s">
        <v>619</v>
      </c>
      <c r="G124" s="8" t="str">
        <f t="shared" si="1"/>
        <v>KILLION DAVID</v>
      </c>
    </row>
    <row r="125" spans="1:7" x14ac:dyDescent="0.25">
      <c r="A125" s="8">
        <v>42747.538923611108</v>
      </c>
      <c r="B125" s="21" t="s">
        <v>205</v>
      </c>
      <c r="C125" s="21" t="s">
        <v>641</v>
      </c>
      <c r="D125" s="160">
        <v>2730000</v>
      </c>
      <c r="E125" s="21" t="s">
        <v>318</v>
      </c>
      <c r="F125" s="21" t="s">
        <v>319</v>
      </c>
      <c r="G125" s="8" t="str">
        <f t="shared" si="1"/>
        <v>YANG JAN</v>
      </c>
    </row>
    <row r="126" spans="1:7" x14ac:dyDescent="0.25">
      <c r="A126" s="8">
        <v>42747.544594907406</v>
      </c>
      <c r="B126" s="21" t="s">
        <v>454</v>
      </c>
      <c r="C126" s="21" t="s">
        <v>642</v>
      </c>
      <c r="D126" s="160">
        <v>2670000</v>
      </c>
      <c r="E126" s="21" t="s">
        <v>322</v>
      </c>
      <c r="F126" s="21" t="s">
        <v>323</v>
      </c>
      <c r="G126" s="8" t="str">
        <f t="shared" si="1"/>
        <v>COMELLA JUSTIN</v>
      </c>
    </row>
    <row r="127" spans="1:7" x14ac:dyDescent="0.25">
      <c r="A127" s="8">
        <v>42747.547233796293</v>
      </c>
      <c r="B127" s="21" t="s">
        <v>209</v>
      </c>
      <c r="C127" s="21" t="s">
        <v>643</v>
      </c>
      <c r="D127" s="160">
        <v>1770000</v>
      </c>
      <c r="E127" s="21" t="s">
        <v>452</v>
      </c>
      <c r="F127" s="21" t="s">
        <v>453</v>
      </c>
      <c r="G127" s="8" t="str">
        <f t="shared" si="1"/>
        <v>BRUDER RICHARD</v>
      </c>
    </row>
    <row r="128" spans="1:7" x14ac:dyDescent="0.25">
      <c r="A128" s="8">
        <v>42747.552800925929</v>
      </c>
      <c r="B128" s="21" t="s">
        <v>275</v>
      </c>
      <c r="C128" s="21" t="s">
        <v>644</v>
      </c>
      <c r="D128" s="160">
        <v>2710000</v>
      </c>
      <c r="E128" s="21" t="s">
        <v>455</v>
      </c>
      <c r="F128" s="21" t="s">
        <v>456</v>
      </c>
      <c r="G128" s="8" t="str">
        <f t="shared" si="1"/>
        <v>SIMMONS SHYHESHA</v>
      </c>
    </row>
    <row r="129" spans="1:7" x14ac:dyDescent="0.25">
      <c r="A129" s="8">
        <v>42747.557743055557</v>
      </c>
      <c r="B129" s="21" t="s">
        <v>207</v>
      </c>
      <c r="C129" s="21" t="s">
        <v>645</v>
      </c>
      <c r="D129" s="160">
        <v>2230000</v>
      </c>
      <c r="E129" s="21" t="s">
        <v>250</v>
      </c>
      <c r="F129" s="21" t="s">
        <v>241</v>
      </c>
      <c r="G129" s="8" t="str">
        <f t="shared" si="1"/>
        <v>SMITH MICHAEL</v>
      </c>
    </row>
    <row r="130" spans="1:7" x14ac:dyDescent="0.25">
      <c r="A130" s="8">
        <v>42747.565706018519</v>
      </c>
      <c r="B130" s="21" t="s">
        <v>245</v>
      </c>
      <c r="C130" s="21" t="s">
        <v>646</v>
      </c>
      <c r="D130" s="160">
        <v>930000</v>
      </c>
      <c r="E130" s="21" t="s">
        <v>320</v>
      </c>
      <c r="F130" s="21" t="s">
        <v>321</v>
      </c>
      <c r="G130" s="8" t="str">
        <f t="shared" si="1"/>
        <v>CLARK KATHLEEN</v>
      </c>
    </row>
    <row r="131" spans="1:7" x14ac:dyDescent="0.25">
      <c r="A131" s="8">
        <v>42747.568009259259</v>
      </c>
      <c r="B131" s="21" t="s">
        <v>457</v>
      </c>
      <c r="C131" s="21" t="s">
        <v>647</v>
      </c>
      <c r="D131" s="160">
        <v>2670000</v>
      </c>
      <c r="E131" s="21" t="s">
        <v>322</v>
      </c>
      <c r="F131" s="21" t="s">
        <v>323</v>
      </c>
      <c r="G131" s="8" t="str">
        <f t="shared" ref="G131:G194" si="2">E131&amp;" "&amp;F131</f>
        <v>COMELLA JUSTIN</v>
      </c>
    </row>
    <row r="132" spans="1:7" x14ac:dyDescent="0.25">
      <c r="A132" s="8">
        <v>42747.570486111108</v>
      </c>
      <c r="B132" s="21" t="s">
        <v>291</v>
      </c>
      <c r="C132" s="21" t="s">
        <v>648</v>
      </c>
      <c r="D132" s="160">
        <v>2260000</v>
      </c>
      <c r="E132" s="21" t="s">
        <v>628</v>
      </c>
      <c r="F132" s="21" t="s">
        <v>629</v>
      </c>
      <c r="G132" s="8" t="str">
        <f t="shared" si="2"/>
        <v>ARVIDSON DANIEL</v>
      </c>
    </row>
    <row r="133" spans="1:7" x14ac:dyDescent="0.25">
      <c r="A133" s="8">
        <v>42747.57304398148</v>
      </c>
      <c r="B133" s="21" t="s">
        <v>522</v>
      </c>
      <c r="C133" s="21" t="s">
        <v>649</v>
      </c>
      <c r="D133" s="160">
        <v>2030000</v>
      </c>
      <c r="E133" s="21" t="s">
        <v>618</v>
      </c>
      <c r="F133" s="21" t="s">
        <v>619</v>
      </c>
      <c r="G133" s="8" t="str">
        <f t="shared" si="2"/>
        <v>KILLION DAVID</v>
      </c>
    </row>
    <row r="134" spans="1:7" x14ac:dyDescent="0.25">
      <c r="A134" s="8">
        <v>42747.580034722225</v>
      </c>
      <c r="B134" s="21" t="s">
        <v>200</v>
      </c>
      <c r="C134" s="21" t="s">
        <v>650</v>
      </c>
      <c r="D134" s="160">
        <v>2730000</v>
      </c>
      <c r="E134" s="21" t="s">
        <v>318</v>
      </c>
      <c r="F134" s="21" t="s">
        <v>319</v>
      </c>
      <c r="G134" s="8" t="str">
        <f t="shared" si="2"/>
        <v>YANG JAN</v>
      </c>
    </row>
    <row r="135" spans="1:7" x14ac:dyDescent="0.25">
      <c r="A135" s="8">
        <v>42747.586493055554</v>
      </c>
      <c r="B135" s="21" t="s">
        <v>509</v>
      </c>
      <c r="C135" s="21" t="s">
        <v>651</v>
      </c>
      <c r="D135" s="160">
        <v>1770000</v>
      </c>
      <c r="E135" s="21" t="s">
        <v>452</v>
      </c>
      <c r="F135" s="21" t="s">
        <v>453</v>
      </c>
      <c r="G135" s="8" t="str">
        <f t="shared" si="2"/>
        <v>BRUDER RICHARD</v>
      </c>
    </row>
    <row r="136" spans="1:7" x14ac:dyDescent="0.25">
      <c r="A136" s="8">
        <v>42747.588680555556</v>
      </c>
      <c r="B136" s="21" t="s">
        <v>271</v>
      </c>
      <c r="C136" s="21" t="s">
        <v>652</v>
      </c>
      <c r="D136" s="160">
        <v>2710000</v>
      </c>
      <c r="E136" s="21" t="s">
        <v>455</v>
      </c>
      <c r="F136" s="21" t="s">
        <v>456</v>
      </c>
      <c r="G136" s="8" t="str">
        <f t="shared" si="2"/>
        <v>SIMMONS SHYHESHA</v>
      </c>
    </row>
    <row r="137" spans="1:7" x14ac:dyDescent="0.25">
      <c r="A137" s="8">
        <v>42747.589432870373</v>
      </c>
      <c r="B137" s="21" t="s">
        <v>454</v>
      </c>
      <c r="C137" s="21" t="s">
        <v>653</v>
      </c>
      <c r="D137" s="160">
        <v>2670000</v>
      </c>
      <c r="E137" s="21" t="s">
        <v>322</v>
      </c>
      <c r="F137" s="21" t="s">
        <v>323</v>
      </c>
      <c r="G137" s="8" t="str">
        <f t="shared" si="2"/>
        <v>COMELLA JUSTIN</v>
      </c>
    </row>
    <row r="138" spans="1:7" x14ac:dyDescent="0.25">
      <c r="A138" s="8">
        <v>42747.592928240738</v>
      </c>
      <c r="B138" s="21" t="s">
        <v>284</v>
      </c>
      <c r="C138" s="21" t="s">
        <v>654</v>
      </c>
      <c r="D138" s="160">
        <v>2230000</v>
      </c>
      <c r="E138" s="21" t="s">
        <v>250</v>
      </c>
      <c r="F138" s="21" t="s">
        <v>241</v>
      </c>
      <c r="G138" s="8" t="str">
        <f t="shared" si="2"/>
        <v>SMITH MICHAEL</v>
      </c>
    </row>
    <row r="139" spans="1:7" x14ac:dyDescent="0.25">
      <c r="A139" s="8">
        <v>42747.600949074076</v>
      </c>
      <c r="B139" s="21" t="s">
        <v>219</v>
      </c>
      <c r="C139" s="21" t="s">
        <v>655</v>
      </c>
      <c r="D139" s="160">
        <v>930000</v>
      </c>
      <c r="E139" s="21" t="s">
        <v>320</v>
      </c>
      <c r="F139" s="21" t="s">
        <v>321</v>
      </c>
      <c r="G139" s="8" t="str">
        <f t="shared" si="2"/>
        <v>CLARK KATHLEEN</v>
      </c>
    </row>
    <row r="140" spans="1:7" x14ac:dyDescent="0.25">
      <c r="A140" s="8">
        <v>42747.608865740738</v>
      </c>
      <c r="B140" s="21" t="s">
        <v>290</v>
      </c>
      <c r="C140" s="21" t="s">
        <v>524</v>
      </c>
      <c r="D140" s="160">
        <v>2260000</v>
      </c>
      <c r="E140" s="21" t="s">
        <v>628</v>
      </c>
      <c r="F140" s="21" t="s">
        <v>629</v>
      </c>
      <c r="G140" s="8" t="str">
        <f t="shared" si="2"/>
        <v>ARVIDSON DANIEL</v>
      </c>
    </row>
    <row r="141" spans="1:7" x14ac:dyDescent="0.25">
      <c r="A141" s="8">
        <v>42747.609224537038</v>
      </c>
      <c r="B141" s="21" t="s">
        <v>457</v>
      </c>
      <c r="C141" s="21" t="s">
        <v>656</v>
      </c>
      <c r="D141" s="160">
        <v>2670000</v>
      </c>
      <c r="E141" s="21" t="s">
        <v>322</v>
      </c>
      <c r="F141" s="21" t="s">
        <v>323</v>
      </c>
      <c r="G141" s="8" t="str">
        <f t="shared" si="2"/>
        <v>COMELLA JUSTIN</v>
      </c>
    </row>
    <row r="142" spans="1:7" x14ac:dyDescent="0.25">
      <c r="A142" s="8">
        <v>42747.611030092594</v>
      </c>
      <c r="B142" s="21" t="s">
        <v>540</v>
      </c>
      <c r="C142" s="21" t="s">
        <v>657</v>
      </c>
      <c r="D142" s="160">
        <v>2030000</v>
      </c>
      <c r="E142" s="21" t="s">
        <v>618</v>
      </c>
      <c r="F142" s="21" t="s">
        <v>619</v>
      </c>
      <c r="G142" s="8" t="str">
        <f t="shared" si="2"/>
        <v>KILLION DAVID</v>
      </c>
    </row>
    <row r="143" spans="1:7" x14ac:dyDescent="0.25">
      <c r="A143" s="8">
        <v>42747.617407407408</v>
      </c>
      <c r="B143" s="21" t="s">
        <v>205</v>
      </c>
      <c r="C143" s="21" t="s">
        <v>658</v>
      </c>
      <c r="D143" s="160">
        <v>2730000</v>
      </c>
      <c r="E143" s="21" t="s">
        <v>318</v>
      </c>
      <c r="F143" s="21" t="s">
        <v>319</v>
      </c>
      <c r="G143" s="8" t="str">
        <f t="shared" si="2"/>
        <v>YANG JAN</v>
      </c>
    </row>
    <row r="144" spans="1:7" x14ac:dyDescent="0.25">
      <c r="A144" s="8">
        <v>42747.62027777778</v>
      </c>
      <c r="B144" s="21" t="s">
        <v>209</v>
      </c>
      <c r="C144" s="21" t="s">
        <v>659</v>
      </c>
      <c r="D144" s="160">
        <v>1770000</v>
      </c>
      <c r="E144" s="21" t="s">
        <v>452</v>
      </c>
      <c r="F144" s="21" t="s">
        <v>453</v>
      </c>
      <c r="G144" s="8" t="str">
        <f t="shared" si="2"/>
        <v>BRUDER RICHARD</v>
      </c>
    </row>
    <row r="145" spans="1:7" x14ac:dyDescent="0.25">
      <c r="A145" s="8">
        <v>42747.62537037037</v>
      </c>
      <c r="B145" s="21" t="s">
        <v>454</v>
      </c>
      <c r="C145" s="21" t="s">
        <v>660</v>
      </c>
      <c r="D145" s="160">
        <v>2670000</v>
      </c>
      <c r="E145" s="21" t="s">
        <v>322</v>
      </c>
      <c r="F145" s="21" t="s">
        <v>323</v>
      </c>
      <c r="G145" s="8" t="str">
        <f t="shared" si="2"/>
        <v>COMELLA JUSTIN</v>
      </c>
    </row>
    <row r="146" spans="1:7" x14ac:dyDescent="0.25">
      <c r="A146" s="8">
        <v>42747.630358796298</v>
      </c>
      <c r="B146" s="21" t="s">
        <v>275</v>
      </c>
      <c r="C146" s="21" t="s">
        <v>661</v>
      </c>
      <c r="D146" s="160">
        <v>2710000</v>
      </c>
      <c r="E146" s="21" t="s">
        <v>455</v>
      </c>
      <c r="F146" s="21" t="s">
        <v>456</v>
      </c>
      <c r="G146" s="8" t="str">
        <f t="shared" si="2"/>
        <v>SIMMONS SHYHESHA</v>
      </c>
    </row>
    <row r="147" spans="1:7" x14ac:dyDescent="0.25">
      <c r="A147" s="8">
        <v>42747.63082175926</v>
      </c>
      <c r="B147" s="21" t="s">
        <v>207</v>
      </c>
      <c r="C147" s="21" t="s">
        <v>662</v>
      </c>
      <c r="D147" s="160">
        <v>2230000</v>
      </c>
      <c r="E147" s="21" t="s">
        <v>250</v>
      </c>
      <c r="F147" s="21" t="s">
        <v>241</v>
      </c>
      <c r="G147" s="8" t="str">
        <f t="shared" si="2"/>
        <v>SMITH MICHAEL</v>
      </c>
    </row>
    <row r="148" spans="1:7" x14ac:dyDescent="0.25">
      <c r="A148" s="8">
        <v>42747.635613425926</v>
      </c>
      <c r="B148" s="21" t="s">
        <v>339</v>
      </c>
      <c r="C148" s="21" t="s">
        <v>663</v>
      </c>
      <c r="D148" s="160">
        <v>2440000</v>
      </c>
      <c r="E148" s="21" t="s">
        <v>664</v>
      </c>
      <c r="F148" s="21" t="s">
        <v>665</v>
      </c>
      <c r="G148" s="8" t="str">
        <f t="shared" si="2"/>
        <v>LOPES KIMBERLY</v>
      </c>
    </row>
    <row r="149" spans="1:7" x14ac:dyDescent="0.25">
      <c r="A149" s="8">
        <v>42747.638460648152</v>
      </c>
      <c r="B149" s="21" t="s">
        <v>245</v>
      </c>
      <c r="C149" s="21" t="s">
        <v>666</v>
      </c>
      <c r="D149" s="160">
        <v>930000</v>
      </c>
      <c r="E149" s="21" t="s">
        <v>320</v>
      </c>
      <c r="F149" s="21" t="s">
        <v>321</v>
      </c>
      <c r="G149" s="8" t="str">
        <f t="shared" si="2"/>
        <v>CLARK KATHLEEN</v>
      </c>
    </row>
    <row r="150" spans="1:7" x14ac:dyDescent="0.25">
      <c r="A150" s="8">
        <v>42747.641701388886</v>
      </c>
      <c r="B150" s="21" t="s">
        <v>291</v>
      </c>
      <c r="C150" s="21" t="s">
        <v>667</v>
      </c>
      <c r="D150" s="160">
        <v>2260000</v>
      </c>
      <c r="E150" s="21" t="s">
        <v>628</v>
      </c>
      <c r="F150" s="21" t="s">
        <v>629</v>
      </c>
      <c r="G150" s="8" t="str">
        <f t="shared" si="2"/>
        <v>ARVIDSON DANIEL</v>
      </c>
    </row>
    <row r="151" spans="1:7" x14ac:dyDescent="0.25">
      <c r="A151" s="8">
        <v>42747.645775462966</v>
      </c>
      <c r="B151" s="21" t="s">
        <v>522</v>
      </c>
      <c r="C151" s="21" t="s">
        <v>668</v>
      </c>
      <c r="D151" s="160">
        <v>2030000</v>
      </c>
      <c r="E151" s="21" t="s">
        <v>618</v>
      </c>
      <c r="F151" s="21" t="s">
        <v>619</v>
      </c>
      <c r="G151" s="8" t="str">
        <f t="shared" si="2"/>
        <v>KILLION DAVID</v>
      </c>
    </row>
    <row r="152" spans="1:7" x14ac:dyDescent="0.25">
      <c r="A152" s="8">
        <v>42747.647013888891</v>
      </c>
      <c r="B152" s="21" t="s">
        <v>270</v>
      </c>
      <c r="C152" s="21" t="s">
        <v>526</v>
      </c>
      <c r="D152" s="160">
        <v>2440000</v>
      </c>
      <c r="E152" s="21" t="s">
        <v>664</v>
      </c>
      <c r="F152" s="21" t="s">
        <v>665</v>
      </c>
      <c r="G152" s="8" t="str">
        <f t="shared" si="2"/>
        <v>LOPES KIMBERLY</v>
      </c>
    </row>
    <row r="153" spans="1:7" x14ac:dyDescent="0.25">
      <c r="A153" s="8">
        <v>42747.651342592595</v>
      </c>
      <c r="B153" s="21" t="s">
        <v>457</v>
      </c>
      <c r="C153" s="21" t="s">
        <v>525</v>
      </c>
      <c r="D153" s="160">
        <v>2670000</v>
      </c>
      <c r="E153" s="21" t="s">
        <v>322</v>
      </c>
      <c r="F153" s="21" t="s">
        <v>323</v>
      </c>
      <c r="G153" s="8" t="str">
        <f t="shared" si="2"/>
        <v>COMELLA JUSTIN</v>
      </c>
    </row>
    <row r="154" spans="1:7" x14ac:dyDescent="0.25">
      <c r="A154" s="8">
        <v>42747.65289351852</v>
      </c>
      <c r="B154" s="21" t="s">
        <v>200</v>
      </c>
      <c r="C154" s="21" t="s">
        <v>669</v>
      </c>
      <c r="D154" s="160">
        <v>2730000</v>
      </c>
      <c r="E154" s="21" t="s">
        <v>318</v>
      </c>
      <c r="F154" s="21" t="s">
        <v>319</v>
      </c>
      <c r="G154" s="8" t="str">
        <f t="shared" si="2"/>
        <v>YANG JAN</v>
      </c>
    </row>
    <row r="155" spans="1:7" x14ac:dyDescent="0.25">
      <c r="A155" s="8">
        <v>42747.659409722219</v>
      </c>
      <c r="B155" s="21" t="s">
        <v>509</v>
      </c>
      <c r="C155" s="21" t="s">
        <v>670</v>
      </c>
      <c r="D155" s="160">
        <v>1770000</v>
      </c>
      <c r="E155" s="21" t="s">
        <v>452</v>
      </c>
      <c r="F155" s="21" t="s">
        <v>453</v>
      </c>
      <c r="G155" s="8" t="str">
        <f t="shared" si="2"/>
        <v>BRUDER RICHARD</v>
      </c>
    </row>
    <row r="156" spans="1:7" x14ac:dyDescent="0.25">
      <c r="A156" s="8">
        <v>42747.661643518521</v>
      </c>
      <c r="B156" s="21" t="s">
        <v>271</v>
      </c>
      <c r="C156" s="21" t="s">
        <v>671</v>
      </c>
      <c r="D156" s="160">
        <v>2710000</v>
      </c>
      <c r="E156" s="21" t="s">
        <v>455</v>
      </c>
      <c r="F156" s="21" t="s">
        <v>456</v>
      </c>
      <c r="G156" s="8" t="str">
        <f t="shared" si="2"/>
        <v>SIMMONS SHYHESHA</v>
      </c>
    </row>
    <row r="157" spans="1:7" x14ac:dyDescent="0.25">
      <c r="A157" s="8">
        <v>42747.665324074071</v>
      </c>
      <c r="B157" s="21" t="s">
        <v>284</v>
      </c>
      <c r="C157" s="21" t="s">
        <v>672</v>
      </c>
      <c r="D157" s="160">
        <v>2230000</v>
      </c>
      <c r="E157" s="21" t="s">
        <v>250</v>
      </c>
      <c r="F157" s="21" t="s">
        <v>241</v>
      </c>
      <c r="G157" s="8" t="str">
        <f t="shared" si="2"/>
        <v>SMITH MICHAEL</v>
      </c>
    </row>
    <row r="158" spans="1:7" x14ac:dyDescent="0.25">
      <c r="A158" s="8">
        <v>42747.672951388886</v>
      </c>
      <c r="B158" s="21" t="s">
        <v>339</v>
      </c>
      <c r="C158" s="21" t="s">
        <v>673</v>
      </c>
      <c r="D158" s="160">
        <v>2440000</v>
      </c>
      <c r="E158" s="21" t="s">
        <v>664</v>
      </c>
      <c r="F158" s="21" t="s">
        <v>665</v>
      </c>
      <c r="G158" s="8" t="str">
        <f t="shared" si="2"/>
        <v>LOPES KIMBERLY</v>
      </c>
    </row>
    <row r="159" spans="1:7" x14ac:dyDescent="0.25">
      <c r="A159" s="8">
        <v>42747.673946759256</v>
      </c>
      <c r="B159" s="21" t="s">
        <v>219</v>
      </c>
      <c r="C159" s="21" t="s">
        <v>674</v>
      </c>
      <c r="D159" s="160">
        <v>930000</v>
      </c>
      <c r="E159" s="21" t="s">
        <v>320</v>
      </c>
      <c r="F159" s="21" t="s">
        <v>321</v>
      </c>
      <c r="G159" s="8" t="str">
        <f t="shared" si="2"/>
        <v>CLARK KATHLEEN</v>
      </c>
    </row>
    <row r="160" spans="1:7" x14ac:dyDescent="0.25">
      <c r="A160" s="8">
        <v>42747.676770833335</v>
      </c>
      <c r="B160" s="21" t="s">
        <v>454</v>
      </c>
      <c r="C160" s="21" t="s">
        <v>675</v>
      </c>
      <c r="D160" s="160">
        <v>2670000</v>
      </c>
      <c r="E160" s="21" t="s">
        <v>322</v>
      </c>
      <c r="F160" s="21" t="s">
        <v>323</v>
      </c>
      <c r="G160" s="8" t="str">
        <f t="shared" si="2"/>
        <v>COMELLA JUSTIN</v>
      </c>
    </row>
    <row r="161" spans="1:7" x14ac:dyDescent="0.25">
      <c r="A161" s="8">
        <v>42747.682175925926</v>
      </c>
      <c r="B161" s="21" t="s">
        <v>290</v>
      </c>
      <c r="C161" s="21" t="s">
        <v>676</v>
      </c>
      <c r="D161" s="160">
        <v>2260000</v>
      </c>
      <c r="E161" s="21" t="s">
        <v>628</v>
      </c>
      <c r="F161" s="21" t="s">
        <v>629</v>
      </c>
      <c r="G161" s="8" t="str">
        <f t="shared" si="2"/>
        <v>ARVIDSON DANIEL</v>
      </c>
    </row>
    <row r="162" spans="1:7" x14ac:dyDescent="0.25">
      <c r="A162" s="8">
        <v>42747.683240740742</v>
      </c>
      <c r="B162" s="21" t="s">
        <v>540</v>
      </c>
      <c r="C162" s="21" t="s">
        <v>677</v>
      </c>
      <c r="D162" s="160">
        <v>2030000</v>
      </c>
      <c r="E162" s="21" t="s">
        <v>618</v>
      </c>
      <c r="F162" s="21" t="s">
        <v>619</v>
      </c>
      <c r="G162" s="8" t="str">
        <f t="shared" si="2"/>
        <v>KILLION DAVID</v>
      </c>
    </row>
    <row r="163" spans="1:7" x14ac:dyDescent="0.25">
      <c r="A163" s="8">
        <v>42747.684606481482</v>
      </c>
      <c r="B163" s="21" t="s">
        <v>205</v>
      </c>
      <c r="C163" s="21" t="s">
        <v>678</v>
      </c>
      <c r="D163" s="160">
        <v>2730000</v>
      </c>
      <c r="E163" s="21" t="s">
        <v>318</v>
      </c>
      <c r="F163" s="21" t="s">
        <v>319</v>
      </c>
      <c r="G163" s="8" t="str">
        <f t="shared" si="2"/>
        <v>YANG JAN</v>
      </c>
    </row>
    <row r="164" spans="1:7" x14ac:dyDescent="0.25">
      <c r="A164" s="8">
        <v>42747.692743055559</v>
      </c>
      <c r="B164" s="21" t="s">
        <v>209</v>
      </c>
      <c r="C164" s="21" t="s">
        <v>527</v>
      </c>
      <c r="D164" s="160">
        <v>1770000</v>
      </c>
      <c r="E164" s="21" t="s">
        <v>452</v>
      </c>
      <c r="F164" s="21" t="s">
        <v>453</v>
      </c>
      <c r="G164" s="8" t="str">
        <f t="shared" si="2"/>
        <v>BRUDER RICHARD</v>
      </c>
    </row>
    <row r="165" spans="1:7" x14ac:dyDescent="0.25">
      <c r="A165" s="8">
        <v>42747.693483796298</v>
      </c>
      <c r="B165" s="21" t="s">
        <v>457</v>
      </c>
      <c r="C165" s="21" t="s">
        <v>679</v>
      </c>
      <c r="D165" s="160">
        <v>2670000</v>
      </c>
      <c r="E165" s="21" t="s">
        <v>322</v>
      </c>
      <c r="F165" s="21" t="s">
        <v>323</v>
      </c>
      <c r="G165" s="8" t="str">
        <f t="shared" si="2"/>
        <v>COMELLA JUSTIN</v>
      </c>
    </row>
    <row r="166" spans="1:7" x14ac:dyDescent="0.25">
      <c r="A166" s="8">
        <v>42747.698460648149</v>
      </c>
      <c r="B166" s="21" t="s">
        <v>275</v>
      </c>
      <c r="C166" s="21" t="s">
        <v>680</v>
      </c>
      <c r="D166" s="160">
        <v>2710000</v>
      </c>
      <c r="E166" s="21" t="s">
        <v>455</v>
      </c>
      <c r="F166" s="21" t="s">
        <v>456</v>
      </c>
      <c r="G166" s="8" t="str">
        <f t="shared" si="2"/>
        <v>SIMMONS SHYHESHA</v>
      </c>
    </row>
    <row r="167" spans="1:7" x14ac:dyDescent="0.25">
      <c r="A167" s="8">
        <v>42747.699756944443</v>
      </c>
      <c r="B167" s="21" t="s">
        <v>270</v>
      </c>
      <c r="C167" s="21" t="s">
        <v>681</v>
      </c>
      <c r="D167" s="160">
        <v>2440000</v>
      </c>
      <c r="E167" s="21" t="s">
        <v>664</v>
      </c>
      <c r="F167" s="21" t="s">
        <v>665</v>
      </c>
      <c r="G167" s="8" t="str">
        <f t="shared" si="2"/>
        <v>LOPES KIMBERLY</v>
      </c>
    </row>
    <row r="168" spans="1:7" x14ac:dyDescent="0.25">
      <c r="A168" s="8">
        <v>42747.703981481478</v>
      </c>
      <c r="B168" s="21" t="s">
        <v>207</v>
      </c>
      <c r="C168" s="21" t="s">
        <v>682</v>
      </c>
      <c r="D168" s="160">
        <v>2230000</v>
      </c>
      <c r="E168" s="21" t="s">
        <v>250</v>
      </c>
      <c r="F168" s="21" t="s">
        <v>241</v>
      </c>
      <c r="G168" s="8" t="str">
        <f t="shared" si="2"/>
        <v>SMITH MICHAEL</v>
      </c>
    </row>
    <row r="169" spans="1:7" x14ac:dyDescent="0.25">
      <c r="A169" s="8">
        <v>42747.7109375</v>
      </c>
      <c r="B169" s="21" t="s">
        <v>245</v>
      </c>
      <c r="C169" s="21" t="s">
        <v>683</v>
      </c>
      <c r="D169" s="160">
        <v>930000</v>
      </c>
      <c r="E169" s="21" t="s">
        <v>320</v>
      </c>
      <c r="F169" s="21" t="s">
        <v>321</v>
      </c>
      <c r="G169" s="8" t="str">
        <f t="shared" si="2"/>
        <v>CLARK KATHLEEN</v>
      </c>
    </row>
    <row r="170" spans="1:7" x14ac:dyDescent="0.25">
      <c r="A170" s="8">
        <v>42747.71398148148</v>
      </c>
      <c r="B170" s="21" t="s">
        <v>339</v>
      </c>
      <c r="C170" s="21" t="s">
        <v>684</v>
      </c>
      <c r="D170" s="160">
        <v>2440000</v>
      </c>
      <c r="E170" s="21" t="s">
        <v>664</v>
      </c>
      <c r="F170" s="21" t="s">
        <v>665</v>
      </c>
      <c r="G170" s="8" t="str">
        <f t="shared" si="2"/>
        <v>LOPES KIMBERLY</v>
      </c>
    </row>
    <row r="171" spans="1:7" x14ac:dyDescent="0.25">
      <c r="A171" s="8">
        <v>42747.714675925927</v>
      </c>
      <c r="B171" s="21" t="s">
        <v>454</v>
      </c>
      <c r="C171" s="21" t="s">
        <v>685</v>
      </c>
      <c r="D171" s="160">
        <v>2670000</v>
      </c>
      <c r="E171" s="21" t="s">
        <v>322</v>
      </c>
      <c r="F171" s="21" t="s">
        <v>323</v>
      </c>
      <c r="G171" s="8" t="str">
        <f t="shared" si="2"/>
        <v>COMELLA JUSTIN</v>
      </c>
    </row>
    <row r="172" spans="1:7" x14ac:dyDescent="0.25">
      <c r="A172" s="8">
        <v>42747.717858796299</v>
      </c>
      <c r="B172" s="21" t="s">
        <v>155</v>
      </c>
      <c r="C172" s="21" t="s">
        <v>686</v>
      </c>
      <c r="D172" s="160">
        <v>1810000</v>
      </c>
      <c r="E172" s="21" t="s">
        <v>251</v>
      </c>
      <c r="F172" s="21" t="s">
        <v>233</v>
      </c>
      <c r="G172" s="8" t="str">
        <f t="shared" si="2"/>
        <v>NEWELL JAMES</v>
      </c>
    </row>
    <row r="173" spans="1:7" x14ac:dyDescent="0.25">
      <c r="A173" s="8">
        <v>42747.718668981484</v>
      </c>
      <c r="B173" s="21" t="s">
        <v>291</v>
      </c>
      <c r="C173" s="21" t="s">
        <v>687</v>
      </c>
      <c r="D173" s="160">
        <v>1800000</v>
      </c>
      <c r="E173" s="21" t="s">
        <v>225</v>
      </c>
      <c r="F173" s="21" t="s">
        <v>236</v>
      </c>
      <c r="G173" s="8" t="str">
        <f t="shared" si="2"/>
        <v>CHANDLER KELVIN</v>
      </c>
    </row>
    <row r="174" spans="1:7" x14ac:dyDescent="0.25">
      <c r="A174" s="8">
        <v>42747.720023148147</v>
      </c>
      <c r="B174" s="21" t="s">
        <v>522</v>
      </c>
      <c r="C174" s="21" t="s">
        <v>688</v>
      </c>
      <c r="D174" s="160">
        <v>2030000</v>
      </c>
      <c r="E174" s="21" t="s">
        <v>618</v>
      </c>
      <c r="F174" s="21" t="s">
        <v>619</v>
      </c>
      <c r="G174" s="8" t="str">
        <f t="shared" si="2"/>
        <v>KILLION DAVID</v>
      </c>
    </row>
    <row r="175" spans="1:7" x14ac:dyDescent="0.25">
      <c r="A175" s="8">
        <v>42747.720694444448</v>
      </c>
      <c r="B175" s="21" t="s">
        <v>247</v>
      </c>
      <c r="C175" s="21" t="s">
        <v>689</v>
      </c>
      <c r="D175" s="160">
        <v>1780000</v>
      </c>
      <c r="E175" s="21" t="s">
        <v>345</v>
      </c>
      <c r="F175" s="21" t="s">
        <v>346</v>
      </c>
      <c r="G175" s="8" t="str">
        <f t="shared" si="2"/>
        <v>DE LA ROSA ALEX</v>
      </c>
    </row>
    <row r="176" spans="1:7" x14ac:dyDescent="0.25">
      <c r="A176" s="8">
        <v>42747.729178240741</v>
      </c>
      <c r="B176" s="21" t="s">
        <v>200</v>
      </c>
      <c r="C176" s="21" t="s">
        <v>690</v>
      </c>
      <c r="D176" s="160">
        <v>2260000</v>
      </c>
      <c r="E176" s="21" t="s">
        <v>628</v>
      </c>
      <c r="F176" s="21" t="s">
        <v>629</v>
      </c>
      <c r="G176" s="8" t="str">
        <f t="shared" si="2"/>
        <v>ARVIDSON DANIEL</v>
      </c>
    </row>
    <row r="177" spans="1:7" x14ac:dyDescent="0.25">
      <c r="A177" s="8">
        <v>42747.729513888888</v>
      </c>
      <c r="B177" s="21" t="s">
        <v>509</v>
      </c>
      <c r="C177" s="21" t="s">
        <v>528</v>
      </c>
      <c r="D177" s="160">
        <v>1770000</v>
      </c>
      <c r="E177" s="21" t="s">
        <v>452</v>
      </c>
      <c r="F177" s="21" t="s">
        <v>453</v>
      </c>
      <c r="G177" s="8" t="str">
        <f t="shared" si="2"/>
        <v>BRUDER RICHARD</v>
      </c>
    </row>
    <row r="178" spans="1:7" x14ac:dyDescent="0.25">
      <c r="A178" s="8">
        <v>42747.732488425929</v>
      </c>
      <c r="B178" s="21" t="s">
        <v>270</v>
      </c>
      <c r="C178" s="21" t="s">
        <v>691</v>
      </c>
      <c r="D178" s="160">
        <v>2440000</v>
      </c>
      <c r="E178" s="21" t="s">
        <v>664</v>
      </c>
      <c r="F178" s="21" t="s">
        <v>665</v>
      </c>
      <c r="G178" s="8" t="str">
        <f t="shared" si="2"/>
        <v>LOPES KIMBERLY</v>
      </c>
    </row>
    <row r="179" spans="1:7" x14ac:dyDescent="0.25">
      <c r="A179" s="8">
        <v>42747.735023148147</v>
      </c>
      <c r="B179" s="21" t="s">
        <v>457</v>
      </c>
      <c r="C179" s="21" t="s">
        <v>692</v>
      </c>
      <c r="D179" s="160">
        <v>2670000</v>
      </c>
      <c r="E179" s="21" t="s">
        <v>322</v>
      </c>
      <c r="F179" s="21" t="s">
        <v>323</v>
      </c>
      <c r="G179" s="8" t="str">
        <f t="shared" si="2"/>
        <v>COMELLA JUSTIN</v>
      </c>
    </row>
    <row r="180" spans="1:7" x14ac:dyDescent="0.25">
      <c r="A180" s="8">
        <v>42747.737164351849</v>
      </c>
      <c r="B180" s="21" t="s">
        <v>284</v>
      </c>
      <c r="C180" s="21" t="s">
        <v>693</v>
      </c>
      <c r="D180" s="160">
        <v>2230000</v>
      </c>
      <c r="E180" s="21" t="s">
        <v>250</v>
      </c>
      <c r="F180" s="21" t="s">
        <v>241</v>
      </c>
      <c r="G180" s="8" t="str">
        <f t="shared" si="2"/>
        <v>SMITH MICHAEL</v>
      </c>
    </row>
    <row r="181" spans="1:7" x14ac:dyDescent="0.25">
      <c r="A181" s="8">
        <v>42747.738055555557</v>
      </c>
      <c r="B181" s="21" t="s">
        <v>271</v>
      </c>
      <c r="C181" s="21" t="s">
        <v>694</v>
      </c>
      <c r="D181" s="160">
        <v>1810000</v>
      </c>
      <c r="E181" s="21" t="s">
        <v>251</v>
      </c>
      <c r="F181" s="21" t="s">
        <v>233</v>
      </c>
      <c r="G181" s="8" t="str">
        <f t="shared" si="2"/>
        <v>NEWELL JAMES</v>
      </c>
    </row>
    <row r="182" spans="1:7" x14ac:dyDescent="0.25">
      <c r="A182" s="8">
        <v>42747.742210648146</v>
      </c>
      <c r="B182" s="21" t="s">
        <v>212</v>
      </c>
      <c r="C182" s="21" t="s">
        <v>695</v>
      </c>
      <c r="D182" s="160">
        <v>2250000</v>
      </c>
      <c r="E182" s="21" t="s">
        <v>696</v>
      </c>
      <c r="F182" s="21" t="s">
        <v>697</v>
      </c>
      <c r="G182" s="8" t="str">
        <f t="shared" si="2"/>
        <v>CRAYTON QUNTRELL</v>
      </c>
    </row>
    <row r="183" spans="1:7" x14ac:dyDescent="0.25">
      <c r="A183" s="8">
        <v>42747.747777777775</v>
      </c>
      <c r="B183" s="21" t="s">
        <v>219</v>
      </c>
      <c r="C183" s="21" t="s">
        <v>698</v>
      </c>
      <c r="D183" s="160">
        <v>2710000</v>
      </c>
      <c r="E183" s="21" t="s">
        <v>455</v>
      </c>
      <c r="F183" s="21" t="s">
        <v>456</v>
      </c>
      <c r="G183" s="8" t="str">
        <f t="shared" si="2"/>
        <v>SIMMONS SHYHESHA</v>
      </c>
    </row>
    <row r="184" spans="1:7" x14ac:dyDescent="0.25">
      <c r="A184" s="8">
        <v>42747.750578703701</v>
      </c>
      <c r="B184" s="21" t="s">
        <v>290</v>
      </c>
      <c r="C184" s="21" t="s">
        <v>699</v>
      </c>
      <c r="D184" s="160">
        <v>1800000</v>
      </c>
      <c r="E184" s="21" t="s">
        <v>225</v>
      </c>
      <c r="F184" s="21" t="s">
        <v>236</v>
      </c>
      <c r="G184" s="8" t="str">
        <f t="shared" si="2"/>
        <v>CHANDLER KELVIN</v>
      </c>
    </row>
    <row r="185" spans="1:7" x14ac:dyDescent="0.25">
      <c r="A185" s="8">
        <v>42747.754120370373</v>
      </c>
      <c r="B185" s="21" t="s">
        <v>154</v>
      </c>
      <c r="C185" s="21" t="s">
        <v>700</v>
      </c>
      <c r="D185" s="160">
        <v>930000</v>
      </c>
      <c r="E185" s="21" t="s">
        <v>320</v>
      </c>
      <c r="F185" s="21" t="s">
        <v>321</v>
      </c>
      <c r="G185" s="8" t="str">
        <f t="shared" si="2"/>
        <v>CLARK KATHLEEN</v>
      </c>
    </row>
    <row r="186" spans="1:7" x14ac:dyDescent="0.25">
      <c r="A186" s="8">
        <v>42747.756238425929</v>
      </c>
      <c r="B186" s="21" t="s">
        <v>339</v>
      </c>
      <c r="C186" s="21" t="s">
        <v>701</v>
      </c>
      <c r="D186" s="160">
        <v>2440000</v>
      </c>
      <c r="E186" s="21" t="s">
        <v>664</v>
      </c>
      <c r="F186" s="21" t="s">
        <v>665</v>
      </c>
      <c r="G186" s="8" t="str">
        <f t="shared" si="2"/>
        <v>LOPES KIMBERLY</v>
      </c>
    </row>
    <row r="187" spans="1:7" x14ac:dyDescent="0.25">
      <c r="A187" s="8">
        <v>42747.757222222222</v>
      </c>
      <c r="B187" s="21" t="s">
        <v>339</v>
      </c>
      <c r="C187" s="21" t="s">
        <v>701</v>
      </c>
      <c r="D187" s="160">
        <v>2440000</v>
      </c>
      <c r="E187" s="21" t="s">
        <v>664</v>
      </c>
      <c r="F187" s="21" t="s">
        <v>665</v>
      </c>
      <c r="G187" s="8" t="str">
        <f t="shared" si="2"/>
        <v>LOPES KIMBERLY</v>
      </c>
    </row>
    <row r="188" spans="1:7" x14ac:dyDescent="0.25">
      <c r="A188" s="8">
        <v>42747.758275462962</v>
      </c>
      <c r="B188" s="21" t="s">
        <v>339</v>
      </c>
      <c r="C188" s="21" t="s">
        <v>702</v>
      </c>
      <c r="D188" s="160">
        <v>2440000</v>
      </c>
      <c r="E188" s="21" t="s">
        <v>664</v>
      </c>
      <c r="F188" s="21" t="s">
        <v>665</v>
      </c>
      <c r="G188" s="8" t="str">
        <f t="shared" si="2"/>
        <v>LOPES KIMBERLY</v>
      </c>
    </row>
    <row r="189" spans="1:7" x14ac:dyDescent="0.25">
      <c r="A189" s="8">
        <v>42747.761238425926</v>
      </c>
      <c r="B189" s="21" t="s">
        <v>540</v>
      </c>
      <c r="C189" s="21" t="s">
        <v>703</v>
      </c>
      <c r="D189" s="160">
        <v>2090000</v>
      </c>
      <c r="E189" s="21" t="s">
        <v>704</v>
      </c>
      <c r="F189" s="21" t="s">
        <v>241</v>
      </c>
      <c r="G189" s="8" t="str">
        <f t="shared" si="2"/>
        <v>HAITHCOX MICHAEL</v>
      </c>
    </row>
    <row r="190" spans="1:7" x14ac:dyDescent="0.25">
      <c r="A190" s="8">
        <v>42747.761886574073</v>
      </c>
      <c r="B190" s="21" t="s">
        <v>454</v>
      </c>
      <c r="C190" s="21" t="s">
        <v>705</v>
      </c>
      <c r="D190" s="160">
        <v>2670000</v>
      </c>
      <c r="E190" s="21" t="s">
        <v>322</v>
      </c>
      <c r="F190" s="21" t="s">
        <v>323</v>
      </c>
      <c r="G190" s="8" t="str">
        <f t="shared" si="2"/>
        <v>COMELLA JUSTIN</v>
      </c>
    </row>
    <row r="191" spans="1:7" x14ac:dyDescent="0.25">
      <c r="A191" s="8">
        <v>42747.766284722224</v>
      </c>
      <c r="B191" s="21" t="s">
        <v>205</v>
      </c>
      <c r="C191" s="21" t="s">
        <v>530</v>
      </c>
      <c r="D191" s="160">
        <v>2260000</v>
      </c>
      <c r="E191" s="21" t="s">
        <v>628</v>
      </c>
      <c r="F191" s="21" t="s">
        <v>629</v>
      </c>
      <c r="G191" s="8" t="str">
        <f t="shared" si="2"/>
        <v>ARVIDSON DANIEL</v>
      </c>
    </row>
    <row r="192" spans="1:7" x14ac:dyDescent="0.25">
      <c r="A192" s="8">
        <v>42747.768148148149</v>
      </c>
      <c r="B192" s="21" t="s">
        <v>209</v>
      </c>
      <c r="C192" s="21" t="s">
        <v>706</v>
      </c>
      <c r="D192" s="160">
        <v>2220000</v>
      </c>
      <c r="E192" s="21" t="s">
        <v>343</v>
      </c>
      <c r="F192" s="21" t="s">
        <v>344</v>
      </c>
      <c r="G192" s="8" t="str">
        <f t="shared" si="2"/>
        <v>HILLS DUSTIN</v>
      </c>
    </row>
    <row r="193" spans="1:7" x14ac:dyDescent="0.25">
      <c r="A193" s="8">
        <v>42747.770671296297</v>
      </c>
      <c r="B193" s="21" t="s">
        <v>275</v>
      </c>
      <c r="C193" s="21" t="s">
        <v>707</v>
      </c>
      <c r="D193" s="160">
        <v>1810000</v>
      </c>
      <c r="E193" s="21" t="s">
        <v>251</v>
      </c>
      <c r="F193" s="21" t="s">
        <v>233</v>
      </c>
      <c r="G193" s="8" t="str">
        <f t="shared" si="2"/>
        <v>NEWELL JAMES</v>
      </c>
    </row>
    <row r="194" spans="1:7" x14ac:dyDescent="0.25">
      <c r="A194" s="8">
        <v>42747.777407407404</v>
      </c>
      <c r="B194" s="21" t="s">
        <v>270</v>
      </c>
      <c r="C194" s="21" t="s">
        <v>701</v>
      </c>
      <c r="D194" s="160">
        <v>2440000</v>
      </c>
      <c r="E194" s="21" t="s">
        <v>664</v>
      </c>
      <c r="F194" s="21" t="s">
        <v>665</v>
      </c>
      <c r="G194" s="8" t="str">
        <f t="shared" si="2"/>
        <v>LOPES KIMBERLY</v>
      </c>
    </row>
    <row r="195" spans="1:7" x14ac:dyDescent="0.25">
      <c r="A195" s="8">
        <v>42747.778703703705</v>
      </c>
      <c r="B195" s="21" t="s">
        <v>457</v>
      </c>
      <c r="C195" s="21" t="s">
        <v>708</v>
      </c>
      <c r="D195" s="160">
        <v>2670000</v>
      </c>
      <c r="E195" s="21" t="s">
        <v>322</v>
      </c>
      <c r="F195" s="21" t="s">
        <v>323</v>
      </c>
      <c r="G195" s="8" t="str">
        <f t="shared" ref="G195:G258" si="3">E195&amp;" "&amp;F195</f>
        <v>COMELLA JUSTIN</v>
      </c>
    </row>
    <row r="196" spans="1:7" x14ac:dyDescent="0.25">
      <c r="A196" s="8">
        <v>42747.779652777775</v>
      </c>
      <c r="B196" s="21" t="s">
        <v>207</v>
      </c>
      <c r="C196" s="21" t="s">
        <v>709</v>
      </c>
      <c r="D196" s="160">
        <v>2230000</v>
      </c>
      <c r="E196" s="21" t="s">
        <v>250</v>
      </c>
      <c r="F196" s="21" t="s">
        <v>241</v>
      </c>
      <c r="G196" s="8" t="str">
        <f t="shared" si="3"/>
        <v>SMITH MICHAEL</v>
      </c>
    </row>
    <row r="197" spans="1:7" x14ac:dyDescent="0.25">
      <c r="A197" s="8">
        <v>42747.785787037035</v>
      </c>
      <c r="B197" s="21" t="s">
        <v>245</v>
      </c>
      <c r="C197" s="21" t="s">
        <v>710</v>
      </c>
      <c r="D197" s="160">
        <v>2710000</v>
      </c>
      <c r="E197" s="21" t="s">
        <v>455</v>
      </c>
      <c r="F197" s="21" t="s">
        <v>456</v>
      </c>
      <c r="G197" s="8" t="str">
        <f t="shared" si="3"/>
        <v>SIMMONS SHYHESHA</v>
      </c>
    </row>
    <row r="198" spans="1:7" x14ac:dyDescent="0.25">
      <c r="A198" s="8">
        <v>42747.792534722219</v>
      </c>
      <c r="B198" s="21" t="s">
        <v>290</v>
      </c>
      <c r="C198" s="21" t="s">
        <v>699</v>
      </c>
      <c r="D198" s="160">
        <v>1800000</v>
      </c>
      <c r="E198" s="21" t="s">
        <v>225</v>
      </c>
      <c r="F198" s="21" t="s">
        <v>236</v>
      </c>
      <c r="G198" s="8" t="str">
        <f t="shared" si="3"/>
        <v>CHANDLER KELVIN</v>
      </c>
    </row>
    <row r="199" spans="1:7" x14ac:dyDescent="0.25">
      <c r="A199" s="8">
        <v>42747.795289351852</v>
      </c>
      <c r="B199" s="21" t="s">
        <v>247</v>
      </c>
      <c r="C199" s="21" t="s">
        <v>529</v>
      </c>
      <c r="D199" s="160">
        <v>2560000</v>
      </c>
      <c r="E199" s="21" t="s">
        <v>711</v>
      </c>
      <c r="F199" s="21" t="s">
        <v>712</v>
      </c>
      <c r="G199" s="8" t="str">
        <f t="shared" si="3"/>
        <v>MACDONALD THOMAS</v>
      </c>
    </row>
    <row r="200" spans="1:7" x14ac:dyDescent="0.25">
      <c r="A200" s="8">
        <v>42747.796226851853</v>
      </c>
      <c r="B200" s="21" t="s">
        <v>247</v>
      </c>
      <c r="C200" s="21" t="s">
        <v>529</v>
      </c>
      <c r="D200" s="160">
        <v>2560000</v>
      </c>
      <c r="E200" s="21" t="s">
        <v>711</v>
      </c>
      <c r="F200" s="21" t="s">
        <v>712</v>
      </c>
      <c r="G200" s="8" t="str">
        <f t="shared" si="3"/>
        <v>MACDONALD THOMAS</v>
      </c>
    </row>
    <row r="201" spans="1:7" x14ac:dyDescent="0.25">
      <c r="A201" s="8">
        <v>42747.796793981484</v>
      </c>
      <c r="B201" s="21" t="s">
        <v>522</v>
      </c>
      <c r="C201" s="21" t="s">
        <v>713</v>
      </c>
      <c r="D201" s="160">
        <v>2090000</v>
      </c>
      <c r="E201" s="21" t="s">
        <v>704</v>
      </c>
      <c r="F201" s="21" t="s">
        <v>241</v>
      </c>
      <c r="G201" s="8" t="str">
        <f t="shared" si="3"/>
        <v>HAITHCOX MICHAEL</v>
      </c>
    </row>
    <row r="202" spans="1:7" x14ac:dyDescent="0.25">
      <c r="A202" s="27">
        <v>42747.797685185185</v>
      </c>
      <c r="B202" s="21" t="s">
        <v>339</v>
      </c>
      <c r="C202" s="21" t="s">
        <v>714</v>
      </c>
      <c r="D202" s="160">
        <v>2440000</v>
      </c>
      <c r="E202" s="21" t="s">
        <v>664</v>
      </c>
      <c r="F202" s="21" t="s">
        <v>665</v>
      </c>
      <c r="G202" s="8" t="str">
        <f t="shared" si="3"/>
        <v>LOPES KIMBERLY</v>
      </c>
    </row>
    <row r="203" spans="1:7" x14ac:dyDescent="0.25">
      <c r="A203" s="8">
        <v>42747.798819444448</v>
      </c>
      <c r="B203" s="21" t="s">
        <v>454</v>
      </c>
      <c r="C203" s="21" t="s">
        <v>715</v>
      </c>
      <c r="D203" s="160">
        <v>2670000</v>
      </c>
      <c r="E203" s="21" t="s">
        <v>322</v>
      </c>
      <c r="F203" s="21" t="s">
        <v>323</v>
      </c>
      <c r="G203" s="8" t="str">
        <f t="shared" si="3"/>
        <v>COMELLA JUSTIN</v>
      </c>
    </row>
    <row r="204" spans="1:7" x14ac:dyDescent="0.25">
      <c r="A204" s="8">
        <v>42747.799733796295</v>
      </c>
      <c r="B204" s="21" t="s">
        <v>247</v>
      </c>
      <c r="C204" s="21" t="s">
        <v>529</v>
      </c>
      <c r="D204" s="160">
        <v>2560000</v>
      </c>
      <c r="E204" s="21" t="s">
        <v>711</v>
      </c>
      <c r="F204" s="21" t="s">
        <v>712</v>
      </c>
      <c r="G204" s="8" t="str">
        <f t="shared" si="3"/>
        <v>MACDONALD THOMAS</v>
      </c>
    </row>
    <row r="205" spans="1:7" x14ac:dyDescent="0.25">
      <c r="A205" s="8">
        <v>42747.799942129626</v>
      </c>
      <c r="B205" s="21" t="s">
        <v>509</v>
      </c>
      <c r="C205" s="21" t="s">
        <v>531</v>
      </c>
      <c r="D205" s="160">
        <v>2220000</v>
      </c>
      <c r="E205" s="21" t="s">
        <v>343</v>
      </c>
      <c r="F205" s="21" t="s">
        <v>344</v>
      </c>
      <c r="G205" s="8" t="str">
        <f t="shared" si="3"/>
        <v>HILLS DUSTIN</v>
      </c>
    </row>
    <row r="206" spans="1:7" x14ac:dyDescent="0.25">
      <c r="A206" s="8">
        <v>42747.800509259258</v>
      </c>
      <c r="B206" s="21" t="s">
        <v>247</v>
      </c>
      <c r="C206" s="21" t="s">
        <v>529</v>
      </c>
      <c r="D206" s="160">
        <v>2560000</v>
      </c>
      <c r="E206" s="21" t="s">
        <v>711</v>
      </c>
      <c r="F206" s="21" t="s">
        <v>712</v>
      </c>
      <c r="G206" s="8" t="str">
        <f t="shared" si="3"/>
        <v>MACDONALD THOMAS</v>
      </c>
    </row>
    <row r="207" spans="1:7" x14ac:dyDescent="0.25">
      <c r="A207" s="8">
        <v>42747.806574074071</v>
      </c>
      <c r="B207" s="21" t="s">
        <v>247</v>
      </c>
      <c r="C207" s="21" t="s">
        <v>529</v>
      </c>
      <c r="D207" s="160">
        <v>2560000</v>
      </c>
      <c r="E207" s="21" t="s">
        <v>711</v>
      </c>
      <c r="F207" s="21" t="s">
        <v>712</v>
      </c>
      <c r="G207" s="8" t="str">
        <f t="shared" si="3"/>
        <v>MACDONALD THOMAS</v>
      </c>
    </row>
    <row r="208" spans="1:7" x14ac:dyDescent="0.25">
      <c r="A208" s="8">
        <v>42747.810983796298</v>
      </c>
      <c r="B208" s="21" t="s">
        <v>200</v>
      </c>
      <c r="C208" s="21" t="s">
        <v>716</v>
      </c>
      <c r="D208" s="160">
        <v>2260000</v>
      </c>
      <c r="E208" s="21" t="s">
        <v>628</v>
      </c>
      <c r="F208" s="21" t="s">
        <v>629</v>
      </c>
      <c r="G208" s="8" t="str">
        <f t="shared" si="3"/>
        <v>ARVIDSON DANIEL</v>
      </c>
    </row>
    <row r="209" spans="1:7" x14ac:dyDescent="0.25">
      <c r="A209" s="8">
        <v>42747.811261574076</v>
      </c>
      <c r="B209" s="21" t="s">
        <v>271</v>
      </c>
      <c r="C209" s="21" t="s">
        <v>717</v>
      </c>
      <c r="D209" s="160">
        <v>1810000</v>
      </c>
      <c r="E209" s="21" t="s">
        <v>251</v>
      </c>
      <c r="F209" s="21" t="s">
        <v>233</v>
      </c>
      <c r="G209" s="8" t="str">
        <f t="shared" si="3"/>
        <v>NEWELL JAMES</v>
      </c>
    </row>
    <row r="210" spans="1:7" x14ac:dyDescent="0.25">
      <c r="A210" s="8">
        <v>42747.819131944445</v>
      </c>
      <c r="B210" s="21" t="s">
        <v>457</v>
      </c>
      <c r="C210" s="21" t="s">
        <v>718</v>
      </c>
      <c r="D210" s="160">
        <v>2670000</v>
      </c>
      <c r="E210" s="21" t="s">
        <v>322</v>
      </c>
      <c r="F210" s="21" t="s">
        <v>323</v>
      </c>
      <c r="G210" s="8" t="str">
        <f t="shared" si="3"/>
        <v>COMELLA JUSTIN</v>
      </c>
    </row>
    <row r="211" spans="1:7" x14ac:dyDescent="0.25">
      <c r="A211" s="8">
        <v>42747.821423611109</v>
      </c>
      <c r="B211" s="21" t="s">
        <v>219</v>
      </c>
      <c r="C211" s="21" t="s">
        <v>719</v>
      </c>
      <c r="D211" s="160">
        <v>2710000</v>
      </c>
      <c r="E211" s="21" t="s">
        <v>455</v>
      </c>
      <c r="F211" s="21" t="s">
        <v>456</v>
      </c>
      <c r="G211" s="8" t="str">
        <f t="shared" si="3"/>
        <v>SIMMONS SHYHESHA</v>
      </c>
    </row>
    <row r="212" spans="1:7" x14ac:dyDescent="0.25">
      <c r="A212" s="8">
        <v>42747.826956018522</v>
      </c>
      <c r="B212" s="21" t="s">
        <v>264</v>
      </c>
      <c r="C212" s="21" t="s">
        <v>720</v>
      </c>
      <c r="D212" s="160">
        <v>2620000</v>
      </c>
      <c r="E212" s="21" t="s">
        <v>721</v>
      </c>
      <c r="F212" s="21" t="s">
        <v>722</v>
      </c>
      <c r="G212" s="8" t="str">
        <f t="shared" si="3"/>
        <v>PERKINS DARREN</v>
      </c>
    </row>
    <row r="213" spans="1:7" x14ac:dyDescent="0.25">
      <c r="A213" s="8">
        <v>42747.830625000002</v>
      </c>
      <c r="B213" s="21" t="s">
        <v>540</v>
      </c>
      <c r="C213" s="21" t="s">
        <v>723</v>
      </c>
      <c r="D213" s="160">
        <v>2480000</v>
      </c>
      <c r="E213" s="21" t="s">
        <v>724</v>
      </c>
      <c r="F213" s="21" t="s">
        <v>344</v>
      </c>
      <c r="G213" s="8" t="str">
        <f t="shared" si="3"/>
        <v>WHITED DUSTIN</v>
      </c>
    </row>
    <row r="214" spans="1:7" x14ac:dyDescent="0.25">
      <c r="A214" s="8">
        <v>42747.831875000003</v>
      </c>
      <c r="B214" s="21" t="s">
        <v>246</v>
      </c>
      <c r="C214" s="21" t="s">
        <v>725</v>
      </c>
      <c r="D214" s="160">
        <v>2560000</v>
      </c>
      <c r="E214" s="21" t="s">
        <v>711</v>
      </c>
      <c r="F214" s="21" t="s">
        <v>712</v>
      </c>
      <c r="G214" s="8" t="str">
        <f t="shared" si="3"/>
        <v>MACDONALD THOMAS</v>
      </c>
    </row>
    <row r="215" spans="1:7" x14ac:dyDescent="0.25">
      <c r="A215" s="8">
        <v>42747.832754629628</v>
      </c>
      <c r="B215" s="21" t="s">
        <v>246</v>
      </c>
      <c r="C215" s="21" t="s">
        <v>725</v>
      </c>
      <c r="D215" s="160">
        <v>2560000</v>
      </c>
      <c r="E215" s="21" t="s">
        <v>711</v>
      </c>
      <c r="F215" s="21" t="s">
        <v>712</v>
      </c>
      <c r="G215" s="8" t="str">
        <f t="shared" si="3"/>
        <v>MACDONALD THOMAS</v>
      </c>
    </row>
    <row r="216" spans="1:7" x14ac:dyDescent="0.25">
      <c r="A216" s="8">
        <v>42747.834976851853</v>
      </c>
      <c r="B216" s="21" t="s">
        <v>264</v>
      </c>
      <c r="C216" s="21" t="s">
        <v>720</v>
      </c>
      <c r="D216" s="160">
        <v>2620000</v>
      </c>
      <c r="E216" s="21" t="s">
        <v>721</v>
      </c>
      <c r="F216" s="21" t="s">
        <v>722</v>
      </c>
      <c r="G216" s="8" t="str">
        <f t="shared" si="3"/>
        <v>PERKINS DARREN</v>
      </c>
    </row>
    <row r="217" spans="1:7" x14ac:dyDescent="0.25">
      <c r="A217" s="8">
        <v>42747.83929398148</v>
      </c>
      <c r="B217" s="21" t="s">
        <v>454</v>
      </c>
      <c r="C217" s="21" t="s">
        <v>726</v>
      </c>
      <c r="D217" s="160">
        <v>2670000</v>
      </c>
      <c r="E217" s="21" t="s">
        <v>322</v>
      </c>
      <c r="F217" s="21" t="s">
        <v>323</v>
      </c>
      <c r="G217" s="8" t="str">
        <f t="shared" si="3"/>
        <v>COMELLA JUSTIN</v>
      </c>
    </row>
    <row r="218" spans="1:7" x14ac:dyDescent="0.25">
      <c r="A218" s="8">
        <v>42747.840138888889</v>
      </c>
      <c r="B218" s="21" t="s">
        <v>209</v>
      </c>
      <c r="C218" s="21" t="s">
        <v>532</v>
      </c>
      <c r="D218" s="160">
        <v>2220000</v>
      </c>
      <c r="E218" s="21" t="s">
        <v>343</v>
      </c>
      <c r="F218" s="21" t="s">
        <v>344</v>
      </c>
      <c r="G218" s="8" t="str">
        <f t="shared" si="3"/>
        <v>HILLS DUSTIN</v>
      </c>
    </row>
    <row r="219" spans="1:7" x14ac:dyDescent="0.25">
      <c r="A219" s="8">
        <v>42747.840775462966</v>
      </c>
      <c r="B219" s="21" t="s">
        <v>275</v>
      </c>
      <c r="C219" s="21" t="s">
        <v>727</v>
      </c>
      <c r="D219" s="160">
        <v>1810000</v>
      </c>
      <c r="E219" s="21" t="s">
        <v>251</v>
      </c>
      <c r="F219" s="21" t="s">
        <v>233</v>
      </c>
      <c r="G219" s="8" t="str">
        <f t="shared" si="3"/>
        <v>NEWELL JAMES</v>
      </c>
    </row>
    <row r="220" spans="1:7" x14ac:dyDescent="0.25">
      <c r="A220" s="8">
        <v>42747.868287037039</v>
      </c>
      <c r="B220" s="21" t="s">
        <v>522</v>
      </c>
      <c r="C220" s="21" t="s">
        <v>728</v>
      </c>
      <c r="D220" s="160">
        <v>2480000</v>
      </c>
      <c r="E220" s="21" t="s">
        <v>724</v>
      </c>
      <c r="F220" s="21" t="s">
        <v>344</v>
      </c>
      <c r="G220" s="8" t="str">
        <f t="shared" si="3"/>
        <v>WHITED DUSTIN</v>
      </c>
    </row>
    <row r="221" spans="1:7" x14ac:dyDescent="0.25">
      <c r="A221" s="8">
        <v>42747.870104166665</v>
      </c>
      <c r="B221" s="21" t="s">
        <v>457</v>
      </c>
      <c r="C221" s="21" t="s">
        <v>729</v>
      </c>
      <c r="D221" s="160">
        <v>2670000</v>
      </c>
      <c r="E221" s="21" t="s">
        <v>322</v>
      </c>
      <c r="F221" s="21" t="s">
        <v>323</v>
      </c>
      <c r="G221" s="8" t="str">
        <f t="shared" si="3"/>
        <v>COMELLA JUSTIN</v>
      </c>
    </row>
    <row r="222" spans="1:7" x14ac:dyDescent="0.25">
      <c r="A222" s="8">
        <v>42747.873472222222</v>
      </c>
      <c r="B222" s="21" t="s">
        <v>247</v>
      </c>
      <c r="C222" s="21" t="s">
        <v>730</v>
      </c>
      <c r="D222" s="160">
        <v>1800000</v>
      </c>
      <c r="E222" s="21" t="s">
        <v>225</v>
      </c>
      <c r="F222" s="21" t="s">
        <v>236</v>
      </c>
      <c r="G222" s="8" t="str">
        <f t="shared" si="3"/>
        <v>CHANDLER KELVIN</v>
      </c>
    </row>
    <row r="223" spans="1:7" x14ac:dyDescent="0.25">
      <c r="A223" s="8">
        <v>42747.882870370369</v>
      </c>
      <c r="B223" s="21" t="s">
        <v>509</v>
      </c>
      <c r="C223" s="21" t="s">
        <v>731</v>
      </c>
      <c r="D223" s="160">
        <v>2220000</v>
      </c>
      <c r="E223" s="21" t="s">
        <v>343</v>
      </c>
      <c r="F223" s="21" t="s">
        <v>344</v>
      </c>
      <c r="G223" s="8" t="str">
        <f t="shared" si="3"/>
        <v>HILLS DUSTIN</v>
      </c>
    </row>
    <row r="224" spans="1:7" x14ac:dyDescent="0.25">
      <c r="A224" s="8">
        <v>42747.883969907409</v>
      </c>
      <c r="B224" t="s">
        <v>291</v>
      </c>
      <c r="C224" t="s">
        <v>732</v>
      </c>
      <c r="D224" s="160">
        <v>2560000</v>
      </c>
      <c r="E224" t="s">
        <v>711</v>
      </c>
      <c r="F224" s="21" t="s">
        <v>712</v>
      </c>
      <c r="G224" s="8" t="str">
        <f t="shared" si="3"/>
        <v>MACDONALD THOMAS</v>
      </c>
    </row>
    <row r="225" spans="1:7" x14ac:dyDescent="0.25">
      <c r="A225" s="8">
        <v>42747.885555555556</v>
      </c>
      <c r="B225" t="s">
        <v>271</v>
      </c>
      <c r="C225" t="s">
        <v>733</v>
      </c>
      <c r="D225" s="160">
        <v>1810000</v>
      </c>
      <c r="E225" t="s">
        <v>251</v>
      </c>
      <c r="F225" s="21" t="s">
        <v>233</v>
      </c>
      <c r="G225" s="8" t="str">
        <f t="shared" si="3"/>
        <v>NEWELL JAMES</v>
      </c>
    </row>
    <row r="226" spans="1:7" x14ac:dyDescent="0.25">
      <c r="A226" s="8">
        <v>42747.88653935185</v>
      </c>
      <c r="B226" t="s">
        <v>454</v>
      </c>
      <c r="C226" t="s">
        <v>734</v>
      </c>
      <c r="D226" s="160">
        <v>2440000</v>
      </c>
      <c r="E226" t="s">
        <v>664</v>
      </c>
      <c r="F226" s="21" t="s">
        <v>665</v>
      </c>
      <c r="G226" s="8" t="str">
        <f t="shared" si="3"/>
        <v>LOPES KIMBERLY</v>
      </c>
    </row>
    <row r="227" spans="1:7" x14ac:dyDescent="0.25">
      <c r="A227" s="8">
        <v>42747.901863425926</v>
      </c>
      <c r="B227" t="s">
        <v>457</v>
      </c>
      <c r="C227" t="s">
        <v>735</v>
      </c>
      <c r="D227" s="160">
        <v>2440000</v>
      </c>
      <c r="E227" t="s">
        <v>664</v>
      </c>
      <c r="F227" s="21" t="s">
        <v>665</v>
      </c>
      <c r="G227" s="8" t="str">
        <f t="shared" si="3"/>
        <v>LOPES KIMBERLY</v>
      </c>
    </row>
    <row r="228" spans="1:7" x14ac:dyDescent="0.25">
      <c r="A228" s="8">
        <v>42747.911180555559</v>
      </c>
      <c r="B228" t="s">
        <v>540</v>
      </c>
      <c r="C228" t="s">
        <v>736</v>
      </c>
      <c r="D228" s="160">
        <v>2480000</v>
      </c>
      <c r="E228" t="s">
        <v>724</v>
      </c>
      <c r="F228" s="21" t="s">
        <v>344</v>
      </c>
      <c r="G228" s="8" t="str">
        <f t="shared" si="3"/>
        <v>WHITED DUSTIN</v>
      </c>
    </row>
    <row r="229" spans="1:7" x14ac:dyDescent="0.25">
      <c r="A229" s="8">
        <v>42747.911979166667</v>
      </c>
      <c r="B229" t="s">
        <v>540</v>
      </c>
      <c r="C229" t="s">
        <v>736</v>
      </c>
      <c r="D229" s="160">
        <v>2480000</v>
      </c>
      <c r="E229" t="s">
        <v>724</v>
      </c>
      <c r="F229" s="21" t="s">
        <v>344</v>
      </c>
      <c r="G229" s="8" t="str">
        <f t="shared" si="3"/>
        <v>WHITED DUSTIN</v>
      </c>
    </row>
    <row r="230" spans="1:7" x14ac:dyDescent="0.25">
      <c r="A230" s="8">
        <v>42747.912118055552</v>
      </c>
      <c r="B230" t="s">
        <v>246</v>
      </c>
      <c r="C230" t="s">
        <v>737</v>
      </c>
      <c r="D230" s="160">
        <v>1800000</v>
      </c>
      <c r="E230" t="s">
        <v>225</v>
      </c>
      <c r="F230" s="21" t="s">
        <v>236</v>
      </c>
      <c r="G230" s="8" t="str">
        <f t="shared" si="3"/>
        <v>CHANDLER KELVIN</v>
      </c>
    </row>
    <row r="231" spans="1:7" x14ac:dyDescent="0.25">
      <c r="A231" s="8">
        <v>42747.918217592596</v>
      </c>
      <c r="B231" t="s">
        <v>454</v>
      </c>
      <c r="C231" t="s">
        <v>738</v>
      </c>
      <c r="D231" s="160">
        <v>2440000</v>
      </c>
      <c r="E231" t="s">
        <v>664</v>
      </c>
      <c r="F231" s="21" t="s">
        <v>665</v>
      </c>
      <c r="G231" s="8" t="str">
        <f t="shared" si="3"/>
        <v>LOPES KIMBERLY</v>
      </c>
    </row>
    <row r="232" spans="1:7" x14ac:dyDescent="0.25">
      <c r="A232" s="8">
        <v>42747.923391203702</v>
      </c>
      <c r="B232" t="s">
        <v>209</v>
      </c>
      <c r="C232" t="s">
        <v>533</v>
      </c>
      <c r="D232" s="160">
        <v>2220000</v>
      </c>
      <c r="E232" t="s">
        <v>343</v>
      </c>
      <c r="F232" s="21" t="s">
        <v>344</v>
      </c>
      <c r="G232" s="8" t="str">
        <f t="shared" si="3"/>
        <v>HILLS DUSTIN</v>
      </c>
    </row>
    <row r="233" spans="1:7" x14ac:dyDescent="0.25">
      <c r="A233" s="8">
        <v>42747.931712962964</v>
      </c>
      <c r="B233" t="s">
        <v>275</v>
      </c>
      <c r="C233" t="s">
        <v>739</v>
      </c>
      <c r="D233" s="160">
        <v>1810000</v>
      </c>
      <c r="E233" t="s">
        <v>251</v>
      </c>
      <c r="F233" s="21" t="s">
        <v>233</v>
      </c>
      <c r="G233" s="8" t="str">
        <f t="shared" si="3"/>
        <v>NEWELL JAMES</v>
      </c>
    </row>
    <row r="234" spans="1:7" x14ac:dyDescent="0.25">
      <c r="A234" s="8">
        <v>42747.943078703705</v>
      </c>
      <c r="B234" t="s">
        <v>457</v>
      </c>
      <c r="C234" t="s">
        <v>740</v>
      </c>
      <c r="D234" s="160">
        <v>2440000</v>
      </c>
      <c r="E234" t="s">
        <v>664</v>
      </c>
      <c r="F234" s="21" t="s">
        <v>665</v>
      </c>
      <c r="G234" s="8" t="str">
        <f t="shared" si="3"/>
        <v>LOPES KIMBERLY</v>
      </c>
    </row>
    <row r="235" spans="1:7" x14ac:dyDescent="0.25">
      <c r="A235" s="8">
        <v>42747.949814814812</v>
      </c>
      <c r="B235" t="s">
        <v>522</v>
      </c>
      <c r="C235" t="s">
        <v>741</v>
      </c>
      <c r="D235" s="160">
        <v>2480000</v>
      </c>
      <c r="E235" t="s">
        <v>724</v>
      </c>
      <c r="F235" s="21" t="s">
        <v>344</v>
      </c>
      <c r="G235" s="8" t="str">
        <f t="shared" si="3"/>
        <v>WHITED DUSTIN</v>
      </c>
    </row>
    <row r="236" spans="1:7" x14ac:dyDescent="0.25">
      <c r="A236" s="8">
        <v>42747.956712962965</v>
      </c>
      <c r="B236" t="s">
        <v>247</v>
      </c>
      <c r="C236" t="s">
        <v>742</v>
      </c>
      <c r="D236" s="160">
        <v>1800000</v>
      </c>
      <c r="E236" t="s">
        <v>225</v>
      </c>
      <c r="F236" s="21" t="s">
        <v>236</v>
      </c>
      <c r="G236" s="8" t="str">
        <f t="shared" si="3"/>
        <v>CHANDLER KELVIN</v>
      </c>
    </row>
    <row r="237" spans="1:7" x14ac:dyDescent="0.25">
      <c r="A237" s="8">
        <v>42747.965300925927</v>
      </c>
      <c r="B237" t="s">
        <v>509</v>
      </c>
      <c r="C237" t="s">
        <v>534</v>
      </c>
      <c r="D237" s="160">
        <v>2220000</v>
      </c>
      <c r="E237" t="s">
        <v>343</v>
      </c>
      <c r="F237" s="21" t="s">
        <v>344</v>
      </c>
      <c r="G237" s="8" t="str">
        <f t="shared" si="3"/>
        <v>HILLS DUSTIN</v>
      </c>
    </row>
    <row r="238" spans="1:7" x14ac:dyDescent="0.25">
      <c r="A238" s="8">
        <v>42747.971747685187</v>
      </c>
      <c r="B238" t="s">
        <v>271</v>
      </c>
      <c r="C238" t="s">
        <v>743</v>
      </c>
      <c r="D238" s="160">
        <v>1810000</v>
      </c>
      <c r="E238" t="s">
        <v>251</v>
      </c>
      <c r="F238" s="21" t="s">
        <v>233</v>
      </c>
      <c r="G238" s="8" t="str">
        <f t="shared" si="3"/>
        <v>NEWELL JAMES</v>
      </c>
    </row>
    <row r="239" spans="1:7" x14ac:dyDescent="0.25">
      <c r="A239" s="8">
        <v>42747.991354166668</v>
      </c>
      <c r="B239" t="s">
        <v>540</v>
      </c>
      <c r="C239" t="s">
        <v>744</v>
      </c>
      <c r="D239" s="160">
        <v>2480000</v>
      </c>
      <c r="E239" t="s">
        <v>724</v>
      </c>
      <c r="F239" s="21" t="s">
        <v>344</v>
      </c>
      <c r="G239" s="8" t="str">
        <f t="shared" si="3"/>
        <v>WHITED DUSTIN</v>
      </c>
    </row>
    <row r="240" spans="1:7" x14ac:dyDescent="0.25">
      <c r="A240" s="8">
        <v>42747.992928240739</v>
      </c>
      <c r="B240" t="s">
        <v>246</v>
      </c>
      <c r="C240" t="s">
        <v>745</v>
      </c>
      <c r="D240" s="160">
        <v>1800000</v>
      </c>
      <c r="E240" t="s">
        <v>225</v>
      </c>
      <c r="F240" s="21" t="s">
        <v>236</v>
      </c>
      <c r="G240" s="8" t="str">
        <f t="shared" si="3"/>
        <v>CHANDLER KELVIN</v>
      </c>
    </row>
    <row r="241" spans="1:7" x14ac:dyDescent="0.25">
      <c r="A241" s="8">
        <v>42748.005949074075</v>
      </c>
      <c r="B241" t="s">
        <v>245</v>
      </c>
      <c r="C241" t="s">
        <v>746</v>
      </c>
      <c r="D241" s="160">
        <v>2560000</v>
      </c>
      <c r="E241" t="s">
        <v>711</v>
      </c>
      <c r="F241" s="21" t="s">
        <v>712</v>
      </c>
      <c r="G241" s="8" t="str">
        <f t="shared" si="3"/>
        <v>MACDONALD THOMAS</v>
      </c>
    </row>
    <row r="242" spans="1:7" x14ac:dyDescent="0.25">
      <c r="A242" s="8">
        <v>42748.006469907406</v>
      </c>
      <c r="B242" t="s">
        <v>245</v>
      </c>
      <c r="C242" t="s">
        <v>746</v>
      </c>
      <c r="D242" s="160">
        <v>2560000</v>
      </c>
      <c r="E242" t="s">
        <v>711</v>
      </c>
      <c r="F242" s="21" t="s">
        <v>712</v>
      </c>
      <c r="G242" s="8" t="str">
        <f t="shared" si="3"/>
        <v>MACDONALD THOMAS</v>
      </c>
    </row>
    <row r="243" spans="1:7" x14ac:dyDescent="0.25">
      <c r="A243" s="8">
        <v>42748.007384259261</v>
      </c>
      <c r="B243" t="s">
        <v>245</v>
      </c>
      <c r="C243" t="s">
        <v>746</v>
      </c>
      <c r="D243" s="160">
        <v>2560000</v>
      </c>
      <c r="E243" t="s">
        <v>711</v>
      </c>
      <c r="F243" s="21" t="s">
        <v>712</v>
      </c>
      <c r="G243" s="8" t="str">
        <f t="shared" si="3"/>
        <v>MACDONALD THOMAS</v>
      </c>
    </row>
    <row r="244" spans="1:7" x14ac:dyDescent="0.25">
      <c r="A244" s="8">
        <v>42748.013229166667</v>
      </c>
      <c r="B244" t="s">
        <v>209</v>
      </c>
      <c r="C244" t="s">
        <v>747</v>
      </c>
      <c r="D244" s="160">
        <v>2220000</v>
      </c>
      <c r="E244" t="s">
        <v>343</v>
      </c>
      <c r="F244" s="21" t="s">
        <v>344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275</v>
      </c>
      <c r="C245" t="s">
        <v>748</v>
      </c>
      <c r="D245" s="160">
        <v>1810000</v>
      </c>
      <c r="E245" t="s">
        <v>251</v>
      </c>
      <c r="F245" s="21" t="s">
        <v>233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339</v>
      </c>
      <c r="C246" t="s">
        <v>749</v>
      </c>
      <c r="D246" s="160">
        <v>2540000</v>
      </c>
      <c r="E246" t="s">
        <v>750</v>
      </c>
      <c r="F246" s="21" t="s">
        <v>751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247</v>
      </c>
      <c r="C247" t="s">
        <v>752</v>
      </c>
      <c r="D247" s="160">
        <v>1800000</v>
      </c>
      <c r="E247" t="s">
        <v>225</v>
      </c>
      <c r="F247" s="21" t="s">
        <v>236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522</v>
      </c>
      <c r="C248" t="s">
        <v>753</v>
      </c>
      <c r="D248" s="160">
        <v>2480000</v>
      </c>
      <c r="E248" t="s">
        <v>724</v>
      </c>
      <c r="F248" s="21" t="s">
        <v>344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271</v>
      </c>
      <c r="C249" t="s">
        <v>754</v>
      </c>
      <c r="D249" s="160">
        <v>1810000</v>
      </c>
      <c r="E249" t="s">
        <v>251</v>
      </c>
      <c r="F249" s="21" t="s">
        <v>233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271</v>
      </c>
      <c r="C250" t="s">
        <v>754</v>
      </c>
      <c r="D250" s="160">
        <v>1810000</v>
      </c>
      <c r="E250" t="s">
        <v>251</v>
      </c>
      <c r="F250" s="21" t="s">
        <v>233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509</v>
      </c>
      <c r="C251" t="s">
        <v>755</v>
      </c>
      <c r="D251" s="160">
        <v>2220000</v>
      </c>
      <c r="E251" t="s">
        <v>343</v>
      </c>
      <c r="F251" s="21" t="s">
        <v>344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540</v>
      </c>
      <c r="C252" t="s">
        <v>756</v>
      </c>
      <c r="D252" s="160">
        <v>2480000</v>
      </c>
      <c r="E252" t="s">
        <v>724</v>
      </c>
      <c r="F252" s="21" t="s">
        <v>344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757</v>
      </c>
      <c r="D253" s="160">
        <v>2220000</v>
      </c>
      <c r="E253" t="s">
        <v>343</v>
      </c>
      <c r="F253" s="21" t="s">
        <v>344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757</v>
      </c>
      <c r="D254" s="160">
        <v>2220000</v>
      </c>
      <c r="E254" t="s">
        <v>343</v>
      </c>
      <c r="F254" s="21" t="s">
        <v>344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757</v>
      </c>
      <c r="D255" s="160">
        <v>2220000</v>
      </c>
      <c r="E255" t="s">
        <v>343</v>
      </c>
      <c r="F255" s="21" t="s">
        <v>344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757</v>
      </c>
      <c r="D256" s="160">
        <v>2220000</v>
      </c>
      <c r="E256" t="s">
        <v>343</v>
      </c>
      <c r="F256" s="21" t="s">
        <v>344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509</v>
      </c>
      <c r="C257" t="s">
        <v>757</v>
      </c>
      <c r="D257" s="160">
        <v>2220000</v>
      </c>
      <c r="E257" t="s">
        <v>343</v>
      </c>
      <c r="F257" s="21" t="s">
        <v>344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257</v>
      </c>
      <c r="D258" s="160">
        <v>2110000</v>
      </c>
      <c r="E258" t="s">
        <v>255</v>
      </c>
      <c r="F258" s="21" t="s">
        <v>256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257</v>
      </c>
      <c r="D259" s="160">
        <v>2110000</v>
      </c>
      <c r="E259" t="s">
        <v>255</v>
      </c>
      <c r="F259" s="21" t="s">
        <v>256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222</v>
      </c>
      <c r="C260" t="s">
        <v>228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227</v>
      </c>
      <c r="D261" s="160">
        <v>2530000</v>
      </c>
      <c r="E261" t="s">
        <v>226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229</v>
      </c>
      <c r="D262" s="160">
        <v>2600000</v>
      </c>
      <c r="E262" t="s">
        <v>223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464</v>
      </c>
      <c r="I1" s="175" t="s">
        <v>171</v>
      </c>
      <c r="J1" s="175" t="s">
        <v>172</v>
      </c>
      <c r="K1" s="175" t="s">
        <v>282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27.43</v>
      </c>
      <c r="B2" s="165">
        <v>0.37</v>
      </c>
      <c r="C2" s="165">
        <v>21.03</v>
      </c>
      <c r="D2" s="8">
        <v>42747</v>
      </c>
      <c r="E2" s="165">
        <v>0.66</v>
      </c>
      <c r="F2" s="165" t="s">
        <v>230</v>
      </c>
      <c r="G2" s="165">
        <v>288.99</v>
      </c>
      <c r="H2" s="165"/>
      <c r="I2" s="165">
        <v>0</v>
      </c>
      <c r="J2" s="165">
        <v>0</v>
      </c>
      <c r="K2" s="165"/>
      <c r="L2" s="165">
        <v>1011.01</v>
      </c>
      <c r="M2" s="165" t="s">
        <v>298</v>
      </c>
      <c r="N2" s="165">
        <v>31.17</v>
      </c>
      <c r="O2" s="165">
        <v>1484204400</v>
      </c>
      <c r="P2" s="165">
        <v>8.26</v>
      </c>
      <c r="Q2" s="165">
        <v>228</v>
      </c>
      <c r="R2" s="165">
        <v>3.72</v>
      </c>
    </row>
    <row r="3" spans="1:18" x14ac:dyDescent="0.25">
      <c r="A3" s="165">
        <v>27.35</v>
      </c>
      <c r="B3" s="165">
        <v>0.33</v>
      </c>
      <c r="C3" s="165">
        <v>20.079999999999998</v>
      </c>
      <c r="D3" s="8">
        <v>42747.041666666664</v>
      </c>
      <c r="E3" s="165">
        <v>0.63</v>
      </c>
      <c r="F3" s="165" t="s">
        <v>230</v>
      </c>
      <c r="G3" s="165">
        <v>282.14</v>
      </c>
      <c r="H3" s="165"/>
      <c r="I3" s="165">
        <v>0</v>
      </c>
      <c r="J3" s="165">
        <v>0</v>
      </c>
      <c r="K3" s="165"/>
      <c r="L3" s="165">
        <v>1011.76</v>
      </c>
      <c r="M3" s="165" t="s">
        <v>298</v>
      </c>
      <c r="N3" s="165">
        <v>31.3</v>
      </c>
      <c r="O3" s="165">
        <v>1484208000</v>
      </c>
      <c r="P3" s="165">
        <v>8.2200000000000006</v>
      </c>
      <c r="Q3" s="165">
        <v>233</v>
      </c>
      <c r="R3" s="165">
        <v>3.92</v>
      </c>
    </row>
    <row r="4" spans="1:18" x14ac:dyDescent="0.25">
      <c r="A4" s="165">
        <v>25.6</v>
      </c>
      <c r="B4" s="165">
        <v>0.3</v>
      </c>
      <c r="C4" s="165">
        <v>18.59</v>
      </c>
      <c r="D4" s="8">
        <v>42747.083333333336</v>
      </c>
      <c r="E4" s="165">
        <v>0.62</v>
      </c>
      <c r="F4" s="165" t="s">
        <v>230</v>
      </c>
      <c r="G4" s="165">
        <v>275.29000000000002</v>
      </c>
      <c r="H4" s="165"/>
      <c r="I4" s="165">
        <v>0</v>
      </c>
      <c r="J4" s="165">
        <v>0</v>
      </c>
      <c r="K4" s="165"/>
      <c r="L4" s="165">
        <v>1012.51</v>
      </c>
      <c r="M4" s="165" t="s">
        <v>298</v>
      </c>
      <c r="N4" s="165">
        <v>30.11</v>
      </c>
      <c r="O4" s="165">
        <v>1484211600</v>
      </c>
      <c r="P4" s="165">
        <v>7.96</v>
      </c>
      <c r="Q4" s="165">
        <v>232</v>
      </c>
      <c r="R4" s="165">
        <v>4.26</v>
      </c>
    </row>
    <row r="5" spans="1:18" x14ac:dyDescent="0.25">
      <c r="A5" s="165">
        <v>24.24</v>
      </c>
      <c r="B5" s="165">
        <v>0.28999999999999998</v>
      </c>
      <c r="C5" s="165">
        <v>16.72</v>
      </c>
      <c r="D5" s="8">
        <v>42747.125</v>
      </c>
      <c r="E5" s="165">
        <v>0.59</v>
      </c>
      <c r="F5" s="165" t="s">
        <v>230</v>
      </c>
      <c r="G5" s="165">
        <v>272.11</v>
      </c>
      <c r="H5" s="165"/>
      <c r="I5" s="165">
        <v>0</v>
      </c>
      <c r="J5" s="165">
        <v>0</v>
      </c>
      <c r="K5" s="165"/>
      <c r="L5" s="165">
        <v>1013.36</v>
      </c>
      <c r="M5" s="165" t="s">
        <v>298</v>
      </c>
      <c r="N5" s="165">
        <v>29.14</v>
      </c>
      <c r="O5" s="165">
        <v>1484215200</v>
      </c>
      <c r="P5" s="165">
        <v>7.69</v>
      </c>
      <c r="Q5" s="165">
        <v>229</v>
      </c>
      <c r="R5" s="165">
        <v>4.4800000000000004</v>
      </c>
    </row>
    <row r="6" spans="1:18" x14ac:dyDescent="0.25">
      <c r="A6" s="165">
        <v>23.16</v>
      </c>
      <c r="B6" s="165">
        <v>0.28999999999999998</v>
      </c>
      <c r="C6" s="165">
        <v>15.63</v>
      </c>
      <c r="D6" s="8">
        <v>42747.166666666664</v>
      </c>
      <c r="E6" s="165">
        <v>0.59</v>
      </c>
      <c r="F6" s="165" t="s">
        <v>230</v>
      </c>
      <c r="G6" s="165">
        <v>270.63</v>
      </c>
      <c r="H6" s="165"/>
      <c r="I6" s="165">
        <v>0</v>
      </c>
      <c r="J6" s="165">
        <v>0</v>
      </c>
      <c r="K6" s="165"/>
      <c r="L6" s="165">
        <v>1014.26</v>
      </c>
      <c r="M6" s="165" t="s">
        <v>298</v>
      </c>
      <c r="N6" s="165">
        <v>27.92</v>
      </c>
      <c r="O6" s="165">
        <v>1484218800</v>
      </c>
      <c r="P6" s="165">
        <v>7.78</v>
      </c>
      <c r="Q6" s="165">
        <v>231</v>
      </c>
      <c r="R6" s="165">
        <v>4.18</v>
      </c>
    </row>
    <row r="7" spans="1:18" x14ac:dyDescent="0.25">
      <c r="A7" s="165">
        <v>24.46</v>
      </c>
      <c r="B7" s="165">
        <v>0.31</v>
      </c>
      <c r="C7" s="165">
        <v>16.39</v>
      </c>
      <c r="D7" s="8">
        <v>42747.208333333336</v>
      </c>
      <c r="E7" s="165">
        <v>0.62</v>
      </c>
      <c r="F7" s="165" t="s">
        <v>230</v>
      </c>
      <c r="G7" s="165">
        <v>270.02</v>
      </c>
      <c r="H7" s="165"/>
      <c r="I7" s="165">
        <v>0</v>
      </c>
      <c r="J7" s="165">
        <v>0</v>
      </c>
      <c r="K7" s="165"/>
      <c r="L7" s="165">
        <v>1015.17</v>
      </c>
      <c r="M7" s="165" t="s">
        <v>298</v>
      </c>
      <c r="N7" s="165">
        <v>27.87</v>
      </c>
      <c r="O7" s="165">
        <v>1484222400</v>
      </c>
      <c r="P7" s="165">
        <v>8.3699999999999992</v>
      </c>
      <c r="Q7" s="165">
        <v>226</v>
      </c>
      <c r="R7" s="165">
        <v>3.13</v>
      </c>
    </row>
    <row r="8" spans="1:18" x14ac:dyDescent="0.25">
      <c r="A8" s="165">
        <v>26.22</v>
      </c>
      <c r="B8" s="165">
        <v>0.34</v>
      </c>
      <c r="C8" s="165">
        <v>16.07</v>
      </c>
      <c r="D8" s="8">
        <v>42747.25</v>
      </c>
      <c r="E8" s="165">
        <v>0.65</v>
      </c>
      <c r="F8" s="165" t="s">
        <v>230</v>
      </c>
      <c r="G8" s="165">
        <v>270.04000000000002</v>
      </c>
      <c r="H8" s="165"/>
      <c r="I8" s="165">
        <v>0</v>
      </c>
      <c r="J8" s="165">
        <v>0</v>
      </c>
      <c r="K8" s="165"/>
      <c r="L8" s="165">
        <v>1016.22</v>
      </c>
      <c r="M8" s="165" t="s">
        <v>298</v>
      </c>
      <c r="N8" s="165">
        <v>26.22</v>
      </c>
      <c r="O8" s="165">
        <v>1484226000</v>
      </c>
      <c r="P8" s="165">
        <v>8.7799999999999994</v>
      </c>
      <c r="Q8" s="165">
        <v>225</v>
      </c>
      <c r="R8" s="165">
        <v>2.83</v>
      </c>
    </row>
    <row r="9" spans="1:18" x14ac:dyDescent="0.25">
      <c r="A9" s="165">
        <v>23.61</v>
      </c>
      <c r="B9" s="165">
        <v>0.41</v>
      </c>
      <c r="C9" s="165">
        <v>17.52</v>
      </c>
      <c r="D9" s="8">
        <v>42747.291666666664</v>
      </c>
      <c r="E9" s="165">
        <v>0.66</v>
      </c>
      <c r="F9" s="165" t="s">
        <v>230</v>
      </c>
      <c r="G9" s="165">
        <v>270.94</v>
      </c>
      <c r="H9" s="165"/>
      <c r="I9" s="165">
        <v>0</v>
      </c>
      <c r="J9" s="165">
        <v>0</v>
      </c>
      <c r="K9" s="165"/>
      <c r="L9" s="165">
        <v>1017.25</v>
      </c>
      <c r="M9" s="165" t="s">
        <v>298</v>
      </c>
      <c r="N9" s="165">
        <v>27.2</v>
      </c>
      <c r="O9" s="165">
        <v>1484229600</v>
      </c>
      <c r="P9" s="165">
        <v>8.1199999999999992</v>
      </c>
      <c r="Q9" s="165">
        <v>213</v>
      </c>
      <c r="R9" s="165">
        <v>3.19</v>
      </c>
    </row>
    <row r="10" spans="1:18" x14ac:dyDescent="0.25">
      <c r="A10" s="165">
        <v>28.59</v>
      </c>
      <c r="B10" s="165">
        <v>0.49</v>
      </c>
      <c r="C10" s="165">
        <v>19.18</v>
      </c>
      <c r="D10" s="8">
        <v>42747.333333333336</v>
      </c>
      <c r="E10" s="165">
        <v>0.67</v>
      </c>
      <c r="F10" s="165" t="s">
        <v>299</v>
      </c>
      <c r="G10" s="165">
        <v>272.62</v>
      </c>
      <c r="H10" s="165"/>
      <c r="I10" s="165">
        <v>0</v>
      </c>
      <c r="J10" s="165">
        <v>0</v>
      </c>
      <c r="K10" s="165"/>
      <c r="L10" s="165">
        <v>1017.91</v>
      </c>
      <c r="M10" s="165" t="s">
        <v>298</v>
      </c>
      <c r="N10" s="165">
        <v>28.59</v>
      </c>
      <c r="O10" s="165">
        <v>1484233200</v>
      </c>
      <c r="P10" s="165">
        <v>7.78</v>
      </c>
      <c r="Q10" s="165">
        <v>205</v>
      </c>
      <c r="R10" s="165">
        <v>2.42</v>
      </c>
    </row>
    <row r="11" spans="1:18" x14ac:dyDescent="0.25">
      <c r="A11" s="165">
        <v>31.17</v>
      </c>
      <c r="B11" s="165">
        <v>0.61</v>
      </c>
      <c r="C11" s="165">
        <v>21.01</v>
      </c>
      <c r="D11" s="8">
        <v>42747.375</v>
      </c>
      <c r="E11" s="165">
        <v>0.66</v>
      </c>
      <c r="F11" s="165" t="s">
        <v>299</v>
      </c>
      <c r="G11" s="165">
        <v>275.68</v>
      </c>
      <c r="H11" s="165"/>
      <c r="I11" s="165">
        <v>0</v>
      </c>
      <c r="J11" s="165">
        <v>0</v>
      </c>
      <c r="K11" s="165"/>
      <c r="L11" s="165">
        <v>1017.97</v>
      </c>
      <c r="M11" s="165" t="s">
        <v>758</v>
      </c>
      <c r="N11" s="165">
        <v>31.17</v>
      </c>
      <c r="O11" s="165">
        <v>1484236800</v>
      </c>
      <c r="P11" s="165">
        <v>7.6</v>
      </c>
      <c r="Q11" s="165">
        <v>188</v>
      </c>
      <c r="R11" s="165">
        <v>2.0699999999999998</v>
      </c>
    </row>
    <row r="12" spans="1:18" x14ac:dyDescent="0.25">
      <c r="A12" s="165">
        <v>35.409999999999997</v>
      </c>
      <c r="B12" s="165">
        <v>0.75</v>
      </c>
      <c r="C12" s="165">
        <v>23.07</v>
      </c>
      <c r="D12" s="8">
        <v>42747.416666666664</v>
      </c>
      <c r="E12" s="165">
        <v>0.6</v>
      </c>
      <c r="F12" s="165" t="s">
        <v>299</v>
      </c>
      <c r="G12" s="165">
        <v>279.51</v>
      </c>
      <c r="H12" s="165"/>
      <c r="I12" s="165">
        <v>0</v>
      </c>
      <c r="J12" s="165">
        <v>0</v>
      </c>
      <c r="K12" s="165"/>
      <c r="L12" s="165">
        <v>1017.6</v>
      </c>
      <c r="M12" s="165" t="s">
        <v>758</v>
      </c>
      <c r="N12" s="165">
        <v>35.409999999999997</v>
      </c>
      <c r="O12" s="165">
        <v>1484240400</v>
      </c>
      <c r="P12" s="165">
        <v>7.65</v>
      </c>
      <c r="Q12" s="165">
        <v>170</v>
      </c>
      <c r="R12" s="165">
        <v>0.95</v>
      </c>
    </row>
    <row r="13" spans="1:18" x14ac:dyDescent="0.25">
      <c r="A13" s="165">
        <v>38.31</v>
      </c>
      <c r="B13" s="165">
        <v>0.86</v>
      </c>
      <c r="C13" s="165">
        <v>22.41</v>
      </c>
      <c r="D13" s="8">
        <v>42747.458333333336</v>
      </c>
      <c r="E13" s="165">
        <v>0.52</v>
      </c>
      <c r="F13" s="165" t="s">
        <v>299</v>
      </c>
      <c r="G13" s="165">
        <v>282.22000000000003</v>
      </c>
      <c r="H13" s="165"/>
      <c r="I13" s="165">
        <v>0</v>
      </c>
      <c r="J13" s="165">
        <v>0</v>
      </c>
      <c r="K13" s="165"/>
      <c r="L13" s="165">
        <v>1017.3</v>
      </c>
      <c r="M13" s="165" t="s">
        <v>758</v>
      </c>
      <c r="N13" s="165">
        <v>38.31</v>
      </c>
      <c r="O13" s="165">
        <v>1484244000</v>
      </c>
      <c r="P13" s="165">
        <v>5.2</v>
      </c>
      <c r="Q13" s="165">
        <v>44</v>
      </c>
      <c r="R13" s="165">
        <v>1.4</v>
      </c>
    </row>
    <row r="14" spans="1:18" x14ac:dyDescent="0.25">
      <c r="A14" s="165">
        <v>40.01</v>
      </c>
      <c r="B14" s="165">
        <v>0.84</v>
      </c>
      <c r="C14" s="165">
        <v>25.28</v>
      </c>
      <c r="D14" s="8">
        <v>42747.5</v>
      </c>
      <c r="E14" s="165">
        <v>0.51</v>
      </c>
      <c r="F14" s="165" t="s">
        <v>299</v>
      </c>
      <c r="G14" s="165">
        <v>282.89999999999998</v>
      </c>
      <c r="H14" s="165"/>
      <c r="I14" s="165">
        <v>0</v>
      </c>
      <c r="J14" s="165">
        <v>0</v>
      </c>
      <c r="K14" s="165"/>
      <c r="L14" s="165">
        <v>1017.05</v>
      </c>
      <c r="M14" s="165" t="s">
        <v>758</v>
      </c>
      <c r="N14" s="165">
        <v>42.3</v>
      </c>
      <c r="O14" s="165">
        <v>1484247600</v>
      </c>
      <c r="P14" s="165">
        <v>10</v>
      </c>
      <c r="Q14" s="165">
        <v>32</v>
      </c>
      <c r="R14" s="165">
        <v>3.95</v>
      </c>
    </row>
    <row r="15" spans="1:18" x14ac:dyDescent="0.25">
      <c r="A15" s="165">
        <v>37.64</v>
      </c>
      <c r="B15" s="165">
        <v>0.8</v>
      </c>
      <c r="C15" s="165">
        <v>22.84</v>
      </c>
      <c r="D15" s="8">
        <v>42747.541666666664</v>
      </c>
      <c r="E15" s="165">
        <v>0.48</v>
      </c>
      <c r="F15" s="165" t="s">
        <v>299</v>
      </c>
      <c r="G15" s="165">
        <v>282.45999999999998</v>
      </c>
      <c r="H15" s="165"/>
      <c r="I15" s="165">
        <v>1.5E-3</v>
      </c>
      <c r="J15" s="165">
        <v>0.03</v>
      </c>
      <c r="K15" s="165" t="s">
        <v>759</v>
      </c>
      <c r="L15" s="165">
        <v>1016.94</v>
      </c>
      <c r="M15" s="165" t="s">
        <v>758</v>
      </c>
      <c r="N15" s="165">
        <v>41.03</v>
      </c>
      <c r="O15" s="165">
        <v>1484251200</v>
      </c>
      <c r="P15" s="165">
        <v>10</v>
      </c>
      <c r="Q15" s="165">
        <v>36</v>
      </c>
      <c r="R15" s="165">
        <v>5.07</v>
      </c>
    </row>
    <row r="16" spans="1:18" x14ac:dyDescent="0.25">
      <c r="A16" s="165">
        <v>32.58</v>
      </c>
      <c r="B16" s="165">
        <v>0.78</v>
      </c>
      <c r="C16" s="165">
        <v>25.81</v>
      </c>
      <c r="D16" s="8">
        <v>42747.583333333336</v>
      </c>
      <c r="E16" s="165">
        <v>0.6</v>
      </c>
      <c r="F16" s="165" t="s">
        <v>299</v>
      </c>
      <c r="G16" s="165">
        <v>281.66000000000003</v>
      </c>
      <c r="H16" s="165"/>
      <c r="I16" s="165">
        <v>2.0999999999999999E-3</v>
      </c>
      <c r="J16" s="165">
        <v>0.05</v>
      </c>
      <c r="K16" s="165" t="s">
        <v>759</v>
      </c>
      <c r="L16" s="165">
        <v>1017.53</v>
      </c>
      <c r="M16" s="165" t="s">
        <v>758</v>
      </c>
      <c r="N16" s="165">
        <v>38.409999999999997</v>
      </c>
      <c r="O16" s="165">
        <v>1484254800</v>
      </c>
      <c r="P16" s="165">
        <v>4.88</v>
      </c>
      <c r="Q16" s="165">
        <v>18</v>
      </c>
      <c r="R16" s="165">
        <v>8.1300000000000008</v>
      </c>
    </row>
    <row r="17" spans="1:18" x14ac:dyDescent="0.25">
      <c r="A17" s="165">
        <v>27.59</v>
      </c>
      <c r="B17" s="165">
        <v>0.81</v>
      </c>
      <c r="C17" s="165">
        <v>24.04</v>
      </c>
      <c r="D17" s="8">
        <v>42747.625</v>
      </c>
      <c r="E17" s="165">
        <v>0.67</v>
      </c>
      <c r="F17" s="165" t="s">
        <v>465</v>
      </c>
      <c r="G17" s="165">
        <v>280.37</v>
      </c>
      <c r="H17" s="165">
        <v>2.3E-2</v>
      </c>
      <c r="I17" s="165">
        <v>3.0000000000000001E-3</v>
      </c>
      <c r="J17" s="165">
        <v>0.09</v>
      </c>
      <c r="K17" s="165" t="s">
        <v>465</v>
      </c>
      <c r="L17" s="165">
        <v>1019.45</v>
      </c>
      <c r="M17" s="165" t="s">
        <v>466</v>
      </c>
      <c r="N17" s="165">
        <v>33.64</v>
      </c>
      <c r="O17" s="165">
        <v>1484258400</v>
      </c>
      <c r="P17" s="165">
        <v>3.42</v>
      </c>
      <c r="Q17" s="165">
        <v>13</v>
      </c>
      <c r="R17" s="165">
        <v>6.84</v>
      </c>
    </row>
    <row r="18" spans="1:18" x14ac:dyDescent="0.25">
      <c r="A18" s="165">
        <v>25.92</v>
      </c>
      <c r="B18" s="165">
        <v>0.88</v>
      </c>
      <c r="C18" s="165">
        <v>24.17</v>
      </c>
      <c r="D18" s="8">
        <v>42747.666666666664</v>
      </c>
      <c r="E18" s="165">
        <v>0.72</v>
      </c>
      <c r="F18" s="165" t="s">
        <v>465</v>
      </c>
      <c r="G18" s="165">
        <v>278.73</v>
      </c>
      <c r="H18" s="165">
        <v>7.8E-2</v>
      </c>
      <c r="I18" s="165">
        <v>1.0200000000000001E-2</v>
      </c>
      <c r="J18" s="165">
        <v>0.45</v>
      </c>
      <c r="K18" s="165" t="s">
        <v>465</v>
      </c>
      <c r="L18" s="165">
        <v>1022.16</v>
      </c>
      <c r="M18" s="165" t="s">
        <v>760</v>
      </c>
      <c r="N18" s="165">
        <v>32.090000000000003</v>
      </c>
      <c r="O18" s="165">
        <v>1484262000</v>
      </c>
      <c r="P18" s="165">
        <v>3.06</v>
      </c>
      <c r="Q18" s="165">
        <v>13</v>
      </c>
      <c r="R18" s="165">
        <v>6.55</v>
      </c>
    </row>
    <row r="19" spans="1:18" x14ac:dyDescent="0.25">
      <c r="A19" s="165">
        <v>23.22</v>
      </c>
      <c r="B19" s="165">
        <v>0.93</v>
      </c>
      <c r="C19" s="165">
        <v>22.93</v>
      </c>
      <c r="D19" s="8">
        <v>42747.708333333336</v>
      </c>
      <c r="E19" s="165">
        <v>0.78</v>
      </c>
      <c r="F19" s="165" t="s">
        <v>465</v>
      </c>
      <c r="G19" s="165">
        <v>277.95</v>
      </c>
      <c r="H19" s="165">
        <v>0.23</v>
      </c>
      <c r="I19" s="165">
        <v>2.3900000000000001E-2</v>
      </c>
      <c r="J19" s="165">
        <v>0.55000000000000004</v>
      </c>
      <c r="K19" s="165" t="s">
        <v>465</v>
      </c>
      <c r="L19" s="165">
        <v>1023.81</v>
      </c>
      <c r="M19" s="165" t="s">
        <v>761</v>
      </c>
      <c r="N19" s="165">
        <v>28.76</v>
      </c>
      <c r="O19" s="165">
        <v>1484265600</v>
      </c>
      <c r="P19" s="165">
        <v>1.08</v>
      </c>
      <c r="Q19" s="165">
        <v>21</v>
      </c>
      <c r="R19" s="165">
        <v>5.0599999999999996</v>
      </c>
    </row>
    <row r="20" spans="1:18" x14ac:dyDescent="0.25">
      <c r="A20" s="165">
        <v>21.86</v>
      </c>
      <c r="B20" s="165">
        <v>0.86</v>
      </c>
      <c r="C20" s="165">
        <v>22.14</v>
      </c>
      <c r="D20" s="8">
        <v>42747.75</v>
      </c>
      <c r="E20" s="165">
        <v>0.85</v>
      </c>
      <c r="F20" s="165" t="s">
        <v>465</v>
      </c>
      <c r="G20" s="165">
        <v>278.7</v>
      </c>
      <c r="H20" s="165">
        <v>0.17899999999999999</v>
      </c>
      <c r="I20" s="165">
        <v>1.5599999999999999E-2</v>
      </c>
      <c r="J20" s="165">
        <v>0.5</v>
      </c>
      <c r="K20" s="165" t="s">
        <v>465</v>
      </c>
      <c r="L20" s="165">
        <v>1024.98</v>
      </c>
      <c r="M20" s="165" t="s">
        <v>761</v>
      </c>
      <c r="N20" s="165">
        <v>25.92</v>
      </c>
      <c r="O20" s="165">
        <v>1484269200</v>
      </c>
      <c r="P20" s="165">
        <v>1.21</v>
      </c>
      <c r="Q20" s="165">
        <v>38</v>
      </c>
      <c r="R20" s="165">
        <v>3.39</v>
      </c>
    </row>
    <row r="21" spans="1:18" x14ac:dyDescent="0.25">
      <c r="A21" s="165">
        <v>24.89</v>
      </c>
      <c r="B21" s="165">
        <v>0.72</v>
      </c>
      <c r="C21" s="165">
        <v>21.39</v>
      </c>
      <c r="D21" s="8">
        <v>42747.791666666664</v>
      </c>
      <c r="E21" s="165">
        <v>0.86</v>
      </c>
      <c r="F21" s="165" t="s">
        <v>465</v>
      </c>
      <c r="G21" s="165">
        <v>280.31</v>
      </c>
      <c r="H21" s="165">
        <v>9.9000000000000005E-2</v>
      </c>
      <c r="I21" s="165">
        <v>8.0999999999999996E-3</v>
      </c>
      <c r="J21" s="165">
        <v>0.37</v>
      </c>
      <c r="K21" s="165" t="s">
        <v>465</v>
      </c>
      <c r="L21" s="165">
        <v>1025.45</v>
      </c>
      <c r="M21" s="165" t="s">
        <v>760</v>
      </c>
      <c r="N21" s="165">
        <v>24.89</v>
      </c>
      <c r="O21" s="165">
        <v>1484272800</v>
      </c>
      <c r="P21" s="165">
        <v>1.71</v>
      </c>
      <c r="Q21" s="165">
        <v>87</v>
      </c>
      <c r="R21" s="165">
        <v>2.96</v>
      </c>
    </row>
    <row r="22" spans="1:18" x14ac:dyDescent="0.25">
      <c r="A22" s="165">
        <v>24.5</v>
      </c>
      <c r="B22" s="165">
        <v>0.64</v>
      </c>
      <c r="C22" s="165">
        <v>20.47</v>
      </c>
      <c r="D22" s="8">
        <v>42747.833333333336</v>
      </c>
      <c r="E22" s="165">
        <v>0.84</v>
      </c>
      <c r="F22" s="165" t="s">
        <v>465</v>
      </c>
      <c r="G22" s="165">
        <v>282.02</v>
      </c>
      <c r="H22" s="165">
        <v>5.2999999999999999E-2</v>
      </c>
      <c r="I22" s="165">
        <v>4.3E-3</v>
      </c>
      <c r="J22" s="165">
        <v>0.15</v>
      </c>
      <c r="K22" s="165" t="s">
        <v>465</v>
      </c>
      <c r="L22" s="165">
        <v>1025.76</v>
      </c>
      <c r="M22" s="165" t="s">
        <v>760</v>
      </c>
      <c r="N22" s="165">
        <v>24.5</v>
      </c>
      <c r="O22" s="165">
        <v>1484276400</v>
      </c>
      <c r="P22" s="165">
        <v>2.67</v>
      </c>
      <c r="Q22" s="165">
        <v>92</v>
      </c>
      <c r="R22" s="165">
        <v>2.08</v>
      </c>
    </row>
    <row r="23" spans="1:18" x14ac:dyDescent="0.25">
      <c r="A23" s="165">
        <v>23.92</v>
      </c>
      <c r="B23" s="165">
        <v>0.69</v>
      </c>
      <c r="C23" s="165">
        <v>19.71</v>
      </c>
      <c r="D23" s="8">
        <v>42747.875</v>
      </c>
      <c r="E23" s="165">
        <v>0.84</v>
      </c>
      <c r="F23" s="165" t="s">
        <v>465</v>
      </c>
      <c r="G23" s="165">
        <v>284.01</v>
      </c>
      <c r="H23" s="165">
        <v>1.4999999999999999E-2</v>
      </c>
      <c r="I23" s="165">
        <v>1.1999999999999999E-3</v>
      </c>
      <c r="J23" s="165">
        <v>0.02</v>
      </c>
      <c r="K23" s="165" t="s">
        <v>465</v>
      </c>
      <c r="L23" s="165">
        <v>1026.08</v>
      </c>
      <c r="M23" s="165" t="s">
        <v>466</v>
      </c>
      <c r="N23" s="165">
        <v>23.92</v>
      </c>
      <c r="O23" s="165">
        <v>1484280000</v>
      </c>
      <c r="P23" s="165">
        <v>3.61</v>
      </c>
      <c r="Q23" s="165">
        <v>75</v>
      </c>
      <c r="R23" s="165">
        <v>1.61</v>
      </c>
    </row>
    <row r="24" spans="1:18" x14ac:dyDescent="0.25">
      <c r="A24" s="165">
        <v>23.83</v>
      </c>
      <c r="B24" s="165">
        <v>0.68</v>
      </c>
      <c r="C24" s="165">
        <v>19.72</v>
      </c>
      <c r="D24" s="8">
        <v>42747.916666666664</v>
      </c>
      <c r="E24" s="165">
        <v>0.84</v>
      </c>
      <c r="F24" s="165" t="s">
        <v>230</v>
      </c>
      <c r="G24" s="165">
        <v>286.10000000000002</v>
      </c>
      <c r="H24" s="165">
        <v>0.01</v>
      </c>
      <c r="I24" s="165">
        <v>8.0000000000000004E-4</v>
      </c>
      <c r="J24" s="165">
        <v>0.01</v>
      </c>
      <c r="K24" s="165" t="s">
        <v>465</v>
      </c>
      <c r="L24" s="165">
        <v>1026.21</v>
      </c>
      <c r="M24" s="165" t="s">
        <v>758</v>
      </c>
      <c r="N24" s="165">
        <v>23.83</v>
      </c>
      <c r="O24" s="165">
        <v>1484283600</v>
      </c>
      <c r="P24" s="165">
        <v>3.21</v>
      </c>
      <c r="Q24" s="165">
        <v>80</v>
      </c>
      <c r="R24" s="165">
        <v>1.38</v>
      </c>
    </row>
    <row r="25" spans="1:18" x14ac:dyDescent="0.25">
      <c r="A25" s="165">
        <v>23.67</v>
      </c>
      <c r="B25" s="165">
        <v>0.68</v>
      </c>
      <c r="C25" s="165">
        <v>19.78</v>
      </c>
      <c r="D25" s="8">
        <v>42747.958333333336</v>
      </c>
      <c r="E25" s="165">
        <v>0.85</v>
      </c>
      <c r="F25" s="165" t="s">
        <v>230</v>
      </c>
      <c r="G25" s="165">
        <v>286.98</v>
      </c>
      <c r="H25" s="165"/>
      <c r="I25" s="165">
        <v>0</v>
      </c>
      <c r="J25" s="165">
        <v>0</v>
      </c>
      <c r="K25" s="165"/>
      <c r="L25" s="165">
        <v>1026.19</v>
      </c>
      <c r="M25" s="165" t="s">
        <v>758</v>
      </c>
      <c r="N25" s="165">
        <v>23.67</v>
      </c>
      <c r="O25" s="165">
        <v>1484287200</v>
      </c>
      <c r="P25" s="165">
        <v>7.27</v>
      </c>
      <c r="Q25" s="165">
        <v>31</v>
      </c>
      <c r="R25" s="165">
        <v>1.8</v>
      </c>
    </row>
    <row r="26" spans="1:18" x14ac:dyDescent="0.25">
      <c r="A26" s="165">
        <v>18.309999999999999</v>
      </c>
      <c r="B26" s="165">
        <v>0.76</v>
      </c>
      <c r="C26" s="165">
        <v>18.28</v>
      </c>
      <c r="D26" s="8">
        <v>42748</v>
      </c>
      <c r="E26" s="165">
        <v>0.84</v>
      </c>
      <c r="F26" s="165" t="s">
        <v>230</v>
      </c>
      <c r="G26" s="165">
        <v>285.02999999999997</v>
      </c>
      <c r="H26" s="165"/>
      <c r="I26" s="165">
        <v>0</v>
      </c>
      <c r="J26" s="165">
        <v>0</v>
      </c>
      <c r="K26" s="165"/>
      <c r="L26" s="165">
        <v>1025.95</v>
      </c>
      <c r="M26" s="165" t="s">
        <v>758</v>
      </c>
      <c r="N26" s="165">
        <v>22.43</v>
      </c>
      <c r="O26" s="165">
        <v>1484290800</v>
      </c>
      <c r="P26" s="165">
        <v>3.25</v>
      </c>
      <c r="Q26" s="165">
        <v>353</v>
      </c>
      <c r="R26" s="165">
        <v>3.11</v>
      </c>
    </row>
    <row r="27" spans="1:18" x14ac:dyDescent="0.25">
      <c r="A27" s="165">
        <v>22.64</v>
      </c>
      <c r="B27" s="165">
        <v>0.77</v>
      </c>
      <c r="C27" s="165">
        <v>18.52</v>
      </c>
      <c r="D27" s="8">
        <v>42748.041666666664</v>
      </c>
      <c r="E27" s="165">
        <v>0.84</v>
      </c>
      <c r="F27" s="165" t="s">
        <v>230</v>
      </c>
      <c r="G27" s="165">
        <v>283.07</v>
      </c>
      <c r="H27" s="165"/>
      <c r="I27" s="165">
        <v>0</v>
      </c>
      <c r="J27" s="165">
        <v>0</v>
      </c>
      <c r="K27" s="165"/>
      <c r="L27" s="165">
        <v>1025.77</v>
      </c>
      <c r="M27" s="165" t="s">
        <v>758</v>
      </c>
      <c r="N27" s="165">
        <v>22.64</v>
      </c>
      <c r="O27" s="165">
        <v>1484294400</v>
      </c>
      <c r="P27" s="165">
        <v>3.07</v>
      </c>
      <c r="Q27" s="165">
        <v>336</v>
      </c>
      <c r="R27" s="165">
        <v>1.38</v>
      </c>
    </row>
    <row r="28" spans="1:18" x14ac:dyDescent="0.25">
      <c r="A28" s="165">
        <v>23.42</v>
      </c>
      <c r="B28" s="165">
        <v>0.73</v>
      </c>
      <c r="C28" s="165">
        <v>19.53</v>
      </c>
      <c r="D28" s="8">
        <v>42748.083333333336</v>
      </c>
      <c r="E28" s="165">
        <v>0.85</v>
      </c>
      <c r="F28" s="165" t="s">
        <v>230</v>
      </c>
      <c r="G28" s="165">
        <v>281.12</v>
      </c>
      <c r="H28" s="165"/>
      <c r="I28" s="165">
        <v>0</v>
      </c>
      <c r="J28" s="165">
        <v>0</v>
      </c>
      <c r="K28" s="165"/>
      <c r="L28" s="165">
        <v>1025.6199999999999</v>
      </c>
      <c r="M28" s="165" t="s">
        <v>758</v>
      </c>
      <c r="N28" s="165">
        <v>23.42</v>
      </c>
      <c r="O28" s="165">
        <v>1484298000</v>
      </c>
      <c r="P28" s="165">
        <v>2.7</v>
      </c>
      <c r="Q28" s="165">
        <v>344</v>
      </c>
      <c r="R28" s="165">
        <v>2.1</v>
      </c>
    </row>
    <row r="29" spans="1:18" x14ac:dyDescent="0.25">
      <c r="A29" s="165">
        <v>22.56</v>
      </c>
      <c r="B29" s="165">
        <v>0.76</v>
      </c>
      <c r="C29" s="165">
        <v>18.649999999999999</v>
      </c>
      <c r="D29" s="8">
        <v>42748.125</v>
      </c>
      <c r="E29" s="165">
        <v>0.85</v>
      </c>
      <c r="F29" s="165" t="s">
        <v>230</v>
      </c>
      <c r="G29" s="165">
        <v>278.45</v>
      </c>
      <c r="H29" s="165"/>
      <c r="I29" s="165">
        <v>0</v>
      </c>
      <c r="J29" s="165">
        <v>0</v>
      </c>
      <c r="K29" s="165"/>
      <c r="L29" s="165">
        <v>1025.77</v>
      </c>
      <c r="M29" s="165" t="s">
        <v>758</v>
      </c>
      <c r="N29" s="165">
        <v>22.56</v>
      </c>
      <c r="O29" s="165">
        <v>1484301600</v>
      </c>
      <c r="P29" s="165">
        <v>4.2300000000000004</v>
      </c>
      <c r="Q29" s="165">
        <v>5</v>
      </c>
      <c r="R29" s="165">
        <v>1.38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2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42747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927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928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929</v>
      </c>
      <c r="J20" s="165" t="s">
        <v>87</v>
      </c>
      <c r="M20" s="165" t="s">
        <v>269</v>
      </c>
    </row>
    <row r="21" spans="3:13" x14ac:dyDescent="0.25">
      <c r="C21" t="s">
        <v>930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931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932</v>
      </c>
      <c r="J23" s="188" t="s">
        <v>95</v>
      </c>
      <c r="M23" s="165">
        <v>-7</v>
      </c>
    </row>
    <row r="24" spans="3:13" x14ac:dyDescent="0.25">
      <c r="C24" t="s">
        <v>933</v>
      </c>
      <c r="J24" s="165" t="s">
        <v>108</v>
      </c>
      <c r="M24" s="165" t="s">
        <v>110</v>
      </c>
    </row>
    <row r="25" spans="3:13" x14ac:dyDescent="0.25">
      <c r="C25" t="s">
        <v>934</v>
      </c>
      <c r="J25" s="165" t="s">
        <v>151</v>
      </c>
      <c r="M25" s="165" t="b">
        <v>1</v>
      </c>
    </row>
    <row r="26" spans="3:13" x14ac:dyDescent="0.25">
      <c r="C26" t="s">
        <v>935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C:\Users\stu\Documents\GitHub\eaglep3-reporting\EC\2017-01-12-refined-times.txt</v>
      </c>
    </row>
    <row r="27" spans="3:13" x14ac:dyDescent="0.25">
      <c r="C27" t="s">
        <v>936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C:\Users\stu\Documents\GitHub\eaglep3-reporting\EC\2017-01-12-Enforcements.txt</v>
      </c>
    </row>
    <row r="28" spans="3:13" x14ac:dyDescent="0.25">
      <c r="C28" t="s">
        <v>937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C:\Users\stu\Documents\GitHub\eaglep3-reporting\EC\2017-01-12-Runs-refined.txt</v>
      </c>
    </row>
    <row r="29" spans="3:13" x14ac:dyDescent="0.25">
      <c r="C29" t="s">
        <v>938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C:\Users\stu\Documents\GitHub\eaglep3-reporting\EC\2017-01-12-Trips.txt</v>
      </c>
    </row>
    <row r="30" spans="3:13" x14ac:dyDescent="0.25">
      <c r="C30" t="s">
        <v>939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C:\Users\stu\Documents\GitHub\eaglep3-reporting\EC\2017-01-12-Weather.txt</v>
      </c>
    </row>
    <row r="31" spans="3:13" x14ac:dyDescent="0.25">
      <c r="C31" t="s">
        <v>940</v>
      </c>
      <c r="J31" s="165" t="s">
        <v>267</v>
      </c>
      <c r="M31" s="165" t="s">
        <v>268</v>
      </c>
    </row>
    <row r="32" spans="3:13" x14ac:dyDescent="0.25">
      <c r="C32" t="s">
        <v>941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28" workbookViewId="0">
      <selection activeCell="C49" sqref="C4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363</v>
      </c>
      <c r="B1" t="str">
        <f t="shared" ref="B1:B30" si="0">MID(A1,6,23)</f>
        <v>2017/01/10 12:42:02.892</v>
      </c>
      <c r="C1" t="e">
        <f>ABS(B1-#REF!)</f>
        <v>#REF!</v>
      </c>
    </row>
    <row r="2" spans="1:3" x14ac:dyDescent="0.25">
      <c r="A2" t="s">
        <v>364</v>
      </c>
      <c r="B2" s="21" t="str">
        <f t="shared" si="0"/>
        <v>2017/01/10 12:42:03.025</v>
      </c>
      <c r="C2">
        <f>ABS(B2-B1)</f>
        <v>1.5393525245599449E-6</v>
      </c>
    </row>
    <row r="3" spans="1:3" x14ac:dyDescent="0.25">
      <c r="A3" t="s">
        <v>365</v>
      </c>
      <c r="B3" s="21" t="str">
        <f t="shared" si="0"/>
        <v>2017/01/10 12:42:03.746</v>
      </c>
      <c r="C3" s="21">
        <f t="shared" ref="C3:C30" si="1">ABS(B3-B2)</f>
        <v>8.3449049270711839E-6</v>
      </c>
    </row>
    <row r="4" spans="1:3" x14ac:dyDescent="0.25">
      <c r="A4" t="s">
        <v>366</v>
      </c>
      <c r="B4" s="21" t="str">
        <f t="shared" si="0"/>
        <v>2017/01/10 13:01:51.871</v>
      </c>
      <c r="C4" s="21">
        <f t="shared" si="1"/>
        <v>1.375144676421769E-2</v>
      </c>
    </row>
    <row r="5" spans="1:3" x14ac:dyDescent="0.25">
      <c r="A5" t="s">
        <v>367</v>
      </c>
      <c r="B5" s="21" t="str">
        <f t="shared" si="0"/>
        <v>2017/01/10 13:01:52.025</v>
      </c>
      <c r="C5" s="21">
        <f t="shared" si="1"/>
        <v>1.7824058886617422E-6</v>
      </c>
    </row>
    <row r="6" spans="1:3" x14ac:dyDescent="0.25">
      <c r="A6" t="s">
        <v>368</v>
      </c>
      <c r="B6" s="21" t="str">
        <f t="shared" si="0"/>
        <v>2017/01/10 13:22:57.748</v>
      </c>
      <c r="C6" s="21">
        <f t="shared" si="1"/>
        <v>1.4649571756308433E-2</v>
      </c>
    </row>
    <row r="7" spans="1:3" x14ac:dyDescent="0.25">
      <c r="A7" t="s">
        <v>369</v>
      </c>
      <c r="B7" s="21" t="str">
        <f t="shared" si="0"/>
        <v>2017/01/10 13:22:57.881</v>
      </c>
      <c r="C7" s="21">
        <f t="shared" si="1"/>
        <v>1.5393525245599449E-6</v>
      </c>
    </row>
    <row r="8" spans="1:3" x14ac:dyDescent="0.25">
      <c r="A8" t="s">
        <v>370</v>
      </c>
      <c r="B8" s="21" t="str">
        <f t="shared" si="0"/>
        <v>2017/01/10 13:22:58.000</v>
      </c>
      <c r="C8" s="21">
        <f t="shared" si="1"/>
        <v>1.37731694849208E-6</v>
      </c>
    </row>
    <row r="9" spans="1:3" x14ac:dyDescent="0.25">
      <c r="A9" t="s">
        <v>371</v>
      </c>
      <c r="B9" s="21" t="str">
        <f t="shared" si="0"/>
        <v>2017/01/10 14:25:55.803</v>
      </c>
      <c r="C9" s="21">
        <f t="shared" si="1"/>
        <v>4.372457176214084E-2</v>
      </c>
    </row>
    <row r="10" spans="1:3" x14ac:dyDescent="0.25">
      <c r="A10" t="s">
        <v>372</v>
      </c>
      <c r="B10" s="21" t="str">
        <f t="shared" si="0"/>
        <v>2017/01/10 14:25:56.997</v>
      </c>
      <c r="C10" s="21">
        <f t="shared" si="1"/>
        <v>1.3819444575347006E-5</v>
      </c>
    </row>
    <row r="11" spans="1:3" x14ac:dyDescent="0.25">
      <c r="A11" t="s">
        <v>373</v>
      </c>
      <c r="B11" s="21" t="str">
        <f t="shared" si="0"/>
        <v>2017/01/10 15:36:41.509</v>
      </c>
      <c r="C11" s="21">
        <f t="shared" si="1"/>
        <v>4.9126296289614402E-2</v>
      </c>
    </row>
    <row r="12" spans="1:3" x14ac:dyDescent="0.25">
      <c r="A12" t="s">
        <v>374</v>
      </c>
      <c r="B12" s="21" t="str">
        <f t="shared" si="0"/>
        <v>2017/01/10 15:36:43.105</v>
      </c>
      <c r="C12" s="21">
        <f t="shared" si="1"/>
        <v>1.8472223018761724E-5</v>
      </c>
    </row>
    <row r="13" spans="1:3" x14ac:dyDescent="0.25">
      <c r="A13" t="s">
        <v>375</v>
      </c>
      <c r="B13" s="21" t="str">
        <f t="shared" si="0"/>
        <v>2017/01/10 15:51:34.491</v>
      </c>
      <c r="C13" s="21">
        <f t="shared" si="1"/>
        <v>1.0316967593098525E-2</v>
      </c>
    </row>
    <row r="14" spans="1:3" x14ac:dyDescent="0.25">
      <c r="A14" t="s">
        <v>376</v>
      </c>
      <c r="B14" s="21" t="str">
        <f t="shared" si="0"/>
        <v>2017/01/10 15:51:35.077</v>
      </c>
      <c r="C14" s="21">
        <f t="shared" si="1"/>
        <v>6.7824075813405216E-6</v>
      </c>
    </row>
    <row r="15" spans="1:3" x14ac:dyDescent="0.25">
      <c r="A15" t="s">
        <v>377</v>
      </c>
      <c r="B15" s="21" t="str">
        <f t="shared" si="0"/>
        <v>2017/01/10 16:34:31.272</v>
      </c>
      <c r="C15" s="21">
        <f t="shared" si="1"/>
        <v>2.9817071757861413E-2</v>
      </c>
    </row>
    <row r="16" spans="1:3" x14ac:dyDescent="0.25">
      <c r="A16" t="s">
        <v>378</v>
      </c>
      <c r="B16" s="21" t="str">
        <f t="shared" si="0"/>
        <v>2017/01/10 16:34:31.282</v>
      </c>
      <c r="C16" s="21">
        <f t="shared" si="1"/>
        <v>1.1574593372642994E-7</v>
      </c>
    </row>
    <row r="17" spans="1:3" x14ac:dyDescent="0.25">
      <c r="A17" t="s">
        <v>379</v>
      </c>
      <c r="B17" s="21" t="str">
        <f t="shared" si="0"/>
        <v>2017/01/10 16:34:33.543</v>
      </c>
      <c r="C17" s="21">
        <f t="shared" si="1"/>
        <v>2.6168978365603834E-5</v>
      </c>
    </row>
    <row r="18" spans="1:3" x14ac:dyDescent="0.25">
      <c r="A18" t="s">
        <v>380</v>
      </c>
      <c r="B18" s="21" t="str">
        <f t="shared" si="0"/>
        <v>2017/01/10 19:19:23.663</v>
      </c>
      <c r="C18" s="21">
        <f t="shared" si="1"/>
        <v>0.11446898148278706</v>
      </c>
    </row>
    <row r="19" spans="1:3" x14ac:dyDescent="0.25">
      <c r="A19" t="s">
        <v>381</v>
      </c>
      <c r="B19" s="21" t="str">
        <f t="shared" si="0"/>
        <v>2017/01/10 19:19:24.351</v>
      </c>
      <c r="C19" s="21">
        <f t="shared" si="1"/>
        <v>7.9629608080722392E-6</v>
      </c>
    </row>
    <row r="20" spans="1:3" x14ac:dyDescent="0.25">
      <c r="A20" t="s">
        <v>382</v>
      </c>
      <c r="B20" s="21" t="str">
        <f t="shared" si="0"/>
        <v>2017/01/10 19:19:24.519</v>
      </c>
      <c r="C20" s="21">
        <f t="shared" si="1"/>
        <v>1.9444487406872213E-6</v>
      </c>
    </row>
    <row r="21" spans="1:3" x14ac:dyDescent="0.25">
      <c r="A21" t="s">
        <v>383</v>
      </c>
      <c r="B21" s="21" t="str">
        <f t="shared" si="0"/>
        <v>2017/01/10 20:37:43.970</v>
      </c>
      <c r="C21" s="21">
        <f t="shared" si="1"/>
        <v>5.4391793979448266E-2</v>
      </c>
    </row>
    <row r="22" spans="1:3" x14ac:dyDescent="0.25">
      <c r="A22" t="s">
        <v>384</v>
      </c>
      <c r="B22" s="21" t="str">
        <f t="shared" si="0"/>
        <v>2017/01/10 20:37:44.491</v>
      </c>
      <c r="C22" s="21">
        <f t="shared" si="1"/>
        <v>6.0300953919067979E-6</v>
      </c>
    </row>
    <row r="23" spans="1:3" x14ac:dyDescent="0.25">
      <c r="A23" t="s">
        <v>385</v>
      </c>
      <c r="B23" s="21" t="str">
        <f t="shared" si="0"/>
        <v>2017/01/10 22:25:56.018</v>
      </c>
      <c r="C23" s="21">
        <f t="shared" si="1"/>
        <v>7.5133414349693339E-2</v>
      </c>
    </row>
    <row r="24" spans="1:3" x14ac:dyDescent="0.25">
      <c r="A24" t="s">
        <v>386</v>
      </c>
      <c r="B24" s="21" t="str">
        <f t="shared" si="0"/>
        <v>2017/01/10 22:25:56.485</v>
      </c>
      <c r="C24" s="21">
        <f t="shared" si="1"/>
        <v>5.4050906328484416E-6</v>
      </c>
    </row>
    <row r="25" spans="1:3" x14ac:dyDescent="0.25">
      <c r="A25" t="s">
        <v>387</v>
      </c>
      <c r="B25" s="21" t="str">
        <f t="shared" si="0"/>
        <v>2017/01/10 22:31:19.461</v>
      </c>
      <c r="C25" s="21">
        <f t="shared" si="1"/>
        <v>3.7381481524789706E-3</v>
      </c>
    </row>
    <row r="26" spans="1:3" x14ac:dyDescent="0.25">
      <c r="A26" t="s">
        <v>388</v>
      </c>
      <c r="B26" s="21" t="str">
        <f t="shared" si="0"/>
        <v>2017/01/10 22:31:19.761</v>
      </c>
      <c r="C26" s="21">
        <f t="shared" si="1"/>
        <v>3.4722179407253861E-6</v>
      </c>
    </row>
    <row r="27" spans="1:3" x14ac:dyDescent="0.25">
      <c r="A27" t="s">
        <v>389</v>
      </c>
      <c r="B27" s="21" t="str">
        <f t="shared" si="0"/>
        <v>2017/01/10 22:31:20.440</v>
      </c>
      <c r="C27" s="21">
        <f t="shared" si="1"/>
        <v>7.8587981988675892E-6</v>
      </c>
    </row>
    <row r="28" spans="1:3" x14ac:dyDescent="0.25">
      <c r="A28" t="s">
        <v>390</v>
      </c>
      <c r="B28" s="21" t="str">
        <f t="shared" si="0"/>
        <v>2017/01/10 22:35:23.684</v>
      </c>
      <c r="C28" s="21">
        <f t="shared" si="1"/>
        <v>2.8153240709798411E-3</v>
      </c>
    </row>
    <row r="29" spans="1:3" x14ac:dyDescent="0.25">
      <c r="A29" t="s">
        <v>391</v>
      </c>
      <c r="B29" s="21" t="str">
        <f t="shared" si="0"/>
        <v>2017/01/10 22:35:23.941</v>
      </c>
      <c r="C29" s="21">
        <f t="shared" si="1"/>
        <v>2.9745424399152398E-6</v>
      </c>
    </row>
    <row r="30" spans="1:3" x14ac:dyDescent="0.25">
      <c r="A30" t="s">
        <v>392</v>
      </c>
      <c r="B30" s="21" t="str">
        <f t="shared" si="0"/>
        <v>2017/01/10 22:35:24.137</v>
      </c>
      <c r="C30" s="21">
        <f t="shared" si="1"/>
        <v>2.2685126168653369E-6</v>
      </c>
    </row>
    <row r="31" spans="1:3" x14ac:dyDescent="0.25">
      <c r="A31" t="s">
        <v>393</v>
      </c>
      <c r="B31" s="21" t="str">
        <f t="shared" ref="B31:B83" si="2">MID(A31,6,23)</f>
        <v>2017/01/10 22:41:32.473</v>
      </c>
      <c r="C31" s="21">
        <f t="shared" ref="C31:C83" si="3">ABS(B31-B30)</f>
        <v>4.2631481483113021E-3</v>
      </c>
    </row>
    <row r="32" spans="1:3" x14ac:dyDescent="0.25">
      <c r="A32" t="s">
        <v>394</v>
      </c>
      <c r="B32" s="21" t="str">
        <f t="shared" si="2"/>
        <v>2017/01/10 22:45:08.194</v>
      </c>
      <c r="C32" s="21">
        <f t="shared" si="3"/>
        <v>2.4967708377516828E-3</v>
      </c>
    </row>
    <row r="33" spans="1:3" x14ac:dyDescent="0.25">
      <c r="A33" t="s">
        <v>395</v>
      </c>
      <c r="B33" s="21" t="str">
        <f t="shared" si="2"/>
        <v>2017/01/10 22:45:08.221</v>
      </c>
      <c r="C33" s="21">
        <f t="shared" si="3"/>
        <v>3.1249510357156396E-7</v>
      </c>
    </row>
    <row r="34" spans="1:3" x14ac:dyDescent="0.25">
      <c r="A34" t="s">
        <v>396</v>
      </c>
      <c r="B34" s="21" t="str">
        <f t="shared" si="2"/>
        <v>2017/01/10 22:45:08.445</v>
      </c>
      <c r="C34" s="21">
        <f t="shared" si="3"/>
        <v>2.5925983209162951E-6</v>
      </c>
    </row>
    <row r="35" spans="1:3" x14ac:dyDescent="0.25">
      <c r="A35" t="s">
        <v>397</v>
      </c>
      <c r="B35" s="21" t="str">
        <f t="shared" si="2"/>
        <v>2017/01/10 23:08:05.992</v>
      </c>
      <c r="C35" s="21">
        <f t="shared" si="3"/>
        <v>1.5943831014737953E-2</v>
      </c>
    </row>
    <row r="36" spans="1:3" x14ac:dyDescent="0.25">
      <c r="A36" t="s">
        <v>398</v>
      </c>
      <c r="B36" s="21" t="str">
        <f t="shared" si="2"/>
        <v>2017/01/10 23:08:06.030</v>
      </c>
      <c r="C36" s="21">
        <f t="shared" si="3"/>
        <v>4.3981708586215973E-7</v>
      </c>
    </row>
    <row r="37" spans="1:3" x14ac:dyDescent="0.25">
      <c r="A37" t="s">
        <v>399</v>
      </c>
      <c r="B37" s="21" t="str">
        <f t="shared" si="2"/>
        <v>2017/01/10 23:08:06.400</v>
      </c>
      <c r="C37" s="21">
        <f t="shared" si="3"/>
        <v>4.2824030970223248E-6</v>
      </c>
    </row>
    <row r="38" spans="1:3" x14ac:dyDescent="0.25">
      <c r="A38" t="s">
        <v>400</v>
      </c>
      <c r="B38" s="21" t="str">
        <f t="shared" si="2"/>
        <v>2017/01/10 23:10:35.217</v>
      </c>
      <c r="C38" s="21">
        <f t="shared" si="3"/>
        <v>1.7224189869011752E-3</v>
      </c>
    </row>
    <row r="39" spans="1:3" x14ac:dyDescent="0.25">
      <c r="A39" t="s">
        <v>401</v>
      </c>
      <c r="B39" s="21" t="str">
        <f t="shared" si="2"/>
        <v>2017/01/10 23:10:35.347</v>
      </c>
      <c r="C39" s="21">
        <f t="shared" si="3"/>
        <v>1.5046243788674474E-6</v>
      </c>
    </row>
    <row r="40" spans="1:3" x14ac:dyDescent="0.25">
      <c r="A40" t="s">
        <v>402</v>
      </c>
      <c r="B40" s="21" t="str">
        <f t="shared" si="2"/>
        <v>2017/01/10 23:14:08.211</v>
      </c>
      <c r="C40" s="21">
        <f t="shared" si="3"/>
        <v>2.4637037058710121E-3</v>
      </c>
    </row>
    <row r="41" spans="1:3" x14ac:dyDescent="0.25">
      <c r="A41" t="s">
        <v>403</v>
      </c>
      <c r="B41" s="21" t="str">
        <f t="shared" si="2"/>
        <v>2017/01/10 23:14:08.348</v>
      </c>
      <c r="C41" s="21">
        <f t="shared" si="3"/>
        <v>1.585649442858994E-6</v>
      </c>
    </row>
    <row r="42" spans="1:3" x14ac:dyDescent="0.25">
      <c r="A42" t="s">
        <v>404</v>
      </c>
      <c r="B42" s="21" t="str">
        <f t="shared" si="2"/>
        <v>2017/01/10 23:17:36.333</v>
      </c>
      <c r="C42" s="21">
        <f t="shared" si="3"/>
        <v>2.4072337982943282E-3</v>
      </c>
    </row>
    <row r="43" spans="1:3" x14ac:dyDescent="0.25">
      <c r="A43" t="s">
        <v>405</v>
      </c>
      <c r="B43" s="21" t="str">
        <f t="shared" si="2"/>
        <v>2017/01/10 23:17:36.357</v>
      </c>
      <c r="C43" s="21">
        <f t="shared" si="3"/>
        <v>2.7777423383668065E-7</v>
      </c>
    </row>
    <row r="44" spans="1:3" x14ac:dyDescent="0.25">
      <c r="A44" t="s">
        <v>406</v>
      </c>
      <c r="B44" s="21" t="str">
        <f t="shared" si="2"/>
        <v>2017/01/10 23:17:36.518</v>
      </c>
      <c r="C44" s="21">
        <f t="shared" si="3"/>
        <v>1.8634236766956747E-6</v>
      </c>
    </row>
    <row r="45" spans="1:3" x14ac:dyDescent="0.25">
      <c r="A45" t="s">
        <v>407</v>
      </c>
      <c r="B45" s="21" t="str">
        <f t="shared" si="2"/>
        <v>2017/01/10 23:20:08.334</v>
      </c>
      <c r="C45" s="21">
        <f t="shared" si="3"/>
        <v>1.7571296339156106E-3</v>
      </c>
    </row>
    <row r="46" spans="1:3" x14ac:dyDescent="0.25">
      <c r="A46" t="s">
        <v>408</v>
      </c>
      <c r="B46" s="21" t="str">
        <f t="shared" si="2"/>
        <v>2017/01/10 23:20:08.351</v>
      </c>
      <c r="C46" s="21">
        <f t="shared" si="3"/>
        <v>1.967564458027482E-7</v>
      </c>
    </row>
    <row r="47" spans="1:3" x14ac:dyDescent="0.25">
      <c r="A47" t="s">
        <v>409</v>
      </c>
      <c r="B47" s="21" t="str">
        <f t="shared" si="2"/>
        <v>2017/01/10 23:20:08.512</v>
      </c>
      <c r="C47" s="21">
        <f t="shared" si="3"/>
        <v>1.8634309526532888E-6</v>
      </c>
    </row>
    <row r="48" spans="1:3" x14ac:dyDescent="0.25">
      <c r="A48" t="s">
        <v>410</v>
      </c>
      <c r="B48" s="21" t="str">
        <f t="shared" si="2"/>
        <v>2017/01/10 23:25:00.948</v>
      </c>
      <c r="C48" s="21">
        <f t="shared" si="3"/>
        <v>3.3846759251900949E-3</v>
      </c>
    </row>
    <row r="49" spans="1:3" x14ac:dyDescent="0.25">
      <c r="A49" t="s">
        <v>411</v>
      </c>
      <c r="B49" s="21" t="str">
        <f t="shared" si="2"/>
        <v>2017/01/10 23:25:01.146</v>
      </c>
      <c r="C49" s="21">
        <f t="shared" si="3"/>
        <v>2.2916647139936686E-6</v>
      </c>
    </row>
    <row r="50" spans="1:3" x14ac:dyDescent="0.25">
      <c r="A50" t="s">
        <v>412</v>
      </c>
      <c r="B50" s="21" t="str">
        <f t="shared" si="2"/>
        <v>2017/01/10 23:25:50.682</v>
      </c>
      <c r="C50" s="21">
        <f t="shared" si="3"/>
        <v>5.7333333097631112E-4</v>
      </c>
    </row>
    <row r="51" spans="1:3" x14ac:dyDescent="0.25">
      <c r="A51" t="s">
        <v>413</v>
      </c>
      <c r="B51" s="21" t="str">
        <f t="shared" si="2"/>
        <v>2017/01/10 23:25:50.945</v>
      </c>
      <c r="C51" s="21">
        <f t="shared" si="3"/>
        <v>3.0439841793850064E-6</v>
      </c>
    </row>
    <row r="52" spans="1:3" x14ac:dyDescent="0.25">
      <c r="A52" t="s">
        <v>414</v>
      </c>
      <c r="B52" s="21" t="str">
        <f t="shared" si="2"/>
        <v>2017/01/10 23:25:51.145</v>
      </c>
      <c r="C52" s="21">
        <f t="shared" si="3"/>
        <v>2.3148168111220002E-6</v>
      </c>
    </row>
    <row r="53" spans="1:3" x14ac:dyDescent="0.25">
      <c r="A53" t="s">
        <v>415</v>
      </c>
      <c r="B53" s="21" t="str">
        <f t="shared" si="2"/>
        <v>2017/01/10 23:26:27.332</v>
      </c>
      <c r="C53" s="21">
        <f t="shared" si="3"/>
        <v>4.1883101221174002E-4</v>
      </c>
    </row>
    <row r="54" spans="1:3" x14ac:dyDescent="0.25">
      <c r="A54" t="s">
        <v>416</v>
      </c>
      <c r="B54" s="21" t="str">
        <f t="shared" si="2"/>
        <v>2017/01/10 23:26:27.339</v>
      </c>
      <c r="C54" s="21">
        <f t="shared" si="3"/>
        <v>8.1025063991546631E-8</v>
      </c>
    </row>
    <row r="55" spans="1:3" x14ac:dyDescent="0.25">
      <c r="A55" t="s">
        <v>417</v>
      </c>
      <c r="B55" s="21" t="str">
        <f t="shared" si="2"/>
        <v>2017/01/10 23:26:27.503</v>
      </c>
      <c r="C55" s="21">
        <f t="shared" si="3"/>
        <v>1.898144546430558E-6</v>
      </c>
    </row>
    <row r="56" spans="1:3" x14ac:dyDescent="0.25">
      <c r="A56" t="s">
        <v>418</v>
      </c>
      <c r="B56" s="21" t="str">
        <f t="shared" si="2"/>
        <v>2017/01/10 23:32:17.975</v>
      </c>
      <c r="C56" s="21">
        <f t="shared" si="3"/>
        <v>4.0563888906035572E-3</v>
      </c>
    </row>
    <row r="57" spans="1:3" x14ac:dyDescent="0.25">
      <c r="A57" t="s">
        <v>419</v>
      </c>
      <c r="B57" s="21" t="str">
        <f t="shared" si="2"/>
        <v>2017/01/10 23:32:18.006</v>
      </c>
      <c r="C57" s="21">
        <f t="shared" si="3"/>
        <v>3.587920218706131E-7</v>
      </c>
    </row>
    <row r="58" spans="1:3" x14ac:dyDescent="0.25">
      <c r="A58" t="s">
        <v>420</v>
      </c>
      <c r="B58" s="21" t="str">
        <f t="shared" si="2"/>
        <v>2017/01/11 00:05:56.877</v>
      </c>
      <c r="C58" s="21">
        <f t="shared" si="3"/>
        <v>2.3366562505543698E-2</v>
      </c>
    </row>
    <row r="59" spans="1:3" x14ac:dyDescent="0.25">
      <c r="A59" t="s">
        <v>421</v>
      </c>
      <c r="B59" s="21" t="str">
        <f t="shared" si="2"/>
        <v>2017/01/11 00:05:57.021</v>
      </c>
      <c r="C59" s="21">
        <f t="shared" si="3"/>
        <v>1.6666672308929265E-6</v>
      </c>
    </row>
    <row r="60" spans="1:3" x14ac:dyDescent="0.25">
      <c r="A60" t="s">
        <v>422</v>
      </c>
      <c r="B60" s="21" t="str">
        <f t="shared" si="2"/>
        <v>2017/01/11 00:05:57.196</v>
      </c>
      <c r="C60" s="21">
        <f t="shared" si="3"/>
        <v>2.0254592527635396E-6</v>
      </c>
    </row>
    <row r="61" spans="1:3" x14ac:dyDescent="0.25">
      <c r="A61" t="s">
        <v>423</v>
      </c>
      <c r="B61" s="21" t="str">
        <f t="shared" si="2"/>
        <v>2017/01/11 00:06:29.023</v>
      </c>
      <c r="C61" s="21">
        <f t="shared" si="3"/>
        <v>3.6836805520579219E-4</v>
      </c>
    </row>
    <row r="62" spans="1:3" x14ac:dyDescent="0.25">
      <c r="A62" t="s">
        <v>424</v>
      </c>
      <c r="B62" s="21" t="str">
        <f t="shared" si="2"/>
        <v>2017/01/11 00:06:32.195</v>
      </c>
      <c r="C62" s="21">
        <f t="shared" si="3"/>
        <v>3.6712961446028203E-5</v>
      </c>
    </row>
    <row r="63" spans="1:3" x14ac:dyDescent="0.25">
      <c r="A63" t="s">
        <v>425</v>
      </c>
      <c r="B63" s="21" t="str">
        <f t="shared" si="2"/>
        <v>2017/01/11 00:06:32.867</v>
      </c>
      <c r="C63" s="21">
        <f t="shared" si="3"/>
        <v>7.7777804108336568E-6</v>
      </c>
    </row>
    <row r="64" spans="1:3" x14ac:dyDescent="0.25">
      <c r="A64" t="s">
        <v>426</v>
      </c>
      <c r="B64" s="21" t="str">
        <f t="shared" si="2"/>
        <v>2017/01/11 00:20:13.689</v>
      </c>
      <c r="C64" s="21">
        <f t="shared" si="3"/>
        <v>9.5002546295290813E-3</v>
      </c>
    </row>
    <row r="65" spans="1:3" x14ac:dyDescent="0.25">
      <c r="A65" t="s">
        <v>427</v>
      </c>
      <c r="B65" s="21" t="str">
        <f t="shared" si="2"/>
        <v>2017/01/11 00:20:13.948</v>
      </c>
      <c r="C65" s="21">
        <f t="shared" si="3"/>
        <v>2.9976872610859573E-6</v>
      </c>
    </row>
    <row r="66" spans="1:3" x14ac:dyDescent="0.25">
      <c r="A66" t="s">
        <v>428</v>
      </c>
      <c r="B66" s="21" t="str">
        <f t="shared" si="2"/>
        <v>2017/01/11 00:20:13.960</v>
      </c>
      <c r="C66" s="21">
        <f t="shared" si="3"/>
        <v>1.3888347893953323E-7</v>
      </c>
    </row>
    <row r="67" spans="1:3" x14ac:dyDescent="0.25">
      <c r="A67" t="s">
        <v>429</v>
      </c>
      <c r="B67" s="21" t="str">
        <f t="shared" si="2"/>
        <v>2017/01/11 00:20:14.148</v>
      </c>
      <c r="C67" s="21">
        <f t="shared" si="3"/>
        <v>2.1759260562248528E-6</v>
      </c>
    </row>
    <row r="68" spans="1:3" x14ac:dyDescent="0.25">
      <c r="A68" t="s">
        <v>430</v>
      </c>
      <c r="B68" s="21" t="str">
        <f t="shared" si="2"/>
        <v>2017/01/11 00:20:14.162</v>
      </c>
      <c r="C68" s="21">
        <f t="shared" si="3"/>
        <v>1.6204285202547908E-7</v>
      </c>
    </row>
    <row r="69" spans="1:3" x14ac:dyDescent="0.25">
      <c r="A69" t="s">
        <v>431</v>
      </c>
      <c r="B69" s="21" t="str">
        <f t="shared" si="2"/>
        <v>2017/01/11 00:21:17.949</v>
      </c>
      <c r="C69" s="21">
        <f t="shared" si="3"/>
        <v>7.3827546293614432E-4</v>
      </c>
    </row>
    <row r="70" spans="1:3" x14ac:dyDescent="0.25">
      <c r="A70" t="s">
        <v>432</v>
      </c>
      <c r="B70" s="21" t="str">
        <f t="shared" si="2"/>
        <v>2017/01/11 00:21:18.145</v>
      </c>
      <c r="C70" s="21">
        <f t="shared" si="3"/>
        <v>2.2685126168653369E-6</v>
      </c>
    </row>
    <row r="71" spans="1:3" x14ac:dyDescent="0.25">
      <c r="A71" t="s">
        <v>433</v>
      </c>
      <c r="B71" s="21" t="str">
        <f t="shared" si="2"/>
        <v>2017/01/11 00:21:18.688</v>
      </c>
      <c r="C71" s="21">
        <f t="shared" si="3"/>
        <v>6.2847248045727611E-6</v>
      </c>
    </row>
    <row r="72" spans="1:3" x14ac:dyDescent="0.25">
      <c r="A72" t="s">
        <v>434</v>
      </c>
      <c r="B72" s="21" t="str">
        <f t="shared" si="2"/>
        <v>2017/01/11 00:26:27.940</v>
      </c>
      <c r="C72" s="21">
        <f t="shared" si="3"/>
        <v>3.5793055576505139E-3</v>
      </c>
    </row>
    <row r="73" spans="1:3" x14ac:dyDescent="0.25">
      <c r="A73" t="s">
        <v>435</v>
      </c>
      <c r="B73" s="21" t="str">
        <f t="shared" si="2"/>
        <v>2017/01/11 00:26:28.145</v>
      </c>
      <c r="C73" s="21">
        <f t="shared" si="3"/>
        <v>2.372682502027601E-6</v>
      </c>
    </row>
    <row r="74" spans="1:3" x14ac:dyDescent="0.25">
      <c r="A74" t="s">
        <v>436</v>
      </c>
      <c r="B74" s="21" t="str">
        <f t="shared" si="2"/>
        <v>2017/01/11 00:26:28.685</v>
      </c>
      <c r="C74" s="21">
        <f t="shared" si="3"/>
        <v>6.2500039348378778E-6</v>
      </c>
    </row>
    <row r="75" spans="1:3" x14ac:dyDescent="0.25">
      <c r="A75" t="s">
        <v>437</v>
      </c>
      <c r="B75" s="21" t="str">
        <f t="shared" si="2"/>
        <v>2017/01/11 01:16:46.948</v>
      </c>
      <c r="C75" s="21">
        <f t="shared" si="3"/>
        <v>3.4933599534269888E-2</v>
      </c>
    </row>
    <row r="76" spans="1:3" x14ac:dyDescent="0.25">
      <c r="A76" t="s">
        <v>438</v>
      </c>
      <c r="B76" s="21" t="str">
        <f t="shared" si="2"/>
        <v>2017/01/11 01:16:47.153</v>
      </c>
      <c r="C76" s="21">
        <f t="shared" si="3"/>
        <v>2.372682502027601E-6</v>
      </c>
    </row>
    <row r="77" spans="1:3" x14ac:dyDescent="0.25">
      <c r="A77" t="s">
        <v>439</v>
      </c>
      <c r="B77" s="21" t="str">
        <f t="shared" si="2"/>
        <v>2017/01/11 01:16:47.688</v>
      </c>
      <c r="C77" s="21">
        <f t="shared" si="3"/>
        <v>6.1921309679746628E-6</v>
      </c>
    </row>
    <row r="78" spans="1:3" x14ac:dyDescent="0.25">
      <c r="A78" t="s">
        <v>440</v>
      </c>
      <c r="B78" s="21" t="str">
        <f t="shared" si="2"/>
        <v>2017/01/11 01:21:32.975</v>
      </c>
      <c r="C78" s="21">
        <f t="shared" si="3"/>
        <v>3.3019328693626449E-3</v>
      </c>
    </row>
    <row r="79" spans="1:3" x14ac:dyDescent="0.25">
      <c r="A79" t="s">
        <v>441</v>
      </c>
      <c r="B79" s="21" t="str">
        <f t="shared" si="2"/>
        <v>2017/01/11 01:21:33.011</v>
      </c>
      <c r="C79" s="21">
        <f t="shared" si="3"/>
        <v>4.1667226469144225E-7</v>
      </c>
    </row>
    <row r="80" spans="1:3" x14ac:dyDescent="0.25">
      <c r="A80" t="s">
        <v>442</v>
      </c>
      <c r="B80" s="21" t="str">
        <f t="shared" si="2"/>
        <v>2017/01/11 01:21:33.389</v>
      </c>
      <c r="C80" s="21">
        <f t="shared" si="3"/>
        <v>4.3749969336204231E-6</v>
      </c>
    </row>
    <row r="81" spans="1:3" x14ac:dyDescent="0.25">
      <c r="A81" t="s">
        <v>443</v>
      </c>
      <c r="B81" s="21" t="str">
        <f t="shared" si="2"/>
        <v>2017/01/11 02:40:36.629</v>
      </c>
      <c r="C81" s="21">
        <f t="shared" si="3"/>
        <v>5.4898611109820195E-2</v>
      </c>
    </row>
    <row r="82" spans="1:3" x14ac:dyDescent="0.25">
      <c r="A82" t="s">
        <v>444</v>
      </c>
      <c r="B82" s="21" t="str">
        <f t="shared" si="2"/>
        <v>2017/01/11 04:35:47.262</v>
      </c>
      <c r="C82" s="21">
        <f t="shared" si="3"/>
        <v>7.998417824273929E-2</v>
      </c>
    </row>
    <row r="83" spans="1:3" x14ac:dyDescent="0.25">
      <c r="A83" t="s">
        <v>445</v>
      </c>
      <c r="B83" s="21" t="str">
        <f t="shared" si="2"/>
        <v>2017/01/11 04:35:47.282</v>
      </c>
      <c r="C83" s="21">
        <f t="shared" si="3"/>
        <v>2.3147731553763151E-7</v>
      </c>
    </row>
    <row r="84" spans="1:3" x14ac:dyDescent="0.25">
      <c r="A84" t="s">
        <v>446</v>
      </c>
      <c r="B84" s="21" t="str">
        <f t="shared" ref="B84:B89" si="4">MID(A84,6,23)</f>
        <v>2017/01/11 04:35:47.542</v>
      </c>
      <c r="C84" s="21">
        <f t="shared" ref="C84:C89" si="5">ABS(B84-B83)</f>
        <v>3.0092633096501231E-6</v>
      </c>
    </row>
    <row r="85" spans="1:3" x14ac:dyDescent="0.25">
      <c r="A85" t="s">
        <v>447</v>
      </c>
      <c r="B85" s="21" t="str">
        <f t="shared" si="4"/>
        <v>2017/01/11 04:54:42.499</v>
      </c>
      <c r="C85" s="21">
        <f t="shared" si="5"/>
        <v>1.3136076391674578E-2</v>
      </c>
    </row>
    <row r="86" spans="1:3" x14ac:dyDescent="0.25">
      <c r="A86" t="s">
        <v>448</v>
      </c>
      <c r="B86" s="21" t="str">
        <f t="shared" si="4"/>
        <v>2017/01/11 04:55:41.496</v>
      </c>
      <c r="C86" s="21">
        <f t="shared" si="5"/>
        <v>6.8283564178273082E-4</v>
      </c>
    </row>
    <row r="87" spans="1:3" x14ac:dyDescent="0.25">
      <c r="A87" t="s">
        <v>449</v>
      </c>
      <c r="B87" s="21" t="str">
        <f t="shared" si="4"/>
        <v>2017/01/11 06:22:56.159</v>
      </c>
      <c r="C87" s="21">
        <f t="shared" si="5"/>
        <v>6.0586377316212747E-2</v>
      </c>
    </row>
    <row r="88" spans="1:3" x14ac:dyDescent="0.25">
      <c r="A88" t="s">
        <v>450</v>
      </c>
      <c r="B88" s="21" t="str">
        <f t="shared" si="4"/>
        <v>2017/01/11 06:22:56.629</v>
      </c>
      <c r="C88" s="21">
        <f t="shared" si="5"/>
        <v>5.4398187785409391E-6</v>
      </c>
    </row>
    <row r="89" spans="1:3" x14ac:dyDescent="0.25">
      <c r="A89" t="s">
        <v>451</v>
      </c>
      <c r="B89" s="21" t="str">
        <f t="shared" si="4"/>
        <v>2017/01/11 06:22:56.669</v>
      </c>
      <c r="C89" s="21">
        <f t="shared" si="5"/>
        <v>4.6296190703287721E-7</v>
      </c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2017-01-13T18:26:59Z</dcterms:modified>
</cp:coreProperties>
</file>